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45834</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45834</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45834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45834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45834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45834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45834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45834</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45834</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45834</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45834</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45834</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45834</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45834</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45834</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45834</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45834</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45834</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45834</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45834</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45834</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45834</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45834</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45834</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45834</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45834</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45834</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45834</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45834</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45834</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45834</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45834</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45834</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45834</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45834</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45834</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45834</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45834</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45834</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45834</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30443-2025</t>
        </is>
      </c>
      <c r="B44" s="1" t="n">
        <v>45827</v>
      </c>
      <c r="C44" s="1" t="n">
        <v>45834</v>
      </c>
      <c r="D44" t="inlineStr">
        <is>
          <t>UPPSALA LÄN</t>
        </is>
      </c>
      <c r="E44" t="inlineStr">
        <is>
          <t>UPPSALA</t>
        </is>
      </c>
      <c r="G44" t="n">
        <v>10.4</v>
      </c>
      <c r="H44" t="n">
        <v>0</v>
      </c>
      <c r="I44" t="n">
        <v>3</v>
      </c>
      <c r="J44" t="n">
        <v>3</v>
      </c>
      <c r="K44" t="n">
        <v>1</v>
      </c>
      <c r="L44" t="n">
        <v>0</v>
      </c>
      <c r="M44" t="n">
        <v>0</v>
      </c>
      <c r="N44" t="n">
        <v>0</v>
      </c>
      <c r="O44" t="n">
        <v>4</v>
      </c>
      <c r="P44" t="n">
        <v>1</v>
      </c>
      <c r="Q44" t="n">
        <v>7</v>
      </c>
      <c r="R44" s="2" t="inlineStr">
        <is>
          <t>Grangråticka
Dofttaggsvamp
Gultoppig fingersvamp
Orange taggsvamp
Granbarkgnagare
Guldkremla
Korallblylav</t>
        </is>
      </c>
      <c r="S44">
        <f>HYPERLINK("https://klasma.github.io/Logging_030380/artfynd/A 30443-2025 artfynd.xlsx", "A 30443-2025")</f>
        <v/>
      </c>
      <c r="T44">
        <f>HYPERLINK("https://klasma.github.io/Logging_030380/kartor/A 30443-2025 karta.png", "A 30443-2025")</f>
        <v/>
      </c>
      <c r="V44">
        <f>HYPERLINK("https://klasma.github.io/Logging_030380/klagomål/A 30443-2025 FSC-klagomål.docx", "A 30443-2025")</f>
        <v/>
      </c>
      <c r="W44">
        <f>HYPERLINK("https://klasma.github.io/Logging_030380/klagomålsmail/A 30443-2025 FSC-klagomål mail.docx", "A 30443-2025")</f>
        <v/>
      </c>
      <c r="X44">
        <f>HYPERLINK("https://klasma.github.io/Logging_030380/tillsyn/A 30443-2025 tillsynsbegäran.docx", "A 30443-2025")</f>
        <v/>
      </c>
      <c r="Y44">
        <f>HYPERLINK("https://klasma.github.io/Logging_030380/tillsynsmail/A 30443-2025 tillsynsbegäran mail.docx", "A 30443-2025")</f>
        <v/>
      </c>
    </row>
    <row r="45" ht="15" customHeight="1">
      <c r="A45" t="inlineStr">
        <is>
          <t>A 52838-2020</t>
        </is>
      </c>
      <c r="B45" s="1" t="n">
        <v>44119</v>
      </c>
      <c r="C45" s="1" t="n">
        <v>45834</v>
      </c>
      <c r="D45" t="inlineStr">
        <is>
          <t>UPPSALA LÄN</t>
        </is>
      </c>
      <c r="E45" t="inlineStr">
        <is>
          <t>UPPSALA</t>
        </is>
      </c>
      <c r="G45" t="n">
        <v>4.8</v>
      </c>
      <c r="H45" t="n">
        <v>3</v>
      </c>
      <c r="I45" t="n">
        <v>3</v>
      </c>
      <c r="J45" t="n">
        <v>2</v>
      </c>
      <c r="K45" t="n">
        <v>0</v>
      </c>
      <c r="L45" t="n">
        <v>0</v>
      </c>
      <c r="M45" t="n">
        <v>0</v>
      </c>
      <c r="N45" t="n">
        <v>0</v>
      </c>
      <c r="O45" t="n">
        <v>2</v>
      </c>
      <c r="P45" t="n">
        <v>0</v>
      </c>
      <c r="Q45" t="n">
        <v>6</v>
      </c>
      <c r="R45" s="2" t="inlineStr">
        <is>
          <t>Spillkråka
Ärtsångare
Bronshjon
Fjällig taggsvamp s.str.
Thomsons trägnagare
Blåsippa</t>
        </is>
      </c>
      <c r="S45">
        <f>HYPERLINK("https://klasma.github.io/Logging_0380/artfynd/A 52838-2020 artfynd.xlsx", "A 52838-2020")</f>
        <v/>
      </c>
      <c r="T45">
        <f>HYPERLINK("https://klasma.github.io/Logging_0380/kartor/A 52838-2020 karta.png", "A 52838-2020")</f>
        <v/>
      </c>
      <c r="V45">
        <f>HYPERLINK("https://klasma.github.io/Logging_0380/klagomål/A 52838-2020 FSC-klagomål.docx", "A 52838-2020")</f>
        <v/>
      </c>
      <c r="W45">
        <f>HYPERLINK("https://klasma.github.io/Logging_0380/klagomålsmail/A 52838-2020 FSC-klagomål mail.docx", "A 52838-2020")</f>
        <v/>
      </c>
      <c r="X45">
        <f>HYPERLINK("https://klasma.github.io/Logging_0380/tillsyn/A 52838-2020 tillsynsbegäran.docx", "A 52838-2020")</f>
        <v/>
      </c>
      <c r="Y45">
        <f>HYPERLINK("https://klasma.github.io/Logging_0380/tillsynsmail/A 52838-2020 tillsynsbegäran mail.docx", "A 52838-2020")</f>
        <v/>
      </c>
      <c r="Z45">
        <f>HYPERLINK("https://klasma.github.io/Logging_0380/fåglar/A 52838-2020 prioriterade fågelarter.docx", "A 52838-2020")</f>
        <v/>
      </c>
    </row>
    <row r="46" ht="15" customHeight="1">
      <c r="A46" t="inlineStr">
        <is>
          <t>A 28577-2021</t>
        </is>
      </c>
      <c r="B46" s="1" t="n">
        <v>44356</v>
      </c>
      <c r="C46" s="1" t="n">
        <v>45834</v>
      </c>
      <c r="D46" t="inlineStr">
        <is>
          <t>UPPSALA LÄN</t>
        </is>
      </c>
      <c r="E46" t="inlineStr">
        <is>
          <t>UPPSALA</t>
        </is>
      </c>
      <c r="G46" t="n">
        <v>13.1</v>
      </c>
      <c r="H46" t="n">
        <v>2</v>
      </c>
      <c r="I46" t="n">
        <v>3</v>
      </c>
      <c r="J46" t="n">
        <v>2</v>
      </c>
      <c r="K46" t="n">
        <v>0</v>
      </c>
      <c r="L46" t="n">
        <v>0</v>
      </c>
      <c r="M46" t="n">
        <v>0</v>
      </c>
      <c r="N46" t="n">
        <v>0</v>
      </c>
      <c r="O46" t="n">
        <v>2</v>
      </c>
      <c r="P46" t="n">
        <v>0</v>
      </c>
      <c r="Q46" t="n">
        <v>6</v>
      </c>
      <c r="R46" s="2" t="inlineStr">
        <is>
          <t>Spillkråka
Ullticka
Bronshjon
Korallblylav
Thomsons trägnagare
Blåsippa</t>
        </is>
      </c>
      <c r="S46">
        <f>HYPERLINK("https://klasma.github.io/Logging_0380/artfynd/A 28577-2021 artfynd.xlsx", "A 28577-2021")</f>
        <v/>
      </c>
      <c r="T46">
        <f>HYPERLINK("https://klasma.github.io/Logging_0380/kartor/A 28577-2021 karta.png", "A 28577-2021")</f>
        <v/>
      </c>
      <c r="V46">
        <f>HYPERLINK("https://klasma.github.io/Logging_0380/klagomål/A 28577-2021 FSC-klagomål.docx", "A 28577-2021")</f>
        <v/>
      </c>
      <c r="W46">
        <f>HYPERLINK("https://klasma.github.io/Logging_0380/klagomålsmail/A 28577-2021 FSC-klagomål mail.docx", "A 28577-2021")</f>
        <v/>
      </c>
      <c r="X46">
        <f>HYPERLINK("https://klasma.github.io/Logging_0380/tillsyn/A 28577-2021 tillsynsbegäran.docx", "A 28577-2021")</f>
        <v/>
      </c>
      <c r="Y46">
        <f>HYPERLINK("https://klasma.github.io/Logging_0380/tillsynsmail/A 28577-2021 tillsynsbegäran mail.docx", "A 28577-2021")</f>
        <v/>
      </c>
      <c r="Z46">
        <f>HYPERLINK("https://klasma.github.io/Logging_0380/fåglar/A 28577-2021 prioriterade fågelarter.docx", "A 28577-2021")</f>
        <v/>
      </c>
    </row>
    <row r="47" ht="15" customHeight="1">
      <c r="A47" t="inlineStr">
        <is>
          <t>A 34459-2022</t>
        </is>
      </c>
      <c r="B47" s="1" t="n">
        <v>44792</v>
      </c>
      <c r="C47" s="1" t="n">
        <v>45834</v>
      </c>
      <c r="D47" t="inlineStr">
        <is>
          <t>UPPSALA LÄN</t>
        </is>
      </c>
      <c r="E47" t="inlineStr">
        <is>
          <t>UPPSALA</t>
        </is>
      </c>
      <c r="F47" t="inlineStr">
        <is>
          <t>Kommuner</t>
        </is>
      </c>
      <c r="G47" t="n">
        <v>2.6</v>
      </c>
      <c r="H47" t="n">
        <v>5</v>
      </c>
      <c r="I47" t="n">
        <v>1</v>
      </c>
      <c r="J47" t="n">
        <v>0</v>
      </c>
      <c r="K47" t="n">
        <v>0</v>
      </c>
      <c r="L47" t="n">
        <v>1</v>
      </c>
      <c r="M47" t="n">
        <v>0</v>
      </c>
      <c r="N47" t="n">
        <v>0</v>
      </c>
      <c r="O47" t="n">
        <v>1</v>
      </c>
      <c r="P47" t="n">
        <v>1</v>
      </c>
      <c r="Q47" t="n">
        <v>6</v>
      </c>
      <c r="R47" s="2" t="inlineStr">
        <is>
          <t>Cinnoberbagge
Svart trolldruva
Åkergroda
Huggorm
Vanlig padda
Vanlig snok</t>
        </is>
      </c>
      <c r="S47">
        <f>HYPERLINK("https://klasma.github.io/Logging_0380/artfynd/A 34459-2022 artfynd.xlsx", "A 34459-2022")</f>
        <v/>
      </c>
      <c r="T47">
        <f>HYPERLINK("https://klasma.github.io/Logging_0380/kartor/A 34459-2022 karta.png", "A 34459-2022")</f>
        <v/>
      </c>
      <c r="V47">
        <f>HYPERLINK("https://klasma.github.io/Logging_0380/klagomål/A 34459-2022 FSC-klagomål.docx", "A 34459-2022")</f>
        <v/>
      </c>
      <c r="W47">
        <f>HYPERLINK("https://klasma.github.io/Logging_0380/klagomålsmail/A 34459-2022 FSC-klagomål mail.docx", "A 34459-2022")</f>
        <v/>
      </c>
      <c r="X47">
        <f>HYPERLINK("https://klasma.github.io/Logging_0380/tillsyn/A 34459-2022 tillsynsbegäran.docx", "A 34459-2022")</f>
        <v/>
      </c>
      <c r="Y47">
        <f>HYPERLINK("https://klasma.github.io/Logging_0380/tillsynsmail/A 34459-2022 tillsynsbegäran mail.docx", "A 34459-2022")</f>
        <v/>
      </c>
    </row>
    <row r="48" ht="15" customHeight="1">
      <c r="A48" t="inlineStr">
        <is>
          <t>A 58015-2023</t>
        </is>
      </c>
      <c r="B48" s="1" t="n">
        <v>45245</v>
      </c>
      <c r="C48" s="1" t="n">
        <v>45834</v>
      </c>
      <c r="D48" t="inlineStr">
        <is>
          <t>UPPSALA LÄN</t>
        </is>
      </c>
      <c r="E48" t="inlineStr">
        <is>
          <t>UPPSALA</t>
        </is>
      </c>
      <c r="G48" t="n">
        <v>12.8</v>
      </c>
      <c r="H48" t="n">
        <v>0</v>
      </c>
      <c r="I48" t="n">
        <v>4</v>
      </c>
      <c r="J48" t="n">
        <v>2</v>
      </c>
      <c r="K48" t="n">
        <v>0</v>
      </c>
      <c r="L48" t="n">
        <v>0</v>
      </c>
      <c r="M48" t="n">
        <v>0</v>
      </c>
      <c r="N48" t="n">
        <v>0</v>
      </c>
      <c r="O48" t="n">
        <v>2</v>
      </c>
      <c r="P48" t="n">
        <v>0</v>
      </c>
      <c r="Q48" t="n">
        <v>6</v>
      </c>
      <c r="R48" s="2" t="inlineStr">
        <is>
          <t>Kandelabersvamp
Orange taggsvamp
Dropptaggsvamp
Fjällig taggsvamp s.str.
Svavelriska
Trådticka</t>
        </is>
      </c>
      <c r="S48">
        <f>HYPERLINK("https://klasma.github.io/Logging_0380/artfynd/A 58015-2023 artfynd.xlsx", "A 58015-2023")</f>
        <v/>
      </c>
      <c r="T48">
        <f>HYPERLINK("https://klasma.github.io/Logging_0380/kartor/A 58015-2023 karta.png", "A 58015-2023")</f>
        <v/>
      </c>
      <c r="V48">
        <f>HYPERLINK("https://klasma.github.io/Logging_0380/klagomål/A 58015-2023 FSC-klagomål.docx", "A 58015-2023")</f>
        <v/>
      </c>
      <c r="W48">
        <f>HYPERLINK("https://klasma.github.io/Logging_0380/klagomålsmail/A 58015-2023 FSC-klagomål mail.docx", "A 58015-2023")</f>
        <v/>
      </c>
      <c r="X48">
        <f>HYPERLINK("https://klasma.github.io/Logging_0380/tillsyn/A 58015-2023 tillsynsbegäran.docx", "A 58015-2023")</f>
        <v/>
      </c>
      <c r="Y48">
        <f>HYPERLINK("https://klasma.github.io/Logging_0380/tillsynsmail/A 58015-2023 tillsynsbegäran mail.docx", "A 58015-2023")</f>
        <v/>
      </c>
    </row>
    <row r="49" ht="15" customHeight="1">
      <c r="A49" t="inlineStr">
        <is>
          <t>A 67522-2019</t>
        </is>
      </c>
      <c r="B49" s="1" t="n">
        <v>43814</v>
      </c>
      <c r="C49" s="1" t="n">
        <v>45834</v>
      </c>
      <c r="D49" t="inlineStr">
        <is>
          <t>UPPSALA LÄN</t>
        </is>
      </c>
      <c r="E49" t="inlineStr">
        <is>
          <t>UPPSALA</t>
        </is>
      </c>
      <c r="F49" t="inlineStr">
        <is>
          <t>Allmännings- och besparingsskogar</t>
        </is>
      </c>
      <c r="G49" t="n">
        <v>27.9</v>
      </c>
      <c r="H49" t="n">
        <v>0</v>
      </c>
      <c r="I49" t="n">
        <v>3</v>
      </c>
      <c r="J49" t="n">
        <v>2</v>
      </c>
      <c r="K49" t="n">
        <v>0</v>
      </c>
      <c r="L49" t="n">
        <v>0</v>
      </c>
      <c r="M49" t="n">
        <v>0</v>
      </c>
      <c r="N49" t="n">
        <v>0</v>
      </c>
      <c r="O49" t="n">
        <v>2</v>
      </c>
      <c r="P49" t="n">
        <v>0</v>
      </c>
      <c r="Q49" t="n">
        <v>5</v>
      </c>
      <c r="R49" s="2" t="inlineStr">
        <is>
          <t>Större flatbagge
Tallticka
Bronshjon
Granbarkgnagare
Jättesvampmal</t>
        </is>
      </c>
      <c r="S49">
        <f>HYPERLINK("https://klasma.github.io/Logging_0380/artfynd/A 67522-2019 artfynd.xlsx", "A 67522-2019")</f>
        <v/>
      </c>
      <c r="T49">
        <f>HYPERLINK("https://klasma.github.io/Logging_0380/kartor/A 67522-2019 karta.png", "A 67522-2019")</f>
        <v/>
      </c>
      <c r="V49">
        <f>HYPERLINK("https://klasma.github.io/Logging_0380/klagomål/A 67522-2019 FSC-klagomål.docx", "A 67522-2019")</f>
        <v/>
      </c>
      <c r="W49">
        <f>HYPERLINK("https://klasma.github.io/Logging_0380/klagomålsmail/A 67522-2019 FSC-klagomål mail.docx", "A 67522-2019")</f>
        <v/>
      </c>
      <c r="X49">
        <f>HYPERLINK("https://klasma.github.io/Logging_0380/tillsyn/A 67522-2019 tillsynsbegäran.docx", "A 67522-2019")</f>
        <v/>
      </c>
      <c r="Y49">
        <f>HYPERLINK("https://klasma.github.io/Logging_0380/tillsynsmail/A 67522-2019 tillsynsbegäran mail.docx", "A 67522-2019")</f>
        <v/>
      </c>
    </row>
    <row r="50" ht="15" customHeight="1">
      <c r="A50" t="inlineStr">
        <is>
          <t>A 5673-2020</t>
        </is>
      </c>
      <c r="B50" s="1" t="n">
        <v>43861</v>
      </c>
      <c r="C50" s="1" t="n">
        <v>45834</v>
      </c>
      <c r="D50" t="inlineStr">
        <is>
          <t>UPPSALA LÄN</t>
        </is>
      </c>
      <c r="E50" t="inlineStr">
        <is>
          <t>UPPSALA</t>
        </is>
      </c>
      <c r="G50" t="n">
        <v>1.2</v>
      </c>
      <c r="H50" t="n">
        <v>1</v>
      </c>
      <c r="I50" t="n">
        <v>4</v>
      </c>
      <c r="J50" t="n">
        <v>0</v>
      </c>
      <c r="K50" t="n">
        <v>0</v>
      </c>
      <c r="L50" t="n">
        <v>0</v>
      </c>
      <c r="M50" t="n">
        <v>0</v>
      </c>
      <c r="N50" t="n">
        <v>0</v>
      </c>
      <c r="O50" t="n">
        <v>0</v>
      </c>
      <c r="P50" t="n">
        <v>0</v>
      </c>
      <c r="Q50" t="n">
        <v>5</v>
      </c>
      <c r="R50" s="2" t="inlineStr">
        <is>
          <t>Hasselticka
Platt fjädermossa
Trubbfjädermossa
Vedticka
Blåsippa</t>
        </is>
      </c>
      <c r="S50">
        <f>HYPERLINK("https://klasma.github.io/Logging_0380/artfynd/A 5673-2020 artfynd.xlsx", "A 5673-2020")</f>
        <v/>
      </c>
      <c r="T50">
        <f>HYPERLINK("https://klasma.github.io/Logging_0380/kartor/A 5673-2020 karta.png", "A 5673-2020")</f>
        <v/>
      </c>
      <c r="V50">
        <f>HYPERLINK("https://klasma.github.io/Logging_0380/klagomål/A 5673-2020 FSC-klagomål.docx", "A 5673-2020")</f>
        <v/>
      </c>
      <c r="W50">
        <f>HYPERLINK("https://klasma.github.io/Logging_0380/klagomålsmail/A 5673-2020 FSC-klagomål mail.docx", "A 5673-2020")</f>
        <v/>
      </c>
      <c r="X50">
        <f>HYPERLINK("https://klasma.github.io/Logging_0380/tillsyn/A 5673-2020 tillsynsbegäran.docx", "A 5673-2020")</f>
        <v/>
      </c>
      <c r="Y50">
        <f>HYPERLINK("https://klasma.github.io/Logging_0380/tillsynsmail/A 5673-2020 tillsynsbegäran mail.docx", "A 5673-2020")</f>
        <v/>
      </c>
    </row>
    <row r="51" ht="15" customHeight="1">
      <c r="A51" t="inlineStr">
        <is>
          <t>A 27389-2021</t>
        </is>
      </c>
      <c r="B51" s="1" t="n">
        <v>44351</v>
      </c>
      <c r="C51" s="1" t="n">
        <v>45834</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61388-2021</t>
        </is>
      </c>
      <c r="B52" s="1" t="n">
        <v>44500</v>
      </c>
      <c r="C52" s="1" t="n">
        <v>45834</v>
      </c>
      <c r="D52" t="inlineStr">
        <is>
          <t>UPPSALA LÄN</t>
        </is>
      </c>
      <c r="E52" t="inlineStr">
        <is>
          <t>UPPSALA</t>
        </is>
      </c>
      <c r="G52" t="n">
        <v>4.8</v>
      </c>
      <c r="H52" t="n">
        <v>0</v>
      </c>
      <c r="I52" t="n">
        <v>4</v>
      </c>
      <c r="J52" t="n">
        <v>1</v>
      </c>
      <c r="K52" t="n">
        <v>0</v>
      </c>
      <c r="L52" t="n">
        <v>0</v>
      </c>
      <c r="M52" t="n">
        <v>0</v>
      </c>
      <c r="N52" t="n">
        <v>0</v>
      </c>
      <c r="O52" t="n">
        <v>1</v>
      </c>
      <c r="P52" t="n">
        <v>0</v>
      </c>
      <c r="Q52" t="n">
        <v>5</v>
      </c>
      <c r="R52" s="2" t="inlineStr">
        <is>
          <t>Skogshare
Björksplintborre
Bronshjon
Jättesvampmal
Thomsons trägnagare</t>
        </is>
      </c>
      <c r="S52">
        <f>HYPERLINK("https://klasma.github.io/Logging_0380/artfynd/A 61388-2021 artfynd.xlsx", "A 61388-2021")</f>
        <v/>
      </c>
      <c r="T52">
        <f>HYPERLINK("https://klasma.github.io/Logging_0380/kartor/A 61388-2021 karta.png", "A 61388-2021")</f>
        <v/>
      </c>
      <c r="U52">
        <f>HYPERLINK("https://klasma.github.io/Logging_0380/knärot/A 61388-2021 karta knärot.png", "A 61388-2021")</f>
        <v/>
      </c>
      <c r="V52">
        <f>HYPERLINK("https://klasma.github.io/Logging_0380/klagomål/A 61388-2021 FSC-klagomål.docx", "A 61388-2021")</f>
        <v/>
      </c>
      <c r="W52">
        <f>HYPERLINK("https://klasma.github.io/Logging_0380/klagomålsmail/A 61388-2021 FSC-klagomål mail.docx", "A 61388-2021")</f>
        <v/>
      </c>
      <c r="X52">
        <f>HYPERLINK("https://klasma.github.io/Logging_0380/tillsyn/A 61388-2021 tillsynsbegäran.docx", "A 61388-2021")</f>
        <v/>
      </c>
      <c r="Y52">
        <f>HYPERLINK("https://klasma.github.io/Logging_0380/tillsynsmail/A 61388-2021 tillsynsbegäran mail.docx", "A 61388-2021")</f>
        <v/>
      </c>
    </row>
    <row r="53" ht="15" customHeight="1">
      <c r="A53" t="inlineStr">
        <is>
          <t>A 1725-2022</t>
        </is>
      </c>
      <c r="B53" s="1" t="n">
        <v>44574</v>
      </c>
      <c r="C53" s="1" t="n">
        <v>45834</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53574-2022</t>
        </is>
      </c>
      <c r="B54" s="1" t="n">
        <v>44879</v>
      </c>
      <c r="C54" s="1" t="n">
        <v>45834</v>
      </c>
      <c r="D54" t="inlineStr">
        <is>
          <t>UPPSALA LÄN</t>
        </is>
      </c>
      <c r="E54" t="inlineStr">
        <is>
          <t>UPPSALA</t>
        </is>
      </c>
      <c r="G54" t="n">
        <v>19.2</v>
      </c>
      <c r="H54" t="n">
        <v>1</v>
      </c>
      <c r="I54" t="n">
        <v>4</v>
      </c>
      <c r="J54" t="n">
        <v>1</v>
      </c>
      <c r="K54" t="n">
        <v>0</v>
      </c>
      <c r="L54" t="n">
        <v>0</v>
      </c>
      <c r="M54" t="n">
        <v>0</v>
      </c>
      <c r="N54" t="n">
        <v>0</v>
      </c>
      <c r="O54" t="n">
        <v>1</v>
      </c>
      <c r="P54" t="n">
        <v>0</v>
      </c>
      <c r="Q54" t="n">
        <v>5</v>
      </c>
      <c r="R54" s="2" t="inlineStr">
        <is>
          <t>Ullticka
Fällmossa
Grön sköldmossa
Korallblylav
Stuplav</t>
        </is>
      </c>
      <c r="S54">
        <f>HYPERLINK("https://klasma.github.io/Logging_0380/artfynd/A 53574-2022 artfynd.xlsx", "A 53574-2022")</f>
        <v/>
      </c>
      <c r="T54">
        <f>HYPERLINK("https://klasma.github.io/Logging_0380/kartor/A 53574-2022 karta.png", "A 53574-2022")</f>
        <v/>
      </c>
      <c r="V54">
        <f>HYPERLINK("https://klasma.github.io/Logging_0380/klagomål/A 53574-2022 FSC-klagomål.docx", "A 53574-2022")</f>
        <v/>
      </c>
      <c r="W54">
        <f>HYPERLINK("https://klasma.github.io/Logging_0380/klagomålsmail/A 53574-2022 FSC-klagomål mail.docx", "A 53574-2022")</f>
        <v/>
      </c>
      <c r="X54">
        <f>HYPERLINK("https://klasma.github.io/Logging_0380/tillsyn/A 53574-2022 tillsynsbegäran.docx", "A 53574-2022")</f>
        <v/>
      </c>
      <c r="Y54">
        <f>HYPERLINK("https://klasma.github.io/Logging_0380/tillsynsmail/A 53574-2022 tillsynsbegäran mail.docx", "A 53574-2022")</f>
        <v/>
      </c>
    </row>
    <row r="55" ht="15" customHeight="1">
      <c r="A55" t="inlineStr">
        <is>
          <t>A 62169-2022</t>
        </is>
      </c>
      <c r="B55" s="1" t="n">
        <v>44922</v>
      </c>
      <c r="C55" s="1" t="n">
        <v>45834</v>
      </c>
      <c r="D55" t="inlineStr">
        <is>
          <t>UPPSALA LÄN</t>
        </is>
      </c>
      <c r="E55" t="inlineStr">
        <is>
          <t>UPPSALA</t>
        </is>
      </c>
      <c r="G55" t="n">
        <v>19.6</v>
      </c>
      <c r="H55" t="n">
        <v>2</v>
      </c>
      <c r="I55" t="n">
        <v>2</v>
      </c>
      <c r="J55" t="n">
        <v>1</v>
      </c>
      <c r="K55" t="n">
        <v>1</v>
      </c>
      <c r="L55" t="n">
        <v>0</v>
      </c>
      <c r="M55" t="n">
        <v>0</v>
      </c>
      <c r="N55" t="n">
        <v>0</v>
      </c>
      <c r="O55" t="n">
        <v>2</v>
      </c>
      <c r="P55" t="n">
        <v>1</v>
      </c>
      <c r="Q55" t="n">
        <v>5</v>
      </c>
      <c r="R55" s="2" t="inlineStr">
        <is>
          <t>Knärot
Tallticka
Björksplintborre
Kamjordstjärna
Revlummer</t>
        </is>
      </c>
      <c r="S55">
        <f>HYPERLINK("https://klasma.github.io/Logging_0380/artfynd/A 62169-2022 artfynd.xlsx", "A 62169-2022")</f>
        <v/>
      </c>
      <c r="T55">
        <f>HYPERLINK("https://klasma.github.io/Logging_0380/kartor/A 62169-2022 karta.png", "A 62169-2022")</f>
        <v/>
      </c>
      <c r="U55">
        <f>HYPERLINK("https://klasma.github.io/Logging_0380/knärot/A 62169-2022 karta knärot.png", "A 62169-2022")</f>
        <v/>
      </c>
      <c r="V55">
        <f>HYPERLINK("https://klasma.github.io/Logging_0380/klagomål/A 62169-2022 FSC-klagomål.docx", "A 62169-2022")</f>
        <v/>
      </c>
      <c r="W55">
        <f>HYPERLINK("https://klasma.github.io/Logging_0380/klagomålsmail/A 62169-2022 FSC-klagomål mail.docx", "A 62169-2022")</f>
        <v/>
      </c>
      <c r="X55">
        <f>HYPERLINK("https://klasma.github.io/Logging_0380/tillsyn/A 62169-2022 tillsynsbegäran.docx", "A 62169-2022")</f>
        <v/>
      </c>
      <c r="Y55">
        <f>HYPERLINK("https://klasma.github.io/Logging_0380/tillsynsmail/A 62169-2022 tillsynsbegäran mail.docx", "A 62169-2022")</f>
        <v/>
      </c>
    </row>
    <row r="56" ht="15" customHeight="1">
      <c r="A56" t="inlineStr">
        <is>
          <t>A 9422-2023</t>
        </is>
      </c>
      <c r="B56" s="1" t="n">
        <v>44977</v>
      </c>
      <c r="C56" s="1" t="n">
        <v>45834</v>
      </c>
      <c r="D56" t="inlineStr">
        <is>
          <t>UPPSALA LÄN</t>
        </is>
      </c>
      <c r="E56" t="inlineStr">
        <is>
          <t>UPPSALA</t>
        </is>
      </c>
      <c r="G56" t="n">
        <v>4.5</v>
      </c>
      <c r="H56" t="n">
        <v>0</v>
      </c>
      <c r="I56" t="n">
        <v>5</v>
      </c>
      <c r="J56" t="n">
        <v>0</v>
      </c>
      <c r="K56" t="n">
        <v>0</v>
      </c>
      <c r="L56" t="n">
        <v>0</v>
      </c>
      <c r="M56" t="n">
        <v>0</v>
      </c>
      <c r="N56" t="n">
        <v>0</v>
      </c>
      <c r="O56" t="n">
        <v>0</v>
      </c>
      <c r="P56" t="n">
        <v>0</v>
      </c>
      <c r="Q56" t="n">
        <v>5</v>
      </c>
      <c r="R56" s="2" t="inlineStr">
        <is>
          <t>Anisspindling
Brun klibbskivling
Olivspindling
Skarp dropptaggsvamp
Strimspindling</t>
        </is>
      </c>
      <c r="S56">
        <f>HYPERLINK("https://klasma.github.io/Logging_0380/artfynd/A 9422-2023 artfynd.xlsx", "A 9422-2023")</f>
        <v/>
      </c>
      <c r="T56">
        <f>HYPERLINK("https://klasma.github.io/Logging_0380/kartor/A 9422-2023 karta.png", "A 9422-2023")</f>
        <v/>
      </c>
      <c r="V56">
        <f>HYPERLINK("https://klasma.github.io/Logging_0380/klagomål/A 9422-2023 FSC-klagomål.docx", "A 9422-2023")</f>
        <v/>
      </c>
      <c r="W56">
        <f>HYPERLINK("https://klasma.github.io/Logging_0380/klagomålsmail/A 9422-2023 FSC-klagomål mail.docx", "A 9422-2023")</f>
        <v/>
      </c>
      <c r="X56">
        <f>HYPERLINK("https://klasma.github.io/Logging_0380/tillsyn/A 9422-2023 tillsynsbegäran.docx", "A 9422-2023")</f>
        <v/>
      </c>
      <c r="Y56">
        <f>HYPERLINK("https://klasma.github.io/Logging_0380/tillsynsmail/A 9422-2023 tillsynsbegäran mail.docx", "A 9422-2023")</f>
        <v/>
      </c>
    </row>
    <row r="57" ht="15" customHeight="1">
      <c r="A57" t="inlineStr">
        <is>
          <t>A 27625-2023</t>
        </is>
      </c>
      <c r="B57" s="1" t="n">
        <v>45097</v>
      </c>
      <c r="C57" s="1" t="n">
        <v>45834</v>
      </c>
      <c r="D57" t="inlineStr">
        <is>
          <t>UPPSALA LÄN</t>
        </is>
      </c>
      <c r="E57" t="inlineStr">
        <is>
          <t>UPPSALA</t>
        </is>
      </c>
      <c r="G57" t="n">
        <v>6</v>
      </c>
      <c r="H57" t="n">
        <v>4</v>
      </c>
      <c r="I57" t="n">
        <v>1</v>
      </c>
      <c r="J57" t="n">
        <v>1</v>
      </c>
      <c r="K57" t="n">
        <v>0</v>
      </c>
      <c r="L57" t="n">
        <v>0</v>
      </c>
      <c r="M57" t="n">
        <v>0</v>
      </c>
      <c r="N57" t="n">
        <v>0</v>
      </c>
      <c r="O57" t="n">
        <v>1</v>
      </c>
      <c r="P57" t="n">
        <v>0</v>
      </c>
      <c r="Q57" t="n">
        <v>5</v>
      </c>
      <c r="R57" s="2" t="inlineStr">
        <is>
          <t>Spillkråka
Fällmossa
Gröngöling
Skogsödla
Blåsippa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29803-2023</t>
        </is>
      </c>
      <c r="B58" s="1" t="n">
        <v>45107</v>
      </c>
      <c r="C58" s="1" t="n">
        <v>45834</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63181-2023</t>
        </is>
      </c>
      <c r="B59" s="1" t="n">
        <v>45273</v>
      </c>
      <c r="C59" s="1" t="n">
        <v>45834</v>
      </c>
      <c r="D59" t="inlineStr">
        <is>
          <t>UPPSALA LÄN</t>
        </is>
      </c>
      <c r="E59" t="inlineStr">
        <is>
          <t>UPPSALA</t>
        </is>
      </c>
      <c r="G59" t="n">
        <v>3.2</v>
      </c>
      <c r="H59" t="n">
        <v>0</v>
      </c>
      <c r="I59" t="n">
        <v>2</v>
      </c>
      <c r="J59" t="n">
        <v>3</v>
      </c>
      <c r="K59" t="n">
        <v>0</v>
      </c>
      <c r="L59" t="n">
        <v>0</v>
      </c>
      <c r="M59" t="n">
        <v>0</v>
      </c>
      <c r="N59" t="n">
        <v>0</v>
      </c>
      <c r="O59" t="n">
        <v>3</v>
      </c>
      <c r="P59" t="n">
        <v>0</v>
      </c>
      <c r="Q59" t="n">
        <v>5</v>
      </c>
      <c r="R59" s="2" t="inlineStr">
        <is>
          <t>Barrviolspindling
Harticka
Kungsspindling
Brandticka
Kamjordstjärna</t>
        </is>
      </c>
      <c r="S59">
        <f>HYPERLINK("https://klasma.github.io/Logging_0380/artfynd/A 63181-2023 artfynd.xlsx", "A 63181-2023")</f>
        <v/>
      </c>
      <c r="T59">
        <f>HYPERLINK("https://klasma.github.io/Logging_0380/kartor/A 63181-2023 karta.png", "A 63181-2023")</f>
        <v/>
      </c>
      <c r="V59">
        <f>HYPERLINK("https://klasma.github.io/Logging_0380/klagomål/A 63181-2023 FSC-klagomål.docx", "A 63181-2023")</f>
        <v/>
      </c>
      <c r="W59">
        <f>HYPERLINK("https://klasma.github.io/Logging_0380/klagomålsmail/A 63181-2023 FSC-klagomål mail.docx", "A 63181-2023")</f>
        <v/>
      </c>
      <c r="X59">
        <f>HYPERLINK("https://klasma.github.io/Logging_0380/tillsyn/A 63181-2023 tillsynsbegäran.docx", "A 63181-2023")</f>
        <v/>
      </c>
      <c r="Y59">
        <f>HYPERLINK("https://klasma.github.io/Logging_0380/tillsynsmail/A 63181-2023 tillsynsbegäran mail.docx", "A 63181-2023")</f>
        <v/>
      </c>
    </row>
    <row r="60" ht="15" customHeight="1">
      <c r="A60" t="inlineStr">
        <is>
          <t>A 3100-2024</t>
        </is>
      </c>
      <c r="B60" s="1" t="n">
        <v>45316</v>
      </c>
      <c r="C60" s="1" t="n">
        <v>45834</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46718-2024</t>
        </is>
      </c>
      <c r="B61" s="1" t="n">
        <v>45583</v>
      </c>
      <c r="C61" s="1" t="n">
        <v>45834</v>
      </c>
      <c r="D61" t="inlineStr">
        <is>
          <t>UPPSALA LÄN</t>
        </is>
      </c>
      <c r="E61" t="inlineStr">
        <is>
          <t>UPPSALA</t>
        </is>
      </c>
      <c r="F61" t="inlineStr">
        <is>
          <t>Sveaskog</t>
        </is>
      </c>
      <c r="G61" t="n">
        <v>3.1</v>
      </c>
      <c r="H61" t="n">
        <v>1</v>
      </c>
      <c r="I61" t="n">
        <v>3</v>
      </c>
      <c r="J61" t="n">
        <v>0</v>
      </c>
      <c r="K61" t="n">
        <v>1</v>
      </c>
      <c r="L61" t="n">
        <v>0</v>
      </c>
      <c r="M61" t="n">
        <v>0</v>
      </c>
      <c r="N61" t="n">
        <v>0</v>
      </c>
      <c r="O61" t="n">
        <v>1</v>
      </c>
      <c r="P61" t="n">
        <v>1</v>
      </c>
      <c r="Q61" t="n">
        <v>5</v>
      </c>
      <c r="R61" s="2" t="inlineStr">
        <is>
          <t>Rynkskinn
Fjällig taggsvamp s.str.
Skogshakmossa
Trådticka
Blåsippa</t>
        </is>
      </c>
      <c r="S61">
        <f>HYPERLINK("https://klasma.github.io/Logging_0380/artfynd/A 46718-2024 artfynd.xlsx", "A 46718-2024")</f>
        <v/>
      </c>
      <c r="T61">
        <f>HYPERLINK("https://klasma.github.io/Logging_0380/kartor/A 46718-2024 karta.png", "A 46718-2024")</f>
        <v/>
      </c>
      <c r="V61">
        <f>HYPERLINK("https://klasma.github.io/Logging_0380/klagomål/A 46718-2024 FSC-klagomål.docx", "A 46718-2024")</f>
        <v/>
      </c>
      <c r="W61">
        <f>HYPERLINK("https://klasma.github.io/Logging_0380/klagomålsmail/A 46718-2024 FSC-klagomål mail.docx", "A 46718-2024")</f>
        <v/>
      </c>
      <c r="X61">
        <f>HYPERLINK("https://klasma.github.io/Logging_0380/tillsyn/A 46718-2024 tillsynsbegäran.docx", "A 46718-2024")</f>
        <v/>
      </c>
      <c r="Y61">
        <f>HYPERLINK("https://klasma.github.io/Logging_0380/tillsynsmail/A 46718-2024 tillsynsbegäran mail.docx", "A 46718-2024")</f>
        <v/>
      </c>
    </row>
    <row r="62" ht="15" customHeight="1">
      <c r="A62" t="inlineStr">
        <is>
          <t>A 13546-2025</t>
        </is>
      </c>
      <c r="B62" s="1" t="n">
        <v>45736</v>
      </c>
      <c r="C62" s="1" t="n">
        <v>45834</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HYPERLINK("https://klasma.github.io/Logging_030380/artfynd/A 13546-2025 artfynd.xlsx", "A 13546-2025")</f>
        <v/>
      </c>
      <c r="T62">
        <f>HYPERLINK("https://klasma.github.io/Logging_030380/kartor/A 13546-2025 karta.png", "A 13546-2025")</f>
        <v/>
      </c>
      <c r="V62">
        <f>HYPERLINK("https://klasma.github.io/Logging_030380/klagomål/A 13546-2025 FSC-klagomål.docx", "A 13546-2025")</f>
        <v/>
      </c>
      <c r="W62">
        <f>HYPERLINK("https://klasma.github.io/Logging_030380/klagomålsmail/A 13546-2025 FSC-klagomål mail.docx", "A 13546-2025")</f>
        <v/>
      </c>
      <c r="X62">
        <f>HYPERLINK("https://klasma.github.io/Logging_030380/tillsyn/A 13546-2025 tillsynsbegäran.docx", "A 13546-2025")</f>
        <v/>
      </c>
      <c r="Y62">
        <f>HYPERLINK("https://klasma.github.io/Logging_030380/tillsynsmail/A 13546-2025 tillsynsbegäran mail.docx", "A 13546-2025")</f>
        <v/>
      </c>
    </row>
    <row r="63" ht="15" customHeight="1">
      <c r="A63" t="inlineStr">
        <is>
          <t>A 4116-2020</t>
        </is>
      </c>
      <c r="B63" s="1" t="n">
        <v>43857</v>
      </c>
      <c r="C63" s="1" t="n">
        <v>45834</v>
      </c>
      <c r="D63" t="inlineStr">
        <is>
          <t>UPPSALA LÄN</t>
        </is>
      </c>
      <c r="E63" t="inlineStr">
        <is>
          <t>UPPSALA</t>
        </is>
      </c>
      <c r="G63" t="n">
        <v>2.4</v>
      </c>
      <c r="H63" t="n">
        <v>1</v>
      </c>
      <c r="I63" t="n">
        <v>1</v>
      </c>
      <c r="J63" t="n">
        <v>1</v>
      </c>
      <c r="K63" t="n">
        <v>1</v>
      </c>
      <c r="L63" t="n">
        <v>0</v>
      </c>
      <c r="M63" t="n">
        <v>0</v>
      </c>
      <c r="N63" t="n">
        <v>0</v>
      </c>
      <c r="O63" t="n">
        <v>2</v>
      </c>
      <c r="P63" t="n">
        <v>1</v>
      </c>
      <c r="Q63" t="n">
        <v>4</v>
      </c>
      <c r="R63" s="2" t="inlineStr">
        <is>
          <t>Grangråticka
Svart taggsvamp
Fjällig taggsvamp s.str.
Blåsippa</t>
        </is>
      </c>
      <c r="S63">
        <f>HYPERLINK("https://klasma.github.io/Logging_0380/artfynd/A 4116-2020 artfynd.xlsx", "A 4116-2020")</f>
        <v/>
      </c>
      <c r="T63">
        <f>HYPERLINK("https://klasma.github.io/Logging_0380/kartor/A 4116-2020 karta.png", "A 4116-2020")</f>
        <v/>
      </c>
      <c r="V63">
        <f>HYPERLINK("https://klasma.github.io/Logging_0380/klagomål/A 4116-2020 FSC-klagomål.docx", "A 4116-2020")</f>
        <v/>
      </c>
      <c r="W63">
        <f>HYPERLINK("https://klasma.github.io/Logging_0380/klagomålsmail/A 4116-2020 FSC-klagomål mail.docx", "A 4116-2020")</f>
        <v/>
      </c>
      <c r="X63">
        <f>HYPERLINK("https://klasma.github.io/Logging_0380/tillsyn/A 4116-2020 tillsynsbegäran.docx", "A 4116-2020")</f>
        <v/>
      </c>
      <c r="Y63">
        <f>HYPERLINK("https://klasma.github.io/Logging_0380/tillsynsmail/A 4116-2020 tillsynsbegäran mail.docx", "A 4116-2020")</f>
        <v/>
      </c>
    </row>
    <row r="64" ht="15" customHeight="1">
      <c r="A64" t="inlineStr">
        <is>
          <t>A 25264-2020</t>
        </is>
      </c>
      <c r="B64" s="1" t="n">
        <v>43980</v>
      </c>
      <c r="C64" s="1" t="n">
        <v>45834</v>
      </c>
      <c r="D64" t="inlineStr">
        <is>
          <t>UPPSALA LÄN</t>
        </is>
      </c>
      <c r="E64" t="inlineStr">
        <is>
          <t>UPPSALA</t>
        </is>
      </c>
      <c r="G64" t="n">
        <v>2.8</v>
      </c>
      <c r="H64" t="n">
        <v>4</v>
      </c>
      <c r="I64" t="n">
        <v>0</v>
      </c>
      <c r="J64" t="n">
        <v>0</v>
      </c>
      <c r="K64" t="n">
        <v>1</v>
      </c>
      <c r="L64" t="n">
        <v>0</v>
      </c>
      <c r="M64" t="n">
        <v>0</v>
      </c>
      <c r="N64" t="n">
        <v>0</v>
      </c>
      <c r="O64" t="n">
        <v>1</v>
      </c>
      <c r="P64" t="n">
        <v>1</v>
      </c>
      <c r="Q64" t="n">
        <v>4</v>
      </c>
      <c r="R64" s="2" t="inlineStr">
        <is>
          <t>Knärot
Kopparödla
Fläcknycklar
Revlummer</t>
        </is>
      </c>
      <c r="S64">
        <f>HYPERLINK("https://klasma.github.io/Logging_0380/artfynd/A 25264-2020 artfynd.xlsx", "A 25264-2020")</f>
        <v/>
      </c>
      <c r="T64">
        <f>HYPERLINK("https://klasma.github.io/Logging_0380/kartor/A 25264-2020 karta.png", "A 25264-2020")</f>
        <v/>
      </c>
      <c r="U64">
        <f>HYPERLINK("https://klasma.github.io/Logging_0380/knärot/A 25264-2020 karta knärot.png", "A 25264-2020")</f>
        <v/>
      </c>
      <c r="V64">
        <f>HYPERLINK("https://klasma.github.io/Logging_0380/klagomål/A 25264-2020 FSC-klagomål.docx", "A 25264-2020")</f>
        <v/>
      </c>
      <c r="W64">
        <f>HYPERLINK("https://klasma.github.io/Logging_0380/klagomålsmail/A 25264-2020 FSC-klagomål mail.docx", "A 25264-2020")</f>
        <v/>
      </c>
      <c r="X64">
        <f>HYPERLINK("https://klasma.github.io/Logging_0380/tillsyn/A 25264-2020 tillsynsbegäran.docx", "A 25264-2020")</f>
        <v/>
      </c>
      <c r="Y64">
        <f>HYPERLINK("https://klasma.github.io/Logging_0380/tillsynsmail/A 25264-2020 tillsynsbegäran mail.docx", "A 25264-2020")</f>
        <v/>
      </c>
    </row>
    <row r="65" ht="15" customHeight="1">
      <c r="A65" t="inlineStr">
        <is>
          <t>A 37670-2020</t>
        </is>
      </c>
      <c r="B65" s="1" t="n">
        <v>44056</v>
      </c>
      <c r="C65" s="1" t="n">
        <v>45834</v>
      </c>
      <c r="D65" t="inlineStr">
        <is>
          <t>UPPSALA LÄN</t>
        </is>
      </c>
      <c r="E65" t="inlineStr">
        <is>
          <t>UPPSALA</t>
        </is>
      </c>
      <c r="F65" t="inlineStr">
        <is>
          <t>Allmännings- och besparingsskogar</t>
        </is>
      </c>
      <c r="G65" t="n">
        <v>56.8</v>
      </c>
      <c r="H65" t="n">
        <v>3</v>
      </c>
      <c r="I65" t="n">
        <v>2</v>
      </c>
      <c r="J65" t="n">
        <v>1</v>
      </c>
      <c r="K65" t="n">
        <v>1</v>
      </c>
      <c r="L65" t="n">
        <v>0</v>
      </c>
      <c r="M65" t="n">
        <v>0</v>
      </c>
      <c r="N65" t="n">
        <v>0</v>
      </c>
      <c r="O65" t="n">
        <v>2</v>
      </c>
      <c r="P65" t="n">
        <v>1</v>
      </c>
      <c r="Q65" t="n">
        <v>4</v>
      </c>
      <c r="R65" s="2" t="inlineStr">
        <is>
          <t>Knärot
Talltita
Grönpyrola
Plattlummer</t>
        </is>
      </c>
      <c r="S65">
        <f>HYPERLINK("https://klasma.github.io/Logging_0380/artfynd/A 37670-2020 artfynd.xlsx", "A 37670-2020")</f>
        <v/>
      </c>
      <c r="T65">
        <f>HYPERLINK("https://klasma.github.io/Logging_0380/kartor/A 37670-2020 karta.png", "A 37670-2020")</f>
        <v/>
      </c>
      <c r="U65">
        <f>HYPERLINK("https://klasma.github.io/Logging_0380/knärot/A 37670-2020 karta knärot.png", "A 37670-2020")</f>
        <v/>
      </c>
      <c r="V65">
        <f>HYPERLINK("https://klasma.github.io/Logging_0380/klagomål/A 37670-2020 FSC-klagomål.docx", "A 37670-2020")</f>
        <v/>
      </c>
      <c r="W65">
        <f>HYPERLINK("https://klasma.github.io/Logging_0380/klagomålsmail/A 37670-2020 FSC-klagomål mail.docx", "A 37670-2020")</f>
        <v/>
      </c>
      <c r="X65">
        <f>HYPERLINK("https://klasma.github.io/Logging_0380/tillsyn/A 37670-2020 tillsynsbegäran.docx", "A 37670-2020")</f>
        <v/>
      </c>
      <c r="Y65">
        <f>HYPERLINK("https://klasma.github.io/Logging_0380/tillsynsmail/A 37670-2020 tillsynsbegäran mail.docx", "A 37670-2020")</f>
        <v/>
      </c>
      <c r="Z65">
        <f>HYPERLINK("https://klasma.github.io/Logging_0380/fåglar/A 37670-2020 prioriterade fågelarter.docx", "A 37670-2020")</f>
        <v/>
      </c>
    </row>
    <row r="66" ht="15" customHeight="1">
      <c r="A66" t="inlineStr">
        <is>
          <t>A 51688-2021</t>
        </is>
      </c>
      <c r="B66" s="1" t="n">
        <v>44462</v>
      </c>
      <c r="C66" s="1" t="n">
        <v>45834</v>
      </c>
      <c r="D66" t="inlineStr">
        <is>
          <t>UPPSALA LÄN</t>
        </is>
      </c>
      <c r="E66" t="inlineStr">
        <is>
          <t>UPPSALA</t>
        </is>
      </c>
      <c r="F66" t="inlineStr">
        <is>
          <t>Allmännings- och besparingsskogar</t>
        </is>
      </c>
      <c r="G66" t="n">
        <v>9.9</v>
      </c>
      <c r="H66" t="n">
        <v>1</v>
      </c>
      <c r="I66" t="n">
        <v>1</v>
      </c>
      <c r="J66" t="n">
        <v>2</v>
      </c>
      <c r="K66" t="n">
        <v>1</v>
      </c>
      <c r="L66" t="n">
        <v>0</v>
      </c>
      <c r="M66" t="n">
        <v>0</v>
      </c>
      <c r="N66" t="n">
        <v>0</v>
      </c>
      <c r="O66" t="n">
        <v>3</v>
      </c>
      <c r="P66" t="n">
        <v>1</v>
      </c>
      <c r="Q66" t="n">
        <v>4</v>
      </c>
      <c r="R66" s="2" t="inlineStr">
        <is>
          <t>Knärot
Garnlav
Ullticka
Vedticka</t>
        </is>
      </c>
      <c r="S66">
        <f>HYPERLINK("https://klasma.github.io/Logging_0380/artfynd/A 51688-2021 artfynd.xlsx", "A 51688-2021")</f>
        <v/>
      </c>
      <c r="T66">
        <f>HYPERLINK("https://klasma.github.io/Logging_0380/kartor/A 51688-2021 karta.png", "A 51688-2021")</f>
        <v/>
      </c>
      <c r="U66">
        <f>HYPERLINK("https://klasma.github.io/Logging_0380/knärot/A 51688-2021 karta knärot.png", "A 51688-2021")</f>
        <v/>
      </c>
      <c r="V66">
        <f>HYPERLINK("https://klasma.github.io/Logging_0380/klagomål/A 51688-2021 FSC-klagomål.docx", "A 51688-2021")</f>
        <v/>
      </c>
      <c r="W66">
        <f>HYPERLINK("https://klasma.github.io/Logging_0380/klagomålsmail/A 51688-2021 FSC-klagomål mail.docx", "A 51688-2021")</f>
        <v/>
      </c>
      <c r="X66">
        <f>HYPERLINK("https://klasma.github.io/Logging_0380/tillsyn/A 51688-2021 tillsynsbegäran.docx", "A 51688-2021")</f>
        <v/>
      </c>
      <c r="Y66">
        <f>HYPERLINK("https://klasma.github.io/Logging_0380/tillsynsmail/A 51688-2021 tillsynsbegäran mail.docx", "A 51688-2021")</f>
        <v/>
      </c>
    </row>
    <row r="67" ht="15" customHeight="1">
      <c r="A67" t="inlineStr">
        <is>
          <t>A 15297-2022</t>
        </is>
      </c>
      <c r="B67" s="1" t="n">
        <v>44659</v>
      </c>
      <c r="C67" s="1" t="n">
        <v>45834</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15956-2022</t>
        </is>
      </c>
      <c r="B68" s="1" t="n">
        <v>44664</v>
      </c>
      <c r="C68" s="1" t="n">
        <v>45834</v>
      </c>
      <c r="D68" t="inlineStr">
        <is>
          <t>UPPSALA LÄN</t>
        </is>
      </c>
      <c r="E68" t="inlineStr">
        <is>
          <t>UPPSALA</t>
        </is>
      </c>
      <c r="G68" t="n">
        <v>0.8</v>
      </c>
      <c r="H68" t="n">
        <v>0</v>
      </c>
      <c r="I68" t="n">
        <v>1</v>
      </c>
      <c r="J68" t="n">
        <v>2</v>
      </c>
      <c r="K68" t="n">
        <v>1</v>
      </c>
      <c r="L68" t="n">
        <v>0</v>
      </c>
      <c r="M68" t="n">
        <v>0</v>
      </c>
      <c r="N68" t="n">
        <v>0</v>
      </c>
      <c r="O68" t="n">
        <v>3</v>
      </c>
      <c r="P68" t="n">
        <v>1</v>
      </c>
      <c r="Q68" t="n">
        <v>4</v>
      </c>
      <c r="R68" s="2" t="inlineStr">
        <is>
          <t>Koppartaggsvamp
Orange taggsvamp
Svart taggsvamp
Mandelriska</t>
        </is>
      </c>
      <c r="S68">
        <f>HYPERLINK("https://klasma.github.io/Logging_0380/artfynd/A 15956-2022 artfynd.xlsx", "A 15956-2022")</f>
        <v/>
      </c>
      <c r="T68">
        <f>HYPERLINK("https://klasma.github.io/Logging_0380/kartor/A 15956-2022 karta.png", "A 15956-2022")</f>
        <v/>
      </c>
      <c r="V68">
        <f>HYPERLINK("https://klasma.github.io/Logging_0380/klagomål/A 15956-2022 FSC-klagomål.docx", "A 15956-2022")</f>
        <v/>
      </c>
      <c r="W68">
        <f>HYPERLINK("https://klasma.github.io/Logging_0380/klagomålsmail/A 15956-2022 FSC-klagomål mail.docx", "A 15956-2022")</f>
        <v/>
      </c>
      <c r="X68">
        <f>HYPERLINK("https://klasma.github.io/Logging_0380/tillsyn/A 15956-2022 tillsynsbegäran.docx", "A 15956-2022")</f>
        <v/>
      </c>
      <c r="Y68">
        <f>HYPERLINK("https://klasma.github.io/Logging_0380/tillsynsmail/A 15956-2022 tillsynsbegäran mail.docx", "A 15956-2022")</f>
        <v/>
      </c>
    </row>
    <row r="69" ht="15" customHeight="1">
      <c r="A69" t="inlineStr">
        <is>
          <t>A 23153-2022</t>
        </is>
      </c>
      <c r="B69" s="1" t="n">
        <v>44719</v>
      </c>
      <c r="C69" s="1" t="n">
        <v>45834</v>
      </c>
      <c r="D69" t="inlineStr">
        <is>
          <t>UPPSALA LÄN</t>
        </is>
      </c>
      <c r="E69" t="inlineStr">
        <is>
          <t>UPPSALA</t>
        </is>
      </c>
      <c r="G69" t="n">
        <v>5.4</v>
      </c>
      <c r="H69" t="n">
        <v>0</v>
      </c>
      <c r="I69" t="n">
        <v>3</v>
      </c>
      <c r="J69" t="n">
        <v>1</v>
      </c>
      <c r="K69" t="n">
        <v>0</v>
      </c>
      <c r="L69" t="n">
        <v>0</v>
      </c>
      <c r="M69" t="n">
        <v>0</v>
      </c>
      <c r="N69" t="n">
        <v>0</v>
      </c>
      <c r="O69" t="n">
        <v>1</v>
      </c>
      <c r="P69" t="n">
        <v>0</v>
      </c>
      <c r="Q69" t="n">
        <v>4</v>
      </c>
      <c r="R69" s="2" t="inlineStr">
        <is>
          <t>Större flatbagge
Bronshjon
Thomsons trägnagare
Trådticka</t>
        </is>
      </c>
      <c r="S69">
        <f>HYPERLINK("https://klasma.github.io/Logging_0380/artfynd/A 23153-2022 artfynd.xlsx", "A 23153-2022")</f>
        <v/>
      </c>
      <c r="T69">
        <f>HYPERLINK("https://klasma.github.io/Logging_0380/kartor/A 23153-2022 karta.png", "A 23153-2022")</f>
        <v/>
      </c>
      <c r="V69">
        <f>HYPERLINK("https://klasma.github.io/Logging_0380/klagomål/A 23153-2022 FSC-klagomål.docx", "A 23153-2022")</f>
        <v/>
      </c>
      <c r="W69">
        <f>HYPERLINK("https://klasma.github.io/Logging_0380/klagomålsmail/A 23153-2022 FSC-klagomål mail.docx", "A 23153-2022")</f>
        <v/>
      </c>
      <c r="X69">
        <f>HYPERLINK("https://klasma.github.io/Logging_0380/tillsyn/A 23153-2022 tillsynsbegäran.docx", "A 23153-2022")</f>
        <v/>
      </c>
      <c r="Y69">
        <f>HYPERLINK("https://klasma.github.io/Logging_0380/tillsynsmail/A 23153-2022 tillsynsbegäran mail.docx", "A 23153-2022")</f>
        <v/>
      </c>
    </row>
    <row r="70" ht="15" customHeight="1">
      <c r="A70" t="inlineStr">
        <is>
          <t>A 26758-2022</t>
        </is>
      </c>
      <c r="B70" s="1" t="n">
        <v>44740</v>
      </c>
      <c r="C70" s="1" t="n">
        <v>45834</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45834</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Leptoporus erubescens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13210-2023</t>
        </is>
      </c>
      <c r="B72" s="1" t="n">
        <v>45002</v>
      </c>
      <c r="C72" s="1" t="n">
        <v>45834</v>
      </c>
      <c r="D72" t="inlineStr">
        <is>
          <t>UPPSALA LÄN</t>
        </is>
      </c>
      <c r="E72" t="inlineStr">
        <is>
          <t>UPPSALA</t>
        </is>
      </c>
      <c r="F72" t="inlineStr">
        <is>
          <t>Holmen skog AB</t>
        </is>
      </c>
      <c r="G72" t="n">
        <v>6.5</v>
      </c>
      <c r="H72" t="n">
        <v>2</v>
      </c>
      <c r="I72" t="n">
        <v>2</v>
      </c>
      <c r="J72" t="n">
        <v>0</v>
      </c>
      <c r="K72" t="n">
        <v>1</v>
      </c>
      <c r="L72" t="n">
        <v>0</v>
      </c>
      <c r="M72" t="n">
        <v>0</v>
      </c>
      <c r="N72" t="n">
        <v>0</v>
      </c>
      <c r="O72" t="n">
        <v>1</v>
      </c>
      <c r="P72" t="n">
        <v>1</v>
      </c>
      <c r="Q72" t="n">
        <v>4</v>
      </c>
      <c r="R72" s="2" t="inlineStr">
        <is>
          <t>Knärot
Bronshjon
Vanlig rörsvepemossa
Blåsippa</t>
        </is>
      </c>
      <c r="S72">
        <f>HYPERLINK("https://klasma.github.io/Logging_0380/artfynd/A 13210-2023 artfynd.xlsx", "A 13210-2023")</f>
        <v/>
      </c>
      <c r="T72">
        <f>HYPERLINK("https://klasma.github.io/Logging_0380/kartor/A 13210-2023 karta.png", "A 13210-2023")</f>
        <v/>
      </c>
      <c r="U72">
        <f>HYPERLINK("https://klasma.github.io/Logging_0380/knärot/A 13210-2023 karta knärot.png", "A 13210-2023")</f>
        <v/>
      </c>
      <c r="V72">
        <f>HYPERLINK("https://klasma.github.io/Logging_0380/klagomål/A 13210-2023 FSC-klagomål.docx", "A 13210-2023")</f>
        <v/>
      </c>
      <c r="W72">
        <f>HYPERLINK("https://klasma.github.io/Logging_0380/klagomålsmail/A 13210-2023 FSC-klagomål mail.docx", "A 13210-2023")</f>
        <v/>
      </c>
      <c r="X72">
        <f>HYPERLINK("https://klasma.github.io/Logging_0380/tillsyn/A 13210-2023 tillsynsbegäran.docx", "A 13210-2023")</f>
        <v/>
      </c>
      <c r="Y72">
        <f>HYPERLINK("https://klasma.github.io/Logging_0380/tillsynsmail/A 13210-2023 tillsynsbegäran mail.docx", "A 13210-2023")</f>
        <v/>
      </c>
    </row>
    <row r="73" ht="15" customHeight="1">
      <c r="A73" t="inlineStr">
        <is>
          <t>A 16456-2023</t>
        </is>
      </c>
      <c r="B73" s="1" t="n">
        <v>45026</v>
      </c>
      <c r="C73" s="1" t="n">
        <v>45834</v>
      </c>
      <c r="D73" t="inlineStr">
        <is>
          <t>UPPSALA LÄN</t>
        </is>
      </c>
      <c r="E73" t="inlineStr">
        <is>
          <t>UPPSALA</t>
        </is>
      </c>
      <c r="G73" t="n">
        <v>6.5</v>
      </c>
      <c r="H73" t="n">
        <v>3</v>
      </c>
      <c r="I73" t="n">
        <v>1</v>
      </c>
      <c r="J73" t="n">
        <v>2</v>
      </c>
      <c r="K73" t="n">
        <v>0</v>
      </c>
      <c r="L73" t="n">
        <v>0</v>
      </c>
      <c r="M73" t="n">
        <v>0</v>
      </c>
      <c r="N73" t="n">
        <v>0</v>
      </c>
      <c r="O73" t="n">
        <v>2</v>
      </c>
      <c r="P73" t="n">
        <v>0</v>
      </c>
      <c r="Q73" t="n">
        <v>4</v>
      </c>
      <c r="R73" s="2" t="inlineStr">
        <is>
          <t>Entita
Rödvingetrast
Björksplintborre
Skogsduva</t>
        </is>
      </c>
      <c r="S73">
        <f>HYPERLINK("https://klasma.github.io/Logging_0380/artfynd/A 16456-2023 artfynd.xlsx", "A 16456-2023")</f>
        <v/>
      </c>
      <c r="T73">
        <f>HYPERLINK("https://klasma.github.io/Logging_0380/kartor/A 16456-2023 karta.png", "A 16456-2023")</f>
        <v/>
      </c>
      <c r="V73">
        <f>HYPERLINK("https://klasma.github.io/Logging_0380/klagomål/A 16456-2023 FSC-klagomål.docx", "A 16456-2023")</f>
        <v/>
      </c>
      <c r="W73">
        <f>HYPERLINK("https://klasma.github.io/Logging_0380/klagomålsmail/A 16456-2023 FSC-klagomål mail.docx", "A 16456-2023")</f>
        <v/>
      </c>
      <c r="X73">
        <f>HYPERLINK("https://klasma.github.io/Logging_0380/tillsyn/A 16456-2023 tillsynsbegäran.docx", "A 16456-2023")</f>
        <v/>
      </c>
      <c r="Y73">
        <f>HYPERLINK("https://klasma.github.io/Logging_0380/tillsynsmail/A 16456-2023 tillsynsbegäran mail.docx", "A 16456-2023")</f>
        <v/>
      </c>
      <c r="Z73">
        <f>HYPERLINK("https://klasma.github.io/Logging_0380/fåglar/A 16456-2023 prioriterade fågelarter.docx", "A 16456-2023")</f>
        <v/>
      </c>
    </row>
    <row r="74" ht="15" customHeight="1">
      <c r="A74" t="inlineStr">
        <is>
          <t>A 19329-2023</t>
        </is>
      </c>
      <c r="B74" s="1" t="n">
        <v>45049</v>
      </c>
      <c r="C74" s="1" t="n">
        <v>45834</v>
      </c>
      <c r="D74" t="inlineStr">
        <is>
          <t>UPPSALA LÄN</t>
        </is>
      </c>
      <c r="E74" t="inlineStr">
        <is>
          <t>UPPSALA</t>
        </is>
      </c>
      <c r="G74" t="n">
        <v>10</v>
      </c>
      <c r="H74" t="n">
        <v>0</v>
      </c>
      <c r="I74" t="n">
        <v>3</v>
      </c>
      <c r="J74" t="n">
        <v>1</v>
      </c>
      <c r="K74" t="n">
        <v>0</v>
      </c>
      <c r="L74" t="n">
        <v>0</v>
      </c>
      <c r="M74" t="n">
        <v>0</v>
      </c>
      <c r="N74" t="n">
        <v>0</v>
      </c>
      <c r="O74" t="n">
        <v>1</v>
      </c>
      <c r="P74" t="n">
        <v>0</v>
      </c>
      <c r="Q74" t="n">
        <v>4</v>
      </c>
      <c r="R74" s="2" t="inlineStr">
        <is>
          <t>Erastia ochraceolateritia
Blodticka
Fjällig taggsvamp s.str.
Svavelriska</t>
        </is>
      </c>
      <c r="S74">
        <f>HYPERLINK("https://klasma.github.io/Logging_0380/artfynd/A 19329-2023 artfynd.xlsx", "A 19329-2023")</f>
        <v/>
      </c>
      <c r="T74">
        <f>HYPERLINK("https://klasma.github.io/Logging_0380/kartor/A 19329-2023 karta.png", "A 19329-2023")</f>
        <v/>
      </c>
      <c r="V74">
        <f>HYPERLINK("https://klasma.github.io/Logging_0380/klagomål/A 19329-2023 FSC-klagomål.docx", "A 19329-2023")</f>
        <v/>
      </c>
      <c r="W74">
        <f>HYPERLINK("https://klasma.github.io/Logging_0380/klagomålsmail/A 19329-2023 FSC-klagomål mail.docx", "A 19329-2023")</f>
        <v/>
      </c>
      <c r="X74">
        <f>HYPERLINK("https://klasma.github.io/Logging_0380/tillsyn/A 19329-2023 tillsynsbegäran.docx", "A 19329-2023")</f>
        <v/>
      </c>
      <c r="Y74">
        <f>HYPERLINK("https://klasma.github.io/Logging_0380/tillsynsmail/A 19329-2023 tillsynsbegäran mail.docx", "A 19329-2023")</f>
        <v/>
      </c>
    </row>
    <row r="75" ht="15" customHeight="1">
      <c r="A75" t="inlineStr">
        <is>
          <t>A 11217-2024</t>
        </is>
      </c>
      <c r="B75" s="1" t="n">
        <v>45371</v>
      </c>
      <c r="C75" s="1" t="n">
        <v>45834</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21809-2024</t>
        </is>
      </c>
      <c r="B76" s="1" t="n">
        <v>45442</v>
      </c>
      <c r="C76" s="1" t="n">
        <v>45834</v>
      </c>
      <c r="D76" t="inlineStr">
        <is>
          <t>UPPSALA LÄN</t>
        </is>
      </c>
      <c r="E76" t="inlineStr">
        <is>
          <t>UPPSALA</t>
        </is>
      </c>
      <c r="F76" t="inlineStr">
        <is>
          <t>Övriga statliga verk och myndigheter</t>
        </is>
      </c>
      <c r="G76" t="n">
        <v>6.6</v>
      </c>
      <c r="H76" t="n">
        <v>3</v>
      </c>
      <c r="I76" t="n">
        <v>1</v>
      </c>
      <c r="J76" t="n">
        <v>1</v>
      </c>
      <c r="K76" t="n">
        <v>0</v>
      </c>
      <c r="L76" t="n">
        <v>0</v>
      </c>
      <c r="M76" t="n">
        <v>0</v>
      </c>
      <c r="N76" t="n">
        <v>0</v>
      </c>
      <c r="O76" t="n">
        <v>1</v>
      </c>
      <c r="P76" t="n">
        <v>0</v>
      </c>
      <c r="Q76" t="n">
        <v>4</v>
      </c>
      <c r="R76" s="2" t="inlineStr">
        <is>
          <t>Nordfladdermus
Vågbandad barkbock
Dvärgpipistrell
Blåsippa</t>
        </is>
      </c>
      <c r="S76">
        <f>HYPERLINK("https://klasma.github.io/Logging_0380/artfynd/A 21809-2024 artfynd.xlsx", "A 21809-2024")</f>
        <v/>
      </c>
      <c r="T76">
        <f>HYPERLINK("https://klasma.github.io/Logging_0380/kartor/A 21809-2024 karta.png", "A 21809-2024")</f>
        <v/>
      </c>
      <c r="V76">
        <f>HYPERLINK("https://klasma.github.io/Logging_0380/klagomål/A 21809-2024 FSC-klagomål.docx", "A 21809-2024")</f>
        <v/>
      </c>
      <c r="W76">
        <f>HYPERLINK("https://klasma.github.io/Logging_0380/klagomålsmail/A 21809-2024 FSC-klagomål mail.docx", "A 21809-2024")</f>
        <v/>
      </c>
      <c r="X76">
        <f>HYPERLINK("https://klasma.github.io/Logging_0380/tillsyn/A 21809-2024 tillsynsbegäran.docx", "A 21809-2024")</f>
        <v/>
      </c>
      <c r="Y76">
        <f>HYPERLINK("https://klasma.github.io/Logging_0380/tillsynsmail/A 21809-2024 tillsynsbegäran mail.docx", "A 21809-2024")</f>
        <v/>
      </c>
    </row>
    <row r="77" ht="15" customHeight="1">
      <c r="A77" t="inlineStr">
        <is>
          <t>A 23691-2024</t>
        </is>
      </c>
      <c r="B77" s="1" t="n">
        <v>45454</v>
      </c>
      <c r="C77" s="1" t="n">
        <v>45834</v>
      </c>
      <c r="D77" t="inlineStr">
        <is>
          <t>UPPSALA LÄN</t>
        </is>
      </c>
      <c r="E77" t="inlineStr">
        <is>
          <t>UPPSALA</t>
        </is>
      </c>
      <c r="F77" t="inlineStr">
        <is>
          <t>Holmen skog AB</t>
        </is>
      </c>
      <c r="G77" t="n">
        <v>2.2</v>
      </c>
      <c r="H77" t="n">
        <v>0</v>
      </c>
      <c r="I77" t="n">
        <v>1</v>
      </c>
      <c r="J77" t="n">
        <v>3</v>
      </c>
      <c r="K77" t="n">
        <v>0</v>
      </c>
      <c r="L77" t="n">
        <v>0</v>
      </c>
      <c r="M77" t="n">
        <v>0</v>
      </c>
      <c r="N77" t="n">
        <v>0</v>
      </c>
      <c r="O77" t="n">
        <v>3</v>
      </c>
      <c r="P77" t="n">
        <v>0</v>
      </c>
      <c r="Q77" t="n">
        <v>4</v>
      </c>
      <c r="R77" s="2" t="inlineStr">
        <is>
          <t>Ekticka
Lunglav
Skuggorangelav
Gulpudrad spiklav</t>
        </is>
      </c>
      <c r="S77">
        <f>HYPERLINK("https://klasma.github.io/Logging_0380/artfynd/A 23691-2024 artfynd.xlsx", "A 23691-2024")</f>
        <v/>
      </c>
      <c r="T77">
        <f>HYPERLINK("https://klasma.github.io/Logging_0380/kartor/A 23691-2024 karta.png", "A 23691-2024")</f>
        <v/>
      </c>
      <c r="V77">
        <f>HYPERLINK("https://klasma.github.io/Logging_0380/klagomål/A 23691-2024 FSC-klagomål.docx", "A 23691-2024")</f>
        <v/>
      </c>
      <c r="W77">
        <f>HYPERLINK("https://klasma.github.io/Logging_0380/klagomålsmail/A 23691-2024 FSC-klagomål mail.docx", "A 23691-2024")</f>
        <v/>
      </c>
      <c r="X77">
        <f>HYPERLINK("https://klasma.github.io/Logging_0380/tillsyn/A 23691-2024 tillsynsbegäran.docx", "A 23691-2024")</f>
        <v/>
      </c>
      <c r="Y77">
        <f>HYPERLINK("https://klasma.github.io/Logging_0380/tillsynsmail/A 23691-2024 tillsynsbegäran mail.docx", "A 23691-2024")</f>
        <v/>
      </c>
    </row>
    <row r="78" ht="15" customHeight="1">
      <c r="A78" t="inlineStr">
        <is>
          <t>A 23807-2024</t>
        </is>
      </c>
      <c r="B78" s="1" t="n">
        <v>45455</v>
      </c>
      <c r="C78" s="1" t="n">
        <v>45834</v>
      </c>
      <c r="D78" t="inlineStr">
        <is>
          <t>UPPSALA LÄN</t>
        </is>
      </c>
      <c r="E78" t="inlineStr">
        <is>
          <t>UPPSALA</t>
        </is>
      </c>
      <c r="F78" t="inlineStr">
        <is>
          <t>Holmen skog AB</t>
        </is>
      </c>
      <c r="G78" t="n">
        <v>8.800000000000001</v>
      </c>
      <c r="H78" t="n">
        <v>2</v>
      </c>
      <c r="I78" t="n">
        <v>2</v>
      </c>
      <c r="J78" t="n">
        <v>0</v>
      </c>
      <c r="K78" t="n">
        <v>0</v>
      </c>
      <c r="L78" t="n">
        <v>0</v>
      </c>
      <c r="M78" t="n">
        <v>0</v>
      </c>
      <c r="N78" t="n">
        <v>0</v>
      </c>
      <c r="O78" t="n">
        <v>0</v>
      </c>
      <c r="P78" t="n">
        <v>0</v>
      </c>
      <c r="Q78" t="n">
        <v>4</v>
      </c>
      <c r="R78" s="2" t="inlineStr">
        <is>
          <t>Sotlav
Underviol
Blåsippa
Gullviva</t>
        </is>
      </c>
      <c r="S78">
        <f>HYPERLINK("https://klasma.github.io/Logging_0380/artfynd/A 23807-2024 artfynd.xlsx", "A 23807-2024")</f>
        <v/>
      </c>
      <c r="T78">
        <f>HYPERLINK("https://klasma.github.io/Logging_0380/kartor/A 23807-2024 karta.png", "A 23807-2024")</f>
        <v/>
      </c>
      <c r="V78">
        <f>HYPERLINK("https://klasma.github.io/Logging_0380/klagomål/A 23807-2024 FSC-klagomål.docx", "A 23807-2024")</f>
        <v/>
      </c>
      <c r="W78">
        <f>HYPERLINK("https://klasma.github.io/Logging_0380/klagomålsmail/A 23807-2024 FSC-klagomål mail.docx", "A 23807-2024")</f>
        <v/>
      </c>
      <c r="X78">
        <f>HYPERLINK("https://klasma.github.io/Logging_0380/tillsyn/A 23807-2024 tillsynsbegäran.docx", "A 23807-2024")</f>
        <v/>
      </c>
      <c r="Y78">
        <f>HYPERLINK("https://klasma.github.io/Logging_0380/tillsynsmail/A 23807-2024 tillsynsbegäran mail.docx", "A 23807-2024")</f>
        <v/>
      </c>
    </row>
    <row r="79" ht="15" customHeight="1">
      <c r="A79" t="inlineStr">
        <is>
          <t>A 13594-2025</t>
        </is>
      </c>
      <c r="B79" s="1" t="n">
        <v>45736</v>
      </c>
      <c r="C79" s="1" t="n">
        <v>45834</v>
      </c>
      <c r="D79" t="inlineStr">
        <is>
          <t>UPPSALA LÄN</t>
        </is>
      </c>
      <c r="E79" t="inlineStr">
        <is>
          <t>UPPSALA</t>
        </is>
      </c>
      <c r="F79" t="inlineStr">
        <is>
          <t>Allmännings- och besparingsskogar</t>
        </is>
      </c>
      <c r="G79" t="n">
        <v>11.2</v>
      </c>
      <c r="H79" t="n">
        <v>3</v>
      </c>
      <c r="I79" t="n">
        <v>1</v>
      </c>
      <c r="J79" t="n">
        <v>2</v>
      </c>
      <c r="K79" t="n">
        <v>1</v>
      </c>
      <c r="L79" t="n">
        <v>0</v>
      </c>
      <c r="M79" t="n">
        <v>0</v>
      </c>
      <c r="N79" t="n">
        <v>0</v>
      </c>
      <c r="O79" t="n">
        <v>3</v>
      </c>
      <c r="P79" t="n">
        <v>1</v>
      </c>
      <c r="Q79" t="n">
        <v>4</v>
      </c>
      <c r="R79" s="2" t="inlineStr">
        <is>
          <t>Knärot
Talltita
Vedtrappmossa
Grön sköldmossa</t>
        </is>
      </c>
      <c r="S79">
        <f>HYPERLINK("https://klasma.github.io/Logging_030380/artfynd/A 13594-2025 artfynd.xlsx", "A 13594-2025")</f>
        <v/>
      </c>
      <c r="T79">
        <f>HYPERLINK("https://klasma.github.io/Logging_030380/kartor/A 13594-2025 karta.png", "A 13594-2025")</f>
        <v/>
      </c>
      <c r="U79">
        <f>HYPERLINK("https://klasma.github.io/Logging_030380/knärot/A 13594-2025 karta knärot.png", "A 13594-2025")</f>
        <v/>
      </c>
      <c r="V79">
        <f>HYPERLINK("https://klasma.github.io/Logging_030380/klagomål/A 13594-2025 FSC-klagomål.docx", "A 13594-2025")</f>
        <v/>
      </c>
      <c r="W79">
        <f>HYPERLINK("https://klasma.github.io/Logging_030380/klagomålsmail/A 13594-2025 FSC-klagomål mail.docx", "A 13594-2025")</f>
        <v/>
      </c>
      <c r="X79">
        <f>HYPERLINK("https://klasma.github.io/Logging_030380/tillsyn/A 13594-2025 tillsynsbegäran.docx", "A 13594-2025")</f>
        <v/>
      </c>
      <c r="Y79">
        <f>HYPERLINK("https://klasma.github.io/Logging_030380/tillsynsmail/A 13594-2025 tillsynsbegäran mail.docx", "A 13594-2025")</f>
        <v/>
      </c>
      <c r="Z79">
        <f>HYPERLINK("https://klasma.github.io/Logging_030380/fåglar/A 13594-2025 prioriterade fågelarter.docx", "A 13594-2025")</f>
        <v/>
      </c>
    </row>
    <row r="80" ht="15" customHeight="1">
      <c r="A80" t="inlineStr">
        <is>
          <t>A 36346-2019</t>
        </is>
      </c>
      <c r="B80" s="1" t="n">
        <v>43661</v>
      </c>
      <c r="C80" s="1" t="n">
        <v>45834</v>
      </c>
      <c r="D80" t="inlineStr">
        <is>
          <t>UPPSALA LÄN</t>
        </is>
      </c>
      <c r="E80" t="inlineStr">
        <is>
          <t>UPPSALA</t>
        </is>
      </c>
      <c r="G80" t="n">
        <v>15.8</v>
      </c>
      <c r="H80" t="n">
        <v>2</v>
      </c>
      <c r="I80" t="n">
        <v>0</v>
      </c>
      <c r="J80" t="n">
        <v>3</v>
      </c>
      <c r="K80" t="n">
        <v>0</v>
      </c>
      <c r="L80" t="n">
        <v>0</v>
      </c>
      <c r="M80" t="n">
        <v>0</v>
      </c>
      <c r="N80" t="n">
        <v>0</v>
      </c>
      <c r="O80" t="n">
        <v>3</v>
      </c>
      <c r="P80" t="n">
        <v>0</v>
      </c>
      <c r="Q80" t="n">
        <v>3</v>
      </c>
      <c r="R80" s="2" t="inlineStr">
        <is>
          <t>Gulsparv
Rosenticka
Svartvit flugsnappare</t>
        </is>
      </c>
      <c r="S80">
        <f>HYPERLINK("https://klasma.github.io/Logging_0380/artfynd/A 36346-2019 artfynd.xlsx", "A 36346-2019")</f>
        <v/>
      </c>
      <c r="T80">
        <f>HYPERLINK("https://klasma.github.io/Logging_0380/kartor/A 36346-2019 karta.png", "A 36346-2019")</f>
        <v/>
      </c>
      <c r="V80">
        <f>HYPERLINK("https://klasma.github.io/Logging_0380/klagomål/A 36346-2019 FSC-klagomål.docx", "A 36346-2019")</f>
        <v/>
      </c>
      <c r="W80">
        <f>HYPERLINK("https://klasma.github.io/Logging_0380/klagomålsmail/A 36346-2019 FSC-klagomål mail.docx", "A 36346-2019")</f>
        <v/>
      </c>
      <c r="X80">
        <f>HYPERLINK("https://klasma.github.io/Logging_0380/tillsyn/A 36346-2019 tillsynsbegäran.docx", "A 36346-2019")</f>
        <v/>
      </c>
      <c r="Y80">
        <f>HYPERLINK("https://klasma.github.io/Logging_0380/tillsynsmail/A 36346-2019 tillsynsbegäran mail.docx", "A 36346-2019")</f>
        <v/>
      </c>
      <c r="Z80">
        <f>HYPERLINK("https://klasma.github.io/Logging_0380/fåglar/A 36346-2019 prioriterade fågelarter.docx", "A 36346-2019")</f>
        <v/>
      </c>
    </row>
    <row r="81" ht="15" customHeight="1">
      <c r="A81" t="inlineStr">
        <is>
          <t>A 49258-2019</t>
        </is>
      </c>
      <c r="B81" s="1" t="n">
        <v>43731</v>
      </c>
      <c r="C81" s="1" t="n">
        <v>45834</v>
      </c>
      <c r="D81" t="inlineStr">
        <is>
          <t>UPPSALA LÄN</t>
        </is>
      </c>
      <c r="E81" t="inlineStr">
        <is>
          <t>UPPSALA</t>
        </is>
      </c>
      <c r="G81" t="n">
        <v>0.9</v>
      </c>
      <c r="H81" t="n">
        <v>0</v>
      </c>
      <c r="I81" t="n">
        <v>0</v>
      </c>
      <c r="J81" t="n">
        <v>1</v>
      </c>
      <c r="K81" t="n">
        <v>2</v>
      </c>
      <c r="L81" t="n">
        <v>0</v>
      </c>
      <c r="M81" t="n">
        <v>0</v>
      </c>
      <c r="N81" t="n">
        <v>0</v>
      </c>
      <c r="O81" t="n">
        <v>3</v>
      </c>
      <c r="P81" t="n">
        <v>2</v>
      </c>
      <c r="Q81" t="n">
        <v>3</v>
      </c>
      <c r="R81" s="2" t="inlineStr">
        <is>
          <t>Liten blekspik
Ostticka
Vedtrappmossa</t>
        </is>
      </c>
      <c r="S81">
        <f>HYPERLINK("https://klasma.github.io/Logging_0380/artfynd/A 49258-2019 artfynd.xlsx", "A 49258-2019")</f>
        <v/>
      </c>
      <c r="T81">
        <f>HYPERLINK("https://klasma.github.io/Logging_0380/kartor/A 49258-2019 karta.png", "A 49258-2019")</f>
        <v/>
      </c>
      <c r="V81">
        <f>HYPERLINK("https://klasma.github.io/Logging_0380/klagomål/A 49258-2019 FSC-klagomål.docx", "A 49258-2019")</f>
        <v/>
      </c>
      <c r="W81">
        <f>HYPERLINK("https://klasma.github.io/Logging_0380/klagomålsmail/A 49258-2019 FSC-klagomål mail.docx", "A 49258-2019")</f>
        <v/>
      </c>
      <c r="X81">
        <f>HYPERLINK("https://klasma.github.io/Logging_0380/tillsyn/A 49258-2019 tillsynsbegäran.docx", "A 49258-2019")</f>
        <v/>
      </c>
      <c r="Y81">
        <f>HYPERLINK("https://klasma.github.io/Logging_0380/tillsynsmail/A 49258-2019 tillsynsbegäran mail.docx", "A 49258-2019")</f>
        <v/>
      </c>
    </row>
    <row r="82" ht="15" customHeight="1">
      <c r="A82" t="inlineStr">
        <is>
          <t>A 63909-2019</t>
        </is>
      </c>
      <c r="B82" s="1" t="n">
        <v>43796</v>
      </c>
      <c r="C82" s="1" t="n">
        <v>45834</v>
      </c>
      <c r="D82" t="inlineStr">
        <is>
          <t>UPPSALA LÄN</t>
        </is>
      </c>
      <c r="E82" t="inlineStr">
        <is>
          <t>UPPSALA</t>
        </is>
      </c>
      <c r="F82" t="inlineStr">
        <is>
          <t>Holmen skog AB</t>
        </is>
      </c>
      <c r="G82" t="n">
        <v>3.8</v>
      </c>
      <c r="H82" t="n">
        <v>0</v>
      </c>
      <c r="I82" t="n">
        <v>0</v>
      </c>
      <c r="J82" t="n">
        <v>3</v>
      </c>
      <c r="K82" t="n">
        <v>0</v>
      </c>
      <c r="L82" t="n">
        <v>0</v>
      </c>
      <c r="M82" t="n">
        <v>0</v>
      </c>
      <c r="N82" t="n">
        <v>0</v>
      </c>
      <c r="O82" t="n">
        <v>3</v>
      </c>
      <c r="P82" t="n">
        <v>0</v>
      </c>
      <c r="Q82" t="n">
        <v>3</v>
      </c>
      <c r="R82" s="2" t="inlineStr">
        <is>
          <t>Ekticka
Rödbrun blekspik
Skuggorangelav</t>
        </is>
      </c>
      <c r="S82">
        <f>HYPERLINK("https://klasma.github.io/Logging_0380/artfynd/A 63909-2019 artfynd.xlsx", "A 63909-2019")</f>
        <v/>
      </c>
      <c r="T82">
        <f>HYPERLINK("https://klasma.github.io/Logging_0380/kartor/A 63909-2019 karta.png", "A 63909-2019")</f>
        <v/>
      </c>
      <c r="V82">
        <f>HYPERLINK("https://klasma.github.io/Logging_0380/klagomål/A 63909-2019 FSC-klagomål.docx", "A 63909-2019")</f>
        <v/>
      </c>
      <c r="W82">
        <f>HYPERLINK("https://klasma.github.io/Logging_0380/klagomålsmail/A 63909-2019 FSC-klagomål mail.docx", "A 63909-2019")</f>
        <v/>
      </c>
      <c r="X82">
        <f>HYPERLINK("https://klasma.github.io/Logging_0380/tillsyn/A 63909-2019 tillsynsbegäran.docx", "A 63909-2019")</f>
        <v/>
      </c>
      <c r="Y82">
        <f>HYPERLINK("https://klasma.github.io/Logging_0380/tillsynsmail/A 63909-2019 tillsynsbegäran mail.docx", "A 63909-2019")</f>
        <v/>
      </c>
    </row>
    <row r="83" ht="15" customHeight="1">
      <c r="A83" t="inlineStr">
        <is>
          <t>A 56107-2020</t>
        </is>
      </c>
      <c r="B83" s="1" t="n">
        <v>44133</v>
      </c>
      <c r="C83" s="1" t="n">
        <v>45834</v>
      </c>
      <c r="D83" t="inlineStr">
        <is>
          <t>UPPSALA LÄN</t>
        </is>
      </c>
      <c r="E83" t="inlineStr">
        <is>
          <t>UPPSALA</t>
        </is>
      </c>
      <c r="F83" t="inlineStr">
        <is>
          <t>Allmännings- och besparingsskogar</t>
        </is>
      </c>
      <c r="G83" t="n">
        <v>45.6</v>
      </c>
      <c r="H83" t="n">
        <v>3</v>
      </c>
      <c r="I83" t="n">
        <v>0</v>
      </c>
      <c r="J83" t="n">
        <v>1</v>
      </c>
      <c r="K83" t="n">
        <v>0</v>
      </c>
      <c r="L83" t="n">
        <v>0</v>
      </c>
      <c r="M83" t="n">
        <v>0</v>
      </c>
      <c r="N83" t="n">
        <v>0</v>
      </c>
      <c r="O83" t="n">
        <v>1</v>
      </c>
      <c r="P83" t="n">
        <v>0</v>
      </c>
      <c r="Q83" t="n">
        <v>3</v>
      </c>
      <c r="R83" s="2" t="inlineStr">
        <is>
          <t>Nordfladdermus
Dvärgpipistrell
Vattenfladdermus</t>
        </is>
      </c>
      <c r="S83">
        <f>HYPERLINK("https://klasma.github.io/Logging_0380/artfynd/A 56107-2020 artfynd.xlsx", "A 56107-2020")</f>
        <v/>
      </c>
      <c r="T83">
        <f>HYPERLINK("https://klasma.github.io/Logging_0380/kartor/A 56107-2020 karta.png", "A 56107-2020")</f>
        <v/>
      </c>
      <c r="V83">
        <f>HYPERLINK("https://klasma.github.io/Logging_0380/klagomål/A 56107-2020 FSC-klagomål.docx", "A 56107-2020")</f>
        <v/>
      </c>
      <c r="W83">
        <f>HYPERLINK("https://klasma.github.io/Logging_0380/klagomålsmail/A 56107-2020 FSC-klagomål mail.docx", "A 56107-2020")</f>
        <v/>
      </c>
      <c r="X83">
        <f>HYPERLINK("https://klasma.github.io/Logging_0380/tillsyn/A 56107-2020 tillsynsbegäran.docx", "A 56107-2020")</f>
        <v/>
      </c>
      <c r="Y83">
        <f>HYPERLINK("https://klasma.github.io/Logging_0380/tillsynsmail/A 56107-2020 tillsynsbegäran mail.docx", "A 56107-2020")</f>
        <v/>
      </c>
    </row>
    <row r="84" ht="15" customHeight="1">
      <c r="A84" t="inlineStr">
        <is>
          <t>A 60038-2021</t>
        </is>
      </c>
      <c r="B84" s="1" t="n">
        <v>44495</v>
      </c>
      <c r="C84" s="1" t="n">
        <v>45834</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14313-2022</t>
        </is>
      </c>
      <c r="B85" s="1" t="n">
        <v>44652</v>
      </c>
      <c r="C85" s="1" t="n">
        <v>45834</v>
      </c>
      <c r="D85" t="inlineStr">
        <is>
          <t>UPPSALA LÄN</t>
        </is>
      </c>
      <c r="E85" t="inlineStr">
        <is>
          <t>UPPSALA</t>
        </is>
      </c>
      <c r="F85" t="inlineStr">
        <is>
          <t>Holmen skog AB</t>
        </is>
      </c>
      <c r="G85" t="n">
        <v>1.7</v>
      </c>
      <c r="H85" t="n">
        <v>2</v>
      </c>
      <c r="I85" t="n">
        <v>1</v>
      </c>
      <c r="J85" t="n">
        <v>0</v>
      </c>
      <c r="K85" t="n">
        <v>0</v>
      </c>
      <c r="L85" t="n">
        <v>0</v>
      </c>
      <c r="M85" t="n">
        <v>0</v>
      </c>
      <c r="N85" t="n">
        <v>0</v>
      </c>
      <c r="O85" t="n">
        <v>0</v>
      </c>
      <c r="P85" t="n">
        <v>0</v>
      </c>
      <c r="Q85" t="n">
        <v>3</v>
      </c>
      <c r="R85" s="2" t="inlineStr">
        <is>
          <t>Vätteros
Blåsippa
Gullviva</t>
        </is>
      </c>
      <c r="S85">
        <f>HYPERLINK("https://klasma.github.io/Logging_0380/artfynd/A 14313-2022 artfynd.xlsx", "A 14313-2022")</f>
        <v/>
      </c>
      <c r="T85">
        <f>HYPERLINK("https://klasma.github.io/Logging_0380/kartor/A 14313-2022 karta.png", "A 14313-2022")</f>
        <v/>
      </c>
      <c r="V85">
        <f>HYPERLINK("https://klasma.github.io/Logging_0380/klagomål/A 14313-2022 FSC-klagomål.docx", "A 14313-2022")</f>
        <v/>
      </c>
      <c r="W85">
        <f>HYPERLINK("https://klasma.github.io/Logging_0380/klagomålsmail/A 14313-2022 FSC-klagomål mail.docx", "A 14313-2022")</f>
        <v/>
      </c>
      <c r="X85">
        <f>HYPERLINK("https://klasma.github.io/Logging_0380/tillsyn/A 14313-2022 tillsynsbegäran.docx", "A 14313-2022")</f>
        <v/>
      </c>
      <c r="Y85">
        <f>HYPERLINK("https://klasma.github.io/Logging_0380/tillsynsmail/A 14313-2022 tillsynsbegäran mail.docx", "A 14313-2022")</f>
        <v/>
      </c>
    </row>
    <row r="86" ht="15" customHeight="1">
      <c r="A86" t="inlineStr">
        <is>
          <t>A 18079-2022</t>
        </is>
      </c>
      <c r="B86" s="1" t="n">
        <v>44684</v>
      </c>
      <c r="C86" s="1" t="n">
        <v>45834</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19373-2022</t>
        </is>
      </c>
      <c r="B87" s="1" t="n">
        <v>44692</v>
      </c>
      <c r="C87" s="1" t="n">
        <v>45834</v>
      </c>
      <c r="D87" t="inlineStr">
        <is>
          <t>UPPSALA LÄN</t>
        </is>
      </c>
      <c r="E87" t="inlineStr">
        <is>
          <t>UPPSALA</t>
        </is>
      </c>
      <c r="F87" t="inlineStr">
        <is>
          <t>Bergvik skog öst AB</t>
        </is>
      </c>
      <c r="G87" t="n">
        <v>12.2</v>
      </c>
      <c r="H87" t="n">
        <v>1</v>
      </c>
      <c r="I87" t="n">
        <v>1</v>
      </c>
      <c r="J87" t="n">
        <v>0</v>
      </c>
      <c r="K87" t="n">
        <v>0</v>
      </c>
      <c r="L87" t="n">
        <v>1</v>
      </c>
      <c r="M87" t="n">
        <v>0</v>
      </c>
      <c r="N87" t="n">
        <v>0</v>
      </c>
      <c r="O87" t="n">
        <v>1</v>
      </c>
      <c r="P87" t="n">
        <v>1</v>
      </c>
      <c r="Q87" t="n">
        <v>3</v>
      </c>
      <c r="R87" s="2" t="inlineStr">
        <is>
          <t>Ask
Sårläka
Blåsippa</t>
        </is>
      </c>
      <c r="S87">
        <f>HYPERLINK("https://klasma.github.io/Logging_0380/artfynd/A 19373-2022 artfynd.xlsx", "A 19373-2022")</f>
        <v/>
      </c>
      <c r="T87">
        <f>HYPERLINK("https://klasma.github.io/Logging_0380/kartor/A 19373-2022 karta.png", "A 19373-2022")</f>
        <v/>
      </c>
      <c r="V87">
        <f>HYPERLINK("https://klasma.github.io/Logging_0380/klagomål/A 19373-2022 FSC-klagomål.docx", "A 19373-2022")</f>
        <v/>
      </c>
      <c r="W87">
        <f>HYPERLINK("https://klasma.github.io/Logging_0380/klagomålsmail/A 19373-2022 FSC-klagomål mail.docx", "A 19373-2022")</f>
        <v/>
      </c>
      <c r="X87">
        <f>HYPERLINK("https://klasma.github.io/Logging_0380/tillsyn/A 19373-2022 tillsynsbegäran.docx", "A 19373-2022")</f>
        <v/>
      </c>
      <c r="Y87">
        <f>HYPERLINK("https://klasma.github.io/Logging_0380/tillsynsmail/A 19373-2022 tillsynsbegäran mail.docx", "A 19373-2022")</f>
        <v/>
      </c>
    </row>
    <row r="88" ht="15" customHeight="1">
      <c r="A88" t="inlineStr">
        <is>
          <t>A 34147-2022</t>
        </is>
      </c>
      <c r="B88" s="1" t="n">
        <v>44791</v>
      </c>
      <c r="C88" s="1" t="n">
        <v>45834</v>
      </c>
      <c r="D88" t="inlineStr">
        <is>
          <t>UPPSALA LÄN</t>
        </is>
      </c>
      <c r="E88" t="inlineStr">
        <is>
          <t>UPPSALA</t>
        </is>
      </c>
      <c r="G88" t="n">
        <v>1.9</v>
      </c>
      <c r="H88" t="n">
        <v>0</v>
      </c>
      <c r="I88" t="n">
        <v>2</v>
      </c>
      <c r="J88" t="n">
        <v>1</v>
      </c>
      <c r="K88" t="n">
        <v>0</v>
      </c>
      <c r="L88" t="n">
        <v>0</v>
      </c>
      <c r="M88" t="n">
        <v>0</v>
      </c>
      <c r="N88" t="n">
        <v>0</v>
      </c>
      <c r="O88" t="n">
        <v>1</v>
      </c>
      <c r="P88" t="n">
        <v>0</v>
      </c>
      <c r="Q88" t="n">
        <v>3</v>
      </c>
      <c r="R88" s="2" t="inlineStr">
        <is>
          <t>Granticka
Kamjordstjärna
Stor aspticka</t>
        </is>
      </c>
      <c r="S88">
        <f>HYPERLINK("https://klasma.github.io/Logging_0380/artfynd/A 34147-2022 artfynd.xlsx", "A 34147-2022")</f>
        <v/>
      </c>
      <c r="T88">
        <f>HYPERLINK("https://klasma.github.io/Logging_0380/kartor/A 34147-2022 karta.png", "A 34147-2022")</f>
        <v/>
      </c>
      <c r="V88">
        <f>HYPERLINK("https://klasma.github.io/Logging_0380/klagomål/A 34147-2022 FSC-klagomål.docx", "A 34147-2022")</f>
        <v/>
      </c>
      <c r="W88">
        <f>HYPERLINK("https://klasma.github.io/Logging_0380/klagomålsmail/A 34147-2022 FSC-klagomål mail.docx", "A 34147-2022")</f>
        <v/>
      </c>
      <c r="X88">
        <f>HYPERLINK("https://klasma.github.io/Logging_0380/tillsyn/A 34147-2022 tillsynsbegäran.docx", "A 34147-2022")</f>
        <v/>
      </c>
      <c r="Y88">
        <f>HYPERLINK("https://klasma.github.io/Logging_0380/tillsynsmail/A 34147-2022 tillsynsbegäran mail.docx", "A 34147-2022")</f>
        <v/>
      </c>
    </row>
    <row r="89" ht="15" customHeight="1">
      <c r="A89" t="inlineStr">
        <is>
          <t>A 36471-2022</t>
        </is>
      </c>
      <c r="B89" s="1" t="n">
        <v>44804</v>
      </c>
      <c r="C89" s="1" t="n">
        <v>45834</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4586-2023</t>
        </is>
      </c>
      <c r="B90" s="1" t="n">
        <v>44956</v>
      </c>
      <c r="C90" s="1" t="n">
        <v>45834</v>
      </c>
      <c r="D90" t="inlineStr">
        <is>
          <t>UPPSALA LÄN</t>
        </is>
      </c>
      <c r="E90" t="inlineStr">
        <is>
          <t>UPPSALA</t>
        </is>
      </c>
      <c r="G90" t="n">
        <v>12.2</v>
      </c>
      <c r="H90" t="n">
        <v>1</v>
      </c>
      <c r="I90" t="n">
        <v>2</v>
      </c>
      <c r="J90" t="n">
        <v>0</v>
      </c>
      <c r="K90" t="n">
        <v>0</v>
      </c>
      <c r="L90" t="n">
        <v>0</v>
      </c>
      <c r="M90" t="n">
        <v>0</v>
      </c>
      <c r="N90" t="n">
        <v>0</v>
      </c>
      <c r="O90" t="n">
        <v>0</v>
      </c>
      <c r="P90" t="n">
        <v>0</v>
      </c>
      <c r="Q90" t="n">
        <v>3</v>
      </c>
      <c r="R90" s="2" t="inlineStr">
        <is>
          <t>Barkticka
Vedticka
Vanlig padda</t>
        </is>
      </c>
      <c r="S90">
        <f>HYPERLINK("https://klasma.github.io/Logging_0380/artfynd/A 4586-2023 artfynd.xlsx", "A 4586-2023")</f>
        <v/>
      </c>
      <c r="T90">
        <f>HYPERLINK("https://klasma.github.io/Logging_0380/kartor/A 4586-2023 karta.png", "A 4586-2023")</f>
        <v/>
      </c>
      <c r="V90">
        <f>HYPERLINK("https://klasma.github.io/Logging_0380/klagomål/A 4586-2023 FSC-klagomål.docx", "A 4586-2023")</f>
        <v/>
      </c>
      <c r="W90">
        <f>HYPERLINK("https://klasma.github.io/Logging_0380/klagomålsmail/A 4586-2023 FSC-klagomål mail.docx", "A 4586-2023")</f>
        <v/>
      </c>
      <c r="X90">
        <f>HYPERLINK("https://klasma.github.io/Logging_0380/tillsyn/A 4586-2023 tillsynsbegäran.docx", "A 4586-2023")</f>
        <v/>
      </c>
      <c r="Y90">
        <f>HYPERLINK("https://klasma.github.io/Logging_0380/tillsynsmail/A 4586-2023 tillsynsbegäran mail.docx", "A 4586-2023")</f>
        <v/>
      </c>
    </row>
    <row r="91" ht="15" customHeight="1">
      <c r="A91" t="inlineStr">
        <is>
          <t>A 7752-2023</t>
        </is>
      </c>
      <c r="B91" s="1" t="n">
        <v>44973</v>
      </c>
      <c r="C91" s="1" t="n">
        <v>45834</v>
      </c>
      <c r="D91" t="inlineStr">
        <is>
          <t>UPPSALA LÄN</t>
        </is>
      </c>
      <c r="E91" t="inlineStr">
        <is>
          <t>UPPSALA</t>
        </is>
      </c>
      <c r="F91" t="inlineStr">
        <is>
          <t>Sveaskog</t>
        </is>
      </c>
      <c r="G91" t="n">
        <v>0.6</v>
      </c>
      <c r="H91" t="n">
        <v>1</v>
      </c>
      <c r="I91" t="n">
        <v>2</v>
      </c>
      <c r="J91" t="n">
        <v>0</v>
      </c>
      <c r="K91" t="n">
        <v>0</v>
      </c>
      <c r="L91" t="n">
        <v>0</v>
      </c>
      <c r="M91" t="n">
        <v>0</v>
      </c>
      <c r="N91" t="n">
        <v>0</v>
      </c>
      <c r="O91" t="n">
        <v>0</v>
      </c>
      <c r="P91" t="n">
        <v>0</v>
      </c>
      <c r="Q91" t="n">
        <v>3</v>
      </c>
      <c r="R91" s="2" t="inlineStr">
        <is>
          <t>Fjällig taggsvamp s.str.
Skogshakmossa
Blåsippa</t>
        </is>
      </c>
      <c r="S91">
        <f>HYPERLINK("https://klasma.github.io/Logging_0380/artfynd/A 7752-2023 artfynd.xlsx", "A 7752-2023")</f>
        <v/>
      </c>
      <c r="T91">
        <f>HYPERLINK("https://klasma.github.io/Logging_0380/kartor/A 7752-2023 karta.png", "A 7752-2023")</f>
        <v/>
      </c>
      <c r="V91">
        <f>HYPERLINK("https://klasma.github.io/Logging_0380/klagomål/A 7752-2023 FSC-klagomål.docx", "A 7752-2023")</f>
        <v/>
      </c>
      <c r="W91">
        <f>HYPERLINK("https://klasma.github.io/Logging_0380/klagomålsmail/A 7752-2023 FSC-klagomål mail.docx", "A 7752-2023")</f>
        <v/>
      </c>
      <c r="X91">
        <f>HYPERLINK("https://klasma.github.io/Logging_0380/tillsyn/A 7752-2023 tillsynsbegäran.docx", "A 7752-2023")</f>
        <v/>
      </c>
      <c r="Y91">
        <f>HYPERLINK("https://klasma.github.io/Logging_0380/tillsynsmail/A 7752-2023 tillsynsbegäran mail.docx", "A 7752-2023")</f>
        <v/>
      </c>
    </row>
    <row r="92" ht="15" customHeight="1">
      <c r="A92" t="inlineStr">
        <is>
          <t>A 25943-2023</t>
        </is>
      </c>
      <c r="B92" s="1" t="n">
        <v>45090</v>
      </c>
      <c r="C92" s="1" t="n">
        <v>45834</v>
      </c>
      <c r="D92" t="inlineStr">
        <is>
          <t>UPPSALA LÄN</t>
        </is>
      </c>
      <c r="E92" t="inlineStr">
        <is>
          <t>UPPSALA</t>
        </is>
      </c>
      <c r="F92" t="inlineStr">
        <is>
          <t>Holmen skog AB</t>
        </is>
      </c>
      <c r="G92" t="n">
        <v>2.7</v>
      </c>
      <c r="H92" t="n">
        <v>1</v>
      </c>
      <c r="I92" t="n">
        <v>1</v>
      </c>
      <c r="J92" t="n">
        <v>2</v>
      </c>
      <c r="K92" t="n">
        <v>0</v>
      </c>
      <c r="L92" t="n">
        <v>0</v>
      </c>
      <c r="M92" t="n">
        <v>0</v>
      </c>
      <c r="N92" t="n">
        <v>0</v>
      </c>
      <c r="O92" t="n">
        <v>2</v>
      </c>
      <c r="P92" t="n">
        <v>0</v>
      </c>
      <c r="Q92" t="n">
        <v>3</v>
      </c>
      <c r="R92" s="2" t="inlineStr">
        <is>
          <t>Mindre hackspett
Vedtrappmossa
Vedticka</t>
        </is>
      </c>
      <c r="S92">
        <f>HYPERLINK("https://klasma.github.io/Logging_0380/artfynd/A 25943-2023 artfynd.xlsx", "A 25943-2023")</f>
        <v/>
      </c>
      <c r="T92">
        <f>HYPERLINK("https://klasma.github.io/Logging_0380/kartor/A 25943-2023 karta.png", "A 25943-2023")</f>
        <v/>
      </c>
      <c r="V92">
        <f>HYPERLINK("https://klasma.github.io/Logging_0380/klagomål/A 25943-2023 FSC-klagomål.docx", "A 25943-2023")</f>
        <v/>
      </c>
      <c r="W92">
        <f>HYPERLINK("https://klasma.github.io/Logging_0380/klagomålsmail/A 25943-2023 FSC-klagomål mail.docx", "A 25943-2023")</f>
        <v/>
      </c>
      <c r="X92">
        <f>HYPERLINK("https://klasma.github.io/Logging_0380/tillsyn/A 25943-2023 tillsynsbegäran.docx", "A 25943-2023")</f>
        <v/>
      </c>
      <c r="Y92">
        <f>HYPERLINK("https://klasma.github.io/Logging_0380/tillsynsmail/A 25943-2023 tillsynsbegäran mail.docx", "A 25943-2023")</f>
        <v/>
      </c>
      <c r="Z92">
        <f>HYPERLINK("https://klasma.github.io/Logging_0380/fåglar/A 25943-2023 prioriterade fågelarter.docx", "A 25943-2023")</f>
        <v/>
      </c>
    </row>
    <row r="93" ht="15" customHeight="1">
      <c r="A93" t="inlineStr">
        <is>
          <t>A 43942-2023</t>
        </is>
      </c>
      <c r="B93" s="1" t="n">
        <v>45187</v>
      </c>
      <c r="C93" s="1" t="n">
        <v>45834</v>
      </c>
      <c r="D93" t="inlineStr">
        <is>
          <t>UPPSALA LÄN</t>
        </is>
      </c>
      <c r="E93" t="inlineStr">
        <is>
          <t>UPPSALA</t>
        </is>
      </c>
      <c r="F93" t="inlineStr">
        <is>
          <t>Allmännings- och besparingsskogar</t>
        </is>
      </c>
      <c r="G93" t="n">
        <v>31.6</v>
      </c>
      <c r="H93" t="n">
        <v>3</v>
      </c>
      <c r="I93" t="n">
        <v>1</v>
      </c>
      <c r="J93" t="n">
        <v>1</v>
      </c>
      <c r="K93" t="n">
        <v>0</v>
      </c>
      <c r="L93" t="n">
        <v>0</v>
      </c>
      <c r="M93" t="n">
        <v>1</v>
      </c>
      <c r="N93" t="n">
        <v>0</v>
      </c>
      <c r="O93" t="n">
        <v>2</v>
      </c>
      <c r="P93" t="n">
        <v>1</v>
      </c>
      <c r="Q93" t="n">
        <v>3</v>
      </c>
      <c r="R93" s="2" t="inlineStr">
        <is>
          <t>Vedtrådmossa
Slaguggla
Grön sköldmossa</t>
        </is>
      </c>
      <c r="S93">
        <f>HYPERLINK("https://klasma.github.io/Logging_0380/artfynd/A 43942-2023 artfynd.xlsx", "A 43942-2023")</f>
        <v/>
      </c>
      <c r="T93">
        <f>HYPERLINK("https://klasma.github.io/Logging_0380/kartor/A 43942-2023 karta.png", "A 43942-2023")</f>
        <v/>
      </c>
      <c r="V93">
        <f>HYPERLINK("https://klasma.github.io/Logging_0380/klagomål/A 43942-2023 FSC-klagomål.docx", "A 43942-2023")</f>
        <v/>
      </c>
      <c r="W93">
        <f>HYPERLINK("https://klasma.github.io/Logging_0380/klagomålsmail/A 43942-2023 FSC-klagomål mail.docx", "A 43942-2023")</f>
        <v/>
      </c>
      <c r="X93">
        <f>HYPERLINK("https://klasma.github.io/Logging_0380/tillsyn/A 43942-2023 tillsynsbegäran.docx", "A 43942-2023")</f>
        <v/>
      </c>
      <c r="Y93">
        <f>HYPERLINK("https://klasma.github.io/Logging_0380/tillsynsmail/A 43942-2023 tillsynsbegäran mail.docx", "A 43942-2023")</f>
        <v/>
      </c>
      <c r="Z93">
        <f>HYPERLINK("https://klasma.github.io/Logging_0380/fåglar/A 43942-2023 prioriterade fågelarter.docx", "A 43942-2023")</f>
        <v/>
      </c>
    </row>
    <row r="94" ht="15" customHeight="1">
      <c r="A94" t="inlineStr">
        <is>
          <t>A 49990-2023</t>
        </is>
      </c>
      <c r="B94" s="1" t="n">
        <v>45215</v>
      </c>
      <c r="C94" s="1" t="n">
        <v>45834</v>
      </c>
      <c r="D94" t="inlineStr">
        <is>
          <t>UPPSALA LÄN</t>
        </is>
      </c>
      <c r="E94" t="inlineStr">
        <is>
          <t>UPPSALA</t>
        </is>
      </c>
      <c r="G94" t="n">
        <v>2</v>
      </c>
      <c r="H94" t="n">
        <v>3</v>
      </c>
      <c r="I94" t="n">
        <v>0</v>
      </c>
      <c r="J94" t="n">
        <v>1</v>
      </c>
      <c r="K94" t="n">
        <v>0</v>
      </c>
      <c r="L94" t="n">
        <v>0</v>
      </c>
      <c r="M94" t="n">
        <v>0</v>
      </c>
      <c r="N94" t="n">
        <v>0</v>
      </c>
      <c r="O94" t="n">
        <v>1</v>
      </c>
      <c r="P94" t="n">
        <v>0</v>
      </c>
      <c r="Q94" t="n">
        <v>3</v>
      </c>
      <c r="R94" s="2" t="inlineStr">
        <is>
          <t>Nordfladdermus
Järnsparv
Större brunfladdermus</t>
        </is>
      </c>
      <c r="S94">
        <f>HYPERLINK("https://klasma.github.io/Logging_0380/artfynd/A 49990-2023 artfynd.xlsx", "A 49990-2023")</f>
        <v/>
      </c>
      <c r="T94">
        <f>HYPERLINK("https://klasma.github.io/Logging_0380/kartor/A 49990-2023 karta.png", "A 49990-2023")</f>
        <v/>
      </c>
      <c r="V94">
        <f>HYPERLINK("https://klasma.github.io/Logging_0380/klagomål/A 49990-2023 FSC-klagomål.docx", "A 49990-2023")</f>
        <v/>
      </c>
      <c r="W94">
        <f>HYPERLINK("https://klasma.github.io/Logging_0380/klagomålsmail/A 49990-2023 FSC-klagomål mail.docx", "A 49990-2023")</f>
        <v/>
      </c>
      <c r="X94">
        <f>HYPERLINK("https://klasma.github.io/Logging_0380/tillsyn/A 49990-2023 tillsynsbegäran.docx", "A 49990-2023")</f>
        <v/>
      </c>
      <c r="Y94">
        <f>HYPERLINK("https://klasma.github.io/Logging_0380/tillsynsmail/A 49990-2023 tillsynsbegäran mail.docx", "A 49990-2023")</f>
        <v/>
      </c>
      <c r="Z94">
        <f>HYPERLINK("https://klasma.github.io/Logging_0380/fåglar/A 49990-2023 prioriterade fågelarter.docx", "A 49990-2023")</f>
        <v/>
      </c>
    </row>
    <row r="95" ht="15" customHeight="1">
      <c r="A95" t="inlineStr">
        <is>
          <t>A 39228-2024</t>
        </is>
      </c>
      <c r="B95" s="1" t="n">
        <v>45550</v>
      </c>
      <c r="C95" s="1" t="n">
        <v>45834</v>
      </c>
      <c r="D95" t="inlineStr">
        <is>
          <t>UPPSALA LÄN</t>
        </is>
      </c>
      <c r="E95" t="inlineStr">
        <is>
          <t>UPPSALA</t>
        </is>
      </c>
      <c r="G95" t="n">
        <v>2</v>
      </c>
      <c r="H95" t="n">
        <v>2</v>
      </c>
      <c r="I95" t="n">
        <v>1</v>
      </c>
      <c r="J95" t="n">
        <v>0</v>
      </c>
      <c r="K95" t="n">
        <v>0</v>
      </c>
      <c r="L95" t="n">
        <v>0</v>
      </c>
      <c r="M95" t="n">
        <v>0</v>
      </c>
      <c r="N95" t="n">
        <v>0</v>
      </c>
      <c r="O95" t="n">
        <v>0</v>
      </c>
      <c r="P95" t="n">
        <v>0</v>
      </c>
      <c r="Q95" t="n">
        <v>3</v>
      </c>
      <c r="R95" s="2" t="inlineStr">
        <is>
          <t>Sotlav
Fläcknycklar
Blåsippa</t>
        </is>
      </c>
      <c r="S95">
        <f>HYPERLINK("https://klasma.github.io/Logging_0380/artfynd/A 39228-2024 artfynd.xlsx", "A 39228-2024")</f>
        <v/>
      </c>
      <c r="T95">
        <f>HYPERLINK("https://klasma.github.io/Logging_0380/kartor/A 39228-2024 karta.png", "A 39228-2024")</f>
        <v/>
      </c>
      <c r="V95">
        <f>HYPERLINK("https://klasma.github.io/Logging_0380/klagomål/A 39228-2024 FSC-klagomål.docx", "A 39228-2024")</f>
        <v/>
      </c>
      <c r="W95">
        <f>HYPERLINK("https://klasma.github.io/Logging_0380/klagomålsmail/A 39228-2024 FSC-klagomål mail.docx", "A 39228-2024")</f>
        <v/>
      </c>
      <c r="X95">
        <f>HYPERLINK("https://klasma.github.io/Logging_0380/tillsyn/A 39228-2024 tillsynsbegäran.docx", "A 39228-2024")</f>
        <v/>
      </c>
      <c r="Y95">
        <f>HYPERLINK("https://klasma.github.io/Logging_0380/tillsynsmail/A 39228-2024 tillsynsbegäran mail.docx", "A 39228-2024")</f>
        <v/>
      </c>
    </row>
    <row r="96" ht="15" customHeight="1">
      <c r="A96" t="inlineStr">
        <is>
          <t>A 46735-2024</t>
        </is>
      </c>
      <c r="B96" s="1" t="n">
        <v>45583</v>
      </c>
      <c r="C96" s="1" t="n">
        <v>45834</v>
      </c>
      <c r="D96" t="inlineStr">
        <is>
          <t>UPPSALA LÄN</t>
        </is>
      </c>
      <c r="E96" t="inlineStr">
        <is>
          <t>UPPSALA</t>
        </is>
      </c>
      <c r="F96" t="inlineStr">
        <is>
          <t>Sveaskog</t>
        </is>
      </c>
      <c r="G96" t="n">
        <v>2.3</v>
      </c>
      <c r="H96" t="n">
        <v>1</v>
      </c>
      <c r="I96" t="n">
        <v>1</v>
      </c>
      <c r="J96" t="n">
        <v>1</v>
      </c>
      <c r="K96" t="n">
        <v>1</v>
      </c>
      <c r="L96" t="n">
        <v>0</v>
      </c>
      <c r="M96" t="n">
        <v>0</v>
      </c>
      <c r="N96" t="n">
        <v>0</v>
      </c>
      <c r="O96" t="n">
        <v>2</v>
      </c>
      <c r="P96" t="n">
        <v>1</v>
      </c>
      <c r="Q96" t="n">
        <v>3</v>
      </c>
      <c r="R96" s="2" t="inlineStr">
        <is>
          <t>Knärot
Vedtrappmossa
Mörk husmossa</t>
        </is>
      </c>
      <c r="S96">
        <f>HYPERLINK("https://klasma.github.io/Logging_0380/artfynd/A 46735-2024 artfynd.xlsx", "A 46735-2024")</f>
        <v/>
      </c>
      <c r="T96">
        <f>HYPERLINK("https://klasma.github.io/Logging_0380/kartor/A 46735-2024 karta.png", "A 46735-2024")</f>
        <v/>
      </c>
      <c r="U96">
        <f>HYPERLINK("https://klasma.github.io/Logging_0380/knärot/A 46735-2024 karta knärot.png", "A 46735-2024")</f>
        <v/>
      </c>
      <c r="V96">
        <f>HYPERLINK("https://klasma.github.io/Logging_0380/klagomål/A 46735-2024 FSC-klagomål.docx", "A 46735-2024")</f>
        <v/>
      </c>
      <c r="W96">
        <f>HYPERLINK("https://klasma.github.io/Logging_0380/klagomålsmail/A 46735-2024 FSC-klagomål mail.docx", "A 46735-2024")</f>
        <v/>
      </c>
      <c r="X96">
        <f>HYPERLINK("https://klasma.github.io/Logging_0380/tillsyn/A 46735-2024 tillsynsbegäran.docx", "A 46735-2024")</f>
        <v/>
      </c>
      <c r="Y96">
        <f>HYPERLINK("https://klasma.github.io/Logging_0380/tillsynsmail/A 46735-2024 tillsynsbegäran mail.docx", "A 46735-2024")</f>
        <v/>
      </c>
    </row>
    <row r="97" ht="15" customHeight="1">
      <c r="A97" t="inlineStr">
        <is>
          <t>A 3932-2025</t>
        </is>
      </c>
      <c r="B97" s="1" t="n">
        <v>45684</v>
      </c>
      <c r="C97" s="1" t="n">
        <v>45834</v>
      </c>
      <c r="D97" t="inlineStr">
        <is>
          <t>UPPSALA LÄN</t>
        </is>
      </c>
      <c r="E97" t="inlineStr">
        <is>
          <t>UPPSALA</t>
        </is>
      </c>
      <c r="G97" t="n">
        <v>8.9</v>
      </c>
      <c r="H97" t="n">
        <v>1</v>
      </c>
      <c r="I97" t="n">
        <v>1</v>
      </c>
      <c r="J97" t="n">
        <v>1</v>
      </c>
      <c r="K97" t="n">
        <v>0</v>
      </c>
      <c r="L97" t="n">
        <v>0</v>
      </c>
      <c r="M97" t="n">
        <v>0</v>
      </c>
      <c r="N97" t="n">
        <v>0</v>
      </c>
      <c r="O97" t="n">
        <v>1</v>
      </c>
      <c r="P97" t="n">
        <v>0</v>
      </c>
      <c r="Q97" t="n">
        <v>3</v>
      </c>
      <c r="R97" s="2" t="inlineStr">
        <is>
          <t>Vedtrappmossa
Rostfläck
Revlummer</t>
        </is>
      </c>
      <c r="S97">
        <f>HYPERLINK("https://klasma.github.io/Logging_0380/artfynd/A 3932-2025 artfynd.xlsx", "A 3932-2025")</f>
        <v/>
      </c>
      <c r="T97">
        <f>HYPERLINK("https://klasma.github.io/Logging_0380/kartor/A 3932-2025 karta.png", "A 3932-2025")</f>
        <v/>
      </c>
      <c r="U97">
        <f>HYPERLINK("https://klasma.github.io/Logging_0380/knärot/A 3932-2025 karta knärot.png", "A 3932-2025")</f>
        <v/>
      </c>
      <c r="V97">
        <f>HYPERLINK("https://klasma.github.io/Logging_0380/klagomål/A 3932-2025 FSC-klagomål.docx", "A 3932-2025")</f>
        <v/>
      </c>
      <c r="W97">
        <f>HYPERLINK("https://klasma.github.io/Logging_0380/klagomålsmail/A 3932-2025 FSC-klagomål mail.docx", "A 3932-2025")</f>
        <v/>
      </c>
      <c r="X97">
        <f>HYPERLINK("https://klasma.github.io/Logging_0380/tillsyn/A 3932-2025 tillsynsbegäran.docx", "A 3932-2025")</f>
        <v/>
      </c>
      <c r="Y97">
        <f>HYPERLINK("https://klasma.github.io/Logging_0380/tillsynsmail/A 3932-2025 tillsynsbegäran mail.docx", "A 3932-2025")</f>
        <v/>
      </c>
    </row>
    <row r="98" ht="15" customHeight="1">
      <c r="A98" t="inlineStr">
        <is>
          <t>A 25651-2025</t>
        </is>
      </c>
      <c r="B98" s="1" t="n">
        <v>45803</v>
      </c>
      <c r="C98" s="1" t="n">
        <v>45834</v>
      </c>
      <c r="D98" t="inlineStr">
        <is>
          <t>UPPSALA LÄN</t>
        </is>
      </c>
      <c r="E98" t="inlineStr">
        <is>
          <t>UPPSALA</t>
        </is>
      </c>
      <c r="F98" t="inlineStr">
        <is>
          <t>Holmen skog AB</t>
        </is>
      </c>
      <c r="G98" t="n">
        <v>3.6</v>
      </c>
      <c r="H98" t="n">
        <v>2</v>
      </c>
      <c r="I98" t="n">
        <v>0</v>
      </c>
      <c r="J98" t="n">
        <v>1</v>
      </c>
      <c r="K98" t="n">
        <v>1</v>
      </c>
      <c r="L98" t="n">
        <v>0</v>
      </c>
      <c r="M98" t="n">
        <v>0</v>
      </c>
      <c r="N98" t="n">
        <v>0</v>
      </c>
      <c r="O98" t="n">
        <v>2</v>
      </c>
      <c r="P98" t="n">
        <v>1</v>
      </c>
      <c r="Q98" t="n">
        <v>3</v>
      </c>
      <c r="R98" s="2" t="inlineStr">
        <is>
          <t>Knärot
Vedtrappmossa
Revlummer</t>
        </is>
      </c>
      <c r="S98">
        <f>HYPERLINK("https://klasma.github.io/Logging_030380/artfynd/A 25651-2025 artfynd.xlsx", "A 25651-2025")</f>
        <v/>
      </c>
      <c r="T98">
        <f>HYPERLINK("https://klasma.github.io/Logging_030380/kartor/A 25651-2025 karta.png", "A 25651-2025")</f>
        <v/>
      </c>
      <c r="U98">
        <f>HYPERLINK("https://klasma.github.io/Logging_030380/knärot/A 25651-2025 karta knärot.png", "A 25651-2025")</f>
        <v/>
      </c>
      <c r="V98">
        <f>HYPERLINK("https://klasma.github.io/Logging_030380/klagomål/A 25651-2025 FSC-klagomål.docx", "A 25651-2025")</f>
        <v/>
      </c>
      <c r="W98">
        <f>HYPERLINK("https://klasma.github.io/Logging_030380/klagomålsmail/A 25651-2025 FSC-klagomål mail.docx", "A 25651-2025")</f>
        <v/>
      </c>
      <c r="X98">
        <f>HYPERLINK("https://klasma.github.io/Logging_030380/tillsyn/A 25651-2025 tillsynsbegäran.docx", "A 25651-2025")</f>
        <v/>
      </c>
      <c r="Y98">
        <f>HYPERLINK("https://klasma.github.io/Logging_030380/tillsynsmail/A 25651-2025 tillsynsbegäran mail.docx", "A 25651-2025")</f>
        <v/>
      </c>
    </row>
    <row r="99" ht="15" customHeight="1">
      <c r="A99" t="inlineStr">
        <is>
          <t>A 30716-2025</t>
        </is>
      </c>
      <c r="B99" s="1" t="n">
        <v>45831</v>
      </c>
      <c r="C99" s="1" t="n">
        <v>45834</v>
      </c>
      <c r="D99" t="inlineStr">
        <is>
          <t>UPPSALA LÄN</t>
        </is>
      </c>
      <c r="E99" t="inlineStr">
        <is>
          <t>UPPSALA</t>
        </is>
      </c>
      <c r="G99" t="n">
        <v>2.3</v>
      </c>
      <c r="H99" t="n">
        <v>2</v>
      </c>
      <c r="I99" t="n">
        <v>1</v>
      </c>
      <c r="J99" t="n">
        <v>1</v>
      </c>
      <c r="K99" t="n">
        <v>1</v>
      </c>
      <c r="L99" t="n">
        <v>0</v>
      </c>
      <c r="M99" t="n">
        <v>0</v>
      </c>
      <c r="N99" t="n">
        <v>0</v>
      </c>
      <c r="O99" t="n">
        <v>2</v>
      </c>
      <c r="P99" t="n">
        <v>1</v>
      </c>
      <c r="Q99" t="n">
        <v>3</v>
      </c>
      <c r="R99" s="2" t="inlineStr">
        <is>
          <t>Knärot
Talltita
Skinnlav</t>
        </is>
      </c>
      <c r="S99">
        <f>HYPERLINK("https://klasma.github.io/Logging_030380/artfynd/A 30716-2025 artfynd.xlsx", "A 30716-2025")</f>
        <v/>
      </c>
      <c r="T99">
        <f>HYPERLINK("https://klasma.github.io/Logging_030380/kartor/A 30716-2025 karta.png", "A 30716-2025")</f>
        <v/>
      </c>
      <c r="U99">
        <f>HYPERLINK("https://klasma.github.io/Logging_030380/knärot/A 30716-2025 karta knärot.png", "A 30716-2025")</f>
        <v/>
      </c>
      <c r="V99">
        <f>HYPERLINK("https://klasma.github.io/Logging_030380/klagomål/A 30716-2025 FSC-klagomål.docx", "A 30716-2025")</f>
        <v/>
      </c>
      <c r="W99">
        <f>HYPERLINK("https://klasma.github.io/Logging_030380/klagomålsmail/A 30716-2025 FSC-klagomål mail.docx", "A 30716-2025")</f>
        <v/>
      </c>
      <c r="X99">
        <f>HYPERLINK("https://klasma.github.io/Logging_030380/tillsyn/A 30716-2025 tillsynsbegäran.docx", "A 30716-2025")</f>
        <v/>
      </c>
      <c r="Y99">
        <f>HYPERLINK("https://klasma.github.io/Logging_030380/tillsynsmail/A 30716-2025 tillsynsbegäran mail.docx", "A 30716-2025")</f>
        <v/>
      </c>
      <c r="Z99">
        <f>HYPERLINK("https://klasma.github.io/Logging_030380/fåglar/A 30716-2025 prioriterade fågelarter.docx", "A 30716-2025")</f>
        <v/>
      </c>
    </row>
    <row r="100" ht="15" customHeight="1">
      <c r="A100" t="inlineStr">
        <is>
          <t>A 20671-2019</t>
        </is>
      </c>
      <c r="B100" s="1" t="n">
        <v>43572</v>
      </c>
      <c r="C100" s="1" t="n">
        <v>45834</v>
      </c>
      <c r="D100" t="inlineStr">
        <is>
          <t>UPPSALA LÄN</t>
        </is>
      </c>
      <c r="E100" t="inlineStr">
        <is>
          <t>UPPSALA</t>
        </is>
      </c>
      <c r="G100" t="n">
        <v>14.8</v>
      </c>
      <c r="H100" t="n">
        <v>1</v>
      </c>
      <c r="I100" t="n">
        <v>0</v>
      </c>
      <c r="J100" t="n">
        <v>2</v>
      </c>
      <c r="K100" t="n">
        <v>0</v>
      </c>
      <c r="L100" t="n">
        <v>0</v>
      </c>
      <c r="M100" t="n">
        <v>0</v>
      </c>
      <c r="N100" t="n">
        <v>0</v>
      </c>
      <c r="O100" t="n">
        <v>2</v>
      </c>
      <c r="P100" t="n">
        <v>0</v>
      </c>
      <c r="Q100" t="n">
        <v>2</v>
      </c>
      <c r="R100" s="2" t="inlineStr">
        <is>
          <t>Gulsparv
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c r="Z100">
        <f>HYPERLINK("https://klasma.github.io/Logging_0380/fåglar/A 20671-2019 prioriterade fågelarter.docx", "A 20671-2019")</f>
        <v/>
      </c>
    </row>
    <row r="101" ht="15" customHeight="1">
      <c r="A101" t="inlineStr">
        <is>
          <t>A 25607-2019</t>
        </is>
      </c>
      <c r="B101" s="1" t="n">
        <v>43607</v>
      </c>
      <c r="C101" s="1" t="n">
        <v>45834</v>
      </c>
      <c r="D101" t="inlineStr">
        <is>
          <t>UPPSALA LÄN</t>
        </is>
      </c>
      <c r="E101" t="inlineStr">
        <is>
          <t>UPPSALA</t>
        </is>
      </c>
      <c r="G101" t="n">
        <v>1.1</v>
      </c>
      <c r="H101" t="n">
        <v>2</v>
      </c>
      <c r="I101" t="n">
        <v>0</v>
      </c>
      <c r="J101" t="n">
        <v>0</v>
      </c>
      <c r="K101" t="n">
        <v>0</v>
      </c>
      <c r="L101" t="n">
        <v>0</v>
      </c>
      <c r="M101" t="n">
        <v>0</v>
      </c>
      <c r="N101" t="n">
        <v>0</v>
      </c>
      <c r="O101" t="n">
        <v>0</v>
      </c>
      <c r="P101" t="n">
        <v>0</v>
      </c>
      <c r="Q101" t="n">
        <v>2</v>
      </c>
      <c r="R101" s="2" t="inlineStr">
        <is>
          <t>Större vattensalamander
Mindre vattensalamander</t>
        </is>
      </c>
      <c r="S101">
        <f>HYPERLINK("https://klasma.github.io/Logging_0380/artfynd/A 25607-2019 artfynd.xlsx", "A 25607-2019")</f>
        <v/>
      </c>
      <c r="T101">
        <f>HYPERLINK("https://klasma.github.io/Logging_0380/kartor/A 25607-2019 karta.png", "A 25607-2019")</f>
        <v/>
      </c>
      <c r="V101">
        <f>HYPERLINK("https://klasma.github.io/Logging_0380/klagomål/A 25607-2019 FSC-klagomål.docx", "A 25607-2019")</f>
        <v/>
      </c>
      <c r="W101">
        <f>HYPERLINK("https://klasma.github.io/Logging_0380/klagomålsmail/A 25607-2019 FSC-klagomål mail.docx", "A 25607-2019")</f>
        <v/>
      </c>
      <c r="X101">
        <f>HYPERLINK("https://klasma.github.io/Logging_0380/tillsyn/A 25607-2019 tillsynsbegäran.docx", "A 25607-2019")</f>
        <v/>
      </c>
      <c r="Y101">
        <f>HYPERLINK("https://klasma.github.io/Logging_0380/tillsynsmail/A 25607-2019 tillsynsbegäran mail.docx", "A 25607-2019")</f>
        <v/>
      </c>
    </row>
    <row r="102" ht="15" customHeight="1">
      <c r="A102" t="inlineStr">
        <is>
          <t>A 34066-2019</t>
        </is>
      </c>
      <c r="B102" s="1" t="n">
        <v>43654</v>
      </c>
      <c r="C102" s="1" t="n">
        <v>45834</v>
      </c>
      <c r="D102" t="inlineStr">
        <is>
          <t>UPPSALA LÄN</t>
        </is>
      </c>
      <c r="E102" t="inlineStr">
        <is>
          <t>UPPSALA</t>
        </is>
      </c>
      <c r="G102" t="n">
        <v>1.3</v>
      </c>
      <c r="H102" t="n">
        <v>0</v>
      </c>
      <c r="I102" t="n">
        <v>0</v>
      </c>
      <c r="J102" t="n">
        <v>2</v>
      </c>
      <c r="K102" t="n">
        <v>0</v>
      </c>
      <c r="L102" t="n">
        <v>0</v>
      </c>
      <c r="M102" t="n">
        <v>0</v>
      </c>
      <c r="N102" t="n">
        <v>0</v>
      </c>
      <c r="O102" t="n">
        <v>2</v>
      </c>
      <c r="P102" t="n">
        <v>0</v>
      </c>
      <c r="Q102" t="n">
        <v>2</v>
      </c>
      <c r="R102" s="2" t="inlineStr">
        <is>
          <t>Asppraktbagge
Grön aspvedbock</t>
        </is>
      </c>
      <c r="S102">
        <f>HYPERLINK("https://klasma.github.io/Logging_0380/artfynd/A 34066-2019 artfynd.xlsx", "A 34066-2019")</f>
        <v/>
      </c>
      <c r="T102">
        <f>HYPERLINK("https://klasma.github.io/Logging_0380/kartor/A 34066-2019 karta.png", "A 34066-2019")</f>
        <v/>
      </c>
      <c r="V102">
        <f>HYPERLINK("https://klasma.github.io/Logging_0380/klagomål/A 34066-2019 FSC-klagomål.docx", "A 34066-2019")</f>
        <v/>
      </c>
      <c r="W102">
        <f>HYPERLINK("https://klasma.github.io/Logging_0380/klagomålsmail/A 34066-2019 FSC-klagomål mail.docx", "A 34066-2019")</f>
        <v/>
      </c>
      <c r="X102">
        <f>HYPERLINK("https://klasma.github.io/Logging_0380/tillsyn/A 34066-2019 tillsynsbegäran.docx", "A 34066-2019")</f>
        <v/>
      </c>
      <c r="Y102">
        <f>HYPERLINK("https://klasma.github.io/Logging_0380/tillsynsmail/A 34066-2019 tillsynsbegäran mail.docx", "A 34066-2019")</f>
        <v/>
      </c>
    </row>
    <row r="103" ht="15" customHeight="1">
      <c r="A103" t="inlineStr">
        <is>
          <t>A 52165-2019</t>
        </is>
      </c>
      <c r="B103" s="1" t="n">
        <v>43742</v>
      </c>
      <c r="C103" s="1" t="n">
        <v>45834</v>
      </c>
      <c r="D103" t="inlineStr">
        <is>
          <t>UPPSALA LÄN</t>
        </is>
      </c>
      <c r="E103" t="inlineStr">
        <is>
          <t>UPPSALA</t>
        </is>
      </c>
      <c r="F103" t="inlineStr">
        <is>
          <t>Allmännings- och besparingsskogar</t>
        </is>
      </c>
      <c r="G103" t="n">
        <v>28.7</v>
      </c>
      <c r="H103" t="n">
        <v>2</v>
      </c>
      <c r="I103" t="n">
        <v>2</v>
      </c>
      <c r="J103" t="n">
        <v>0</v>
      </c>
      <c r="K103" t="n">
        <v>0</v>
      </c>
      <c r="L103" t="n">
        <v>0</v>
      </c>
      <c r="M103" t="n">
        <v>0</v>
      </c>
      <c r="N103" t="n">
        <v>0</v>
      </c>
      <c r="O103" t="n">
        <v>0</v>
      </c>
      <c r="P103" t="n">
        <v>0</v>
      </c>
      <c r="Q103" t="n">
        <v>2</v>
      </c>
      <c r="R103" s="2" t="inlineStr">
        <is>
          <t>Korallrot
Spindelblomster</t>
        </is>
      </c>
      <c r="S103">
        <f>HYPERLINK("https://klasma.github.io/Logging_0380/artfynd/A 52165-2019 artfynd.xlsx", "A 52165-2019")</f>
        <v/>
      </c>
      <c r="T103">
        <f>HYPERLINK("https://klasma.github.io/Logging_0380/kartor/A 52165-2019 karta.png", "A 52165-2019")</f>
        <v/>
      </c>
      <c r="V103">
        <f>HYPERLINK("https://klasma.github.io/Logging_0380/klagomål/A 52165-2019 FSC-klagomål.docx", "A 52165-2019")</f>
        <v/>
      </c>
      <c r="W103">
        <f>HYPERLINK("https://klasma.github.io/Logging_0380/klagomålsmail/A 52165-2019 FSC-klagomål mail.docx", "A 52165-2019")</f>
        <v/>
      </c>
      <c r="X103">
        <f>HYPERLINK("https://klasma.github.io/Logging_0380/tillsyn/A 52165-2019 tillsynsbegäran.docx", "A 52165-2019")</f>
        <v/>
      </c>
      <c r="Y103">
        <f>HYPERLINK("https://klasma.github.io/Logging_0380/tillsynsmail/A 52165-2019 tillsynsbegäran mail.docx", "A 52165-2019")</f>
        <v/>
      </c>
    </row>
    <row r="104" ht="15" customHeight="1">
      <c r="A104" t="inlineStr">
        <is>
          <t>A 18468-2020</t>
        </is>
      </c>
      <c r="B104" s="1" t="n">
        <v>43929</v>
      </c>
      <c r="C104" s="1" t="n">
        <v>45834</v>
      </c>
      <c r="D104" t="inlineStr">
        <is>
          <t>UPPSALA LÄN</t>
        </is>
      </c>
      <c r="E104" t="inlineStr">
        <is>
          <t>UPPSALA</t>
        </is>
      </c>
      <c r="G104" t="n">
        <v>0.5</v>
      </c>
      <c r="H104" t="n">
        <v>1</v>
      </c>
      <c r="I104" t="n">
        <v>1</v>
      </c>
      <c r="J104" t="n">
        <v>0</v>
      </c>
      <c r="K104" t="n">
        <v>0</v>
      </c>
      <c r="L104" t="n">
        <v>0</v>
      </c>
      <c r="M104" t="n">
        <v>0</v>
      </c>
      <c r="N104" t="n">
        <v>0</v>
      </c>
      <c r="O104" t="n">
        <v>0</v>
      </c>
      <c r="P104" t="n">
        <v>0</v>
      </c>
      <c r="Q104" t="n">
        <v>2</v>
      </c>
      <c r="R104" s="2" t="inlineStr">
        <is>
          <t>Mindre märgborre
Gullviva</t>
        </is>
      </c>
      <c r="S104">
        <f>HYPERLINK("https://klasma.github.io/Logging_0380/artfynd/A 18468-2020 artfynd.xlsx", "A 18468-2020")</f>
        <v/>
      </c>
      <c r="T104">
        <f>HYPERLINK("https://klasma.github.io/Logging_0380/kartor/A 18468-2020 karta.png", "A 18468-2020")</f>
        <v/>
      </c>
      <c r="V104">
        <f>HYPERLINK("https://klasma.github.io/Logging_0380/klagomål/A 18468-2020 FSC-klagomål.docx", "A 18468-2020")</f>
        <v/>
      </c>
      <c r="W104">
        <f>HYPERLINK("https://klasma.github.io/Logging_0380/klagomålsmail/A 18468-2020 FSC-klagomål mail.docx", "A 18468-2020")</f>
        <v/>
      </c>
      <c r="X104">
        <f>HYPERLINK("https://klasma.github.io/Logging_0380/tillsyn/A 18468-2020 tillsynsbegäran.docx", "A 18468-2020")</f>
        <v/>
      </c>
      <c r="Y104">
        <f>HYPERLINK("https://klasma.github.io/Logging_0380/tillsynsmail/A 18468-2020 tillsynsbegäran mail.docx", "A 18468-2020")</f>
        <v/>
      </c>
    </row>
    <row r="105" ht="15" customHeight="1">
      <c r="A105" t="inlineStr">
        <is>
          <t>A 37289-2020</t>
        </is>
      </c>
      <c r="B105" s="1" t="n">
        <v>44054</v>
      </c>
      <c r="C105" s="1" t="n">
        <v>45834</v>
      </c>
      <c r="D105" t="inlineStr">
        <is>
          <t>UPPSALA LÄN</t>
        </is>
      </c>
      <c r="E105" t="inlineStr">
        <is>
          <t>UPPSALA</t>
        </is>
      </c>
      <c r="F105" t="inlineStr">
        <is>
          <t>Allmännings- och besparingsskogar</t>
        </is>
      </c>
      <c r="G105" t="n">
        <v>13.5</v>
      </c>
      <c r="H105" t="n">
        <v>0</v>
      </c>
      <c r="I105" t="n">
        <v>1</v>
      </c>
      <c r="J105" t="n">
        <v>1</v>
      </c>
      <c r="K105" t="n">
        <v>0</v>
      </c>
      <c r="L105" t="n">
        <v>0</v>
      </c>
      <c r="M105" t="n">
        <v>0</v>
      </c>
      <c r="N105" t="n">
        <v>0</v>
      </c>
      <c r="O105" t="n">
        <v>1</v>
      </c>
      <c r="P105" t="n">
        <v>0</v>
      </c>
      <c r="Q105" t="n">
        <v>2</v>
      </c>
      <c r="R105" s="2" t="inlineStr">
        <is>
          <t>Vedtrappmossa
Granbarkgnagare</t>
        </is>
      </c>
      <c r="S105">
        <f>HYPERLINK("https://klasma.github.io/Logging_0380/artfynd/A 37289-2020 artfynd.xlsx", "A 37289-2020")</f>
        <v/>
      </c>
      <c r="T105">
        <f>HYPERLINK("https://klasma.github.io/Logging_0380/kartor/A 37289-2020 karta.png", "A 37289-2020")</f>
        <v/>
      </c>
      <c r="V105">
        <f>HYPERLINK("https://klasma.github.io/Logging_0380/klagomål/A 37289-2020 FSC-klagomål.docx", "A 37289-2020")</f>
        <v/>
      </c>
      <c r="W105">
        <f>HYPERLINK("https://klasma.github.io/Logging_0380/klagomålsmail/A 37289-2020 FSC-klagomål mail.docx", "A 37289-2020")</f>
        <v/>
      </c>
      <c r="X105">
        <f>HYPERLINK("https://klasma.github.io/Logging_0380/tillsyn/A 37289-2020 tillsynsbegäran.docx", "A 37289-2020")</f>
        <v/>
      </c>
      <c r="Y105">
        <f>HYPERLINK("https://klasma.github.io/Logging_0380/tillsynsmail/A 37289-2020 tillsynsbegäran mail.docx", "A 37289-2020")</f>
        <v/>
      </c>
    </row>
    <row r="106" ht="15" customHeight="1">
      <c r="A106" t="inlineStr">
        <is>
          <t>A 48100-2020</t>
        </is>
      </c>
      <c r="B106" s="1" t="n">
        <v>44101</v>
      </c>
      <c r="C106" s="1" t="n">
        <v>45834</v>
      </c>
      <c r="D106" t="inlineStr">
        <is>
          <t>UPPSALA LÄN</t>
        </is>
      </c>
      <c r="E106" t="inlineStr">
        <is>
          <t>UPPSALA</t>
        </is>
      </c>
      <c r="F106" t="inlineStr">
        <is>
          <t>Sveaskog</t>
        </is>
      </c>
      <c r="G106" t="n">
        <v>8.800000000000001</v>
      </c>
      <c r="H106" t="n">
        <v>1</v>
      </c>
      <c r="I106" t="n">
        <v>1</v>
      </c>
      <c r="J106" t="n">
        <v>0</v>
      </c>
      <c r="K106" t="n">
        <v>0</v>
      </c>
      <c r="L106" t="n">
        <v>0</v>
      </c>
      <c r="M106" t="n">
        <v>0</v>
      </c>
      <c r="N106" t="n">
        <v>0</v>
      </c>
      <c r="O106" t="n">
        <v>0</v>
      </c>
      <c r="P106" t="n">
        <v>0</v>
      </c>
      <c r="Q106" t="n">
        <v>2</v>
      </c>
      <c r="R106" s="2" t="inlineStr">
        <is>
          <t>Svavelriska
Blåsippa</t>
        </is>
      </c>
      <c r="S106">
        <f>HYPERLINK("https://klasma.github.io/Logging_0380/artfynd/A 48100-2020 artfynd.xlsx", "A 48100-2020")</f>
        <v/>
      </c>
      <c r="T106">
        <f>HYPERLINK("https://klasma.github.io/Logging_0380/kartor/A 48100-2020 karta.png", "A 48100-2020")</f>
        <v/>
      </c>
      <c r="V106">
        <f>HYPERLINK("https://klasma.github.io/Logging_0380/klagomål/A 48100-2020 FSC-klagomål.docx", "A 48100-2020")</f>
        <v/>
      </c>
      <c r="W106">
        <f>HYPERLINK("https://klasma.github.io/Logging_0380/klagomålsmail/A 48100-2020 FSC-klagomål mail.docx", "A 48100-2020")</f>
        <v/>
      </c>
      <c r="X106">
        <f>HYPERLINK("https://klasma.github.io/Logging_0380/tillsyn/A 48100-2020 tillsynsbegäran.docx", "A 48100-2020")</f>
        <v/>
      </c>
      <c r="Y106">
        <f>HYPERLINK("https://klasma.github.io/Logging_0380/tillsynsmail/A 48100-2020 tillsynsbegäran mail.docx", "A 48100-2020")</f>
        <v/>
      </c>
    </row>
    <row r="107" ht="15" customHeight="1">
      <c r="A107" t="inlineStr">
        <is>
          <t>A 58906-2021</t>
        </is>
      </c>
      <c r="B107" s="1" t="n">
        <v>44489</v>
      </c>
      <c r="C107" s="1" t="n">
        <v>45834</v>
      </c>
      <c r="D107" t="inlineStr">
        <is>
          <t>UPPSALA LÄN</t>
        </is>
      </c>
      <c r="E107" t="inlineStr">
        <is>
          <t>UPPSALA</t>
        </is>
      </c>
      <c r="G107" t="n">
        <v>8.6</v>
      </c>
      <c r="H107" t="n">
        <v>1</v>
      </c>
      <c r="I107" t="n">
        <v>0</v>
      </c>
      <c r="J107" t="n">
        <v>1</v>
      </c>
      <c r="K107" t="n">
        <v>0</v>
      </c>
      <c r="L107" t="n">
        <v>0</v>
      </c>
      <c r="M107" t="n">
        <v>0</v>
      </c>
      <c r="N107" t="n">
        <v>0</v>
      </c>
      <c r="O107" t="n">
        <v>1</v>
      </c>
      <c r="P107" t="n">
        <v>0</v>
      </c>
      <c r="Q107" t="n">
        <v>2</v>
      </c>
      <c r="R107" s="2" t="inlineStr">
        <is>
          <t>Ullticka
Tjäder</t>
        </is>
      </c>
      <c r="S107">
        <f>HYPERLINK("https://klasma.github.io/Logging_0380/artfynd/A 58906-2021 artfynd.xlsx", "A 58906-2021")</f>
        <v/>
      </c>
      <c r="T107">
        <f>HYPERLINK("https://klasma.github.io/Logging_0380/kartor/A 58906-2021 karta.png", "A 58906-2021")</f>
        <v/>
      </c>
      <c r="V107">
        <f>HYPERLINK("https://klasma.github.io/Logging_0380/klagomål/A 58906-2021 FSC-klagomål.docx", "A 58906-2021")</f>
        <v/>
      </c>
      <c r="W107">
        <f>HYPERLINK("https://klasma.github.io/Logging_0380/klagomålsmail/A 58906-2021 FSC-klagomål mail.docx", "A 58906-2021")</f>
        <v/>
      </c>
      <c r="X107">
        <f>HYPERLINK("https://klasma.github.io/Logging_0380/tillsyn/A 58906-2021 tillsynsbegäran.docx", "A 58906-2021")</f>
        <v/>
      </c>
      <c r="Y107">
        <f>HYPERLINK("https://klasma.github.io/Logging_0380/tillsynsmail/A 58906-2021 tillsynsbegäran mail.docx", "A 58906-2021")</f>
        <v/>
      </c>
      <c r="Z107">
        <f>HYPERLINK("https://klasma.github.io/Logging_0380/fåglar/A 58906-2021 prioriterade fågelarter.docx", "A 58906-2021")</f>
        <v/>
      </c>
    </row>
    <row r="108" ht="15" customHeight="1">
      <c r="A108" t="inlineStr">
        <is>
          <t>A 15277-2022</t>
        </is>
      </c>
      <c r="B108" s="1" t="n">
        <v>44659</v>
      </c>
      <c r="C108" s="1" t="n">
        <v>45834</v>
      </c>
      <c r="D108" t="inlineStr">
        <is>
          <t>UPPSALA LÄN</t>
        </is>
      </c>
      <c r="E108" t="inlineStr">
        <is>
          <t>UPPSALA</t>
        </is>
      </c>
      <c r="G108" t="n">
        <v>8.9</v>
      </c>
      <c r="H108" t="n">
        <v>2</v>
      </c>
      <c r="I108" t="n">
        <v>0</v>
      </c>
      <c r="J108" t="n">
        <v>2</v>
      </c>
      <c r="K108" t="n">
        <v>0</v>
      </c>
      <c r="L108" t="n">
        <v>0</v>
      </c>
      <c r="M108" t="n">
        <v>0</v>
      </c>
      <c r="N108" t="n">
        <v>0</v>
      </c>
      <c r="O108" t="n">
        <v>2</v>
      </c>
      <c r="P108" t="n">
        <v>0</v>
      </c>
      <c r="Q108" t="n">
        <v>2</v>
      </c>
      <c r="R108" s="2" t="inlineStr">
        <is>
          <t>Entita
Mindre hackspett</t>
        </is>
      </c>
      <c r="S108">
        <f>HYPERLINK("https://klasma.github.io/Logging_0380/artfynd/A 15277-2022 artfynd.xlsx", "A 15277-2022")</f>
        <v/>
      </c>
      <c r="T108">
        <f>HYPERLINK("https://klasma.github.io/Logging_0380/kartor/A 15277-2022 karta.png", "A 15277-2022")</f>
        <v/>
      </c>
      <c r="V108">
        <f>HYPERLINK("https://klasma.github.io/Logging_0380/klagomål/A 15277-2022 FSC-klagomål.docx", "A 15277-2022")</f>
        <v/>
      </c>
      <c r="W108">
        <f>HYPERLINK("https://klasma.github.io/Logging_0380/klagomålsmail/A 15277-2022 FSC-klagomål mail.docx", "A 15277-2022")</f>
        <v/>
      </c>
      <c r="X108">
        <f>HYPERLINK("https://klasma.github.io/Logging_0380/tillsyn/A 15277-2022 tillsynsbegäran.docx", "A 15277-2022")</f>
        <v/>
      </c>
      <c r="Y108">
        <f>HYPERLINK("https://klasma.github.io/Logging_0380/tillsynsmail/A 15277-2022 tillsynsbegäran mail.docx", "A 15277-2022")</f>
        <v/>
      </c>
      <c r="Z108">
        <f>HYPERLINK("https://klasma.github.io/Logging_0380/fåglar/A 15277-2022 prioriterade fågelarter.docx", "A 15277-2022")</f>
        <v/>
      </c>
    </row>
    <row r="109" ht="15" customHeight="1">
      <c r="A109" t="inlineStr">
        <is>
          <t>A 17341-2022</t>
        </is>
      </c>
      <c r="B109" s="1" t="n">
        <v>44678</v>
      </c>
      <c r="C109" s="1" t="n">
        <v>45834</v>
      </c>
      <c r="D109" t="inlineStr">
        <is>
          <t>UPPSALA LÄN</t>
        </is>
      </c>
      <c r="E109" t="inlineStr">
        <is>
          <t>UPPSALA</t>
        </is>
      </c>
      <c r="F109" t="inlineStr">
        <is>
          <t>Övriga Aktiebolag</t>
        </is>
      </c>
      <c r="G109" t="n">
        <v>10.3</v>
      </c>
      <c r="H109" t="n">
        <v>2</v>
      </c>
      <c r="I109" t="n">
        <v>0</v>
      </c>
      <c r="J109" t="n">
        <v>2</v>
      </c>
      <c r="K109" t="n">
        <v>0</v>
      </c>
      <c r="L109" t="n">
        <v>0</v>
      </c>
      <c r="M109" t="n">
        <v>0</v>
      </c>
      <c r="N109" t="n">
        <v>0</v>
      </c>
      <c r="O109" t="n">
        <v>2</v>
      </c>
      <c r="P109" t="n">
        <v>0</v>
      </c>
      <c r="Q109" t="n">
        <v>2</v>
      </c>
      <c r="R109" s="2" t="inlineStr">
        <is>
          <t>Järpe
Tretåig hackspett</t>
        </is>
      </c>
      <c r="S109">
        <f>HYPERLINK("https://klasma.github.io/Logging_0380/artfynd/A 17341-2022 artfynd.xlsx", "A 17341-2022")</f>
        <v/>
      </c>
      <c r="T109">
        <f>HYPERLINK("https://klasma.github.io/Logging_0380/kartor/A 17341-2022 karta.png", "A 17341-2022")</f>
        <v/>
      </c>
      <c r="V109">
        <f>HYPERLINK("https://klasma.github.io/Logging_0380/klagomål/A 17341-2022 FSC-klagomål.docx", "A 17341-2022")</f>
        <v/>
      </c>
      <c r="W109">
        <f>HYPERLINK("https://klasma.github.io/Logging_0380/klagomålsmail/A 17341-2022 FSC-klagomål mail.docx", "A 17341-2022")</f>
        <v/>
      </c>
      <c r="X109">
        <f>HYPERLINK("https://klasma.github.io/Logging_0380/tillsyn/A 17341-2022 tillsynsbegäran.docx", "A 17341-2022")</f>
        <v/>
      </c>
      <c r="Y109">
        <f>HYPERLINK("https://klasma.github.io/Logging_0380/tillsynsmail/A 17341-2022 tillsynsbegäran mail.docx", "A 17341-2022")</f>
        <v/>
      </c>
      <c r="Z109">
        <f>HYPERLINK("https://klasma.github.io/Logging_0380/fåglar/A 17341-2022 prioriterade fågelarter.docx", "A 17341-2022")</f>
        <v/>
      </c>
    </row>
    <row r="110" ht="15" customHeight="1">
      <c r="A110" t="inlineStr">
        <is>
          <t>A 54082-2022</t>
        </is>
      </c>
      <c r="B110" s="1" t="n">
        <v>44879</v>
      </c>
      <c r="C110" s="1" t="n">
        <v>45834</v>
      </c>
      <c r="D110" t="inlineStr">
        <is>
          <t>UPPSALA LÄN</t>
        </is>
      </c>
      <c r="E110" t="inlineStr">
        <is>
          <t>UPPSALA</t>
        </is>
      </c>
      <c r="G110" t="n">
        <v>15.1</v>
      </c>
      <c r="H110" t="n">
        <v>0</v>
      </c>
      <c r="I110" t="n">
        <v>2</v>
      </c>
      <c r="J110" t="n">
        <v>0</v>
      </c>
      <c r="K110" t="n">
        <v>0</v>
      </c>
      <c r="L110" t="n">
        <v>0</v>
      </c>
      <c r="M110" t="n">
        <v>0</v>
      </c>
      <c r="N110" t="n">
        <v>0</v>
      </c>
      <c r="O110" t="n">
        <v>0</v>
      </c>
      <c r="P110" t="n">
        <v>0</v>
      </c>
      <c r="Q110" t="n">
        <v>2</v>
      </c>
      <c r="R110" s="2" t="inlineStr">
        <is>
          <t>Fjällig taggsvamp s.str.
Skarp dropptaggsvamp</t>
        </is>
      </c>
      <c r="S110">
        <f>HYPERLINK("https://klasma.github.io/Logging_0380/artfynd/A 54082-2022 artfynd.xlsx", "A 54082-2022")</f>
        <v/>
      </c>
      <c r="T110">
        <f>HYPERLINK("https://klasma.github.io/Logging_0380/kartor/A 54082-2022 karta.png", "A 54082-2022")</f>
        <v/>
      </c>
      <c r="V110">
        <f>HYPERLINK("https://klasma.github.io/Logging_0380/klagomål/A 54082-2022 FSC-klagomål.docx", "A 54082-2022")</f>
        <v/>
      </c>
      <c r="W110">
        <f>HYPERLINK("https://klasma.github.io/Logging_0380/klagomålsmail/A 54082-2022 FSC-klagomål mail.docx", "A 54082-2022")</f>
        <v/>
      </c>
      <c r="X110">
        <f>HYPERLINK("https://klasma.github.io/Logging_0380/tillsyn/A 54082-2022 tillsynsbegäran.docx", "A 54082-2022")</f>
        <v/>
      </c>
      <c r="Y110">
        <f>HYPERLINK("https://klasma.github.io/Logging_0380/tillsynsmail/A 54082-2022 tillsynsbegäran mail.docx", "A 54082-2022")</f>
        <v/>
      </c>
    </row>
    <row r="111" ht="15" customHeight="1">
      <c r="A111" t="inlineStr">
        <is>
          <t>A 6998-2023</t>
        </is>
      </c>
      <c r="B111" s="1" t="n">
        <v>44967</v>
      </c>
      <c r="C111" s="1" t="n">
        <v>45834</v>
      </c>
      <c r="D111" t="inlineStr">
        <is>
          <t>UPPSALA LÄN</t>
        </is>
      </c>
      <c r="E111" t="inlineStr">
        <is>
          <t>UPPSALA</t>
        </is>
      </c>
      <c r="G111" t="n">
        <v>8.4</v>
      </c>
      <c r="H111" t="n">
        <v>2</v>
      </c>
      <c r="I111" t="n">
        <v>0</v>
      </c>
      <c r="J111" t="n">
        <v>0</v>
      </c>
      <c r="K111" t="n">
        <v>0</v>
      </c>
      <c r="L111" t="n">
        <v>0</v>
      </c>
      <c r="M111" t="n">
        <v>0</v>
      </c>
      <c r="N111" t="n">
        <v>0</v>
      </c>
      <c r="O111" t="n">
        <v>0</v>
      </c>
      <c r="P111" t="n">
        <v>0</v>
      </c>
      <c r="Q111" t="n">
        <v>2</v>
      </c>
      <c r="R111" s="2" t="inlineStr">
        <is>
          <t>Nattviol
Blåsippa</t>
        </is>
      </c>
      <c r="S111">
        <f>HYPERLINK("https://klasma.github.io/Logging_0380/artfynd/A 6998-2023 artfynd.xlsx", "A 6998-2023")</f>
        <v/>
      </c>
      <c r="T111">
        <f>HYPERLINK("https://klasma.github.io/Logging_0380/kartor/A 6998-2023 karta.png", "A 6998-2023")</f>
        <v/>
      </c>
      <c r="V111">
        <f>HYPERLINK("https://klasma.github.io/Logging_0380/klagomål/A 6998-2023 FSC-klagomål.docx", "A 6998-2023")</f>
        <v/>
      </c>
      <c r="W111">
        <f>HYPERLINK("https://klasma.github.io/Logging_0380/klagomålsmail/A 6998-2023 FSC-klagomål mail.docx", "A 6998-2023")</f>
        <v/>
      </c>
      <c r="X111">
        <f>HYPERLINK("https://klasma.github.io/Logging_0380/tillsyn/A 6998-2023 tillsynsbegäran.docx", "A 6998-2023")</f>
        <v/>
      </c>
      <c r="Y111">
        <f>HYPERLINK("https://klasma.github.io/Logging_0380/tillsynsmail/A 6998-2023 tillsynsbegäran mail.docx", "A 6998-2023")</f>
        <v/>
      </c>
    </row>
    <row r="112" ht="15" customHeight="1">
      <c r="A112" t="inlineStr">
        <is>
          <t>A 13206-2023</t>
        </is>
      </c>
      <c r="B112" s="1" t="n">
        <v>45002</v>
      </c>
      <c r="C112" s="1" t="n">
        <v>45834</v>
      </c>
      <c r="D112" t="inlineStr">
        <is>
          <t>UPPSALA LÄN</t>
        </is>
      </c>
      <c r="E112" t="inlineStr">
        <is>
          <t>UPPSALA</t>
        </is>
      </c>
      <c r="F112" t="inlineStr">
        <is>
          <t>Holmen skog AB</t>
        </is>
      </c>
      <c r="G112" t="n">
        <v>5.1</v>
      </c>
      <c r="H112" t="n">
        <v>2</v>
      </c>
      <c r="I112" t="n">
        <v>0</v>
      </c>
      <c r="J112" t="n">
        <v>0</v>
      </c>
      <c r="K112" t="n">
        <v>0</v>
      </c>
      <c r="L112" t="n">
        <v>0</v>
      </c>
      <c r="M112" t="n">
        <v>0</v>
      </c>
      <c r="N112" t="n">
        <v>0</v>
      </c>
      <c r="O112" t="n">
        <v>0</v>
      </c>
      <c r="P112" t="n">
        <v>0</v>
      </c>
      <c r="Q112" t="n">
        <v>2</v>
      </c>
      <c r="R112" s="2" t="inlineStr">
        <is>
          <t>Blåsippa
Revlummer</t>
        </is>
      </c>
      <c r="S112">
        <f>HYPERLINK("https://klasma.github.io/Logging_0380/artfynd/A 13206-2023 artfynd.xlsx", "A 13206-2023")</f>
        <v/>
      </c>
      <c r="T112">
        <f>HYPERLINK("https://klasma.github.io/Logging_0380/kartor/A 13206-2023 karta.png", "A 13206-2023")</f>
        <v/>
      </c>
      <c r="V112">
        <f>HYPERLINK("https://klasma.github.io/Logging_0380/klagomål/A 13206-2023 FSC-klagomål.docx", "A 13206-2023")</f>
        <v/>
      </c>
      <c r="W112">
        <f>HYPERLINK("https://klasma.github.io/Logging_0380/klagomålsmail/A 13206-2023 FSC-klagomål mail.docx", "A 13206-2023")</f>
        <v/>
      </c>
      <c r="X112">
        <f>HYPERLINK("https://klasma.github.io/Logging_0380/tillsyn/A 13206-2023 tillsynsbegäran.docx", "A 13206-2023")</f>
        <v/>
      </c>
      <c r="Y112">
        <f>HYPERLINK("https://klasma.github.io/Logging_0380/tillsynsmail/A 13206-2023 tillsynsbegäran mail.docx", "A 13206-2023")</f>
        <v/>
      </c>
    </row>
    <row r="113" ht="15" customHeight="1">
      <c r="A113" t="inlineStr">
        <is>
          <t>A 17277-2023</t>
        </is>
      </c>
      <c r="B113" s="1" t="n">
        <v>45035</v>
      </c>
      <c r="C113" s="1" t="n">
        <v>45834</v>
      </c>
      <c r="D113" t="inlineStr">
        <is>
          <t>UPPSALA LÄN</t>
        </is>
      </c>
      <c r="E113" t="inlineStr">
        <is>
          <t>UPPSALA</t>
        </is>
      </c>
      <c r="F113" t="inlineStr">
        <is>
          <t>Övriga Aktiebolag</t>
        </is>
      </c>
      <c r="G113" t="n">
        <v>6.1</v>
      </c>
      <c r="H113" t="n">
        <v>2</v>
      </c>
      <c r="I113" t="n">
        <v>0</v>
      </c>
      <c r="J113" t="n">
        <v>1</v>
      </c>
      <c r="K113" t="n">
        <v>0</v>
      </c>
      <c r="L113" t="n">
        <v>0</v>
      </c>
      <c r="M113" t="n">
        <v>0</v>
      </c>
      <c r="N113" t="n">
        <v>0</v>
      </c>
      <c r="O113" t="n">
        <v>1</v>
      </c>
      <c r="P113" t="n">
        <v>0</v>
      </c>
      <c r="Q113" t="n">
        <v>2</v>
      </c>
      <c r="R113" s="2" t="inlineStr">
        <is>
          <t>Slaguggla
Trana</t>
        </is>
      </c>
      <c r="S113">
        <f>HYPERLINK("https://klasma.github.io/Logging_0380/artfynd/A 17277-2023 artfynd.xlsx", "A 17277-2023")</f>
        <v/>
      </c>
      <c r="T113">
        <f>HYPERLINK("https://klasma.github.io/Logging_0380/kartor/A 17277-2023 karta.png", "A 17277-2023")</f>
        <v/>
      </c>
      <c r="V113">
        <f>HYPERLINK("https://klasma.github.io/Logging_0380/klagomål/A 17277-2023 FSC-klagomål.docx", "A 17277-2023")</f>
        <v/>
      </c>
      <c r="W113">
        <f>HYPERLINK("https://klasma.github.io/Logging_0380/klagomålsmail/A 17277-2023 FSC-klagomål mail.docx", "A 17277-2023")</f>
        <v/>
      </c>
      <c r="X113">
        <f>HYPERLINK("https://klasma.github.io/Logging_0380/tillsyn/A 17277-2023 tillsynsbegäran.docx", "A 17277-2023")</f>
        <v/>
      </c>
      <c r="Y113">
        <f>HYPERLINK("https://klasma.github.io/Logging_0380/tillsynsmail/A 17277-2023 tillsynsbegäran mail.docx", "A 17277-2023")</f>
        <v/>
      </c>
      <c r="Z113">
        <f>HYPERLINK("https://klasma.github.io/Logging_0380/fåglar/A 17277-2023 prioriterade fågelarter.docx", "A 17277-2023")</f>
        <v/>
      </c>
    </row>
    <row r="114" ht="15" customHeight="1">
      <c r="A114" t="inlineStr">
        <is>
          <t>A 32675-2023</t>
        </is>
      </c>
      <c r="B114" s="1" t="n">
        <v>45121</v>
      </c>
      <c r="C114" s="1" t="n">
        <v>45834</v>
      </c>
      <c r="D114" t="inlineStr">
        <is>
          <t>UPPSALA LÄN</t>
        </is>
      </c>
      <c r="E114" t="inlineStr">
        <is>
          <t>UPPSALA</t>
        </is>
      </c>
      <c r="F114" t="inlineStr">
        <is>
          <t>Holmen skog AB</t>
        </is>
      </c>
      <c r="G114" t="n">
        <v>5.8</v>
      </c>
      <c r="H114" t="n">
        <v>1</v>
      </c>
      <c r="I114" t="n">
        <v>1</v>
      </c>
      <c r="J114" t="n">
        <v>0</v>
      </c>
      <c r="K114" t="n">
        <v>0</v>
      </c>
      <c r="L114" t="n">
        <v>0</v>
      </c>
      <c r="M114" t="n">
        <v>0</v>
      </c>
      <c r="N114" t="n">
        <v>0</v>
      </c>
      <c r="O114" t="n">
        <v>0</v>
      </c>
      <c r="P114" t="n">
        <v>0</v>
      </c>
      <c r="Q114" t="n">
        <v>2</v>
      </c>
      <c r="R114" s="2" t="inlineStr">
        <is>
          <t>Brandticka
Blåsippa</t>
        </is>
      </c>
      <c r="S114">
        <f>HYPERLINK("https://klasma.github.io/Logging_0380/artfynd/A 32675-2023 artfynd.xlsx", "A 32675-2023")</f>
        <v/>
      </c>
      <c r="T114">
        <f>HYPERLINK("https://klasma.github.io/Logging_0380/kartor/A 32675-2023 karta.png", "A 32675-2023")</f>
        <v/>
      </c>
      <c r="V114">
        <f>HYPERLINK("https://klasma.github.io/Logging_0380/klagomål/A 32675-2023 FSC-klagomål.docx", "A 32675-2023")</f>
        <v/>
      </c>
      <c r="W114">
        <f>HYPERLINK("https://klasma.github.io/Logging_0380/klagomålsmail/A 32675-2023 FSC-klagomål mail.docx", "A 32675-2023")</f>
        <v/>
      </c>
      <c r="X114">
        <f>HYPERLINK("https://klasma.github.io/Logging_0380/tillsyn/A 32675-2023 tillsynsbegäran.docx", "A 32675-2023")</f>
        <v/>
      </c>
      <c r="Y114">
        <f>HYPERLINK("https://klasma.github.io/Logging_0380/tillsynsmail/A 32675-2023 tillsynsbegäran mail.docx", "A 32675-2023")</f>
        <v/>
      </c>
    </row>
    <row r="115" ht="15" customHeight="1">
      <c r="A115" t="inlineStr">
        <is>
          <t>A 39933-2023</t>
        </is>
      </c>
      <c r="B115" s="1" t="n">
        <v>45168</v>
      </c>
      <c r="C115" s="1" t="n">
        <v>45834</v>
      </c>
      <c r="D115" t="inlineStr">
        <is>
          <t>UPPSALA LÄN</t>
        </is>
      </c>
      <c r="E115" t="inlineStr">
        <is>
          <t>UPPSALA</t>
        </is>
      </c>
      <c r="F115" t="inlineStr">
        <is>
          <t>Holmen skog AB</t>
        </is>
      </c>
      <c r="G115" t="n">
        <v>6.3</v>
      </c>
      <c r="H115" t="n">
        <v>2</v>
      </c>
      <c r="I115" t="n">
        <v>0</v>
      </c>
      <c r="J115" t="n">
        <v>2</v>
      </c>
      <c r="K115" t="n">
        <v>0</v>
      </c>
      <c r="L115" t="n">
        <v>0</v>
      </c>
      <c r="M115" t="n">
        <v>0</v>
      </c>
      <c r="N115" t="n">
        <v>0</v>
      </c>
      <c r="O115" t="n">
        <v>2</v>
      </c>
      <c r="P115" t="n">
        <v>0</v>
      </c>
      <c r="Q115" t="n">
        <v>2</v>
      </c>
      <c r="R115" s="2" t="inlineStr">
        <is>
          <t>Entita
Spillkråka</t>
        </is>
      </c>
      <c r="S115">
        <f>HYPERLINK("https://klasma.github.io/Logging_0380/artfynd/A 39933-2023 artfynd.xlsx", "A 39933-2023")</f>
        <v/>
      </c>
      <c r="T115">
        <f>HYPERLINK("https://klasma.github.io/Logging_0380/kartor/A 39933-2023 karta.png", "A 39933-2023")</f>
        <v/>
      </c>
      <c r="V115">
        <f>HYPERLINK("https://klasma.github.io/Logging_0380/klagomål/A 39933-2023 FSC-klagomål.docx", "A 39933-2023")</f>
        <v/>
      </c>
      <c r="W115">
        <f>HYPERLINK("https://klasma.github.io/Logging_0380/klagomålsmail/A 39933-2023 FSC-klagomål mail.docx", "A 39933-2023")</f>
        <v/>
      </c>
      <c r="X115">
        <f>HYPERLINK("https://klasma.github.io/Logging_0380/tillsyn/A 39933-2023 tillsynsbegäran.docx", "A 39933-2023")</f>
        <v/>
      </c>
      <c r="Y115">
        <f>HYPERLINK("https://klasma.github.io/Logging_0380/tillsynsmail/A 39933-2023 tillsynsbegäran mail.docx", "A 39933-2023")</f>
        <v/>
      </c>
      <c r="Z115">
        <f>HYPERLINK("https://klasma.github.io/Logging_0380/fåglar/A 39933-2023 prioriterade fågelarter.docx", "A 39933-2023")</f>
        <v/>
      </c>
    </row>
    <row r="116" ht="15" customHeight="1">
      <c r="A116" t="inlineStr">
        <is>
          <t>A 44675-2023</t>
        </is>
      </c>
      <c r="B116" s="1" t="n">
        <v>45189</v>
      </c>
      <c r="C116" s="1" t="n">
        <v>45834</v>
      </c>
      <c r="D116" t="inlineStr">
        <is>
          <t>UPPSALA LÄN</t>
        </is>
      </c>
      <c r="E116" t="inlineStr">
        <is>
          <t>UPPSALA</t>
        </is>
      </c>
      <c r="G116" t="n">
        <v>7.1</v>
      </c>
      <c r="H116" t="n">
        <v>2</v>
      </c>
      <c r="I116" t="n">
        <v>0</v>
      </c>
      <c r="J116" t="n">
        <v>1</v>
      </c>
      <c r="K116" t="n">
        <v>1</v>
      </c>
      <c r="L116" t="n">
        <v>0</v>
      </c>
      <c r="M116" t="n">
        <v>0</v>
      </c>
      <c r="N116" t="n">
        <v>0</v>
      </c>
      <c r="O116" t="n">
        <v>2</v>
      </c>
      <c r="P116" t="n">
        <v>1</v>
      </c>
      <c r="Q116" t="n">
        <v>2</v>
      </c>
      <c r="R116" s="2" t="inlineStr">
        <is>
          <t>Knärot
Talltita</t>
        </is>
      </c>
      <c r="S116">
        <f>HYPERLINK("https://klasma.github.io/Logging_0380/artfynd/A 44675-2023 artfynd.xlsx", "A 44675-2023")</f>
        <v/>
      </c>
      <c r="T116">
        <f>HYPERLINK("https://klasma.github.io/Logging_0380/kartor/A 44675-2023 karta.png", "A 44675-2023")</f>
        <v/>
      </c>
      <c r="U116">
        <f>HYPERLINK("https://klasma.github.io/Logging_0380/knärot/A 44675-2023 karta knärot.png", "A 44675-2023")</f>
        <v/>
      </c>
      <c r="V116">
        <f>HYPERLINK("https://klasma.github.io/Logging_0380/klagomål/A 44675-2023 FSC-klagomål.docx", "A 44675-2023")</f>
        <v/>
      </c>
      <c r="W116">
        <f>HYPERLINK("https://klasma.github.io/Logging_0380/klagomålsmail/A 44675-2023 FSC-klagomål mail.docx", "A 44675-2023")</f>
        <v/>
      </c>
      <c r="X116">
        <f>HYPERLINK("https://klasma.github.io/Logging_0380/tillsyn/A 44675-2023 tillsynsbegäran.docx", "A 44675-2023")</f>
        <v/>
      </c>
      <c r="Y116">
        <f>HYPERLINK("https://klasma.github.io/Logging_0380/tillsynsmail/A 44675-2023 tillsynsbegäran mail.docx", "A 44675-2023")</f>
        <v/>
      </c>
      <c r="Z116">
        <f>HYPERLINK("https://klasma.github.io/Logging_0380/fåglar/A 44675-2023 prioriterade fågelarter.docx", "A 44675-2023")</f>
        <v/>
      </c>
    </row>
    <row r="117" ht="15" customHeight="1">
      <c r="A117" t="inlineStr">
        <is>
          <t>A 51749-2023</t>
        </is>
      </c>
      <c r="B117" s="1" t="n">
        <v>45222</v>
      </c>
      <c r="C117" s="1" t="n">
        <v>45834</v>
      </c>
      <c r="D117" t="inlineStr">
        <is>
          <t>UPPSALA LÄN</t>
        </is>
      </c>
      <c r="E117" t="inlineStr">
        <is>
          <t>UPPSALA</t>
        </is>
      </c>
      <c r="G117" t="n">
        <v>3.6</v>
      </c>
      <c r="H117" t="n">
        <v>1</v>
      </c>
      <c r="I117" t="n">
        <v>0</v>
      </c>
      <c r="J117" t="n">
        <v>1</v>
      </c>
      <c r="K117" t="n">
        <v>0</v>
      </c>
      <c r="L117" t="n">
        <v>0</v>
      </c>
      <c r="M117" t="n">
        <v>0</v>
      </c>
      <c r="N117" t="n">
        <v>0</v>
      </c>
      <c r="O117" t="n">
        <v>1</v>
      </c>
      <c r="P117" t="n">
        <v>0</v>
      </c>
      <c r="Q117" t="n">
        <v>2</v>
      </c>
      <c r="R117" s="2" t="inlineStr">
        <is>
          <t>Säfferot
Gullviva</t>
        </is>
      </c>
      <c r="S117">
        <f>HYPERLINK("https://klasma.github.io/Logging_0380/artfynd/A 51749-2023 artfynd.xlsx", "A 51749-2023")</f>
        <v/>
      </c>
      <c r="T117">
        <f>HYPERLINK("https://klasma.github.io/Logging_0380/kartor/A 51749-2023 karta.png", "A 51749-2023")</f>
        <v/>
      </c>
      <c r="V117">
        <f>HYPERLINK("https://klasma.github.io/Logging_0380/klagomål/A 51749-2023 FSC-klagomål.docx", "A 51749-2023")</f>
        <v/>
      </c>
      <c r="W117">
        <f>HYPERLINK("https://klasma.github.io/Logging_0380/klagomålsmail/A 51749-2023 FSC-klagomål mail.docx", "A 51749-2023")</f>
        <v/>
      </c>
      <c r="X117">
        <f>HYPERLINK("https://klasma.github.io/Logging_0380/tillsyn/A 51749-2023 tillsynsbegäran.docx", "A 51749-2023")</f>
        <v/>
      </c>
      <c r="Y117">
        <f>HYPERLINK("https://klasma.github.io/Logging_0380/tillsynsmail/A 51749-2023 tillsynsbegäran mail.docx", "A 51749-2023")</f>
        <v/>
      </c>
    </row>
    <row r="118" ht="15" customHeight="1">
      <c r="A118" t="inlineStr">
        <is>
          <t>A 60703-2023</t>
        </is>
      </c>
      <c r="B118" s="1" t="n">
        <v>45260</v>
      </c>
      <c r="C118" s="1" t="n">
        <v>45834</v>
      </c>
      <c r="D118" t="inlineStr">
        <is>
          <t>UPPSALA LÄN</t>
        </is>
      </c>
      <c r="E118" t="inlineStr">
        <is>
          <t>UPPSALA</t>
        </is>
      </c>
      <c r="G118" t="n">
        <v>1.6</v>
      </c>
      <c r="H118" t="n">
        <v>0</v>
      </c>
      <c r="I118" t="n">
        <v>2</v>
      </c>
      <c r="J118" t="n">
        <v>0</v>
      </c>
      <c r="K118" t="n">
        <v>0</v>
      </c>
      <c r="L118" t="n">
        <v>0</v>
      </c>
      <c r="M118" t="n">
        <v>0</v>
      </c>
      <c r="N118" t="n">
        <v>0</v>
      </c>
      <c r="O118" t="n">
        <v>0</v>
      </c>
      <c r="P118" t="n">
        <v>0</v>
      </c>
      <c r="Q118" t="n">
        <v>2</v>
      </c>
      <c r="R118" s="2" t="inlineStr">
        <is>
          <t>Kantjordstjärna
Svavelriska</t>
        </is>
      </c>
      <c r="S118">
        <f>HYPERLINK("https://klasma.github.io/Logging_0380/artfynd/A 60703-2023 artfynd.xlsx", "A 60703-2023")</f>
        <v/>
      </c>
      <c r="T118">
        <f>HYPERLINK("https://klasma.github.io/Logging_0380/kartor/A 60703-2023 karta.png", "A 60703-2023")</f>
        <v/>
      </c>
      <c r="V118">
        <f>HYPERLINK("https://klasma.github.io/Logging_0380/klagomål/A 60703-2023 FSC-klagomål.docx", "A 60703-2023")</f>
        <v/>
      </c>
      <c r="W118">
        <f>HYPERLINK("https://klasma.github.io/Logging_0380/klagomålsmail/A 60703-2023 FSC-klagomål mail.docx", "A 60703-2023")</f>
        <v/>
      </c>
      <c r="X118">
        <f>HYPERLINK("https://klasma.github.io/Logging_0380/tillsyn/A 60703-2023 tillsynsbegäran.docx", "A 60703-2023")</f>
        <v/>
      </c>
      <c r="Y118">
        <f>HYPERLINK("https://klasma.github.io/Logging_0380/tillsynsmail/A 60703-2023 tillsynsbegäran mail.docx", "A 60703-2023")</f>
        <v/>
      </c>
    </row>
    <row r="119" ht="15" customHeight="1">
      <c r="A119" t="inlineStr">
        <is>
          <t>A 60712-2023</t>
        </is>
      </c>
      <c r="B119" s="1" t="n">
        <v>45260</v>
      </c>
      <c r="C119" s="1" t="n">
        <v>45834</v>
      </c>
      <c r="D119" t="inlineStr">
        <is>
          <t>UPPSALA LÄN</t>
        </is>
      </c>
      <c r="E119" t="inlineStr">
        <is>
          <t>UPPSALA</t>
        </is>
      </c>
      <c r="G119" t="n">
        <v>1</v>
      </c>
      <c r="H119" t="n">
        <v>0</v>
      </c>
      <c r="I119" t="n">
        <v>1</v>
      </c>
      <c r="J119" t="n">
        <v>1</v>
      </c>
      <c r="K119" t="n">
        <v>0</v>
      </c>
      <c r="L119" t="n">
        <v>0</v>
      </c>
      <c r="M119" t="n">
        <v>0</v>
      </c>
      <c r="N119" t="n">
        <v>0</v>
      </c>
      <c r="O119" t="n">
        <v>1</v>
      </c>
      <c r="P119" t="n">
        <v>0</v>
      </c>
      <c r="Q119" t="n">
        <v>2</v>
      </c>
      <c r="R119" s="2" t="inlineStr">
        <is>
          <t>Tallticka
Blodticka</t>
        </is>
      </c>
      <c r="S119">
        <f>HYPERLINK("https://klasma.github.io/Logging_0380/artfynd/A 60712-2023 artfynd.xlsx", "A 60712-2023")</f>
        <v/>
      </c>
      <c r="T119">
        <f>HYPERLINK("https://klasma.github.io/Logging_0380/kartor/A 60712-2023 karta.png", "A 60712-2023")</f>
        <v/>
      </c>
      <c r="V119">
        <f>HYPERLINK("https://klasma.github.io/Logging_0380/klagomål/A 60712-2023 FSC-klagomål.docx", "A 60712-2023")</f>
        <v/>
      </c>
      <c r="W119">
        <f>HYPERLINK("https://klasma.github.io/Logging_0380/klagomålsmail/A 60712-2023 FSC-klagomål mail.docx", "A 60712-2023")</f>
        <v/>
      </c>
      <c r="X119">
        <f>HYPERLINK("https://klasma.github.io/Logging_0380/tillsyn/A 60712-2023 tillsynsbegäran.docx", "A 60712-2023")</f>
        <v/>
      </c>
      <c r="Y119">
        <f>HYPERLINK("https://klasma.github.io/Logging_0380/tillsynsmail/A 60712-2023 tillsynsbegäran mail.docx", "A 60712-2023")</f>
        <v/>
      </c>
    </row>
    <row r="120" ht="15" customHeight="1">
      <c r="A120" t="inlineStr">
        <is>
          <t>A 88-2024</t>
        </is>
      </c>
      <c r="B120" s="1" t="n">
        <v>45293</v>
      </c>
      <c r="C120" s="1" t="n">
        <v>45834</v>
      </c>
      <c r="D120" t="inlineStr">
        <is>
          <t>UPPSALA LÄN</t>
        </is>
      </c>
      <c r="E120" t="inlineStr">
        <is>
          <t>UPPSALA</t>
        </is>
      </c>
      <c r="G120" t="n">
        <v>2.1</v>
      </c>
      <c r="H120" t="n">
        <v>0</v>
      </c>
      <c r="I120" t="n">
        <v>0</v>
      </c>
      <c r="J120" t="n">
        <v>1</v>
      </c>
      <c r="K120" t="n">
        <v>0</v>
      </c>
      <c r="L120" t="n">
        <v>1</v>
      </c>
      <c r="M120" t="n">
        <v>0</v>
      </c>
      <c r="N120" t="n">
        <v>0</v>
      </c>
      <c r="O120" t="n">
        <v>2</v>
      </c>
      <c r="P120" t="n">
        <v>1</v>
      </c>
      <c r="Q120" t="n">
        <v>2</v>
      </c>
      <c r="R120" s="2" t="inlineStr">
        <is>
          <t>Ask
Gullklöver</t>
        </is>
      </c>
      <c r="S120">
        <f>HYPERLINK("https://klasma.github.io/Logging_0380/artfynd/A 88-2024 artfynd.xlsx", "A 88-2024")</f>
        <v/>
      </c>
      <c r="T120">
        <f>HYPERLINK("https://klasma.github.io/Logging_0380/kartor/A 88-2024 karta.png", "A 88-2024")</f>
        <v/>
      </c>
      <c r="V120">
        <f>HYPERLINK("https://klasma.github.io/Logging_0380/klagomål/A 88-2024 FSC-klagomål.docx", "A 88-2024")</f>
        <v/>
      </c>
      <c r="W120">
        <f>HYPERLINK("https://klasma.github.io/Logging_0380/klagomålsmail/A 88-2024 FSC-klagomål mail.docx", "A 88-2024")</f>
        <v/>
      </c>
      <c r="X120">
        <f>HYPERLINK("https://klasma.github.io/Logging_0380/tillsyn/A 88-2024 tillsynsbegäran.docx", "A 88-2024")</f>
        <v/>
      </c>
      <c r="Y120">
        <f>HYPERLINK("https://klasma.github.io/Logging_0380/tillsynsmail/A 88-2024 tillsynsbegäran mail.docx", "A 88-2024")</f>
        <v/>
      </c>
    </row>
    <row r="121" ht="15" customHeight="1">
      <c r="A121" t="inlineStr">
        <is>
          <t>A 5185-2024</t>
        </is>
      </c>
      <c r="B121" s="1" t="n">
        <v>45330</v>
      </c>
      <c r="C121" s="1" t="n">
        <v>45834</v>
      </c>
      <c r="D121" t="inlineStr">
        <is>
          <t>UPPSALA LÄN</t>
        </is>
      </c>
      <c r="E121" t="inlineStr">
        <is>
          <t>UPPSALA</t>
        </is>
      </c>
      <c r="F121" t="inlineStr">
        <is>
          <t>Övriga Aktiebolag</t>
        </is>
      </c>
      <c r="G121" t="n">
        <v>13.1</v>
      </c>
      <c r="H121" t="n">
        <v>0</v>
      </c>
      <c r="I121" t="n">
        <v>1</v>
      </c>
      <c r="J121" t="n">
        <v>1</v>
      </c>
      <c r="K121" t="n">
        <v>0</v>
      </c>
      <c r="L121" t="n">
        <v>0</v>
      </c>
      <c r="M121" t="n">
        <v>0</v>
      </c>
      <c r="N121" t="n">
        <v>0</v>
      </c>
      <c r="O121" t="n">
        <v>1</v>
      </c>
      <c r="P121" t="n">
        <v>0</v>
      </c>
      <c r="Q121" t="n">
        <v>2</v>
      </c>
      <c r="R121" s="2" t="inlineStr">
        <is>
          <t>Skogsklocka
Sotlav</t>
        </is>
      </c>
      <c r="S121">
        <f>HYPERLINK("https://klasma.github.io/Logging_0380/artfynd/A 5185-2024 artfynd.xlsx", "A 5185-2024")</f>
        <v/>
      </c>
      <c r="T121">
        <f>HYPERLINK("https://klasma.github.io/Logging_0380/kartor/A 5185-2024 karta.png", "A 5185-2024")</f>
        <v/>
      </c>
      <c r="V121">
        <f>HYPERLINK("https://klasma.github.io/Logging_0380/klagomål/A 5185-2024 FSC-klagomål.docx", "A 5185-2024")</f>
        <v/>
      </c>
      <c r="W121">
        <f>HYPERLINK("https://klasma.github.io/Logging_0380/klagomålsmail/A 5185-2024 FSC-klagomål mail.docx", "A 5185-2024")</f>
        <v/>
      </c>
      <c r="X121">
        <f>HYPERLINK("https://klasma.github.io/Logging_0380/tillsyn/A 5185-2024 tillsynsbegäran.docx", "A 5185-2024")</f>
        <v/>
      </c>
      <c r="Y121">
        <f>HYPERLINK("https://klasma.github.io/Logging_0380/tillsynsmail/A 5185-2024 tillsynsbegäran mail.docx", "A 5185-2024")</f>
        <v/>
      </c>
    </row>
    <row r="122" ht="15" customHeight="1">
      <c r="A122" t="inlineStr">
        <is>
          <t>A 11230-2024</t>
        </is>
      </c>
      <c r="B122" s="1" t="n">
        <v>45371</v>
      </c>
      <c r="C122" s="1" t="n">
        <v>45834</v>
      </c>
      <c r="D122" t="inlineStr">
        <is>
          <t>UPPSALA LÄN</t>
        </is>
      </c>
      <c r="E122" t="inlineStr">
        <is>
          <t>UPPSALA</t>
        </is>
      </c>
      <c r="F122" t="inlineStr">
        <is>
          <t>Kommuner</t>
        </is>
      </c>
      <c r="G122" t="n">
        <v>2.1</v>
      </c>
      <c r="H122" t="n">
        <v>0</v>
      </c>
      <c r="I122" t="n">
        <v>1</v>
      </c>
      <c r="J122" t="n">
        <v>1</v>
      </c>
      <c r="K122" t="n">
        <v>0</v>
      </c>
      <c r="L122" t="n">
        <v>0</v>
      </c>
      <c r="M122" t="n">
        <v>0</v>
      </c>
      <c r="N122" t="n">
        <v>0</v>
      </c>
      <c r="O122" t="n">
        <v>1</v>
      </c>
      <c r="P122" t="n">
        <v>0</v>
      </c>
      <c r="Q122" t="n">
        <v>2</v>
      </c>
      <c r="R122" s="2" t="inlineStr">
        <is>
          <t>Tallticka
Fällmossa</t>
        </is>
      </c>
      <c r="S122">
        <f>HYPERLINK("https://klasma.github.io/Logging_0380/artfynd/A 11230-2024 artfynd.xlsx", "A 11230-2024")</f>
        <v/>
      </c>
      <c r="T122">
        <f>HYPERLINK("https://klasma.github.io/Logging_0380/kartor/A 11230-2024 karta.png", "A 11230-2024")</f>
        <v/>
      </c>
      <c r="V122">
        <f>HYPERLINK("https://klasma.github.io/Logging_0380/klagomål/A 11230-2024 FSC-klagomål.docx", "A 11230-2024")</f>
        <v/>
      </c>
      <c r="W122">
        <f>HYPERLINK("https://klasma.github.io/Logging_0380/klagomålsmail/A 11230-2024 FSC-klagomål mail.docx", "A 11230-2024")</f>
        <v/>
      </c>
      <c r="X122">
        <f>HYPERLINK("https://klasma.github.io/Logging_0380/tillsyn/A 11230-2024 tillsynsbegäran.docx", "A 11230-2024")</f>
        <v/>
      </c>
      <c r="Y122">
        <f>HYPERLINK("https://klasma.github.io/Logging_0380/tillsynsmail/A 11230-2024 tillsynsbegäran mail.docx", "A 11230-2024")</f>
        <v/>
      </c>
    </row>
    <row r="123" ht="15" customHeight="1">
      <c r="A123" t="inlineStr">
        <is>
          <t>A 11224-2024</t>
        </is>
      </c>
      <c r="B123" s="1" t="n">
        <v>45371</v>
      </c>
      <c r="C123" s="1" t="n">
        <v>45834</v>
      </c>
      <c r="D123" t="inlineStr">
        <is>
          <t>UPPSALA LÄN</t>
        </is>
      </c>
      <c r="E123" t="inlineStr">
        <is>
          <t>UPPSALA</t>
        </is>
      </c>
      <c r="F123" t="inlineStr">
        <is>
          <t>Kommuner</t>
        </is>
      </c>
      <c r="G123" t="n">
        <v>1.6</v>
      </c>
      <c r="H123" t="n">
        <v>2</v>
      </c>
      <c r="I123" t="n">
        <v>0</v>
      </c>
      <c r="J123" t="n">
        <v>0</v>
      </c>
      <c r="K123" t="n">
        <v>0</v>
      </c>
      <c r="L123" t="n">
        <v>0</v>
      </c>
      <c r="M123" t="n">
        <v>0</v>
      </c>
      <c r="N123" t="n">
        <v>0</v>
      </c>
      <c r="O123" t="n">
        <v>0</v>
      </c>
      <c r="P123" t="n">
        <v>0</v>
      </c>
      <c r="Q123" t="n">
        <v>2</v>
      </c>
      <c r="R123" s="2" t="inlineStr">
        <is>
          <t>Vanlig padda
Blåsippa</t>
        </is>
      </c>
      <c r="S123">
        <f>HYPERLINK("https://klasma.github.io/Logging_0380/artfynd/A 11224-2024 artfynd.xlsx", "A 11224-2024")</f>
        <v/>
      </c>
      <c r="T123">
        <f>HYPERLINK("https://klasma.github.io/Logging_0380/kartor/A 11224-2024 karta.png", "A 11224-2024")</f>
        <v/>
      </c>
      <c r="V123">
        <f>HYPERLINK("https://klasma.github.io/Logging_0380/klagomål/A 11224-2024 FSC-klagomål.docx", "A 11224-2024")</f>
        <v/>
      </c>
      <c r="W123">
        <f>HYPERLINK("https://klasma.github.io/Logging_0380/klagomålsmail/A 11224-2024 FSC-klagomål mail.docx", "A 11224-2024")</f>
        <v/>
      </c>
      <c r="X123">
        <f>HYPERLINK("https://klasma.github.io/Logging_0380/tillsyn/A 11224-2024 tillsynsbegäran.docx", "A 11224-2024")</f>
        <v/>
      </c>
      <c r="Y123">
        <f>HYPERLINK("https://klasma.github.io/Logging_0380/tillsynsmail/A 11224-2024 tillsynsbegäran mail.docx", "A 11224-2024")</f>
        <v/>
      </c>
    </row>
    <row r="124" ht="15" customHeight="1">
      <c r="A124" t="inlineStr">
        <is>
          <t>A 12039-2024</t>
        </is>
      </c>
      <c r="B124" s="1" t="n">
        <v>45377</v>
      </c>
      <c r="C124" s="1" t="n">
        <v>45834</v>
      </c>
      <c r="D124" t="inlineStr">
        <is>
          <t>UPPSALA LÄN</t>
        </is>
      </c>
      <c r="E124" t="inlineStr">
        <is>
          <t>UPPSALA</t>
        </is>
      </c>
      <c r="F124" t="inlineStr">
        <is>
          <t>Allmännings- och besparingsskogar</t>
        </is>
      </c>
      <c r="G124" t="n">
        <v>3.9</v>
      </c>
      <c r="H124" t="n">
        <v>1</v>
      </c>
      <c r="I124" t="n">
        <v>1</v>
      </c>
      <c r="J124" t="n">
        <v>1</v>
      </c>
      <c r="K124" t="n">
        <v>0</v>
      </c>
      <c r="L124" t="n">
        <v>0</v>
      </c>
      <c r="M124" t="n">
        <v>0</v>
      </c>
      <c r="N124" t="n">
        <v>0</v>
      </c>
      <c r="O124" t="n">
        <v>1</v>
      </c>
      <c r="P124" t="n">
        <v>0</v>
      </c>
      <c r="Q124" t="n">
        <v>2</v>
      </c>
      <c r="R124" s="2" t="inlineStr">
        <is>
          <t>Platt spretmossa
Grön sköldmossa</t>
        </is>
      </c>
      <c r="S124">
        <f>HYPERLINK("https://klasma.github.io/Logging_0380/artfynd/A 12039-2024 artfynd.xlsx", "A 12039-2024")</f>
        <v/>
      </c>
      <c r="T124">
        <f>HYPERLINK("https://klasma.github.io/Logging_0380/kartor/A 12039-2024 karta.png", "A 12039-2024")</f>
        <v/>
      </c>
      <c r="V124">
        <f>HYPERLINK("https://klasma.github.io/Logging_0380/klagomål/A 12039-2024 FSC-klagomål.docx", "A 12039-2024")</f>
        <v/>
      </c>
      <c r="W124">
        <f>HYPERLINK("https://klasma.github.io/Logging_0380/klagomålsmail/A 12039-2024 FSC-klagomål mail.docx", "A 12039-2024")</f>
        <v/>
      </c>
      <c r="X124">
        <f>HYPERLINK("https://klasma.github.io/Logging_0380/tillsyn/A 12039-2024 tillsynsbegäran.docx", "A 12039-2024")</f>
        <v/>
      </c>
      <c r="Y124">
        <f>HYPERLINK("https://klasma.github.io/Logging_0380/tillsynsmail/A 12039-2024 tillsynsbegäran mail.docx", "A 12039-2024")</f>
        <v/>
      </c>
    </row>
    <row r="125" ht="15" customHeight="1">
      <c r="A125" t="inlineStr">
        <is>
          <t>A 18347-2024</t>
        </is>
      </c>
      <c r="B125" s="1" t="n">
        <v>45422</v>
      </c>
      <c r="C125" s="1" t="n">
        <v>45834</v>
      </c>
      <c r="D125" t="inlineStr">
        <is>
          <t>UPPSALA LÄN</t>
        </is>
      </c>
      <c r="E125" t="inlineStr">
        <is>
          <t>UPPSALA</t>
        </is>
      </c>
      <c r="F125" t="inlineStr">
        <is>
          <t>Holmen skog AB</t>
        </is>
      </c>
      <c r="G125" t="n">
        <v>3.5</v>
      </c>
      <c r="H125" t="n">
        <v>1</v>
      </c>
      <c r="I125" t="n">
        <v>1</v>
      </c>
      <c r="J125" t="n">
        <v>0</v>
      </c>
      <c r="K125" t="n">
        <v>0</v>
      </c>
      <c r="L125" t="n">
        <v>0</v>
      </c>
      <c r="M125" t="n">
        <v>0</v>
      </c>
      <c r="N125" t="n">
        <v>0</v>
      </c>
      <c r="O125" t="n">
        <v>0</v>
      </c>
      <c r="P125" t="n">
        <v>0</v>
      </c>
      <c r="Q125" t="n">
        <v>2</v>
      </c>
      <c r="R125" s="2" t="inlineStr">
        <is>
          <t>Fällmossa
Blåsippa</t>
        </is>
      </c>
      <c r="S125">
        <f>HYPERLINK("https://klasma.github.io/Logging_0380/artfynd/A 18347-2024 artfynd.xlsx", "A 18347-2024")</f>
        <v/>
      </c>
      <c r="T125">
        <f>HYPERLINK("https://klasma.github.io/Logging_0380/kartor/A 18347-2024 karta.png", "A 18347-2024")</f>
        <v/>
      </c>
      <c r="V125">
        <f>HYPERLINK("https://klasma.github.io/Logging_0380/klagomål/A 18347-2024 FSC-klagomål.docx", "A 18347-2024")</f>
        <v/>
      </c>
      <c r="W125">
        <f>HYPERLINK("https://klasma.github.io/Logging_0380/klagomålsmail/A 18347-2024 FSC-klagomål mail.docx", "A 18347-2024")</f>
        <v/>
      </c>
      <c r="X125">
        <f>HYPERLINK("https://klasma.github.io/Logging_0380/tillsyn/A 18347-2024 tillsynsbegäran.docx", "A 18347-2024")</f>
        <v/>
      </c>
      <c r="Y125">
        <f>HYPERLINK("https://klasma.github.io/Logging_0380/tillsynsmail/A 18347-2024 tillsynsbegäran mail.docx", "A 18347-2024")</f>
        <v/>
      </c>
    </row>
    <row r="126" ht="15" customHeight="1">
      <c r="A126" t="inlineStr">
        <is>
          <t>A 27502-2024</t>
        </is>
      </c>
      <c r="B126" s="1" t="n">
        <v>45474</v>
      </c>
      <c r="C126" s="1" t="n">
        <v>45834</v>
      </c>
      <c r="D126" t="inlineStr">
        <is>
          <t>UPPSALA LÄN</t>
        </is>
      </c>
      <c r="E126" t="inlineStr">
        <is>
          <t>UPPSALA</t>
        </is>
      </c>
      <c r="G126" t="n">
        <v>13.6</v>
      </c>
      <c r="H126" t="n">
        <v>2</v>
      </c>
      <c r="I126" t="n">
        <v>0</v>
      </c>
      <c r="J126" t="n">
        <v>1</v>
      </c>
      <c r="K126" t="n">
        <v>1</v>
      </c>
      <c r="L126" t="n">
        <v>0</v>
      </c>
      <c r="M126" t="n">
        <v>0</v>
      </c>
      <c r="N126" t="n">
        <v>0</v>
      </c>
      <c r="O126" t="n">
        <v>2</v>
      </c>
      <c r="P126" t="n">
        <v>1</v>
      </c>
      <c r="Q126" t="n">
        <v>2</v>
      </c>
      <c r="R126" s="2" t="inlineStr">
        <is>
          <t>Knärot
Talltita</t>
        </is>
      </c>
      <c r="S126">
        <f>HYPERLINK("https://klasma.github.io/Logging_0380/artfynd/A 27502-2024 artfynd.xlsx", "A 27502-2024")</f>
        <v/>
      </c>
      <c r="T126">
        <f>HYPERLINK("https://klasma.github.io/Logging_0380/kartor/A 27502-2024 karta.png", "A 27502-2024")</f>
        <v/>
      </c>
      <c r="U126">
        <f>HYPERLINK("https://klasma.github.io/Logging_0380/knärot/A 27502-2024 karta knärot.png", "A 27502-2024")</f>
        <v/>
      </c>
      <c r="V126">
        <f>HYPERLINK("https://klasma.github.io/Logging_0380/klagomål/A 27502-2024 FSC-klagomål.docx", "A 27502-2024")</f>
        <v/>
      </c>
      <c r="W126">
        <f>HYPERLINK("https://klasma.github.io/Logging_0380/klagomålsmail/A 27502-2024 FSC-klagomål mail.docx", "A 27502-2024")</f>
        <v/>
      </c>
      <c r="X126">
        <f>HYPERLINK("https://klasma.github.io/Logging_0380/tillsyn/A 27502-2024 tillsynsbegäran.docx", "A 27502-2024")</f>
        <v/>
      </c>
      <c r="Y126">
        <f>HYPERLINK("https://klasma.github.io/Logging_0380/tillsynsmail/A 27502-2024 tillsynsbegäran mail.docx", "A 27502-2024")</f>
        <v/>
      </c>
      <c r="Z126">
        <f>HYPERLINK("https://klasma.github.io/Logging_0380/fåglar/A 27502-2024 prioriterade fågelarter.docx", "A 27502-2024")</f>
        <v/>
      </c>
    </row>
    <row r="127" ht="15" customHeight="1">
      <c r="A127" t="inlineStr">
        <is>
          <t>A 38958-2024</t>
        </is>
      </c>
      <c r="B127" s="1" t="n">
        <v>45548</v>
      </c>
      <c r="C127" s="1" t="n">
        <v>45834</v>
      </c>
      <c r="D127" t="inlineStr">
        <is>
          <t>UPPSALA LÄN</t>
        </is>
      </c>
      <c r="E127" t="inlineStr">
        <is>
          <t>UPPSALA</t>
        </is>
      </c>
      <c r="G127" t="n">
        <v>9.300000000000001</v>
      </c>
      <c r="H127" t="n">
        <v>0</v>
      </c>
      <c r="I127" t="n">
        <v>1</v>
      </c>
      <c r="J127" t="n">
        <v>1</v>
      </c>
      <c r="K127" t="n">
        <v>0</v>
      </c>
      <c r="L127" t="n">
        <v>0</v>
      </c>
      <c r="M127" t="n">
        <v>0</v>
      </c>
      <c r="N127" t="n">
        <v>0</v>
      </c>
      <c r="O127" t="n">
        <v>1</v>
      </c>
      <c r="P127" t="n">
        <v>0</v>
      </c>
      <c r="Q127" t="n">
        <v>2</v>
      </c>
      <c r="R127" s="2" t="inlineStr">
        <is>
          <t>Ullticka
Kattfotslav</t>
        </is>
      </c>
      <c r="S127">
        <f>HYPERLINK("https://klasma.github.io/Logging_0380/artfynd/A 38958-2024 artfynd.xlsx", "A 38958-2024")</f>
        <v/>
      </c>
      <c r="T127">
        <f>HYPERLINK("https://klasma.github.io/Logging_0380/kartor/A 38958-2024 karta.png", "A 38958-2024")</f>
        <v/>
      </c>
      <c r="V127">
        <f>HYPERLINK("https://klasma.github.io/Logging_0380/klagomål/A 38958-2024 FSC-klagomål.docx", "A 38958-2024")</f>
        <v/>
      </c>
      <c r="W127">
        <f>HYPERLINK("https://klasma.github.io/Logging_0380/klagomålsmail/A 38958-2024 FSC-klagomål mail.docx", "A 38958-2024")</f>
        <v/>
      </c>
      <c r="X127">
        <f>HYPERLINK("https://klasma.github.io/Logging_0380/tillsyn/A 38958-2024 tillsynsbegäran.docx", "A 38958-2024")</f>
        <v/>
      </c>
      <c r="Y127">
        <f>HYPERLINK("https://klasma.github.io/Logging_0380/tillsynsmail/A 38958-2024 tillsynsbegäran mail.docx", "A 38958-2024")</f>
        <v/>
      </c>
    </row>
    <row r="128" ht="15" customHeight="1">
      <c r="A128" t="inlineStr">
        <is>
          <t>A 61511-2024</t>
        </is>
      </c>
      <c r="B128" s="1" t="n">
        <v>45646</v>
      </c>
      <c r="C128" s="1" t="n">
        <v>45834</v>
      </c>
      <c r="D128" t="inlineStr">
        <is>
          <t>UPPSALA LÄN</t>
        </is>
      </c>
      <c r="E128" t="inlineStr">
        <is>
          <t>UPPSALA</t>
        </is>
      </c>
      <c r="F128" t="inlineStr">
        <is>
          <t>Bergvik skog väst AB</t>
        </is>
      </c>
      <c r="G128" t="n">
        <v>25.1</v>
      </c>
      <c r="H128" t="n">
        <v>0</v>
      </c>
      <c r="I128" t="n">
        <v>1</v>
      </c>
      <c r="J128" t="n">
        <v>0</v>
      </c>
      <c r="K128" t="n">
        <v>1</v>
      </c>
      <c r="L128" t="n">
        <v>0</v>
      </c>
      <c r="M128" t="n">
        <v>0</v>
      </c>
      <c r="N128" t="n">
        <v>0</v>
      </c>
      <c r="O128" t="n">
        <v>1</v>
      </c>
      <c r="P128" t="n">
        <v>1</v>
      </c>
      <c r="Q128" t="n">
        <v>2</v>
      </c>
      <c r="R128" s="2" t="inlineStr">
        <is>
          <t>Doftfjällskivling
Kamjordstjärna</t>
        </is>
      </c>
      <c r="S128">
        <f>HYPERLINK("https://klasma.github.io/Logging_0380/artfynd/A 61511-2024 artfynd.xlsx", "A 61511-2024")</f>
        <v/>
      </c>
      <c r="T128">
        <f>HYPERLINK("https://klasma.github.io/Logging_0380/kartor/A 61511-2024 karta.png", "A 61511-2024")</f>
        <v/>
      </c>
      <c r="V128">
        <f>HYPERLINK("https://klasma.github.io/Logging_0380/klagomål/A 61511-2024 FSC-klagomål.docx", "A 61511-2024")</f>
        <v/>
      </c>
      <c r="W128">
        <f>HYPERLINK("https://klasma.github.io/Logging_0380/klagomålsmail/A 61511-2024 FSC-klagomål mail.docx", "A 61511-2024")</f>
        <v/>
      </c>
      <c r="X128">
        <f>HYPERLINK("https://klasma.github.io/Logging_0380/tillsyn/A 61511-2024 tillsynsbegäran.docx", "A 61511-2024")</f>
        <v/>
      </c>
      <c r="Y128">
        <f>HYPERLINK("https://klasma.github.io/Logging_0380/tillsynsmail/A 61511-2024 tillsynsbegäran mail.docx", "A 61511-2024")</f>
        <v/>
      </c>
    </row>
    <row r="129" ht="15" customHeight="1">
      <c r="A129" t="inlineStr">
        <is>
          <t>A 1124-2025</t>
        </is>
      </c>
      <c r="B129" s="1" t="n">
        <v>45666</v>
      </c>
      <c r="C129" s="1" t="n">
        <v>45834</v>
      </c>
      <c r="D129" t="inlineStr">
        <is>
          <t>UPPSALA LÄN</t>
        </is>
      </c>
      <c r="E129" t="inlineStr">
        <is>
          <t>UPPSALA</t>
        </is>
      </c>
      <c r="G129" t="n">
        <v>8.300000000000001</v>
      </c>
      <c r="H129" t="n">
        <v>1</v>
      </c>
      <c r="I129" t="n">
        <v>1</v>
      </c>
      <c r="J129" t="n">
        <v>0</v>
      </c>
      <c r="K129" t="n">
        <v>1</v>
      </c>
      <c r="L129" t="n">
        <v>0</v>
      </c>
      <c r="M129" t="n">
        <v>0</v>
      </c>
      <c r="N129" t="n">
        <v>0</v>
      </c>
      <c r="O129" t="n">
        <v>1</v>
      </c>
      <c r="P129" t="n">
        <v>1</v>
      </c>
      <c r="Q129" t="n">
        <v>2</v>
      </c>
      <c r="R129" s="2" t="inlineStr">
        <is>
          <t>Rynkskinn
Grön sköldmossa</t>
        </is>
      </c>
      <c r="S129">
        <f>HYPERLINK("https://klasma.github.io/Logging_0380/artfynd/A 1124-2025 artfynd.xlsx", "A 1124-2025")</f>
        <v/>
      </c>
      <c r="T129">
        <f>HYPERLINK("https://klasma.github.io/Logging_0380/kartor/A 1124-2025 karta.png", "A 1124-2025")</f>
        <v/>
      </c>
      <c r="V129">
        <f>HYPERLINK("https://klasma.github.io/Logging_0380/klagomål/A 1124-2025 FSC-klagomål.docx", "A 1124-2025")</f>
        <v/>
      </c>
      <c r="W129">
        <f>HYPERLINK("https://klasma.github.io/Logging_0380/klagomålsmail/A 1124-2025 FSC-klagomål mail.docx", "A 1124-2025")</f>
        <v/>
      </c>
      <c r="X129">
        <f>HYPERLINK("https://klasma.github.io/Logging_0380/tillsyn/A 1124-2025 tillsynsbegäran.docx", "A 1124-2025")</f>
        <v/>
      </c>
      <c r="Y129">
        <f>HYPERLINK("https://klasma.github.io/Logging_0380/tillsynsmail/A 1124-2025 tillsynsbegäran mail.docx", "A 1124-2025")</f>
        <v/>
      </c>
    </row>
    <row r="130" ht="15" customHeight="1">
      <c r="A130" t="inlineStr">
        <is>
          <t>A 5703-2025</t>
        </is>
      </c>
      <c r="B130" s="1" t="n">
        <v>45694</v>
      </c>
      <c r="C130" s="1" t="n">
        <v>45834</v>
      </c>
      <c r="D130" t="inlineStr">
        <is>
          <t>UPPSALA LÄN</t>
        </is>
      </c>
      <c r="E130" t="inlineStr">
        <is>
          <t>UPPSALA</t>
        </is>
      </c>
      <c r="F130" t="inlineStr">
        <is>
          <t>Bergvik skog öst AB</t>
        </is>
      </c>
      <c r="G130" t="n">
        <v>12.1</v>
      </c>
      <c r="H130" t="n">
        <v>2</v>
      </c>
      <c r="I130" t="n">
        <v>0</v>
      </c>
      <c r="J130" t="n">
        <v>0</v>
      </c>
      <c r="K130" t="n">
        <v>0</v>
      </c>
      <c r="L130" t="n">
        <v>0</v>
      </c>
      <c r="M130" t="n">
        <v>0</v>
      </c>
      <c r="N130" t="n">
        <v>0</v>
      </c>
      <c r="O130" t="n">
        <v>0</v>
      </c>
      <c r="P130" t="n">
        <v>0</v>
      </c>
      <c r="Q130" t="n">
        <v>2</v>
      </c>
      <c r="R130" s="2" t="inlineStr">
        <is>
          <t>Fläcknycklar
Nattviol</t>
        </is>
      </c>
      <c r="S130">
        <f>HYPERLINK("https://klasma.github.io/Logging_0380/artfynd/A 5703-2025 artfynd.xlsx", "A 5703-2025")</f>
        <v/>
      </c>
      <c r="T130">
        <f>HYPERLINK("https://klasma.github.io/Logging_0380/kartor/A 5703-2025 karta.png", "A 5703-2025")</f>
        <v/>
      </c>
      <c r="V130">
        <f>HYPERLINK("https://klasma.github.io/Logging_0380/klagomål/A 5703-2025 FSC-klagomål.docx", "A 5703-2025")</f>
        <v/>
      </c>
      <c r="W130">
        <f>HYPERLINK("https://klasma.github.io/Logging_0380/klagomålsmail/A 5703-2025 FSC-klagomål mail.docx", "A 5703-2025")</f>
        <v/>
      </c>
      <c r="X130">
        <f>HYPERLINK("https://klasma.github.io/Logging_0380/tillsyn/A 5703-2025 tillsynsbegäran.docx", "A 5703-2025")</f>
        <v/>
      </c>
      <c r="Y130">
        <f>HYPERLINK("https://klasma.github.io/Logging_0380/tillsynsmail/A 5703-2025 tillsynsbegäran mail.docx", "A 5703-2025")</f>
        <v/>
      </c>
    </row>
    <row r="131" ht="15" customHeight="1">
      <c r="A131" t="inlineStr">
        <is>
          <t>A 5755-2025</t>
        </is>
      </c>
      <c r="B131" s="1" t="n">
        <v>45694</v>
      </c>
      <c r="C131" s="1" t="n">
        <v>45834</v>
      </c>
      <c r="D131" t="inlineStr">
        <is>
          <t>UPPSALA LÄN</t>
        </is>
      </c>
      <c r="E131" t="inlineStr">
        <is>
          <t>UPPSALA</t>
        </is>
      </c>
      <c r="G131" t="n">
        <v>1.3</v>
      </c>
      <c r="H131" t="n">
        <v>0</v>
      </c>
      <c r="I131" t="n">
        <v>2</v>
      </c>
      <c r="J131" t="n">
        <v>0</v>
      </c>
      <c r="K131" t="n">
        <v>0</v>
      </c>
      <c r="L131" t="n">
        <v>0</v>
      </c>
      <c r="M131" t="n">
        <v>0</v>
      </c>
      <c r="N131" t="n">
        <v>0</v>
      </c>
      <c r="O131" t="n">
        <v>0</v>
      </c>
      <c r="P131" t="n">
        <v>0</v>
      </c>
      <c r="Q131" t="n">
        <v>2</v>
      </c>
      <c r="R131" s="2" t="inlineStr">
        <is>
          <t>Fällmossa
Hasselticka</t>
        </is>
      </c>
      <c r="S131">
        <f>HYPERLINK("https://klasma.github.io/Logging_0380/artfynd/A 5755-2025 artfynd.xlsx", "A 5755-2025")</f>
        <v/>
      </c>
      <c r="T131">
        <f>HYPERLINK("https://klasma.github.io/Logging_0380/kartor/A 5755-2025 karta.png", "A 5755-2025")</f>
        <v/>
      </c>
      <c r="V131">
        <f>HYPERLINK("https://klasma.github.io/Logging_0380/klagomål/A 5755-2025 FSC-klagomål.docx", "A 5755-2025")</f>
        <v/>
      </c>
      <c r="W131">
        <f>HYPERLINK("https://klasma.github.io/Logging_0380/klagomålsmail/A 5755-2025 FSC-klagomål mail.docx", "A 5755-2025")</f>
        <v/>
      </c>
      <c r="X131">
        <f>HYPERLINK("https://klasma.github.io/Logging_0380/tillsyn/A 5755-2025 tillsynsbegäran.docx", "A 5755-2025")</f>
        <v/>
      </c>
      <c r="Y131">
        <f>HYPERLINK("https://klasma.github.io/Logging_0380/tillsynsmail/A 5755-2025 tillsynsbegäran mail.docx", "A 5755-2025")</f>
        <v/>
      </c>
    </row>
    <row r="132" ht="15" customHeight="1">
      <c r="A132" t="inlineStr">
        <is>
          <t>A 9401-2025</t>
        </is>
      </c>
      <c r="B132" s="1" t="n">
        <v>45715</v>
      </c>
      <c r="C132" s="1" t="n">
        <v>45834</v>
      </c>
      <c r="D132" t="inlineStr">
        <is>
          <t>UPPSALA LÄN</t>
        </is>
      </c>
      <c r="E132" t="inlineStr">
        <is>
          <t>UPPSALA</t>
        </is>
      </c>
      <c r="G132" t="n">
        <v>3.1</v>
      </c>
      <c r="H132" t="n">
        <v>2</v>
      </c>
      <c r="I132" t="n">
        <v>0</v>
      </c>
      <c r="J132" t="n">
        <v>0</v>
      </c>
      <c r="K132" t="n">
        <v>0</v>
      </c>
      <c r="L132" t="n">
        <v>0</v>
      </c>
      <c r="M132" t="n">
        <v>0</v>
      </c>
      <c r="N132" t="n">
        <v>0</v>
      </c>
      <c r="O132" t="n">
        <v>0</v>
      </c>
      <c r="P132" t="n">
        <v>0</v>
      </c>
      <c r="Q132" t="n">
        <v>2</v>
      </c>
      <c r="R132" s="2" t="inlineStr">
        <is>
          <t>Vanlig padda
Blåsippa</t>
        </is>
      </c>
      <c r="S132">
        <f>HYPERLINK("https://klasma.github.io/Logging_030380/artfynd/A 9401-2025 artfynd.xlsx", "A 9401-2025")</f>
        <v/>
      </c>
      <c r="T132">
        <f>HYPERLINK("https://klasma.github.io/Logging_030380/kartor/A 9401-2025 karta.png", "A 9401-2025")</f>
        <v/>
      </c>
      <c r="V132">
        <f>HYPERLINK("https://klasma.github.io/Logging_030380/klagomål/A 9401-2025 FSC-klagomål.docx", "A 9401-2025")</f>
        <v/>
      </c>
      <c r="W132">
        <f>HYPERLINK("https://klasma.github.io/Logging_030380/klagomålsmail/A 9401-2025 FSC-klagomål mail.docx", "A 9401-2025")</f>
        <v/>
      </c>
      <c r="X132">
        <f>HYPERLINK("https://klasma.github.io/Logging_030380/tillsyn/A 9401-2025 tillsynsbegäran.docx", "A 9401-2025")</f>
        <v/>
      </c>
      <c r="Y132">
        <f>HYPERLINK("https://klasma.github.io/Logging_030380/tillsynsmail/A 9401-2025 tillsynsbegäran mail.docx", "A 9401-2025")</f>
        <v/>
      </c>
    </row>
    <row r="133" ht="15" customHeight="1">
      <c r="A133" t="inlineStr">
        <is>
          <t>A 18425-2025</t>
        </is>
      </c>
      <c r="B133" s="1" t="n">
        <v>45762</v>
      </c>
      <c r="C133" s="1" t="n">
        <v>45834</v>
      </c>
      <c r="D133" t="inlineStr">
        <is>
          <t>UPPSALA LÄN</t>
        </is>
      </c>
      <c r="E133" t="inlineStr">
        <is>
          <t>UPPSALA</t>
        </is>
      </c>
      <c r="G133" t="n">
        <v>9.800000000000001</v>
      </c>
      <c r="H133" t="n">
        <v>1</v>
      </c>
      <c r="I133" t="n">
        <v>0</v>
      </c>
      <c r="J133" t="n">
        <v>2</v>
      </c>
      <c r="K133" t="n">
        <v>0</v>
      </c>
      <c r="L133" t="n">
        <v>0</v>
      </c>
      <c r="M133" t="n">
        <v>0</v>
      </c>
      <c r="N133" t="n">
        <v>0</v>
      </c>
      <c r="O133" t="n">
        <v>2</v>
      </c>
      <c r="P133" t="n">
        <v>0</v>
      </c>
      <c r="Q133" t="n">
        <v>2</v>
      </c>
      <c r="R133" s="2" t="inlineStr">
        <is>
          <t>Spillkråka
Tallticka</t>
        </is>
      </c>
      <c r="S133">
        <f>HYPERLINK("https://klasma.github.io/Logging_030380/artfynd/A 18425-2025 artfynd.xlsx", "A 18425-2025")</f>
        <v/>
      </c>
      <c r="T133">
        <f>HYPERLINK("https://klasma.github.io/Logging_030380/kartor/A 18425-2025 karta.png", "A 18425-2025")</f>
        <v/>
      </c>
      <c r="V133">
        <f>HYPERLINK("https://klasma.github.io/Logging_030380/klagomål/A 18425-2025 FSC-klagomål.docx", "A 18425-2025")</f>
        <v/>
      </c>
      <c r="W133">
        <f>HYPERLINK("https://klasma.github.io/Logging_030380/klagomålsmail/A 18425-2025 FSC-klagomål mail.docx", "A 18425-2025")</f>
        <v/>
      </c>
      <c r="X133">
        <f>HYPERLINK("https://klasma.github.io/Logging_030380/tillsyn/A 18425-2025 tillsynsbegäran.docx", "A 18425-2025")</f>
        <v/>
      </c>
      <c r="Y133">
        <f>HYPERLINK("https://klasma.github.io/Logging_030380/tillsynsmail/A 18425-2025 tillsynsbegäran mail.docx", "A 18425-2025")</f>
        <v/>
      </c>
      <c r="Z133">
        <f>HYPERLINK("https://klasma.github.io/Logging_030380/fåglar/A 18425-2025 prioriterade fågelarter.docx", "A 18425-2025")</f>
        <v/>
      </c>
    </row>
    <row r="134" ht="15" customHeight="1">
      <c r="A134" t="inlineStr">
        <is>
          <t>A 27281-2025</t>
        </is>
      </c>
      <c r="B134" s="1" t="n">
        <v>45812</v>
      </c>
      <c r="C134" s="1" t="n">
        <v>45834</v>
      </c>
      <c r="D134" t="inlineStr">
        <is>
          <t>UPPSALA LÄN</t>
        </is>
      </c>
      <c r="E134" t="inlineStr">
        <is>
          <t>UPPSALA</t>
        </is>
      </c>
      <c r="G134" t="n">
        <v>2.8</v>
      </c>
      <c r="H134" t="n">
        <v>0</v>
      </c>
      <c r="I134" t="n">
        <v>0</v>
      </c>
      <c r="J134" t="n">
        <v>2</v>
      </c>
      <c r="K134" t="n">
        <v>0</v>
      </c>
      <c r="L134" t="n">
        <v>0</v>
      </c>
      <c r="M134" t="n">
        <v>0</v>
      </c>
      <c r="N134" t="n">
        <v>0</v>
      </c>
      <c r="O134" t="n">
        <v>2</v>
      </c>
      <c r="P134" t="n">
        <v>0</v>
      </c>
      <c r="Q134" t="n">
        <v>2</v>
      </c>
      <c r="R134" s="2" t="inlineStr">
        <is>
          <t>Ullticka
Vedtrappmossa</t>
        </is>
      </c>
      <c r="S134">
        <f>HYPERLINK("https://klasma.github.io/Logging_030380/artfynd/A 27281-2025 artfynd.xlsx", "A 27281-2025")</f>
        <v/>
      </c>
      <c r="T134">
        <f>HYPERLINK("https://klasma.github.io/Logging_030380/kartor/A 27281-2025 karta.png", "A 27281-2025")</f>
        <v/>
      </c>
      <c r="V134">
        <f>HYPERLINK("https://klasma.github.io/Logging_030380/klagomål/A 27281-2025 FSC-klagomål.docx", "A 27281-2025")</f>
        <v/>
      </c>
      <c r="W134">
        <f>HYPERLINK("https://klasma.github.io/Logging_030380/klagomålsmail/A 27281-2025 FSC-klagomål mail.docx", "A 27281-2025")</f>
        <v/>
      </c>
      <c r="X134">
        <f>HYPERLINK("https://klasma.github.io/Logging_030380/tillsyn/A 27281-2025 tillsynsbegäran.docx", "A 27281-2025")</f>
        <v/>
      </c>
      <c r="Y134">
        <f>HYPERLINK("https://klasma.github.io/Logging_030380/tillsynsmail/A 27281-2025 tillsynsbegäran mail.docx", "A 27281-2025")</f>
        <v/>
      </c>
    </row>
    <row r="135" ht="15" customHeight="1">
      <c r="A135" t="inlineStr">
        <is>
          <t>A 21862-2019</t>
        </is>
      </c>
      <c r="B135" s="1" t="n">
        <v>43583</v>
      </c>
      <c r="C135" s="1" t="n">
        <v>45834</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45834</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45834</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45834</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45834</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45834</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45834</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45834</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45834</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45834</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45834</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45834</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45834</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45834</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45834</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45834</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45834</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45834</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45834</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45834</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45834</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45834</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45834</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45834</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45834</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45834</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45834</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45834</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45834</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45834</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45834</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45834</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45834</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45834</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45834</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45834</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45834</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45834</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45834</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45834</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45834</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45834</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45834</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45834</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45834</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45834</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45834</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45834</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45834</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45834</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45834</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45834</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45834</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45834</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45834</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45834</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45834</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45834</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45834</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45834</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45834</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45834</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45834</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45834</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45834</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45834</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45834</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45834</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45834</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45834</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45834</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45834</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45834</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45834</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45834</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45834</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45834</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45834</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45834</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45834</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45834</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45834</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45834</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45834</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45834</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45834</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45834</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45834</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45834</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45834</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45834</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28056-2025</t>
        </is>
      </c>
      <c r="B226" s="1" t="n">
        <v>45817</v>
      </c>
      <c r="C226" s="1" t="n">
        <v>45834</v>
      </c>
      <c r="D226" t="inlineStr">
        <is>
          <t>UPPSALA LÄN</t>
        </is>
      </c>
      <c r="E226" t="inlineStr">
        <is>
          <t>UPPSALA</t>
        </is>
      </c>
      <c r="G226" t="n">
        <v>19.3</v>
      </c>
      <c r="H226" t="n">
        <v>1</v>
      </c>
      <c r="I226" t="n">
        <v>0</v>
      </c>
      <c r="J226" t="n">
        <v>0</v>
      </c>
      <c r="K226" t="n">
        <v>1</v>
      </c>
      <c r="L226" t="n">
        <v>0</v>
      </c>
      <c r="M226" t="n">
        <v>0</v>
      </c>
      <c r="N226" t="n">
        <v>0</v>
      </c>
      <c r="O226" t="n">
        <v>1</v>
      </c>
      <c r="P226" t="n">
        <v>1</v>
      </c>
      <c r="Q226" t="n">
        <v>1</v>
      </c>
      <c r="R226" s="2" t="inlineStr">
        <is>
          <t>Knärot</t>
        </is>
      </c>
      <c r="S226">
        <f>HYPERLINK("https://klasma.github.io/Logging_030380/artfynd/A 28056-2025 artfynd.xlsx", "A 28056-2025")</f>
        <v/>
      </c>
      <c r="T226">
        <f>HYPERLINK("https://klasma.github.io/Logging_030380/kartor/A 28056-2025 karta.png", "A 28056-2025")</f>
        <v/>
      </c>
      <c r="U226">
        <f>HYPERLINK("https://klasma.github.io/Logging_030380/knärot/A 28056-2025 karta knärot.png", "A 28056-2025")</f>
        <v/>
      </c>
      <c r="V226">
        <f>HYPERLINK("https://klasma.github.io/Logging_030380/klagomål/A 28056-2025 FSC-klagomål.docx", "A 28056-2025")</f>
        <v/>
      </c>
      <c r="W226">
        <f>HYPERLINK("https://klasma.github.io/Logging_030380/klagomålsmail/A 28056-2025 FSC-klagomål mail.docx", "A 28056-2025")</f>
        <v/>
      </c>
      <c r="X226">
        <f>HYPERLINK("https://klasma.github.io/Logging_030380/tillsyn/A 28056-2025 tillsynsbegäran.docx", "A 28056-2025")</f>
        <v/>
      </c>
      <c r="Y226">
        <f>HYPERLINK("https://klasma.github.io/Logging_030380/tillsynsmail/A 28056-2025 tillsynsbegäran mail.docx", "A 28056-2025")</f>
        <v/>
      </c>
    </row>
    <row r="227" ht="15" customHeight="1">
      <c r="A227" t="inlineStr">
        <is>
          <t>A 27824-2025</t>
        </is>
      </c>
      <c r="B227" s="1" t="n">
        <v>45817</v>
      </c>
      <c r="C227" s="1" t="n">
        <v>45834</v>
      </c>
      <c r="D227" t="inlineStr">
        <is>
          <t>UPPSALA LÄN</t>
        </is>
      </c>
      <c r="E227" t="inlineStr">
        <is>
          <t>UPPSALA</t>
        </is>
      </c>
      <c r="F227" t="inlineStr">
        <is>
          <t>Kyrkan</t>
        </is>
      </c>
      <c r="G227" t="n">
        <v>3.3</v>
      </c>
      <c r="H227" t="n">
        <v>0</v>
      </c>
      <c r="I227" t="n">
        <v>1</v>
      </c>
      <c r="J227" t="n">
        <v>0</v>
      </c>
      <c r="K227" t="n">
        <v>0</v>
      </c>
      <c r="L227" t="n">
        <v>0</v>
      </c>
      <c r="M227" t="n">
        <v>0</v>
      </c>
      <c r="N227" t="n">
        <v>0</v>
      </c>
      <c r="O227" t="n">
        <v>0</v>
      </c>
      <c r="P227" t="n">
        <v>0</v>
      </c>
      <c r="Q227" t="n">
        <v>1</v>
      </c>
      <c r="R227" s="2" t="inlineStr">
        <is>
          <t>Sårläka</t>
        </is>
      </c>
      <c r="S227">
        <f>HYPERLINK("https://klasma.github.io/Logging_030380/artfynd/A 27824-2025 artfynd.xlsx", "A 27824-2025")</f>
        <v/>
      </c>
      <c r="T227">
        <f>HYPERLINK("https://klasma.github.io/Logging_030380/kartor/A 27824-2025 karta.png", "A 27824-2025")</f>
        <v/>
      </c>
      <c r="V227">
        <f>HYPERLINK("https://klasma.github.io/Logging_030380/klagomål/A 27824-2025 FSC-klagomål.docx", "A 27824-2025")</f>
        <v/>
      </c>
      <c r="W227">
        <f>HYPERLINK("https://klasma.github.io/Logging_030380/klagomålsmail/A 27824-2025 FSC-klagomål mail.docx", "A 27824-2025")</f>
        <v/>
      </c>
      <c r="X227">
        <f>HYPERLINK("https://klasma.github.io/Logging_030380/tillsyn/A 27824-2025 tillsynsbegäran.docx", "A 27824-2025")</f>
        <v/>
      </c>
      <c r="Y227">
        <f>HYPERLINK("https://klasma.github.io/Logging_030380/tillsynsmail/A 27824-2025 tillsynsbegäran mail.docx", "A 27824-2025")</f>
        <v/>
      </c>
    </row>
    <row r="228" ht="15" customHeight="1">
      <c r="A228" t="inlineStr">
        <is>
          <t>A 28299-2025</t>
        </is>
      </c>
      <c r="B228" s="1" t="n">
        <v>45818</v>
      </c>
      <c r="C228" s="1" t="n">
        <v>45834</v>
      </c>
      <c r="D228" t="inlineStr">
        <is>
          <t>UPPSALA LÄN</t>
        </is>
      </c>
      <c r="E228" t="inlineStr">
        <is>
          <t>UPPSALA</t>
        </is>
      </c>
      <c r="F228" t="inlineStr">
        <is>
          <t>Holmen skog AB</t>
        </is>
      </c>
      <c r="G228" t="n">
        <v>12</v>
      </c>
      <c r="H228" t="n">
        <v>0</v>
      </c>
      <c r="I228" t="n">
        <v>0</v>
      </c>
      <c r="J228" t="n">
        <v>1</v>
      </c>
      <c r="K228" t="n">
        <v>0</v>
      </c>
      <c r="L228" t="n">
        <v>0</v>
      </c>
      <c r="M228" t="n">
        <v>0</v>
      </c>
      <c r="N228" t="n">
        <v>0</v>
      </c>
      <c r="O228" t="n">
        <v>1</v>
      </c>
      <c r="P228" t="n">
        <v>0</v>
      </c>
      <c r="Q228" t="n">
        <v>1</v>
      </c>
      <c r="R228" s="2" t="inlineStr">
        <is>
          <t>Slåtterfibbla</t>
        </is>
      </c>
      <c r="S228">
        <f>HYPERLINK("https://klasma.github.io/Logging_030380/artfynd/A 28299-2025 artfynd.xlsx", "A 28299-2025")</f>
        <v/>
      </c>
      <c r="T228">
        <f>HYPERLINK("https://klasma.github.io/Logging_030380/kartor/A 28299-2025 karta.png", "A 28299-2025")</f>
        <v/>
      </c>
      <c r="V228">
        <f>HYPERLINK("https://klasma.github.io/Logging_030380/klagomål/A 28299-2025 FSC-klagomål.docx", "A 28299-2025")</f>
        <v/>
      </c>
      <c r="W228">
        <f>HYPERLINK("https://klasma.github.io/Logging_030380/klagomålsmail/A 28299-2025 FSC-klagomål mail.docx", "A 28299-2025")</f>
        <v/>
      </c>
      <c r="X228">
        <f>HYPERLINK("https://klasma.github.io/Logging_030380/tillsyn/A 28299-2025 tillsynsbegäran.docx", "A 28299-2025")</f>
        <v/>
      </c>
      <c r="Y228">
        <f>HYPERLINK("https://klasma.github.io/Logging_030380/tillsynsmail/A 28299-2025 tillsynsbegäran mail.docx", "A 28299-2025")</f>
        <v/>
      </c>
    </row>
    <row r="229" ht="15" customHeight="1">
      <c r="A229" t="inlineStr">
        <is>
          <t>A 28950-2025</t>
        </is>
      </c>
      <c r="B229" s="1" t="n">
        <v>45820</v>
      </c>
      <c r="C229" s="1" t="n">
        <v>45834</v>
      </c>
      <c r="D229" t="inlineStr">
        <is>
          <t>UPPSALA LÄN</t>
        </is>
      </c>
      <c r="E229" t="inlineStr">
        <is>
          <t>UPPSALA</t>
        </is>
      </c>
      <c r="F229" t="inlineStr">
        <is>
          <t>Bergvik skog öst AB</t>
        </is>
      </c>
      <c r="G229" t="n">
        <v>6</v>
      </c>
      <c r="H229" t="n">
        <v>0</v>
      </c>
      <c r="I229" t="n">
        <v>0</v>
      </c>
      <c r="J229" t="n">
        <v>0</v>
      </c>
      <c r="K229" t="n">
        <v>0</v>
      </c>
      <c r="L229" t="n">
        <v>1</v>
      </c>
      <c r="M229" t="n">
        <v>0</v>
      </c>
      <c r="N229" t="n">
        <v>0</v>
      </c>
      <c r="O229" t="n">
        <v>1</v>
      </c>
      <c r="P229" t="n">
        <v>1</v>
      </c>
      <c r="Q229" t="n">
        <v>1</v>
      </c>
      <c r="R229" s="2" t="inlineStr">
        <is>
          <t>Fältgentiana</t>
        </is>
      </c>
      <c r="S229">
        <f>HYPERLINK("https://klasma.github.io/Logging_030380/artfynd/A 28950-2025 artfynd.xlsx", "A 28950-2025")</f>
        <v/>
      </c>
      <c r="T229">
        <f>HYPERLINK("https://klasma.github.io/Logging_030380/kartor/A 28950-2025 karta.png", "A 28950-2025")</f>
        <v/>
      </c>
      <c r="V229">
        <f>HYPERLINK("https://klasma.github.io/Logging_030380/klagomål/A 28950-2025 FSC-klagomål.docx", "A 28950-2025")</f>
        <v/>
      </c>
      <c r="W229">
        <f>HYPERLINK("https://klasma.github.io/Logging_030380/klagomålsmail/A 28950-2025 FSC-klagomål mail.docx", "A 28950-2025")</f>
        <v/>
      </c>
      <c r="X229">
        <f>HYPERLINK("https://klasma.github.io/Logging_030380/tillsyn/A 28950-2025 tillsynsbegäran.docx", "A 28950-2025")</f>
        <v/>
      </c>
      <c r="Y229">
        <f>HYPERLINK("https://klasma.github.io/Logging_030380/tillsynsmail/A 28950-2025 tillsynsbegäran mail.docx", "A 28950-2025")</f>
        <v/>
      </c>
    </row>
    <row r="230" ht="15" customHeight="1">
      <c r="A230" t="inlineStr">
        <is>
          <t>A 17828-2019</t>
        </is>
      </c>
      <c r="B230" s="1" t="n">
        <v>43556</v>
      </c>
      <c r="C230" s="1" t="n">
        <v>45834</v>
      </c>
      <c r="D230" t="inlineStr">
        <is>
          <t>UPPSALA LÄN</t>
        </is>
      </c>
      <c r="E230" t="inlineStr">
        <is>
          <t>UPPSALA</t>
        </is>
      </c>
      <c r="G230" t="n">
        <v>2.8</v>
      </c>
      <c r="H230" t="n">
        <v>0</v>
      </c>
      <c r="I230" t="n">
        <v>0</v>
      </c>
      <c r="J230" t="n">
        <v>0</v>
      </c>
      <c r="K230" t="n">
        <v>0</v>
      </c>
      <c r="L230" t="n">
        <v>0</v>
      </c>
      <c r="M230" t="n">
        <v>0</v>
      </c>
      <c r="N230" t="n">
        <v>0</v>
      </c>
      <c r="O230" t="n">
        <v>0</v>
      </c>
      <c r="P230" t="n">
        <v>0</v>
      </c>
      <c r="Q230" t="n">
        <v>0</v>
      </c>
      <c r="R230" s="2" t="inlineStr"/>
    </row>
    <row r="231" ht="15" customHeight="1">
      <c r="A231" t="inlineStr">
        <is>
          <t>A 18446-2019</t>
        </is>
      </c>
      <c r="B231" s="1" t="n">
        <v>43559</v>
      </c>
      <c r="C231" s="1" t="n">
        <v>45834</v>
      </c>
      <c r="D231" t="inlineStr">
        <is>
          <t>UPPSALA LÄN</t>
        </is>
      </c>
      <c r="E231" t="inlineStr">
        <is>
          <t>UPPSALA</t>
        </is>
      </c>
      <c r="G231" t="n">
        <v>9.1</v>
      </c>
      <c r="H231" t="n">
        <v>0</v>
      </c>
      <c r="I231" t="n">
        <v>0</v>
      </c>
      <c r="J231" t="n">
        <v>0</v>
      </c>
      <c r="K231" t="n">
        <v>0</v>
      </c>
      <c r="L231" t="n">
        <v>0</v>
      </c>
      <c r="M231" t="n">
        <v>0</v>
      </c>
      <c r="N231" t="n">
        <v>0</v>
      </c>
      <c r="O231" t="n">
        <v>0</v>
      </c>
      <c r="P231" t="n">
        <v>0</v>
      </c>
      <c r="Q231" t="n">
        <v>0</v>
      </c>
      <c r="R231" s="2" t="inlineStr"/>
    </row>
    <row r="232" ht="15" customHeight="1">
      <c r="A232" t="inlineStr">
        <is>
          <t>A 18554-2019</t>
        </is>
      </c>
      <c r="B232" s="1" t="n">
        <v>43559</v>
      </c>
      <c r="C232" s="1" t="n">
        <v>45834</v>
      </c>
      <c r="D232" t="inlineStr">
        <is>
          <t>UPPSALA LÄN</t>
        </is>
      </c>
      <c r="E232" t="inlineStr">
        <is>
          <t>UPPSALA</t>
        </is>
      </c>
      <c r="G232" t="n">
        <v>5.6</v>
      </c>
      <c r="H232" t="n">
        <v>0</v>
      </c>
      <c r="I232" t="n">
        <v>0</v>
      </c>
      <c r="J232" t="n">
        <v>0</v>
      </c>
      <c r="K232" t="n">
        <v>0</v>
      </c>
      <c r="L232" t="n">
        <v>0</v>
      </c>
      <c r="M232" t="n">
        <v>0</v>
      </c>
      <c r="N232" t="n">
        <v>0</v>
      </c>
      <c r="O232" t="n">
        <v>0</v>
      </c>
      <c r="P232" t="n">
        <v>0</v>
      </c>
      <c r="Q232" t="n">
        <v>0</v>
      </c>
      <c r="R232" s="2" t="inlineStr"/>
    </row>
    <row r="233" ht="15" customHeight="1">
      <c r="A233" t="inlineStr">
        <is>
          <t>A 18810-2019</t>
        </is>
      </c>
      <c r="B233" s="1" t="n">
        <v>43560</v>
      </c>
      <c r="C233" s="1" t="n">
        <v>45834</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20011-2019</t>
        </is>
      </c>
      <c r="B234" s="1" t="n">
        <v>43570</v>
      </c>
      <c r="C234" s="1" t="n">
        <v>45834</v>
      </c>
      <c r="D234" t="inlineStr">
        <is>
          <t>UPPSALA LÄN</t>
        </is>
      </c>
      <c r="E234" t="inlineStr">
        <is>
          <t>UPPSALA</t>
        </is>
      </c>
      <c r="G234" t="n">
        <v>6.3</v>
      </c>
      <c r="H234" t="n">
        <v>0</v>
      </c>
      <c r="I234" t="n">
        <v>0</v>
      </c>
      <c r="J234" t="n">
        <v>0</v>
      </c>
      <c r="K234" t="n">
        <v>0</v>
      </c>
      <c r="L234" t="n">
        <v>0</v>
      </c>
      <c r="M234" t="n">
        <v>0</v>
      </c>
      <c r="N234" t="n">
        <v>0</v>
      </c>
      <c r="O234" t="n">
        <v>0</v>
      </c>
      <c r="P234" t="n">
        <v>0</v>
      </c>
      <c r="Q234" t="n">
        <v>0</v>
      </c>
      <c r="R234" s="2" t="inlineStr"/>
    </row>
    <row r="235" ht="15" customHeight="1">
      <c r="A235" t="inlineStr">
        <is>
          <t>A 21087-2019</t>
        </is>
      </c>
      <c r="B235" s="1" t="n">
        <v>43578</v>
      </c>
      <c r="C235" s="1" t="n">
        <v>45834</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21082-2019</t>
        </is>
      </c>
      <c r="B236" s="1" t="n">
        <v>43578</v>
      </c>
      <c r="C236" s="1" t="n">
        <v>45834</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22153-2019</t>
        </is>
      </c>
      <c r="B237" s="1" t="n">
        <v>43585</v>
      </c>
      <c r="C237" s="1" t="n">
        <v>45834</v>
      </c>
      <c r="D237" t="inlineStr">
        <is>
          <t>UPPSALA LÄN</t>
        </is>
      </c>
      <c r="E237" t="inlineStr">
        <is>
          <t>UPPSALA</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23042-2019</t>
        </is>
      </c>
      <c r="B238" s="1" t="n">
        <v>43591</v>
      </c>
      <c r="C238" s="1" t="n">
        <v>45834</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23262-2019</t>
        </is>
      </c>
      <c r="B239" s="1" t="n">
        <v>43592</v>
      </c>
      <c r="C239" s="1" t="n">
        <v>45834</v>
      </c>
      <c r="D239" t="inlineStr">
        <is>
          <t>UPPSALA LÄN</t>
        </is>
      </c>
      <c r="E239" t="inlineStr">
        <is>
          <t>UPPSALA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24998-2019</t>
        </is>
      </c>
      <c r="B240" s="1" t="n">
        <v>43600</v>
      </c>
      <c r="C240" s="1" t="n">
        <v>45834</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25164-2019</t>
        </is>
      </c>
      <c r="B241" s="1" t="n">
        <v>43605</v>
      </c>
      <c r="C241" s="1" t="n">
        <v>45834</v>
      </c>
      <c r="D241" t="inlineStr">
        <is>
          <t>UPPSALA LÄN</t>
        </is>
      </c>
      <c r="E241" t="inlineStr">
        <is>
          <t>UPPSALA</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25157-2019</t>
        </is>
      </c>
      <c r="B242" s="1" t="n">
        <v>43605</v>
      </c>
      <c r="C242" s="1" t="n">
        <v>45834</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25667-2019</t>
        </is>
      </c>
      <c r="B243" s="1" t="n">
        <v>43607</v>
      </c>
      <c r="C243" s="1" t="n">
        <v>45834</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29105-2019</t>
        </is>
      </c>
      <c r="B244" s="1" t="n">
        <v>43628</v>
      </c>
      <c r="C244" s="1" t="n">
        <v>45834</v>
      </c>
      <c r="D244" t="inlineStr">
        <is>
          <t>UPPSALA LÄN</t>
        </is>
      </c>
      <c r="E244" t="inlineStr">
        <is>
          <t>UPPSALA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29183-2019</t>
        </is>
      </c>
      <c r="B245" s="1" t="n">
        <v>43628</v>
      </c>
      <c r="C245" s="1" t="n">
        <v>45834</v>
      </c>
      <c r="D245" t="inlineStr">
        <is>
          <t>UPPSALA LÄN</t>
        </is>
      </c>
      <c r="E245" t="inlineStr">
        <is>
          <t>UPPSALA</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29081-2019</t>
        </is>
      </c>
      <c r="B246" s="1" t="n">
        <v>43628</v>
      </c>
      <c r="C246" s="1" t="n">
        <v>45834</v>
      </c>
      <c r="D246" t="inlineStr">
        <is>
          <t>UPPSALA LÄN</t>
        </is>
      </c>
      <c r="E246" t="inlineStr">
        <is>
          <t>UPPSALA</t>
        </is>
      </c>
      <c r="G246" t="n">
        <v>8.4</v>
      </c>
      <c r="H246" t="n">
        <v>0</v>
      </c>
      <c r="I246" t="n">
        <v>0</v>
      </c>
      <c r="J246" t="n">
        <v>0</v>
      </c>
      <c r="K246" t="n">
        <v>0</v>
      </c>
      <c r="L246" t="n">
        <v>0</v>
      </c>
      <c r="M246" t="n">
        <v>0</v>
      </c>
      <c r="N246" t="n">
        <v>0</v>
      </c>
      <c r="O246" t="n">
        <v>0</v>
      </c>
      <c r="P246" t="n">
        <v>0</v>
      </c>
      <c r="Q246" t="n">
        <v>0</v>
      </c>
      <c r="R246" s="2" t="inlineStr"/>
    </row>
    <row r="247" ht="15" customHeight="1">
      <c r="A247" t="inlineStr">
        <is>
          <t>A 29719-2019</t>
        </is>
      </c>
      <c r="B247" s="1" t="n">
        <v>43630</v>
      </c>
      <c r="C247" s="1" t="n">
        <v>45834</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29713-2019</t>
        </is>
      </c>
      <c r="B248" s="1" t="n">
        <v>43630</v>
      </c>
      <c r="C248" s="1" t="n">
        <v>45834</v>
      </c>
      <c r="D248" t="inlineStr">
        <is>
          <t>UPPSALA LÄN</t>
        </is>
      </c>
      <c r="E248" t="inlineStr">
        <is>
          <t>UPPSALA</t>
        </is>
      </c>
      <c r="G248" t="n">
        <v>1</v>
      </c>
      <c r="H248" t="n">
        <v>0</v>
      </c>
      <c r="I248" t="n">
        <v>0</v>
      </c>
      <c r="J248" t="n">
        <v>0</v>
      </c>
      <c r="K248" t="n">
        <v>0</v>
      </c>
      <c r="L248" t="n">
        <v>0</v>
      </c>
      <c r="M248" t="n">
        <v>0</v>
      </c>
      <c r="N248" t="n">
        <v>0</v>
      </c>
      <c r="O248" t="n">
        <v>0</v>
      </c>
      <c r="P248" t="n">
        <v>0</v>
      </c>
      <c r="Q248" t="n">
        <v>0</v>
      </c>
      <c r="R248" s="2" t="inlineStr"/>
    </row>
    <row r="249" ht="15" customHeight="1">
      <c r="A249" t="inlineStr">
        <is>
          <t>A 32558-2019</t>
        </is>
      </c>
      <c r="B249" s="1" t="n">
        <v>43647</v>
      </c>
      <c r="C249" s="1" t="n">
        <v>45834</v>
      </c>
      <c r="D249" t="inlineStr">
        <is>
          <t>UPPSALA LÄN</t>
        </is>
      </c>
      <c r="E249" t="inlineStr">
        <is>
          <t>UPPSALA</t>
        </is>
      </c>
      <c r="G249" t="n">
        <v>4.2</v>
      </c>
      <c r="H249" t="n">
        <v>0</v>
      </c>
      <c r="I249" t="n">
        <v>0</v>
      </c>
      <c r="J249" t="n">
        <v>0</v>
      </c>
      <c r="K249" t="n">
        <v>0</v>
      </c>
      <c r="L249" t="n">
        <v>0</v>
      </c>
      <c r="M249" t="n">
        <v>0</v>
      </c>
      <c r="N249" t="n">
        <v>0</v>
      </c>
      <c r="O249" t="n">
        <v>0</v>
      </c>
      <c r="P249" t="n">
        <v>0</v>
      </c>
      <c r="Q249" t="n">
        <v>0</v>
      </c>
      <c r="R249" s="2" t="inlineStr"/>
    </row>
    <row r="250" ht="15" customHeight="1">
      <c r="A250" t="inlineStr">
        <is>
          <t>A 34560-2019</t>
        </is>
      </c>
      <c r="B250" s="1" t="n">
        <v>43647</v>
      </c>
      <c r="C250" s="1" t="n">
        <v>45834</v>
      </c>
      <c r="D250" t="inlineStr">
        <is>
          <t>UPPSALA LÄN</t>
        </is>
      </c>
      <c r="E250" t="inlineStr">
        <is>
          <t>UPPSALA</t>
        </is>
      </c>
      <c r="G250" t="n">
        <v>8.6</v>
      </c>
      <c r="H250" t="n">
        <v>0</v>
      </c>
      <c r="I250" t="n">
        <v>0</v>
      </c>
      <c r="J250" t="n">
        <v>0</v>
      </c>
      <c r="K250" t="n">
        <v>0</v>
      </c>
      <c r="L250" t="n">
        <v>0</v>
      </c>
      <c r="M250" t="n">
        <v>0</v>
      </c>
      <c r="N250" t="n">
        <v>0</v>
      </c>
      <c r="O250" t="n">
        <v>0</v>
      </c>
      <c r="P250" t="n">
        <v>0</v>
      </c>
      <c r="Q250" t="n">
        <v>0</v>
      </c>
      <c r="R250" s="2" t="inlineStr"/>
    </row>
    <row r="251" ht="15" customHeight="1">
      <c r="A251" t="inlineStr">
        <is>
          <t>A 32830-2019</t>
        </is>
      </c>
      <c r="B251" s="1" t="n">
        <v>43648</v>
      </c>
      <c r="C251" s="1" t="n">
        <v>45834</v>
      </c>
      <c r="D251" t="inlineStr">
        <is>
          <t>UPPSALA LÄN</t>
        </is>
      </c>
      <c r="E251" t="inlineStr">
        <is>
          <t>UPPSALA</t>
        </is>
      </c>
      <c r="G251" t="n">
        <v>13.6</v>
      </c>
      <c r="H251" t="n">
        <v>0</v>
      </c>
      <c r="I251" t="n">
        <v>0</v>
      </c>
      <c r="J251" t="n">
        <v>0</v>
      </c>
      <c r="K251" t="n">
        <v>0</v>
      </c>
      <c r="L251" t="n">
        <v>0</v>
      </c>
      <c r="M251" t="n">
        <v>0</v>
      </c>
      <c r="N251" t="n">
        <v>0</v>
      </c>
      <c r="O251" t="n">
        <v>0</v>
      </c>
      <c r="P251" t="n">
        <v>0</v>
      </c>
      <c r="Q251" t="n">
        <v>0</v>
      </c>
      <c r="R251" s="2" t="inlineStr"/>
    </row>
    <row r="252" ht="15" customHeight="1">
      <c r="A252" t="inlineStr">
        <is>
          <t>A 33602-2019</t>
        </is>
      </c>
      <c r="B252" s="1" t="n">
        <v>43651</v>
      </c>
      <c r="C252" s="1" t="n">
        <v>45834</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33614-2019</t>
        </is>
      </c>
      <c r="B253" s="1" t="n">
        <v>43651</v>
      </c>
      <c r="C253" s="1" t="n">
        <v>45834</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33615-2019</t>
        </is>
      </c>
      <c r="B254" s="1" t="n">
        <v>43651</v>
      </c>
      <c r="C254" s="1" t="n">
        <v>45834</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33596-2019</t>
        </is>
      </c>
      <c r="B255" s="1" t="n">
        <v>43651</v>
      </c>
      <c r="C255" s="1" t="n">
        <v>45834</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34007-2019</t>
        </is>
      </c>
      <c r="B256" s="1" t="n">
        <v>43654</v>
      </c>
      <c r="C256" s="1" t="n">
        <v>45834</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34063-2019</t>
        </is>
      </c>
      <c r="B257" s="1" t="n">
        <v>43654</v>
      </c>
      <c r="C257" s="1" t="n">
        <v>45834</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34331-2019</t>
        </is>
      </c>
      <c r="B258" s="1" t="n">
        <v>43656</v>
      </c>
      <c r="C258" s="1" t="n">
        <v>45834</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36345-2019</t>
        </is>
      </c>
      <c r="B259" s="1" t="n">
        <v>43661</v>
      </c>
      <c r="C259" s="1" t="n">
        <v>45834</v>
      </c>
      <c r="D259" t="inlineStr">
        <is>
          <t>UPPSALA LÄN</t>
        </is>
      </c>
      <c r="E259" t="inlineStr">
        <is>
          <t>UPPSALA</t>
        </is>
      </c>
      <c r="G259" t="n">
        <v>5.3</v>
      </c>
      <c r="H259" t="n">
        <v>0</v>
      </c>
      <c r="I259" t="n">
        <v>0</v>
      </c>
      <c r="J259" t="n">
        <v>0</v>
      </c>
      <c r="K259" t="n">
        <v>0</v>
      </c>
      <c r="L259" t="n">
        <v>0</v>
      </c>
      <c r="M259" t="n">
        <v>0</v>
      </c>
      <c r="N259" t="n">
        <v>0</v>
      </c>
      <c r="O259" t="n">
        <v>0</v>
      </c>
      <c r="P259" t="n">
        <v>0</v>
      </c>
      <c r="Q259" t="n">
        <v>0</v>
      </c>
      <c r="R259" s="2" t="inlineStr"/>
    </row>
    <row r="260" ht="15" customHeight="1">
      <c r="A260" t="inlineStr">
        <is>
          <t>A 36394-2019</t>
        </is>
      </c>
      <c r="B260" s="1" t="n">
        <v>43663</v>
      </c>
      <c r="C260" s="1" t="n">
        <v>45834</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37234-2019</t>
        </is>
      </c>
      <c r="B261" s="1" t="n">
        <v>43677</v>
      </c>
      <c r="C261" s="1" t="n">
        <v>45834</v>
      </c>
      <c r="D261" t="inlineStr">
        <is>
          <t>UPPSALA LÄN</t>
        </is>
      </c>
      <c r="E261" t="inlineStr">
        <is>
          <t>UPPSALA</t>
        </is>
      </c>
      <c r="G261" t="n">
        <v>3.2</v>
      </c>
      <c r="H261" t="n">
        <v>0</v>
      </c>
      <c r="I261" t="n">
        <v>0</v>
      </c>
      <c r="J261" t="n">
        <v>0</v>
      </c>
      <c r="K261" t="n">
        <v>0</v>
      </c>
      <c r="L261" t="n">
        <v>0</v>
      </c>
      <c r="M261" t="n">
        <v>0</v>
      </c>
      <c r="N261" t="n">
        <v>0</v>
      </c>
      <c r="O261" t="n">
        <v>0</v>
      </c>
      <c r="P261" t="n">
        <v>0</v>
      </c>
      <c r="Q261" t="n">
        <v>0</v>
      </c>
      <c r="R261" s="2" t="inlineStr"/>
    </row>
    <row r="262" ht="15" customHeight="1">
      <c r="A262" t="inlineStr">
        <is>
          <t>A 37711-2019</t>
        </is>
      </c>
      <c r="B262" s="1" t="n">
        <v>43682</v>
      </c>
      <c r="C262" s="1" t="n">
        <v>45834</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38684-2019</t>
        </is>
      </c>
      <c r="B263" s="1" t="n">
        <v>43686</v>
      </c>
      <c r="C263" s="1" t="n">
        <v>45834</v>
      </c>
      <c r="D263" t="inlineStr">
        <is>
          <t>UPPSALA LÄN</t>
        </is>
      </c>
      <c r="E263" t="inlineStr">
        <is>
          <t>UPPSALA</t>
        </is>
      </c>
      <c r="G263" t="n">
        <v>0.4</v>
      </c>
      <c r="H263" t="n">
        <v>0</v>
      </c>
      <c r="I263" t="n">
        <v>0</v>
      </c>
      <c r="J263" t="n">
        <v>0</v>
      </c>
      <c r="K263" t="n">
        <v>0</v>
      </c>
      <c r="L263" t="n">
        <v>0</v>
      </c>
      <c r="M263" t="n">
        <v>0</v>
      </c>
      <c r="N263" t="n">
        <v>0</v>
      </c>
      <c r="O263" t="n">
        <v>0</v>
      </c>
      <c r="P263" t="n">
        <v>0</v>
      </c>
      <c r="Q263" t="n">
        <v>0</v>
      </c>
      <c r="R263" s="2" t="inlineStr"/>
    </row>
    <row r="264" ht="15" customHeight="1">
      <c r="A264" t="inlineStr">
        <is>
          <t>A 40151-2019</t>
        </is>
      </c>
      <c r="B264" s="1" t="n">
        <v>43693</v>
      </c>
      <c r="C264" s="1" t="n">
        <v>45834</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41609-2019</t>
        </is>
      </c>
      <c r="B265" s="1" t="n">
        <v>43696</v>
      </c>
      <c r="C265" s="1" t="n">
        <v>45834</v>
      </c>
      <c r="D265" t="inlineStr">
        <is>
          <t>UPPSALA LÄN</t>
        </is>
      </c>
      <c r="E265" t="inlineStr">
        <is>
          <t>UPPSALA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41653-2019</t>
        </is>
      </c>
      <c r="B266" s="1" t="n">
        <v>43696</v>
      </c>
      <c r="C266" s="1" t="n">
        <v>45834</v>
      </c>
      <c r="D266" t="inlineStr">
        <is>
          <t>UPPSALA LÄN</t>
        </is>
      </c>
      <c r="E266" t="inlineStr">
        <is>
          <t>UPPSALA</t>
        </is>
      </c>
      <c r="G266" t="n">
        <v>5.2</v>
      </c>
      <c r="H266" t="n">
        <v>0</v>
      </c>
      <c r="I266" t="n">
        <v>0</v>
      </c>
      <c r="J266" t="n">
        <v>0</v>
      </c>
      <c r="K266" t="n">
        <v>0</v>
      </c>
      <c r="L266" t="n">
        <v>0</v>
      </c>
      <c r="M266" t="n">
        <v>0</v>
      </c>
      <c r="N266" t="n">
        <v>0</v>
      </c>
      <c r="O266" t="n">
        <v>0</v>
      </c>
      <c r="P266" t="n">
        <v>0</v>
      </c>
      <c r="Q266" t="n">
        <v>0</v>
      </c>
      <c r="R266" s="2" t="inlineStr"/>
    </row>
    <row r="267" ht="15" customHeight="1">
      <c r="A267" t="inlineStr">
        <is>
          <t>A 41524-2019</t>
        </is>
      </c>
      <c r="B267" s="1" t="n">
        <v>43699</v>
      </c>
      <c r="C267" s="1" t="n">
        <v>45834</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41535-2019</t>
        </is>
      </c>
      <c r="B268" s="1" t="n">
        <v>43699</v>
      </c>
      <c r="C268" s="1" t="n">
        <v>45834</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41695-2019</t>
        </is>
      </c>
      <c r="B269" s="1" t="n">
        <v>43699</v>
      </c>
      <c r="C269" s="1" t="n">
        <v>45834</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42111-2019</t>
        </is>
      </c>
      <c r="B270" s="1" t="n">
        <v>43703</v>
      </c>
      <c r="C270" s="1" t="n">
        <v>45834</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42986-2019</t>
        </is>
      </c>
      <c r="B271" s="1" t="n">
        <v>43705</v>
      </c>
      <c r="C271" s="1" t="n">
        <v>45834</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43222-2019</t>
        </is>
      </c>
      <c r="B272" s="1" t="n">
        <v>43706</v>
      </c>
      <c r="C272" s="1" t="n">
        <v>45834</v>
      </c>
      <c r="D272" t="inlineStr">
        <is>
          <t>UPPSALA LÄN</t>
        </is>
      </c>
      <c r="E272" t="inlineStr">
        <is>
          <t>UPPSALA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43715-2019</t>
        </is>
      </c>
      <c r="B273" s="1" t="n">
        <v>43706</v>
      </c>
      <c r="C273" s="1" t="n">
        <v>45834</v>
      </c>
      <c r="D273" t="inlineStr">
        <is>
          <t>UPPSALA LÄN</t>
        </is>
      </c>
      <c r="E273" t="inlineStr">
        <is>
          <t>UPPSALA</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43224-2019</t>
        </is>
      </c>
      <c r="B274" s="1" t="n">
        <v>43706</v>
      </c>
      <c r="C274" s="1" t="n">
        <v>45834</v>
      </c>
      <c r="D274" t="inlineStr">
        <is>
          <t>UPPSALA LÄN</t>
        </is>
      </c>
      <c r="E274" t="inlineStr">
        <is>
          <t>UPPSALA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43435-2019</t>
        </is>
      </c>
      <c r="B275" s="1" t="n">
        <v>43706</v>
      </c>
      <c r="C275" s="1" t="n">
        <v>45834</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43722-2019</t>
        </is>
      </c>
      <c r="B276" s="1" t="n">
        <v>43706</v>
      </c>
      <c r="C276" s="1" t="n">
        <v>45834</v>
      </c>
      <c r="D276" t="inlineStr">
        <is>
          <t>UPPSALA LÄN</t>
        </is>
      </c>
      <c r="E276" t="inlineStr">
        <is>
          <t>UPPSALA</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43704-2019</t>
        </is>
      </c>
      <c r="B277" s="1" t="n">
        <v>43707</v>
      </c>
      <c r="C277" s="1" t="n">
        <v>45834</v>
      </c>
      <c r="D277" t="inlineStr">
        <is>
          <t>UPPSALA LÄN</t>
        </is>
      </c>
      <c r="E277" t="inlineStr">
        <is>
          <t>UPPSALA</t>
        </is>
      </c>
      <c r="F277" t="inlineStr">
        <is>
          <t>Bergvik skog öst AB</t>
        </is>
      </c>
      <c r="G277" t="n">
        <v>2.7</v>
      </c>
      <c r="H277" t="n">
        <v>0</v>
      </c>
      <c r="I277" t="n">
        <v>0</v>
      </c>
      <c r="J277" t="n">
        <v>0</v>
      </c>
      <c r="K277" t="n">
        <v>0</v>
      </c>
      <c r="L277" t="n">
        <v>0</v>
      </c>
      <c r="M277" t="n">
        <v>0</v>
      </c>
      <c r="N277" t="n">
        <v>0</v>
      </c>
      <c r="O277" t="n">
        <v>0</v>
      </c>
      <c r="P277" t="n">
        <v>0</v>
      </c>
      <c r="Q277" t="n">
        <v>0</v>
      </c>
      <c r="R277" s="2" t="inlineStr"/>
    </row>
    <row r="278" ht="15" customHeight="1">
      <c r="A278" t="inlineStr">
        <is>
          <t>A 43725-2019</t>
        </is>
      </c>
      <c r="B278" s="1" t="n">
        <v>43707</v>
      </c>
      <c r="C278" s="1" t="n">
        <v>45834</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44109-2019</t>
        </is>
      </c>
      <c r="B279" s="1" t="n">
        <v>43707</v>
      </c>
      <c r="C279" s="1" t="n">
        <v>45834</v>
      </c>
      <c r="D279" t="inlineStr">
        <is>
          <t>UPPSALA LÄN</t>
        </is>
      </c>
      <c r="E279" t="inlineStr">
        <is>
          <t>UPPSALA</t>
        </is>
      </c>
      <c r="F279" t="inlineStr">
        <is>
          <t>Allmännings- och besparingsskogar</t>
        </is>
      </c>
      <c r="G279" t="n">
        <v>81.3</v>
      </c>
      <c r="H279" t="n">
        <v>0</v>
      </c>
      <c r="I279" t="n">
        <v>0</v>
      </c>
      <c r="J279" t="n">
        <v>0</v>
      </c>
      <c r="K279" t="n">
        <v>0</v>
      </c>
      <c r="L279" t="n">
        <v>0</v>
      </c>
      <c r="M279" t="n">
        <v>0</v>
      </c>
      <c r="N279" t="n">
        <v>0</v>
      </c>
      <c r="O279" t="n">
        <v>0</v>
      </c>
      <c r="P279" t="n">
        <v>0</v>
      </c>
      <c r="Q279" t="n">
        <v>0</v>
      </c>
      <c r="R279" s="2" t="inlineStr"/>
    </row>
    <row r="280" ht="15" customHeight="1">
      <c r="A280" t="inlineStr">
        <is>
          <t>A 43713-2019</t>
        </is>
      </c>
      <c r="B280" s="1" t="n">
        <v>43707</v>
      </c>
      <c r="C280" s="1" t="n">
        <v>45834</v>
      </c>
      <c r="D280" t="inlineStr">
        <is>
          <t>UPPSALA LÄN</t>
        </is>
      </c>
      <c r="E280" t="inlineStr">
        <is>
          <t>UPPSALA</t>
        </is>
      </c>
      <c r="F280" t="inlineStr">
        <is>
          <t>Bergvik skog öst AB</t>
        </is>
      </c>
      <c r="G280" t="n">
        <v>7.9</v>
      </c>
      <c r="H280" t="n">
        <v>0</v>
      </c>
      <c r="I280" t="n">
        <v>0</v>
      </c>
      <c r="J280" t="n">
        <v>0</v>
      </c>
      <c r="K280" t="n">
        <v>0</v>
      </c>
      <c r="L280" t="n">
        <v>0</v>
      </c>
      <c r="M280" t="n">
        <v>0</v>
      </c>
      <c r="N280" t="n">
        <v>0</v>
      </c>
      <c r="O280" t="n">
        <v>0</v>
      </c>
      <c r="P280" t="n">
        <v>0</v>
      </c>
      <c r="Q280" t="n">
        <v>0</v>
      </c>
      <c r="R280" s="2" t="inlineStr"/>
    </row>
    <row r="281" ht="15" customHeight="1">
      <c r="A281" t="inlineStr">
        <is>
          <t>A 43853-2019</t>
        </is>
      </c>
      <c r="B281" s="1" t="n">
        <v>43707</v>
      </c>
      <c r="C281" s="1" t="n">
        <v>45834</v>
      </c>
      <c r="D281" t="inlineStr">
        <is>
          <t>UPPSALA LÄN</t>
        </is>
      </c>
      <c r="E281" t="inlineStr">
        <is>
          <t>UPPSALA</t>
        </is>
      </c>
      <c r="F281" t="inlineStr">
        <is>
          <t>Övriga statliga verk och myndigheter</t>
        </is>
      </c>
      <c r="G281" t="n">
        <v>1.8</v>
      </c>
      <c r="H281" t="n">
        <v>0</v>
      </c>
      <c r="I281" t="n">
        <v>0</v>
      </c>
      <c r="J281" t="n">
        <v>0</v>
      </c>
      <c r="K281" t="n">
        <v>0</v>
      </c>
      <c r="L281" t="n">
        <v>0</v>
      </c>
      <c r="M281" t="n">
        <v>0</v>
      </c>
      <c r="N281" t="n">
        <v>0</v>
      </c>
      <c r="O281" t="n">
        <v>0</v>
      </c>
      <c r="P281" t="n">
        <v>0</v>
      </c>
      <c r="Q281" t="n">
        <v>0</v>
      </c>
      <c r="R281" s="2" t="inlineStr"/>
    </row>
    <row r="282" ht="15" customHeight="1">
      <c r="A282" t="inlineStr">
        <is>
          <t>A 44141-2019</t>
        </is>
      </c>
      <c r="B282" s="1" t="n">
        <v>43710</v>
      </c>
      <c r="C282" s="1" t="n">
        <v>45834</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44701-2019</t>
        </is>
      </c>
      <c r="B283" s="1" t="n">
        <v>43712</v>
      </c>
      <c r="C283" s="1" t="n">
        <v>45834</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44687-2019</t>
        </is>
      </c>
      <c r="B284" s="1" t="n">
        <v>43712</v>
      </c>
      <c r="C284" s="1" t="n">
        <v>45834</v>
      </c>
      <c r="D284" t="inlineStr">
        <is>
          <t>UPPSALA LÄN</t>
        </is>
      </c>
      <c r="E284" t="inlineStr">
        <is>
          <t>UPPSALA</t>
        </is>
      </c>
      <c r="G284" t="n">
        <v>3.3</v>
      </c>
      <c r="H284" t="n">
        <v>0</v>
      </c>
      <c r="I284" t="n">
        <v>0</v>
      </c>
      <c r="J284" t="n">
        <v>0</v>
      </c>
      <c r="K284" t="n">
        <v>0</v>
      </c>
      <c r="L284" t="n">
        <v>0</v>
      </c>
      <c r="M284" t="n">
        <v>0</v>
      </c>
      <c r="N284" t="n">
        <v>0</v>
      </c>
      <c r="O284" t="n">
        <v>0</v>
      </c>
      <c r="P284" t="n">
        <v>0</v>
      </c>
      <c r="Q284" t="n">
        <v>0</v>
      </c>
      <c r="R284" s="2" t="inlineStr"/>
    </row>
    <row r="285" ht="15" customHeight="1">
      <c r="A285" t="inlineStr">
        <is>
          <t>A 45010-2019</t>
        </is>
      </c>
      <c r="B285" s="1" t="n">
        <v>43713</v>
      </c>
      <c r="C285" s="1" t="n">
        <v>45834</v>
      </c>
      <c r="D285" t="inlineStr">
        <is>
          <t>UPPSALA LÄN</t>
        </is>
      </c>
      <c r="E285" t="inlineStr">
        <is>
          <t>UPPSALA</t>
        </is>
      </c>
      <c r="G285" t="n">
        <v>1</v>
      </c>
      <c r="H285" t="n">
        <v>0</v>
      </c>
      <c r="I285" t="n">
        <v>0</v>
      </c>
      <c r="J285" t="n">
        <v>0</v>
      </c>
      <c r="K285" t="n">
        <v>0</v>
      </c>
      <c r="L285" t="n">
        <v>0</v>
      </c>
      <c r="M285" t="n">
        <v>0</v>
      </c>
      <c r="N285" t="n">
        <v>0</v>
      </c>
      <c r="O285" t="n">
        <v>0</v>
      </c>
      <c r="P285" t="n">
        <v>0</v>
      </c>
      <c r="Q285" t="n">
        <v>0</v>
      </c>
      <c r="R285" s="2" t="inlineStr"/>
    </row>
    <row r="286" ht="15" customHeight="1">
      <c r="A286" t="inlineStr">
        <is>
          <t>A 45574-2019</t>
        </is>
      </c>
      <c r="B286" s="1" t="n">
        <v>43716</v>
      </c>
      <c r="C286" s="1" t="n">
        <v>45834</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46311-2019</t>
        </is>
      </c>
      <c r="B287" s="1" t="n">
        <v>43718</v>
      </c>
      <c r="C287" s="1" t="n">
        <v>45834</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46307-2019</t>
        </is>
      </c>
      <c r="B288" s="1" t="n">
        <v>43718</v>
      </c>
      <c r="C288" s="1" t="n">
        <v>45834</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46151-2019</t>
        </is>
      </c>
      <c r="B289" s="1" t="n">
        <v>43718</v>
      </c>
      <c r="C289" s="1" t="n">
        <v>45834</v>
      </c>
      <c r="D289" t="inlineStr">
        <is>
          <t>UPPSALA LÄN</t>
        </is>
      </c>
      <c r="E289" t="inlineStr">
        <is>
          <t>UPPSALA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46157-2019</t>
        </is>
      </c>
      <c r="B290" s="1" t="n">
        <v>43718</v>
      </c>
      <c r="C290" s="1" t="n">
        <v>45834</v>
      </c>
      <c r="D290" t="inlineStr">
        <is>
          <t>UPPSALA LÄN</t>
        </is>
      </c>
      <c r="E290" t="inlineStr">
        <is>
          <t>UPPSALA</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46310-2019</t>
        </is>
      </c>
      <c r="B291" s="1" t="n">
        <v>43718</v>
      </c>
      <c r="C291" s="1" t="n">
        <v>45834</v>
      </c>
      <c r="D291" t="inlineStr">
        <is>
          <t>UPPSALA LÄN</t>
        </is>
      </c>
      <c r="E291" t="inlineStr">
        <is>
          <t>UPPSALA</t>
        </is>
      </c>
      <c r="G291" t="n">
        <v>7</v>
      </c>
      <c r="H291" t="n">
        <v>0</v>
      </c>
      <c r="I291" t="n">
        <v>0</v>
      </c>
      <c r="J291" t="n">
        <v>0</v>
      </c>
      <c r="K291" t="n">
        <v>0</v>
      </c>
      <c r="L291" t="n">
        <v>0</v>
      </c>
      <c r="M291" t="n">
        <v>0</v>
      </c>
      <c r="N291" t="n">
        <v>0</v>
      </c>
      <c r="O291" t="n">
        <v>0</v>
      </c>
      <c r="P291" t="n">
        <v>0</v>
      </c>
      <c r="Q291" t="n">
        <v>0</v>
      </c>
      <c r="R291" s="2" t="inlineStr"/>
    </row>
    <row r="292" ht="15" customHeight="1">
      <c r="A292" t="inlineStr">
        <is>
          <t>A 46147-2019</t>
        </is>
      </c>
      <c r="B292" s="1" t="n">
        <v>43718</v>
      </c>
      <c r="C292" s="1" t="n">
        <v>45834</v>
      </c>
      <c r="D292" t="inlineStr">
        <is>
          <t>UPPSALA LÄN</t>
        </is>
      </c>
      <c r="E292" t="inlineStr">
        <is>
          <t>UPPSALA</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46877-2019</t>
        </is>
      </c>
      <c r="B293" s="1" t="n">
        <v>43720</v>
      </c>
      <c r="C293" s="1" t="n">
        <v>45834</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46896-2019</t>
        </is>
      </c>
      <c r="B294" s="1" t="n">
        <v>43720</v>
      </c>
      <c r="C294" s="1" t="n">
        <v>45834</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48485-2019</t>
        </is>
      </c>
      <c r="B295" s="1" t="n">
        <v>43727</v>
      </c>
      <c r="C295" s="1" t="n">
        <v>45834</v>
      </c>
      <c r="D295" t="inlineStr">
        <is>
          <t>UPPSALA LÄN</t>
        </is>
      </c>
      <c r="E295" t="inlineStr">
        <is>
          <t>UPPSALA</t>
        </is>
      </c>
      <c r="G295" t="n">
        <v>3</v>
      </c>
      <c r="H295" t="n">
        <v>0</v>
      </c>
      <c r="I295" t="n">
        <v>0</v>
      </c>
      <c r="J295" t="n">
        <v>0</v>
      </c>
      <c r="K295" t="n">
        <v>0</v>
      </c>
      <c r="L295" t="n">
        <v>0</v>
      </c>
      <c r="M295" t="n">
        <v>0</v>
      </c>
      <c r="N295" t="n">
        <v>0</v>
      </c>
      <c r="O295" t="n">
        <v>0</v>
      </c>
      <c r="P295" t="n">
        <v>0</v>
      </c>
      <c r="Q295" t="n">
        <v>0</v>
      </c>
      <c r="R295" s="2" t="inlineStr"/>
    </row>
    <row r="296" ht="15" customHeight="1">
      <c r="A296" t="inlineStr">
        <is>
          <t>A 49567-2019</t>
        </is>
      </c>
      <c r="B296" s="1" t="n">
        <v>43730</v>
      </c>
      <c r="C296" s="1" t="n">
        <v>45834</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50180-2019</t>
        </is>
      </c>
      <c r="B297" s="1" t="n">
        <v>43733</v>
      </c>
      <c r="C297" s="1" t="n">
        <v>45834</v>
      </c>
      <c r="D297" t="inlineStr">
        <is>
          <t>UPPSALA LÄN</t>
        </is>
      </c>
      <c r="E297" t="inlineStr">
        <is>
          <t>UPPSALA</t>
        </is>
      </c>
      <c r="F297" t="inlineStr">
        <is>
          <t>Allmännings- och besparingsskogar</t>
        </is>
      </c>
      <c r="G297" t="n">
        <v>3.7</v>
      </c>
      <c r="H297" t="n">
        <v>0</v>
      </c>
      <c r="I297" t="n">
        <v>0</v>
      </c>
      <c r="J297" t="n">
        <v>0</v>
      </c>
      <c r="K297" t="n">
        <v>0</v>
      </c>
      <c r="L297" t="n">
        <v>0</v>
      </c>
      <c r="M297" t="n">
        <v>0</v>
      </c>
      <c r="N297" t="n">
        <v>0</v>
      </c>
      <c r="O297" t="n">
        <v>0</v>
      </c>
      <c r="P297" t="n">
        <v>0</v>
      </c>
      <c r="Q297" t="n">
        <v>0</v>
      </c>
      <c r="R297" s="2" t="inlineStr"/>
    </row>
    <row r="298" ht="15" customHeight="1">
      <c r="A298" t="inlineStr">
        <is>
          <t>A 50387-2019</t>
        </is>
      </c>
      <c r="B298" s="1" t="n">
        <v>43735</v>
      </c>
      <c r="C298" s="1" t="n">
        <v>45834</v>
      </c>
      <c r="D298" t="inlineStr">
        <is>
          <t>UPPSALA LÄN</t>
        </is>
      </c>
      <c r="E298" t="inlineStr">
        <is>
          <t>UPPSALA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50415-2019</t>
        </is>
      </c>
      <c r="B299" s="1" t="n">
        <v>43735</v>
      </c>
      <c r="C299" s="1" t="n">
        <v>45834</v>
      </c>
      <c r="D299" t="inlineStr">
        <is>
          <t>UPPSALA LÄN</t>
        </is>
      </c>
      <c r="E299" t="inlineStr">
        <is>
          <t>UPPSALA</t>
        </is>
      </c>
      <c r="F299" t="inlineStr">
        <is>
          <t>Kyrkan</t>
        </is>
      </c>
      <c r="G299" t="n">
        <v>13.6</v>
      </c>
      <c r="H299" t="n">
        <v>0</v>
      </c>
      <c r="I299" t="n">
        <v>0</v>
      </c>
      <c r="J299" t="n">
        <v>0</v>
      </c>
      <c r="K299" t="n">
        <v>0</v>
      </c>
      <c r="L299" t="n">
        <v>0</v>
      </c>
      <c r="M299" t="n">
        <v>0</v>
      </c>
      <c r="N299" t="n">
        <v>0</v>
      </c>
      <c r="O299" t="n">
        <v>0</v>
      </c>
      <c r="P299" t="n">
        <v>0</v>
      </c>
      <c r="Q299" t="n">
        <v>0</v>
      </c>
      <c r="R299" s="2" t="inlineStr"/>
    </row>
    <row r="300" ht="15" customHeight="1">
      <c r="A300" t="inlineStr">
        <is>
          <t>A 50616-2019</t>
        </is>
      </c>
      <c r="B300" s="1" t="n">
        <v>43736</v>
      </c>
      <c r="C300" s="1" t="n">
        <v>45834</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52386-2019</t>
        </is>
      </c>
      <c r="B301" s="1" t="n">
        <v>43745</v>
      </c>
      <c r="C301" s="1" t="n">
        <v>45834</v>
      </c>
      <c r="D301" t="inlineStr">
        <is>
          <t>UPPSALA LÄN</t>
        </is>
      </c>
      <c r="E301" t="inlineStr">
        <is>
          <t>UPPSALA</t>
        </is>
      </c>
      <c r="G301" t="n">
        <v>15.7</v>
      </c>
      <c r="H301" t="n">
        <v>0</v>
      </c>
      <c r="I301" t="n">
        <v>0</v>
      </c>
      <c r="J301" t="n">
        <v>0</v>
      </c>
      <c r="K301" t="n">
        <v>0</v>
      </c>
      <c r="L301" t="n">
        <v>0</v>
      </c>
      <c r="M301" t="n">
        <v>0</v>
      </c>
      <c r="N301" t="n">
        <v>0</v>
      </c>
      <c r="O301" t="n">
        <v>0</v>
      </c>
      <c r="P301" t="n">
        <v>0</v>
      </c>
      <c r="Q301" t="n">
        <v>0</v>
      </c>
      <c r="R301" s="2" t="inlineStr"/>
    </row>
    <row r="302" ht="15" customHeight="1">
      <c r="A302" t="inlineStr">
        <is>
          <t>A 52419-2019</t>
        </is>
      </c>
      <c r="B302" s="1" t="n">
        <v>43745</v>
      </c>
      <c r="C302" s="1" t="n">
        <v>45834</v>
      </c>
      <c r="D302" t="inlineStr">
        <is>
          <t>UPPSALA LÄN</t>
        </is>
      </c>
      <c r="E302" t="inlineStr">
        <is>
          <t>UPPSALA</t>
        </is>
      </c>
      <c r="F302" t="inlineStr">
        <is>
          <t>Allmännings- och besparingsskogar</t>
        </is>
      </c>
      <c r="G302" t="n">
        <v>5.3</v>
      </c>
      <c r="H302" t="n">
        <v>0</v>
      </c>
      <c r="I302" t="n">
        <v>0</v>
      </c>
      <c r="J302" t="n">
        <v>0</v>
      </c>
      <c r="K302" t="n">
        <v>0</v>
      </c>
      <c r="L302" t="n">
        <v>0</v>
      </c>
      <c r="M302" t="n">
        <v>0</v>
      </c>
      <c r="N302" t="n">
        <v>0</v>
      </c>
      <c r="O302" t="n">
        <v>0</v>
      </c>
      <c r="P302" t="n">
        <v>0</v>
      </c>
      <c r="Q302" t="n">
        <v>0</v>
      </c>
      <c r="R302" s="2" t="inlineStr"/>
    </row>
    <row r="303" ht="15" customHeight="1">
      <c r="A303" t="inlineStr">
        <is>
          <t>A 52950-2019</t>
        </is>
      </c>
      <c r="B303" s="1" t="n">
        <v>43747</v>
      </c>
      <c r="C303" s="1" t="n">
        <v>45834</v>
      </c>
      <c r="D303" t="inlineStr">
        <is>
          <t>UPPSALA LÄN</t>
        </is>
      </c>
      <c r="E303" t="inlineStr">
        <is>
          <t>UPPSALA</t>
        </is>
      </c>
      <c r="G303" t="n">
        <v>0.2</v>
      </c>
      <c r="H303" t="n">
        <v>0</v>
      </c>
      <c r="I303" t="n">
        <v>0</v>
      </c>
      <c r="J303" t="n">
        <v>0</v>
      </c>
      <c r="K303" t="n">
        <v>0</v>
      </c>
      <c r="L303" t="n">
        <v>0</v>
      </c>
      <c r="M303" t="n">
        <v>0</v>
      </c>
      <c r="N303" t="n">
        <v>0</v>
      </c>
      <c r="O303" t="n">
        <v>0</v>
      </c>
      <c r="P303" t="n">
        <v>0</v>
      </c>
      <c r="Q303" t="n">
        <v>0</v>
      </c>
      <c r="R303" s="2" t="inlineStr"/>
    </row>
    <row r="304" ht="15" customHeight="1">
      <c r="A304" t="inlineStr">
        <is>
          <t>A 53303-2019</t>
        </is>
      </c>
      <c r="B304" s="1" t="n">
        <v>43747</v>
      </c>
      <c r="C304" s="1" t="n">
        <v>45834</v>
      </c>
      <c r="D304" t="inlineStr">
        <is>
          <t>UPPSALA LÄN</t>
        </is>
      </c>
      <c r="E304" t="inlineStr">
        <is>
          <t>UPPSALA</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53316-2019</t>
        </is>
      </c>
      <c r="B305" s="1" t="n">
        <v>43748</v>
      </c>
      <c r="C305" s="1" t="n">
        <v>45834</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54757-2019</t>
        </is>
      </c>
      <c r="B306" s="1" t="n">
        <v>43755</v>
      </c>
      <c r="C306" s="1" t="n">
        <v>45834</v>
      </c>
      <c r="D306" t="inlineStr">
        <is>
          <t>UPPSALA LÄN</t>
        </is>
      </c>
      <c r="E306" t="inlineStr">
        <is>
          <t>UPPSALA</t>
        </is>
      </c>
      <c r="F306" t="inlineStr">
        <is>
          <t>Övriga statliga verk och myndigheter</t>
        </is>
      </c>
      <c r="G306" t="n">
        <v>1.5</v>
      </c>
      <c r="H306" t="n">
        <v>0</v>
      </c>
      <c r="I306" t="n">
        <v>0</v>
      </c>
      <c r="J306" t="n">
        <v>0</v>
      </c>
      <c r="K306" t="n">
        <v>0</v>
      </c>
      <c r="L306" t="n">
        <v>0</v>
      </c>
      <c r="M306" t="n">
        <v>0</v>
      </c>
      <c r="N306" t="n">
        <v>0</v>
      </c>
      <c r="O306" t="n">
        <v>0</v>
      </c>
      <c r="P306" t="n">
        <v>0</v>
      </c>
      <c r="Q306" t="n">
        <v>0</v>
      </c>
      <c r="R306" s="2" t="inlineStr"/>
    </row>
    <row r="307" ht="15" customHeight="1">
      <c r="A307" t="inlineStr">
        <is>
          <t>A 56041-2019</t>
        </is>
      </c>
      <c r="B307" s="1" t="n">
        <v>43759</v>
      </c>
      <c r="C307" s="1" t="n">
        <v>45834</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56634-2019</t>
        </is>
      </c>
      <c r="B308" s="1" t="n">
        <v>43763</v>
      </c>
      <c r="C308" s="1" t="n">
        <v>45834</v>
      </c>
      <c r="D308" t="inlineStr">
        <is>
          <t>UPPSALA LÄN</t>
        </is>
      </c>
      <c r="E308" t="inlineStr">
        <is>
          <t>UPPSALA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58445-2019</t>
        </is>
      </c>
      <c r="B309" s="1" t="n">
        <v>43773</v>
      </c>
      <c r="C309" s="1" t="n">
        <v>45834</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58527-2019</t>
        </is>
      </c>
      <c r="B310" s="1" t="n">
        <v>43773</v>
      </c>
      <c r="C310" s="1" t="n">
        <v>45834</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58903-2019</t>
        </is>
      </c>
      <c r="B311" s="1" t="n">
        <v>43773</v>
      </c>
      <c r="C311" s="1" t="n">
        <v>45834</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60011-2019</t>
        </is>
      </c>
      <c r="B312" s="1" t="n">
        <v>43777</v>
      </c>
      <c r="C312" s="1" t="n">
        <v>45834</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60159-2019</t>
        </is>
      </c>
      <c r="B313" s="1" t="n">
        <v>43777</v>
      </c>
      <c r="C313" s="1" t="n">
        <v>45834</v>
      </c>
      <c r="D313" t="inlineStr">
        <is>
          <t>UPPSALA LÄN</t>
        </is>
      </c>
      <c r="E313" t="inlineStr">
        <is>
          <t>UPPSALA</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60163-2019</t>
        </is>
      </c>
      <c r="B314" s="1" t="n">
        <v>43780</v>
      </c>
      <c r="C314" s="1" t="n">
        <v>45834</v>
      </c>
      <c r="D314" t="inlineStr">
        <is>
          <t>UPPSALA LÄN</t>
        </is>
      </c>
      <c r="E314" t="inlineStr">
        <is>
          <t>UPPSALA</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60579-2019</t>
        </is>
      </c>
      <c r="B315" s="1" t="n">
        <v>43780</v>
      </c>
      <c r="C315" s="1" t="n">
        <v>45834</v>
      </c>
      <c r="D315" t="inlineStr">
        <is>
          <t>UPPSALA LÄN</t>
        </is>
      </c>
      <c r="E315" t="inlineStr">
        <is>
          <t>UPPSALA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62308-2019</t>
        </is>
      </c>
      <c r="B316" s="1" t="n">
        <v>43782</v>
      </c>
      <c r="C316" s="1" t="n">
        <v>45834</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61667-2019</t>
        </is>
      </c>
      <c r="B317" s="1" t="n">
        <v>43784</v>
      </c>
      <c r="C317" s="1" t="n">
        <v>45834</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63145-2019</t>
        </is>
      </c>
      <c r="B318" s="1" t="n">
        <v>43791</v>
      </c>
      <c r="C318" s="1" t="n">
        <v>45834</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63091-2019</t>
        </is>
      </c>
      <c r="B319" s="1" t="n">
        <v>43791</v>
      </c>
      <c r="C319" s="1" t="n">
        <v>45834</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63099-2019</t>
        </is>
      </c>
      <c r="B320" s="1" t="n">
        <v>43791</v>
      </c>
      <c r="C320" s="1" t="n">
        <v>45834</v>
      </c>
      <c r="D320" t="inlineStr">
        <is>
          <t>UPPSALA LÄN</t>
        </is>
      </c>
      <c r="E320" t="inlineStr">
        <is>
          <t>UPPSALA</t>
        </is>
      </c>
      <c r="G320" t="n">
        <v>4.4</v>
      </c>
      <c r="H320" t="n">
        <v>0</v>
      </c>
      <c r="I320" t="n">
        <v>0</v>
      </c>
      <c r="J320" t="n">
        <v>0</v>
      </c>
      <c r="K320" t="n">
        <v>0</v>
      </c>
      <c r="L320" t="n">
        <v>0</v>
      </c>
      <c r="M320" t="n">
        <v>0</v>
      </c>
      <c r="N320" t="n">
        <v>0</v>
      </c>
      <c r="O320" t="n">
        <v>0</v>
      </c>
      <c r="P320" t="n">
        <v>0</v>
      </c>
      <c r="Q320" t="n">
        <v>0</v>
      </c>
      <c r="R320" s="2" t="inlineStr"/>
    </row>
    <row r="321" ht="15" customHeight="1">
      <c r="A321" t="inlineStr">
        <is>
          <t>A 63118-2019</t>
        </is>
      </c>
      <c r="B321" s="1" t="n">
        <v>43791</v>
      </c>
      <c r="C321" s="1" t="n">
        <v>45834</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63589-2019</t>
        </is>
      </c>
      <c r="B322" s="1" t="n">
        <v>43795</v>
      </c>
      <c r="C322" s="1" t="n">
        <v>45834</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63757-2019</t>
        </is>
      </c>
      <c r="B323" s="1" t="n">
        <v>43795</v>
      </c>
      <c r="C323" s="1" t="n">
        <v>45834</v>
      </c>
      <c r="D323" t="inlineStr">
        <is>
          <t>UPPSALA LÄN</t>
        </is>
      </c>
      <c r="E323" t="inlineStr">
        <is>
          <t>UPPSALA</t>
        </is>
      </c>
      <c r="G323" t="n">
        <v>6.9</v>
      </c>
      <c r="H323" t="n">
        <v>0</v>
      </c>
      <c r="I323" t="n">
        <v>0</v>
      </c>
      <c r="J323" t="n">
        <v>0</v>
      </c>
      <c r="K323" t="n">
        <v>0</v>
      </c>
      <c r="L323" t="n">
        <v>0</v>
      </c>
      <c r="M323" t="n">
        <v>0</v>
      </c>
      <c r="N323" t="n">
        <v>0</v>
      </c>
      <c r="O323" t="n">
        <v>0</v>
      </c>
      <c r="P323" t="n">
        <v>0</v>
      </c>
      <c r="Q323" t="n">
        <v>0</v>
      </c>
      <c r="R323" s="2" t="inlineStr"/>
    </row>
    <row r="324" ht="15" customHeight="1">
      <c r="A324" t="inlineStr">
        <is>
          <t>A 63756-2019</t>
        </is>
      </c>
      <c r="B324" s="1" t="n">
        <v>43795</v>
      </c>
      <c r="C324" s="1" t="n">
        <v>45834</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64836-2019</t>
        </is>
      </c>
      <c r="B325" s="1" t="n">
        <v>43801</v>
      </c>
      <c r="C325" s="1" t="n">
        <v>45834</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64834-2019</t>
        </is>
      </c>
      <c r="B326" s="1" t="n">
        <v>43801</v>
      </c>
      <c r="C326" s="1" t="n">
        <v>45834</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65527-2019</t>
        </is>
      </c>
      <c r="B327" s="1" t="n">
        <v>43803</v>
      </c>
      <c r="C327" s="1" t="n">
        <v>45834</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65668-2019</t>
        </is>
      </c>
      <c r="B328" s="1" t="n">
        <v>43804</v>
      </c>
      <c r="C328" s="1" t="n">
        <v>45834</v>
      </c>
      <c r="D328" t="inlineStr">
        <is>
          <t>UPPSALA LÄN</t>
        </is>
      </c>
      <c r="E328" t="inlineStr">
        <is>
          <t>UPPSALA</t>
        </is>
      </c>
      <c r="G328" t="n">
        <v>7.6</v>
      </c>
      <c r="H328" t="n">
        <v>0</v>
      </c>
      <c r="I328" t="n">
        <v>0</v>
      </c>
      <c r="J328" t="n">
        <v>0</v>
      </c>
      <c r="K328" t="n">
        <v>0</v>
      </c>
      <c r="L328" t="n">
        <v>0</v>
      </c>
      <c r="M328" t="n">
        <v>0</v>
      </c>
      <c r="N328" t="n">
        <v>0</v>
      </c>
      <c r="O328" t="n">
        <v>0</v>
      </c>
      <c r="P328" t="n">
        <v>0</v>
      </c>
      <c r="Q328" t="n">
        <v>0</v>
      </c>
      <c r="R328" s="2" t="inlineStr"/>
    </row>
    <row r="329" ht="15" customHeight="1">
      <c r="A329" t="inlineStr">
        <is>
          <t>A 66167-2019</t>
        </is>
      </c>
      <c r="B329" s="1" t="n">
        <v>43808</v>
      </c>
      <c r="C329" s="1" t="n">
        <v>45834</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66270-2019</t>
        </is>
      </c>
      <c r="B330" s="1" t="n">
        <v>43808</v>
      </c>
      <c r="C330" s="1" t="n">
        <v>45834</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67108-2019</t>
        </is>
      </c>
      <c r="B331" s="1" t="n">
        <v>43811</v>
      </c>
      <c r="C331" s="1" t="n">
        <v>45834</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67281-2019</t>
        </is>
      </c>
      <c r="B332" s="1" t="n">
        <v>43812</v>
      </c>
      <c r="C332" s="1" t="n">
        <v>45834</v>
      </c>
      <c r="D332" t="inlineStr">
        <is>
          <t>UPPSALA LÄN</t>
        </is>
      </c>
      <c r="E332" t="inlineStr">
        <is>
          <t>UPPSALA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67508-2019</t>
        </is>
      </c>
      <c r="B333" s="1" t="n">
        <v>43814</v>
      </c>
      <c r="C333" s="1" t="n">
        <v>45834</v>
      </c>
      <c r="D333" t="inlineStr">
        <is>
          <t>UPPSALA LÄN</t>
        </is>
      </c>
      <c r="E333" t="inlineStr">
        <is>
          <t>UPPSALA</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67504-2019</t>
        </is>
      </c>
      <c r="B334" s="1" t="n">
        <v>43814</v>
      </c>
      <c r="C334" s="1" t="n">
        <v>45834</v>
      </c>
      <c r="D334" t="inlineStr">
        <is>
          <t>UPPSALA LÄN</t>
        </is>
      </c>
      <c r="E334" t="inlineStr">
        <is>
          <t>UPPSALA</t>
        </is>
      </c>
      <c r="F334" t="inlineStr">
        <is>
          <t>Allmännings- och besparingsskogar</t>
        </is>
      </c>
      <c r="G334" t="n">
        <v>21.9</v>
      </c>
      <c r="H334" t="n">
        <v>0</v>
      </c>
      <c r="I334" t="n">
        <v>0</v>
      </c>
      <c r="J334" t="n">
        <v>0</v>
      </c>
      <c r="K334" t="n">
        <v>0</v>
      </c>
      <c r="L334" t="n">
        <v>0</v>
      </c>
      <c r="M334" t="n">
        <v>0</v>
      </c>
      <c r="N334" t="n">
        <v>0</v>
      </c>
      <c r="O334" t="n">
        <v>0</v>
      </c>
      <c r="P334" t="n">
        <v>0</v>
      </c>
      <c r="Q334" t="n">
        <v>0</v>
      </c>
      <c r="R334" s="2" t="inlineStr"/>
    </row>
    <row r="335" ht="15" customHeight="1">
      <c r="A335" t="inlineStr">
        <is>
          <t>A 67720-2019</t>
        </is>
      </c>
      <c r="B335" s="1" t="n">
        <v>43815</v>
      </c>
      <c r="C335" s="1" t="n">
        <v>45834</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67592-2019</t>
        </is>
      </c>
      <c r="B336" s="1" t="n">
        <v>43815</v>
      </c>
      <c r="C336" s="1" t="n">
        <v>45834</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68264-2019</t>
        </is>
      </c>
      <c r="B337" s="1" t="n">
        <v>43817</v>
      </c>
      <c r="C337" s="1" t="n">
        <v>45834</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68265-2019</t>
        </is>
      </c>
      <c r="B338" s="1" t="n">
        <v>43817</v>
      </c>
      <c r="C338" s="1" t="n">
        <v>45834</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68317-2019</t>
        </is>
      </c>
      <c r="B339" s="1" t="n">
        <v>43818</v>
      </c>
      <c r="C339" s="1" t="n">
        <v>45834</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68316-2019</t>
        </is>
      </c>
      <c r="B340" s="1" t="n">
        <v>43818</v>
      </c>
      <c r="C340" s="1" t="n">
        <v>45834</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68908-2019</t>
        </is>
      </c>
      <c r="B341" s="1" t="n">
        <v>43822</v>
      </c>
      <c r="C341" s="1" t="n">
        <v>45834</v>
      </c>
      <c r="D341" t="inlineStr">
        <is>
          <t>UPPSALA LÄN</t>
        </is>
      </c>
      <c r="E341" t="inlineStr">
        <is>
          <t>UPPSALA</t>
        </is>
      </c>
      <c r="G341" t="n">
        <v>4</v>
      </c>
      <c r="H341" t="n">
        <v>0</v>
      </c>
      <c r="I341" t="n">
        <v>0</v>
      </c>
      <c r="J341" t="n">
        <v>0</v>
      </c>
      <c r="K341" t="n">
        <v>0</v>
      </c>
      <c r="L341" t="n">
        <v>0</v>
      </c>
      <c r="M341" t="n">
        <v>0</v>
      </c>
      <c r="N341" t="n">
        <v>0</v>
      </c>
      <c r="O341" t="n">
        <v>0</v>
      </c>
      <c r="P341" t="n">
        <v>0</v>
      </c>
      <c r="Q341" t="n">
        <v>0</v>
      </c>
      <c r="R341" s="2" t="inlineStr"/>
    </row>
    <row r="342" ht="15" customHeight="1">
      <c r="A342" t="inlineStr">
        <is>
          <t>A 529-2020</t>
        </is>
      </c>
      <c r="B342" s="1" t="n">
        <v>43837</v>
      </c>
      <c r="C342" s="1" t="n">
        <v>45834</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1891-2020</t>
        </is>
      </c>
      <c r="B343" s="1" t="n">
        <v>43837</v>
      </c>
      <c r="C343" s="1" t="n">
        <v>45834</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701-2020</t>
        </is>
      </c>
      <c r="B344" s="1" t="n">
        <v>43838</v>
      </c>
      <c r="C344" s="1" t="n">
        <v>45834</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1171-2020</t>
        </is>
      </c>
      <c r="B345" s="1" t="n">
        <v>43840</v>
      </c>
      <c r="C345" s="1" t="n">
        <v>45834</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1688-2020</t>
        </is>
      </c>
      <c r="B346" s="1" t="n">
        <v>43844</v>
      </c>
      <c r="C346" s="1" t="n">
        <v>45834</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2162-2020</t>
        </is>
      </c>
      <c r="B347" s="1" t="n">
        <v>43846</v>
      </c>
      <c r="C347" s="1" t="n">
        <v>45834</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2895-2020</t>
        </is>
      </c>
      <c r="B348" s="1" t="n">
        <v>43850</v>
      </c>
      <c r="C348" s="1" t="n">
        <v>45834</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3693-2020</t>
        </is>
      </c>
      <c r="B349" s="1" t="n">
        <v>43853</v>
      </c>
      <c r="C349" s="1" t="n">
        <v>45834</v>
      </c>
      <c r="D349" t="inlineStr">
        <is>
          <t>UPPSALA LÄN</t>
        </is>
      </c>
      <c r="E349" t="inlineStr">
        <is>
          <t>UPPSALA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3516-2020</t>
        </is>
      </c>
      <c r="B350" s="1" t="n">
        <v>43853</v>
      </c>
      <c r="C350" s="1" t="n">
        <v>45834</v>
      </c>
      <c r="D350" t="inlineStr">
        <is>
          <t>UPPSALA LÄN</t>
        </is>
      </c>
      <c r="E350" t="inlineStr">
        <is>
          <t>UPPSALA</t>
        </is>
      </c>
      <c r="G350" t="n">
        <v>9.4</v>
      </c>
      <c r="H350" t="n">
        <v>0</v>
      </c>
      <c r="I350" t="n">
        <v>0</v>
      </c>
      <c r="J350" t="n">
        <v>0</v>
      </c>
      <c r="K350" t="n">
        <v>0</v>
      </c>
      <c r="L350" t="n">
        <v>0</v>
      </c>
      <c r="M350" t="n">
        <v>0</v>
      </c>
      <c r="N350" t="n">
        <v>0</v>
      </c>
      <c r="O350" t="n">
        <v>0</v>
      </c>
      <c r="P350" t="n">
        <v>0</v>
      </c>
      <c r="Q350" t="n">
        <v>0</v>
      </c>
      <c r="R350" s="2" t="inlineStr"/>
    </row>
    <row r="351" ht="15" customHeight="1">
      <c r="A351" t="inlineStr">
        <is>
          <t>A 6313-2020</t>
        </is>
      </c>
      <c r="B351" s="1" t="n">
        <v>43866</v>
      </c>
      <c r="C351" s="1" t="n">
        <v>45834</v>
      </c>
      <c r="D351" t="inlineStr">
        <is>
          <t>UPPSALA LÄN</t>
        </is>
      </c>
      <c r="E351" t="inlineStr">
        <is>
          <t>UPPSALA</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6315-2020</t>
        </is>
      </c>
      <c r="B352" s="1" t="n">
        <v>43866</v>
      </c>
      <c r="C352" s="1" t="n">
        <v>45834</v>
      </c>
      <c r="D352" t="inlineStr">
        <is>
          <t>UPPSALA LÄN</t>
        </is>
      </c>
      <c r="E352" t="inlineStr">
        <is>
          <t>UPPSALA</t>
        </is>
      </c>
      <c r="F352" t="inlineStr">
        <is>
          <t>Övriga statliga verk och myndigheter</t>
        </is>
      </c>
      <c r="G352" t="n">
        <v>1.9</v>
      </c>
      <c r="H352" t="n">
        <v>0</v>
      </c>
      <c r="I352" t="n">
        <v>0</v>
      </c>
      <c r="J352" t="n">
        <v>0</v>
      </c>
      <c r="K352" t="n">
        <v>0</v>
      </c>
      <c r="L352" t="n">
        <v>0</v>
      </c>
      <c r="M352" t="n">
        <v>0</v>
      </c>
      <c r="N352" t="n">
        <v>0</v>
      </c>
      <c r="O352" t="n">
        <v>0</v>
      </c>
      <c r="P352" t="n">
        <v>0</v>
      </c>
      <c r="Q352" t="n">
        <v>0</v>
      </c>
      <c r="R352" s="2" t="inlineStr"/>
    </row>
    <row r="353" ht="15" customHeight="1">
      <c r="A353" t="inlineStr">
        <is>
          <t>A 6655-2020</t>
        </is>
      </c>
      <c r="B353" s="1" t="n">
        <v>43867</v>
      </c>
      <c r="C353" s="1" t="n">
        <v>45834</v>
      </c>
      <c r="D353" t="inlineStr">
        <is>
          <t>UPPSALA LÄN</t>
        </is>
      </c>
      <c r="E353" t="inlineStr">
        <is>
          <t>UPPSALA</t>
        </is>
      </c>
      <c r="G353" t="n">
        <v>7.3</v>
      </c>
      <c r="H353" t="n">
        <v>0</v>
      </c>
      <c r="I353" t="n">
        <v>0</v>
      </c>
      <c r="J353" t="n">
        <v>0</v>
      </c>
      <c r="K353" t="n">
        <v>0</v>
      </c>
      <c r="L353" t="n">
        <v>0</v>
      </c>
      <c r="M353" t="n">
        <v>0</v>
      </c>
      <c r="N353" t="n">
        <v>0</v>
      </c>
      <c r="O353" t="n">
        <v>0</v>
      </c>
      <c r="P353" t="n">
        <v>0</v>
      </c>
      <c r="Q353" t="n">
        <v>0</v>
      </c>
      <c r="R353" s="2" t="inlineStr"/>
    </row>
    <row r="354" ht="15" customHeight="1">
      <c r="A354" t="inlineStr">
        <is>
          <t>A 8261-2020</t>
        </is>
      </c>
      <c r="B354" s="1" t="n">
        <v>43874</v>
      </c>
      <c r="C354" s="1" t="n">
        <v>45834</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8646-2020</t>
        </is>
      </c>
      <c r="B355" s="1" t="n">
        <v>43878</v>
      </c>
      <c r="C355" s="1" t="n">
        <v>45834</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8902-2020</t>
        </is>
      </c>
      <c r="B356" s="1" t="n">
        <v>43878</v>
      </c>
      <c r="C356" s="1" t="n">
        <v>45834</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9011-2020</t>
        </is>
      </c>
      <c r="B357" s="1" t="n">
        <v>43879</v>
      </c>
      <c r="C357" s="1" t="n">
        <v>45834</v>
      </c>
      <c r="D357" t="inlineStr">
        <is>
          <t>UPPSALA LÄN</t>
        </is>
      </c>
      <c r="E357" t="inlineStr">
        <is>
          <t>UPPSALA</t>
        </is>
      </c>
      <c r="F357" t="inlineStr">
        <is>
          <t>Övriga statliga verk och myndigheter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9084-2020</t>
        </is>
      </c>
      <c r="B358" s="1" t="n">
        <v>43879</v>
      </c>
      <c r="C358" s="1" t="n">
        <v>45834</v>
      </c>
      <c r="D358" t="inlineStr">
        <is>
          <t>UPPSALA LÄN</t>
        </is>
      </c>
      <c r="E358" t="inlineStr">
        <is>
          <t>UPPSALA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9257-2020</t>
        </is>
      </c>
      <c r="B359" s="1" t="n">
        <v>43879</v>
      </c>
      <c r="C359" s="1" t="n">
        <v>45834</v>
      </c>
      <c r="D359" t="inlineStr">
        <is>
          <t>UPPSALA LÄN</t>
        </is>
      </c>
      <c r="E359" t="inlineStr">
        <is>
          <t>UPPSALA</t>
        </is>
      </c>
      <c r="F359" t="inlineStr">
        <is>
          <t>Bergvik skog öst AB</t>
        </is>
      </c>
      <c r="G359" t="n">
        <v>5.8</v>
      </c>
      <c r="H359" t="n">
        <v>0</v>
      </c>
      <c r="I359" t="n">
        <v>0</v>
      </c>
      <c r="J359" t="n">
        <v>0</v>
      </c>
      <c r="K359" t="n">
        <v>0</v>
      </c>
      <c r="L359" t="n">
        <v>0</v>
      </c>
      <c r="M359" t="n">
        <v>0</v>
      </c>
      <c r="N359" t="n">
        <v>0</v>
      </c>
      <c r="O359" t="n">
        <v>0</v>
      </c>
      <c r="P359" t="n">
        <v>0</v>
      </c>
      <c r="Q359" t="n">
        <v>0</v>
      </c>
      <c r="R359" s="2" t="inlineStr"/>
    </row>
    <row r="360" ht="15" customHeight="1">
      <c r="A360" t="inlineStr">
        <is>
          <t>A 9658-2020</t>
        </is>
      </c>
      <c r="B360" s="1" t="n">
        <v>43881</v>
      </c>
      <c r="C360" s="1" t="n">
        <v>45834</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10003-2020</t>
        </is>
      </c>
      <c r="B361" s="1" t="n">
        <v>43882</v>
      </c>
      <c r="C361" s="1" t="n">
        <v>45834</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9949-2020</t>
        </is>
      </c>
      <c r="B362" s="1" t="n">
        <v>43882</v>
      </c>
      <c r="C362" s="1" t="n">
        <v>45834</v>
      </c>
      <c r="D362" t="inlineStr">
        <is>
          <t>UPPSALA LÄN</t>
        </is>
      </c>
      <c r="E362" t="inlineStr">
        <is>
          <t>UPPSALA</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10033-2020</t>
        </is>
      </c>
      <c r="B363" s="1" t="n">
        <v>43882</v>
      </c>
      <c r="C363" s="1" t="n">
        <v>45834</v>
      </c>
      <c r="D363" t="inlineStr">
        <is>
          <t>UPPSALA LÄN</t>
        </is>
      </c>
      <c r="E363" t="inlineStr">
        <is>
          <t>UPPSALA</t>
        </is>
      </c>
      <c r="G363" t="n">
        <v>4.6</v>
      </c>
      <c r="H363" t="n">
        <v>0</v>
      </c>
      <c r="I363" t="n">
        <v>0</v>
      </c>
      <c r="J363" t="n">
        <v>0</v>
      </c>
      <c r="K363" t="n">
        <v>0</v>
      </c>
      <c r="L363" t="n">
        <v>0</v>
      </c>
      <c r="M363" t="n">
        <v>0</v>
      </c>
      <c r="N363" t="n">
        <v>0</v>
      </c>
      <c r="O363" t="n">
        <v>0</v>
      </c>
      <c r="P363" t="n">
        <v>0</v>
      </c>
      <c r="Q363" t="n">
        <v>0</v>
      </c>
      <c r="R363" s="2" t="inlineStr"/>
    </row>
    <row r="364" ht="15" customHeight="1">
      <c r="A364" t="inlineStr">
        <is>
          <t>A 10478-2020</t>
        </is>
      </c>
      <c r="B364" s="1" t="n">
        <v>43886</v>
      </c>
      <c r="C364" s="1" t="n">
        <v>45834</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11540-2020</t>
        </is>
      </c>
      <c r="B365" s="1" t="n">
        <v>43887</v>
      </c>
      <c r="C365" s="1" t="n">
        <v>45834</v>
      </c>
      <c r="D365" t="inlineStr">
        <is>
          <t>UPPSALA LÄN</t>
        </is>
      </c>
      <c r="E365" t="inlineStr">
        <is>
          <t>UPPSALA</t>
        </is>
      </c>
      <c r="G365" t="n">
        <v>2.1</v>
      </c>
      <c r="H365" t="n">
        <v>0</v>
      </c>
      <c r="I365" t="n">
        <v>0</v>
      </c>
      <c r="J365" t="n">
        <v>0</v>
      </c>
      <c r="K365" t="n">
        <v>0</v>
      </c>
      <c r="L365" t="n">
        <v>0</v>
      </c>
      <c r="M365" t="n">
        <v>0</v>
      </c>
      <c r="N365" t="n">
        <v>0</v>
      </c>
      <c r="O365" t="n">
        <v>0</v>
      </c>
      <c r="P365" t="n">
        <v>0</v>
      </c>
      <c r="Q365" t="n">
        <v>0</v>
      </c>
      <c r="R365" s="2" t="inlineStr"/>
    </row>
    <row r="366" ht="15" customHeight="1">
      <c r="A366" t="inlineStr">
        <is>
          <t>A 11174-2020</t>
        </is>
      </c>
      <c r="B366" s="1" t="n">
        <v>43891</v>
      </c>
      <c r="C366" s="1" t="n">
        <v>45834</v>
      </c>
      <c r="D366" t="inlineStr">
        <is>
          <t>UPPSALA LÄN</t>
        </is>
      </c>
      <c r="E366" t="inlineStr">
        <is>
          <t>UPPSALA</t>
        </is>
      </c>
      <c r="F366" t="inlineStr">
        <is>
          <t>Övriga statliga verk och myndigheter</t>
        </is>
      </c>
      <c r="G366" t="n">
        <v>2.8</v>
      </c>
      <c r="H366" t="n">
        <v>0</v>
      </c>
      <c r="I366" t="n">
        <v>0</v>
      </c>
      <c r="J366" t="n">
        <v>0</v>
      </c>
      <c r="K366" t="n">
        <v>0</v>
      </c>
      <c r="L366" t="n">
        <v>0</v>
      </c>
      <c r="M366" t="n">
        <v>0</v>
      </c>
      <c r="N366" t="n">
        <v>0</v>
      </c>
      <c r="O366" t="n">
        <v>0</v>
      </c>
      <c r="P366" t="n">
        <v>0</v>
      </c>
      <c r="Q366" t="n">
        <v>0</v>
      </c>
      <c r="R366" s="2" t="inlineStr"/>
    </row>
    <row r="367" ht="15" customHeight="1">
      <c r="A367" t="inlineStr">
        <is>
          <t>A 12626-2020</t>
        </is>
      </c>
      <c r="B367" s="1" t="n">
        <v>43892</v>
      </c>
      <c r="C367" s="1" t="n">
        <v>45834</v>
      </c>
      <c r="D367" t="inlineStr">
        <is>
          <t>UPPSALA LÄN</t>
        </is>
      </c>
      <c r="E367" t="inlineStr">
        <is>
          <t>UPPSALA</t>
        </is>
      </c>
      <c r="G367" t="n">
        <v>11.4</v>
      </c>
      <c r="H367" t="n">
        <v>0</v>
      </c>
      <c r="I367" t="n">
        <v>0</v>
      </c>
      <c r="J367" t="n">
        <v>0</v>
      </c>
      <c r="K367" t="n">
        <v>0</v>
      </c>
      <c r="L367" t="n">
        <v>0</v>
      </c>
      <c r="M367" t="n">
        <v>0</v>
      </c>
      <c r="N367" t="n">
        <v>0</v>
      </c>
      <c r="O367" t="n">
        <v>0</v>
      </c>
      <c r="P367" t="n">
        <v>0</v>
      </c>
      <c r="Q367" t="n">
        <v>0</v>
      </c>
      <c r="R367" s="2" t="inlineStr"/>
    </row>
    <row r="368" ht="15" customHeight="1">
      <c r="A368" t="inlineStr">
        <is>
          <t>A 11336-2020</t>
        </is>
      </c>
      <c r="B368" s="1" t="n">
        <v>43892</v>
      </c>
      <c r="C368" s="1" t="n">
        <v>45834</v>
      </c>
      <c r="D368" t="inlineStr">
        <is>
          <t>UPPSALA LÄN</t>
        </is>
      </c>
      <c r="E368" t="inlineStr">
        <is>
          <t>UPPSALA</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11320-2020</t>
        </is>
      </c>
      <c r="B369" s="1" t="n">
        <v>43892</v>
      </c>
      <c r="C369" s="1" t="n">
        <v>45834</v>
      </c>
      <c r="D369" t="inlineStr">
        <is>
          <t>UPPSALA LÄN</t>
        </is>
      </c>
      <c r="E369" t="inlineStr">
        <is>
          <t>UPPSALA</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12028-2020</t>
        </is>
      </c>
      <c r="B370" s="1" t="n">
        <v>43894</v>
      </c>
      <c r="C370" s="1" t="n">
        <v>45834</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12055-2020</t>
        </is>
      </c>
      <c r="B371" s="1" t="n">
        <v>43894</v>
      </c>
      <c r="C371" s="1" t="n">
        <v>45834</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12848-2020</t>
        </is>
      </c>
      <c r="B372" s="1" t="n">
        <v>43899</v>
      </c>
      <c r="C372" s="1" t="n">
        <v>45834</v>
      </c>
      <c r="D372" t="inlineStr">
        <is>
          <t>UPPSALA LÄN</t>
        </is>
      </c>
      <c r="E372" t="inlineStr">
        <is>
          <t>UPPSALA</t>
        </is>
      </c>
      <c r="G372" t="n">
        <v>10.3</v>
      </c>
      <c r="H372" t="n">
        <v>0</v>
      </c>
      <c r="I372" t="n">
        <v>0</v>
      </c>
      <c r="J372" t="n">
        <v>0</v>
      </c>
      <c r="K372" t="n">
        <v>0</v>
      </c>
      <c r="L372" t="n">
        <v>0</v>
      </c>
      <c r="M372" t="n">
        <v>0</v>
      </c>
      <c r="N372" t="n">
        <v>0</v>
      </c>
      <c r="O372" t="n">
        <v>0</v>
      </c>
      <c r="P372" t="n">
        <v>0</v>
      </c>
      <c r="Q372" t="n">
        <v>0</v>
      </c>
      <c r="R372" s="2" t="inlineStr"/>
    </row>
    <row r="373" ht="15" customHeight="1">
      <c r="A373" t="inlineStr">
        <is>
          <t>A 12781-2020</t>
        </is>
      </c>
      <c r="B373" s="1" t="n">
        <v>43899</v>
      </c>
      <c r="C373" s="1" t="n">
        <v>45834</v>
      </c>
      <c r="D373" t="inlineStr">
        <is>
          <t>UPPSALA LÄN</t>
        </is>
      </c>
      <c r="E373" t="inlineStr">
        <is>
          <t>UPPSALA</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13636-2020</t>
        </is>
      </c>
      <c r="B374" s="1" t="n">
        <v>43903</v>
      </c>
      <c r="C374" s="1" t="n">
        <v>45834</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14469-2020</t>
        </is>
      </c>
      <c r="B375" s="1" t="n">
        <v>43908</v>
      </c>
      <c r="C375" s="1" t="n">
        <v>45834</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14423-2020</t>
        </is>
      </c>
      <c r="B376" s="1" t="n">
        <v>43908</v>
      </c>
      <c r="C376" s="1" t="n">
        <v>45834</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14472-2020</t>
        </is>
      </c>
      <c r="B377" s="1" t="n">
        <v>43908</v>
      </c>
      <c r="C377" s="1" t="n">
        <v>45834</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14427-2020</t>
        </is>
      </c>
      <c r="B378" s="1" t="n">
        <v>43908</v>
      </c>
      <c r="C378" s="1" t="n">
        <v>45834</v>
      </c>
      <c r="D378" t="inlineStr">
        <is>
          <t>UPPSALA LÄN</t>
        </is>
      </c>
      <c r="E378" t="inlineStr">
        <is>
          <t>UPPSALA</t>
        </is>
      </c>
      <c r="F378" t="inlineStr">
        <is>
          <t>Bergvik skog öst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15344-2020</t>
        </is>
      </c>
      <c r="B379" s="1" t="n">
        <v>43913</v>
      </c>
      <c r="C379" s="1" t="n">
        <v>45834</v>
      </c>
      <c r="D379" t="inlineStr">
        <is>
          <t>UPPSALA LÄN</t>
        </is>
      </c>
      <c r="E379" t="inlineStr">
        <is>
          <t>UPPSALA</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18106-2020</t>
        </is>
      </c>
      <c r="B380" s="1" t="n">
        <v>43927</v>
      </c>
      <c r="C380" s="1" t="n">
        <v>45834</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18114-2020</t>
        </is>
      </c>
      <c r="B381" s="1" t="n">
        <v>43927</v>
      </c>
      <c r="C381" s="1" t="n">
        <v>45834</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18469-2020</t>
        </is>
      </c>
      <c r="B382" s="1" t="n">
        <v>43929</v>
      </c>
      <c r="C382" s="1" t="n">
        <v>45834</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19210-2020</t>
        </is>
      </c>
      <c r="B383" s="1" t="n">
        <v>43937</v>
      </c>
      <c r="C383" s="1" t="n">
        <v>45834</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20218-2020</t>
        </is>
      </c>
      <c r="B384" s="1" t="n">
        <v>43944</v>
      </c>
      <c r="C384" s="1" t="n">
        <v>45834</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20506-2020</t>
        </is>
      </c>
      <c r="B385" s="1" t="n">
        <v>43948</v>
      </c>
      <c r="C385" s="1" t="n">
        <v>45834</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20490-2020</t>
        </is>
      </c>
      <c r="B386" s="1" t="n">
        <v>43948</v>
      </c>
      <c r="C386" s="1" t="n">
        <v>45834</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20960-2020</t>
        </is>
      </c>
      <c r="B387" s="1" t="n">
        <v>43950</v>
      </c>
      <c r="C387" s="1" t="n">
        <v>45834</v>
      </c>
      <c r="D387" t="inlineStr">
        <is>
          <t>UPPSALA LÄN</t>
        </is>
      </c>
      <c r="E387" t="inlineStr">
        <is>
          <t>UPPSALA</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24300-2020</t>
        </is>
      </c>
      <c r="B388" s="1" t="n">
        <v>43973</v>
      </c>
      <c r="C388" s="1" t="n">
        <v>45834</v>
      </c>
      <c r="D388" t="inlineStr">
        <is>
          <t>UPPSALA LÄN</t>
        </is>
      </c>
      <c r="E388" t="inlineStr">
        <is>
          <t>UPPSALA</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24287-2020</t>
        </is>
      </c>
      <c r="B389" s="1" t="n">
        <v>43976</v>
      </c>
      <c r="C389" s="1" t="n">
        <v>45834</v>
      </c>
      <c r="D389" t="inlineStr">
        <is>
          <t>UPPSALA LÄN</t>
        </is>
      </c>
      <c r="E389" t="inlineStr">
        <is>
          <t>UPPSALA</t>
        </is>
      </c>
      <c r="G389" t="n">
        <v>1</v>
      </c>
      <c r="H389" t="n">
        <v>0</v>
      </c>
      <c r="I389" t="n">
        <v>0</v>
      </c>
      <c r="J389" t="n">
        <v>0</v>
      </c>
      <c r="K389" t="n">
        <v>0</v>
      </c>
      <c r="L389" t="n">
        <v>0</v>
      </c>
      <c r="M389" t="n">
        <v>0</v>
      </c>
      <c r="N389" t="n">
        <v>0</v>
      </c>
      <c r="O389" t="n">
        <v>0</v>
      </c>
      <c r="P389" t="n">
        <v>0</v>
      </c>
      <c r="Q389" t="n">
        <v>0</v>
      </c>
      <c r="R389" s="2" t="inlineStr"/>
    </row>
    <row r="390" ht="15" customHeight="1">
      <c r="A390" t="inlineStr">
        <is>
          <t>A 25798-2020</t>
        </is>
      </c>
      <c r="B390" s="1" t="n">
        <v>43984</v>
      </c>
      <c r="C390" s="1" t="n">
        <v>45834</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26488-2020</t>
        </is>
      </c>
      <c r="B391" s="1" t="n">
        <v>43987</v>
      </c>
      <c r="C391" s="1" t="n">
        <v>45834</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26492-2020</t>
        </is>
      </c>
      <c r="B392" s="1" t="n">
        <v>43987</v>
      </c>
      <c r="C392" s="1" t="n">
        <v>45834</v>
      </c>
      <c r="D392" t="inlineStr">
        <is>
          <t>UPPSALA LÄN</t>
        </is>
      </c>
      <c r="E392" t="inlineStr">
        <is>
          <t>UPPSALA</t>
        </is>
      </c>
      <c r="G392" t="n">
        <v>9.5</v>
      </c>
      <c r="H392" t="n">
        <v>0</v>
      </c>
      <c r="I392" t="n">
        <v>0</v>
      </c>
      <c r="J392" t="n">
        <v>0</v>
      </c>
      <c r="K392" t="n">
        <v>0</v>
      </c>
      <c r="L392" t="n">
        <v>0</v>
      </c>
      <c r="M392" t="n">
        <v>0</v>
      </c>
      <c r="N392" t="n">
        <v>0</v>
      </c>
      <c r="O392" t="n">
        <v>0</v>
      </c>
      <c r="P392" t="n">
        <v>0</v>
      </c>
      <c r="Q392" t="n">
        <v>0</v>
      </c>
      <c r="R392" s="2" t="inlineStr"/>
    </row>
    <row r="393" ht="15" customHeight="1">
      <c r="A393" t="inlineStr">
        <is>
          <t>A 26856-2020</t>
        </is>
      </c>
      <c r="B393" s="1" t="n">
        <v>43990</v>
      </c>
      <c r="C393" s="1" t="n">
        <v>45834</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28565-2020</t>
        </is>
      </c>
      <c r="B394" s="1" t="n">
        <v>43999</v>
      </c>
      <c r="C394" s="1" t="n">
        <v>45834</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28514-2020</t>
        </is>
      </c>
      <c r="B395" s="1" t="n">
        <v>43999</v>
      </c>
      <c r="C395" s="1" t="n">
        <v>45834</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28993-2020</t>
        </is>
      </c>
      <c r="B396" s="1" t="n">
        <v>44000</v>
      </c>
      <c r="C396" s="1" t="n">
        <v>45834</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29034-2020</t>
        </is>
      </c>
      <c r="B397" s="1" t="n">
        <v>44000</v>
      </c>
      <c r="C397" s="1" t="n">
        <v>45834</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30196-2020</t>
        </is>
      </c>
      <c r="B398" s="1" t="n">
        <v>44007</v>
      </c>
      <c r="C398" s="1" t="n">
        <v>45834</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30208-2020</t>
        </is>
      </c>
      <c r="B399" s="1" t="n">
        <v>44007</v>
      </c>
      <c r="C399" s="1" t="n">
        <v>45834</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31219-2020</t>
        </is>
      </c>
      <c r="B400" s="1" t="n">
        <v>44012</v>
      </c>
      <c r="C400" s="1" t="n">
        <v>45834</v>
      </c>
      <c r="D400" t="inlineStr">
        <is>
          <t>UPPSALA LÄN</t>
        </is>
      </c>
      <c r="E400" t="inlineStr">
        <is>
          <t>UPPSALA</t>
        </is>
      </c>
      <c r="F400" t="inlineStr">
        <is>
          <t>Bergvik skog öst AB</t>
        </is>
      </c>
      <c r="G400" t="n">
        <v>7.4</v>
      </c>
      <c r="H400" t="n">
        <v>0</v>
      </c>
      <c r="I400" t="n">
        <v>0</v>
      </c>
      <c r="J400" t="n">
        <v>0</v>
      </c>
      <c r="K400" t="n">
        <v>0</v>
      </c>
      <c r="L400" t="n">
        <v>0</v>
      </c>
      <c r="M400" t="n">
        <v>0</v>
      </c>
      <c r="N400" t="n">
        <v>0</v>
      </c>
      <c r="O400" t="n">
        <v>0</v>
      </c>
      <c r="P400" t="n">
        <v>0</v>
      </c>
      <c r="Q400" t="n">
        <v>0</v>
      </c>
      <c r="R400" s="2" t="inlineStr"/>
    </row>
    <row r="401" ht="15" customHeight="1">
      <c r="A401" t="inlineStr">
        <is>
          <t>A 31430-2020</t>
        </is>
      </c>
      <c r="B401" s="1" t="n">
        <v>44013</v>
      </c>
      <c r="C401" s="1" t="n">
        <v>45834</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31932-2020</t>
        </is>
      </c>
      <c r="B402" s="1" t="n">
        <v>44014</v>
      </c>
      <c r="C402" s="1" t="n">
        <v>45834</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32235-2020</t>
        </is>
      </c>
      <c r="B403" s="1" t="n">
        <v>44015</v>
      </c>
      <c r="C403" s="1" t="n">
        <v>45834</v>
      </c>
      <c r="D403" t="inlineStr">
        <is>
          <t>UPPSALA LÄN</t>
        </is>
      </c>
      <c r="E403" t="inlineStr">
        <is>
          <t>UPPSALA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32340-2020</t>
        </is>
      </c>
      <c r="B404" s="1" t="n">
        <v>44016</v>
      </c>
      <c r="C404" s="1" t="n">
        <v>45834</v>
      </c>
      <c r="D404" t="inlineStr">
        <is>
          <t>UPPSALA LÄN</t>
        </is>
      </c>
      <c r="E404" t="inlineStr">
        <is>
          <t>UPPSALA</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32608-2020</t>
        </is>
      </c>
      <c r="B405" s="1" t="n">
        <v>44019</v>
      </c>
      <c r="C405" s="1" t="n">
        <v>45834</v>
      </c>
      <c r="D405" t="inlineStr">
        <is>
          <t>UPPSALA LÄN</t>
        </is>
      </c>
      <c r="E405" t="inlineStr">
        <is>
          <t>UPPSALA</t>
        </is>
      </c>
      <c r="F405" t="inlineStr">
        <is>
          <t>Bergvik skog öst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33658-2020</t>
        </is>
      </c>
      <c r="B406" s="1" t="n">
        <v>44026</v>
      </c>
      <c r="C406" s="1" t="n">
        <v>45834</v>
      </c>
      <c r="D406" t="inlineStr">
        <is>
          <t>UPPSALA LÄN</t>
        </is>
      </c>
      <c r="E406" t="inlineStr">
        <is>
          <t>UPPSALA</t>
        </is>
      </c>
      <c r="G406" t="n">
        <v>2.2</v>
      </c>
      <c r="H406" t="n">
        <v>0</v>
      </c>
      <c r="I406" t="n">
        <v>0</v>
      </c>
      <c r="J406" t="n">
        <v>0</v>
      </c>
      <c r="K406" t="n">
        <v>0</v>
      </c>
      <c r="L406" t="n">
        <v>0</v>
      </c>
      <c r="M406" t="n">
        <v>0</v>
      </c>
      <c r="N406" t="n">
        <v>0</v>
      </c>
      <c r="O406" t="n">
        <v>0</v>
      </c>
      <c r="P406" t="n">
        <v>0</v>
      </c>
      <c r="Q406" t="n">
        <v>0</v>
      </c>
      <c r="R406" s="2" t="inlineStr"/>
    </row>
    <row r="407" ht="15" customHeight="1">
      <c r="A407" t="inlineStr">
        <is>
          <t>A 34205-2020</t>
        </is>
      </c>
      <c r="B407" s="1" t="n">
        <v>44029</v>
      </c>
      <c r="C407" s="1" t="n">
        <v>45834</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34565-2020</t>
        </is>
      </c>
      <c r="B408" s="1" t="n">
        <v>44033</v>
      </c>
      <c r="C408" s="1" t="n">
        <v>45834</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34753-2020</t>
        </is>
      </c>
      <c r="B409" s="1" t="n">
        <v>44035</v>
      </c>
      <c r="C409" s="1" t="n">
        <v>45834</v>
      </c>
      <c r="D409" t="inlineStr">
        <is>
          <t>UPPSALA LÄN</t>
        </is>
      </c>
      <c r="E409" t="inlineStr">
        <is>
          <t>UPPSALA</t>
        </is>
      </c>
      <c r="G409" t="n">
        <v>2.7</v>
      </c>
      <c r="H409" t="n">
        <v>0</v>
      </c>
      <c r="I409" t="n">
        <v>0</v>
      </c>
      <c r="J409" t="n">
        <v>0</v>
      </c>
      <c r="K409" t="n">
        <v>0</v>
      </c>
      <c r="L409" t="n">
        <v>0</v>
      </c>
      <c r="M409" t="n">
        <v>0</v>
      </c>
      <c r="N409" t="n">
        <v>0</v>
      </c>
      <c r="O409" t="n">
        <v>0</v>
      </c>
      <c r="P409" t="n">
        <v>0</v>
      </c>
      <c r="Q409" t="n">
        <v>0</v>
      </c>
      <c r="R409" s="2" t="inlineStr"/>
    </row>
    <row r="410" ht="15" customHeight="1">
      <c r="A410" t="inlineStr">
        <is>
          <t>A 34749-2020</t>
        </is>
      </c>
      <c r="B410" s="1" t="n">
        <v>44035</v>
      </c>
      <c r="C410" s="1" t="n">
        <v>45834</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35281-2020</t>
        </is>
      </c>
      <c r="B411" s="1" t="n">
        <v>44041</v>
      </c>
      <c r="C411" s="1" t="n">
        <v>45834</v>
      </c>
      <c r="D411" t="inlineStr">
        <is>
          <t>UPPSALA LÄN</t>
        </is>
      </c>
      <c r="E411" t="inlineStr">
        <is>
          <t>UPPSALA</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36035-2020</t>
        </is>
      </c>
      <c r="B412" s="1" t="n">
        <v>44048</v>
      </c>
      <c r="C412" s="1" t="n">
        <v>45834</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36202-2020</t>
        </is>
      </c>
      <c r="B413" s="1" t="n">
        <v>44048</v>
      </c>
      <c r="C413" s="1" t="n">
        <v>45834</v>
      </c>
      <c r="D413" t="inlineStr">
        <is>
          <t>UPPSALA LÄN</t>
        </is>
      </c>
      <c r="E413" t="inlineStr">
        <is>
          <t>UPPSALA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36198-2020</t>
        </is>
      </c>
      <c r="B414" s="1" t="n">
        <v>44048</v>
      </c>
      <c r="C414" s="1" t="n">
        <v>45834</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36350-2020</t>
        </is>
      </c>
      <c r="B415" s="1" t="n">
        <v>44049</v>
      </c>
      <c r="C415" s="1" t="n">
        <v>45834</v>
      </c>
      <c r="D415" t="inlineStr">
        <is>
          <t>UPPSALA LÄN</t>
        </is>
      </c>
      <c r="E415" t="inlineStr">
        <is>
          <t>UPPSALA</t>
        </is>
      </c>
      <c r="G415" t="n">
        <v>1.9</v>
      </c>
      <c r="H415" t="n">
        <v>0</v>
      </c>
      <c r="I415" t="n">
        <v>0</v>
      </c>
      <c r="J415" t="n">
        <v>0</v>
      </c>
      <c r="K415" t="n">
        <v>0</v>
      </c>
      <c r="L415" t="n">
        <v>0</v>
      </c>
      <c r="M415" t="n">
        <v>0</v>
      </c>
      <c r="N415" t="n">
        <v>0</v>
      </c>
      <c r="O415" t="n">
        <v>0</v>
      </c>
      <c r="P415" t="n">
        <v>0</v>
      </c>
      <c r="Q415" t="n">
        <v>0</v>
      </c>
      <c r="R415" s="2" t="inlineStr"/>
    </row>
    <row r="416" ht="15" customHeight="1">
      <c r="A416" t="inlineStr">
        <is>
          <t>A 36512-2020</t>
        </is>
      </c>
      <c r="B416" s="1" t="n">
        <v>44050</v>
      </c>
      <c r="C416" s="1" t="n">
        <v>45834</v>
      </c>
      <c r="D416" t="inlineStr">
        <is>
          <t>UPPSALA LÄN</t>
        </is>
      </c>
      <c r="E416" t="inlineStr">
        <is>
          <t>UPPSALA</t>
        </is>
      </c>
      <c r="G416" t="n">
        <v>5.8</v>
      </c>
      <c r="H416" t="n">
        <v>0</v>
      </c>
      <c r="I416" t="n">
        <v>0</v>
      </c>
      <c r="J416" t="n">
        <v>0</v>
      </c>
      <c r="K416" t="n">
        <v>0</v>
      </c>
      <c r="L416" t="n">
        <v>0</v>
      </c>
      <c r="M416" t="n">
        <v>0</v>
      </c>
      <c r="N416" t="n">
        <v>0</v>
      </c>
      <c r="O416" t="n">
        <v>0</v>
      </c>
      <c r="P416" t="n">
        <v>0</v>
      </c>
      <c r="Q416" t="n">
        <v>0</v>
      </c>
      <c r="R416" s="2" t="inlineStr"/>
    </row>
    <row r="417" ht="15" customHeight="1">
      <c r="A417" t="inlineStr">
        <is>
          <t>A 37276-2020</t>
        </is>
      </c>
      <c r="B417" s="1" t="n">
        <v>44055</v>
      </c>
      <c r="C417" s="1" t="n">
        <v>45834</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37669-2020</t>
        </is>
      </c>
      <c r="B418" s="1" t="n">
        <v>44056</v>
      </c>
      <c r="C418" s="1" t="n">
        <v>45834</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39233-2020</t>
        </is>
      </c>
      <c r="B419" s="1" t="n">
        <v>44063</v>
      </c>
      <c r="C419" s="1" t="n">
        <v>45834</v>
      </c>
      <c r="D419" t="inlineStr">
        <is>
          <t>UPPSALA LÄN</t>
        </is>
      </c>
      <c r="E419" t="inlineStr">
        <is>
          <t>UPPSALA</t>
        </is>
      </c>
      <c r="G419" t="n">
        <v>1.2</v>
      </c>
      <c r="H419" t="n">
        <v>0</v>
      </c>
      <c r="I419" t="n">
        <v>0</v>
      </c>
      <c r="J419" t="n">
        <v>0</v>
      </c>
      <c r="K419" t="n">
        <v>0</v>
      </c>
      <c r="L419" t="n">
        <v>0</v>
      </c>
      <c r="M419" t="n">
        <v>0</v>
      </c>
      <c r="N419" t="n">
        <v>0</v>
      </c>
      <c r="O419" t="n">
        <v>0</v>
      </c>
      <c r="P419" t="n">
        <v>0</v>
      </c>
      <c r="Q419" t="n">
        <v>0</v>
      </c>
      <c r="R419" s="2" t="inlineStr"/>
    </row>
    <row r="420" ht="15" customHeight="1">
      <c r="A420" t="inlineStr">
        <is>
          <t>A 39178-2020</t>
        </is>
      </c>
      <c r="B420" s="1" t="n">
        <v>44063</v>
      </c>
      <c r="C420" s="1" t="n">
        <v>45834</v>
      </c>
      <c r="D420" t="inlineStr">
        <is>
          <t>UPPSALA LÄN</t>
        </is>
      </c>
      <c r="E420" t="inlineStr">
        <is>
          <t>UPPSALA</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39236-2020</t>
        </is>
      </c>
      <c r="B421" s="1" t="n">
        <v>44063</v>
      </c>
      <c r="C421" s="1" t="n">
        <v>45834</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39272-2020</t>
        </is>
      </c>
      <c r="B422" s="1" t="n">
        <v>44063</v>
      </c>
      <c r="C422" s="1" t="n">
        <v>45834</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40894-2020</t>
        </is>
      </c>
      <c r="B423" s="1" t="n">
        <v>44070</v>
      </c>
      <c r="C423" s="1" t="n">
        <v>45834</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42341-2020</t>
        </is>
      </c>
      <c r="B424" s="1" t="n">
        <v>44076</v>
      </c>
      <c r="C424" s="1" t="n">
        <v>45834</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43968-2020</t>
        </is>
      </c>
      <c r="B425" s="1" t="n">
        <v>44083</v>
      </c>
      <c r="C425" s="1" t="n">
        <v>45834</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45930-2020</t>
        </is>
      </c>
      <c r="B426" s="1" t="n">
        <v>44091</v>
      </c>
      <c r="C426" s="1" t="n">
        <v>45834</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46633-2020</t>
        </is>
      </c>
      <c r="B427" s="1" t="n">
        <v>44095</v>
      </c>
      <c r="C427" s="1" t="n">
        <v>45834</v>
      </c>
      <c r="D427" t="inlineStr">
        <is>
          <t>UPPSALA LÄN</t>
        </is>
      </c>
      <c r="E427" t="inlineStr">
        <is>
          <t>UPPSALA</t>
        </is>
      </c>
      <c r="G427" t="n">
        <v>4.2</v>
      </c>
      <c r="H427" t="n">
        <v>0</v>
      </c>
      <c r="I427" t="n">
        <v>0</v>
      </c>
      <c r="J427" t="n">
        <v>0</v>
      </c>
      <c r="K427" t="n">
        <v>0</v>
      </c>
      <c r="L427" t="n">
        <v>0</v>
      </c>
      <c r="M427" t="n">
        <v>0</v>
      </c>
      <c r="N427" t="n">
        <v>0</v>
      </c>
      <c r="O427" t="n">
        <v>0</v>
      </c>
      <c r="P427" t="n">
        <v>0</v>
      </c>
      <c r="Q427" t="n">
        <v>0</v>
      </c>
      <c r="R427" s="2" t="inlineStr"/>
    </row>
    <row r="428" ht="15" customHeight="1">
      <c r="A428" t="inlineStr">
        <is>
          <t>A 46647-2020</t>
        </is>
      </c>
      <c r="B428" s="1" t="n">
        <v>44095</v>
      </c>
      <c r="C428" s="1" t="n">
        <v>45834</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48786-2020</t>
        </is>
      </c>
      <c r="B429" s="1" t="n">
        <v>44103</v>
      </c>
      <c r="C429" s="1" t="n">
        <v>45834</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49363-2020</t>
        </is>
      </c>
      <c r="B430" s="1" t="n">
        <v>44105</v>
      </c>
      <c r="C430" s="1" t="n">
        <v>45834</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49409-2020</t>
        </is>
      </c>
      <c r="B431" s="1" t="n">
        <v>44105</v>
      </c>
      <c r="C431" s="1" t="n">
        <v>45834</v>
      </c>
      <c r="D431" t="inlineStr">
        <is>
          <t>UPPSALA LÄN</t>
        </is>
      </c>
      <c r="E431" t="inlineStr">
        <is>
          <t>UPPSALA</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49404-2020</t>
        </is>
      </c>
      <c r="B432" s="1" t="n">
        <v>44105</v>
      </c>
      <c r="C432" s="1" t="n">
        <v>45834</v>
      </c>
      <c r="D432" t="inlineStr">
        <is>
          <t>UPPSALA LÄN</t>
        </is>
      </c>
      <c r="E432" t="inlineStr">
        <is>
          <t>UPPSALA</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49821-2020</t>
        </is>
      </c>
      <c r="B433" s="1" t="n">
        <v>44106</v>
      </c>
      <c r="C433" s="1" t="n">
        <v>45834</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49931-2020</t>
        </is>
      </c>
      <c r="B434" s="1" t="n">
        <v>44109</v>
      </c>
      <c r="C434" s="1" t="n">
        <v>45834</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52717-2020</t>
        </is>
      </c>
      <c r="B435" s="1" t="n">
        <v>44119</v>
      </c>
      <c r="C435" s="1" t="n">
        <v>45834</v>
      </c>
      <c r="D435" t="inlineStr">
        <is>
          <t>UPPSALA LÄN</t>
        </is>
      </c>
      <c r="E435" t="inlineStr">
        <is>
          <t>UPPSALA</t>
        </is>
      </c>
      <c r="G435" t="n">
        <v>2.8</v>
      </c>
      <c r="H435" t="n">
        <v>0</v>
      </c>
      <c r="I435" t="n">
        <v>0</v>
      </c>
      <c r="J435" t="n">
        <v>0</v>
      </c>
      <c r="K435" t="n">
        <v>0</v>
      </c>
      <c r="L435" t="n">
        <v>0</v>
      </c>
      <c r="M435" t="n">
        <v>0</v>
      </c>
      <c r="N435" t="n">
        <v>0</v>
      </c>
      <c r="O435" t="n">
        <v>0</v>
      </c>
      <c r="P435" t="n">
        <v>0</v>
      </c>
      <c r="Q435" t="n">
        <v>0</v>
      </c>
      <c r="R435" s="2" t="inlineStr"/>
    </row>
    <row r="436" ht="15" customHeight="1">
      <c r="A436" t="inlineStr">
        <is>
          <t>A 53346-2020</t>
        </is>
      </c>
      <c r="B436" s="1" t="n">
        <v>44123</v>
      </c>
      <c r="C436" s="1" t="n">
        <v>45834</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53379-2020</t>
        </is>
      </c>
      <c r="B437" s="1" t="n">
        <v>44123</v>
      </c>
      <c r="C437" s="1" t="n">
        <v>45834</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54742-2020</t>
        </is>
      </c>
      <c r="B438" s="1" t="n">
        <v>44126</v>
      </c>
      <c r="C438" s="1" t="n">
        <v>45834</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55220-2020</t>
        </is>
      </c>
      <c r="B439" s="1" t="n">
        <v>44130</v>
      </c>
      <c r="C439" s="1" t="n">
        <v>45834</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55953-2020</t>
        </is>
      </c>
      <c r="B440" s="1" t="n">
        <v>44131</v>
      </c>
      <c r="C440" s="1" t="n">
        <v>45834</v>
      </c>
      <c r="D440" t="inlineStr">
        <is>
          <t>UPPSALA LÄN</t>
        </is>
      </c>
      <c r="E440" t="inlineStr">
        <is>
          <t>UPPSALA</t>
        </is>
      </c>
      <c r="F440" t="inlineStr">
        <is>
          <t>Allmännings- och besparingsskogar</t>
        </is>
      </c>
      <c r="G440" t="n">
        <v>74.40000000000001</v>
      </c>
      <c r="H440" t="n">
        <v>0</v>
      </c>
      <c r="I440" t="n">
        <v>0</v>
      </c>
      <c r="J440" t="n">
        <v>0</v>
      </c>
      <c r="K440" t="n">
        <v>0</v>
      </c>
      <c r="L440" t="n">
        <v>0</v>
      </c>
      <c r="M440" t="n">
        <v>0</v>
      </c>
      <c r="N440" t="n">
        <v>0</v>
      </c>
      <c r="O440" t="n">
        <v>0</v>
      </c>
      <c r="P440" t="n">
        <v>0</v>
      </c>
      <c r="Q440" t="n">
        <v>0</v>
      </c>
      <c r="R440" s="2" t="inlineStr"/>
    </row>
    <row r="441" ht="15" customHeight="1">
      <c r="A441" t="inlineStr">
        <is>
          <t>A 56097-2020</t>
        </is>
      </c>
      <c r="B441" s="1" t="n">
        <v>44131</v>
      </c>
      <c r="C441" s="1" t="n">
        <v>45834</v>
      </c>
      <c r="D441" t="inlineStr">
        <is>
          <t>UPPSALA LÄN</t>
        </is>
      </c>
      <c r="E441" t="inlineStr">
        <is>
          <t>UPPSALA</t>
        </is>
      </c>
      <c r="F441" t="inlineStr">
        <is>
          <t>Allmännings- och besparingsskogar</t>
        </is>
      </c>
      <c r="G441" t="n">
        <v>10.6</v>
      </c>
      <c r="H441" t="n">
        <v>0</v>
      </c>
      <c r="I441" t="n">
        <v>0</v>
      </c>
      <c r="J441" t="n">
        <v>0</v>
      </c>
      <c r="K441" t="n">
        <v>0</v>
      </c>
      <c r="L441" t="n">
        <v>0</v>
      </c>
      <c r="M441" t="n">
        <v>0</v>
      </c>
      <c r="N441" t="n">
        <v>0</v>
      </c>
      <c r="O441" t="n">
        <v>0</v>
      </c>
      <c r="P441" t="n">
        <v>0</v>
      </c>
      <c r="Q441" t="n">
        <v>0</v>
      </c>
      <c r="R441" s="2" t="inlineStr"/>
    </row>
    <row r="442" ht="15" customHeight="1">
      <c r="A442" t="inlineStr">
        <is>
          <t>A 56466-2020</t>
        </is>
      </c>
      <c r="B442" s="1" t="n">
        <v>44134</v>
      </c>
      <c r="C442" s="1" t="n">
        <v>45834</v>
      </c>
      <c r="D442" t="inlineStr">
        <is>
          <t>UPPSALA LÄN</t>
        </is>
      </c>
      <c r="E442" t="inlineStr">
        <is>
          <t>UPPSALA</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57041-2020</t>
        </is>
      </c>
      <c r="B443" s="1" t="n">
        <v>44137</v>
      </c>
      <c r="C443" s="1" t="n">
        <v>45834</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57271-2020</t>
        </is>
      </c>
      <c r="B444" s="1" t="n">
        <v>44139</v>
      </c>
      <c r="C444" s="1" t="n">
        <v>45834</v>
      </c>
      <c r="D444" t="inlineStr">
        <is>
          <t>UPPSALA LÄN</t>
        </is>
      </c>
      <c r="E444" t="inlineStr">
        <is>
          <t>UPPSALA</t>
        </is>
      </c>
      <c r="G444" t="n">
        <v>3.8</v>
      </c>
      <c r="H444" t="n">
        <v>0</v>
      </c>
      <c r="I444" t="n">
        <v>0</v>
      </c>
      <c r="J444" t="n">
        <v>0</v>
      </c>
      <c r="K444" t="n">
        <v>0</v>
      </c>
      <c r="L444" t="n">
        <v>0</v>
      </c>
      <c r="M444" t="n">
        <v>0</v>
      </c>
      <c r="N444" t="n">
        <v>0</v>
      </c>
      <c r="O444" t="n">
        <v>0</v>
      </c>
      <c r="P444" t="n">
        <v>0</v>
      </c>
      <c r="Q444" t="n">
        <v>0</v>
      </c>
      <c r="R444" s="2" t="inlineStr"/>
    </row>
    <row r="445" ht="15" customHeight="1">
      <c r="A445" t="inlineStr">
        <is>
          <t>A 57451-2020</t>
        </is>
      </c>
      <c r="B445" s="1" t="n">
        <v>44139</v>
      </c>
      <c r="C445" s="1" t="n">
        <v>45834</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57466-2020</t>
        </is>
      </c>
      <c r="B446" s="1" t="n">
        <v>44139</v>
      </c>
      <c r="C446" s="1" t="n">
        <v>45834</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58070-2020</t>
        </is>
      </c>
      <c r="B447" s="1" t="n">
        <v>44140</v>
      </c>
      <c r="C447" s="1" t="n">
        <v>45834</v>
      </c>
      <c r="D447" t="inlineStr">
        <is>
          <t>UPPSALA LÄN</t>
        </is>
      </c>
      <c r="E447" t="inlineStr">
        <is>
          <t>UPPSALA</t>
        </is>
      </c>
      <c r="G447" t="n">
        <v>4</v>
      </c>
      <c r="H447" t="n">
        <v>0</v>
      </c>
      <c r="I447" t="n">
        <v>0</v>
      </c>
      <c r="J447" t="n">
        <v>0</v>
      </c>
      <c r="K447" t="n">
        <v>0</v>
      </c>
      <c r="L447" t="n">
        <v>0</v>
      </c>
      <c r="M447" t="n">
        <v>0</v>
      </c>
      <c r="N447" t="n">
        <v>0</v>
      </c>
      <c r="O447" t="n">
        <v>0</v>
      </c>
      <c r="P447" t="n">
        <v>0</v>
      </c>
      <c r="Q447" t="n">
        <v>0</v>
      </c>
      <c r="R447" s="2" t="inlineStr"/>
    </row>
    <row r="448" ht="15" customHeight="1">
      <c r="A448" t="inlineStr">
        <is>
          <t>A 58058-2020</t>
        </is>
      </c>
      <c r="B448" s="1" t="n">
        <v>44144</v>
      </c>
      <c r="C448" s="1" t="n">
        <v>45834</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58056-2020</t>
        </is>
      </c>
      <c r="B449" s="1" t="n">
        <v>44144</v>
      </c>
      <c r="C449" s="1" t="n">
        <v>45834</v>
      </c>
      <c r="D449" t="inlineStr">
        <is>
          <t>UPPSALA LÄN</t>
        </is>
      </c>
      <c r="E449" t="inlineStr">
        <is>
          <t>UPPSALA</t>
        </is>
      </c>
      <c r="G449" t="n">
        <v>5.5</v>
      </c>
      <c r="H449" t="n">
        <v>0</v>
      </c>
      <c r="I449" t="n">
        <v>0</v>
      </c>
      <c r="J449" t="n">
        <v>0</v>
      </c>
      <c r="K449" t="n">
        <v>0</v>
      </c>
      <c r="L449" t="n">
        <v>0</v>
      </c>
      <c r="M449" t="n">
        <v>0</v>
      </c>
      <c r="N449" t="n">
        <v>0</v>
      </c>
      <c r="O449" t="n">
        <v>0</v>
      </c>
      <c r="P449" t="n">
        <v>0</v>
      </c>
      <c r="Q449" t="n">
        <v>0</v>
      </c>
      <c r="R449" s="2" t="inlineStr"/>
    </row>
    <row r="450" ht="15" customHeight="1">
      <c r="A450" t="inlineStr">
        <is>
          <t>A 58288-2020</t>
        </is>
      </c>
      <c r="B450" s="1" t="n">
        <v>44144</v>
      </c>
      <c r="C450" s="1" t="n">
        <v>45834</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58928-2020</t>
        </is>
      </c>
      <c r="B451" s="1" t="n">
        <v>44146</v>
      </c>
      <c r="C451" s="1" t="n">
        <v>45834</v>
      </c>
      <c r="D451" t="inlineStr">
        <is>
          <t>UPPSALA LÄN</t>
        </is>
      </c>
      <c r="E451" t="inlineStr">
        <is>
          <t>UPPSALA</t>
        </is>
      </c>
      <c r="G451" t="n">
        <v>10.6</v>
      </c>
      <c r="H451" t="n">
        <v>0</v>
      </c>
      <c r="I451" t="n">
        <v>0</v>
      </c>
      <c r="J451" t="n">
        <v>0</v>
      </c>
      <c r="K451" t="n">
        <v>0</v>
      </c>
      <c r="L451" t="n">
        <v>0</v>
      </c>
      <c r="M451" t="n">
        <v>0</v>
      </c>
      <c r="N451" t="n">
        <v>0</v>
      </c>
      <c r="O451" t="n">
        <v>0</v>
      </c>
      <c r="P451" t="n">
        <v>0</v>
      </c>
      <c r="Q451" t="n">
        <v>0</v>
      </c>
      <c r="R451" s="2" t="inlineStr"/>
    </row>
    <row r="452" ht="15" customHeight="1">
      <c r="A452" t="inlineStr">
        <is>
          <t>A 59952-2020</t>
        </is>
      </c>
      <c r="B452" s="1" t="n">
        <v>44151</v>
      </c>
      <c r="C452" s="1" t="n">
        <v>45834</v>
      </c>
      <c r="D452" t="inlineStr">
        <is>
          <t>UPPSALA LÄN</t>
        </is>
      </c>
      <c r="E452" t="inlineStr">
        <is>
          <t>UPPSALA</t>
        </is>
      </c>
      <c r="G452" t="n">
        <v>25.8</v>
      </c>
      <c r="H452" t="n">
        <v>0</v>
      </c>
      <c r="I452" t="n">
        <v>0</v>
      </c>
      <c r="J452" t="n">
        <v>0</v>
      </c>
      <c r="K452" t="n">
        <v>0</v>
      </c>
      <c r="L452" t="n">
        <v>0</v>
      </c>
      <c r="M452" t="n">
        <v>0</v>
      </c>
      <c r="N452" t="n">
        <v>0</v>
      </c>
      <c r="O452" t="n">
        <v>0</v>
      </c>
      <c r="P452" t="n">
        <v>0</v>
      </c>
      <c r="Q452" t="n">
        <v>0</v>
      </c>
      <c r="R452" s="2" t="inlineStr"/>
    </row>
    <row r="453" ht="15" customHeight="1">
      <c r="A453" t="inlineStr">
        <is>
          <t>A 60702-2020</t>
        </is>
      </c>
      <c r="B453" s="1" t="n">
        <v>44153</v>
      </c>
      <c r="C453" s="1" t="n">
        <v>45834</v>
      </c>
      <c r="D453" t="inlineStr">
        <is>
          <t>UPPSALA LÄN</t>
        </is>
      </c>
      <c r="E453" t="inlineStr">
        <is>
          <t>UPPSALA</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61265-2020</t>
        </is>
      </c>
      <c r="B454" s="1" t="n">
        <v>44155</v>
      </c>
      <c r="C454" s="1" t="n">
        <v>45834</v>
      </c>
      <c r="D454" t="inlineStr">
        <is>
          <t>UPPSALA LÄN</t>
        </is>
      </c>
      <c r="E454" t="inlineStr">
        <is>
          <t>UPPSALA</t>
        </is>
      </c>
      <c r="G454" t="n">
        <v>4.7</v>
      </c>
      <c r="H454" t="n">
        <v>0</v>
      </c>
      <c r="I454" t="n">
        <v>0</v>
      </c>
      <c r="J454" t="n">
        <v>0</v>
      </c>
      <c r="K454" t="n">
        <v>0</v>
      </c>
      <c r="L454" t="n">
        <v>0</v>
      </c>
      <c r="M454" t="n">
        <v>0</v>
      </c>
      <c r="N454" t="n">
        <v>0</v>
      </c>
      <c r="O454" t="n">
        <v>0</v>
      </c>
      <c r="P454" t="n">
        <v>0</v>
      </c>
      <c r="Q454" t="n">
        <v>0</v>
      </c>
      <c r="R454" s="2" t="inlineStr"/>
    </row>
    <row r="455" ht="15" customHeight="1">
      <c r="A455" t="inlineStr">
        <is>
          <t>A 61271-2020</t>
        </is>
      </c>
      <c r="B455" s="1" t="n">
        <v>44155</v>
      </c>
      <c r="C455" s="1" t="n">
        <v>45834</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62094-2020</t>
        </is>
      </c>
      <c r="B456" s="1" t="n">
        <v>44159</v>
      </c>
      <c r="C456" s="1" t="n">
        <v>45834</v>
      </c>
      <c r="D456" t="inlineStr">
        <is>
          <t>UPPSALA LÄN</t>
        </is>
      </c>
      <c r="E456" t="inlineStr">
        <is>
          <t>UPPSALA</t>
        </is>
      </c>
      <c r="F456" t="inlineStr">
        <is>
          <t>Bergvik skog öst AB</t>
        </is>
      </c>
      <c r="G456" t="n">
        <v>3.4</v>
      </c>
      <c r="H456" t="n">
        <v>0</v>
      </c>
      <c r="I456" t="n">
        <v>0</v>
      </c>
      <c r="J456" t="n">
        <v>0</v>
      </c>
      <c r="K456" t="n">
        <v>0</v>
      </c>
      <c r="L456" t="n">
        <v>0</v>
      </c>
      <c r="M456" t="n">
        <v>0</v>
      </c>
      <c r="N456" t="n">
        <v>0</v>
      </c>
      <c r="O456" t="n">
        <v>0</v>
      </c>
      <c r="P456" t="n">
        <v>0</v>
      </c>
      <c r="Q456" t="n">
        <v>0</v>
      </c>
      <c r="R456" s="2" t="inlineStr"/>
    </row>
    <row r="457" ht="15" customHeight="1">
      <c r="A457" t="inlineStr">
        <is>
          <t>A 62352-2020</t>
        </is>
      </c>
      <c r="B457" s="1" t="n">
        <v>44159</v>
      </c>
      <c r="C457" s="1" t="n">
        <v>45834</v>
      </c>
      <c r="D457" t="inlineStr">
        <is>
          <t>UPPSALA LÄN</t>
        </is>
      </c>
      <c r="E457" t="inlineStr">
        <is>
          <t>UPPSALA</t>
        </is>
      </c>
      <c r="F457" t="inlineStr">
        <is>
          <t>Allmännings- och besparingsskogar</t>
        </is>
      </c>
      <c r="G457" t="n">
        <v>12.9</v>
      </c>
      <c r="H457" t="n">
        <v>0</v>
      </c>
      <c r="I457" t="n">
        <v>0</v>
      </c>
      <c r="J457" t="n">
        <v>0</v>
      </c>
      <c r="K457" t="n">
        <v>0</v>
      </c>
      <c r="L457" t="n">
        <v>0</v>
      </c>
      <c r="M457" t="n">
        <v>0</v>
      </c>
      <c r="N457" t="n">
        <v>0</v>
      </c>
      <c r="O457" t="n">
        <v>0</v>
      </c>
      <c r="P457" t="n">
        <v>0</v>
      </c>
      <c r="Q457" t="n">
        <v>0</v>
      </c>
      <c r="R457" s="2" t="inlineStr"/>
    </row>
    <row r="458" ht="15" customHeight="1">
      <c r="A458" t="inlineStr">
        <is>
          <t>A 62504-2020</t>
        </is>
      </c>
      <c r="B458" s="1" t="n">
        <v>44160</v>
      </c>
      <c r="C458" s="1" t="n">
        <v>45834</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62729-2020</t>
        </is>
      </c>
      <c r="B459" s="1" t="n">
        <v>44161</v>
      </c>
      <c r="C459" s="1" t="n">
        <v>45834</v>
      </c>
      <c r="D459" t="inlineStr">
        <is>
          <t>UPPSALA LÄN</t>
        </is>
      </c>
      <c r="E459" t="inlineStr">
        <is>
          <t>UPPSALA</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62655-2020</t>
        </is>
      </c>
      <c r="B460" s="1" t="n">
        <v>44161</v>
      </c>
      <c r="C460" s="1" t="n">
        <v>45834</v>
      </c>
      <c r="D460" t="inlineStr">
        <is>
          <t>UPPSALA LÄN</t>
        </is>
      </c>
      <c r="E460" t="inlineStr">
        <is>
          <t>UPPSALA</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63145-2020</t>
        </is>
      </c>
      <c r="B461" s="1" t="n">
        <v>44162</v>
      </c>
      <c r="C461" s="1" t="n">
        <v>45834</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63529-2020</t>
        </is>
      </c>
      <c r="B462" s="1" t="n">
        <v>44165</v>
      </c>
      <c r="C462" s="1" t="n">
        <v>45834</v>
      </c>
      <c r="D462" t="inlineStr">
        <is>
          <t>UPPSALA LÄN</t>
        </is>
      </c>
      <c r="E462" t="inlineStr">
        <is>
          <t>UPPSALA</t>
        </is>
      </c>
      <c r="F462" t="inlineStr">
        <is>
          <t>Övriga statliga verk och myndigheter</t>
        </is>
      </c>
      <c r="G462" t="n">
        <v>2.4</v>
      </c>
      <c r="H462" t="n">
        <v>0</v>
      </c>
      <c r="I462" t="n">
        <v>0</v>
      </c>
      <c r="J462" t="n">
        <v>0</v>
      </c>
      <c r="K462" t="n">
        <v>0</v>
      </c>
      <c r="L462" t="n">
        <v>0</v>
      </c>
      <c r="M462" t="n">
        <v>0</v>
      </c>
      <c r="N462" t="n">
        <v>0</v>
      </c>
      <c r="O462" t="n">
        <v>0</v>
      </c>
      <c r="P462" t="n">
        <v>0</v>
      </c>
      <c r="Q462" t="n">
        <v>0</v>
      </c>
      <c r="R462" s="2" t="inlineStr"/>
    </row>
    <row r="463" ht="15" customHeight="1">
      <c r="A463" t="inlineStr">
        <is>
          <t>A 63749-2020</t>
        </is>
      </c>
      <c r="B463" s="1" t="n">
        <v>44166</v>
      </c>
      <c r="C463" s="1" t="n">
        <v>45834</v>
      </c>
      <c r="D463" t="inlineStr">
        <is>
          <t>UPPSALA LÄN</t>
        </is>
      </c>
      <c r="E463" t="inlineStr">
        <is>
          <t>UPPSALA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64128-2020</t>
        </is>
      </c>
      <c r="B464" s="1" t="n">
        <v>44167</v>
      </c>
      <c r="C464" s="1" t="n">
        <v>45834</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64353-2020</t>
        </is>
      </c>
      <c r="B465" s="1" t="n">
        <v>44168</v>
      </c>
      <c r="C465" s="1" t="n">
        <v>45834</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64333-2020</t>
        </is>
      </c>
      <c r="B466" s="1" t="n">
        <v>44168</v>
      </c>
      <c r="C466" s="1" t="n">
        <v>45834</v>
      </c>
      <c r="D466" t="inlineStr">
        <is>
          <t>UPPSALA LÄN</t>
        </is>
      </c>
      <c r="E466" t="inlineStr">
        <is>
          <t>UPPSALA</t>
        </is>
      </c>
      <c r="G466" t="n">
        <v>7.1</v>
      </c>
      <c r="H466" t="n">
        <v>0</v>
      </c>
      <c r="I466" t="n">
        <v>0</v>
      </c>
      <c r="J466" t="n">
        <v>0</v>
      </c>
      <c r="K466" t="n">
        <v>0</v>
      </c>
      <c r="L466" t="n">
        <v>0</v>
      </c>
      <c r="M466" t="n">
        <v>0</v>
      </c>
      <c r="N466" t="n">
        <v>0</v>
      </c>
      <c r="O466" t="n">
        <v>0</v>
      </c>
      <c r="P466" t="n">
        <v>0</v>
      </c>
      <c r="Q466" t="n">
        <v>0</v>
      </c>
      <c r="R466" s="2" t="inlineStr"/>
    </row>
    <row r="467" ht="15" customHeight="1">
      <c r="A467" t="inlineStr">
        <is>
          <t>A 66984-2020</t>
        </is>
      </c>
      <c r="B467" s="1" t="n">
        <v>44180</v>
      </c>
      <c r="C467" s="1" t="n">
        <v>45834</v>
      </c>
      <c r="D467" t="inlineStr">
        <is>
          <t>UPPSALA LÄN</t>
        </is>
      </c>
      <c r="E467" t="inlineStr">
        <is>
          <t>UPPSALA</t>
        </is>
      </c>
      <c r="F467" t="inlineStr">
        <is>
          <t>Övriga statliga verk och myndigheter</t>
        </is>
      </c>
      <c r="G467" t="n">
        <v>2.1</v>
      </c>
      <c r="H467" t="n">
        <v>0</v>
      </c>
      <c r="I467" t="n">
        <v>0</v>
      </c>
      <c r="J467" t="n">
        <v>0</v>
      </c>
      <c r="K467" t="n">
        <v>0</v>
      </c>
      <c r="L467" t="n">
        <v>0</v>
      </c>
      <c r="M467" t="n">
        <v>0</v>
      </c>
      <c r="N467" t="n">
        <v>0</v>
      </c>
      <c r="O467" t="n">
        <v>0</v>
      </c>
      <c r="P467" t="n">
        <v>0</v>
      </c>
      <c r="Q467" t="n">
        <v>0</v>
      </c>
      <c r="R467" s="2" t="inlineStr"/>
    </row>
    <row r="468" ht="15" customHeight="1">
      <c r="A468" t="inlineStr">
        <is>
          <t>A 265-2021</t>
        </is>
      </c>
      <c r="B468" s="1" t="n">
        <v>44200</v>
      </c>
      <c r="C468" s="1" t="n">
        <v>45834</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1020-2021</t>
        </is>
      </c>
      <c r="B469" s="1" t="n">
        <v>44207</v>
      </c>
      <c r="C469" s="1" t="n">
        <v>45834</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1573-2021</t>
        </is>
      </c>
      <c r="B470" s="1" t="n">
        <v>44209</v>
      </c>
      <c r="C470" s="1" t="n">
        <v>45834</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1617-2021</t>
        </is>
      </c>
      <c r="B471" s="1" t="n">
        <v>44209</v>
      </c>
      <c r="C471" s="1" t="n">
        <v>45834</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1855-2021</t>
        </is>
      </c>
      <c r="B472" s="1" t="n">
        <v>44210</v>
      </c>
      <c r="C472" s="1" t="n">
        <v>45834</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2169-2021</t>
        </is>
      </c>
      <c r="B473" s="1" t="n">
        <v>44211</v>
      </c>
      <c r="C473" s="1" t="n">
        <v>45834</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3864-2021</t>
        </is>
      </c>
      <c r="B474" s="1" t="n">
        <v>44216</v>
      </c>
      <c r="C474" s="1" t="n">
        <v>45834</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3874-2021</t>
        </is>
      </c>
      <c r="B475" s="1" t="n">
        <v>44216</v>
      </c>
      <c r="C475" s="1" t="n">
        <v>45834</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3955-2021</t>
        </is>
      </c>
      <c r="B476" s="1" t="n">
        <v>44222</v>
      </c>
      <c r="C476" s="1" t="n">
        <v>45834</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4875-2021</t>
        </is>
      </c>
      <c r="B477" s="1" t="n">
        <v>44223</v>
      </c>
      <c r="C477" s="1" t="n">
        <v>45834</v>
      </c>
      <c r="D477" t="inlineStr">
        <is>
          <t>UPPSALA LÄN</t>
        </is>
      </c>
      <c r="E477" t="inlineStr">
        <is>
          <t>UPPSALA</t>
        </is>
      </c>
      <c r="G477" t="n">
        <v>0.4</v>
      </c>
      <c r="H477" t="n">
        <v>0</v>
      </c>
      <c r="I477" t="n">
        <v>0</v>
      </c>
      <c r="J477" t="n">
        <v>0</v>
      </c>
      <c r="K477" t="n">
        <v>0</v>
      </c>
      <c r="L477" t="n">
        <v>0</v>
      </c>
      <c r="M477" t="n">
        <v>0</v>
      </c>
      <c r="N477" t="n">
        <v>0</v>
      </c>
      <c r="O477" t="n">
        <v>0</v>
      </c>
      <c r="P477" t="n">
        <v>0</v>
      </c>
      <c r="Q477" t="n">
        <v>0</v>
      </c>
      <c r="R477" s="2" t="inlineStr"/>
    </row>
    <row r="478" ht="15" customHeight="1">
      <c r="A478" t="inlineStr">
        <is>
          <t>A 5663-2021</t>
        </is>
      </c>
      <c r="B478" s="1" t="n">
        <v>44230</v>
      </c>
      <c r="C478" s="1" t="n">
        <v>45834</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8114-2021</t>
        </is>
      </c>
      <c r="B479" s="1" t="n">
        <v>44243</v>
      </c>
      <c r="C479" s="1" t="n">
        <v>45834</v>
      </c>
      <c r="D479" t="inlineStr">
        <is>
          <t>UPPSALA LÄN</t>
        </is>
      </c>
      <c r="E479" t="inlineStr">
        <is>
          <t>UPPSALA</t>
        </is>
      </c>
      <c r="G479" t="n">
        <v>3.4</v>
      </c>
      <c r="H479" t="n">
        <v>0</v>
      </c>
      <c r="I479" t="n">
        <v>0</v>
      </c>
      <c r="J479" t="n">
        <v>0</v>
      </c>
      <c r="K479" t="n">
        <v>0</v>
      </c>
      <c r="L479" t="n">
        <v>0</v>
      </c>
      <c r="M479" t="n">
        <v>0</v>
      </c>
      <c r="N479" t="n">
        <v>0</v>
      </c>
      <c r="O479" t="n">
        <v>0</v>
      </c>
      <c r="P479" t="n">
        <v>0</v>
      </c>
      <c r="Q479" t="n">
        <v>0</v>
      </c>
      <c r="R479" s="2" t="inlineStr"/>
    </row>
    <row r="480" ht="15" customHeight="1">
      <c r="A480" t="inlineStr">
        <is>
          <t>A 8494-2021</t>
        </is>
      </c>
      <c r="B480" s="1" t="n">
        <v>44245</v>
      </c>
      <c r="C480" s="1" t="n">
        <v>45834</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9700-2021</t>
        </is>
      </c>
      <c r="B481" s="1" t="n">
        <v>44252</v>
      </c>
      <c r="C481" s="1" t="n">
        <v>45834</v>
      </c>
      <c r="D481" t="inlineStr">
        <is>
          <t>UPPSALA LÄN</t>
        </is>
      </c>
      <c r="E481" t="inlineStr">
        <is>
          <t>UPPSALA</t>
        </is>
      </c>
      <c r="G481" t="n">
        <v>3.3</v>
      </c>
      <c r="H481" t="n">
        <v>0</v>
      </c>
      <c r="I481" t="n">
        <v>0</v>
      </c>
      <c r="J481" t="n">
        <v>0</v>
      </c>
      <c r="K481" t="n">
        <v>0</v>
      </c>
      <c r="L481" t="n">
        <v>0</v>
      </c>
      <c r="M481" t="n">
        <v>0</v>
      </c>
      <c r="N481" t="n">
        <v>0</v>
      </c>
      <c r="O481" t="n">
        <v>0</v>
      </c>
      <c r="P481" t="n">
        <v>0</v>
      </c>
      <c r="Q481" t="n">
        <v>0</v>
      </c>
      <c r="R481" s="2" t="inlineStr"/>
    </row>
    <row r="482" ht="15" customHeight="1">
      <c r="A482" t="inlineStr">
        <is>
          <t>A 9712-2021</t>
        </is>
      </c>
      <c r="B482" s="1" t="n">
        <v>44252</v>
      </c>
      <c r="C482" s="1" t="n">
        <v>45834</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12225-2021</t>
        </is>
      </c>
      <c r="B483" s="1" t="n">
        <v>44266</v>
      </c>
      <c r="C483" s="1" t="n">
        <v>45834</v>
      </c>
      <c r="D483" t="inlineStr">
        <is>
          <t>UPPSALA LÄN</t>
        </is>
      </c>
      <c r="E483" t="inlineStr">
        <is>
          <t>UPPSALA</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12152-2021</t>
        </is>
      </c>
      <c r="B484" s="1" t="n">
        <v>44266</v>
      </c>
      <c r="C484" s="1" t="n">
        <v>45834</v>
      </c>
      <c r="D484" t="inlineStr">
        <is>
          <t>UPPSALA LÄN</t>
        </is>
      </c>
      <c r="E484" t="inlineStr">
        <is>
          <t>UPPSALA</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12172-2021</t>
        </is>
      </c>
      <c r="B485" s="1" t="n">
        <v>44266</v>
      </c>
      <c r="C485" s="1" t="n">
        <v>45834</v>
      </c>
      <c r="D485" t="inlineStr">
        <is>
          <t>UPPSALA LÄN</t>
        </is>
      </c>
      <c r="E485" t="inlineStr">
        <is>
          <t>UPPSALA</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12194-2021</t>
        </is>
      </c>
      <c r="B486" s="1" t="n">
        <v>44266</v>
      </c>
      <c r="C486" s="1" t="n">
        <v>45834</v>
      </c>
      <c r="D486" t="inlineStr">
        <is>
          <t>UPPSALA LÄN</t>
        </is>
      </c>
      <c r="E486" t="inlineStr">
        <is>
          <t>UPPSALA</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12313-2021</t>
        </is>
      </c>
      <c r="B487" s="1" t="n">
        <v>44266</v>
      </c>
      <c r="C487" s="1" t="n">
        <v>45834</v>
      </c>
      <c r="D487" t="inlineStr">
        <is>
          <t>UPPSALA LÄN</t>
        </is>
      </c>
      <c r="E487" t="inlineStr">
        <is>
          <t>UPPSALA</t>
        </is>
      </c>
      <c r="G487" t="n">
        <v>23.6</v>
      </c>
      <c r="H487" t="n">
        <v>0</v>
      </c>
      <c r="I487" t="n">
        <v>0</v>
      </c>
      <c r="J487" t="n">
        <v>0</v>
      </c>
      <c r="K487" t="n">
        <v>0</v>
      </c>
      <c r="L487" t="n">
        <v>0</v>
      </c>
      <c r="M487" t="n">
        <v>0</v>
      </c>
      <c r="N487" t="n">
        <v>0</v>
      </c>
      <c r="O487" t="n">
        <v>0</v>
      </c>
      <c r="P487" t="n">
        <v>0</v>
      </c>
      <c r="Q487" t="n">
        <v>0</v>
      </c>
      <c r="R487" s="2" t="inlineStr"/>
    </row>
    <row r="488" ht="15" customHeight="1">
      <c r="A488" t="inlineStr">
        <is>
          <t>A 13010-2021</t>
        </is>
      </c>
      <c r="B488" s="1" t="n">
        <v>44271</v>
      </c>
      <c r="C488" s="1" t="n">
        <v>45834</v>
      </c>
      <c r="D488" t="inlineStr">
        <is>
          <t>UPPSALA LÄN</t>
        </is>
      </c>
      <c r="E488" t="inlineStr">
        <is>
          <t>UPPSALA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13420-2021</t>
        </is>
      </c>
      <c r="B489" s="1" t="n">
        <v>44273</v>
      </c>
      <c r="C489" s="1" t="n">
        <v>45834</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14026-2021</t>
        </is>
      </c>
      <c r="B490" s="1" t="n">
        <v>44277</v>
      </c>
      <c r="C490" s="1" t="n">
        <v>45834</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14022-2021</t>
        </is>
      </c>
      <c r="B491" s="1" t="n">
        <v>44277</v>
      </c>
      <c r="C491" s="1" t="n">
        <v>45834</v>
      </c>
      <c r="D491" t="inlineStr">
        <is>
          <t>UPPSALA LÄN</t>
        </is>
      </c>
      <c r="E491" t="inlineStr">
        <is>
          <t>UPPSALA</t>
        </is>
      </c>
      <c r="G491" t="n">
        <v>11.1</v>
      </c>
      <c r="H491" t="n">
        <v>0</v>
      </c>
      <c r="I491" t="n">
        <v>0</v>
      </c>
      <c r="J491" t="n">
        <v>0</v>
      </c>
      <c r="K491" t="n">
        <v>0</v>
      </c>
      <c r="L491" t="n">
        <v>0</v>
      </c>
      <c r="M491" t="n">
        <v>0</v>
      </c>
      <c r="N491" t="n">
        <v>0</v>
      </c>
      <c r="O491" t="n">
        <v>0</v>
      </c>
      <c r="P491" t="n">
        <v>0</v>
      </c>
      <c r="Q491" t="n">
        <v>0</v>
      </c>
      <c r="R491" s="2" t="inlineStr"/>
    </row>
    <row r="492" ht="15" customHeight="1">
      <c r="A492" t="inlineStr">
        <is>
          <t>A 14341-2021</t>
        </is>
      </c>
      <c r="B492" s="1" t="n">
        <v>44279</v>
      </c>
      <c r="C492" s="1" t="n">
        <v>45834</v>
      </c>
      <c r="D492" t="inlineStr">
        <is>
          <t>UPPSALA LÄN</t>
        </is>
      </c>
      <c r="E492" t="inlineStr">
        <is>
          <t>UPPSALA</t>
        </is>
      </c>
      <c r="G492" t="n">
        <v>8.9</v>
      </c>
      <c r="H492" t="n">
        <v>0</v>
      </c>
      <c r="I492" t="n">
        <v>0</v>
      </c>
      <c r="J492" t="n">
        <v>0</v>
      </c>
      <c r="K492" t="n">
        <v>0</v>
      </c>
      <c r="L492" t="n">
        <v>0</v>
      </c>
      <c r="M492" t="n">
        <v>0</v>
      </c>
      <c r="N492" t="n">
        <v>0</v>
      </c>
      <c r="O492" t="n">
        <v>0</v>
      </c>
      <c r="P492" t="n">
        <v>0</v>
      </c>
      <c r="Q492" t="n">
        <v>0</v>
      </c>
      <c r="R492" s="2" t="inlineStr"/>
    </row>
    <row r="493" ht="15" customHeight="1">
      <c r="A493" t="inlineStr">
        <is>
          <t>A 14941-2021</t>
        </is>
      </c>
      <c r="B493" s="1" t="n">
        <v>44281</v>
      </c>
      <c r="C493" s="1" t="n">
        <v>45834</v>
      </c>
      <c r="D493" t="inlineStr">
        <is>
          <t>UPPSALA LÄN</t>
        </is>
      </c>
      <c r="E493" t="inlineStr">
        <is>
          <t>UPPSALA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15816-2021</t>
        </is>
      </c>
      <c r="B494" s="1" t="n">
        <v>44286</v>
      </c>
      <c r="C494" s="1" t="n">
        <v>45834</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15820-2021</t>
        </is>
      </c>
      <c r="B495" s="1" t="n">
        <v>44286</v>
      </c>
      <c r="C495" s="1" t="n">
        <v>45834</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16592-2021</t>
        </is>
      </c>
      <c r="B496" s="1" t="n">
        <v>44294</v>
      </c>
      <c r="C496" s="1" t="n">
        <v>45834</v>
      </c>
      <c r="D496" t="inlineStr">
        <is>
          <t>UPPSALA LÄN</t>
        </is>
      </c>
      <c r="E496" t="inlineStr">
        <is>
          <t>UPPSALA</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16615-2021</t>
        </is>
      </c>
      <c r="B497" s="1" t="n">
        <v>44294</v>
      </c>
      <c r="C497" s="1" t="n">
        <v>45834</v>
      </c>
      <c r="D497" t="inlineStr">
        <is>
          <t>UPPSALA LÄN</t>
        </is>
      </c>
      <c r="E497" t="inlineStr">
        <is>
          <t>UPPSALA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16684-2021</t>
        </is>
      </c>
      <c r="B498" s="1" t="n">
        <v>44294</v>
      </c>
      <c r="C498" s="1" t="n">
        <v>45834</v>
      </c>
      <c r="D498" t="inlineStr">
        <is>
          <t>UPPSALA LÄN</t>
        </is>
      </c>
      <c r="E498" t="inlineStr">
        <is>
          <t>UPPSALA</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17262-2021</t>
        </is>
      </c>
      <c r="B499" s="1" t="n">
        <v>44297</v>
      </c>
      <c r="C499" s="1" t="n">
        <v>45834</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17250-2021</t>
        </is>
      </c>
      <c r="B500" s="1" t="n">
        <v>44297</v>
      </c>
      <c r="C500" s="1" t="n">
        <v>45834</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17536-2021</t>
        </is>
      </c>
      <c r="B501" s="1" t="n">
        <v>44299</v>
      </c>
      <c r="C501" s="1" t="n">
        <v>45834</v>
      </c>
      <c r="D501" t="inlineStr">
        <is>
          <t>UPPSALA LÄN</t>
        </is>
      </c>
      <c r="E501" t="inlineStr">
        <is>
          <t>UPPSALA</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18906-2021</t>
        </is>
      </c>
      <c r="B502" s="1" t="n">
        <v>44308</v>
      </c>
      <c r="C502" s="1" t="n">
        <v>45834</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19927-2021</t>
        </is>
      </c>
      <c r="B503" s="1" t="n">
        <v>44313</v>
      </c>
      <c r="C503" s="1" t="n">
        <v>45834</v>
      </c>
      <c r="D503" t="inlineStr">
        <is>
          <t>UPPSALA LÄN</t>
        </is>
      </c>
      <c r="E503" t="inlineStr">
        <is>
          <t>UPPSALA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19947-2021</t>
        </is>
      </c>
      <c r="B504" s="1" t="n">
        <v>44313</v>
      </c>
      <c r="C504" s="1" t="n">
        <v>45834</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20276-2021</t>
        </is>
      </c>
      <c r="B505" s="1" t="n">
        <v>44314</v>
      </c>
      <c r="C505" s="1" t="n">
        <v>45834</v>
      </c>
      <c r="D505" t="inlineStr">
        <is>
          <t>UPPSALA LÄN</t>
        </is>
      </c>
      <c r="E505" t="inlineStr">
        <is>
          <t>UPPSALA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20271-2021</t>
        </is>
      </c>
      <c r="B506" s="1" t="n">
        <v>44314</v>
      </c>
      <c r="C506" s="1" t="n">
        <v>45834</v>
      </c>
      <c r="D506" t="inlineStr">
        <is>
          <t>UPPSALA LÄN</t>
        </is>
      </c>
      <c r="E506" t="inlineStr">
        <is>
          <t>UPPSALA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20609-2021</t>
        </is>
      </c>
      <c r="B507" s="1" t="n">
        <v>44316</v>
      </c>
      <c r="C507" s="1" t="n">
        <v>45834</v>
      </c>
      <c r="D507" t="inlineStr">
        <is>
          <t>UPPSALA LÄN</t>
        </is>
      </c>
      <c r="E507" t="inlineStr">
        <is>
          <t>UPPSALA</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22070-2021</t>
        </is>
      </c>
      <c r="B508" s="1" t="n">
        <v>44323</v>
      </c>
      <c r="C508" s="1" t="n">
        <v>45834</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22946-2021</t>
        </is>
      </c>
      <c r="B509" s="1" t="n">
        <v>44328</v>
      </c>
      <c r="C509" s="1" t="n">
        <v>45834</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23877-2021</t>
        </is>
      </c>
      <c r="B510" s="1" t="n">
        <v>44335</v>
      </c>
      <c r="C510" s="1" t="n">
        <v>45834</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25613-2021</t>
        </is>
      </c>
      <c r="B511" s="1" t="n">
        <v>44343</v>
      </c>
      <c r="C511" s="1" t="n">
        <v>45834</v>
      </c>
      <c r="D511" t="inlineStr">
        <is>
          <t>UPPSALA LÄN</t>
        </is>
      </c>
      <c r="E511" t="inlineStr">
        <is>
          <t>UPPSALA</t>
        </is>
      </c>
      <c r="G511" t="n">
        <v>2.1</v>
      </c>
      <c r="H511" t="n">
        <v>0</v>
      </c>
      <c r="I511" t="n">
        <v>0</v>
      </c>
      <c r="J511" t="n">
        <v>0</v>
      </c>
      <c r="K511" t="n">
        <v>0</v>
      </c>
      <c r="L511" t="n">
        <v>0</v>
      </c>
      <c r="M511" t="n">
        <v>0</v>
      </c>
      <c r="N511" t="n">
        <v>0</v>
      </c>
      <c r="O511" t="n">
        <v>0</v>
      </c>
      <c r="P511" t="n">
        <v>0</v>
      </c>
      <c r="Q511" t="n">
        <v>0</v>
      </c>
      <c r="R511" s="2" t="inlineStr"/>
    </row>
    <row r="512" ht="15" customHeight="1">
      <c r="A512" t="inlineStr">
        <is>
          <t>A 26785-2021</t>
        </is>
      </c>
      <c r="B512" s="1" t="n">
        <v>44349</v>
      </c>
      <c r="C512" s="1" t="n">
        <v>45834</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27365-2021</t>
        </is>
      </c>
      <c r="B513" s="1" t="n">
        <v>44351</v>
      </c>
      <c r="C513" s="1" t="n">
        <v>45834</v>
      </c>
      <c r="D513" t="inlineStr">
        <is>
          <t>UPPSALA LÄN</t>
        </is>
      </c>
      <c r="E513" t="inlineStr">
        <is>
          <t>UPPSALA</t>
        </is>
      </c>
      <c r="F513" t="inlineStr">
        <is>
          <t>Allmännings- och besparingsskogar</t>
        </is>
      </c>
      <c r="G513" t="n">
        <v>20.5</v>
      </c>
      <c r="H513" t="n">
        <v>0</v>
      </c>
      <c r="I513" t="n">
        <v>0</v>
      </c>
      <c r="J513" t="n">
        <v>0</v>
      </c>
      <c r="K513" t="n">
        <v>0</v>
      </c>
      <c r="L513" t="n">
        <v>0</v>
      </c>
      <c r="M513" t="n">
        <v>0</v>
      </c>
      <c r="N513" t="n">
        <v>0</v>
      </c>
      <c r="O513" t="n">
        <v>0</v>
      </c>
      <c r="P513" t="n">
        <v>0</v>
      </c>
      <c r="Q513" t="n">
        <v>0</v>
      </c>
      <c r="R513" s="2" t="inlineStr"/>
    </row>
    <row r="514" ht="15" customHeight="1">
      <c r="A514" t="inlineStr">
        <is>
          <t>A 28694-2021</t>
        </is>
      </c>
      <c r="B514" s="1" t="n">
        <v>44357</v>
      </c>
      <c r="C514" s="1" t="n">
        <v>45834</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29145-2021</t>
        </is>
      </c>
      <c r="B515" s="1" t="n">
        <v>44358</v>
      </c>
      <c r="C515" s="1" t="n">
        <v>45834</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30655-2021</t>
        </is>
      </c>
      <c r="B516" s="1" t="n">
        <v>44365</v>
      </c>
      <c r="C516" s="1" t="n">
        <v>45834</v>
      </c>
      <c r="D516" t="inlineStr">
        <is>
          <t>UPPSALA LÄN</t>
        </is>
      </c>
      <c r="E516" t="inlineStr">
        <is>
          <t>UPPSALA</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30656-2021</t>
        </is>
      </c>
      <c r="B517" s="1" t="n">
        <v>44365</v>
      </c>
      <c r="C517" s="1" t="n">
        <v>45834</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31646-2021</t>
        </is>
      </c>
      <c r="B518" s="1" t="n">
        <v>44369</v>
      </c>
      <c r="C518" s="1" t="n">
        <v>45834</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31662-2021</t>
        </is>
      </c>
      <c r="B519" s="1" t="n">
        <v>44369</v>
      </c>
      <c r="C519" s="1" t="n">
        <v>45834</v>
      </c>
      <c r="D519" t="inlineStr">
        <is>
          <t>UPPSALA LÄN</t>
        </is>
      </c>
      <c r="E519" t="inlineStr">
        <is>
          <t>UPPSALA</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31829-2021</t>
        </is>
      </c>
      <c r="B520" s="1" t="n">
        <v>44370</v>
      </c>
      <c r="C520" s="1" t="n">
        <v>45834</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32276-2021</t>
        </is>
      </c>
      <c r="B521" s="1" t="n">
        <v>44371</v>
      </c>
      <c r="C521" s="1" t="n">
        <v>45834</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32428-2021</t>
        </is>
      </c>
      <c r="B522" s="1" t="n">
        <v>44371</v>
      </c>
      <c r="C522" s="1" t="n">
        <v>45834</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32955-2021</t>
        </is>
      </c>
      <c r="B523" s="1" t="n">
        <v>44376</v>
      </c>
      <c r="C523" s="1" t="n">
        <v>45834</v>
      </c>
      <c r="D523" t="inlineStr">
        <is>
          <t>UPPSALA LÄN</t>
        </is>
      </c>
      <c r="E523" t="inlineStr">
        <is>
          <t>UPPSALA</t>
        </is>
      </c>
      <c r="F523" t="inlineStr">
        <is>
          <t>Bergvik skog öst AB</t>
        </is>
      </c>
      <c r="G523" t="n">
        <v>10</v>
      </c>
      <c r="H523" t="n">
        <v>0</v>
      </c>
      <c r="I523" t="n">
        <v>0</v>
      </c>
      <c r="J523" t="n">
        <v>0</v>
      </c>
      <c r="K523" t="n">
        <v>0</v>
      </c>
      <c r="L523" t="n">
        <v>0</v>
      </c>
      <c r="M523" t="n">
        <v>0</v>
      </c>
      <c r="N523" t="n">
        <v>0</v>
      </c>
      <c r="O523" t="n">
        <v>0</v>
      </c>
      <c r="P523" t="n">
        <v>0</v>
      </c>
      <c r="Q523" t="n">
        <v>0</v>
      </c>
      <c r="R523" s="2" t="inlineStr"/>
    </row>
    <row r="524" ht="15" customHeight="1">
      <c r="A524" t="inlineStr">
        <is>
          <t>A 33797-2021</t>
        </is>
      </c>
      <c r="B524" s="1" t="n">
        <v>44378</v>
      </c>
      <c r="C524" s="1" t="n">
        <v>45834</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33920-2021</t>
        </is>
      </c>
      <c r="B525" s="1" t="n">
        <v>44378</v>
      </c>
      <c r="C525" s="1" t="n">
        <v>45834</v>
      </c>
      <c r="D525" t="inlineStr">
        <is>
          <t>UPPSALA LÄN</t>
        </is>
      </c>
      <c r="E525" t="inlineStr">
        <is>
          <t>UPPSALA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34039-2021</t>
        </is>
      </c>
      <c r="B526" s="1" t="n">
        <v>44379</v>
      </c>
      <c r="C526" s="1" t="n">
        <v>45834</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34043-2021</t>
        </is>
      </c>
      <c r="B527" s="1" t="n">
        <v>44379</v>
      </c>
      <c r="C527" s="1" t="n">
        <v>45834</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34265-2021</t>
        </is>
      </c>
      <c r="B528" s="1" t="n">
        <v>44379</v>
      </c>
      <c r="C528" s="1" t="n">
        <v>45834</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34249-2021</t>
        </is>
      </c>
      <c r="B529" s="1" t="n">
        <v>44379</v>
      </c>
      <c r="C529" s="1" t="n">
        <v>45834</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34243-2021</t>
        </is>
      </c>
      <c r="B530" s="1" t="n">
        <v>44379</v>
      </c>
      <c r="C530" s="1" t="n">
        <v>45834</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34263-2021</t>
        </is>
      </c>
      <c r="B531" s="1" t="n">
        <v>44379</v>
      </c>
      <c r="C531" s="1" t="n">
        <v>45834</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34838-2021</t>
        </is>
      </c>
      <c r="B532" s="1" t="n">
        <v>44383</v>
      </c>
      <c r="C532" s="1" t="n">
        <v>45834</v>
      </c>
      <c r="D532" t="inlineStr">
        <is>
          <t>UPPSALA LÄN</t>
        </is>
      </c>
      <c r="E532" t="inlineStr">
        <is>
          <t>UPPSALA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34825-2021</t>
        </is>
      </c>
      <c r="B533" s="1" t="n">
        <v>44383</v>
      </c>
      <c r="C533" s="1" t="n">
        <v>45834</v>
      </c>
      <c r="D533" t="inlineStr">
        <is>
          <t>UPPSALA LÄN</t>
        </is>
      </c>
      <c r="E533" t="inlineStr">
        <is>
          <t>UPPSALA</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35630-2021</t>
        </is>
      </c>
      <c r="B534" s="1" t="n">
        <v>44386</v>
      </c>
      <c r="C534" s="1" t="n">
        <v>45834</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36304-2021</t>
        </is>
      </c>
      <c r="B535" s="1" t="n">
        <v>44390</v>
      </c>
      <c r="C535" s="1" t="n">
        <v>45834</v>
      </c>
      <c r="D535" t="inlineStr">
        <is>
          <t>UPPSALA LÄN</t>
        </is>
      </c>
      <c r="E535" t="inlineStr">
        <is>
          <t>UPPSALA</t>
        </is>
      </c>
      <c r="G535" t="n">
        <v>7.4</v>
      </c>
      <c r="H535" t="n">
        <v>0</v>
      </c>
      <c r="I535" t="n">
        <v>0</v>
      </c>
      <c r="J535" t="n">
        <v>0</v>
      </c>
      <c r="K535" t="n">
        <v>0</v>
      </c>
      <c r="L535" t="n">
        <v>0</v>
      </c>
      <c r="M535" t="n">
        <v>0</v>
      </c>
      <c r="N535" t="n">
        <v>0</v>
      </c>
      <c r="O535" t="n">
        <v>0</v>
      </c>
      <c r="P535" t="n">
        <v>0</v>
      </c>
      <c r="Q535" t="n">
        <v>0</v>
      </c>
      <c r="R535" s="2" t="inlineStr"/>
    </row>
    <row r="536" ht="15" customHeight="1">
      <c r="A536" t="inlineStr">
        <is>
          <t>A 36721-2021</t>
        </is>
      </c>
      <c r="B536" s="1" t="n">
        <v>44392</v>
      </c>
      <c r="C536" s="1" t="n">
        <v>45834</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36998-2021</t>
        </is>
      </c>
      <c r="B537" s="1" t="n">
        <v>44393</v>
      </c>
      <c r="C537" s="1" t="n">
        <v>45834</v>
      </c>
      <c r="D537" t="inlineStr">
        <is>
          <t>UPPSALA LÄN</t>
        </is>
      </c>
      <c r="E537" t="inlineStr">
        <is>
          <t>UPPSALA</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37162-2021</t>
        </is>
      </c>
      <c r="B538" s="1" t="n">
        <v>44395</v>
      </c>
      <c r="C538" s="1" t="n">
        <v>45834</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37763-2021</t>
        </is>
      </c>
      <c r="B539" s="1" t="n">
        <v>44400</v>
      </c>
      <c r="C539" s="1" t="n">
        <v>45834</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v>
      </c>
      <c r="C540" s="1" t="n">
        <v>45834</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37820-2021</t>
        </is>
      </c>
      <c r="B541" s="1" t="n">
        <v>44403</v>
      </c>
      <c r="C541" s="1" t="n">
        <v>45834</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45834</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38463-2021</t>
        </is>
      </c>
      <c r="B543" s="1" t="n">
        <v>44407</v>
      </c>
      <c r="C543" s="1" t="n">
        <v>45834</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40500-2021</t>
        </is>
      </c>
      <c r="B544" s="1" t="n">
        <v>44420</v>
      </c>
      <c r="C544" s="1" t="n">
        <v>45834</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40507-2021</t>
        </is>
      </c>
      <c r="B545" s="1" t="n">
        <v>44420</v>
      </c>
      <c r="C545" s="1" t="n">
        <v>45834</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42124-2021</t>
        </is>
      </c>
      <c r="B546" s="1" t="n">
        <v>44426</v>
      </c>
      <c r="C546" s="1" t="n">
        <v>45834</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42294-2021</t>
        </is>
      </c>
      <c r="B547" s="1" t="n">
        <v>44427</v>
      </c>
      <c r="C547" s="1" t="n">
        <v>45834</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44315-2021</t>
        </is>
      </c>
      <c r="B548" s="1" t="n">
        <v>44435</v>
      </c>
      <c r="C548" s="1" t="n">
        <v>45834</v>
      </c>
      <c r="D548" t="inlineStr">
        <is>
          <t>UPPSALA LÄN</t>
        </is>
      </c>
      <c r="E548" t="inlineStr">
        <is>
          <t>UPPSALA</t>
        </is>
      </c>
      <c r="G548" t="n">
        <v>5.2</v>
      </c>
      <c r="H548" t="n">
        <v>0</v>
      </c>
      <c r="I548" t="n">
        <v>0</v>
      </c>
      <c r="J548" t="n">
        <v>0</v>
      </c>
      <c r="K548" t="n">
        <v>0</v>
      </c>
      <c r="L548" t="n">
        <v>0</v>
      </c>
      <c r="M548" t="n">
        <v>0</v>
      </c>
      <c r="N548" t="n">
        <v>0</v>
      </c>
      <c r="O548" t="n">
        <v>0</v>
      </c>
      <c r="P548" t="n">
        <v>0</v>
      </c>
      <c r="Q548" t="n">
        <v>0</v>
      </c>
      <c r="R548" s="2" t="inlineStr"/>
    </row>
    <row r="549" ht="15" customHeight="1">
      <c r="A549" t="inlineStr">
        <is>
          <t>A 44781-2021</t>
        </is>
      </c>
      <c r="B549" s="1" t="n">
        <v>44438</v>
      </c>
      <c r="C549" s="1" t="n">
        <v>45834</v>
      </c>
      <c r="D549" t="inlineStr">
        <is>
          <t>UPPSALA LÄN</t>
        </is>
      </c>
      <c r="E549" t="inlineStr">
        <is>
          <t>UPPSALA</t>
        </is>
      </c>
      <c r="F549" t="inlineStr">
        <is>
          <t>Sveaskog</t>
        </is>
      </c>
      <c r="G549" t="n">
        <v>0.1</v>
      </c>
      <c r="H549" t="n">
        <v>0</v>
      </c>
      <c r="I549" t="n">
        <v>0</v>
      </c>
      <c r="J549" t="n">
        <v>0</v>
      </c>
      <c r="K549" t="n">
        <v>0</v>
      </c>
      <c r="L549" t="n">
        <v>0</v>
      </c>
      <c r="M549" t="n">
        <v>0</v>
      </c>
      <c r="N549" t="n">
        <v>0</v>
      </c>
      <c r="O549" t="n">
        <v>0</v>
      </c>
      <c r="P549" t="n">
        <v>0</v>
      </c>
      <c r="Q549" t="n">
        <v>0</v>
      </c>
      <c r="R549" s="2" t="inlineStr"/>
    </row>
    <row r="550" ht="15" customHeight="1">
      <c r="A550" t="inlineStr">
        <is>
          <t>A 46097-2021</t>
        </is>
      </c>
      <c r="B550" s="1" t="n">
        <v>44442</v>
      </c>
      <c r="C550" s="1" t="n">
        <v>45834</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46099-2021</t>
        </is>
      </c>
      <c r="B551" s="1" t="n">
        <v>44442</v>
      </c>
      <c r="C551" s="1" t="n">
        <v>45834</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46553-2021</t>
        </is>
      </c>
      <c r="B552" s="1" t="n">
        <v>44445</v>
      </c>
      <c r="C552" s="1" t="n">
        <v>45834</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46920-2021</t>
        </is>
      </c>
      <c r="B553" s="1" t="n">
        <v>44446</v>
      </c>
      <c r="C553" s="1" t="n">
        <v>45834</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46916-2021</t>
        </is>
      </c>
      <c r="B554" s="1" t="n">
        <v>44446</v>
      </c>
      <c r="C554" s="1" t="n">
        <v>45834</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47367-2021</t>
        </is>
      </c>
      <c r="B555" s="1" t="n">
        <v>44447</v>
      </c>
      <c r="C555" s="1" t="n">
        <v>45834</v>
      </c>
      <c r="D555" t="inlineStr">
        <is>
          <t>UPPSALA LÄN</t>
        </is>
      </c>
      <c r="E555" t="inlineStr">
        <is>
          <t>UPPSALA</t>
        </is>
      </c>
      <c r="G555" t="n">
        <v>3.8</v>
      </c>
      <c r="H555" t="n">
        <v>0</v>
      </c>
      <c r="I555" t="n">
        <v>0</v>
      </c>
      <c r="J555" t="n">
        <v>0</v>
      </c>
      <c r="K555" t="n">
        <v>0</v>
      </c>
      <c r="L555" t="n">
        <v>0</v>
      </c>
      <c r="M555" t="n">
        <v>0</v>
      </c>
      <c r="N555" t="n">
        <v>0</v>
      </c>
      <c r="O555" t="n">
        <v>0</v>
      </c>
      <c r="P555" t="n">
        <v>0</v>
      </c>
      <c r="Q555" t="n">
        <v>0</v>
      </c>
      <c r="R555" s="2" t="inlineStr"/>
    </row>
    <row r="556" ht="15" customHeight="1">
      <c r="A556" t="inlineStr">
        <is>
          <t>A 48918-2021</t>
        </is>
      </c>
      <c r="B556" s="1" t="n">
        <v>44453</v>
      </c>
      <c r="C556" s="1" t="n">
        <v>45834</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49274-2021</t>
        </is>
      </c>
      <c r="B557" s="1" t="n">
        <v>44454</v>
      </c>
      <c r="C557" s="1" t="n">
        <v>45834</v>
      </c>
      <c r="D557" t="inlineStr">
        <is>
          <t>UPPSALA LÄN</t>
        </is>
      </c>
      <c r="E557" t="inlineStr">
        <is>
          <t>UPPSALA</t>
        </is>
      </c>
      <c r="G557" t="n">
        <v>8.5</v>
      </c>
      <c r="H557" t="n">
        <v>0</v>
      </c>
      <c r="I557" t="n">
        <v>0</v>
      </c>
      <c r="J557" t="n">
        <v>0</v>
      </c>
      <c r="K557" t="n">
        <v>0</v>
      </c>
      <c r="L557" t="n">
        <v>0</v>
      </c>
      <c r="M557" t="n">
        <v>0</v>
      </c>
      <c r="N557" t="n">
        <v>0</v>
      </c>
      <c r="O557" t="n">
        <v>0</v>
      </c>
      <c r="P557" t="n">
        <v>0</v>
      </c>
      <c r="Q557" t="n">
        <v>0</v>
      </c>
      <c r="R557" s="2" t="inlineStr"/>
    </row>
    <row r="558" ht="15" customHeight="1">
      <c r="A558" t="inlineStr">
        <is>
          <t>A 51050-2021</t>
        </is>
      </c>
      <c r="B558" s="1" t="n">
        <v>44459</v>
      </c>
      <c r="C558" s="1" t="n">
        <v>45834</v>
      </c>
      <c r="D558" t="inlineStr">
        <is>
          <t>UPPSALA LÄN</t>
        </is>
      </c>
      <c r="E558" t="inlineStr">
        <is>
          <t>UPPSALA</t>
        </is>
      </c>
      <c r="F558" t="inlineStr">
        <is>
          <t>Övriga Aktiebolag</t>
        </is>
      </c>
      <c r="G558" t="n">
        <v>7.5</v>
      </c>
      <c r="H558" t="n">
        <v>0</v>
      </c>
      <c r="I558" t="n">
        <v>0</v>
      </c>
      <c r="J558" t="n">
        <v>0</v>
      </c>
      <c r="K558" t="n">
        <v>0</v>
      </c>
      <c r="L558" t="n">
        <v>0</v>
      </c>
      <c r="M558" t="n">
        <v>0</v>
      </c>
      <c r="N558" t="n">
        <v>0</v>
      </c>
      <c r="O558" t="n">
        <v>0</v>
      </c>
      <c r="P558" t="n">
        <v>0</v>
      </c>
      <c r="Q558" t="n">
        <v>0</v>
      </c>
      <c r="R558" s="2" t="inlineStr"/>
    </row>
    <row r="559" ht="15" customHeight="1">
      <c r="A559" t="inlineStr">
        <is>
          <t>A 51821-2021</t>
        </is>
      </c>
      <c r="B559" s="1" t="n">
        <v>44461</v>
      </c>
      <c r="C559" s="1" t="n">
        <v>45834</v>
      </c>
      <c r="D559" t="inlineStr">
        <is>
          <t>UPPSALA LÄN</t>
        </is>
      </c>
      <c r="E559" t="inlineStr">
        <is>
          <t>UPPSALA</t>
        </is>
      </c>
      <c r="F559" t="inlineStr">
        <is>
          <t>Övriga Aktiebolag</t>
        </is>
      </c>
      <c r="G559" t="n">
        <v>5.3</v>
      </c>
      <c r="H559" t="n">
        <v>0</v>
      </c>
      <c r="I559" t="n">
        <v>0</v>
      </c>
      <c r="J559" t="n">
        <v>0</v>
      </c>
      <c r="K559" t="n">
        <v>0</v>
      </c>
      <c r="L559" t="n">
        <v>0</v>
      </c>
      <c r="M559" t="n">
        <v>0</v>
      </c>
      <c r="N559" t="n">
        <v>0</v>
      </c>
      <c r="O559" t="n">
        <v>0</v>
      </c>
      <c r="P559" t="n">
        <v>0</v>
      </c>
      <c r="Q559" t="n">
        <v>0</v>
      </c>
      <c r="R559" s="2" t="inlineStr"/>
    </row>
    <row r="560" ht="15" customHeight="1">
      <c r="A560" t="inlineStr">
        <is>
          <t>A 51396-2021</t>
        </is>
      </c>
      <c r="B560" s="1" t="n">
        <v>44461</v>
      </c>
      <c r="C560" s="1" t="n">
        <v>45834</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52083-2021</t>
        </is>
      </c>
      <c r="B561" s="1" t="n">
        <v>44463</v>
      </c>
      <c r="C561" s="1" t="n">
        <v>45834</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54168-2021</t>
        </is>
      </c>
      <c r="B562" s="1" t="n">
        <v>44470</v>
      </c>
      <c r="C562" s="1" t="n">
        <v>45834</v>
      </c>
      <c r="D562" t="inlineStr">
        <is>
          <t>UPPSALA LÄN</t>
        </is>
      </c>
      <c r="E562" t="inlineStr">
        <is>
          <t>UPPSALA</t>
        </is>
      </c>
      <c r="G562" t="n">
        <v>7.5</v>
      </c>
      <c r="H562" t="n">
        <v>0</v>
      </c>
      <c r="I562" t="n">
        <v>0</v>
      </c>
      <c r="J562" t="n">
        <v>0</v>
      </c>
      <c r="K562" t="n">
        <v>0</v>
      </c>
      <c r="L562" t="n">
        <v>0</v>
      </c>
      <c r="M562" t="n">
        <v>0</v>
      </c>
      <c r="N562" t="n">
        <v>0</v>
      </c>
      <c r="O562" t="n">
        <v>0</v>
      </c>
      <c r="P562" t="n">
        <v>0</v>
      </c>
      <c r="Q562" t="n">
        <v>0</v>
      </c>
      <c r="R562" s="2" t="inlineStr"/>
    </row>
    <row r="563" ht="15" customHeight="1">
      <c r="A563" t="inlineStr">
        <is>
          <t>A 55823-2021</t>
        </is>
      </c>
      <c r="B563" s="1" t="n">
        <v>44476</v>
      </c>
      <c r="C563" s="1" t="n">
        <v>45834</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56042-2021</t>
        </is>
      </c>
      <c r="B564" s="1" t="n">
        <v>44477</v>
      </c>
      <c r="C564" s="1" t="n">
        <v>45834</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56049-2021</t>
        </is>
      </c>
      <c r="B565" s="1" t="n">
        <v>44477</v>
      </c>
      <c r="C565" s="1" t="n">
        <v>45834</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56463-2021</t>
        </is>
      </c>
      <c r="B566" s="1" t="n">
        <v>44479</v>
      </c>
      <c r="C566" s="1" t="n">
        <v>45834</v>
      </c>
      <c r="D566" t="inlineStr">
        <is>
          <t>UPPSALA LÄN</t>
        </is>
      </c>
      <c r="E566" t="inlineStr">
        <is>
          <t>UPPSALA</t>
        </is>
      </c>
      <c r="G566" t="n">
        <v>6.4</v>
      </c>
      <c r="H566" t="n">
        <v>0</v>
      </c>
      <c r="I566" t="n">
        <v>0</v>
      </c>
      <c r="J566" t="n">
        <v>0</v>
      </c>
      <c r="K566" t="n">
        <v>0</v>
      </c>
      <c r="L566" t="n">
        <v>0</v>
      </c>
      <c r="M566" t="n">
        <v>0</v>
      </c>
      <c r="N566" t="n">
        <v>0</v>
      </c>
      <c r="O566" t="n">
        <v>0</v>
      </c>
      <c r="P566" t="n">
        <v>0</v>
      </c>
      <c r="Q566" t="n">
        <v>0</v>
      </c>
      <c r="R566" s="2" t="inlineStr"/>
    </row>
    <row r="567" ht="15" customHeight="1">
      <c r="A567" t="inlineStr">
        <is>
          <t>A 56769-2021</t>
        </is>
      </c>
      <c r="B567" s="1" t="n">
        <v>44481</v>
      </c>
      <c r="C567" s="1" t="n">
        <v>45834</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57647-2021</t>
        </is>
      </c>
      <c r="B568" s="1" t="n">
        <v>44484</v>
      </c>
      <c r="C568" s="1" t="n">
        <v>45834</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57890-2021</t>
        </is>
      </c>
      <c r="B569" s="1" t="n">
        <v>44486</v>
      </c>
      <c r="C569" s="1" t="n">
        <v>45834</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58767-2021</t>
        </is>
      </c>
      <c r="B570" s="1" t="n">
        <v>44489</v>
      </c>
      <c r="C570" s="1" t="n">
        <v>45834</v>
      </c>
      <c r="D570" t="inlineStr">
        <is>
          <t>UPPSALA LÄN</t>
        </is>
      </c>
      <c r="E570" t="inlineStr">
        <is>
          <t>UPPSALA</t>
        </is>
      </c>
      <c r="G570" t="n">
        <v>4.8</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45834</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59241-2021</t>
        </is>
      </c>
      <c r="B572" s="1" t="n">
        <v>44490</v>
      </c>
      <c r="C572" s="1" t="n">
        <v>45834</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59484-2021</t>
        </is>
      </c>
      <c r="B573" s="1" t="n">
        <v>44491</v>
      </c>
      <c r="C573" s="1" t="n">
        <v>45834</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59500-2021</t>
        </is>
      </c>
      <c r="B574" s="1" t="n">
        <v>44491</v>
      </c>
      <c r="C574" s="1" t="n">
        <v>45834</v>
      </c>
      <c r="D574" t="inlineStr">
        <is>
          <t>UPPSALA LÄN</t>
        </is>
      </c>
      <c r="E574" t="inlineStr">
        <is>
          <t>UPPSALA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59479-2021</t>
        </is>
      </c>
      <c r="B575" s="1" t="n">
        <v>44491</v>
      </c>
      <c r="C575" s="1" t="n">
        <v>45834</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45834</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60032-2021</t>
        </is>
      </c>
      <c r="B577" s="1" t="n">
        <v>44495</v>
      </c>
      <c r="C577" s="1" t="n">
        <v>45834</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61008-2021</t>
        </is>
      </c>
      <c r="B578" s="1" t="n">
        <v>44497</v>
      </c>
      <c r="C578" s="1" t="n">
        <v>45834</v>
      </c>
      <c r="D578" t="inlineStr">
        <is>
          <t>UPPSALA LÄN</t>
        </is>
      </c>
      <c r="E578" t="inlineStr">
        <is>
          <t>UPPSALA</t>
        </is>
      </c>
      <c r="G578" t="n">
        <v>6.3</v>
      </c>
      <c r="H578" t="n">
        <v>0</v>
      </c>
      <c r="I578" t="n">
        <v>0</v>
      </c>
      <c r="J578" t="n">
        <v>0</v>
      </c>
      <c r="K578" t="n">
        <v>0</v>
      </c>
      <c r="L578" t="n">
        <v>0</v>
      </c>
      <c r="M578" t="n">
        <v>0</v>
      </c>
      <c r="N578" t="n">
        <v>0</v>
      </c>
      <c r="O578" t="n">
        <v>0</v>
      </c>
      <c r="P578" t="n">
        <v>0</v>
      </c>
      <c r="Q578" t="n">
        <v>0</v>
      </c>
      <c r="R578" s="2" t="inlineStr"/>
    </row>
    <row r="579" ht="15" customHeight="1">
      <c r="A579" t="inlineStr">
        <is>
          <t>A 60917-2021</t>
        </is>
      </c>
      <c r="B579" s="1" t="n">
        <v>44497</v>
      </c>
      <c r="C579" s="1" t="n">
        <v>45834</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60925-2021</t>
        </is>
      </c>
      <c r="B580" s="1" t="n">
        <v>44497</v>
      </c>
      <c r="C580" s="1" t="n">
        <v>45834</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61805-2021</t>
        </is>
      </c>
      <c r="B581" s="1" t="n">
        <v>44501</v>
      </c>
      <c r="C581" s="1" t="n">
        <v>45834</v>
      </c>
      <c r="D581" t="inlineStr">
        <is>
          <t>UPPSALA LÄN</t>
        </is>
      </c>
      <c r="E581" t="inlineStr">
        <is>
          <t>UPPSALA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62471-2021</t>
        </is>
      </c>
      <c r="B582" s="1" t="n">
        <v>44503</v>
      </c>
      <c r="C582" s="1" t="n">
        <v>45834</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62865-2021</t>
        </is>
      </c>
      <c r="B583" s="1" t="n">
        <v>44504</v>
      </c>
      <c r="C583" s="1" t="n">
        <v>45834</v>
      </c>
      <c r="D583" t="inlineStr">
        <is>
          <t>UPPSALA LÄN</t>
        </is>
      </c>
      <c r="E583" t="inlineStr">
        <is>
          <t>UPPSALA</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45834</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v>
      </c>
      <c r="C585" s="1" t="n">
        <v>45834</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64016-2021</t>
        </is>
      </c>
      <c r="B586" s="1" t="n">
        <v>44510</v>
      </c>
      <c r="C586" s="1" t="n">
        <v>45834</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64857-2021</t>
        </is>
      </c>
      <c r="B587" s="1" t="n">
        <v>44512</v>
      </c>
      <c r="C587" s="1" t="n">
        <v>45834</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64856-2021</t>
        </is>
      </c>
      <c r="B588" s="1" t="n">
        <v>44512</v>
      </c>
      <c r="C588" s="1" t="n">
        <v>45834</v>
      </c>
      <c r="D588" t="inlineStr">
        <is>
          <t>UPPSALA LÄN</t>
        </is>
      </c>
      <c r="E588" t="inlineStr">
        <is>
          <t>UPPSALA</t>
        </is>
      </c>
      <c r="G588" t="n">
        <v>4.1</v>
      </c>
      <c r="H588" t="n">
        <v>0</v>
      </c>
      <c r="I588" t="n">
        <v>0</v>
      </c>
      <c r="J588" t="n">
        <v>0</v>
      </c>
      <c r="K588" t="n">
        <v>0</v>
      </c>
      <c r="L588" t="n">
        <v>0</v>
      </c>
      <c r="M588" t="n">
        <v>0</v>
      </c>
      <c r="N588" t="n">
        <v>0</v>
      </c>
      <c r="O588" t="n">
        <v>0</v>
      </c>
      <c r="P588" t="n">
        <v>0</v>
      </c>
      <c r="Q588" t="n">
        <v>0</v>
      </c>
      <c r="R588" s="2" t="inlineStr"/>
    </row>
    <row r="589" ht="15" customHeight="1">
      <c r="A589" t="inlineStr">
        <is>
          <t>A 64858-2021</t>
        </is>
      </c>
      <c r="B589" s="1" t="n">
        <v>44512</v>
      </c>
      <c r="C589" s="1" t="n">
        <v>45834</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64855-2021</t>
        </is>
      </c>
      <c r="B590" s="1" t="n">
        <v>44512</v>
      </c>
      <c r="C590" s="1" t="n">
        <v>45834</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65132-2021</t>
        </is>
      </c>
      <c r="B591" s="1" t="n">
        <v>44515</v>
      </c>
      <c r="C591" s="1" t="n">
        <v>45834</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45834</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65695-2021</t>
        </is>
      </c>
      <c r="B593" s="1" t="n">
        <v>44516</v>
      </c>
      <c r="C593" s="1" t="n">
        <v>45834</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65809-2021</t>
        </is>
      </c>
      <c r="B594" s="1" t="n">
        <v>44517</v>
      </c>
      <c r="C594" s="1" t="n">
        <v>45834</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65811-2021</t>
        </is>
      </c>
      <c r="B595" s="1" t="n">
        <v>44517</v>
      </c>
      <c r="C595" s="1" t="n">
        <v>45834</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65964-2021</t>
        </is>
      </c>
      <c r="B596" s="1" t="n">
        <v>44517</v>
      </c>
      <c r="C596" s="1" t="n">
        <v>45834</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66239-2021</t>
        </is>
      </c>
      <c r="B597" s="1" t="n">
        <v>44518</v>
      </c>
      <c r="C597" s="1" t="n">
        <v>45834</v>
      </c>
      <c r="D597" t="inlineStr">
        <is>
          <t>UPPSALA LÄN</t>
        </is>
      </c>
      <c r="E597" t="inlineStr">
        <is>
          <t>UPPSALA</t>
        </is>
      </c>
      <c r="G597" t="n">
        <v>4.2</v>
      </c>
      <c r="H597" t="n">
        <v>0</v>
      </c>
      <c r="I597" t="n">
        <v>0</v>
      </c>
      <c r="J597" t="n">
        <v>0</v>
      </c>
      <c r="K597" t="n">
        <v>0</v>
      </c>
      <c r="L597" t="n">
        <v>0</v>
      </c>
      <c r="M597" t="n">
        <v>0</v>
      </c>
      <c r="N597" t="n">
        <v>0</v>
      </c>
      <c r="O597" t="n">
        <v>0</v>
      </c>
      <c r="P597" t="n">
        <v>0</v>
      </c>
      <c r="Q597" t="n">
        <v>0</v>
      </c>
      <c r="R597" s="2" t="inlineStr"/>
    </row>
    <row r="598" ht="15" customHeight="1">
      <c r="A598" t="inlineStr">
        <is>
          <t>A 66690-2021</t>
        </is>
      </c>
      <c r="B598" s="1" t="n">
        <v>44519</v>
      </c>
      <c r="C598" s="1" t="n">
        <v>45834</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66686-2021</t>
        </is>
      </c>
      <c r="B599" s="1" t="n">
        <v>44519</v>
      </c>
      <c r="C599" s="1" t="n">
        <v>45834</v>
      </c>
      <c r="D599" t="inlineStr">
        <is>
          <t>UPPSALA LÄN</t>
        </is>
      </c>
      <c r="E599" t="inlineStr">
        <is>
          <t>UPPSALA</t>
        </is>
      </c>
      <c r="G599" t="n">
        <v>6.4</v>
      </c>
      <c r="H599" t="n">
        <v>0</v>
      </c>
      <c r="I599" t="n">
        <v>0</v>
      </c>
      <c r="J599" t="n">
        <v>0</v>
      </c>
      <c r="K599" t="n">
        <v>0</v>
      </c>
      <c r="L599" t="n">
        <v>0</v>
      </c>
      <c r="M599" t="n">
        <v>0</v>
      </c>
      <c r="N599" t="n">
        <v>0</v>
      </c>
      <c r="O599" t="n">
        <v>0</v>
      </c>
      <c r="P599" t="n">
        <v>0</v>
      </c>
      <c r="Q599" t="n">
        <v>0</v>
      </c>
      <c r="R599" s="2" t="inlineStr"/>
    </row>
    <row r="600" ht="15" customHeight="1">
      <c r="A600" t="inlineStr">
        <is>
          <t>A 66794-2021</t>
        </is>
      </c>
      <c r="B600" s="1" t="n">
        <v>44522</v>
      </c>
      <c r="C600" s="1" t="n">
        <v>45834</v>
      </c>
      <c r="D600" t="inlineStr">
        <is>
          <t>UPPSALA LÄN</t>
        </is>
      </c>
      <c r="E600" t="inlineStr">
        <is>
          <t>UPPSALA</t>
        </is>
      </c>
      <c r="G600" t="n">
        <v>4.9</v>
      </c>
      <c r="H600" t="n">
        <v>0</v>
      </c>
      <c r="I600" t="n">
        <v>0</v>
      </c>
      <c r="J600" t="n">
        <v>0</v>
      </c>
      <c r="K600" t="n">
        <v>0</v>
      </c>
      <c r="L600" t="n">
        <v>0</v>
      </c>
      <c r="M600" t="n">
        <v>0</v>
      </c>
      <c r="N600" t="n">
        <v>0</v>
      </c>
      <c r="O600" t="n">
        <v>0</v>
      </c>
      <c r="P600" t="n">
        <v>0</v>
      </c>
      <c r="Q600" t="n">
        <v>0</v>
      </c>
      <c r="R600" s="2" t="inlineStr"/>
    </row>
    <row r="601" ht="15" customHeight="1">
      <c r="A601" t="inlineStr">
        <is>
          <t>A 66927-2021</t>
        </is>
      </c>
      <c r="B601" s="1" t="n">
        <v>44522</v>
      </c>
      <c r="C601" s="1" t="n">
        <v>45834</v>
      </c>
      <c r="D601" t="inlineStr">
        <is>
          <t>UPPSALA LÄN</t>
        </is>
      </c>
      <c r="E601" t="inlineStr">
        <is>
          <t>UPPSALA</t>
        </is>
      </c>
      <c r="G601" t="n">
        <v>2.9</v>
      </c>
      <c r="H601" t="n">
        <v>0</v>
      </c>
      <c r="I601" t="n">
        <v>0</v>
      </c>
      <c r="J601" t="n">
        <v>0</v>
      </c>
      <c r="K601" t="n">
        <v>0</v>
      </c>
      <c r="L601" t="n">
        <v>0</v>
      </c>
      <c r="M601" t="n">
        <v>0</v>
      </c>
      <c r="N601" t="n">
        <v>0</v>
      </c>
      <c r="O601" t="n">
        <v>0</v>
      </c>
      <c r="P601" t="n">
        <v>0</v>
      </c>
      <c r="Q601" t="n">
        <v>0</v>
      </c>
      <c r="R601" s="2" t="inlineStr"/>
    </row>
    <row r="602" ht="15" customHeight="1">
      <c r="A602" t="inlineStr">
        <is>
          <t>A 66983-2021</t>
        </is>
      </c>
      <c r="B602" s="1" t="n">
        <v>44522</v>
      </c>
      <c r="C602" s="1" t="n">
        <v>45834</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67991-2021</t>
        </is>
      </c>
      <c r="B603" s="1" t="n">
        <v>44525</v>
      </c>
      <c r="C603" s="1" t="n">
        <v>45834</v>
      </c>
      <c r="D603" t="inlineStr">
        <is>
          <t>UPPSALA LÄN</t>
        </is>
      </c>
      <c r="E603" t="inlineStr">
        <is>
          <t>UPPSALA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68696-2021</t>
        </is>
      </c>
      <c r="B604" s="1" t="n">
        <v>44526</v>
      </c>
      <c r="C604" s="1" t="n">
        <v>45834</v>
      </c>
      <c r="D604" t="inlineStr">
        <is>
          <t>UPPSALA LÄN</t>
        </is>
      </c>
      <c r="E604" t="inlineStr">
        <is>
          <t>UPPSALA</t>
        </is>
      </c>
      <c r="G604" t="n">
        <v>2</v>
      </c>
      <c r="H604" t="n">
        <v>0</v>
      </c>
      <c r="I604" t="n">
        <v>0</v>
      </c>
      <c r="J604" t="n">
        <v>0</v>
      </c>
      <c r="K604" t="n">
        <v>0</v>
      </c>
      <c r="L604" t="n">
        <v>0</v>
      </c>
      <c r="M604" t="n">
        <v>0</v>
      </c>
      <c r="N604" t="n">
        <v>0</v>
      </c>
      <c r="O604" t="n">
        <v>0</v>
      </c>
      <c r="P604" t="n">
        <v>0</v>
      </c>
      <c r="Q604" t="n">
        <v>0</v>
      </c>
      <c r="R604" s="2" t="inlineStr"/>
    </row>
    <row r="605" ht="15" customHeight="1">
      <c r="A605" t="inlineStr">
        <is>
          <t>A 68139-2021</t>
        </is>
      </c>
      <c r="B605" s="1" t="n">
        <v>44526</v>
      </c>
      <c r="C605" s="1" t="n">
        <v>45834</v>
      </c>
      <c r="D605" t="inlineStr">
        <is>
          <t>UPPSALA LÄN</t>
        </is>
      </c>
      <c r="E605" t="inlineStr">
        <is>
          <t>UPPSALA</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68296-2021</t>
        </is>
      </c>
      <c r="B606" s="1" t="n">
        <v>44526</v>
      </c>
      <c r="C606" s="1" t="n">
        <v>45834</v>
      </c>
      <c r="D606" t="inlineStr">
        <is>
          <t>UPPSALA LÄN</t>
        </is>
      </c>
      <c r="E606" t="inlineStr">
        <is>
          <t>UPPSALA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69067-2021</t>
        </is>
      </c>
      <c r="B607" s="1" t="n">
        <v>44530</v>
      </c>
      <c r="C607" s="1" t="n">
        <v>45834</v>
      </c>
      <c r="D607" t="inlineStr">
        <is>
          <t>UPPSALA LÄN</t>
        </is>
      </c>
      <c r="E607" t="inlineStr">
        <is>
          <t>UPPSALA</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69432-2021</t>
        </is>
      </c>
      <c r="B608" s="1" t="n">
        <v>44531</v>
      </c>
      <c r="C608" s="1" t="n">
        <v>45834</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69214-2021</t>
        </is>
      </c>
      <c r="B609" s="1" t="n">
        <v>44531</v>
      </c>
      <c r="C609" s="1" t="n">
        <v>45834</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69397-2021</t>
        </is>
      </c>
      <c r="B610" s="1" t="n">
        <v>44531</v>
      </c>
      <c r="C610" s="1" t="n">
        <v>45834</v>
      </c>
      <c r="D610" t="inlineStr">
        <is>
          <t>UPPSALA LÄN</t>
        </is>
      </c>
      <c r="E610" t="inlineStr">
        <is>
          <t>UPPSALA</t>
        </is>
      </c>
      <c r="F610" t="inlineStr">
        <is>
          <t>Bergvik skog öst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69436-2021</t>
        </is>
      </c>
      <c r="B611" s="1" t="n">
        <v>44531</v>
      </c>
      <c r="C611" s="1" t="n">
        <v>45834</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69439-2021</t>
        </is>
      </c>
      <c r="B612" s="1" t="n">
        <v>44531</v>
      </c>
      <c r="C612" s="1" t="n">
        <v>45834</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69595-2021</t>
        </is>
      </c>
      <c r="B613" s="1" t="n">
        <v>44532</v>
      </c>
      <c r="C613" s="1" t="n">
        <v>45834</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69698-2021</t>
        </is>
      </c>
      <c r="B614" s="1" t="n">
        <v>44532</v>
      </c>
      <c r="C614" s="1" t="n">
        <v>45834</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69691-2021</t>
        </is>
      </c>
      <c r="B615" s="1" t="n">
        <v>44532</v>
      </c>
      <c r="C615" s="1" t="n">
        <v>45834</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v>
      </c>
      <c r="C616" s="1" t="n">
        <v>45834</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70031-2021</t>
        </is>
      </c>
      <c r="B617" s="1" t="n">
        <v>44533</v>
      </c>
      <c r="C617" s="1" t="n">
        <v>45834</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70359-2021</t>
        </is>
      </c>
      <c r="B618" s="1" t="n">
        <v>44535</v>
      </c>
      <c r="C618" s="1" t="n">
        <v>45834</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45834</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70996-2021</t>
        </is>
      </c>
      <c r="B620" s="1" t="n">
        <v>44538</v>
      </c>
      <c r="C620" s="1" t="n">
        <v>45834</v>
      </c>
      <c r="D620" t="inlineStr">
        <is>
          <t>UPPSALA LÄN</t>
        </is>
      </c>
      <c r="E620" t="inlineStr">
        <is>
          <t>UPPSALA</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71563-2021</t>
        </is>
      </c>
      <c r="B621" s="1" t="n">
        <v>44540</v>
      </c>
      <c r="C621" s="1" t="n">
        <v>45834</v>
      </c>
      <c r="D621" t="inlineStr">
        <is>
          <t>UPPSALA LÄN</t>
        </is>
      </c>
      <c r="E621" t="inlineStr">
        <is>
          <t>UPPSALA</t>
        </is>
      </c>
      <c r="F621" t="inlineStr">
        <is>
          <t>Allmännings- och besparingsskogar</t>
        </is>
      </c>
      <c r="G621" t="n">
        <v>7.7</v>
      </c>
      <c r="H621" t="n">
        <v>0</v>
      </c>
      <c r="I621" t="n">
        <v>0</v>
      </c>
      <c r="J621" t="n">
        <v>0</v>
      </c>
      <c r="K621" t="n">
        <v>0</v>
      </c>
      <c r="L621" t="n">
        <v>0</v>
      </c>
      <c r="M621" t="n">
        <v>0</v>
      </c>
      <c r="N621" t="n">
        <v>0</v>
      </c>
      <c r="O621" t="n">
        <v>0</v>
      </c>
      <c r="P621" t="n">
        <v>0</v>
      </c>
      <c r="Q621" t="n">
        <v>0</v>
      </c>
      <c r="R621" s="2" t="inlineStr"/>
    </row>
    <row r="622" ht="15" customHeight="1">
      <c r="A622" t="inlineStr">
        <is>
          <t>A 71675-2021</t>
        </is>
      </c>
      <c r="B622" s="1" t="n">
        <v>44543</v>
      </c>
      <c r="C622" s="1" t="n">
        <v>45834</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71643-2021</t>
        </is>
      </c>
      <c r="B623" s="1" t="n">
        <v>44543</v>
      </c>
      <c r="C623" s="1" t="n">
        <v>45834</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71671-2021</t>
        </is>
      </c>
      <c r="B624" s="1" t="n">
        <v>44543</v>
      </c>
      <c r="C624" s="1" t="n">
        <v>45834</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72225-2021</t>
        </is>
      </c>
      <c r="B625" s="1" t="n">
        <v>44544</v>
      </c>
      <c r="C625" s="1" t="n">
        <v>45834</v>
      </c>
      <c r="D625" t="inlineStr">
        <is>
          <t>UPPSALA LÄN</t>
        </is>
      </c>
      <c r="E625" t="inlineStr">
        <is>
          <t>UPPSALA</t>
        </is>
      </c>
      <c r="G625" t="n">
        <v>6.2</v>
      </c>
      <c r="H625" t="n">
        <v>0</v>
      </c>
      <c r="I625" t="n">
        <v>0</v>
      </c>
      <c r="J625" t="n">
        <v>0</v>
      </c>
      <c r="K625" t="n">
        <v>0</v>
      </c>
      <c r="L625" t="n">
        <v>0</v>
      </c>
      <c r="M625" t="n">
        <v>0</v>
      </c>
      <c r="N625" t="n">
        <v>0</v>
      </c>
      <c r="O625" t="n">
        <v>0</v>
      </c>
      <c r="P625" t="n">
        <v>0</v>
      </c>
      <c r="Q625" t="n">
        <v>0</v>
      </c>
      <c r="R625" s="2" t="inlineStr"/>
    </row>
    <row r="626" ht="15" customHeight="1">
      <c r="A626" t="inlineStr">
        <is>
          <t>A 72224-2021</t>
        </is>
      </c>
      <c r="B626" s="1" t="n">
        <v>44544</v>
      </c>
      <c r="C626" s="1" t="n">
        <v>45834</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72973-2021</t>
        </is>
      </c>
      <c r="B627" s="1" t="n">
        <v>44548</v>
      </c>
      <c r="C627" s="1" t="n">
        <v>45834</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73326-2021</t>
        </is>
      </c>
      <c r="B628" s="1" t="n">
        <v>44548</v>
      </c>
      <c r="C628" s="1" t="n">
        <v>45834</v>
      </c>
      <c r="D628" t="inlineStr">
        <is>
          <t>UPPSALA LÄN</t>
        </is>
      </c>
      <c r="E628" t="inlineStr">
        <is>
          <t>UPPSALA</t>
        </is>
      </c>
      <c r="G628" t="n">
        <v>4</v>
      </c>
      <c r="H628" t="n">
        <v>0</v>
      </c>
      <c r="I628" t="n">
        <v>0</v>
      </c>
      <c r="J628" t="n">
        <v>0</v>
      </c>
      <c r="K628" t="n">
        <v>0</v>
      </c>
      <c r="L628" t="n">
        <v>0</v>
      </c>
      <c r="M628" t="n">
        <v>0</v>
      </c>
      <c r="N628" t="n">
        <v>0</v>
      </c>
      <c r="O628" t="n">
        <v>0</v>
      </c>
      <c r="P628" t="n">
        <v>0</v>
      </c>
      <c r="Q628" t="n">
        <v>0</v>
      </c>
      <c r="R628" s="2" t="inlineStr"/>
    </row>
    <row r="629" ht="15" customHeight="1">
      <c r="A629" t="inlineStr">
        <is>
          <t>A 73044-2021</t>
        </is>
      </c>
      <c r="B629" s="1" t="n">
        <v>44550</v>
      </c>
      <c r="C629" s="1" t="n">
        <v>45834</v>
      </c>
      <c r="D629" t="inlineStr">
        <is>
          <t>UPPSALA LÄN</t>
        </is>
      </c>
      <c r="E629" t="inlineStr">
        <is>
          <t>UPPSALA</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73468-2021</t>
        </is>
      </c>
      <c r="B630" s="1" t="n">
        <v>44551</v>
      </c>
      <c r="C630" s="1" t="n">
        <v>45834</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73518-2021</t>
        </is>
      </c>
      <c r="B631" s="1" t="n">
        <v>44551</v>
      </c>
      <c r="C631" s="1" t="n">
        <v>45834</v>
      </c>
      <c r="D631" t="inlineStr">
        <is>
          <t>UPPSALA LÄN</t>
        </is>
      </c>
      <c r="E631" t="inlineStr">
        <is>
          <t>UPPSALA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73531-2021</t>
        </is>
      </c>
      <c r="B632" s="1" t="n">
        <v>44551</v>
      </c>
      <c r="C632" s="1" t="n">
        <v>45834</v>
      </c>
      <c r="D632" t="inlineStr">
        <is>
          <t>UPPSALA LÄN</t>
        </is>
      </c>
      <c r="E632" t="inlineStr">
        <is>
          <t>UPPSALA</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74019-2021</t>
        </is>
      </c>
      <c r="B633" s="1" t="n">
        <v>44553</v>
      </c>
      <c r="C633" s="1" t="n">
        <v>45834</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74023-2021</t>
        </is>
      </c>
      <c r="B634" s="1" t="n">
        <v>44553</v>
      </c>
      <c r="C634" s="1" t="n">
        <v>45834</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74493-2021</t>
        </is>
      </c>
      <c r="B635" s="1" t="n">
        <v>44560</v>
      </c>
      <c r="C635" s="1" t="n">
        <v>45834</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74495-2021</t>
        </is>
      </c>
      <c r="B636" s="1" t="n">
        <v>44560</v>
      </c>
      <c r="C636" s="1" t="n">
        <v>45834</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45834</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733-2022</t>
        </is>
      </c>
      <c r="B638" s="1" t="n">
        <v>44568</v>
      </c>
      <c r="C638" s="1" t="n">
        <v>45834</v>
      </c>
      <c r="D638" t="inlineStr">
        <is>
          <t>UPPSALA LÄN</t>
        </is>
      </c>
      <c r="E638" t="inlineStr">
        <is>
          <t>UPPSALA</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752-2022</t>
        </is>
      </c>
      <c r="B639" s="1" t="n">
        <v>44569</v>
      </c>
      <c r="C639" s="1" t="n">
        <v>45834</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750-2022</t>
        </is>
      </c>
      <c r="B640" s="1" t="n">
        <v>44569</v>
      </c>
      <c r="C640" s="1" t="n">
        <v>45834</v>
      </c>
      <c r="D640" t="inlineStr">
        <is>
          <t>UPPSALA LÄN</t>
        </is>
      </c>
      <c r="E640" t="inlineStr">
        <is>
          <t>UPPSALA</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759-2022</t>
        </is>
      </c>
      <c r="B641" s="1" t="n">
        <v>44569</v>
      </c>
      <c r="C641" s="1" t="n">
        <v>45834</v>
      </c>
      <c r="D641" t="inlineStr">
        <is>
          <t>UPPSALA LÄN</t>
        </is>
      </c>
      <c r="E641" t="inlineStr">
        <is>
          <t>UPPSALA</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758-2022</t>
        </is>
      </c>
      <c r="B642" s="1" t="n">
        <v>44569</v>
      </c>
      <c r="C642" s="1" t="n">
        <v>45834</v>
      </c>
      <c r="D642" t="inlineStr">
        <is>
          <t>UPPSALA LÄN</t>
        </is>
      </c>
      <c r="E642" t="inlineStr">
        <is>
          <t>UPPSALA</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917-2022</t>
        </is>
      </c>
      <c r="B643" s="1" t="n">
        <v>44571</v>
      </c>
      <c r="C643" s="1" t="n">
        <v>45834</v>
      </c>
      <c r="D643" t="inlineStr">
        <is>
          <t>UPPSALA LÄN</t>
        </is>
      </c>
      <c r="E643" t="inlineStr">
        <is>
          <t>UPPSALA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874-2022</t>
        </is>
      </c>
      <c r="B644" s="1" t="n">
        <v>44571</v>
      </c>
      <c r="C644" s="1" t="n">
        <v>45834</v>
      </c>
      <c r="D644" t="inlineStr">
        <is>
          <t>UPPSALA LÄN</t>
        </is>
      </c>
      <c r="E644" t="inlineStr">
        <is>
          <t>UPPSALA</t>
        </is>
      </c>
      <c r="G644" t="n">
        <v>7.2</v>
      </c>
      <c r="H644" t="n">
        <v>0</v>
      </c>
      <c r="I644" t="n">
        <v>0</v>
      </c>
      <c r="J644" t="n">
        <v>0</v>
      </c>
      <c r="K644" t="n">
        <v>0</v>
      </c>
      <c r="L644" t="n">
        <v>0</v>
      </c>
      <c r="M644" t="n">
        <v>0</v>
      </c>
      <c r="N644" t="n">
        <v>0</v>
      </c>
      <c r="O644" t="n">
        <v>0</v>
      </c>
      <c r="P644" t="n">
        <v>0</v>
      </c>
      <c r="Q644" t="n">
        <v>0</v>
      </c>
      <c r="R644" s="2" t="inlineStr"/>
    </row>
    <row r="645" ht="15" customHeight="1">
      <c r="A645" t="inlineStr">
        <is>
          <t>A 1037-2022</t>
        </is>
      </c>
      <c r="B645" s="1" t="n">
        <v>44571</v>
      </c>
      <c r="C645" s="1" t="n">
        <v>45834</v>
      </c>
      <c r="D645" t="inlineStr">
        <is>
          <t>UPPSALA LÄN</t>
        </is>
      </c>
      <c r="E645" t="inlineStr">
        <is>
          <t>UPPSALA</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1148-2022</t>
        </is>
      </c>
      <c r="B646" s="1" t="n">
        <v>44572</v>
      </c>
      <c r="C646" s="1" t="n">
        <v>45834</v>
      </c>
      <c r="D646" t="inlineStr">
        <is>
          <t>UPPSALA LÄN</t>
        </is>
      </c>
      <c r="E646" t="inlineStr">
        <is>
          <t>UPPSALA</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1298-2022</t>
        </is>
      </c>
      <c r="B647" s="1" t="n">
        <v>44572</v>
      </c>
      <c r="C647" s="1" t="n">
        <v>45834</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45834</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1963-2022</t>
        </is>
      </c>
      <c r="B649" s="1" t="n">
        <v>44575</v>
      </c>
      <c r="C649" s="1" t="n">
        <v>45834</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45834</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1936-2022</t>
        </is>
      </c>
      <c r="B651" s="1" t="n">
        <v>44575</v>
      </c>
      <c r="C651" s="1" t="n">
        <v>45834</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1978-2022</t>
        </is>
      </c>
      <c r="B652" s="1" t="n">
        <v>44575</v>
      </c>
      <c r="C652" s="1" t="n">
        <v>45834</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2017-2022</t>
        </is>
      </c>
      <c r="B653" s="1" t="n">
        <v>44575</v>
      </c>
      <c r="C653" s="1" t="n">
        <v>45834</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2228-2022</t>
        </is>
      </c>
      <c r="B654" s="1" t="n">
        <v>44578</v>
      </c>
      <c r="C654" s="1" t="n">
        <v>45834</v>
      </c>
      <c r="D654" t="inlineStr">
        <is>
          <t>UPPSALA LÄN</t>
        </is>
      </c>
      <c r="E654" t="inlineStr">
        <is>
          <t>UPPSALA</t>
        </is>
      </c>
      <c r="F654" t="inlineStr">
        <is>
          <t>Bergvik skog öst AB</t>
        </is>
      </c>
      <c r="G654" t="n">
        <v>3.9</v>
      </c>
      <c r="H654" t="n">
        <v>0</v>
      </c>
      <c r="I654" t="n">
        <v>0</v>
      </c>
      <c r="J654" t="n">
        <v>0</v>
      </c>
      <c r="K654" t="n">
        <v>0</v>
      </c>
      <c r="L654" t="n">
        <v>0</v>
      </c>
      <c r="M654" t="n">
        <v>0</v>
      </c>
      <c r="N654" t="n">
        <v>0</v>
      </c>
      <c r="O654" t="n">
        <v>0</v>
      </c>
      <c r="P654" t="n">
        <v>0</v>
      </c>
      <c r="Q654" t="n">
        <v>0</v>
      </c>
      <c r="R654" s="2" t="inlineStr"/>
    </row>
    <row r="655" ht="15" customHeight="1">
      <c r="A655" t="inlineStr">
        <is>
          <t>A 2927-2022</t>
        </is>
      </c>
      <c r="B655" s="1" t="n">
        <v>44581</v>
      </c>
      <c r="C655" s="1" t="n">
        <v>45834</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3259-2022</t>
        </is>
      </c>
      <c r="B656" s="1" t="n">
        <v>44583</v>
      </c>
      <c r="C656" s="1" t="n">
        <v>45834</v>
      </c>
      <c r="D656" t="inlineStr">
        <is>
          <t>UPPSALA LÄN</t>
        </is>
      </c>
      <c r="E656" t="inlineStr">
        <is>
          <t>UPPSALA</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3261-2022</t>
        </is>
      </c>
      <c r="B657" s="1" t="n">
        <v>44583</v>
      </c>
      <c r="C657" s="1" t="n">
        <v>45834</v>
      </c>
      <c r="D657" t="inlineStr">
        <is>
          <t>UPPSALA LÄN</t>
        </is>
      </c>
      <c r="E657" t="inlineStr">
        <is>
          <t>UPPSALA</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3252-2022</t>
        </is>
      </c>
      <c r="B658" s="1" t="n">
        <v>44583</v>
      </c>
      <c r="C658" s="1" t="n">
        <v>45834</v>
      </c>
      <c r="D658" t="inlineStr">
        <is>
          <t>UPPSALA LÄN</t>
        </is>
      </c>
      <c r="E658" t="inlineStr">
        <is>
          <t>UPPSALA</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3258-2022</t>
        </is>
      </c>
      <c r="B659" s="1" t="n">
        <v>44583</v>
      </c>
      <c r="C659" s="1" t="n">
        <v>45834</v>
      </c>
      <c r="D659" t="inlineStr">
        <is>
          <t>UPPSALA LÄN</t>
        </is>
      </c>
      <c r="E659" t="inlineStr">
        <is>
          <t>UPPSALA</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3262-2022</t>
        </is>
      </c>
      <c r="B660" s="1" t="n">
        <v>44583</v>
      </c>
      <c r="C660" s="1" t="n">
        <v>45834</v>
      </c>
      <c r="D660" t="inlineStr">
        <is>
          <t>UPPSALA LÄN</t>
        </is>
      </c>
      <c r="E660" t="inlineStr">
        <is>
          <t>UPPSALA</t>
        </is>
      </c>
      <c r="F660" t="inlineStr">
        <is>
          <t>Holmen skog AB</t>
        </is>
      </c>
      <c r="G660" t="n">
        <v>5.4</v>
      </c>
      <c r="H660" t="n">
        <v>0</v>
      </c>
      <c r="I660" t="n">
        <v>0</v>
      </c>
      <c r="J660" t="n">
        <v>0</v>
      </c>
      <c r="K660" t="n">
        <v>0</v>
      </c>
      <c r="L660" t="n">
        <v>0</v>
      </c>
      <c r="M660" t="n">
        <v>0</v>
      </c>
      <c r="N660" t="n">
        <v>0</v>
      </c>
      <c r="O660" t="n">
        <v>0</v>
      </c>
      <c r="P660" t="n">
        <v>0</v>
      </c>
      <c r="Q660" t="n">
        <v>0</v>
      </c>
      <c r="R660" s="2" t="inlineStr"/>
    </row>
    <row r="661" ht="15" customHeight="1">
      <c r="A661" t="inlineStr">
        <is>
          <t>A 3255-2022</t>
        </is>
      </c>
      <c r="B661" s="1" t="n">
        <v>44583</v>
      </c>
      <c r="C661" s="1" t="n">
        <v>45834</v>
      </c>
      <c r="D661" t="inlineStr">
        <is>
          <t>UPPSALA LÄN</t>
        </is>
      </c>
      <c r="E661" t="inlineStr">
        <is>
          <t>UPPSALA</t>
        </is>
      </c>
      <c r="F661" t="inlineStr">
        <is>
          <t>Holmen skog AB</t>
        </is>
      </c>
      <c r="G661" t="n">
        <v>5.6</v>
      </c>
      <c r="H661" t="n">
        <v>0</v>
      </c>
      <c r="I661" t="n">
        <v>0</v>
      </c>
      <c r="J661" t="n">
        <v>0</v>
      </c>
      <c r="K661" t="n">
        <v>0</v>
      </c>
      <c r="L661" t="n">
        <v>0</v>
      </c>
      <c r="M661" t="n">
        <v>0</v>
      </c>
      <c r="N661" t="n">
        <v>0</v>
      </c>
      <c r="O661" t="n">
        <v>0</v>
      </c>
      <c r="P661" t="n">
        <v>0</v>
      </c>
      <c r="Q661" t="n">
        <v>0</v>
      </c>
      <c r="R661" s="2" t="inlineStr"/>
    </row>
    <row r="662" ht="15" customHeight="1">
      <c r="A662" t="inlineStr">
        <is>
          <t>A 3260-2022</t>
        </is>
      </c>
      <c r="B662" s="1" t="n">
        <v>44583</v>
      </c>
      <c r="C662" s="1" t="n">
        <v>45834</v>
      </c>
      <c r="D662" t="inlineStr">
        <is>
          <t>UPPSALA LÄN</t>
        </is>
      </c>
      <c r="E662" t="inlineStr">
        <is>
          <t>UPPSALA</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3284-2022</t>
        </is>
      </c>
      <c r="B663" s="1" t="n">
        <v>44584</v>
      </c>
      <c r="C663" s="1" t="n">
        <v>45834</v>
      </c>
      <c r="D663" t="inlineStr">
        <is>
          <t>UPPSALA LÄN</t>
        </is>
      </c>
      <c r="E663" t="inlineStr">
        <is>
          <t>UPPSALA</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v>
      </c>
      <c r="C664" s="1" t="n">
        <v>45834</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45834</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4312-2022</t>
        </is>
      </c>
      <c r="B666" s="1" t="n">
        <v>44588</v>
      </c>
      <c r="C666" s="1" t="n">
        <v>45834</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4444-2022</t>
        </is>
      </c>
      <c r="B667" s="1" t="n">
        <v>44589</v>
      </c>
      <c r="C667" s="1" t="n">
        <v>45834</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4929-2022</t>
        </is>
      </c>
      <c r="B668" s="1" t="n">
        <v>44593</v>
      </c>
      <c r="C668" s="1" t="n">
        <v>45834</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5027-2022</t>
        </is>
      </c>
      <c r="B669" s="1" t="n">
        <v>44593</v>
      </c>
      <c r="C669" s="1" t="n">
        <v>45834</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5081-2022</t>
        </is>
      </c>
      <c r="B670" s="1" t="n">
        <v>44593</v>
      </c>
      <c r="C670" s="1" t="n">
        <v>45834</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5007-2022</t>
        </is>
      </c>
      <c r="B671" s="1" t="n">
        <v>44593</v>
      </c>
      <c r="C671" s="1" t="n">
        <v>45834</v>
      </c>
      <c r="D671" t="inlineStr">
        <is>
          <t>UPPSALA LÄN</t>
        </is>
      </c>
      <c r="E671" t="inlineStr">
        <is>
          <t>UPPSALA</t>
        </is>
      </c>
      <c r="F671" t="inlineStr">
        <is>
          <t>BillerudKorsnäs AB</t>
        </is>
      </c>
      <c r="G671" t="n">
        <v>3.6</v>
      </c>
      <c r="H671" t="n">
        <v>0</v>
      </c>
      <c r="I671" t="n">
        <v>0</v>
      </c>
      <c r="J671" t="n">
        <v>0</v>
      </c>
      <c r="K671" t="n">
        <v>0</v>
      </c>
      <c r="L671" t="n">
        <v>0</v>
      </c>
      <c r="M671" t="n">
        <v>0</v>
      </c>
      <c r="N671" t="n">
        <v>0</v>
      </c>
      <c r="O671" t="n">
        <v>0</v>
      </c>
      <c r="P671" t="n">
        <v>0</v>
      </c>
      <c r="Q671" t="n">
        <v>0</v>
      </c>
      <c r="R671" s="2" t="inlineStr"/>
    </row>
    <row r="672" ht="15" customHeight="1">
      <c r="A672" t="inlineStr">
        <is>
          <t>A 5006-2022</t>
        </is>
      </c>
      <c r="B672" s="1" t="n">
        <v>44593</v>
      </c>
      <c r="C672" s="1" t="n">
        <v>45834</v>
      </c>
      <c r="D672" t="inlineStr">
        <is>
          <t>UPPSALA LÄN</t>
        </is>
      </c>
      <c r="E672" t="inlineStr">
        <is>
          <t>UPPSALA</t>
        </is>
      </c>
      <c r="F672" t="inlineStr">
        <is>
          <t>BillerudKorsnäs AB</t>
        </is>
      </c>
      <c r="G672" t="n">
        <v>1.4</v>
      </c>
      <c r="H672" t="n">
        <v>0</v>
      </c>
      <c r="I672" t="n">
        <v>0</v>
      </c>
      <c r="J672" t="n">
        <v>0</v>
      </c>
      <c r="K672" t="n">
        <v>0</v>
      </c>
      <c r="L672" t="n">
        <v>0</v>
      </c>
      <c r="M672" t="n">
        <v>0</v>
      </c>
      <c r="N672" t="n">
        <v>0</v>
      </c>
      <c r="O672" t="n">
        <v>0</v>
      </c>
      <c r="P672" t="n">
        <v>0</v>
      </c>
      <c r="Q672" t="n">
        <v>0</v>
      </c>
      <c r="R672" s="2" t="inlineStr"/>
    </row>
    <row r="673" ht="15" customHeight="1">
      <c r="A673" t="inlineStr">
        <is>
          <t>A 5028-2022</t>
        </is>
      </c>
      <c r="B673" s="1" t="n">
        <v>44593</v>
      </c>
      <c r="C673" s="1" t="n">
        <v>45834</v>
      </c>
      <c r="D673" t="inlineStr">
        <is>
          <t>UPPSALA LÄN</t>
        </is>
      </c>
      <c r="E673" t="inlineStr">
        <is>
          <t>UPPSALA</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5309-2022</t>
        </is>
      </c>
      <c r="B674" s="1" t="n">
        <v>44594</v>
      </c>
      <c r="C674" s="1" t="n">
        <v>45834</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5189-2022</t>
        </is>
      </c>
      <c r="B675" s="1" t="n">
        <v>44594</v>
      </c>
      <c r="C675" s="1" t="n">
        <v>45834</v>
      </c>
      <c r="D675" t="inlineStr">
        <is>
          <t>UPPSALA LÄN</t>
        </is>
      </c>
      <c r="E675" t="inlineStr">
        <is>
          <t>UPPSALA</t>
        </is>
      </c>
      <c r="G675" t="n">
        <v>5.9</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45834</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5989-2022</t>
        </is>
      </c>
      <c r="B677" s="1" t="n">
        <v>44599</v>
      </c>
      <c r="C677" s="1" t="n">
        <v>45834</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6009-2022</t>
        </is>
      </c>
      <c r="B678" s="1" t="n">
        <v>44599</v>
      </c>
      <c r="C678" s="1" t="n">
        <v>45834</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5996-2022</t>
        </is>
      </c>
      <c r="B679" s="1" t="n">
        <v>44599</v>
      </c>
      <c r="C679" s="1" t="n">
        <v>45834</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6339-2022</t>
        </is>
      </c>
      <c r="B680" s="1" t="n">
        <v>44600</v>
      </c>
      <c r="C680" s="1" t="n">
        <v>45834</v>
      </c>
      <c r="D680" t="inlineStr">
        <is>
          <t>UPPSALA LÄN</t>
        </is>
      </c>
      <c r="E680" t="inlineStr">
        <is>
          <t>UPPSALA</t>
        </is>
      </c>
      <c r="G680" t="n">
        <v>18.7</v>
      </c>
      <c r="H680" t="n">
        <v>0</v>
      </c>
      <c r="I680" t="n">
        <v>0</v>
      </c>
      <c r="J680" t="n">
        <v>0</v>
      </c>
      <c r="K680" t="n">
        <v>0</v>
      </c>
      <c r="L680" t="n">
        <v>0</v>
      </c>
      <c r="M680" t="n">
        <v>0</v>
      </c>
      <c r="N680" t="n">
        <v>0</v>
      </c>
      <c r="O680" t="n">
        <v>0</v>
      </c>
      <c r="P680" t="n">
        <v>0</v>
      </c>
      <c r="Q680" t="n">
        <v>0</v>
      </c>
      <c r="R680" s="2" t="inlineStr"/>
    </row>
    <row r="681" ht="15" customHeight="1">
      <c r="A681" t="inlineStr">
        <is>
          <t>A 6408-2022</t>
        </is>
      </c>
      <c r="B681" s="1" t="n">
        <v>44600</v>
      </c>
      <c r="C681" s="1" t="n">
        <v>45834</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6717-2022</t>
        </is>
      </c>
      <c r="B682" s="1" t="n">
        <v>44602</v>
      </c>
      <c r="C682" s="1" t="n">
        <v>45834</v>
      </c>
      <c r="D682" t="inlineStr">
        <is>
          <t>UPPSALA LÄN</t>
        </is>
      </c>
      <c r="E682" t="inlineStr">
        <is>
          <t>UPPSALA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6853-2022</t>
        </is>
      </c>
      <c r="B683" s="1" t="n">
        <v>44602</v>
      </c>
      <c r="C683" s="1" t="n">
        <v>45834</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6863-2022</t>
        </is>
      </c>
      <c r="B684" s="1" t="n">
        <v>44602</v>
      </c>
      <c r="C684" s="1" t="n">
        <v>45834</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6850-2022</t>
        </is>
      </c>
      <c r="B685" s="1" t="n">
        <v>44602</v>
      </c>
      <c r="C685" s="1" t="n">
        <v>45834</v>
      </c>
      <c r="D685" t="inlineStr">
        <is>
          <t>UPPSALA LÄN</t>
        </is>
      </c>
      <c r="E685" t="inlineStr">
        <is>
          <t>UPPSALA</t>
        </is>
      </c>
      <c r="G685" t="n">
        <v>3.7</v>
      </c>
      <c r="H685" t="n">
        <v>0</v>
      </c>
      <c r="I685" t="n">
        <v>0</v>
      </c>
      <c r="J685" t="n">
        <v>0</v>
      </c>
      <c r="K685" t="n">
        <v>0</v>
      </c>
      <c r="L685" t="n">
        <v>0</v>
      </c>
      <c r="M685" t="n">
        <v>0</v>
      </c>
      <c r="N685" t="n">
        <v>0</v>
      </c>
      <c r="O685" t="n">
        <v>0</v>
      </c>
      <c r="P685" t="n">
        <v>0</v>
      </c>
      <c r="Q685" t="n">
        <v>0</v>
      </c>
      <c r="R685" s="2" t="inlineStr"/>
    </row>
    <row r="686" ht="15" customHeight="1">
      <c r="A686" t="inlineStr">
        <is>
          <t>A 6851-2022</t>
        </is>
      </c>
      <c r="B686" s="1" t="n">
        <v>44602</v>
      </c>
      <c r="C686" s="1" t="n">
        <v>45834</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6855-2022</t>
        </is>
      </c>
      <c r="B687" s="1" t="n">
        <v>44602</v>
      </c>
      <c r="C687" s="1" t="n">
        <v>45834</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6860-2022</t>
        </is>
      </c>
      <c r="B688" s="1" t="n">
        <v>44602</v>
      </c>
      <c r="C688" s="1" t="n">
        <v>45834</v>
      </c>
      <c r="D688" t="inlineStr">
        <is>
          <t>UPPSALA LÄN</t>
        </is>
      </c>
      <c r="E688" t="inlineStr">
        <is>
          <t>UPPSALA</t>
        </is>
      </c>
      <c r="G688" t="n">
        <v>14.8</v>
      </c>
      <c r="H688" t="n">
        <v>0</v>
      </c>
      <c r="I688" t="n">
        <v>0</v>
      </c>
      <c r="J688" t="n">
        <v>0</v>
      </c>
      <c r="K688" t="n">
        <v>0</v>
      </c>
      <c r="L688" t="n">
        <v>0</v>
      </c>
      <c r="M688" t="n">
        <v>0</v>
      </c>
      <c r="N688" t="n">
        <v>0</v>
      </c>
      <c r="O688" t="n">
        <v>0</v>
      </c>
      <c r="P688" t="n">
        <v>0</v>
      </c>
      <c r="Q688" t="n">
        <v>0</v>
      </c>
      <c r="R688" s="2" t="inlineStr"/>
    </row>
    <row r="689" ht="15" customHeight="1">
      <c r="A689" t="inlineStr">
        <is>
          <t>A 6989-2022</t>
        </is>
      </c>
      <c r="B689" s="1" t="n">
        <v>44603</v>
      </c>
      <c r="C689" s="1" t="n">
        <v>45834</v>
      </c>
      <c r="D689" t="inlineStr">
        <is>
          <t>UPPSALA LÄN</t>
        </is>
      </c>
      <c r="E689" t="inlineStr">
        <is>
          <t>UPPSALA</t>
        </is>
      </c>
      <c r="G689" t="n">
        <v>3.1</v>
      </c>
      <c r="H689" t="n">
        <v>0</v>
      </c>
      <c r="I689" t="n">
        <v>0</v>
      </c>
      <c r="J689" t="n">
        <v>0</v>
      </c>
      <c r="K689" t="n">
        <v>0</v>
      </c>
      <c r="L689" t="n">
        <v>0</v>
      </c>
      <c r="M689" t="n">
        <v>0</v>
      </c>
      <c r="N689" t="n">
        <v>0</v>
      </c>
      <c r="O689" t="n">
        <v>0</v>
      </c>
      <c r="P689" t="n">
        <v>0</v>
      </c>
      <c r="Q689" t="n">
        <v>0</v>
      </c>
      <c r="R689" s="2" t="inlineStr"/>
    </row>
    <row r="690" ht="15" customHeight="1">
      <c r="A690" t="inlineStr">
        <is>
          <t>A 7040-2022</t>
        </is>
      </c>
      <c r="B690" s="1" t="n">
        <v>44603</v>
      </c>
      <c r="C690" s="1" t="n">
        <v>45834</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7124-2022</t>
        </is>
      </c>
      <c r="B691" s="1" t="n">
        <v>44603</v>
      </c>
      <c r="C691" s="1" t="n">
        <v>45834</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7409-2022</t>
        </is>
      </c>
      <c r="B692" s="1" t="n">
        <v>44606</v>
      </c>
      <c r="C692" s="1" t="n">
        <v>45834</v>
      </c>
      <c r="D692" t="inlineStr">
        <is>
          <t>UPPSALA LÄN</t>
        </is>
      </c>
      <c r="E692" t="inlineStr">
        <is>
          <t>UPPSALA</t>
        </is>
      </c>
      <c r="G692" t="n">
        <v>4.3</v>
      </c>
      <c r="H692" t="n">
        <v>0</v>
      </c>
      <c r="I692" t="n">
        <v>0</v>
      </c>
      <c r="J692" t="n">
        <v>0</v>
      </c>
      <c r="K692" t="n">
        <v>0</v>
      </c>
      <c r="L692" t="n">
        <v>0</v>
      </c>
      <c r="M692" t="n">
        <v>0</v>
      </c>
      <c r="N692" t="n">
        <v>0</v>
      </c>
      <c r="O692" t="n">
        <v>0</v>
      </c>
      <c r="P692" t="n">
        <v>0</v>
      </c>
      <c r="Q692" t="n">
        <v>0</v>
      </c>
      <c r="R692" s="2" t="inlineStr"/>
    </row>
    <row r="693" ht="15" customHeight="1">
      <c r="A693" t="inlineStr">
        <is>
          <t>A 7899-2022</t>
        </is>
      </c>
      <c r="B693" s="1" t="n">
        <v>44608</v>
      </c>
      <c r="C693" s="1" t="n">
        <v>45834</v>
      </c>
      <c r="D693" t="inlineStr">
        <is>
          <t>UPPSALA LÄN</t>
        </is>
      </c>
      <c r="E693" t="inlineStr">
        <is>
          <t>UPPSALA</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8090-2022</t>
        </is>
      </c>
      <c r="B694" s="1" t="n">
        <v>44608</v>
      </c>
      <c r="C694" s="1" t="n">
        <v>45834</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7996-2022</t>
        </is>
      </c>
      <c r="B695" s="1" t="n">
        <v>44609</v>
      </c>
      <c r="C695" s="1" t="n">
        <v>45834</v>
      </c>
      <c r="D695" t="inlineStr">
        <is>
          <t>UPPSALA LÄN</t>
        </is>
      </c>
      <c r="E695" t="inlineStr">
        <is>
          <t>UPPSALA</t>
        </is>
      </c>
      <c r="F695" t="inlineStr">
        <is>
          <t>Övriga Aktiebolag</t>
        </is>
      </c>
      <c r="G695" t="n">
        <v>2.9</v>
      </c>
      <c r="H695" t="n">
        <v>0</v>
      </c>
      <c r="I695" t="n">
        <v>0</v>
      </c>
      <c r="J695" t="n">
        <v>0</v>
      </c>
      <c r="K695" t="n">
        <v>0</v>
      </c>
      <c r="L695" t="n">
        <v>0</v>
      </c>
      <c r="M695" t="n">
        <v>0</v>
      </c>
      <c r="N695" t="n">
        <v>0</v>
      </c>
      <c r="O695" t="n">
        <v>0</v>
      </c>
      <c r="P695" t="n">
        <v>0</v>
      </c>
      <c r="Q695" t="n">
        <v>0</v>
      </c>
      <c r="R695" s="2" t="inlineStr"/>
    </row>
    <row r="696" ht="15" customHeight="1">
      <c r="A696" t="inlineStr">
        <is>
          <t>A 8007-2022</t>
        </is>
      </c>
      <c r="B696" s="1" t="n">
        <v>44609</v>
      </c>
      <c r="C696" s="1" t="n">
        <v>45834</v>
      </c>
      <c r="D696" t="inlineStr">
        <is>
          <t>UPPSALA LÄN</t>
        </is>
      </c>
      <c r="E696" t="inlineStr">
        <is>
          <t>UPPSALA</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8132-2022</t>
        </is>
      </c>
      <c r="B697" s="1" t="n">
        <v>44609</v>
      </c>
      <c r="C697" s="1" t="n">
        <v>45834</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8139-2022</t>
        </is>
      </c>
      <c r="B698" s="1" t="n">
        <v>44609</v>
      </c>
      <c r="C698" s="1" t="n">
        <v>45834</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45834</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45834</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8465-2022</t>
        </is>
      </c>
      <c r="B701" s="1" t="n">
        <v>44610</v>
      </c>
      <c r="C701" s="1" t="n">
        <v>45834</v>
      </c>
      <c r="D701" t="inlineStr">
        <is>
          <t>UPPSALA LÄN</t>
        </is>
      </c>
      <c r="E701" t="inlineStr">
        <is>
          <t>UPPSALA</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8451-2022</t>
        </is>
      </c>
      <c r="B702" s="1" t="n">
        <v>44612</v>
      </c>
      <c r="C702" s="1" t="n">
        <v>45834</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8877-2022</t>
        </is>
      </c>
      <c r="B703" s="1" t="n">
        <v>44614</v>
      </c>
      <c r="C703" s="1" t="n">
        <v>45834</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8933-2022</t>
        </is>
      </c>
      <c r="B704" s="1" t="n">
        <v>44614</v>
      </c>
      <c r="C704" s="1" t="n">
        <v>45834</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9206-2022</t>
        </is>
      </c>
      <c r="B705" s="1" t="n">
        <v>44616</v>
      </c>
      <c r="C705" s="1" t="n">
        <v>45834</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9242-2022</t>
        </is>
      </c>
      <c r="B706" s="1" t="n">
        <v>44616</v>
      </c>
      <c r="C706" s="1" t="n">
        <v>45834</v>
      </c>
      <c r="D706" t="inlineStr">
        <is>
          <t>UPPSALA LÄN</t>
        </is>
      </c>
      <c r="E706" t="inlineStr">
        <is>
          <t>UPPSALA</t>
        </is>
      </c>
      <c r="F706" t="inlineStr">
        <is>
          <t>Övriga Aktiebolag</t>
        </is>
      </c>
      <c r="G706" t="n">
        <v>5.9</v>
      </c>
      <c r="H706" t="n">
        <v>0</v>
      </c>
      <c r="I706" t="n">
        <v>0</v>
      </c>
      <c r="J706" t="n">
        <v>0</v>
      </c>
      <c r="K706" t="n">
        <v>0</v>
      </c>
      <c r="L706" t="n">
        <v>0</v>
      </c>
      <c r="M706" t="n">
        <v>0</v>
      </c>
      <c r="N706" t="n">
        <v>0</v>
      </c>
      <c r="O706" t="n">
        <v>0</v>
      </c>
      <c r="P706" t="n">
        <v>0</v>
      </c>
      <c r="Q706" t="n">
        <v>0</v>
      </c>
      <c r="R706" s="2" t="inlineStr"/>
    </row>
    <row r="707" ht="15" customHeight="1">
      <c r="A707" t="inlineStr">
        <is>
          <t>A 9592-2022</t>
        </is>
      </c>
      <c r="B707" s="1" t="n">
        <v>44617</v>
      </c>
      <c r="C707" s="1" t="n">
        <v>45834</v>
      </c>
      <c r="D707" t="inlineStr">
        <is>
          <t>UPPSALA LÄN</t>
        </is>
      </c>
      <c r="E707" t="inlineStr">
        <is>
          <t>UPPSALA</t>
        </is>
      </c>
      <c r="G707" t="n">
        <v>7.5</v>
      </c>
      <c r="H707" t="n">
        <v>0</v>
      </c>
      <c r="I707" t="n">
        <v>0</v>
      </c>
      <c r="J707" t="n">
        <v>0</v>
      </c>
      <c r="K707" t="n">
        <v>0</v>
      </c>
      <c r="L707" t="n">
        <v>0</v>
      </c>
      <c r="M707" t="n">
        <v>0</v>
      </c>
      <c r="N707" t="n">
        <v>0</v>
      </c>
      <c r="O707" t="n">
        <v>0</v>
      </c>
      <c r="P707" t="n">
        <v>0</v>
      </c>
      <c r="Q707" t="n">
        <v>0</v>
      </c>
      <c r="R707" s="2" t="inlineStr"/>
    </row>
    <row r="708" ht="15" customHeight="1">
      <c r="A708" t="inlineStr">
        <is>
          <t>A 10411-2022</t>
        </is>
      </c>
      <c r="B708" s="1" t="n">
        <v>44623</v>
      </c>
      <c r="C708" s="1" t="n">
        <v>45834</v>
      </c>
      <c r="D708" t="inlineStr">
        <is>
          <t>UPPSALA LÄN</t>
        </is>
      </c>
      <c r="E708" t="inlineStr">
        <is>
          <t>UPPSALA</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10383-2022</t>
        </is>
      </c>
      <c r="B709" s="1" t="n">
        <v>44623</v>
      </c>
      <c r="C709" s="1" t="n">
        <v>45834</v>
      </c>
      <c r="D709" t="inlineStr">
        <is>
          <t>UPPSALA LÄN</t>
        </is>
      </c>
      <c r="E709" t="inlineStr">
        <is>
          <t>UPPSALA</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10456-2022</t>
        </is>
      </c>
      <c r="B710" s="1" t="n">
        <v>44623</v>
      </c>
      <c r="C710" s="1" t="n">
        <v>45834</v>
      </c>
      <c r="D710" t="inlineStr">
        <is>
          <t>UPPSALA LÄN</t>
        </is>
      </c>
      <c r="E710" t="inlineStr">
        <is>
          <t>UPPSALA</t>
        </is>
      </c>
      <c r="F710" t="inlineStr">
        <is>
          <t>Övriga Aktiebolag</t>
        </is>
      </c>
      <c r="G710" t="n">
        <v>12.6</v>
      </c>
      <c r="H710" t="n">
        <v>0</v>
      </c>
      <c r="I710" t="n">
        <v>0</v>
      </c>
      <c r="J710" t="n">
        <v>0</v>
      </c>
      <c r="K710" t="n">
        <v>0</v>
      </c>
      <c r="L710" t="n">
        <v>0</v>
      </c>
      <c r="M710" t="n">
        <v>0</v>
      </c>
      <c r="N710" t="n">
        <v>0</v>
      </c>
      <c r="O710" t="n">
        <v>0</v>
      </c>
      <c r="P710" t="n">
        <v>0</v>
      </c>
      <c r="Q710" t="n">
        <v>0</v>
      </c>
      <c r="R710" s="2" t="inlineStr"/>
    </row>
    <row r="711" ht="15" customHeight="1">
      <c r="A711" t="inlineStr">
        <is>
          <t>A 10464-2022</t>
        </is>
      </c>
      <c r="B711" s="1" t="n">
        <v>44623</v>
      </c>
      <c r="C711" s="1" t="n">
        <v>45834</v>
      </c>
      <c r="D711" t="inlineStr">
        <is>
          <t>UPPSALA LÄN</t>
        </is>
      </c>
      <c r="E711" t="inlineStr">
        <is>
          <t>UPPSALA</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10565-2022</t>
        </is>
      </c>
      <c r="B712" s="1" t="n">
        <v>44624</v>
      </c>
      <c r="C712" s="1" t="n">
        <v>45834</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10674-2022</t>
        </is>
      </c>
      <c r="B713" s="1" t="n">
        <v>44624</v>
      </c>
      <c r="C713" s="1" t="n">
        <v>45834</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11162-2022</t>
        </is>
      </c>
      <c r="B714" s="1" t="n">
        <v>44629</v>
      </c>
      <c r="C714" s="1" t="n">
        <v>45834</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v>
      </c>
      <c r="C715" s="1" t="n">
        <v>45834</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11787-2022</t>
        </is>
      </c>
      <c r="B716" s="1" t="n">
        <v>44634</v>
      </c>
      <c r="C716" s="1" t="n">
        <v>45834</v>
      </c>
      <c r="D716" t="inlineStr">
        <is>
          <t>UPPSALA LÄN</t>
        </is>
      </c>
      <c r="E716" t="inlineStr">
        <is>
          <t>UPPSALA</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11693-2022</t>
        </is>
      </c>
      <c r="B717" s="1" t="n">
        <v>44634</v>
      </c>
      <c r="C717" s="1" t="n">
        <v>45834</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12221-2022</t>
        </is>
      </c>
      <c r="B718" s="1" t="n">
        <v>44637</v>
      </c>
      <c r="C718" s="1" t="n">
        <v>45834</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12293-2022</t>
        </is>
      </c>
      <c r="B719" s="1" t="n">
        <v>44637</v>
      </c>
      <c r="C719" s="1" t="n">
        <v>45834</v>
      </c>
      <c r="D719" t="inlineStr">
        <is>
          <t>UPPSALA LÄN</t>
        </is>
      </c>
      <c r="E719" t="inlineStr">
        <is>
          <t>UPPSALA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13009-2022</t>
        </is>
      </c>
      <c r="B720" s="1" t="n">
        <v>44643</v>
      </c>
      <c r="C720" s="1" t="n">
        <v>45834</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13134-2022</t>
        </is>
      </c>
      <c r="B721" s="1" t="n">
        <v>44644</v>
      </c>
      <c r="C721" s="1" t="n">
        <v>45834</v>
      </c>
      <c r="D721" t="inlineStr">
        <is>
          <t>UPPSALA LÄN</t>
        </is>
      </c>
      <c r="E721" t="inlineStr">
        <is>
          <t>UPPSALA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v>
      </c>
      <c r="C722" s="1" t="n">
        <v>45834</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13386-2022</t>
        </is>
      </c>
      <c r="B723" s="1" t="n">
        <v>44645</v>
      </c>
      <c r="C723" s="1" t="n">
        <v>45834</v>
      </c>
      <c r="D723" t="inlineStr">
        <is>
          <t>UPPSALA LÄN</t>
        </is>
      </c>
      <c r="E723" t="inlineStr">
        <is>
          <t>UPPSALA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13343-2022</t>
        </is>
      </c>
      <c r="B724" s="1" t="n">
        <v>44645</v>
      </c>
      <c r="C724" s="1" t="n">
        <v>45834</v>
      </c>
      <c r="D724" t="inlineStr">
        <is>
          <t>UPPSALA LÄN</t>
        </is>
      </c>
      <c r="E724" t="inlineStr">
        <is>
          <t>UPPSALA</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45834</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13901-2022</t>
        </is>
      </c>
      <c r="B726" s="1" t="n">
        <v>44649</v>
      </c>
      <c r="C726" s="1" t="n">
        <v>45834</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14337-2022</t>
        </is>
      </c>
      <c r="B727" s="1" t="n">
        <v>44652</v>
      </c>
      <c r="C727" s="1" t="n">
        <v>45834</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14355-2022</t>
        </is>
      </c>
      <c r="B728" s="1" t="n">
        <v>44652</v>
      </c>
      <c r="C728" s="1" t="n">
        <v>45834</v>
      </c>
      <c r="D728" t="inlineStr">
        <is>
          <t>UPPSALA LÄN</t>
        </is>
      </c>
      <c r="E728" t="inlineStr">
        <is>
          <t>UPPSALA</t>
        </is>
      </c>
      <c r="F728" t="inlineStr">
        <is>
          <t>Bergvik skog öst AB</t>
        </is>
      </c>
      <c r="G728" t="n">
        <v>7.8</v>
      </c>
      <c r="H728" t="n">
        <v>0</v>
      </c>
      <c r="I728" t="n">
        <v>0</v>
      </c>
      <c r="J728" t="n">
        <v>0</v>
      </c>
      <c r="K728" t="n">
        <v>0</v>
      </c>
      <c r="L728" t="n">
        <v>0</v>
      </c>
      <c r="M728" t="n">
        <v>0</v>
      </c>
      <c r="N728" t="n">
        <v>0</v>
      </c>
      <c r="O728" t="n">
        <v>0</v>
      </c>
      <c r="P728" t="n">
        <v>0</v>
      </c>
      <c r="Q728" t="n">
        <v>0</v>
      </c>
      <c r="R728" s="2" t="inlineStr"/>
    </row>
    <row r="729" ht="15" customHeight="1">
      <c r="A729" t="inlineStr">
        <is>
          <t>A 14340-2022</t>
        </is>
      </c>
      <c r="B729" s="1" t="n">
        <v>44652</v>
      </c>
      <c r="C729" s="1" t="n">
        <v>45834</v>
      </c>
      <c r="D729" t="inlineStr">
        <is>
          <t>UPPSALA LÄN</t>
        </is>
      </c>
      <c r="E729" t="inlineStr">
        <is>
          <t>UPPSALA</t>
        </is>
      </c>
      <c r="F729" t="inlineStr">
        <is>
          <t>Bergvik skog öst AB</t>
        </is>
      </c>
      <c r="G729" t="n">
        <v>4</v>
      </c>
      <c r="H729" t="n">
        <v>0</v>
      </c>
      <c r="I729" t="n">
        <v>0</v>
      </c>
      <c r="J729" t="n">
        <v>0</v>
      </c>
      <c r="K729" t="n">
        <v>0</v>
      </c>
      <c r="L729" t="n">
        <v>0</v>
      </c>
      <c r="M729" t="n">
        <v>0</v>
      </c>
      <c r="N729" t="n">
        <v>0</v>
      </c>
      <c r="O729" t="n">
        <v>0</v>
      </c>
      <c r="P729" t="n">
        <v>0</v>
      </c>
      <c r="Q729" t="n">
        <v>0</v>
      </c>
      <c r="R729" s="2" t="inlineStr"/>
    </row>
    <row r="730" ht="15" customHeight="1">
      <c r="A730" t="inlineStr">
        <is>
          <t>A 14622-2022</t>
        </is>
      </c>
      <c r="B730" s="1" t="n">
        <v>44655</v>
      </c>
      <c r="C730" s="1" t="n">
        <v>45834</v>
      </c>
      <c r="D730" t="inlineStr">
        <is>
          <t>UPPSALA LÄN</t>
        </is>
      </c>
      <c r="E730" t="inlineStr">
        <is>
          <t>UPPSALA</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15436-2022</t>
        </is>
      </c>
      <c r="B731" s="1" t="n">
        <v>44659</v>
      </c>
      <c r="C731" s="1" t="n">
        <v>45834</v>
      </c>
      <c r="D731" t="inlineStr">
        <is>
          <t>UPPSALA LÄN</t>
        </is>
      </c>
      <c r="E731" t="inlineStr">
        <is>
          <t>UPPSALA</t>
        </is>
      </c>
      <c r="G731" t="n">
        <v>14.4</v>
      </c>
      <c r="H731" t="n">
        <v>0</v>
      </c>
      <c r="I731" t="n">
        <v>0</v>
      </c>
      <c r="J731" t="n">
        <v>0</v>
      </c>
      <c r="K731" t="n">
        <v>0</v>
      </c>
      <c r="L731" t="n">
        <v>0</v>
      </c>
      <c r="M731" t="n">
        <v>0</v>
      </c>
      <c r="N731" t="n">
        <v>0</v>
      </c>
      <c r="O731" t="n">
        <v>0</v>
      </c>
      <c r="P731" t="n">
        <v>0</v>
      </c>
      <c r="Q731" t="n">
        <v>0</v>
      </c>
      <c r="R731" s="2" t="inlineStr"/>
    </row>
    <row r="732" ht="15" customHeight="1">
      <c r="A732" t="inlineStr">
        <is>
          <t>A 15377-2022</t>
        </is>
      </c>
      <c r="B732" s="1" t="n">
        <v>44659</v>
      </c>
      <c r="C732" s="1" t="n">
        <v>45834</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15310-2022</t>
        </is>
      </c>
      <c r="B733" s="1" t="n">
        <v>44659</v>
      </c>
      <c r="C733" s="1" t="n">
        <v>45834</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15583-2022</t>
        </is>
      </c>
      <c r="B734" s="1" t="n">
        <v>44662</v>
      </c>
      <c r="C734" s="1" t="n">
        <v>45834</v>
      </c>
      <c r="D734" t="inlineStr">
        <is>
          <t>UPPSALA LÄN</t>
        </is>
      </c>
      <c r="E734" t="inlineStr">
        <is>
          <t>UPPSALA</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15735-2022</t>
        </is>
      </c>
      <c r="B735" s="1" t="n">
        <v>44663</v>
      </c>
      <c r="C735" s="1" t="n">
        <v>45834</v>
      </c>
      <c r="D735" t="inlineStr">
        <is>
          <t>UPPSALA LÄN</t>
        </is>
      </c>
      <c r="E735" t="inlineStr">
        <is>
          <t>UPPSALA</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16126-2022</t>
        </is>
      </c>
      <c r="B736" s="1" t="n">
        <v>44665</v>
      </c>
      <c r="C736" s="1" t="n">
        <v>45834</v>
      </c>
      <c r="D736" t="inlineStr">
        <is>
          <t>UPPSALA LÄN</t>
        </is>
      </c>
      <c r="E736" t="inlineStr">
        <is>
          <t>UPPSALA</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16804-2022</t>
        </is>
      </c>
      <c r="B737" s="1" t="n">
        <v>44673</v>
      </c>
      <c r="C737" s="1" t="n">
        <v>45834</v>
      </c>
      <c r="D737" t="inlineStr">
        <is>
          <t>UPPSALA LÄN</t>
        </is>
      </c>
      <c r="E737" t="inlineStr">
        <is>
          <t>UPPSALA</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16828-2022</t>
        </is>
      </c>
      <c r="B738" s="1" t="n">
        <v>44673</v>
      </c>
      <c r="C738" s="1" t="n">
        <v>45834</v>
      </c>
      <c r="D738" t="inlineStr">
        <is>
          <t>UPPSALA LÄN</t>
        </is>
      </c>
      <c r="E738" t="inlineStr">
        <is>
          <t>UPPSALA</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16827-2022</t>
        </is>
      </c>
      <c r="B739" s="1" t="n">
        <v>44673</v>
      </c>
      <c r="C739" s="1" t="n">
        <v>45834</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16831-2022</t>
        </is>
      </c>
      <c r="B740" s="1" t="n">
        <v>44673</v>
      </c>
      <c r="C740" s="1" t="n">
        <v>45834</v>
      </c>
      <c r="D740" t="inlineStr">
        <is>
          <t>UPPSALA LÄN</t>
        </is>
      </c>
      <c r="E740" t="inlineStr">
        <is>
          <t>UPPSALA</t>
        </is>
      </c>
      <c r="F740" t="inlineStr">
        <is>
          <t>Bergvik skog öst AB</t>
        </is>
      </c>
      <c r="G740" t="n">
        <v>5.8</v>
      </c>
      <c r="H740" t="n">
        <v>0</v>
      </c>
      <c r="I740" t="n">
        <v>0</v>
      </c>
      <c r="J740" t="n">
        <v>0</v>
      </c>
      <c r="K740" t="n">
        <v>0</v>
      </c>
      <c r="L740" t="n">
        <v>0</v>
      </c>
      <c r="M740" t="n">
        <v>0</v>
      </c>
      <c r="N740" t="n">
        <v>0</v>
      </c>
      <c r="O740" t="n">
        <v>0</v>
      </c>
      <c r="P740" t="n">
        <v>0</v>
      </c>
      <c r="Q740" t="n">
        <v>0</v>
      </c>
      <c r="R740" s="2" t="inlineStr"/>
    </row>
    <row r="741" ht="15" customHeight="1">
      <c r="A741" t="inlineStr">
        <is>
          <t>A 16826-2022</t>
        </is>
      </c>
      <c r="B741" s="1" t="n">
        <v>44673</v>
      </c>
      <c r="C741" s="1" t="n">
        <v>45834</v>
      </c>
      <c r="D741" t="inlineStr">
        <is>
          <t>UPPSALA LÄN</t>
        </is>
      </c>
      <c r="E741" t="inlineStr">
        <is>
          <t>UPPSALA</t>
        </is>
      </c>
      <c r="F741" t="inlineStr">
        <is>
          <t>Bergvik skog öst AB</t>
        </is>
      </c>
      <c r="G741" t="n">
        <v>7.1</v>
      </c>
      <c r="H741" t="n">
        <v>0</v>
      </c>
      <c r="I741" t="n">
        <v>0</v>
      </c>
      <c r="J741" t="n">
        <v>0</v>
      </c>
      <c r="K741" t="n">
        <v>0</v>
      </c>
      <c r="L741" t="n">
        <v>0</v>
      </c>
      <c r="M741" t="n">
        <v>0</v>
      </c>
      <c r="N741" t="n">
        <v>0</v>
      </c>
      <c r="O741" t="n">
        <v>0</v>
      </c>
      <c r="P741" t="n">
        <v>0</v>
      </c>
      <c r="Q741" t="n">
        <v>0</v>
      </c>
      <c r="R741" s="2" t="inlineStr"/>
    </row>
    <row r="742" ht="15" customHeight="1">
      <c r="A742" t="inlineStr">
        <is>
          <t>A 16942-2022</t>
        </is>
      </c>
      <c r="B742" s="1" t="n">
        <v>44676</v>
      </c>
      <c r="C742" s="1" t="n">
        <v>45834</v>
      </c>
      <c r="D742" t="inlineStr">
        <is>
          <t>UPPSALA LÄN</t>
        </is>
      </c>
      <c r="E742" t="inlineStr">
        <is>
          <t>UPPSALA</t>
        </is>
      </c>
      <c r="F742" t="inlineStr">
        <is>
          <t>Bergvik skog öst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16892-2022</t>
        </is>
      </c>
      <c r="B743" s="1" t="n">
        <v>44676</v>
      </c>
      <c r="C743" s="1" t="n">
        <v>45834</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45834</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16898-2022</t>
        </is>
      </c>
      <c r="B745" s="1" t="n">
        <v>44676</v>
      </c>
      <c r="C745" s="1" t="n">
        <v>45834</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v>
      </c>
      <c r="C746" s="1" t="n">
        <v>45834</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17562-2022</t>
        </is>
      </c>
      <c r="B747" s="1" t="n">
        <v>44679</v>
      </c>
      <c r="C747" s="1" t="n">
        <v>45834</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17558-2022</t>
        </is>
      </c>
      <c r="B748" s="1" t="n">
        <v>44679</v>
      </c>
      <c r="C748" s="1" t="n">
        <v>45834</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17981-2022</t>
        </is>
      </c>
      <c r="B749" s="1" t="n">
        <v>44683</v>
      </c>
      <c r="C749" s="1" t="n">
        <v>45834</v>
      </c>
      <c r="D749" t="inlineStr">
        <is>
          <t>UPPSALA LÄN</t>
        </is>
      </c>
      <c r="E749" t="inlineStr">
        <is>
          <t>UPPSALA</t>
        </is>
      </c>
      <c r="F749" t="inlineStr">
        <is>
          <t>Bergvik skog öst AB</t>
        </is>
      </c>
      <c r="G749" t="n">
        <v>6.7</v>
      </c>
      <c r="H749" t="n">
        <v>0</v>
      </c>
      <c r="I749" t="n">
        <v>0</v>
      </c>
      <c r="J749" t="n">
        <v>0</v>
      </c>
      <c r="K749" t="n">
        <v>0</v>
      </c>
      <c r="L749" t="n">
        <v>0</v>
      </c>
      <c r="M749" t="n">
        <v>0</v>
      </c>
      <c r="N749" t="n">
        <v>0</v>
      </c>
      <c r="O749" t="n">
        <v>0</v>
      </c>
      <c r="P749" t="n">
        <v>0</v>
      </c>
      <c r="Q749" t="n">
        <v>0</v>
      </c>
      <c r="R749" s="2" t="inlineStr"/>
    </row>
    <row r="750" ht="15" customHeight="1">
      <c r="A750" t="inlineStr">
        <is>
          <t>A 18330-2022</t>
        </is>
      </c>
      <c r="B750" s="1" t="n">
        <v>44685</v>
      </c>
      <c r="C750" s="1" t="n">
        <v>45834</v>
      </c>
      <c r="D750" t="inlineStr">
        <is>
          <t>UPPSALA LÄN</t>
        </is>
      </c>
      <c r="E750" t="inlineStr">
        <is>
          <t>UPPSALA</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18521-2022</t>
        </is>
      </c>
      <c r="B751" s="1" t="n">
        <v>44686</v>
      </c>
      <c r="C751" s="1" t="n">
        <v>45834</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18583-2022</t>
        </is>
      </c>
      <c r="B752" s="1" t="n">
        <v>44687</v>
      </c>
      <c r="C752" s="1" t="n">
        <v>45834</v>
      </c>
      <c r="D752" t="inlineStr">
        <is>
          <t>UPPSALA LÄN</t>
        </is>
      </c>
      <c r="E752" t="inlineStr">
        <is>
          <t>UPPSALA</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18960-2022</t>
        </is>
      </c>
      <c r="B753" s="1" t="n">
        <v>44690</v>
      </c>
      <c r="C753" s="1" t="n">
        <v>45834</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19034-2022</t>
        </is>
      </c>
      <c r="B754" s="1" t="n">
        <v>44691</v>
      </c>
      <c r="C754" s="1" t="n">
        <v>45834</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19240-2022</t>
        </is>
      </c>
      <c r="B755" s="1" t="n">
        <v>44692</v>
      </c>
      <c r="C755" s="1" t="n">
        <v>45834</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19375-2022</t>
        </is>
      </c>
      <c r="B756" s="1" t="n">
        <v>44692</v>
      </c>
      <c r="C756" s="1" t="n">
        <v>45834</v>
      </c>
      <c r="D756" t="inlineStr">
        <is>
          <t>UPPSALA LÄN</t>
        </is>
      </c>
      <c r="E756" t="inlineStr">
        <is>
          <t>UPPSALA</t>
        </is>
      </c>
      <c r="F756" t="inlineStr">
        <is>
          <t>Bergvik skog öst AB</t>
        </is>
      </c>
      <c r="G756" t="n">
        <v>5</v>
      </c>
      <c r="H756" t="n">
        <v>0</v>
      </c>
      <c r="I756" t="n">
        <v>0</v>
      </c>
      <c r="J756" t="n">
        <v>0</v>
      </c>
      <c r="K756" t="n">
        <v>0</v>
      </c>
      <c r="L756" t="n">
        <v>0</v>
      </c>
      <c r="M756" t="n">
        <v>0</v>
      </c>
      <c r="N756" t="n">
        <v>0</v>
      </c>
      <c r="O756" t="n">
        <v>0</v>
      </c>
      <c r="P756" t="n">
        <v>0</v>
      </c>
      <c r="Q756" t="n">
        <v>0</v>
      </c>
      <c r="R756" s="2" t="inlineStr"/>
    </row>
    <row r="757" ht="15" customHeight="1">
      <c r="A757" t="inlineStr">
        <is>
          <t>A 19380-2022</t>
        </is>
      </c>
      <c r="B757" s="1" t="n">
        <v>44692</v>
      </c>
      <c r="C757" s="1" t="n">
        <v>45834</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v>
      </c>
      <c r="C758" s="1" t="n">
        <v>45834</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20265-2022</t>
        </is>
      </c>
      <c r="B759" s="1" t="n">
        <v>44698</v>
      </c>
      <c r="C759" s="1" t="n">
        <v>45834</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20497-2022</t>
        </is>
      </c>
      <c r="B760" s="1" t="n">
        <v>44699</v>
      </c>
      <c r="C760" s="1" t="n">
        <v>45834</v>
      </c>
      <c r="D760" t="inlineStr">
        <is>
          <t>UPPSALA LÄN</t>
        </is>
      </c>
      <c r="E760" t="inlineStr">
        <is>
          <t>UPPSALA</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20770-2022</t>
        </is>
      </c>
      <c r="B761" s="1" t="n">
        <v>44700</v>
      </c>
      <c r="C761" s="1" t="n">
        <v>45834</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20764-2022</t>
        </is>
      </c>
      <c r="B762" s="1" t="n">
        <v>44700</v>
      </c>
      <c r="C762" s="1" t="n">
        <v>45834</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20938-2022</t>
        </is>
      </c>
      <c r="B763" s="1" t="n">
        <v>44701</v>
      </c>
      <c r="C763" s="1" t="n">
        <v>45834</v>
      </c>
      <c r="D763" t="inlineStr">
        <is>
          <t>UPPSALA LÄN</t>
        </is>
      </c>
      <c r="E763" t="inlineStr">
        <is>
          <t>UPPSALA</t>
        </is>
      </c>
      <c r="F763" t="inlineStr">
        <is>
          <t>Bergvik skog öst AB</t>
        </is>
      </c>
      <c r="G763" t="n">
        <v>7.2</v>
      </c>
      <c r="H763" t="n">
        <v>0</v>
      </c>
      <c r="I763" t="n">
        <v>0</v>
      </c>
      <c r="J763" t="n">
        <v>0</v>
      </c>
      <c r="K763" t="n">
        <v>0</v>
      </c>
      <c r="L763" t="n">
        <v>0</v>
      </c>
      <c r="M763" t="n">
        <v>0</v>
      </c>
      <c r="N763" t="n">
        <v>0</v>
      </c>
      <c r="O763" t="n">
        <v>0</v>
      </c>
      <c r="P763" t="n">
        <v>0</v>
      </c>
      <c r="Q763" t="n">
        <v>0</v>
      </c>
      <c r="R763" s="2" t="inlineStr"/>
    </row>
    <row r="764" ht="15" customHeight="1">
      <c r="A764" t="inlineStr">
        <is>
          <t>A 20936-2022</t>
        </is>
      </c>
      <c r="B764" s="1" t="n">
        <v>44701</v>
      </c>
      <c r="C764" s="1" t="n">
        <v>45834</v>
      </c>
      <c r="D764" t="inlineStr">
        <is>
          <t>UPPSALA LÄN</t>
        </is>
      </c>
      <c r="E764" t="inlineStr">
        <is>
          <t>UPPSALA</t>
        </is>
      </c>
      <c r="G764" t="n">
        <v>4.8</v>
      </c>
      <c r="H764" t="n">
        <v>0</v>
      </c>
      <c r="I764" t="n">
        <v>0</v>
      </c>
      <c r="J764" t="n">
        <v>0</v>
      </c>
      <c r="K764" t="n">
        <v>0</v>
      </c>
      <c r="L764" t="n">
        <v>0</v>
      </c>
      <c r="M764" t="n">
        <v>0</v>
      </c>
      <c r="N764" t="n">
        <v>0</v>
      </c>
      <c r="O764" t="n">
        <v>0</v>
      </c>
      <c r="P764" t="n">
        <v>0</v>
      </c>
      <c r="Q764" t="n">
        <v>0</v>
      </c>
      <c r="R764" s="2" t="inlineStr"/>
    </row>
    <row r="765" ht="15" customHeight="1">
      <c r="A765" t="inlineStr">
        <is>
          <t>A 20980-2022</t>
        </is>
      </c>
      <c r="B765" s="1" t="n">
        <v>44702</v>
      </c>
      <c r="C765" s="1" t="n">
        <v>45834</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21181-2022</t>
        </is>
      </c>
      <c r="B766" s="1" t="n">
        <v>44704</v>
      </c>
      <c r="C766" s="1" t="n">
        <v>45834</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45834</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v>
      </c>
      <c r="C768" s="1" t="n">
        <v>45834</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v>
      </c>
      <c r="C769" s="1" t="n">
        <v>45834</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v>
      </c>
      <c r="C770" s="1" t="n">
        <v>45834</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45834</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22390-2022</t>
        </is>
      </c>
      <c r="B772" s="1" t="n">
        <v>44713</v>
      </c>
      <c r="C772" s="1" t="n">
        <v>45834</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22429-2022</t>
        </is>
      </c>
      <c r="B773" s="1" t="n">
        <v>44713</v>
      </c>
      <c r="C773" s="1" t="n">
        <v>45834</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22645-2022</t>
        </is>
      </c>
      <c r="B774" s="1" t="n">
        <v>44714</v>
      </c>
      <c r="C774" s="1" t="n">
        <v>45834</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23324-2022</t>
        </is>
      </c>
      <c r="B775" s="1" t="n">
        <v>44720</v>
      </c>
      <c r="C775" s="1" t="n">
        <v>45834</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23289-2022</t>
        </is>
      </c>
      <c r="B776" s="1" t="n">
        <v>44720</v>
      </c>
      <c r="C776" s="1" t="n">
        <v>45834</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23761-2022</t>
        </is>
      </c>
      <c r="B777" s="1" t="n">
        <v>44722</v>
      </c>
      <c r="C777" s="1" t="n">
        <v>45834</v>
      </c>
      <c r="D777" t="inlineStr">
        <is>
          <t>UPPSALA LÄN</t>
        </is>
      </c>
      <c r="E777" t="inlineStr">
        <is>
          <t>UPPSALA</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45834</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23717-2022</t>
        </is>
      </c>
      <c r="B779" s="1" t="n">
        <v>44722</v>
      </c>
      <c r="C779" s="1" t="n">
        <v>45834</v>
      </c>
      <c r="D779" t="inlineStr">
        <is>
          <t>UPPSALA LÄN</t>
        </is>
      </c>
      <c r="E779" t="inlineStr">
        <is>
          <t>UPPSALA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23730-2022</t>
        </is>
      </c>
      <c r="B780" s="1" t="n">
        <v>44722</v>
      </c>
      <c r="C780" s="1" t="n">
        <v>45834</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24420-2022</t>
        </is>
      </c>
      <c r="B781" s="1" t="n">
        <v>44726</v>
      </c>
      <c r="C781" s="1" t="n">
        <v>45834</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24401-2022</t>
        </is>
      </c>
      <c r="B782" s="1" t="n">
        <v>44726</v>
      </c>
      <c r="C782" s="1" t="n">
        <v>45834</v>
      </c>
      <c r="D782" t="inlineStr">
        <is>
          <t>UPPSALA LÄN</t>
        </is>
      </c>
      <c r="E782" t="inlineStr">
        <is>
          <t>UPPSALA</t>
        </is>
      </c>
      <c r="F782" t="inlineStr">
        <is>
          <t>Bergvik skog öst AB</t>
        </is>
      </c>
      <c r="G782" t="n">
        <v>4.8</v>
      </c>
      <c r="H782" t="n">
        <v>0</v>
      </c>
      <c r="I782" t="n">
        <v>0</v>
      </c>
      <c r="J782" t="n">
        <v>0</v>
      </c>
      <c r="K782" t="n">
        <v>0</v>
      </c>
      <c r="L782" t="n">
        <v>0</v>
      </c>
      <c r="M782" t="n">
        <v>0</v>
      </c>
      <c r="N782" t="n">
        <v>0</v>
      </c>
      <c r="O782" t="n">
        <v>0</v>
      </c>
      <c r="P782" t="n">
        <v>0</v>
      </c>
      <c r="Q782" t="n">
        <v>0</v>
      </c>
      <c r="R782" s="2" t="inlineStr"/>
    </row>
    <row r="783" ht="15" customHeight="1">
      <c r="A783" t="inlineStr">
        <is>
          <t>A 24409-2022</t>
        </is>
      </c>
      <c r="B783" s="1" t="n">
        <v>44726</v>
      </c>
      <c r="C783" s="1" t="n">
        <v>45834</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25178-2022</t>
        </is>
      </c>
      <c r="B784" s="1" t="n">
        <v>44729</v>
      </c>
      <c r="C784" s="1" t="n">
        <v>45834</v>
      </c>
      <c r="D784" t="inlineStr">
        <is>
          <t>UPPSALA LÄN</t>
        </is>
      </c>
      <c r="E784" t="inlineStr">
        <is>
          <t>UPPSALA</t>
        </is>
      </c>
      <c r="F784" t="inlineStr">
        <is>
          <t>Holmen skog AB</t>
        </is>
      </c>
      <c r="G784" t="n">
        <v>4.6</v>
      </c>
      <c r="H784" t="n">
        <v>0</v>
      </c>
      <c r="I784" t="n">
        <v>0</v>
      </c>
      <c r="J784" t="n">
        <v>0</v>
      </c>
      <c r="K784" t="n">
        <v>0</v>
      </c>
      <c r="L784" t="n">
        <v>0</v>
      </c>
      <c r="M784" t="n">
        <v>0</v>
      </c>
      <c r="N784" t="n">
        <v>0</v>
      </c>
      <c r="O784" t="n">
        <v>0</v>
      </c>
      <c r="P784" t="n">
        <v>0</v>
      </c>
      <c r="Q784" t="n">
        <v>0</v>
      </c>
      <c r="R784" s="2" t="inlineStr"/>
    </row>
    <row r="785" ht="15" customHeight="1">
      <c r="A785" t="inlineStr">
        <is>
          <t>A 25120-2022</t>
        </is>
      </c>
      <c r="B785" s="1" t="n">
        <v>44729</v>
      </c>
      <c r="C785" s="1" t="n">
        <v>45834</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25759-2022</t>
        </is>
      </c>
      <c r="B786" s="1" t="n">
        <v>44733</v>
      </c>
      <c r="C786" s="1" t="n">
        <v>45834</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25809-2022</t>
        </is>
      </c>
      <c r="B787" s="1" t="n">
        <v>44733</v>
      </c>
      <c r="C787" s="1" t="n">
        <v>45834</v>
      </c>
      <c r="D787" t="inlineStr">
        <is>
          <t>UPPSALA LÄN</t>
        </is>
      </c>
      <c r="E787" t="inlineStr">
        <is>
          <t>UPPSALA</t>
        </is>
      </c>
      <c r="F787" t="inlineStr">
        <is>
          <t>Bergvik skog öst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25745-2022</t>
        </is>
      </c>
      <c r="B788" s="1" t="n">
        <v>44733</v>
      </c>
      <c r="C788" s="1" t="n">
        <v>45834</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25776-2022</t>
        </is>
      </c>
      <c r="B789" s="1" t="n">
        <v>44733</v>
      </c>
      <c r="C789" s="1" t="n">
        <v>45834</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26609-2022</t>
        </is>
      </c>
      <c r="B790" s="1" t="n">
        <v>44739</v>
      </c>
      <c r="C790" s="1" t="n">
        <v>45834</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26958-2022</t>
        </is>
      </c>
      <c r="B791" s="1" t="n">
        <v>44740</v>
      </c>
      <c r="C791" s="1" t="n">
        <v>45834</v>
      </c>
      <c r="D791" t="inlineStr">
        <is>
          <t>UPPSALA LÄN</t>
        </is>
      </c>
      <c r="E791" t="inlineStr">
        <is>
          <t>UPPSALA</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45834</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27372-2022</t>
        </is>
      </c>
      <c r="B793" s="1" t="n">
        <v>44742</v>
      </c>
      <c r="C793" s="1" t="n">
        <v>45834</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27369-2022</t>
        </is>
      </c>
      <c r="B794" s="1" t="n">
        <v>44742</v>
      </c>
      <c r="C794" s="1" t="n">
        <v>45834</v>
      </c>
      <c r="D794" t="inlineStr">
        <is>
          <t>UPPSALA LÄN</t>
        </is>
      </c>
      <c r="E794" t="inlineStr">
        <is>
          <t>UPPSALA</t>
        </is>
      </c>
      <c r="G794" t="n">
        <v>4.5</v>
      </c>
      <c r="H794" t="n">
        <v>0</v>
      </c>
      <c r="I794" t="n">
        <v>0</v>
      </c>
      <c r="J794" t="n">
        <v>0</v>
      </c>
      <c r="K794" t="n">
        <v>0</v>
      </c>
      <c r="L794" t="n">
        <v>0</v>
      </c>
      <c r="M794" t="n">
        <v>0</v>
      </c>
      <c r="N794" t="n">
        <v>0</v>
      </c>
      <c r="O794" t="n">
        <v>0</v>
      </c>
      <c r="P794" t="n">
        <v>0</v>
      </c>
      <c r="Q794" t="n">
        <v>0</v>
      </c>
      <c r="R794" s="2" t="inlineStr"/>
    </row>
    <row r="795" ht="15" customHeight="1">
      <c r="A795" t="inlineStr">
        <is>
          <t>A 27390-2022</t>
        </is>
      </c>
      <c r="B795" s="1" t="n">
        <v>44742</v>
      </c>
      <c r="C795" s="1" t="n">
        <v>45834</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27397-2022</t>
        </is>
      </c>
      <c r="B796" s="1" t="n">
        <v>44742</v>
      </c>
      <c r="C796" s="1" t="n">
        <v>45834</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27546-2022</t>
        </is>
      </c>
      <c r="B797" s="1" t="n">
        <v>44742</v>
      </c>
      <c r="C797" s="1" t="n">
        <v>45834</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27543-2022</t>
        </is>
      </c>
      <c r="B798" s="1" t="n">
        <v>44742</v>
      </c>
      <c r="C798" s="1" t="n">
        <v>45834</v>
      </c>
      <c r="D798" t="inlineStr">
        <is>
          <t>UPPSALA LÄN</t>
        </is>
      </c>
      <c r="E798" t="inlineStr">
        <is>
          <t>UPPSALA</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45834</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27762-2022</t>
        </is>
      </c>
      <c r="B800" s="1" t="n">
        <v>44743</v>
      </c>
      <c r="C800" s="1" t="n">
        <v>45834</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v>
      </c>
      <c r="C801" s="1" t="n">
        <v>45834</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29134-2022</t>
        </is>
      </c>
      <c r="B802" s="1" t="n">
        <v>44750</v>
      </c>
      <c r="C802" s="1" t="n">
        <v>45834</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29986-2022</t>
        </is>
      </c>
      <c r="B803" s="1" t="n">
        <v>44756</v>
      </c>
      <c r="C803" s="1" t="n">
        <v>45834</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29991-2022</t>
        </is>
      </c>
      <c r="B804" s="1" t="n">
        <v>44756</v>
      </c>
      <c r="C804" s="1" t="n">
        <v>45834</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30052-2022</t>
        </is>
      </c>
      <c r="B805" s="1" t="n">
        <v>44757</v>
      </c>
      <c r="C805" s="1" t="n">
        <v>45834</v>
      </c>
      <c r="D805" t="inlineStr">
        <is>
          <t>UPPSALA LÄN</t>
        </is>
      </c>
      <c r="E805" t="inlineStr">
        <is>
          <t>UPPSALA</t>
        </is>
      </c>
      <c r="F805" t="inlineStr">
        <is>
          <t>Bergvik skog öst AB</t>
        </is>
      </c>
      <c r="G805" t="n">
        <v>9.6</v>
      </c>
      <c r="H805" t="n">
        <v>0</v>
      </c>
      <c r="I805" t="n">
        <v>0</v>
      </c>
      <c r="J805" t="n">
        <v>0</v>
      </c>
      <c r="K805" t="n">
        <v>0</v>
      </c>
      <c r="L805" t="n">
        <v>0</v>
      </c>
      <c r="M805" t="n">
        <v>0</v>
      </c>
      <c r="N805" t="n">
        <v>0</v>
      </c>
      <c r="O805" t="n">
        <v>0</v>
      </c>
      <c r="P805" t="n">
        <v>0</v>
      </c>
      <c r="Q805" t="n">
        <v>0</v>
      </c>
      <c r="R805" s="2" t="inlineStr"/>
    </row>
    <row r="806" ht="15" customHeight="1">
      <c r="A806" t="inlineStr">
        <is>
          <t>A 30580-2022</t>
        </is>
      </c>
      <c r="B806" s="1" t="n">
        <v>44762</v>
      </c>
      <c r="C806" s="1" t="n">
        <v>45834</v>
      </c>
      <c r="D806" t="inlineStr">
        <is>
          <t>UPPSALA LÄN</t>
        </is>
      </c>
      <c r="E806" t="inlineStr">
        <is>
          <t>UPPSALA</t>
        </is>
      </c>
      <c r="F806" t="inlineStr">
        <is>
          <t>Bergvik skog öst AB</t>
        </is>
      </c>
      <c r="G806" t="n">
        <v>3.6</v>
      </c>
      <c r="H806" t="n">
        <v>0</v>
      </c>
      <c r="I806" t="n">
        <v>0</v>
      </c>
      <c r="J806" t="n">
        <v>0</v>
      </c>
      <c r="K806" t="n">
        <v>0</v>
      </c>
      <c r="L806" t="n">
        <v>0</v>
      </c>
      <c r="M806" t="n">
        <v>0</v>
      </c>
      <c r="N806" t="n">
        <v>0</v>
      </c>
      <c r="O806" t="n">
        <v>0</v>
      </c>
      <c r="P806" t="n">
        <v>0</v>
      </c>
      <c r="Q806" t="n">
        <v>0</v>
      </c>
      <c r="R806" s="2" t="inlineStr"/>
    </row>
    <row r="807" ht="15" customHeight="1">
      <c r="A807" t="inlineStr">
        <is>
          <t>A 30783-2022</t>
        </is>
      </c>
      <c r="B807" s="1" t="n">
        <v>44764</v>
      </c>
      <c r="C807" s="1" t="n">
        <v>45834</v>
      </c>
      <c r="D807" t="inlineStr">
        <is>
          <t>UPPSALA LÄN</t>
        </is>
      </c>
      <c r="E807" t="inlineStr">
        <is>
          <t>UPPSALA</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30775-2022</t>
        </is>
      </c>
      <c r="B808" s="1" t="n">
        <v>44764</v>
      </c>
      <c r="C808" s="1" t="n">
        <v>45834</v>
      </c>
      <c r="D808" t="inlineStr">
        <is>
          <t>UPPSALA LÄN</t>
        </is>
      </c>
      <c r="E808" t="inlineStr">
        <is>
          <t>UPPSALA</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31113-2022</t>
        </is>
      </c>
      <c r="B809" s="1" t="n">
        <v>44769</v>
      </c>
      <c r="C809" s="1" t="n">
        <v>45834</v>
      </c>
      <c r="D809" t="inlineStr">
        <is>
          <t>UPPSALA LÄN</t>
        </is>
      </c>
      <c r="E809" t="inlineStr">
        <is>
          <t>UPPSALA</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31263-2022</t>
        </is>
      </c>
      <c r="B810" s="1" t="n">
        <v>44771</v>
      </c>
      <c r="C810" s="1" t="n">
        <v>45834</v>
      </c>
      <c r="D810" t="inlineStr">
        <is>
          <t>UPPSALA LÄN</t>
        </is>
      </c>
      <c r="E810" t="inlineStr">
        <is>
          <t>UPPSALA</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31261-2022</t>
        </is>
      </c>
      <c r="B811" s="1" t="n">
        <v>44771</v>
      </c>
      <c r="C811" s="1" t="n">
        <v>45834</v>
      </c>
      <c r="D811" t="inlineStr">
        <is>
          <t>UPPSALA LÄN</t>
        </is>
      </c>
      <c r="E811" t="inlineStr">
        <is>
          <t>UPPSALA</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31249-2022</t>
        </is>
      </c>
      <c r="B812" s="1" t="n">
        <v>44771</v>
      </c>
      <c r="C812" s="1" t="n">
        <v>45834</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31253-2022</t>
        </is>
      </c>
      <c r="B813" s="1" t="n">
        <v>44771</v>
      </c>
      <c r="C813" s="1" t="n">
        <v>45834</v>
      </c>
      <c r="D813" t="inlineStr">
        <is>
          <t>UPPSALA LÄN</t>
        </is>
      </c>
      <c r="E813" t="inlineStr">
        <is>
          <t>UPPSALA</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32954-2022</t>
        </is>
      </c>
      <c r="B814" s="1" t="n">
        <v>44784</v>
      </c>
      <c r="C814" s="1" t="n">
        <v>45834</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45834</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33283-2022</t>
        </is>
      </c>
      <c r="B816" s="1" t="n">
        <v>44788</v>
      </c>
      <c r="C816" s="1" t="n">
        <v>45834</v>
      </c>
      <c r="D816" t="inlineStr">
        <is>
          <t>UPPSALA LÄN</t>
        </is>
      </c>
      <c r="E816" t="inlineStr">
        <is>
          <t>UPPSALA</t>
        </is>
      </c>
      <c r="G816" t="n">
        <v>20.2</v>
      </c>
      <c r="H816" t="n">
        <v>0</v>
      </c>
      <c r="I816" t="n">
        <v>0</v>
      </c>
      <c r="J816" t="n">
        <v>0</v>
      </c>
      <c r="K816" t="n">
        <v>0</v>
      </c>
      <c r="L816" t="n">
        <v>0</v>
      </c>
      <c r="M816" t="n">
        <v>0</v>
      </c>
      <c r="N816" t="n">
        <v>0</v>
      </c>
      <c r="O816" t="n">
        <v>0</v>
      </c>
      <c r="P816" t="n">
        <v>0</v>
      </c>
      <c r="Q816" t="n">
        <v>0</v>
      </c>
      <c r="R816" s="2" t="inlineStr"/>
    </row>
    <row r="817" ht="15" customHeight="1">
      <c r="A817" t="inlineStr">
        <is>
          <t>A 34061-2022</t>
        </is>
      </c>
      <c r="B817" s="1" t="n">
        <v>44791</v>
      </c>
      <c r="C817" s="1" t="n">
        <v>45834</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34770-2022</t>
        </is>
      </c>
      <c r="B818" s="1" t="n">
        <v>44795</v>
      </c>
      <c r="C818" s="1" t="n">
        <v>45834</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35212-2022</t>
        </is>
      </c>
      <c r="B819" s="1" t="n">
        <v>44797</v>
      </c>
      <c r="C819" s="1" t="n">
        <v>45834</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35411-2022</t>
        </is>
      </c>
      <c r="B820" s="1" t="n">
        <v>44798</v>
      </c>
      <c r="C820" s="1" t="n">
        <v>45834</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v>
      </c>
      <c r="C821" s="1" t="n">
        <v>45834</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35544-2022</t>
        </is>
      </c>
      <c r="B822" s="1" t="n">
        <v>44799</v>
      </c>
      <c r="C822" s="1" t="n">
        <v>45834</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v>
      </c>
      <c r="C823" s="1" t="n">
        <v>45834</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37187-2022</t>
        </is>
      </c>
      <c r="B824" s="1" t="n">
        <v>44806</v>
      </c>
      <c r="C824" s="1" t="n">
        <v>45834</v>
      </c>
      <c r="D824" t="inlineStr">
        <is>
          <t>UPPSALA LÄN</t>
        </is>
      </c>
      <c r="E824" t="inlineStr">
        <is>
          <t>UPPSALA</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37316-2022</t>
        </is>
      </c>
      <c r="B825" s="1" t="n">
        <v>44806</v>
      </c>
      <c r="C825" s="1" t="n">
        <v>45834</v>
      </c>
      <c r="D825" t="inlineStr">
        <is>
          <t>UPPSALA LÄN</t>
        </is>
      </c>
      <c r="E825" t="inlineStr">
        <is>
          <t>UPPSALA</t>
        </is>
      </c>
      <c r="G825" t="n">
        <v>10.6</v>
      </c>
      <c r="H825" t="n">
        <v>0</v>
      </c>
      <c r="I825" t="n">
        <v>0</v>
      </c>
      <c r="J825" t="n">
        <v>0</v>
      </c>
      <c r="K825" t="n">
        <v>0</v>
      </c>
      <c r="L825" t="n">
        <v>0</v>
      </c>
      <c r="M825" t="n">
        <v>0</v>
      </c>
      <c r="N825" t="n">
        <v>0</v>
      </c>
      <c r="O825" t="n">
        <v>0</v>
      </c>
      <c r="P825" t="n">
        <v>0</v>
      </c>
      <c r="Q825" t="n">
        <v>0</v>
      </c>
      <c r="R825" s="2" t="inlineStr"/>
    </row>
    <row r="826" ht="15" customHeight="1">
      <c r="A826" t="inlineStr">
        <is>
          <t>A 37188-2022</t>
        </is>
      </c>
      <c r="B826" s="1" t="n">
        <v>44806</v>
      </c>
      <c r="C826" s="1" t="n">
        <v>45834</v>
      </c>
      <c r="D826" t="inlineStr">
        <is>
          <t>UPPSALA LÄN</t>
        </is>
      </c>
      <c r="E826" t="inlineStr">
        <is>
          <t>UPPSALA</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37588-2022</t>
        </is>
      </c>
      <c r="B827" s="1" t="n">
        <v>44810</v>
      </c>
      <c r="C827" s="1" t="n">
        <v>45834</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37761-2022</t>
        </is>
      </c>
      <c r="B828" s="1" t="n">
        <v>44810</v>
      </c>
      <c r="C828" s="1" t="n">
        <v>45834</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45834</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38078-2022</t>
        </is>
      </c>
      <c r="B830" s="1" t="n">
        <v>44811</v>
      </c>
      <c r="C830" s="1" t="n">
        <v>45834</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38524-2022</t>
        </is>
      </c>
      <c r="B831" s="1" t="n">
        <v>44813</v>
      </c>
      <c r="C831" s="1" t="n">
        <v>45834</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38865-2022</t>
        </is>
      </c>
      <c r="B832" s="1" t="n">
        <v>44816</v>
      </c>
      <c r="C832" s="1" t="n">
        <v>45834</v>
      </c>
      <c r="D832" t="inlineStr">
        <is>
          <t>UPPSALA LÄN</t>
        </is>
      </c>
      <c r="E832" t="inlineStr">
        <is>
          <t>UPPSALA</t>
        </is>
      </c>
      <c r="G832" t="n">
        <v>14.6</v>
      </c>
      <c r="H832" t="n">
        <v>0</v>
      </c>
      <c r="I832" t="n">
        <v>0</v>
      </c>
      <c r="J832" t="n">
        <v>0</v>
      </c>
      <c r="K832" t="n">
        <v>0</v>
      </c>
      <c r="L832" t="n">
        <v>0</v>
      </c>
      <c r="M832" t="n">
        <v>0</v>
      </c>
      <c r="N832" t="n">
        <v>0</v>
      </c>
      <c r="O832" t="n">
        <v>0</v>
      </c>
      <c r="P832" t="n">
        <v>0</v>
      </c>
      <c r="Q832" t="n">
        <v>0</v>
      </c>
      <c r="R832" s="2" t="inlineStr"/>
    </row>
    <row r="833" ht="15" customHeight="1">
      <c r="A833" t="inlineStr">
        <is>
          <t>A 38892-2022</t>
        </is>
      </c>
      <c r="B833" s="1" t="n">
        <v>44816</v>
      </c>
      <c r="C833" s="1" t="n">
        <v>45834</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38909-2022</t>
        </is>
      </c>
      <c r="B834" s="1" t="n">
        <v>44816</v>
      </c>
      <c r="C834" s="1" t="n">
        <v>45834</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39148-2022</t>
        </is>
      </c>
      <c r="B835" s="1" t="n">
        <v>44816</v>
      </c>
      <c r="C835" s="1" t="n">
        <v>45834</v>
      </c>
      <c r="D835" t="inlineStr">
        <is>
          <t>UPPSALA LÄN</t>
        </is>
      </c>
      <c r="E835" t="inlineStr">
        <is>
          <t>UPPSALA</t>
        </is>
      </c>
      <c r="F835" t="inlineStr">
        <is>
          <t>Övriga statliga verk och myndigheter</t>
        </is>
      </c>
      <c r="G835" t="n">
        <v>1.7</v>
      </c>
      <c r="H835" t="n">
        <v>0</v>
      </c>
      <c r="I835" t="n">
        <v>0</v>
      </c>
      <c r="J835" t="n">
        <v>0</v>
      </c>
      <c r="K835" t="n">
        <v>0</v>
      </c>
      <c r="L835" t="n">
        <v>0</v>
      </c>
      <c r="M835" t="n">
        <v>0</v>
      </c>
      <c r="N835" t="n">
        <v>0</v>
      </c>
      <c r="O835" t="n">
        <v>0</v>
      </c>
      <c r="P835" t="n">
        <v>0</v>
      </c>
      <c r="Q835" t="n">
        <v>0</v>
      </c>
      <c r="R835" s="2" t="inlineStr"/>
    </row>
    <row r="836" ht="15" customHeight="1">
      <c r="A836" t="inlineStr">
        <is>
          <t>A 39144-2022</t>
        </is>
      </c>
      <c r="B836" s="1" t="n">
        <v>44816</v>
      </c>
      <c r="C836" s="1" t="n">
        <v>45834</v>
      </c>
      <c r="D836" t="inlineStr">
        <is>
          <t>UPPSALA LÄN</t>
        </is>
      </c>
      <c r="E836" t="inlineStr">
        <is>
          <t>UPPSALA</t>
        </is>
      </c>
      <c r="G836" t="n">
        <v>8.4</v>
      </c>
      <c r="H836" t="n">
        <v>0</v>
      </c>
      <c r="I836" t="n">
        <v>0</v>
      </c>
      <c r="J836" t="n">
        <v>0</v>
      </c>
      <c r="K836" t="n">
        <v>0</v>
      </c>
      <c r="L836" t="n">
        <v>0</v>
      </c>
      <c r="M836" t="n">
        <v>0</v>
      </c>
      <c r="N836" t="n">
        <v>0</v>
      </c>
      <c r="O836" t="n">
        <v>0</v>
      </c>
      <c r="P836" t="n">
        <v>0</v>
      </c>
      <c r="Q836" t="n">
        <v>0</v>
      </c>
      <c r="R836" s="2" t="inlineStr"/>
    </row>
    <row r="837" ht="15" customHeight="1">
      <c r="A837" t="inlineStr">
        <is>
          <t>A 39454-2022</t>
        </is>
      </c>
      <c r="B837" s="1" t="n">
        <v>44817</v>
      </c>
      <c r="C837" s="1" t="n">
        <v>45834</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45834</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39599-2022</t>
        </is>
      </c>
      <c r="B839" s="1" t="n">
        <v>44817</v>
      </c>
      <c r="C839" s="1" t="n">
        <v>45834</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39795-2022</t>
        </is>
      </c>
      <c r="B840" s="1" t="n">
        <v>44819</v>
      </c>
      <c r="C840" s="1" t="n">
        <v>45834</v>
      </c>
      <c r="D840" t="inlineStr">
        <is>
          <t>UPPSALA LÄN</t>
        </is>
      </c>
      <c r="E840" t="inlineStr">
        <is>
          <t>UPPSALA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39915-2022</t>
        </is>
      </c>
      <c r="B841" s="1" t="n">
        <v>44819</v>
      </c>
      <c r="C841" s="1" t="n">
        <v>45834</v>
      </c>
      <c r="D841" t="inlineStr">
        <is>
          <t>UPPSALA LÄN</t>
        </is>
      </c>
      <c r="E841" t="inlineStr">
        <is>
          <t>UPPSALA</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v>
      </c>
      <c r="C842" s="1" t="n">
        <v>45834</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40100-2022</t>
        </is>
      </c>
      <c r="B843" s="1" t="n">
        <v>44820</v>
      </c>
      <c r="C843" s="1" t="n">
        <v>45834</v>
      </c>
      <c r="D843" t="inlineStr">
        <is>
          <t>UPPSALA LÄN</t>
        </is>
      </c>
      <c r="E843" t="inlineStr">
        <is>
          <t>UPPSALA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42622-2022</t>
        </is>
      </c>
      <c r="B844" s="1" t="n">
        <v>44831</v>
      </c>
      <c r="C844" s="1" t="n">
        <v>45834</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v>
      </c>
      <c r="C845" s="1" t="n">
        <v>45834</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43032-2022</t>
        </is>
      </c>
      <c r="B846" s="1" t="n">
        <v>44832</v>
      </c>
      <c r="C846" s="1" t="n">
        <v>45834</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v>
      </c>
      <c r="C847" s="1" t="n">
        <v>45834</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44265-2022</t>
        </is>
      </c>
      <c r="B848" s="1" t="n">
        <v>44839</v>
      </c>
      <c r="C848" s="1" t="n">
        <v>45834</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44817-2022</t>
        </is>
      </c>
      <c r="B849" s="1" t="n">
        <v>44841</v>
      </c>
      <c r="C849" s="1" t="n">
        <v>45834</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45195-2022</t>
        </is>
      </c>
      <c r="B850" s="1" t="n">
        <v>44844</v>
      </c>
      <c r="C850" s="1" t="n">
        <v>45834</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45780-2022</t>
        </is>
      </c>
      <c r="B851" s="1" t="n">
        <v>44846</v>
      </c>
      <c r="C851" s="1" t="n">
        <v>45834</v>
      </c>
      <c r="D851" t="inlineStr">
        <is>
          <t>UPPSALA LÄN</t>
        </is>
      </c>
      <c r="E851" t="inlineStr">
        <is>
          <t>UPPSALA</t>
        </is>
      </c>
      <c r="G851" t="n">
        <v>5.8</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45834</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46077-2022</t>
        </is>
      </c>
      <c r="B853" s="1" t="n">
        <v>44847</v>
      </c>
      <c r="C853" s="1" t="n">
        <v>45834</v>
      </c>
      <c r="D853" t="inlineStr">
        <is>
          <t>UPPSALA LÄN</t>
        </is>
      </c>
      <c r="E853" t="inlineStr">
        <is>
          <t>UPPSALA</t>
        </is>
      </c>
      <c r="G853" t="n">
        <v>2.1</v>
      </c>
      <c r="H853" t="n">
        <v>0</v>
      </c>
      <c r="I853" t="n">
        <v>0</v>
      </c>
      <c r="J853" t="n">
        <v>0</v>
      </c>
      <c r="K853" t="n">
        <v>0</v>
      </c>
      <c r="L853" t="n">
        <v>0</v>
      </c>
      <c r="M853" t="n">
        <v>0</v>
      </c>
      <c r="N853" t="n">
        <v>0</v>
      </c>
      <c r="O853" t="n">
        <v>0</v>
      </c>
      <c r="P853" t="n">
        <v>0</v>
      </c>
      <c r="Q853" t="n">
        <v>0</v>
      </c>
      <c r="R853" s="2" t="inlineStr"/>
    </row>
    <row r="854" ht="15" customHeight="1">
      <c r="A854" t="inlineStr">
        <is>
          <t>A 46069-2022</t>
        </is>
      </c>
      <c r="B854" s="1" t="n">
        <v>44847</v>
      </c>
      <c r="C854" s="1" t="n">
        <v>45834</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46079-2022</t>
        </is>
      </c>
      <c r="B855" s="1" t="n">
        <v>44847</v>
      </c>
      <c r="C855" s="1" t="n">
        <v>45834</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46293-2022</t>
        </is>
      </c>
      <c r="B856" s="1" t="n">
        <v>44847</v>
      </c>
      <c r="C856" s="1" t="n">
        <v>45834</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46805-2022</t>
        </is>
      </c>
      <c r="B857" s="1" t="n">
        <v>44847</v>
      </c>
      <c r="C857" s="1" t="n">
        <v>45834</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46807-2022</t>
        </is>
      </c>
      <c r="B858" s="1" t="n">
        <v>44848</v>
      </c>
      <c r="C858" s="1" t="n">
        <v>45834</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46635-2022</t>
        </is>
      </c>
      <c r="B859" s="1" t="n">
        <v>44849</v>
      </c>
      <c r="C859" s="1" t="n">
        <v>45834</v>
      </c>
      <c r="D859" t="inlineStr">
        <is>
          <t>UPPSALA LÄN</t>
        </is>
      </c>
      <c r="E859" t="inlineStr">
        <is>
          <t>UPPSALA</t>
        </is>
      </c>
      <c r="G859" t="n">
        <v>3.4</v>
      </c>
      <c r="H859" t="n">
        <v>0</v>
      </c>
      <c r="I859" t="n">
        <v>0</v>
      </c>
      <c r="J859" t="n">
        <v>0</v>
      </c>
      <c r="K859" t="n">
        <v>0</v>
      </c>
      <c r="L859" t="n">
        <v>0</v>
      </c>
      <c r="M859" t="n">
        <v>0</v>
      </c>
      <c r="N859" t="n">
        <v>0</v>
      </c>
      <c r="O859" t="n">
        <v>0</v>
      </c>
      <c r="P859" t="n">
        <v>0</v>
      </c>
      <c r="Q859" t="n">
        <v>0</v>
      </c>
      <c r="R859" s="2" t="inlineStr"/>
    </row>
    <row r="860" ht="15" customHeight="1">
      <c r="A860" t="inlineStr">
        <is>
          <t>A 47413-2022</t>
        </is>
      </c>
      <c r="B860" s="1" t="n">
        <v>44853</v>
      </c>
      <c r="C860" s="1" t="n">
        <v>45834</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48686-2022</t>
        </is>
      </c>
      <c r="B861" s="1" t="n">
        <v>44859</v>
      </c>
      <c r="C861" s="1" t="n">
        <v>45834</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v>
      </c>
      <c r="C862" s="1" t="n">
        <v>45834</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48692-2022</t>
        </is>
      </c>
      <c r="B863" s="1" t="n">
        <v>44859</v>
      </c>
      <c r="C863" s="1" t="n">
        <v>45834</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48688-2022</t>
        </is>
      </c>
      <c r="B864" s="1" t="n">
        <v>44859</v>
      </c>
      <c r="C864" s="1" t="n">
        <v>45834</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50006-2022</t>
        </is>
      </c>
      <c r="B865" s="1" t="n">
        <v>44865</v>
      </c>
      <c r="C865" s="1" t="n">
        <v>45834</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45834</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50954-2022</t>
        </is>
      </c>
      <c r="B867" s="1" t="n">
        <v>44866</v>
      </c>
      <c r="C867" s="1" t="n">
        <v>45834</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45834</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51899-2022</t>
        </is>
      </c>
      <c r="B869" s="1" t="n">
        <v>44872</v>
      </c>
      <c r="C869" s="1" t="n">
        <v>45834</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45834</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54732-2022</t>
        </is>
      </c>
      <c r="B871" s="1" t="n">
        <v>44883</v>
      </c>
      <c r="C871" s="1" t="n">
        <v>45834</v>
      </c>
      <c r="D871" t="inlineStr">
        <is>
          <t>UPPSALA LÄN</t>
        </is>
      </c>
      <c r="E871" t="inlineStr">
        <is>
          <t>UPPSALA</t>
        </is>
      </c>
      <c r="F871" t="inlineStr">
        <is>
          <t>Övriga Aktiebolag</t>
        </is>
      </c>
      <c r="G871" t="n">
        <v>0.7</v>
      </c>
      <c r="H871" t="n">
        <v>0</v>
      </c>
      <c r="I871" t="n">
        <v>0</v>
      </c>
      <c r="J871" t="n">
        <v>0</v>
      </c>
      <c r="K871" t="n">
        <v>0</v>
      </c>
      <c r="L871" t="n">
        <v>0</v>
      </c>
      <c r="M871" t="n">
        <v>0</v>
      </c>
      <c r="N871" t="n">
        <v>0</v>
      </c>
      <c r="O871" t="n">
        <v>0</v>
      </c>
      <c r="P871" t="n">
        <v>0</v>
      </c>
      <c r="Q871" t="n">
        <v>0</v>
      </c>
      <c r="R871" s="2" t="inlineStr"/>
    </row>
    <row r="872" ht="15" customHeight="1">
      <c r="A872" t="inlineStr">
        <is>
          <t>A 54813-2022</t>
        </is>
      </c>
      <c r="B872" s="1" t="n">
        <v>44883</v>
      </c>
      <c r="C872" s="1" t="n">
        <v>45834</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55021-2022</t>
        </is>
      </c>
      <c r="B873" s="1" t="n">
        <v>44886</v>
      </c>
      <c r="C873" s="1" t="n">
        <v>45834</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55040-2022</t>
        </is>
      </c>
      <c r="B874" s="1" t="n">
        <v>44886</v>
      </c>
      <c r="C874" s="1" t="n">
        <v>45834</v>
      </c>
      <c r="D874" t="inlineStr">
        <is>
          <t>UPPSALA LÄN</t>
        </is>
      </c>
      <c r="E874" t="inlineStr">
        <is>
          <t>UPPSALA</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v>
      </c>
      <c r="C875" s="1" t="n">
        <v>45834</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v>
      </c>
      <c r="C876" s="1" t="n">
        <v>45834</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55401-2022</t>
        </is>
      </c>
      <c r="B877" s="1" t="n">
        <v>44887</v>
      </c>
      <c r="C877" s="1" t="n">
        <v>45834</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55862-2022</t>
        </is>
      </c>
      <c r="B878" s="1" t="n">
        <v>44888</v>
      </c>
      <c r="C878" s="1" t="n">
        <v>45834</v>
      </c>
      <c r="D878" t="inlineStr">
        <is>
          <t>UPPSALA LÄN</t>
        </is>
      </c>
      <c r="E878" t="inlineStr">
        <is>
          <t>UPPSALA</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56679-2022</t>
        </is>
      </c>
      <c r="B879" s="1" t="n">
        <v>44893</v>
      </c>
      <c r="C879" s="1" t="n">
        <v>45834</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56889-2022</t>
        </is>
      </c>
      <c r="B880" s="1" t="n">
        <v>44894</v>
      </c>
      <c r="C880" s="1" t="n">
        <v>45834</v>
      </c>
      <c r="D880" t="inlineStr">
        <is>
          <t>UPPSALA LÄN</t>
        </is>
      </c>
      <c r="E880" t="inlineStr">
        <is>
          <t>UPPSALA</t>
        </is>
      </c>
      <c r="F880" t="inlineStr">
        <is>
          <t>Övriga Aktiebolag</t>
        </is>
      </c>
      <c r="G880" t="n">
        <v>21.6</v>
      </c>
      <c r="H880" t="n">
        <v>0</v>
      </c>
      <c r="I880" t="n">
        <v>0</v>
      </c>
      <c r="J880" t="n">
        <v>0</v>
      </c>
      <c r="K880" t="n">
        <v>0</v>
      </c>
      <c r="L880" t="n">
        <v>0</v>
      </c>
      <c r="M880" t="n">
        <v>0</v>
      </c>
      <c r="N880" t="n">
        <v>0</v>
      </c>
      <c r="O880" t="n">
        <v>0</v>
      </c>
      <c r="P880" t="n">
        <v>0</v>
      </c>
      <c r="Q880" t="n">
        <v>0</v>
      </c>
      <c r="R880" s="2" t="inlineStr"/>
    </row>
    <row r="881" ht="15" customHeight="1">
      <c r="A881" t="inlineStr">
        <is>
          <t>A 56795-2022</t>
        </is>
      </c>
      <c r="B881" s="1" t="n">
        <v>44894</v>
      </c>
      <c r="C881" s="1" t="n">
        <v>45834</v>
      </c>
      <c r="D881" t="inlineStr">
        <is>
          <t>UPPSALA LÄN</t>
        </is>
      </c>
      <c r="E881" t="inlineStr">
        <is>
          <t>UPPSALA</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56779-2022</t>
        </is>
      </c>
      <c r="B882" s="1" t="n">
        <v>44894</v>
      </c>
      <c r="C882" s="1" t="n">
        <v>45834</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57495-2022</t>
        </is>
      </c>
      <c r="B883" s="1" t="n">
        <v>44896</v>
      </c>
      <c r="C883" s="1" t="n">
        <v>45834</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45834</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57809-2022</t>
        </is>
      </c>
      <c r="B885" s="1" t="n">
        <v>44897</v>
      </c>
      <c r="C885" s="1" t="n">
        <v>45834</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58023-2022</t>
        </is>
      </c>
      <c r="B886" s="1" t="n">
        <v>44900</v>
      </c>
      <c r="C886" s="1" t="n">
        <v>45834</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58096-2022</t>
        </is>
      </c>
      <c r="B887" s="1" t="n">
        <v>44900</v>
      </c>
      <c r="C887" s="1" t="n">
        <v>45834</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58243-2022</t>
        </is>
      </c>
      <c r="B888" s="1" t="n">
        <v>44901</v>
      </c>
      <c r="C888" s="1" t="n">
        <v>45834</v>
      </c>
      <c r="D888" t="inlineStr">
        <is>
          <t>UPPSALA LÄN</t>
        </is>
      </c>
      <c r="E888" t="inlineStr">
        <is>
          <t>UPPSALA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59133-2022</t>
        </is>
      </c>
      <c r="B889" s="1" t="n">
        <v>44904</v>
      </c>
      <c r="C889" s="1" t="n">
        <v>45834</v>
      </c>
      <c r="D889" t="inlineStr">
        <is>
          <t>UPPSALA LÄN</t>
        </is>
      </c>
      <c r="E889" t="inlineStr">
        <is>
          <t>UPPSALA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59730-2022</t>
        </is>
      </c>
      <c r="B890" s="1" t="n">
        <v>44908</v>
      </c>
      <c r="C890" s="1" t="n">
        <v>45834</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59719-2022</t>
        </is>
      </c>
      <c r="B891" s="1" t="n">
        <v>44908</v>
      </c>
      <c r="C891" s="1" t="n">
        <v>45834</v>
      </c>
      <c r="D891" t="inlineStr">
        <is>
          <t>UPPSALA LÄN</t>
        </is>
      </c>
      <c r="E891" t="inlineStr">
        <is>
          <t>UPPSALA</t>
        </is>
      </c>
      <c r="G891" t="n">
        <v>3.6</v>
      </c>
      <c r="H891" t="n">
        <v>0</v>
      </c>
      <c r="I891" t="n">
        <v>0</v>
      </c>
      <c r="J891" t="n">
        <v>0</v>
      </c>
      <c r="K891" t="n">
        <v>0</v>
      </c>
      <c r="L891" t="n">
        <v>0</v>
      </c>
      <c r="M891" t="n">
        <v>0</v>
      </c>
      <c r="N891" t="n">
        <v>0</v>
      </c>
      <c r="O891" t="n">
        <v>0</v>
      </c>
      <c r="P891" t="n">
        <v>0</v>
      </c>
      <c r="Q891" t="n">
        <v>0</v>
      </c>
      <c r="R891" s="2" t="inlineStr"/>
    </row>
    <row r="892" ht="15" customHeight="1">
      <c r="A892" t="inlineStr">
        <is>
          <t>A 59727-2022</t>
        </is>
      </c>
      <c r="B892" s="1" t="n">
        <v>44908</v>
      </c>
      <c r="C892" s="1" t="n">
        <v>45834</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60056-2022</t>
        </is>
      </c>
      <c r="B893" s="1" t="n">
        <v>44909</v>
      </c>
      <c r="C893" s="1" t="n">
        <v>45834</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60047-2022</t>
        </is>
      </c>
      <c r="B894" s="1" t="n">
        <v>44909</v>
      </c>
      <c r="C894" s="1" t="n">
        <v>45834</v>
      </c>
      <c r="D894" t="inlineStr">
        <is>
          <t>UPPSALA LÄN</t>
        </is>
      </c>
      <c r="E894" t="inlineStr">
        <is>
          <t>UPPSALA</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60702-2022</t>
        </is>
      </c>
      <c r="B895" s="1" t="n">
        <v>44912</v>
      </c>
      <c r="C895" s="1" t="n">
        <v>45834</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60701-2022</t>
        </is>
      </c>
      <c r="B896" s="1" t="n">
        <v>44912</v>
      </c>
      <c r="C896" s="1" t="n">
        <v>45834</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45834</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60986-2022</t>
        </is>
      </c>
      <c r="B898" s="1" t="n">
        <v>44914</v>
      </c>
      <c r="C898" s="1" t="n">
        <v>45834</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60988-2022</t>
        </is>
      </c>
      <c r="B899" s="1" t="n">
        <v>44914</v>
      </c>
      <c r="C899" s="1" t="n">
        <v>45834</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61526-2022</t>
        </is>
      </c>
      <c r="B900" s="1" t="n">
        <v>44916</v>
      </c>
      <c r="C900" s="1" t="n">
        <v>45834</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61578-2022</t>
        </is>
      </c>
      <c r="B901" s="1" t="n">
        <v>44916</v>
      </c>
      <c r="C901" s="1" t="n">
        <v>45834</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111-2023</t>
        </is>
      </c>
      <c r="B902" s="1" t="n">
        <v>44928</v>
      </c>
      <c r="C902" s="1" t="n">
        <v>45834</v>
      </c>
      <c r="D902" t="inlineStr">
        <is>
          <t>UPPSALA LÄN</t>
        </is>
      </c>
      <c r="E902" t="inlineStr">
        <is>
          <t>UPPSALA</t>
        </is>
      </c>
      <c r="F902" t="inlineStr">
        <is>
          <t>Kommuner</t>
        </is>
      </c>
      <c r="G902" t="n">
        <v>4.8</v>
      </c>
      <c r="H902" t="n">
        <v>0</v>
      </c>
      <c r="I902" t="n">
        <v>0</v>
      </c>
      <c r="J902" t="n">
        <v>0</v>
      </c>
      <c r="K902" t="n">
        <v>0</v>
      </c>
      <c r="L902" t="n">
        <v>0</v>
      </c>
      <c r="M902" t="n">
        <v>0</v>
      </c>
      <c r="N902" t="n">
        <v>0</v>
      </c>
      <c r="O902" t="n">
        <v>0</v>
      </c>
      <c r="P902" t="n">
        <v>0</v>
      </c>
      <c r="Q902" t="n">
        <v>0</v>
      </c>
      <c r="R902" s="2" t="inlineStr"/>
    </row>
    <row r="903" ht="15" customHeight="1">
      <c r="A903" t="inlineStr">
        <is>
          <t>A 179-2023</t>
        </is>
      </c>
      <c r="B903" s="1" t="n">
        <v>44928</v>
      </c>
      <c r="C903" s="1" t="n">
        <v>45834</v>
      </c>
      <c r="D903" t="inlineStr">
        <is>
          <t>UPPSALA LÄN</t>
        </is>
      </c>
      <c r="E903" t="inlineStr">
        <is>
          <t>UPPSALA</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367-2023</t>
        </is>
      </c>
      <c r="B904" s="1" t="n">
        <v>44929</v>
      </c>
      <c r="C904" s="1" t="n">
        <v>45834</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45834</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686-2023</t>
        </is>
      </c>
      <c r="B906" s="1" t="n">
        <v>44930</v>
      </c>
      <c r="C906" s="1" t="n">
        <v>45834</v>
      </c>
      <c r="D906" t="inlineStr">
        <is>
          <t>UPPSALA LÄN</t>
        </is>
      </c>
      <c r="E906" t="inlineStr">
        <is>
          <t>UPPSALA</t>
        </is>
      </c>
      <c r="F906" t="inlineStr">
        <is>
          <t>Bergvik skog öst AB</t>
        </is>
      </c>
      <c r="G906" t="n">
        <v>4.6</v>
      </c>
      <c r="H906" t="n">
        <v>0</v>
      </c>
      <c r="I906" t="n">
        <v>0</v>
      </c>
      <c r="J906" t="n">
        <v>0</v>
      </c>
      <c r="K906" t="n">
        <v>0</v>
      </c>
      <c r="L906" t="n">
        <v>0</v>
      </c>
      <c r="M906" t="n">
        <v>0</v>
      </c>
      <c r="N906" t="n">
        <v>0</v>
      </c>
      <c r="O906" t="n">
        <v>0</v>
      </c>
      <c r="P906" t="n">
        <v>0</v>
      </c>
      <c r="Q906" t="n">
        <v>0</v>
      </c>
      <c r="R906" s="2" t="inlineStr"/>
    </row>
    <row r="907" ht="15" customHeight="1">
      <c r="A907" t="inlineStr">
        <is>
          <t>A 1032-2023</t>
        </is>
      </c>
      <c r="B907" s="1" t="n">
        <v>44935</v>
      </c>
      <c r="C907" s="1" t="n">
        <v>45834</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1357-2023</t>
        </is>
      </c>
      <c r="B908" s="1" t="n">
        <v>44936</v>
      </c>
      <c r="C908" s="1" t="n">
        <v>45834</v>
      </c>
      <c r="D908" t="inlineStr">
        <is>
          <t>UPPSALA LÄN</t>
        </is>
      </c>
      <c r="E908" t="inlineStr">
        <is>
          <t>UPPSALA</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2186-2023</t>
        </is>
      </c>
      <c r="B909" s="1" t="n">
        <v>44942</v>
      </c>
      <c r="C909" s="1" t="n">
        <v>45834</v>
      </c>
      <c r="D909" t="inlineStr">
        <is>
          <t>UPPSALA LÄN</t>
        </is>
      </c>
      <c r="E909" t="inlineStr">
        <is>
          <t>UPPSALA</t>
        </is>
      </c>
      <c r="F909" t="inlineStr">
        <is>
          <t>Bergvik skog öst AB</t>
        </is>
      </c>
      <c r="G909" t="n">
        <v>2.5</v>
      </c>
      <c r="H909" t="n">
        <v>0</v>
      </c>
      <c r="I909" t="n">
        <v>0</v>
      </c>
      <c r="J909" t="n">
        <v>0</v>
      </c>
      <c r="K909" t="n">
        <v>0</v>
      </c>
      <c r="L909" t="n">
        <v>0</v>
      </c>
      <c r="M909" t="n">
        <v>0</v>
      </c>
      <c r="N909" t="n">
        <v>0</v>
      </c>
      <c r="O909" t="n">
        <v>0</v>
      </c>
      <c r="P909" t="n">
        <v>0</v>
      </c>
      <c r="Q909" t="n">
        <v>0</v>
      </c>
      <c r="R909" s="2" t="inlineStr"/>
    </row>
    <row r="910" ht="15" customHeight="1">
      <c r="A910" t="inlineStr">
        <is>
          <t>A 2622-2023</t>
        </is>
      </c>
      <c r="B910" s="1" t="n">
        <v>44944</v>
      </c>
      <c r="C910" s="1" t="n">
        <v>45834</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2624-2023</t>
        </is>
      </c>
      <c r="B911" s="1" t="n">
        <v>44944</v>
      </c>
      <c r="C911" s="1" t="n">
        <v>45834</v>
      </c>
      <c r="D911" t="inlineStr">
        <is>
          <t>UPPSALA LÄN</t>
        </is>
      </c>
      <c r="E911" t="inlineStr">
        <is>
          <t>UPPSALA</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5362-2023</t>
        </is>
      </c>
      <c r="B912" s="1" t="n">
        <v>44944</v>
      </c>
      <c r="C912" s="1" t="n">
        <v>45834</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3214-2023</t>
        </is>
      </c>
      <c r="B913" s="1" t="n">
        <v>44944</v>
      </c>
      <c r="C913" s="1" t="n">
        <v>45834</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5374-2023</t>
        </is>
      </c>
      <c r="B914" s="1" t="n">
        <v>44944</v>
      </c>
      <c r="C914" s="1" t="n">
        <v>45834</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2942-2023</t>
        </is>
      </c>
      <c r="B915" s="1" t="n">
        <v>44945</v>
      </c>
      <c r="C915" s="1" t="n">
        <v>45834</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3040-2023</t>
        </is>
      </c>
      <c r="B916" s="1" t="n">
        <v>44946</v>
      </c>
      <c r="C916" s="1" t="n">
        <v>45834</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3089-2023</t>
        </is>
      </c>
      <c r="B917" s="1" t="n">
        <v>44946</v>
      </c>
      <c r="C917" s="1" t="n">
        <v>45834</v>
      </c>
      <c r="D917" t="inlineStr">
        <is>
          <t>UPPSALA LÄN</t>
        </is>
      </c>
      <c r="E917" t="inlineStr">
        <is>
          <t>UPPSALA</t>
        </is>
      </c>
      <c r="G917" t="n">
        <v>3.7</v>
      </c>
      <c r="H917" t="n">
        <v>0</v>
      </c>
      <c r="I917" t="n">
        <v>0</v>
      </c>
      <c r="J917" t="n">
        <v>0</v>
      </c>
      <c r="K917" t="n">
        <v>0</v>
      </c>
      <c r="L917" t="n">
        <v>0</v>
      </c>
      <c r="M917" t="n">
        <v>0</v>
      </c>
      <c r="N917" t="n">
        <v>0</v>
      </c>
      <c r="O917" t="n">
        <v>0</v>
      </c>
      <c r="P917" t="n">
        <v>0</v>
      </c>
      <c r="Q917" t="n">
        <v>0</v>
      </c>
      <c r="R917" s="2" t="inlineStr"/>
    </row>
    <row r="918" ht="15" customHeight="1">
      <c r="A918" t="inlineStr">
        <is>
          <t>A 3086-2023</t>
        </is>
      </c>
      <c r="B918" s="1" t="n">
        <v>44946</v>
      </c>
      <c r="C918" s="1" t="n">
        <v>45834</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3092-2023</t>
        </is>
      </c>
      <c r="B919" s="1" t="n">
        <v>44946</v>
      </c>
      <c r="C919" s="1" t="n">
        <v>45834</v>
      </c>
      <c r="D919" t="inlineStr">
        <is>
          <t>UPPSALA LÄN</t>
        </is>
      </c>
      <c r="E919" t="inlineStr">
        <is>
          <t>UPPSALA</t>
        </is>
      </c>
      <c r="G919" t="n">
        <v>2.7</v>
      </c>
      <c r="H919" t="n">
        <v>0</v>
      </c>
      <c r="I919" t="n">
        <v>0</v>
      </c>
      <c r="J919" t="n">
        <v>0</v>
      </c>
      <c r="K919" t="n">
        <v>0</v>
      </c>
      <c r="L919" t="n">
        <v>0</v>
      </c>
      <c r="M919" t="n">
        <v>0</v>
      </c>
      <c r="N919" t="n">
        <v>0</v>
      </c>
      <c r="O919" t="n">
        <v>0</v>
      </c>
      <c r="P919" t="n">
        <v>0</v>
      </c>
      <c r="Q919" t="n">
        <v>0</v>
      </c>
      <c r="R919" s="2" t="inlineStr"/>
    </row>
    <row r="920" ht="15" customHeight="1">
      <c r="A920" t="inlineStr">
        <is>
          <t>A 3343-2023</t>
        </is>
      </c>
      <c r="B920" s="1" t="n">
        <v>44949</v>
      </c>
      <c r="C920" s="1" t="n">
        <v>45834</v>
      </c>
      <c r="D920" t="inlineStr">
        <is>
          <t>UPPSALA LÄN</t>
        </is>
      </c>
      <c r="E920" t="inlineStr">
        <is>
          <t>UPPSALA</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3353-2023</t>
        </is>
      </c>
      <c r="B921" s="1" t="n">
        <v>44949</v>
      </c>
      <c r="C921" s="1" t="n">
        <v>45834</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3661-2023</t>
        </is>
      </c>
      <c r="B922" s="1" t="n">
        <v>44950</v>
      </c>
      <c r="C922" s="1" t="n">
        <v>45834</v>
      </c>
      <c r="D922" t="inlineStr">
        <is>
          <t>UPPSALA LÄN</t>
        </is>
      </c>
      <c r="E922" t="inlineStr">
        <is>
          <t>UPPSALA</t>
        </is>
      </c>
      <c r="F922" t="inlineStr">
        <is>
          <t>Allmännings- och besparingsskogar</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3940-2023</t>
        </is>
      </c>
      <c r="B923" s="1" t="n">
        <v>44952</v>
      </c>
      <c r="C923" s="1" t="n">
        <v>45834</v>
      </c>
      <c r="D923" t="inlineStr">
        <is>
          <t>UPPSALA LÄN</t>
        </is>
      </c>
      <c r="E923" t="inlineStr">
        <is>
          <t>UPPSALA</t>
        </is>
      </c>
      <c r="F923" t="inlineStr">
        <is>
          <t>Bergvik skog öst AB</t>
        </is>
      </c>
      <c r="G923" t="n">
        <v>20.6</v>
      </c>
      <c r="H923" t="n">
        <v>0</v>
      </c>
      <c r="I923" t="n">
        <v>0</v>
      </c>
      <c r="J923" t="n">
        <v>0</v>
      </c>
      <c r="K923" t="n">
        <v>0</v>
      </c>
      <c r="L923" t="n">
        <v>0</v>
      </c>
      <c r="M923" t="n">
        <v>0</v>
      </c>
      <c r="N923" t="n">
        <v>0</v>
      </c>
      <c r="O923" t="n">
        <v>0</v>
      </c>
      <c r="P923" t="n">
        <v>0</v>
      </c>
      <c r="Q923" t="n">
        <v>0</v>
      </c>
      <c r="R923" s="2" t="inlineStr"/>
    </row>
    <row r="924" ht="15" customHeight="1">
      <c r="A924" t="inlineStr">
        <is>
          <t>A 3939-2023</t>
        </is>
      </c>
      <c r="B924" s="1" t="n">
        <v>44952</v>
      </c>
      <c r="C924" s="1" t="n">
        <v>45834</v>
      </c>
      <c r="D924" t="inlineStr">
        <is>
          <t>UPPSALA LÄN</t>
        </is>
      </c>
      <c r="E924" t="inlineStr">
        <is>
          <t>UPPSALA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5254-2023</t>
        </is>
      </c>
      <c r="B925" s="1" t="n">
        <v>44959</v>
      </c>
      <c r="C925" s="1" t="n">
        <v>45834</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5258-2023</t>
        </is>
      </c>
      <c r="B926" s="1" t="n">
        <v>44959</v>
      </c>
      <c r="C926" s="1" t="n">
        <v>45834</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5247-2023</t>
        </is>
      </c>
      <c r="B927" s="1" t="n">
        <v>44959</v>
      </c>
      <c r="C927" s="1" t="n">
        <v>45834</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5678-2023</t>
        </is>
      </c>
      <c r="B928" s="1" t="n">
        <v>44960</v>
      </c>
      <c r="C928" s="1" t="n">
        <v>45834</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5682-2023</t>
        </is>
      </c>
      <c r="B929" s="1" t="n">
        <v>44960</v>
      </c>
      <c r="C929" s="1" t="n">
        <v>45834</v>
      </c>
      <c r="D929" t="inlineStr">
        <is>
          <t>UPPSALA LÄN</t>
        </is>
      </c>
      <c r="E929" t="inlineStr">
        <is>
          <t>UPPSALA</t>
        </is>
      </c>
      <c r="F929" t="inlineStr">
        <is>
          <t>Allmännings- och besparingsskogar</t>
        </is>
      </c>
      <c r="G929" t="n">
        <v>14.2</v>
      </c>
      <c r="H929" t="n">
        <v>0</v>
      </c>
      <c r="I929" t="n">
        <v>0</v>
      </c>
      <c r="J929" t="n">
        <v>0</v>
      </c>
      <c r="K929" t="n">
        <v>0</v>
      </c>
      <c r="L929" t="n">
        <v>0</v>
      </c>
      <c r="M929" t="n">
        <v>0</v>
      </c>
      <c r="N929" t="n">
        <v>0</v>
      </c>
      <c r="O929" t="n">
        <v>0</v>
      </c>
      <c r="P929" t="n">
        <v>0</v>
      </c>
      <c r="Q929" t="n">
        <v>0</v>
      </c>
      <c r="R929" s="2" t="inlineStr"/>
    </row>
    <row r="930" ht="15" customHeight="1">
      <c r="A930" t="inlineStr">
        <is>
          <t>A 5663-2023</t>
        </is>
      </c>
      <c r="B930" s="1" t="n">
        <v>44960</v>
      </c>
      <c r="C930" s="1" t="n">
        <v>45834</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5669-2023</t>
        </is>
      </c>
      <c r="B931" s="1" t="n">
        <v>44960</v>
      </c>
      <c r="C931" s="1" t="n">
        <v>45834</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5675-2023</t>
        </is>
      </c>
      <c r="B932" s="1" t="n">
        <v>44960</v>
      </c>
      <c r="C932" s="1" t="n">
        <v>45834</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6213-2023</t>
        </is>
      </c>
      <c r="B933" s="1" t="n">
        <v>44964</v>
      </c>
      <c r="C933" s="1" t="n">
        <v>45834</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6155-2023</t>
        </is>
      </c>
      <c r="B934" s="1" t="n">
        <v>44964</v>
      </c>
      <c r="C934" s="1" t="n">
        <v>45834</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6215-2023</t>
        </is>
      </c>
      <c r="B935" s="1" t="n">
        <v>44964</v>
      </c>
      <c r="C935" s="1" t="n">
        <v>45834</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6422-2023</t>
        </is>
      </c>
      <c r="B936" s="1" t="n">
        <v>44965</v>
      </c>
      <c r="C936" s="1" t="n">
        <v>45834</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6423-2023</t>
        </is>
      </c>
      <c r="B937" s="1" t="n">
        <v>44965</v>
      </c>
      <c r="C937" s="1" t="n">
        <v>45834</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6602-2023</t>
        </is>
      </c>
      <c r="B938" s="1" t="n">
        <v>44966</v>
      </c>
      <c r="C938" s="1" t="n">
        <v>45834</v>
      </c>
      <c r="D938" t="inlineStr">
        <is>
          <t>UPPSALA LÄN</t>
        </is>
      </c>
      <c r="E938" t="inlineStr">
        <is>
          <t>UPPSALA</t>
        </is>
      </c>
      <c r="F938" t="inlineStr">
        <is>
          <t>Allmännings- och besparingsskogar</t>
        </is>
      </c>
      <c r="G938" t="n">
        <v>20.2</v>
      </c>
      <c r="H938" t="n">
        <v>0</v>
      </c>
      <c r="I938" t="n">
        <v>0</v>
      </c>
      <c r="J938" t="n">
        <v>0</v>
      </c>
      <c r="K938" t="n">
        <v>0</v>
      </c>
      <c r="L938" t="n">
        <v>0</v>
      </c>
      <c r="M938" t="n">
        <v>0</v>
      </c>
      <c r="N938" t="n">
        <v>0</v>
      </c>
      <c r="O938" t="n">
        <v>0</v>
      </c>
      <c r="P938" t="n">
        <v>0</v>
      </c>
      <c r="Q938" t="n">
        <v>0</v>
      </c>
      <c r="R938" s="2" t="inlineStr"/>
    </row>
    <row r="939" ht="15" customHeight="1">
      <c r="A939" t="inlineStr">
        <is>
          <t>A 6749-2023</t>
        </is>
      </c>
      <c r="B939" s="1" t="n">
        <v>44966</v>
      </c>
      <c r="C939" s="1" t="n">
        <v>45834</v>
      </c>
      <c r="D939" t="inlineStr">
        <is>
          <t>UPPSALA LÄN</t>
        </is>
      </c>
      <c r="E939" t="inlineStr">
        <is>
          <t>UPPSALA</t>
        </is>
      </c>
      <c r="F939" t="inlineStr">
        <is>
          <t>Allmännings- och besparingsskogar</t>
        </is>
      </c>
      <c r="G939" t="n">
        <v>13.5</v>
      </c>
      <c r="H939" t="n">
        <v>0</v>
      </c>
      <c r="I939" t="n">
        <v>0</v>
      </c>
      <c r="J939" t="n">
        <v>0</v>
      </c>
      <c r="K939" t="n">
        <v>0</v>
      </c>
      <c r="L939" t="n">
        <v>0</v>
      </c>
      <c r="M939" t="n">
        <v>0</v>
      </c>
      <c r="N939" t="n">
        <v>0</v>
      </c>
      <c r="O939" t="n">
        <v>0</v>
      </c>
      <c r="P939" t="n">
        <v>0</v>
      </c>
      <c r="Q939" t="n">
        <v>0</v>
      </c>
      <c r="R939" s="2" t="inlineStr"/>
    </row>
    <row r="940" ht="15" customHeight="1">
      <c r="A940" t="inlineStr">
        <is>
          <t>A 6930-2023</t>
        </is>
      </c>
      <c r="B940" s="1" t="n">
        <v>44967</v>
      </c>
      <c r="C940" s="1" t="n">
        <v>45834</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7000-2023</t>
        </is>
      </c>
      <c r="B941" s="1" t="n">
        <v>44967</v>
      </c>
      <c r="C941" s="1" t="n">
        <v>45834</v>
      </c>
      <c r="D941" t="inlineStr">
        <is>
          <t>UPPSALA LÄN</t>
        </is>
      </c>
      <c r="E941" t="inlineStr">
        <is>
          <t>UPPSALA</t>
        </is>
      </c>
      <c r="G941" t="n">
        <v>7.1</v>
      </c>
      <c r="H941" t="n">
        <v>0</v>
      </c>
      <c r="I941" t="n">
        <v>0</v>
      </c>
      <c r="J941" t="n">
        <v>0</v>
      </c>
      <c r="K941" t="n">
        <v>0</v>
      </c>
      <c r="L941" t="n">
        <v>0</v>
      </c>
      <c r="M941" t="n">
        <v>0</v>
      </c>
      <c r="N941" t="n">
        <v>0</v>
      </c>
      <c r="O941" t="n">
        <v>0</v>
      </c>
      <c r="P941" t="n">
        <v>0</v>
      </c>
      <c r="Q941" t="n">
        <v>0</v>
      </c>
      <c r="R941" s="2" t="inlineStr"/>
    </row>
    <row r="942" ht="15" customHeight="1">
      <c r="A942" t="inlineStr">
        <is>
          <t>A 6999-2023</t>
        </is>
      </c>
      <c r="B942" s="1" t="n">
        <v>44967</v>
      </c>
      <c r="C942" s="1" t="n">
        <v>45834</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6997-2023</t>
        </is>
      </c>
      <c r="B943" s="1" t="n">
        <v>44967</v>
      </c>
      <c r="C943" s="1" t="n">
        <v>45834</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7001-2023</t>
        </is>
      </c>
      <c r="B944" s="1" t="n">
        <v>44967</v>
      </c>
      <c r="C944" s="1" t="n">
        <v>45834</v>
      </c>
      <c r="D944" t="inlineStr">
        <is>
          <t>UPPSALA LÄN</t>
        </is>
      </c>
      <c r="E944" t="inlineStr">
        <is>
          <t>UPPSALA</t>
        </is>
      </c>
      <c r="G944" t="n">
        <v>4.3</v>
      </c>
      <c r="H944" t="n">
        <v>0</v>
      </c>
      <c r="I944" t="n">
        <v>0</v>
      </c>
      <c r="J944" t="n">
        <v>0</v>
      </c>
      <c r="K944" t="n">
        <v>0</v>
      </c>
      <c r="L944" t="n">
        <v>0</v>
      </c>
      <c r="M944" t="n">
        <v>0</v>
      </c>
      <c r="N944" t="n">
        <v>0</v>
      </c>
      <c r="O944" t="n">
        <v>0</v>
      </c>
      <c r="P944" t="n">
        <v>0</v>
      </c>
      <c r="Q944" t="n">
        <v>0</v>
      </c>
      <c r="R944" s="2" t="inlineStr"/>
    </row>
    <row r="945" ht="15" customHeight="1">
      <c r="A945" t="inlineStr">
        <is>
          <t>A 7002-2023</t>
        </is>
      </c>
      <c r="B945" s="1" t="n">
        <v>44967</v>
      </c>
      <c r="C945" s="1" t="n">
        <v>45834</v>
      </c>
      <c r="D945" t="inlineStr">
        <is>
          <t>UPPSALA LÄN</t>
        </is>
      </c>
      <c r="E945" t="inlineStr">
        <is>
          <t>UPPSALA</t>
        </is>
      </c>
      <c r="G945" t="n">
        <v>5</v>
      </c>
      <c r="H945" t="n">
        <v>0</v>
      </c>
      <c r="I945" t="n">
        <v>0</v>
      </c>
      <c r="J945" t="n">
        <v>0</v>
      </c>
      <c r="K945" t="n">
        <v>0</v>
      </c>
      <c r="L945" t="n">
        <v>0</v>
      </c>
      <c r="M945" t="n">
        <v>0</v>
      </c>
      <c r="N945" t="n">
        <v>0</v>
      </c>
      <c r="O945" t="n">
        <v>0</v>
      </c>
      <c r="P945" t="n">
        <v>0</v>
      </c>
      <c r="Q945" t="n">
        <v>0</v>
      </c>
      <c r="R945" s="2" t="inlineStr"/>
    </row>
    <row r="946" ht="15" customHeight="1">
      <c r="A946" t="inlineStr">
        <is>
          <t>A 7611-2023</t>
        </is>
      </c>
      <c r="B946" s="1" t="n">
        <v>44967</v>
      </c>
      <c r="C946" s="1" t="n">
        <v>45834</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7607-2023</t>
        </is>
      </c>
      <c r="B947" s="1" t="n">
        <v>44967</v>
      </c>
      <c r="C947" s="1" t="n">
        <v>45834</v>
      </c>
      <c r="D947" t="inlineStr">
        <is>
          <t>UPPSALA LÄN</t>
        </is>
      </c>
      <c r="E947" t="inlineStr">
        <is>
          <t>UPPSALA</t>
        </is>
      </c>
      <c r="G947" t="n">
        <v>11.1</v>
      </c>
      <c r="H947" t="n">
        <v>0</v>
      </c>
      <c r="I947" t="n">
        <v>0</v>
      </c>
      <c r="J947" t="n">
        <v>0</v>
      </c>
      <c r="K947" t="n">
        <v>0</v>
      </c>
      <c r="L947" t="n">
        <v>0</v>
      </c>
      <c r="M947" t="n">
        <v>0</v>
      </c>
      <c r="N947" t="n">
        <v>0</v>
      </c>
      <c r="O947" t="n">
        <v>0</v>
      </c>
      <c r="P947" t="n">
        <v>0</v>
      </c>
      <c r="Q947" t="n">
        <v>0</v>
      </c>
      <c r="R947" s="2" t="inlineStr"/>
    </row>
    <row r="948" ht="15" customHeight="1">
      <c r="A948" t="inlineStr">
        <is>
          <t>A 7058-2023</t>
        </is>
      </c>
      <c r="B948" s="1" t="n">
        <v>44969</v>
      </c>
      <c r="C948" s="1" t="n">
        <v>45834</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7084-2023</t>
        </is>
      </c>
      <c r="B949" s="1" t="n">
        <v>44970</v>
      </c>
      <c r="C949" s="1" t="n">
        <v>45834</v>
      </c>
      <c r="D949" t="inlineStr">
        <is>
          <t>UPPSALA LÄN</t>
        </is>
      </c>
      <c r="E949" t="inlineStr">
        <is>
          <t>UPPSALA</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8384-2023</t>
        </is>
      </c>
      <c r="B950" s="1" t="n">
        <v>44971</v>
      </c>
      <c r="C950" s="1" t="n">
        <v>45834</v>
      </c>
      <c r="D950" t="inlineStr">
        <is>
          <t>UPPSALA LÄN</t>
        </is>
      </c>
      <c r="E950" t="inlineStr">
        <is>
          <t>UPPSALA</t>
        </is>
      </c>
      <c r="G950" t="n">
        <v>4</v>
      </c>
      <c r="H950" t="n">
        <v>0</v>
      </c>
      <c r="I950" t="n">
        <v>0</v>
      </c>
      <c r="J950" t="n">
        <v>0</v>
      </c>
      <c r="K950" t="n">
        <v>0</v>
      </c>
      <c r="L950" t="n">
        <v>0</v>
      </c>
      <c r="M950" t="n">
        <v>0</v>
      </c>
      <c r="N950" t="n">
        <v>0</v>
      </c>
      <c r="O950" t="n">
        <v>0</v>
      </c>
      <c r="P950" t="n">
        <v>0</v>
      </c>
      <c r="Q950" t="n">
        <v>0</v>
      </c>
      <c r="R950" s="2" t="inlineStr"/>
    </row>
    <row r="951" ht="15" customHeight="1">
      <c r="A951" t="inlineStr">
        <is>
          <t>A 8286-2023</t>
        </is>
      </c>
      <c r="B951" s="1" t="n">
        <v>44971</v>
      </c>
      <c r="C951" s="1" t="n">
        <v>45834</v>
      </c>
      <c r="D951" t="inlineStr">
        <is>
          <t>UPPSALA LÄN</t>
        </is>
      </c>
      <c r="E951" t="inlineStr">
        <is>
          <t>UPPSALA</t>
        </is>
      </c>
      <c r="G951" t="n">
        <v>9</v>
      </c>
      <c r="H951" t="n">
        <v>0</v>
      </c>
      <c r="I951" t="n">
        <v>0</v>
      </c>
      <c r="J951" t="n">
        <v>0</v>
      </c>
      <c r="K951" t="n">
        <v>0</v>
      </c>
      <c r="L951" t="n">
        <v>0</v>
      </c>
      <c r="M951" t="n">
        <v>0</v>
      </c>
      <c r="N951" t="n">
        <v>0</v>
      </c>
      <c r="O951" t="n">
        <v>0</v>
      </c>
      <c r="P951" t="n">
        <v>0</v>
      </c>
      <c r="Q951" t="n">
        <v>0</v>
      </c>
      <c r="R951" s="2" t="inlineStr"/>
    </row>
    <row r="952" ht="15" customHeight="1">
      <c r="A952" t="inlineStr">
        <is>
          <t>A 7577-2023</t>
        </is>
      </c>
      <c r="B952" s="1" t="n">
        <v>44972</v>
      </c>
      <c r="C952" s="1" t="n">
        <v>45834</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7663-2023</t>
        </is>
      </c>
      <c r="B953" s="1" t="n">
        <v>44972</v>
      </c>
      <c r="C953" s="1" t="n">
        <v>45834</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7894-2023</t>
        </is>
      </c>
      <c r="B954" s="1" t="n">
        <v>44973</v>
      </c>
      <c r="C954" s="1" t="n">
        <v>45834</v>
      </c>
      <c r="D954" t="inlineStr">
        <is>
          <t>UPPSALA LÄN</t>
        </is>
      </c>
      <c r="E954" t="inlineStr">
        <is>
          <t>UPPSALA</t>
        </is>
      </c>
      <c r="G954" t="n">
        <v>4.4</v>
      </c>
      <c r="H954" t="n">
        <v>0</v>
      </c>
      <c r="I954" t="n">
        <v>0</v>
      </c>
      <c r="J954" t="n">
        <v>0</v>
      </c>
      <c r="K954" t="n">
        <v>0</v>
      </c>
      <c r="L954" t="n">
        <v>0</v>
      </c>
      <c r="M954" t="n">
        <v>0</v>
      </c>
      <c r="N954" t="n">
        <v>0</v>
      </c>
      <c r="O954" t="n">
        <v>0</v>
      </c>
      <c r="P954" t="n">
        <v>0</v>
      </c>
      <c r="Q954" t="n">
        <v>0</v>
      </c>
      <c r="R954" s="2" t="inlineStr"/>
    </row>
    <row r="955" ht="15" customHeight="1">
      <c r="A955" t="inlineStr">
        <is>
          <t>A 8162-2023</t>
        </is>
      </c>
      <c r="B955" s="1" t="n">
        <v>44974</v>
      </c>
      <c r="C955" s="1" t="n">
        <v>45834</v>
      </c>
      <c r="D955" t="inlineStr">
        <is>
          <t>UPPSALA LÄN</t>
        </is>
      </c>
      <c r="E955" t="inlineStr">
        <is>
          <t>UPPSALA</t>
        </is>
      </c>
      <c r="G955" t="n">
        <v>3.9</v>
      </c>
      <c r="H955" t="n">
        <v>0</v>
      </c>
      <c r="I955" t="n">
        <v>0</v>
      </c>
      <c r="J955" t="n">
        <v>0</v>
      </c>
      <c r="K955" t="n">
        <v>0</v>
      </c>
      <c r="L955" t="n">
        <v>0</v>
      </c>
      <c r="M955" t="n">
        <v>0</v>
      </c>
      <c r="N955" t="n">
        <v>0</v>
      </c>
      <c r="O955" t="n">
        <v>0</v>
      </c>
      <c r="P955" t="n">
        <v>0</v>
      </c>
      <c r="Q955" t="n">
        <v>0</v>
      </c>
      <c r="R955" s="2" t="inlineStr"/>
    </row>
    <row r="956" ht="15" customHeight="1">
      <c r="A956" t="inlineStr">
        <is>
          <t>A 8473-2023</t>
        </is>
      </c>
      <c r="B956" s="1" t="n">
        <v>44977</v>
      </c>
      <c r="C956" s="1" t="n">
        <v>45834</v>
      </c>
      <c r="D956" t="inlineStr">
        <is>
          <t>UPPSALA LÄN</t>
        </is>
      </c>
      <c r="E956" t="inlineStr">
        <is>
          <t>UPPSALA</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9426-2023</t>
        </is>
      </c>
      <c r="B957" s="1" t="n">
        <v>44977</v>
      </c>
      <c r="C957" s="1" t="n">
        <v>45834</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45834</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9295-2023</t>
        </is>
      </c>
      <c r="B959" s="1" t="n">
        <v>44980</v>
      </c>
      <c r="C959" s="1" t="n">
        <v>45834</v>
      </c>
      <c r="D959" t="inlineStr">
        <is>
          <t>UPPSALA LÄN</t>
        </is>
      </c>
      <c r="E959" t="inlineStr">
        <is>
          <t>UPPSALA</t>
        </is>
      </c>
      <c r="G959" t="n">
        <v>2.1</v>
      </c>
      <c r="H959" t="n">
        <v>0</v>
      </c>
      <c r="I959" t="n">
        <v>0</v>
      </c>
      <c r="J959" t="n">
        <v>0</v>
      </c>
      <c r="K959" t="n">
        <v>0</v>
      </c>
      <c r="L959" t="n">
        <v>0</v>
      </c>
      <c r="M959" t="n">
        <v>0</v>
      </c>
      <c r="N959" t="n">
        <v>0</v>
      </c>
      <c r="O959" t="n">
        <v>0</v>
      </c>
      <c r="P959" t="n">
        <v>0</v>
      </c>
      <c r="Q959" t="n">
        <v>0</v>
      </c>
      <c r="R959" s="2" t="inlineStr"/>
    </row>
    <row r="960" ht="15" customHeight="1">
      <c r="A960" t="inlineStr">
        <is>
          <t>A 9261-2023</t>
        </is>
      </c>
      <c r="B960" s="1" t="n">
        <v>44980</v>
      </c>
      <c r="C960" s="1" t="n">
        <v>45834</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9291-2023</t>
        </is>
      </c>
      <c r="B961" s="1" t="n">
        <v>44980</v>
      </c>
      <c r="C961" s="1" t="n">
        <v>45834</v>
      </c>
      <c r="D961" t="inlineStr">
        <is>
          <t>UPPSALA LÄN</t>
        </is>
      </c>
      <c r="E961" t="inlineStr">
        <is>
          <t>UPPSALA</t>
        </is>
      </c>
      <c r="G961" t="n">
        <v>12.9</v>
      </c>
      <c r="H961" t="n">
        <v>0</v>
      </c>
      <c r="I961" t="n">
        <v>0</v>
      </c>
      <c r="J961" t="n">
        <v>0</v>
      </c>
      <c r="K961" t="n">
        <v>0</v>
      </c>
      <c r="L961" t="n">
        <v>0</v>
      </c>
      <c r="M961" t="n">
        <v>0</v>
      </c>
      <c r="N961" t="n">
        <v>0</v>
      </c>
      <c r="O961" t="n">
        <v>0</v>
      </c>
      <c r="P961" t="n">
        <v>0</v>
      </c>
      <c r="Q961" t="n">
        <v>0</v>
      </c>
      <c r="R961" s="2" t="inlineStr"/>
    </row>
    <row r="962" ht="15" customHeight="1">
      <c r="A962" t="inlineStr">
        <is>
          <t>A 9313-2023</t>
        </is>
      </c>
      <c r="B962" s="1" t="n">
        <v>44980</v>
      </c>
      <c r="C962" s="1" t="n">
        <v>45834</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9817-2023</t>
        </is>
      </c>
      <c r="B963" s="1" t="n">
        <v>44984</v>
      </c>
      <c r="C963" s="1" t="n">
        <v>45834</v>
      </c>
      <c r="D963" t="inlineStr">
        <is>
          <t>UPPSALA LÄN</t>
        </is>
      </c>
      <c r="E963" t="inlineStr">
        <is>
          <t>UPPSALA</t>
        </is>
      </c>
      <c r="F963" t="inlineStr">
        <is>
          <t>Kyrkan</t>
        </is>
      </c>
      <c r="G963" t="n">
        <v>5.3</v>
      </c>
      <c r="H963" t="n">
        <v>0</v>
      </c>
      <c r="I963" t="n">
        <v>0</v>
      </c>
      <c r="J963" t="n">
        <v>0</v>
      </c>
      <c r="K963" t="n">
        <v>0</v>
      </c>
      <c r="L963" t="n">
        <v>0</v>
      </c>
      <c r="M963" t="n">
        <v>0</v>
      </c>
      <c r="N963" t="n">
        <v>0</v>
      </c>
      <c r="O963" t="n">
        <v>0</v>
      </c>
      <c r="P963" t="n">
        <v>0</v>
      </c>
      <c r="Q963" t="n">
        <v>0</v>
      </c>
      <c r="R963" s="2" t="inlineStr"/>
    </row>
    <row r="964" ht="15" customHeight="1">
      <c r="A964" t="inlineStr">
        <is>
          <t>A 9814-2023</t>
        </is>
      </c>
      <c r="B964" s="1" t="n">
        <v>44984</v>
      </c>
      <c r="C964" s="1" t="n">
        <v>45834</v>
      </c>
      <c r="D964" t="inlineStr">
        <is>
          <t>UPPSALA LÄN</t>
        </is>
      </c>
      <c r="E964" t="inlineStr">
        <is>
          <t>UPPSALA</t>
        </is>
      </c>
      <c r="F964" t="inlineStr">
        <is>
          <t>Kyrkan</t>
        </is>
      </c>
      <c r="G964" t="n">
        <v>5</v>
      </c>
      <c r="H964" t="n">
        <v>0</v>
      </c>
      <c r="I964" t="n">
        <v>0</v>
      </c>
      <c r="J964" t="n">
        <v>0</v>
      </c>
      <c r="K964" t="n">
        <v>0</v>
      </c>
      <c r="L964" t="n">
        <v>0</v>
      </c>
      <c r="M964" t="n">
        <v>0</v>
      </c>
      <c r="N964" t="n">
        <v>0</v>
      </c>
      <c r="O964" t="n">
        <v>0</v>
      </c>
      <c r="P964" t="n">
        <v>0</v>
      </c>
      <c r="Q964" t="n">
        <v>0</v>
      </c>
      <c r="R964" s="2" t="inlineStr"/>
    </row>
    <row r="965" ht="15" customHeight="1">
      <c r="A965" t="inlineStr">
        <is>
          <t>A 9811-2023</t>
        </is>
      </c>
      <c r="B965" s="1" t="n">
        <v>44984</v>
      </c>
      <c r="C965" s="1" t="n">
        <v>45834</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9820-2023</t>
        </is>
      </c>
      <c r="B966" s="1" t="n">
        <v>44984</v>
      </c>
      <c r="C966" s="1" t="n">
        <v>45834</v>
      </c>
      <c r="D966" t="inlineStr">
        <is>
          <t>UPPSALA LÄN</t>
        </is>
      </c>
      <c r="E966" t="inlineStr">
        <is>
          <t>UPPSALA</t>
        </is>
      </c>
      <c r="F966" t="inlineStr">
        <is>
          <t>Kyrkan</t>
        </is>
      </c>
      <c r="G966" t="n">
        <v>2</v>
      </c>
      <c r="H966" t="n">
        <v>0</v>
      </c>
      <c r="I966" t="n">
        <v>0</v>
      </c>
      <c r="J966" t="n">
        <v>0</v>
      </c>
      <c r="K966" t="n">
        <v>0</v>
      </c>
      <c r="L966" t="n">
        <v>0</v>
      </c>
      <c r="M966" t="n">
        <v>0</v>
      </c>
      <c r="N966" t="n">
        <v>0</v>
      </c>
      <c r="O966" t="n">
        <v>0</v>
      </c>
      <c r="P966" t="n">
        <v>0</v>
      </c>
      <c r="Q966" t="n">
        <v>0</v>
      </c>
      <c r="R966" s="2" t="inlineStr"/>
    </row>
    <row r="967" ht="15" customHeight="1">
      <c r="A967" t="inlineStr">
        <is>
          <t>A 10005-2023</t>
        </is>
      </c>
      <c r="B967" s="1" t="n">
        <v>44985</v>
      </c>
      <c r="C967" s="1" t="n">
        <v>45834</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10669-2023</t>
        </is>
      </c>
      <c r="B968" s="1" t="n">
        <v>44988</v>
      </c>
      <c r="C968" s="1" t="n">
        <v>45834</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11484-2023</t>
        </is>
      </c>
      <c r="B969" s="1" t="n">
        <v>44991</v>
      </c>
      <c r="C969" s="1" t="n">
        <v>45834</v>
      </c>
      <c r="D969" t="inlineStr">
        <is>
          <t>UPPSALA LÄN</t>
        </is>
      </c>
      <c r="E969" t="inlineStr">
        <is>
          <t>UPPSALA</t>
        </is>
      </c>
      <c r="G969" t="n">
        <v>10.3</v>
      </c>
      <c r="H969" t="n">
        <v>0</v>
      </c>
      <c r="I969" t="n">
        <v>0</v>
      </c>
      <c r="J969" t="n">
        <v>0</v>
      </c>
      <c r="K969" t="n">
        <v>0</v>
      </c>
      <c r="L969" t="n">
        <v>0</v>
      </c>
      <c r="M969" t="n">
        <v>0</v>
      </c>
      <c r="N969" t="n">
        <v>0</v>
      </c>
      <c r="O969" t="n">
        <v>0</v>
      </c>
      <c r="P969" t="n">
        <v>0</v>
      </c>
      <c r="Q969" t="n">
        <v>0</v>
      </c>
      <c r="R969" s="2" t="inlineStr"/>
    </row>
    <row r="970" ht="15" customHeight="1">
      <c r="A970" t="inlineStr">
        <is>
          <t>A 11739-2023</t>
        </is>
      </c>
      <c r="B970" s="1" t="n">
        <v>44993</v>
      </c>
      <c r="C970" s="1" t="n">
        <v>45834</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11744-2023</t>
        </is>
      </c>
      <c r="B971" s="1" t="n">
        <v>44993</v>
      </c>
      <c r="C971" s="1" t="n">
        <v>45834</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11568-2023</t>
        </is>
      </c>
      <c r="B972" s="1" t="n">
        <v>44994</v>
      </c>
      <c r="C972" s="1" t="n">
        <v>45834</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12158-2023</t>
        </is>
      </c>
      <c r="B973" s="1" t="n">
        <v>44998</v>
      </c>
      <c r="C973" s="1" t="n">
        <v>45834</v>
      </c>
      <c r="D973" t="inlineStr">
        <is>
          <t>UPPSALA LÄN</t>
        </is>
      </c>
      <c r="E973" t="inlineStr">
        <is>
          <t>UPPSALA</t>
        </is>
      </c>
      <c r="G973" t="n">
        <v>2.4</v>
      </c>
      <c r="H973" t="n">
        <v>0</v>
      </c>
      <c r="I973" t="n">
        <v>0</v>
      </c>
      <c r="J973" t="n">
        <v>0</v>
      </c>
      <c r="K973" t="n">
        <v>0</v>
      </c>
      <c r="L973" t="n">
        <v>0</v>
      </c>
      <c r="M973" t="n">
        <v>0</v>
      </c>
      <c r="N973" t="n">
        <v>0</v>
      </c>
      <c r="O973" t="n">
        <v>0</v>
      </c>
      <c r="P973" t="n">
        <v>0</v>
      </c>
      <c r="Q973" t="n">
        <v>0</v>
      </c>
      <c r="R973" s="2" t="inlineStr"/>
    </row>
    <row r="974" ht="15" customHeight="1">
      <c r="A974" t="inlineStr">
        <is>
          <t>A 12604-2023</t>
        </is>
      </c>
      <c r="B974" s="1" t="n">
        <v>45000</v>
      </c>
      <c r="C974" s="1" t="n">
        <v>45834</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12603-2023</t>
        </is>
      </c>
      <c r="B975" s="1" t="n">
        <v>45000</v>
      </c>
      <c r="C975" s="1" t="n">
        <v>45834</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12602-2023</t>
        </is>
      </c>
      <c r="B976" s="1" t="n">
        <v>45000</v>
      </c>
      <c r="C976" s="1" t="n">
        <v>45834</v>
      </c>
      <c r="D976" t="inlineStr">
        <is>
          <t>UPPSALA LÄN</t>
        </is>
      </c>
      <c r="E976" t="inlineStr">
        <is>
          <t>UPPSALA</t>
        </is>
      </c>
      <c r="G976" t="n">
        <v>2.5</v>
      </c>
      <c r="H976" t="n">
        <v>0</v>
      </c>
      <c r="I976" t="n">
        <v>0</v>
      </c>
      <c r="J976" t="n">
        <v>0</v>
      </c>
      <c r="K976" t="n">
        <v>0</v>
      </c>
      <c r="L976" t="n">
        <v>0</v>
      </c>
      <c r="M976" t="n">
        <v>0</v>
      </c>
      <c r="N976" t="n">
        <v>0</v>
      </c>
      <c r="O976" t="n">
        <v>0</v>
      </c>
      <c r="P976" t="n">
        <v>0</v>
      </c>
      <c r="Q976" t="n">
        <v>0</v>
      </c>
      <c r="R976" s="2" t="inlineStr"/>
    </row>
    <row r="977" ht="15" customHeight="1">
      <c r="A977" t="inlineStr">
        <is>
          <t>A 12703-2023</t>
        </is>
      </c>
      <c r="B977" s="1" t="n">
        <v>45000</v>
      </c>
      <c r="C977" s="1" t="n">
        <v>45834</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12606-2023</t>
        </is>
      </c>
      <c r="B978" s="1" t="n">
        <v>45000</v>
      </c>
      <c r="C978" s="1" t="n">
        <v>45834</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13526-2023</t>
        </is>
      </c>
      <c r="B979" s="1" t="n">
        <v>45006</v>
      </c>
      <c r="C979" s="1" t="n">
        <v>45834</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14253-2023</t>
        </is>
      </c>
      <c r="B980" s="1" t="n">
        <v>45009</v>
      </c>
      <c r="C980" s="1" t="n">
        <v>45834</v>
      </c>
      <c r="D980" t="inlineStr">
        <is>
          <t>UPPSALA LÄN</t>
        </is>
      </c>
      <c r="E980" t="inlineStr">
        <is>
          <t>UPPSALA</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45834</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14988-2023</t>
        </is>
      </c>
      <c r="B982" s="1" t="n">
        <v>45015</v>
      </c>
      <c r="C982" s="1" t="n">
        <v>45834</v>
      </c>
      <c r="D982" t="inlineStr">
        <is>
          <t>UPPSALA LÄN</t>
        </is>
      </c>
      <c r="E982" t="inlineStr">
        <is>
          <t>UPPSALA</t>
        </is>
      </c>
      <c r="G982" t="n">
        <v>4.2</v>
      </c>
      <c r="H982" t="n">
        <v>0</v>
      </c>
      <c r="I982" t="n">
        <v>0</v>
      </c>
      <c r="J982" t="n">
        <v>0</v>
      </c>
      <c r="K982" t="n">
        <v>0</v>
      </c>
      <c r="L982" t="n">
        <v>0</v>
      </c>
      <c r="M982" t="n">
        <v>0</v>
      </c>
      <c r="N982" t="n">
        <v>0</v>
      </c>
      <c r="O982" t="n">
        <v>0</v>
      </c>
      <c r="P982" t="n">
        <v>0</v>
      </c>
      <c r="Q982" t="n">
        <v>0</v>
      </c>
      <c r="R982" s="2" t="inlineStr"/>
    </row>
    <row r="983" ht="15" customHeight="1">
      <c r="A983" t="inlineStr">
        <is>
          <t>A 15547-2023</t>
        </is>
      </c>
      <c r="B983" s="1" t="n">
        <v>45020</v>
      </c>
      <c r="C983" s="1" t="n">
        <v>45834</v>
      </c>
      <c r="D983" t="inlineStr">
        <is>
          <t>UPPSALA LÄN</t>
        </is>
      </c>
      <c r="E983" t="inlineStr">
        <is>
          <t>UPPSALA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15551-2023</t>
        </is>
      </c>
      <c r="B984" s="1" t="n">
        <v>45020</v>
      </c>
      <c r="C984" s="1" t="n">
        <v>45834</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15629-2023</t>
        </is>
      </c>
      <c r="B985" s="1" t="n">
        <v>45021</v>
      </c>
      <c r="C985" s="1" t="n">
        <v>45834</v>
      </c>
      <c r="D985" t="inlineStr">
        <is>
          <t>UPPSALA LÄN</t>
        </is>
      </c>
      <c r="E985" t="inlineStr">
        <is>
          <t>UPPSALA</t>
        </is>
      </c>
      <c r="F985" t="inlineStr">
        <is>
          <t>Övriga Aktiebolag</t>
        </is>
      </c>
      <c r="G985" t="n">
        <v>7</v>
      </c>
      <c r="H985" t="n">
        <v>0</v>
      </c>
      <c r="I985" t="n">
        <v>0</v>
      </c>
      <c r="J985" t="n">
        <v>0</v>
      </c>
      <c r="K985" t="n">
        <v>0</v>
      </c>
      <c r="L985" t="n">
        <v>0</v>
      </c>
      <c r="M985" t="n">
        <v>0</v>
      </c>
      <c r="N985" t="n">
        <v>0</v>
      </c>
      <c r="O985" t="n">
        <v>0</v>
      </c>
      <c r="P985" t="n">
        <v>0</v>
      </c>
      <c r="Q985" t="n">
        <v>0</v>
      </c>
      <c r="R985" s="2" t="inlineStr"/>
    </row>
    <row r="986" ht="15" customHeight="1">
      <c r="A986" t="inlineStr">
        <is>
          <t>A 16346-2023</t>
        </is>
      </c>
      <c r="B986" s="1" t="n">
        <v>45028</v>
      </c>
      <c r="C986" s="1" t="n">
        <v>45834</v>
      </c>
      <c r="D986" t="inlineStr">
        <is>
          <t>UPPSALA LÄN</t>
        </is>
      </c>
      <c r="E986" t="inlineStr">
        <is>
          <t>UPPSALA</t>
        </is>
      </c>
      <c r="F986" t="inlineStr">
        <is>
          <t>Övriga Aktiebolag</t>
        </is>
      </c>
      <c r="G986" t="n">
        <v>5.7</v>
      </c>
      <c r="H986" t="n">
        <v>0</v>
      </c>
      <c r="I986" t="n">
        <v>0</v>
      </c>
      <c r="J986" t="n">
        <v>0</v>
      </c>
      <c r="K986" t="n">
        <v>0</v>
      </c>
      <c r="L986" t="n">
        <v>0</v>
      </c>
      <c r="M986" t="n">
        <v>0</v>
      </c>
      <c r="N986" t="n">
        <v>0</v>
      </c>
      <c r="O986" t="n">
        <v>0</v>
      </c>
      <c r="P986" t="n">
        <v>0</v>
      </c>
      <c r="Q986" t="n">
        <v>0</v>
      </c>
      <c r="R986" s="2" t="inlineStr"/>
    </row>
    <row r="987" ht="15" customHeight="1">
      <c r="A987" t="inlineStr">
        <is>
          <t>A 16811-2023</t>
        </is>
      </c>
      <c r="B987" s="1" t="n">
        <v>45033</v>
      </c>
      <c r="C987" s="1" t="n">
        <v>45834</v>
      </c>
      <c r="D987" t="inlineStr">
        <is>
          <t>UPPSALA LÄN</t>
        </is>
      </c>
      <c r="E987" t="inlineStr">
        <is>
          <t>UPPSALA</t>
        </is>
      </c>
      <c r="G987" t="n">
        <v>10.1</v>
      </c>
      <c r="H987" t="n">
        <v>0</v>
      </c>
      <c r="I987" t="n">
        <v>0</v>
      </c>
      <c r="J987" t="n">
        <v>0</v>
      </c>
      <c r="K987" t="n">
        <v>0</v>
      </c>
      <c r="L987" t="n">
        <v>0</v>
      </c>
      <c r="M987" t="n">
        <v>0</v>
      </c>
      <c r="N987" t="n">
        <v>0</v>
      </c>
      <c r="O987" t="n">
        <v>0</v>
      </c>
      <c r="P987" t="n">
        <v>0</v>
      </c>
      <c r="Q987" t="n">
        <v>0</v>
      </c>
      <c r="R987" s="2" t="inlineStr"/>
    </row>
    <row r="988" ht="15" customHeight="1">
      <c r="A988" t="inlineStr">
        <is>
          <t>A 17229-2023</t>
        </is>
      </c>
      <c r="B988" s="1" t="n">
        <v>45035</v>
      </c>
      <c r="C988" s="1" t="n">
        <v>45834</v>
      </c>
      <c r="D988" t="inlineStr">
        <is>
          <t>UPPSALA LÄN</t>
        </is>
      </c>
      <c r="E988" t="inlineStr">
        <is>
          <t>UPPSALA</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17280-2023</t>
        </is>
      </c>
      <c r="B989" s="1" t="n">
        <v>45035</v>
      </c>
      <c r="C989" s="1" t="n">
        <v>45834</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17481-2023</t>
        </is>
      </c>
      <c r="B990" s="1" t="n">
        <v>45036</v>
      </c>
      <c r="C990" s="1" t="n">
        <v>45834</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17788-2023</t>
        </is>
      </c>
      <c r="B991" s="1" t="n">
        <v>45037</v>
      </c>
      <c r="C991" s="1" t="n">
        <v>45834</v>
      </c>
      <c r="D991" t="inlineStr">
        <is>
          <t>UPPSALA LÄN</t>
        </is>
      </c>
      <c r="E991" t="inlineStr">
        <is>
          <t>UPPSALA</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17938-2023</t>
        </is>
      </c>
      <c r="B992" s="1" t="n">
        <v>45040</v>
      </c>
      <c r="C992" s="1" t="n">
        <v>45834</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18277-2023</t>
        </is>
      </c>
      <c r="B993" s="1" t="n">
        <v>45041</v>
      </c>
      <c r="C993" s="1" t="n">
        <v>45834</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18275-2023</t>
        </is>
      </c>
      <c r="B994" s="1" t="n">
        <v>45041</v>
      </c>
      <c r="C994" s="1" t="n">
        <v>45834</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18278-2023</t>
        </is>
      </c>
      <c r="B995" s="1" t="n">
        <v>45041</v>
      </c>
      <c r="C995" s="1" t="n">
        <v>45834</v>
      </c>
      <c r="D995" t="inlineStr">
        <is>
          <t>UPPSALA LÄN</t>
        </is>
      </c>
      <c r="E995" t="inlineStr">
        <is>
          <t>UPPSALA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18276-2023</t>
        </is>
      </c>
      <c r="B996" s="1" t="n">
        <v>45041</v>
      </c>
      <c r="C996" s="1" t="n">
        <v>45834</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18443-2023</t>
        </is>
      </c>
      <c r="B997" s="1" t="n">
        <v>45042</v>
      </c>
      <c r="C997" s="1" t="n">
        <v>45834</v>
      </c>
      <c r="D997" t="inlineStr">
        <is>
          <t>UPPSALA LÄN</t>
        </is>
      </c>
      <c r="E997" t="inlineStr">
        <is>
          <t>UPPSALA</t>
        </is>
      </c>
      <c r="G997" t="n">
        <v>0.4</v>
      </c>
      <c r="H997" t="n">
        <v>0</v>
      </c>
      <c r="I997" t="n">
        <v>0</v>
      </c>
      <c r="J997" t="n">
        <v>0</v>
      </c>
      <c r="K997" t="n">
        <v>0</v>
      </c>
      <c r="L997" t="n">
        <v>0</v>
      </c>
      <c r="M997" t="n">
        <v>0</v>
      </c>
      <c r="N997" t="n">
        <v>0</v>
      </c>
      <c r="O997" t="n">
        <v>0</v>
      </c>
      <c r="P997" t="n">
        <v>0</v>
      </c>
      <c r="Q997" t="n">
        <v>0</v>
      </c>
      <c r="R997" s="2" t="inlineStr"/>
    </row>
    <row r="998" ht="15" customHeight="1">
      <c r="A998" t="inlineStr">
        <is>
          <t>A 18496-2023</t>
        </is>
      </c>
      <c r="B998" s="1" t="n">
        <v>45042</v>
      </c>
      <c r="C998" s="1" t="n">
        <v>45834</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18507-2023</t>
        </is>
      </c>
      <c r="B999" s="1" t="n">
        <v>45042</v>
      </c>
      <c r="C999" s="1" t="n">
        <v>45834</v>
      </c>
      <c r="D999" t="inlineStr">
        <is>
          <t>UPPSALA LÄN</t>
        </is>
      </c>
      <c r="E999" t="inlineStr">
        <is>
          <t>UPPSALA</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18472-2023</t>
        </is>
      </c>
      <c r="B1000" s="1" t="n">
        <v>45042</v>
      </c>
      <c r="C1000" s="1" t="n">
        <v>45834</v>
      </c>
      <c r="D1000" t="inlineStr">
        <is>
          <t>UPPSALA LÄN</t>
        </is>
      </c>
      <c r="E1000" t="inlineStr">
        <is>
          <t>UPPSALA</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18710-2023</t>
        </is>
      </c>
      <c r="B1001" s="1" t="n">
        <v>45043</v>
      </c>
      <c r="C1001" s="1" t="n">
        <v>45834</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19017-2023</t>
        </is>
      </c>
      <c r="B1002" s="1" t="n">
        <v>45047</v>
      </c>
      <c r="C1002" s="1" t="n">
        <v>45834</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19135-2023</t>
        </is>
      </c>
      <c r="B1003" s="1" t="n">
        <v>45048</v>
      </c>
      <c r="C1003" s="1" t="n">
        <v>45834</v>
      </c>
      <c r="D1003" t="inlineStr">
        <is>
          <t>UPPSALA LÄN</t>
        </is>
      </c>
      <c r="E1003" t="inlineStr">
        <is>
          <t>UPPSALA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19139-2023</t>
        </is>
      </c>
      <c r="B1004" s="1" t="n">
        <v>45048</v>
      </c>
      <c r="C1004" s="1" t="n">
        <v>45834</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19279-2023</t>
        </is>
      </c>
      <c r="B1005" s="1" t="n">
        <v>45049</v>
      </c>
      <c r="C1005" s="1" t="n">
        <v>45834</v>
      </c>
      <c r="D1005" t="inlineStr">
        <is>
          <t>UPPSALA LÄN</t>
        </is>
      </c>
      <c r="E1005" t="inlineStr">
        <is>
          <t>UPPSALA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19269-2023</t>
        </is>
      </c>
      <c r="B1006" s="1" t="n">
        <v>45049</v>
      </c>
      <c r="C1006" s="1" t="n">
        <v>45834</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19314-2023</t>
        </is>
      </c>
      <c r="B1007" s="1" t="n">
        <v>45049</v>
      </c>
      <c r="C1007" s="1" t="n">
        <v>45834</v>
      </c>
      <c r="D1007" t="inlineStr">
        <is>
          <t>UPPSALA LÄN</t>
        </is>
      </c>
      <c r="E1007" t="inlineStr">
        <is>
          <t>UPPSALA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19320-2023</t>
        </is>
      </c>
      <c r="B1008" s="1" t="n">
        <v>45049</v>
      </c>
      <c r="C1008" s="1" t="n">
        <v>45834</v>
      </c>
      <c r="D1008" t="inlineStr">
        <is>
          <t>UPPSALA LÄN</t>
        </is>
      </c>
      <c r="E1008" t="inlineStr">
        <is>
          <t>UPPSALA</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19339-2023</t>
        </is>
      </c>
      <c r="B1009" s="1" t="n">
        <v>45049</v>
      </c>
      <c r="C1009" s="1" t="n">
        <v>45834</v>
      </c>
      <c r="D1009" t="inlineStr">
        <is>
          <t>UPPSALA LÄN</t>
        </is>
      </c>
      <c r="E1009" t="inlineStr">
        <is>
          <t>UPPSALA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19380-2023</t>
        </is>
      </c>
      <c r="B1010" s="1" t="n">
        <v>45049</v>
      </c>
      <c r="C1010" s="1" t="n">
        <v>45834</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19411-2023</t>
        </is>
      </c>
      <c r="B1011" s="1" t="n">
        <v>45049</v>
      </c>
      <c r="C1011" s="1" t="n">
        <v>45834</v>
      </c>
      <c r="D1011" t="inlineStr">
        <is>
          <t>UPPSALA LÄN</t>
        </is>
      </c>
      <c r="E1011" t="inlineStr">
        <is>
          <t>UPPSALA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19272-2023</t>
        </is>
      </c>
      <c r="B1012" s="1" t="n">
        <v>45049</v>
      </c>
      <c r="C1012" s="1" t="n">
        <v>45834</v>
      </c>
      <c r="D1012" t="inlineStr">
        <is>
          <t>UPPSALA LÄN</t>
        </is>
      </c>
      <c r="E1012" t="inlineStr">
        <is>
          <t>UPPSALA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19276-2023</t>
        </is>
      </c>
      <c r="B1013" s="1" t="n">
        <v>45049</v>
      </c>
      <c r="C1013" s="1" t="n">
        <v>45834</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19317-2023</t>
        </is>
      </c>
      <c r="B1014" s="1" t="n">
        <v>45049</v>
      </c>
      <c r="C1014" s="1" t="n">
        <v>45834</v>
      </c>
      <c r="D1014" t="inlineStr">
        <is>
          <t>UPPSALA LÄN</t>
        </is>
      </c>
      <c r="E1014" t="inlineStr">
        <is>
          <t>UPPSALA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19409-2023</t>
        </is>
      </c>
      <c r="B1015" s="1" t="n">
        <v>45049</v>
      </c>
      <c r="C1015" s="1" t="n">
        <v>45834</v>
      </c>
      <c r="D1015" t="inlineStr">
        <is>
          <t>UPPSALA LÄN</t>
        </is>
      </c>
      <c r="E1015" t="inlineStr">
        <is>
          <t>UPPSALA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19455-2023</t>
        </is>
      </c>
      <c r="B1016" s="1" t="n">
        <v>45050</v>
      </c>
      <c r="C1016" s="1" t="n">
        <v>45834</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19515-2023</t>
        </is>
      </c>
      <c r="B1017" s="1" t="n">
        <v>45050</v>
      </c>
      <c r="C1017" s="1" t="n">
        <v>45834</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19447-2023</t>
        </is>
      </c>
      <c r="B1018" s="1" t="n">
        <v>45050</v>
      </c>
      <c r="C1018" s="1" t="n">
        <v>45834</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19513-2023</t>
        </is>
      </c>
      <c r="B1019" s="1" t="n">
        <v>45050</v>
      </c>
      <c r="C1019" s="1" t="n">
        <v>45834</v>
      </c>
      <c r="D1019" t="inlineStr">
        <is>
          <t>UPPSALA LÄN</t>
        </is>
      </c>
      <c r="E1019" t="inlineStr">
        <is>
          <t>UPPSALA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19516-2023</t>
        </is>
      </c>
      <c r="B1020" s="1" t="n">
        <v>45050</v>
      </c>
      <c r="C1020" s="1" t="n">
        <v>45834</v>
      </c>
      <c r="D1020" t="inlineStr">
        <is>
          <t>UPPSALA LÄN</t>
        </is>
      </c>
      <c r="E1020" t="inlineStr">
        <is>
          <t>UPPSALA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19920-2023</t>
        </is>
      </c>
      <c r="B1021" s="1" t="n">
        <v>45054</v>
      </c>
      <c r="C1021" s="1" t="n">
        <v>45834</v>
      </c>
      <c r="D1021" t="inlineStr">
        <is>
          <t>UPPSALA LÄN</t>
        </is>
      </c>
      <c r="E1021" t="inlineStr">
        <is>
          <t>UPPSALA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20087-2023</t>
        </is>
      </c>
      <c r="B1022" s="1" t="n">
        <v>45055</v>
      </c>
      <c r="C1022" s="1" t="n">
        <v>45834</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20102-2023</t>
        </is>
      </c>
      <c r="B1023" s="1" t="n">
        <v>45055</v>
      </c>
      <c r="C1023" s="1" t="n">
        <v>45834</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20105-2023</t>
        </is>
      </c>
      <c r="B1024" s="1" t="n">
        <v>45055</v>
      </c>
      <c r="C1024" s="1" t="n">
        <v>45834</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20206-2023</t>
        </is>
      </c>
      <c r="B1025" s="1" t="n">
        <v>45055</v>
      </c>
      <c r="C1025" s="1" t="n">
        <v>45834</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20438-2023</t>
        </is>
      </c>
      <c r="B1026" s="1" t="n">
        <v>45056</v>
      </c>
      <c r="C1026" s="1" t="n">
        <v>45834</v>
      </c>
      <c r="D1026" t="inlineStr">
        <is>
          <t>UPPSALA LÄN</t>
        </is>
      </c>
      <c r="E1026" t="inlineStr">
        <is>
          <t>UPPSALA</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20440-2023</t>
        </is>
      </c>
      <c r="B1027" s="1" t="n">
        <v>45056</v>
      </c>
      <c r="C1027" s="1" t="n">
        <v>45834</v>
      </c>
      <c r="D1027" t="inlineStr">
        <is>
          <t>UPPSALA LÄN</t>
        </is>
      </c>
      <c r="E1027" t="inlineStr">
        <is>
          <t>UPPSALA</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20437-2023</t>
        </is>
      </c>
      <c r="B1028" s="1" t="n">
        <v>45056</v>
      </c>
      <c r="C1028" s="1" t="n">
        <v>45834</v>
      </c>
      <c r="D1028" t="inlineStr">
        <is>
          <t>UPPSALA LÄN</t>
        </is>
      </c>
      <c r="E1028" t="inlineStr">
        <is>
          <t>UPPSALA</t>
        </is>
      </c>
      <c r="F1028" t="inlineStr">
        <is>
          <t>Holmen skog AB</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20550-2023</t>
        </is>
      </c>
      <c r="B1029" s="1" t="n">
        <v>45057</v>
      </c>
      <c r="C1029" s="1" t="n">
        <v>45834</v>
      </c>
      <c r="D1029" t="inlineStr">
        <is>
          <t>UPPSALA LÄN</t>
        </is>
      </c>
      <c r="E1029" t="inlineStr">
        <is>
          <t>UPPSALA</t>
        </is>
      </c>
      <c r="F1029" t="inlineStr">
        <is>
          <t>Övriga Aktiebolag</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20670-2023</t>
        </is>
      </c>
      <c r="B1030" s="1" t="n">
        <v>45058</v>
      </c>
      <c r="C1030" s="1" t="n">
        <v>45834</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20692-2023</t>
        </is>
      </c>
      <c r="B1031" s="1" t="n">
        <v>45058</v>
      </c>
      <c r="C1031" s="1" t="n">
        <v>45834</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20667-2023</t>
        </is>
      </c>
      <c r="B1032" s="1" t="n">
        <v>45058</v>
      </c>
      <c r="C1032" s="1" t="n">
        <v>45834</v>
      </c>
      <c r="D1032" t="inlineStr">
        <is>
          <t>UPPSALA LÄN</t>
        </is>
      </c>
      <c r="E1032" t="inlineStr">
        <is>
          <t>UPPSALA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20708-2023</t>
        </is>
      </c>
      <c r="B1033" s="1" t="n">
        <v>45058</v>
      </c>
      <c r="C1033" s="1" t="n">
        <v>45834</v>
      </c>
      <c r="D1033" t="inlineStr">
        <is>
          <t>UPPSALA LÄN</t>
        </is>
      </c>
      <c r="E1033" t="inlineStr">
        <is>
          <t>UPPSALA</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20669-2023</t>
        </is>
      </c>
      <c r="B1034" s="1" t="n">
        <v>45058</v>
      </c>
      <c r="C1034" s="1" t="n">
        <v>45834</v>
      </c>
      <c r="D1034" t="inlineStr">
        <is>
          <t>UPPSALA LÄN</t>
        </is>
      </c>
      <c r="E1034" t="inlineStr">
        <is>
          <t>UPPSALA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20786-2023</t>
        </is>
      </c>
      <c r="B1035" s="1" t="n">
        <v>45058</v>
      </c>
      <c r="C1035" s="1" t="n">
        <v>45834</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20900-2023</t>
        </is>
      </c>
      <c r="B1036" s="1" t="n">
        <v>45060</v>
      </c>
      <c r="C1036" s="1" t="n">
        <v>45834</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21052-2023</t>
        </is>
      </c>
      <c r="B1037" s="1" t="n">
        <v>45061</v>
      </c>
      <c r="C1037" s="1" t="n">
        <v>45834</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21416-2023</t>
        </is>
      </c>
      <c r="B1038" s="1" t="n">
        <v>45063</v>
      </c>
      <c r="C1038" s="1" t="n">
        <v>45834</v>
      </c>
      <c r="D1038" t="inlineStr">
        <is>
          <t>UPPSALA LÄN</t>
        </is>
      </c>
      <c r="E1038" t="inlineStr">
        <is>
          <t>UPPSALA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21424-2023</t>
        </is>
      </c>
      <c r="B1039" s="1" t="n">
        <v>45063</v>
      </c>
      <c r="C1039" s="1" t="n">
        <v>45834</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21727-2023</t>
        </is>
      </c>
      <c r="B1040" s="1" t="n">
        <v>45065</v>
      </c>
      <c r="C1040" s="1" t="n">
        <v>45834</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21935-2023</t>
        </is>
      </c>
      <c r="B1041" s="1" t="n">
        <v>45068</v>
      </c>
      <c r="C1041" s="1" t="n">
        <v>45834</v>
      </c>
      <c r="D1041" t="inlineStr">
        <is>
          <t>UPPSALA LÄN</t>
        </is>
      </c>
      <c r="E1041" t="inlineStr">
        <is>
          <t>UPPSALA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22450-2023</t>
        </is>
      </c>
      <c r="B1042" s="1" t="n">
        <v>45070</v>
      </c>
      <c r="C1042" s="1" t="n">
        <v>45834</v>
      </c>
      <c r="D1042" t="inlineStr">
        <is>
          <t>UPPSALA LÄN</t>
        </is>
      </c>
      <c r="E1042" t="inlineStr">
        <is>
          <t>UPPSALA</t>
        </is>
      </c>
      <c r="F1042" t="inlineStr">
        <is>
          <t>Allmännings- och besparingsskogar</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23159-2023</t>
        </is>
      </c>
      <c r="B1043" s="1" t="n">
        <v>45075</v>
      </c>
      <c r="C1043" s="1" t="n">
        <v>45834</v>
      </c>
      <c r="D1043" t="inlineStr">
        <is>
          <t>UPPSALA LÄN</t>
        </is>
      </c>
      <c r="E1043" t="inlineStr">
        <is>
          <t>UPPSALA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v>
      </c>
      <c r="C1044" s="1" t="n">
        <v>45834</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23929-2023</t>
        </is>
      </c>
      <c r="B1045" s="1" t="n">
        <v>45078</v>
      </c>
      <c r="C1045" s="1" t="n">
        <v>45834</v>
      </c>
      <c r="D1045" t="inlineStr">
        <is>
          <t>UPPSALA LÄN</t>
        </is>
      </c>
      <c r="E1045" t="inlineStr">
        <is>
          <t>UPPSALA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24012-2023</t>
        </is>
      </c>
      <c r="B1046" s="1" t="n">
        <v>45078</v>
      </c>
      <c r="C1046" s="1" t="n">
        <v>45834</v>
      </c>
      <c r="D1046" t="inlineStr">
        <is>
          <t>UPPSALA LÄN</t>
        </is>
      </c>
      <c r="E1046" t="inlineStr">
        <is>
          <t>UPPSALA</t>
        </is>
      </c>
      <c r="F1046" t="inlineStr">
        <is>
          <t>Kyrkan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24016-2023</t>
        </is>
      </c>
      <c r="B1047" s="1" t="n">
        <v>45078</v>
      </c>
      <c r="C1047" s="1" t="n">
        <v>45834</v>
      </c>
      <c r="D1047" t="inlineStr">
        <is>
          <t>UPPSALA LÄN</t>
        </is>
      </c>
      <c r="E1047" t="inlineStr">
        <is>
          <t>UPPSALA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24009-2023</t>
        </is>
      </c>
      <c r="B1048" s="1" t="n">
        <v>45078</v>
      </c>
      <c r="C1048" s="1" t="n">
        <v>45834</v>
      </c>
      <c r="D1048" t="inlineStr">
        <is>
          <t>UPPSALA LÄN</t>
        </is>
      </c>
      <c r="E1048" t="inlineStr">
        <is>
          <t>UPPSALA</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24174-2023</t>
        </is>
      </c>
      <c r="B1049" s="1" t="n">
        <v>45079</v>
      </c>
      <c r="C1049" s="1" t="n">
        <v>45834</v>
      </c>
      <c r="D1049" t="inlineStr">
        <is>
          <t>UPPSALA LÄN</t>
        </is>
      </c>
      <c r="E1049" t="inlineStr">
        <is>
          <t>UPPSALA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24670-2023</t>
        </is>
      </c>
      <c r="B1050" s="1" t="n">
        <v>45084</v>
      </c>
      <c r="C1050" s="1" t="n">
        <v>45834</v>
      </c>
      <c r="D1050" t="inlineStr">
        <is>
          <t>UPPSALA LÄN</t>
        </is>
      </c>
      <c r="E1050" t="inlineStr">
        <is>
          <t>UPPSALA</t>
        </is>
      </c>
      <c r="F1050" t="inlineStr">
        <is>
          <t>Holmen skog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25264-2023</t>
        </is>
      </c>
      <c r="B1051" s="1" t="n">
        <v>45086</v>
      </c>
      <c r="C1051" s="1" t="n">
        <v>45834</v>
      </c>
      <c r="D1051" t="inlineStr">
        <is>
          <t>UPPSALA LÄN</t>
        </is>
      </c>
      <c r="E1051" t="inlineStr">
        <is>
          <t>UPPSALA</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25280-2023</t>
        </is>
      </c>
      <c r="B1052" s="1" t="n">
        <v>45086</v>
      </c>
      <c r="C1052" s="1" t="n">
        <v>45834</v>
      </c>
      <c r="D1052" t="inlineStr">
        <is>
          <t>UPPSALA LÄN</t>
        </is>
      </c>
      <c r="E1052" t="inlineStr">
        <is>
          <t>UPPSALA</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25380-2023</t>
        </is>
      </c>
      <c r="B1053" s="1" t="n">
        <v>45089</v>
      </c>
      <c r="C1053" s="1" t="n">
        <v>45834</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25381-2023</t>
        </is>
      </c>
      <c r="B1054" s="1" t="n">
        <v>45089</v>
      </c>
      <c r="C1054" s="1" t="n">
        <v>45834</v>
      </c>
      <c r="D1054" t="inlineStr">
        <is>
          <t>UPPSALA LÄN</t>
        </is>
      </c>
      <c r="E1054" t="inlineStr">
        <is>
          <t>UPPSALA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25446-2023</t>
        </is>
      </c>
      <c r="B1055" s="1" t="n">
        <v>45089</v>
      </c>
      <c r="C1055" s="1" t="n">
        <v>45834</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25462-2023</t>
        </is>
      </c>
      <c r="B1056" s="1" t="n">
        <v>45089</v>
      </c>
      <c r="C1056" s="1" t="n">
        <v>45834</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25939-2023</t>
        </is>
      </c>
      <c r="B1057" s="1" t="n">
        <v>45090</v>
      </c>
      <c r="C1057" s="1" t="n">
        <v>45834</v>
      </c>
      <c r="D1057" t="inlineStr">
        <is>
          <t>UPPSALA LÄN</t>
        </is>
      </c>
      <c r="E1057" t="inlineStr">
        <is>
          <t>UPPSALA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26208-2023</t>
        </is>
      </c>
      <c r="B1058" s="1" t="n">
        <v>45091</v>
      </c>
      <c r="C1058" s="1" t="n">
        <v>45834</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26298-2023</t>
        </is>
      </c>
      <c r="B1059" s="1" t="n">
        <v>45091</v>
      </c>
      <c r="C1059" s="1" t="n">
        <v>45834</v>
      </c>
      <c r="D1059" t="inlineStr">
        <is>
          <t>UPPSALA LÄN</t>
        </is>
      </c>
      <c r="E1059" t="inlineStr">
        <is>
          <t>UPPSALA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26323-2023</t>
        </is>
      </c>
      <c r="B1060" s="1" t="n">
        <v>45091</v>
      </c>
      <c r="C1060" s="1" t="n">
        <v>45834</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26081-2023</t>
        </is>
      </c>
      <c r="B1061" s="1" t="n">
        <v>45091</v>
      </c>
      <c r="C1061" s="1" t="n">
        <v>45834</v>
      </c>
      <c r="D1061" t="inlineStr">
        <is>
          <t>UPPSALA LÄN</t>
        </is>
      </c>
      <c r="E1061" t="inlineStr">
        <is>
          <t>UPPSALA</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26143-2023</t>
        </is>
      </c>
      <c r="B1062" s="1" t="n">
        <v>45091</v>
      </c>
      <c r="C1062" s="1" t="n">
        <v>45834</v>
      </c>
      <c r="D1062" t="inlineStr">
        <is>
          <t>UPPSALA LÄN</t>
        </is>
      </c>
      <c r="E1062" t="inlineStr">
        <is>
          <t>UPPSALA</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26134-2023</t>
        </is>
      </c>
      <c r="B1063" s="1" t="n">
        <v>45091</v>
      </c>
      <c r="C1063" s="1" t="n">
        <v>45834</v>
      </c>
      <c r="D1063" t="inlineStr">
        <is>
          <t>UPPSALA LÄN</t>
        </is>
      </c>
      <c r="E1063" t="inlineStr">
        <is>
          <t>UPPSALA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26759-2023</t>
        </is>
      </c>
      <c r="B1064" s="1" t="n">
        <v>45093</v>
      </c>
      <c r="C1064" s="1" t="n">
        <v>45834</v>
      </c>
      <c r="D1064" t="inlineStr">
        <is>
          <t>UPPSALA LÄN</t>
        </is>
      </c>
      <c r="E1064" t="inlineStr">
        <is>
          <t>UPPSALA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26762-2023</t>
        </is>
      </c>
      <c r="B1065" s="1" t="n">
        <v>45093</v>
      </c>
      <c r="C1065" s="1" t="n">
        <v>45834</v>
      </c>
      <c r="D1065" t="inlineStr">
        <is>
          <t>UPPSALA LÄN</t>
        </is>
      </c>
      <c r="E1065" t="inlineStr">
        <is>
          <t>UPPSALA</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27128-2023</t>
        </is>
      </c>
      <c r="B1066" s="1" t="n">
        <v>45096</v>
      </c>
      <c r="C1066" s="1" t="n">
        <v>45834</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27068-2023</t>
        </is>
      </c>
      <c r="B1067" s="1" t="n">
        <v>45096</v>
      </c>
      <c r="C1067" s="1" t="n">
        <v>45834</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27119-2023</t>
        </is>
      </c>
      <c r="B1068" s="1" t="n">
        <v>45096</v>
      </c>
      <c r="C1068" s="1" t="n">
        <v>45834</v>
      </c>
      <c r="D1068" t="inlineStr">
        <is>
          <t>UPPSALA LÄN</t>
        </is>
      </c>
      <c r="E1068" t="inlineStr">
        <is>
          <t>UPPSALA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27123-2023</t>
        </is>
      </c>
      <c r="B1069" s="1" t="n">
        <v>45096</v>
      </c>
      <c r="C1069" s="1" t="n">
        <v>45834</v>
      </c>
      <c r="D1069" t="inlineStr">
        <is>
          <t>UPPSALA LÄN</t>
        </is>
      </c>
      <c r="E1069" t="inlineStr">
        <is>
          <t>UPPSALA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27126-2023</t>
        </is>
      </c>
      <c r="B1070" s="1" t="n">
        <v>45096</v>
      </c>
      <c r="C1070" s="1" t="n">
        <v>45834</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27104-2023</t>
        </is>
      </c>
      <c r="B1071" s="1" t="n">
        <v>45096</v>
      </c>
      <c r="C1071" s="1" t="n">
        <v>45834</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27121-2023</t>
        </is>
      </c>
      <c r="B1072" s="1" t="n">
        <v>45096</v>
      </c>
      <c r="C1072" s="1" t="n">
        <v>45834</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27125-2023</t>
        </is>
      </c>
      <c r="B1073" s="1" t="n">
        <v>45096</v>
      </c>
      <c r="C1073" s="1" t="n">
        <v>45834</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27254-2023</t>
        </is>
      </c>
      <c r="B1074" s="1" t="n">
        <v>45096</v>
      </c>
      <c r="C1074" s="1" t="n">
        <v>45834</v>
      </c>
      <c r="D1074" t="inlineStr">
        <is>
          <t>UPPSALA LÄN</t>
        </is>
      </c>
      <c r="E1074" t="inlineStr">
        <is>
          <t>UPPSALA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27467-2023</t>
        </is>
      </c>
      <c r="B1075" s="1" t="n">
        <v>45097</v>
      </c>
      <c r="C1075" s="1" t="n">
        <v>45834</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27617-2023</t>
        </is>
      </c>
      <c r="B1076" s="1" t="n">
        <v>45097</v>
      </c>
      <c r="C1076" s="1" t="n">
        <v>45834</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27622-2023</t>
        </is>
      </c>
      <c r="B1077" s="1" t="n">
        <v>45097</v>
      </c>
      <c r="C1077" s="1" t="n">
        <v>45834</v>
      </c>
      <c r="D1077" t="inlineStr">
        <is>
          <t>UPPSALA LÄN</t>
        </is>
      </c>
      <c r="E1077" t="inlineStr">
        <is>
          <t>UPPSALA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27599-2023</t>
        </is>
      </c>
      <c r="B1078" s="1" t="n">
        <v>45097</v>
      </c>
      <c r="C1078" s="1" t="n">
        <v>45834</v>
      </c>
      <c r="D1078" t="inlineStr">
        <is>
          <t>UPPSALA LÄN</t>
        </is>
      </c>
      <c r="E1078" t="inlineStr">
        <is>
          <t>UPPSALA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27620-2023</t>
        </is>
      </c>
      <c r="B1079" s="1" t="n">
        <v>45097</v>
      </c>
      <c r="C1079" s="1" t="n">
        <v>45834</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27912-2023</t>
        </is>
      </c>
      <c r="B1080" s="1" t="n">
        <v>45098</v>
      </c>
      <c r="C1080" s="1" t="n">
        <v>45834</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27903-2023</t>
        </is>
      </c>
      <c r="B1081" s="1" t="n">
        <v>45098</v>
      </c>
      <c r="C1081" s="1" t="n">
        <v>45834</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27930-2023</t>
        </is>
      </c>
      <c r="B1082" s="1" t="n">
        <v>45098</v>
      </c>
      <c r="C1082" s="1" t="n">
        <v>45834</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28186-2023</t>
        </is>
      </c>
      <c r="B1083" s="1" t="n">
        <v>45099</v>
      </c>
      <c r="C1083" s="1" t="n">
        <v>45834</v>
      </c>
      <c r="D1083" t="inlineStr">
        <is>
          <t>UPPSALA LÄN</t>
        </is>
      </c>
      <c r="E1083" t="inlineStr">
        <is>
          <t>UPPSALA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28577-2023</t>
        </is>
      </c>
      <c r="B1084" s="1" t="n">
        <v>45103</v>
      </c>
      <c r="C1084" s="1" t="n">
        <v>45834</v>
      </c>
      <c r="D1084" t="inlineStr">
        <is>
          <t>UPPSALA LÄN</t>
        </is>
      </c>
      <c r="E1084" t="inlineStr">
        <is>
          <t>UPPSALA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28701-2023</t>
        </is>
      </c>
      <c r="B1085" s="1" t="n">
        <v>45103</v>
      </c>
      <c r="C1085" s="1" t="n">
        <v>45834</v>
      </c>
      <c r="D1085" t="inlineStr">
        <is>
          <t>UPPSALA LÄN</t>
        </is>
      </c>
      <c r="E1085" t="inlineStr">
        <is>
          <t>UPPSALA</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29019-2023</t>
        </is>
      </c>
      <c r="B1086" s="1" t="n">
        <v>45104</v>
      </c>
      <c r="C1086" s="1" t="n">
        <v>45834</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31599-2023</t>
        </is>
      </c>
      <c r="B1087" s="1" t="n">
        <v>45105</v>
      </c>
      <c r="C1087" s="1" t="n">
        <v>45834</v>
      </c>
      <c r="D1087" t="inlineStr">
        <is>
          <t>UPPSALA LÄN</t>
        </is>
      </c>
      <c r="E1087" t="inlineStr">
        <is>
          <t>UPPSALA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29282-2023</t>
        </is>
      </c>
      <c r="B1088" s="1" t="n">
        <v>45105</v>
      </c>
      <c r="C1088" s="1" t="n">
        <v>45834</v>
      </c>
      <c r="D1088" t="inlineStr">
        <is>
          <t>UPPSALA LÄN</t>
        </is>
      </c>
      <c r="E1088" t="inlineStr">
        <is>
          <t>UPPSALA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31630-2023</t>
        </is>
      </c>
      <c r="B1089" s="1" t="n">
        <v>45105</v>
      </c>
      <c r="C1089" s="1" t="n">
        <v>45834</v>
      </c>
      <c r="D1089" t="inlineStr">
        <is>
          <t>UPPSALA LÄN</t>
        </is>
      </c>
      <c r="E1089" t="inlineStr">
        <is>
          <t>UPPSALA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29579-2023</t>
        </is>
      </c>
      <c r="B1090" s="1" t="n">
        <v>45106</v>
      </c>
      <c r="C1090" s="1" t="n">
        <v>45834</v>
      </c>
      <c r="D1090" t="inlineStr">
        <is>
          <t>UPPSALA LÄN</t>
        </is>
      </c>
      <c r="E1090" t="inlineStr">
        <is>
          <t>UPPSALA</t>
        </is>
      </c>
      <c r="F1090" t="inlineStr">
        <is>
          <t>Kyrkan</t>
        </is>
      </c>
      <c r="G1090" t="n">
        <v>2.7</v>
      </c>
      <c r="H1090" t="n">
        <v>0</v>
      </c>
      <c r="I1090" t="n">
        <v>0</v>
      </c>
      <c r="J1090" t="n">
        <v>0</v>
      </c>
      <c r="K1090" t="n">
        <v>0</v>
      </c>
      <c r="L1090" t="n">
        <v>0</v>
      </c>
      <c r="M1090" t="n">
        <v>0</v>
      </c>
      <c r="N1090" t="n">
        <v>0</v>
      </c>
      <c r="O1090" t="n">
        <v>0</v>
      </c>
      <c r="P1090" t="n">
        <v>0</v>
      </c>
      <c r="Q1090" t="n">
        <v>0</v>
      </c>
      <c r="R1090" s="2" t="inlineStr"/>
      <c r="U1090">
        <f>HYPERLINK("https://klasma.github.io/Logging_0380/knärot/A 29579-2023 karta knärot.png", "A 29579-2023")</f>
        <v/>
      </c>
      <c r="V1090">
        <f>HYPERLINK("https://klasma.github.io/Logging_0380/klagomål/A 29579-2023 FSC-klagomål.docx", "A 29579-2023")</f>
        <v/>
      </c>
      <c r="W1090">
        <f>HYPERLINK("https://klasma.github.io/Logging_0380/klagomålsmail/A 29579-2023 FSC-klagomål mail.docx", "A 29579-2023")</f>
        <v/>
      </c>
      <c r="X1090">
        <f>HYPERLINK("https://klasma.github.io/Logging_0380/tillsyn/A 29579-2023 tillsynsbegäran.docx", "A 29579-2023")</f>
        <v/>
      </c>
      <c r="Y1090">
        <f>HYPERLINK("https://klasma.github.io/Logging_0380/tillsynsmail/A 29579-2023 tillsynsbegäran mail.docx", "A 29579-2023")</f>
        <v/>
      </c>
    </row>
    <row r="1091" ht="15" customHeight="1">
      <c r="A1091" t="inlineStr">
        <is>
          <t>A 29815-2023</t>
        </is>
      </c>
      <c r="B1091" s="1" t="n">
        <v>45107</v>
      </c>
      <c r="C1091" s="1" t="n">
        <v>45834</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29901-2023</t>
        </is>
      </c>
      <c r="B1092" s="1" t="n">
        <v>45107</v>
      </c>
      <c r="C1092" s="1" t="n">
        <v>45834</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29868-2023</t>
        </is>
      </c>
      <c r="B1093" s="1" t="n">
        <v>45107</v>
      </c>
      <c r="C1093" s="1" t="n">
        <v>45834</v>
      </c>
      <c r="D1093" t="inlineStr">
        <is>
          <t>UPPSALA LÄN</t>
        </is>
      </c>
      <c r="E1093" t="inlineStr">
        <is>
          <t>UPPSALA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29799-2023</t>
        </is>
      </c>
      <c r="B1094" s="1" t="n">
        <v>45107</v>
      </c>
      <c r="C1094" s="1" t="n">
        <v>45834</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29808-2023</t>
        </is>
      </c>
      <c r="B1095" s="1" t="n">
        <v>45107</v>
      </c>
      <c r="C1095" s="1" t="n">
        <v>45834</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29926-2023</t>
        </is>
      </c>
      <c r="B1096" s="1" t="n">
        <v>45107</v>
      </c>
      <c r="C1096" s="1" t="n">
        <v>45834</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29927-2023</t>
        </is>
      </c>
      <c r="B1097" s="1" t="n">
        <v>45107</v>
      </c>
      <c r="C1097" s="1" t="n">
        <v>45834</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32428-2023</t>
        </is>
      </c>
      <c r="B1098" s="1" t="n">
        <v>45110</v>
      </c>
      <c r="C1098" s="1" t="n">
        <v>45834</v>
      </c>
      <c r="D1098" t="inlineStr">
        <is>
          <t>UPPSALA LÄN</t>
        </is>
      </c>
      <c r="E1098" t="inlineStr">
        <is>
          <t>UPPSALA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30629-2023</t>
        </is>
      </c>
      <c r="B1099" s="1" t="n">
        <v>45112</v>
      </c>
      <c r="C1099" s="1" t="n">
        <v>45834</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32689-2023</t>
        </is>
      </c>
      <c r="B1100" s="1" t="n">
        <v>45112</v>
      </c>
      <c r="C1100" s="1" t="n">
        <v>45834</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31157-2023</t>
        </is>
      </c>
      <c r="B1101" s="1" t="n">
        <v>45113</v>
      </c>
      <c r="C1101" s="1" t="n">
        <v>45834</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31161-2023</t>
        </is>
      </c>
      <c r="B1102" s="1" t="n">
        <v>45113</v>
      </c>
      <c r="C1102" s="1" t="n">
        <v>45834</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33689-2023</t>
        </is>
      </c>
      <c r="B1103" s="1" t="n">
        <v>45119</v>
      </c>
      <c r="C1103" s="1" t="n">
        <v>45834</v>
      </c>
      <c r="D1103" t="inlineStr">
        <is>
          <t>UPPSALA LÄN</t>
        </is>
      </c>
      <c r="E1103" t="inlineStr">
        <is>
          <t>UPPSALA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32413-2023</t>
        </is>
      </c>
      <c r="B1104" s="1" t="n">
        <v>45120</v>
      </c>
      <c r="C1104" s="1" t="n">
        <v>45834</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32640-2023</t>
        </is>
      </c>
      <c r="B1105" s="1" t="n">
        <v>45121</v>
      </c>
      <c r="C1105" s="1" t="n">
        <v>45834</v>
      </c>
      <c r="D1105" t="inlineStr">
        <is>
          <t>UPPSALA LÄN</t>
        </is>
      </c>
      <c r="E1105" t="inlineStr">
        <is>
          <t>UPPSALA</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32674-2023</t>
        </is>
      </c>
      <c r="B1106" s="1" t="n">
        <v>45121</v>
      </c>
      <c r="C1106" s="1" t="n">
        <v>45834</v>
      </c>
      <c r="D1106" t="inlineStr">
        <is>
          <t>UPPSALA LÄN</t>
        </is>
      </c>
      <c r="E1106" t="inlineStr">
        <is>
          <t>UPPSALA</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32688-2023</t>
        </is>
      </c>
      <c r="B1107" s="1" t="n">
        <v>45121</v>
      </c>
      <c r="C1107" s="1" t="n">
        <v>45834</v>
      </c>
      <c r="D1107" t="inlineStr">
        <is>
          <t>UPPSALA LÄN</t>
        </is>
      </c>
      <c r="E1107" t="inlineStr">
        <is>
          <t>UPPSALA</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33191-2023</t>
        </is>
      </c>
      <c r="B1108" s="1" t="n">
        <v>45127</v>
      </c>
      <c r="C1108" s="1" t="n">
        <v>45834</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33189-2023</t>
        </is>
      </c>
      <c r="B1109" s="1" t="n">
        <v>45127</v>
      </c>
      <c r="C1109" s="1" t="n">
        <v>45834</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34282-2023</t>
        </is>
      </c>
      <c r="B1110" s="1" t="n">
        <v>45128</v>
      </c>
      <c r="C1110" s="1" t="n">
        <v>45834</v>
      </c>
      <c r="D1110" t="inlineStr">
        <is>
          <t>UPPSALA LÄN</t>
        </is>
      </c>
      <c r="E1110" t="inlineStr">
        <is>
          <t>UPPSALA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33562-2023</t>
        </is>
      </c>
      <c r="B1111" s="1" t="n">
        <v>45131</v>
      </c>
      <c r="C1111" s="1" t="n">
        <v>45834</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33700-2023</t>
        </is>
      </c>
      <c r="B1112" s="1" t="n">
        <v>45132</v>
      </c>
      <c r="C1112" s="1" t="n">
        <v>45834</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34509-2023</t>
        </is>
      </c>
      <c r="B1113" s="1" t="n">
        <v>45133</v>
      </c>
      <c r="C1113" s="1" t="n">
        <v>45834</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33941-2023</t>
        </is>
      </c>
      <c r="B1114" s="1" t="n">
        <v>45134</v>
      </c>
      <c r="C1114" s="1" t="n">
        <v>45834</v>
      </c>
      <c r="D1114" t="inlineStr">
        <is>
          <t>UPPSALA LÄN</t>
        </is>
      </c>
      <c r="E1114" t="inlineStr">
        <is>
          <t>UPPSALA</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33982-2023</t>
        </is>
      </c>
      <c r="B1115" s="1" t="n">
        <v>45134</v>
      </c>
      <c r="C1115" s="1" t="n">
        <v>45834</v>
      </c>
      <c r="D1115" t="inlineStr">
        <is>
          <t>UPPSALA LÄN</t>
        </is>
      </c>
      <c r="E1115" t="inlineStr">
        <is>
          <t>UPPSALA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35142-2023</t>
        </is>
      </c>
      <c r="B1116" s="1" t="n">
        <v>45145</v>
      </c>
      <c r="C1116" s="1" t="n">
        <v>45834</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35471-2023</t>
        </is>
      </c>
      <c r="B1117" s="1" t="n">
        <v>45146</v>
      </c>
      <c r="C1117" s="1" t="n">
        <v>45834</v>
      </c>
      <c r="D1117" t="inlineStr">
        <is>
          <t>UPPSALA LÄN</t>
        </is>
      </c>
      <c r="E1117" t="inlineStr">
        <is>
          <t>UPPSALA</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35472-2023</t>
        </is>
      </c>
      <c r="B1118" s="1" t="n">
        <v>45146</v>
      </c>
      <c r="C1118" s="1" t="n">
        <v>45834</v>
      </c>
      <c r="D1118" t="inlineStr">
        <is>
          <t>UPPSALA LÄN</t>
        </is>
      </c>
      <c r="E1118" t="inlineStr">
        <is>
          <t>UPPSALA</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35473-2023</t>
        </is>
      </c>
      <c r="B1119" s="1" t="n">
        <v>45146</v>
      </c>
      <c r="C1119" s="1" t="n">
        <v>45834</v>
      </c>
      <c r="D1119" t="inlineStr">
        <is>
          <t>UPPSALA LÄN</t>
        </is>
      </c>
      <c r="E1119" t="inlineStr">
        <is>
          <t>UPPSALA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35549-2023</t>
        </is>
      </c>
      <c r="B1120" s="1" t="n">
        <v>45147</v>
      </c>
      <c r="C1120" s="1" t="n">
        <v>45834</v>
      </c>
      <c r="D1120" t="inlineStr">
        <is>
          <t>UPPSALA LÄN</t>
        </is>
      </c>
      <c r="E1120" t="inlineStr">
        <is>
          <t>UPPSALA</t>
        </is>
      </c>
      <c r="F1120" t="inlineStr">
        <is>
          <t>Allmännings- och besparingsskogar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35902-2023</t>
        </is>
      </c>
      <c r="B1121" s="1" t="n">
        <v>45148</v>
      </c>
      <c r="C1121" s="1" t="n">
        <v>45834</v>
      </c>
      <c r="D1121" t="inlineStr">
        <is>
          <t>UPPSALA LÄN</t>
        </is>
      </c>
      <c r="E1121" t="inlineStr">
        <is>
          <t>UPPSALA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35906-2023</t>
        </is>
      </c>
      <c r="B1122" s="1" t="n">
        <v>45148</v>
      </c>
      <c r="C1122" s="1" t="n">
        <v>45834</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35914-2023</t>
        </is>
      </c>
      <c r="B1123" s="1" t="n">
        <v>45148</v>
      </c>
      <c r="C1123" s="1" t="n">
        <v>45834</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35922-2023</t>
        </is>
      </c>
      <c r="B1124" s="1" t="n">
        <v>45148</v>
      </c>
      <c r="C1124" s="1" t="n">
        <v>45834</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35916-2023</t>
        </is>
      </c>
      <c r="B1125" s="1" t="n">
        <v>45148</v>
      </c>
      <c r="C1125" s="1" t="n">
        <v>45834</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36028-2023</t>
        </is>
      </c>
      <c r="B1126" s="1" t="n">
        <v>45149</v>
      </c>
      <c r="C1126" s="1" t="n">
        <v>45834</v>
      </c>
      <c r="D1126" t="inlineStr">
        <is>
          <t>UPPSALA LÄN</t>
        </is>
      </c>
      <c r="E1126" t="inlineStr">
        <is>
          <t>UPPSALA</t>
        </is>
      </c>
      <c r="F1126" t="inlineStr">
        <is>
          <t>Allmännings- och besparingsskogar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36123-2023</t>
        </is>
      </c>
      <c r="B1127" s="1" t="n">
        <v>45149</v>
      </c>
      <c r="C1127" s="1" t="n">
        <v>45834</v>
      </c>
      <c r="D1127" t="inlineStr">
        <is>
          <t>UPPSALA LÄN</t>
        </is>
      </c>
      <c r="E1127" t="inlineStr">
        <is>
          <t>UPPSALA</t>
        </is>
      </c>
      <c r="F1127" t="inlineStr">
        <is>
          <t>Allmännings- och besparingsskogar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36159-2023</t>
        </is>
      </c>
      <c r="B1128" s="1" t="n">
        <v>45149</v>
      </c>
      <c r="C1128" s="1" t="n">
        <v>45834</v>
      </c>
      <c r="D1128" t="inlineStr">
        <is>
          <t>UPPSALA LÄN</t>
        </is>
      </c>
      <c r="E1128" t="inlineStr">
        <is>
          <t>UPPSALA</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36388-2023</t>
        </is>
      </c>
      <c r="B1129" s="1" t="n">
        <v>45152</v>
      </c>
      <c r="C1129" s="1" t="n">
        <v>45834</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36392-2023</t>
        </is>
      </c>
      <c r="B1130" s="1" t="n">
        <v>45152</v>
      </c>
      <c r="C1130" s="1" t="n">
        <v>45834</v>
      </c>
      <c r="D1130" t="inlineStr">
        <is>
          <t>UPPSALA LÄN</t>
        </is>
      </c>
      <c r="E1130" t="inlineStr">
        <is>
          <t>UPPSALA</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36479-2023</t>
        </is>
      </c>
      <c r="B1131" s="1" t="n">
        <v>45152</v>
      </c>
      <c r="C1131" s="1" t="n">
        <v>45834</v>
      </c>
      <c r="D1131" t="inlineStr">
        <is>
          <t>UPPSALA LÄN</t>
        </is>
      </c>
      <c r="E1131" t="inlineStr">
        <is>
          <t>UPPSALA</t>
        </is>
      </c>
      <c r="F1131" t="inlineStr">
        <is>
          <t>Allmännings- och besparingsskogar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36478-2023</t>
        </is>
      </c>
      <c r="B1132" s="1" t="n">
        <v>45152</v>
      </c>
      <c r="C1132" s="1" t="n">
        <v>45834</v>
      </c>
      <c r="D1132" t="inlineStr">
        <is>
          <t>UPPSALA LÄN</t>
        </is>
      </c>
      <c r="E1132" t="inlineStr">
        <is>
          <t>UPPSALA</t>
        </is>
      </c>
      <c r="F1132" t="inlineStr">
        <is>
          <t>Allmännings- och besparingsskogar</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36438-2023</t>
        </is>
      </c>
      <c r="B1133" s="1" t="n">
        <v>45152</v>
      </c>
      <c r="C1133" s="1" t="n">
        <v>45834</v>
      </c>
      <c r="D1133" t="inlineStr">
        <is>
          <t>UPPSALA LÄN</t>
        </is>
      </c>
      <c r="E1133" t="inlineStr">
        <is>
          <t>UPPSALA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36738-2023</t>
        </is>
      </c>
      <c r="B1134" s="1" t="n">
        <v>45153</v>
      </c>
      <c r="C1134" s="1" t="n">
        <v>45834</v>
      </c>
      <c r="D1134" t="inlineStr">
        <is>
          <t>UPPSALA LÄN</t>
        </is>
      </c>
      <c r="E1134" t="inlineStr">
        <is>
          <t>UPPSALA</t>
        </is>
      </c>
      <c r="F1134" t="inlineStr">
        <is>
          <t>Allmännings- och besparingsskogar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36739-2023</t>
        </is>
      </c>
      <c r="B1135" s="1" t="n">
        <v>45153</v>
      </c>
      <c r="C1135" s="1" t="n">
        <v>45834</v>
      </c>
      <c r="D1135" t="inlineStr">
        <is>
          <t>UPPSALA LÄN</t>
        </is>
      </c>
      <c r="E1135" t="inlineStr">
        <is>
          <t>UPPSALA</t>
        </is>
      </c>
      <c r="F1135" t="inlineStr">
        <is>
          <t>Allmännings- och besparingsskogar</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36781-2023</t>
        </is>
      </c>
      <c r="B1136" s="1" t="n">
        <v>45154</v>
      </c>
      <c r="C1136" s="1" t="n">
        <v>45834</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36782-2023</t>
        </is>
      </c>
      <c r="B1137" s="1" t="n">
        <v>45154</v>
      </c>
      <c r="C1137" s="1" t="n">
        <v>45834</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36860-2023</t>
        </is>
      </c>
      <c r="B1138" s="1" t="n">
        <v>45154</v>
      </c>
      <c r="C1138" s="1" t="n">
        <v>45834</v>
      </c>
      <c r="D1138" t="inlineStr">
        <is>
          <t>UPPSALA LÄN</t>
        </is>
      </c>
      <c r="E1138" t="inlineStr">
        <is>
          <t>UPPSALA</t>
        </is>
      </c>
      <c r="F1138" t="inlineStr">
        <is>
          <t>Allmännings- och besparingsskogar</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37626-2023</t>
        </is>
      </c>
      <c r="B1139" s="1" t="n">
        <v>45159</v>
      </c>
      <c r="C1139" s="1" t="n">
        <v>45834</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37618-2023</t>
        </is>
      </c>
      <c r="B1140" s="1" t="n">
        <v>45159</v>
      </c>
      <c r="C1140" s="1" t="n">
        <v>45834</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38016-2023</t>
        </is>
      </c>
      <c r="B1141" s="1" t="n">
        <v>45160</v>
      </c>
      <c r="C1141" s="1" t="n">
        <v>45834</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38190-2023</t>
        </is>
      </c>
      <c r="B1142" s="1" t="n">
        <v>45161</v>
      </c>
      <c r="C1142" s="1" t="n">
        <v>45834</v>
      </c>
      <c r="D1142" t="inlineStr">
        <is>
          <t>UPPSALA LÄN</t>
        </is>
      </c>
      <c r="E1142" t="inlineStr">
        <is>
          <t>UPPSALA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38493-2023</t>
        </is>
      </c>
      <c r="B1143" s="1" t="n">
        <v>45162</v>
      </c>
      <c r="C1143" s="1" t="n">
        <v>45834</v>
      </c>
      <c r="D1143" t="inlineStr">
        <is>
          <t>UPPSALA LÄN</t>
        </is>
      </c>
      <c r="E1143" t="inlineStr">
        <is>
          <t>UPPSALA</t>
        </is>
      </c>
      <c r="F1143" t="inlineStr">
        <is>
          <t>Allmännings- och besparingsskogar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38644-2023</t>
        </is>
      </c>
      <c r="B1144" s="1" t="n">
        <v>45162</v>
      </c>
      <c r="C1144" s="1" t="n">
        <v>45834</v>
      </c>
      <c r="D1144" t="inlineStr">
        <is>
          <t>UPPSALA LÄN</t>
        </is>
      </c>
      <c r="E1144" t="inlineStr">
        <is>
          <t>UPPSALA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38645-2023</t>
        </is>
      </c>
      <c r="B1145" s="1" t="n">
        <v>45162</v>
      </c>
      <c r="C1145" s="1" t="n">
        <v>45834</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38664-2023</t>
        </is>
      </c>
      <c r="B1146" s="1" t="n">
        <v>45162</v>
      </c>
      <c r="C1146" s="1" t="n">
        <v>45834</v>
      </c>
      <c r="D1146" t="inlineStr">
        <is>
          <t>UPPSALA LÄN</t>
        </is>
      </c>
      <c r="E1146" t="inlineStr">
        <is>
          <t>UPPSALA</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38663-2023</t>
        </is>
      </c>
      <c r="B1147" s="1" t="n">
        <v>45162</v>
      </c>
      <c r="C1147" s="1" t="n">
        <v>45834</v>
      </c>
      <c r="D1147" t="inlineStr">
        <is>
          <t>UPPSALA LÄN</t>
        </is>
      </c>
      <c r="E1147" t="inlineStr">
        <is>
          <t>UPPSALA</t>
        </is>
      </c>
      <c r="F1147" t="inlineStr">
        <is>
          <t>Bergvik skog öst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38665-2023</t>
        </is>
      </c>
      <c r="B1148" s="1" t="n">
        <v>45162</v>
      </c>
      <c r="C1148" s="1" t="n">
        <v>45834</v>
      </c>
      <c r="D1148" t="inlineStr">
        <is>
          <t>UPPSALA LÄN</t>
        </is>
      </c>
      <c r="E1148" t="inlineStr">
        <is>
          <t>UPPSALA</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38661-2023</t>
        </is>
      </c>
      <c r="B1149" s="1" t="n">
        <v>45162</v>
      </c>
      <c r="C1149" s="1" t="n">
        <v>45834</v>
      </c>
      <c r="D1149" t="inlineStr">
        <is>
          <t>UPPSALA LÄN</t>
        </is>
      </c>
      <c r="E1149" t="inlineStr">
        <is>
          <t>UPPSALA</t>
        </is>
      </c>
      <c r="F1149" t="inlineStr">
        <is>
          <t>Bergvik skog öst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38643-2023</t>
        </is>
      </c>
      <c r="B1150" s="1" t="n">
        <v>45162</v>
      </c>
      <c r="C1150" s="1" t="n">
        <v>45834</v>
      </c>
      <c r="D1150" t="inlineStr">
        <is>
          <t>UPPSALA LÄN</t>
        </is>
      </c>
      <c r="E1150" t="inlineStr">
        <is>
          <t>UPPSALA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38934-2023</t>
        </is>
      </c>
      <c r="B1151" s="1" t="n">
        <v>45163</v>
      </c>
      <c r="C1151" s="1" t="n">
        <v>45834</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39108-2023</t>
        </is>
      </c>
      <c r="B1152" s="1" t="n">
        <v>45164</v>
      </c>
      <c r="C1152" s="1" t="n">
        <v>45834</v>
      </c>
      <c r="D1152" t="inlineStr">
        <is>
          <t>UPPSALA LÄN</t>
        </is>
      </c>
      <c r="E1152" t="inlineStr">
        <is>
          <t>UPPSALA</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39107-2023</t>
        </is>
      </c>
      <c r="B1153" s="1" t="n">
        <v>45164</v>
      </c>
      <c r="C1153" s="1" t="n">
        <v>45834</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39548-2023</t>
        </is>
      </c>
      <c r="B1154" s="1" t="n">
        <v>45167</v>
      </c>
      <c r="C1154" s="1" t="n">
        <v>45834</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39592-2023</t>
        </is>
      </c>
      <c r="B1155" s="1" t="n">
        <v>45167</v>
      </c>
      <c r="C1155" s="1" t="n">
        <v>45834</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39739-2023</t>
        </is>
      </c>
      <c r="B1156" s="1" t="n">
        <v>45167</v>
      </c>
      <c r="C1156" s="1" t="n">
        <v>45834</v>
      </c>
      <c r="D1156" t="inlineStr">
        <is>
          <t>UPPSALA LÄN</t>
        </is>
      </c>
      <c r="E1156" t="inlineStr">
        <is>
          <t>UPPSALA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39926-2023</t>
        </is>
      </c>
      <c r="B1157" s="1" t="n">
        <v>45168</v>
      </c>
      <c r="C1157" s="1" t="n">
        <v>45834</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39918-2023</t>
        </is>
      </c>
      <c r="B1158" s="1" t="n">
        <v>45168</v>
      </c>
      <c r="C1158" s="1" t="n">
        <v>45834</v>
      </c>
      <c r="D1158" t="inlineStr">
        <is>
          <t>UPPSALA LÄN</t>
        </is>
      </c>
      <c r="E1158" t="inlineStr">
        <is>
          <t>UPPSALA</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40369-2023</t>
        </is>
      </c>
      <c r="B1159" s="1" t="n">
        <v>45169</v>
      </c>
      <c r="C1159" s="1" t="n">
        <v>45834</v>
      </c>
      <c r="D1159" t="inlineStr">
        <is>
          <t>UPPSALA LÄN</t>
        </is>
      </c>
      <c r="E1159" t="inlineStr">
        <is>
          <t>UPPSALA</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40312-2023</t>
        </is>
      </c>
      <c r="B1160" s="1" t="n">
        <v>45169</v>
      </c>
      <c r="C1160" s="1" t="n">
        <v>45834</v>
      </c>
      <c r="D1160" t="inlineStr">
        <is>
          <t>UPPSALA LÄN</t>
        </is>
      </c>
      <c r="E1160" t="inlineStr">
        <is>
          <t>UPPSALA</t>
        </is>
      </c>
      <c r="F1160" t="inlineStr">
        <is>
          <t>Kommuner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40124-2023</t>
        </is>
      </c>
      <c r="B1161" s="1" t="n">
        <v>45169</v>
      </c>
      <c r="C1161" s="1" t="n">
        <v>45834</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40325-2023</t>
        </is>
      </c>
      <c r="B1162" s="1" t="n">
        <v>45169</v>
      </c>
      <c r="C1162" s="1" t="n">
        <v>45834</v>
      </c>
      <c r="D1162" t="inlineStr">
        <is>
          <t>UPPSALA LÄN</t>
        </is>
      </c>
      <c r="E1162" t="inlineStr">
        <is>
          <t>UPPSALA</t>
        </is>
      </c>
      <c r="F1162" t="inlineStr">
        <is>
          <t>Kommuner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40872-2023</t>
        </is>
      </c>
      <c r="B1163" s="1" t="n">
        <v>45173</v>
      </c>
      <c r="C1163" s="1" t="n">
        <v>45834</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41002-2023</t>
        </is>
      </c>
      <c r="B1164" s="1" t="n">
        <v>45173</v>
      </c>
      <c r="C1164" s="1" t="n">
        <v>45834</v>
      </c>
      <c r="D1164" t="inlineStr">
        <is>
          <t>UPPSALA LÄN</t>
        </is>
      </c>
      <c r="E1164" t="inlineStr">
        <is>
          <t>UPPSALA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41349-2023</t>
        </is>
      </c>
      <c r="B1165" s="1" t="n">
        <v>45174</v>
      </c>
      <c r="C1165" s="1" t="n">
        <v>45834</v>
      </c>
      <c r="D1165" t="inlineStr">
        <is>
          <t>UPPSALA LÄN</t>
        </is>
      </c>
      <c r="E1165" t="inlineStr">
        <is>
          <t>UPPSALA</t>
        </is>
      </c>
      <c r="F1165" t="inlineStr">
        <is>
          <t>Allmännings- och besparingsskogar</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41346-2023</t>
        </is>
      </c>
      <c r="B1166" s="1" t="n">
        <v>45174</v>
      </c>
      <c r="C1166" s="1" t="n">
        <v>45834</v>
      </c>
      <c r="D1166" t="inlineStr">
        <is>
          <t>UPPSALA LÄN</t>
        </is>
      </c>
      <c r="E1166" t="inlineStr">
        <is>
          <t>UPPSALA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41506-2023</t>
        </is>
      </c>
      <c r="B1167" s="1" t="n">
        <v>45175</v>
      </c>
      <c r="C1167" s="1" t="n">
        <v>45834</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41541-2023</t>
        </is>
      </c>
      <c r="B1168" s="1" t="n">
        <v>45175</v>
      </c>
      <c r="C1168" s="1" t="n">
        <v>45834</v>
      </c>
      <c r="D1168" t="inlineStr">
        <is>
          <t>UPPSALA LÄN</t>
        </is>
      </c>
      <c r="E1168" t="inlineStr">
        <is>
          <t>UPPSALA</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41545-2023</t>
        </is>
      </c>
      <c r="B1169" s="1" t="n">
        <v>45175</v>
      </c>
      <c r="C1169" s="1" t="n">
        <v>45834</v>
      </c>
      <c r="D1169" t="inlineStr">
        <is>
          <t>UPPSALA LÄN</t>
        </is>
      </c>
      <c r="E1169" t="inlineStr">
        <is>
          <t>UPPSALA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41422-2023</t>
        </is>
      </c>
      <c r="B1170" s="1" t="n">
        <v>45175</v>
      </c>
      <c r="C1170" s="1" t="n">
        <v>45834</v>
      </c>
      <c r="D1170" t="inlineStr">
        <is>
          <t>UPPSALA LÄN</t>
        </is>
      </c>
      <c r="E1170" t="inlineStr">
        <is>
          <t>UPPSALA</t>
        </is>
      </c>
      <c r="F1170" t="inlineStr">
        <is>
          <t>Kyrkan</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41538-2023</t>
        </is>
      </c>
      <c r="B1171" s="1" t="n">
        <v>45175</v>
      </c>
      <c r="C1171" s="1" t="n">
        <v>45834</v>
      </c>
      <c r="D1171" t="inlineStr">
        <is>
          <t>UPPSALA LÄN</t>
        </is>
      </c>
      <c r="E1171" t="inlineStr">
        <is>
          <t>UPPSALA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42283-2023</t>
        </is>
      </c>
      <c r="B1172" s="1" t="n">
        <v>45175</v>
      </c>
      <c r="C1172" s="1" t="n">
        <v>45834</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41669-2023</t>
        </is>
      </c>
      <c r="B1173" s="1" t="n">
        <v>45176</v>
      </c>
      <c r="C1173" s="1" t="n">
        <v>45834</v>
      </c>
      <c r="D1173" t="inlineStr">
        <is>
          <t>UPPSALA LÄN</t>
        </is>
      </c>
      <c r="E1173" t="inlineStr">
        <is>
          <t>UPPSALA</t>
        </is>
      </c>
      <c r="F1173" t="inlineStr">
        <is>
          <t>Övriga Aktiebolag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41802-2023</t>
        </is>
      </c>
      <c r="B1174" s="1" t="n">
        <v>45176</v>
      </c>
      <c r="C1174" s="1" t="n">
        <v>45834</v>
      </c>
      <c r="D1174" t="inlineStr">
        <is>
          <t>UPPSALA LÄN</t>
        </is>
      </c>
      <c r="E1174" t="inlineStr">
        <is>
          <t>UPPSALA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41816-2023</t>
        </is>
      </c>
      <c r="B1175" s="1" t="n">
        <v>45176</v>
      </c>
      <c r="C1175" s="1" t="n">
        <v>45834</v>
      </c>
      <c r="D1175" t="inlineStr">
        <is>
          <t>UPPSALA LÄN</t>
        </is>
      </c>
      <c r="E1175" t="inlineStr">
        <is>
          <t>UPPSALA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41950-2023</t>
        </is>
      </c>
      <c r="B1176" s="1" t="n">
        <v>45177</v>
      </c>
      <c r="C1176" s="1" t="n">
        <v>45834</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42134-2023</t>
        </is>
      </c>
      <c r="B1177" s="1" t="n">
        <v>45177</v>
      </c>
      <c r="C1177" s="1" t="n">
        <v>45834</v>
      </c>
      <c r="D1177" t="inlineStr">
        <is>
          <t>UPPSALA LÄN</t>
        </is>
      </c>
      <c r="E1177" t="inlineStr">
        <is>
          <t>UPPSALA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42063-2023</t>
        </is>
      </c>
      <c r="B1178" s="1" t="n">
        <v>45177</v>
      </c>
      <c r="C1178" s="1" t="n">
        <v>45834</v>
      </c>
      <c r="D1178" t="inlineStr">
        <is>
          <t>UPPSALA LÄN</t>
        </is>
      </c>
      <c r="E1178" t="inlineStr">
        <is>
          <t>UPPSALA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42131-2023</t>
        </is>
      </c>
      <c r="B1179" s="1" t="n">
        <v>45177</v>
      </c>
      <c r="C1179" s="1" t="n">
        <v>45834</v>
      </c>
      <c r="D1179" t="inlineStr">
        <is>
          <t>UPPSALA LÄN</t>
        </is>
      </c>
      <c r="E1179" t="inlineStr">
        <is>
          <t>UPPSALA</t>
        </is>
      </c>
      <c r="F1179" t="inlineStr">
        <is>
          <t>Allmännings- och besparingsskogar</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42273-2023</t>
        </is>
      </c>
      <c r="B1180" s="1" t="n">
        <v>45180</v>
      </c>
      <c r="C1180" s="1" t="n">
        <v>45834</v>
      </c>
      <c r="D1180" t="inlineStr">
        <is>
          <t>UPPSALA LÄN</t>
        </is>
      </c>
      <c r="E1180" t="inlineStr">
        <is>
          <t>UPPSALA</t>
        </is>
      </c>
      <c r="F1180" t="inlineStr">
        <is>
          <t>Bergvik skog öst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42436-2023</t>
        </is>
      </c>
      <c r="B1181" s="1" t="n">
        <v>45180</v>
      </c>
      <c r="C1181" s="1" t="n">
        <v>45834</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42282-2023</t>
        </is>
      </c>
      <c r="B1182" s="1" t="n">
        <v>45180</v>
      </c>
      <c r="C1182" s="1" t="n">
        <v>45834</v>
      </c>
      <c r="D1182" t="inlineStr">
        <is>
          <t>UPPSALA LÄN</t>
        </is>
      </c>
      <c r="E1182" t="inlineStr">
        <is>
          <t>UPPSALA</t>
        </is>
      </c>
      <c r="F1182" t="inlineStr">
        <is>
          <t>Bergvik skog öst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42274-2023</t>
        </is>
      </c>
      <c r="B1183" s="1" t="n">
        <v>45180</v>
      </c>
      <c r="C1183" s="1" t="n">
        <v>45834</v>
      </c>
      <c r="D1183" t="inlineStr">
        <is>
          <t>UPPSALA LÄN</t>
        </is>
      </c>
      <c r="E1183" t="inlineStr">
        <is>
          <t>UPPSALA</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42285-2023</t>
        </is>
      </c>
      <c r="B1184" s="1" t="n">
        <v>45180</v>
      </c>
      <c r="C1184" s="1" t="n">
        <v>45834</v>
      </c>
      <c r="D1184" t="inlineStr">
        <is>
          <t>UPPSALA LÄN</t>
        </is>
      </c>
      <c r="E1184" t="inlineStr">
        <is>
          <t>UPPSALA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42376-2023</t>
        </is>
      </c>
      <c r="B1185" s="1" t="n">
        <v>45180</v>
      </c>
      <c r="C1185" s="1" t="n">
        <v>45834</v>
      </c>
      <c r="D1185" t="inlineStr">
        <is>
          <t>UPPSALA LÄN</t>
        </is>
      </c>
      <c r="E1185" t="inlineStr">
        <is>
          <t>UPPSALA</t>
        </is>
      </c>
      <c r="F1185" t="inlineStr">
        <is>
          <t>Bergvik skog öst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42495-2023</t>
        </is>
      </c>
      <c r="B1186" s="1" t="n">
        <v>45180</v>
      </c>
      <c r="C1186" s="1" t="n">
        <v>45834</v>
      </c>
      <c r="D1186" t="inlineStr">
        <is>
          <t>UPPSALA LÄN</t>
        </is>
      </c>
      <c r="E1186" t="inlineStr">
        <is>
          <t>UPPSALA</t>
        </is>
      </c>
      <c r="F1186" t="inlineStr">
        <is>
          <t>Allmännings- och besparingsskogar</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42379-2023</t>
        </is>
      </c>
      <c r="B1187" s="1" t="n">
        <v>45180</v>
      </c>
      <c r="C1187" s="1" t="n">
        <v>45834</v>
      </c>
      <c r="D1187" t="inlineStr">
        <is>
          <t>UPPSALA LÄN</t>
        </is>
      </c>
      <c r="E1187" t="inlineStr">
        <is>
          <t>UPPSALA</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42528-2023</t>
        </is>
      </c>
      <c r="B1188" s="1" t="n">
        <v>45181</v>
      </c>
      <c r="C1188" s="1" t="n">
        <v>45834</v>
      </c>
      <c r="D1188" t="inlineStr">
        <is>
          <t>UPPSALA LÄN</t>
        </is>
      </c>
      <c r="E1188" t="inlineStr">
        <is>
          <t>UPPSALA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42630-2023</t>
        </is>
      </c>
      <c r="B1189" s="1" t="n">
        <v>45181</v>
      </c>
      <c r="C1189" s="1" t="n">
        <v>45834</v>
      </c>
      <c r="D1189" t="inlineStr">
        <is>
          <t>UPPSALA LÄN</t>
        </is>
      </c>
      <c r="E1189" t="inlineStr">
        <is>
          <t>UPPSALA</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42681-2023</t>
        </is>
      </c>
      <c r="B1190" s="1" t="n">
        <v>45181</v>
      </c>
      <c r="C1190" s="1" t="n">
        <v>45834</v>
      </c>
      <c r="D1190" t="inlineStr">
        <is>
          <t>UPPSALA LÄN</t>
        </is>
      </c>
      <c r="E1190" t="inlineStr">
        <is>
          <t>UPPSALA</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42543-2023</t>
        </is>
      </c>
      <c r="B1191" s="1" t="n">
        <v>45181</v>
      </c>
      <c r="C1191" s="1" t="n">
        <v>45834</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42730-2023</t>
        </is>
      </c>
      <c r="B1192" s="1" t="n">
        <v>45181</v>
      </c>
      <c r="C1192" s="1" t="n">
        <v>45834</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42734-2023</t>
        </is>
      </c>
      <c r="B1193" s="1" t="n">
        <v>45181</v>
      </c>
      <c r="C1193" s="1" t="n">
        <v>45834</v>
      </c>
      <c r="D1193" t="inlineStr">
        <is>
          <t>UPPSALA LÄN</t>
        </is>
      </c>
      <c r="E1193" t="inlineStr">
        <is>
          <t>UPPSALA</t>
        </is>
      </c>
      <c r="F1193" t="inlineStr">
        <is>
          <t>Bergvik skog öst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42682-2023</t>
        </is>
      </c>
      <c r="B1194" s="1" t="n">
        <v>45181</v>
      </c>
      <c r="C1194" s="1" t="n">
        <v>45834</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42722-2023</t>
        </is>
      </c>
      <c r="B1195" s="1" t="n">
        <v>45181</v>
      </c>
      <c r="C1195" s="1" t="n">
        <v>45834</v>
      </c>
      <c r="D1195" t="inlineStr">
        <is>
          <t>UPPSALA LÄN</t>
        </is>
      </c>
      <c r="E1195" t="inlineStr">
        <is>
          <t>UPPSALA</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42756-2023</t>
        </is>
      </c>
      <c r="B1196" s="1" t="n">
        <v>45181</v>
      </c>
      <c r="C1196" s="1" t="n">
        <v>45834</v>
      </c>
      <c r="D1196" t="inlineStr">
        <is>
          <t>UPPSALA LÄN</t>
        </is>
      </c>
      <c r="E1196" t="inlineStr">
        <is>
          <t>UPPSALA</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42971-2023</t>
        </is>
      </c>
      <c r="B1197" s="1" t="n">
        <v>45182</v>
      </c>
      <c r="C1197" s="1" t="n">
        <v>45834</v>
      </c>
      <c r="D1197" t="inlineStr">
        <is>
          <t>UPPSALA LÄN</t>
        </is>
      </c>
      <c r="E1197" t="inlineStr">
        <is>
          <t>UPPSALA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43026-2023</t>
        </is>
      </c>
      <c r="B1198" s="1" t="n">
        <v>45182</v>
      </c>
      <c r="C1198" s="1" t="n">
        <v>45834</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42963-2023</t>
        </is>
      </c>
      <c r="B1199" s="1" t="n">
        <v>45182</v>
      </c>
      <c r="C1199" s="1" t="n">
        <v>45834</v>
      </c>
      <c r="D1199" t="inlineStr">
        <is>
          <t>UPPSALA LÄN</t>
        </is>
      </c>
      <c r="E1199" t="inlineStr">
        <is>
          <t>UPPSALA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42967-2023</t>
        </is>
      </c>
      <c r="B1200" s="1" t="n">
        <v>45182</v>
      </c>
      <c r="C1200" s="1" t="n">
        <v>45834</v>
      </c>
      <c r="D1200" t="inlineStr">
        <is>
          <t>UPPSALA LÄN</t>
        </is>
      </c>
      <c r="E1200" t="inlineStr">
        <is>
          <t>UPPSALA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43031-2023</t>
        </is>
      </c>
      <c r="B1201" s="1" t="n">
        <v>45182</v>
      </c>
      <c r="C1201" s="1" t="n">
        <v>45834</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43035-2023</t>
        </is>
      </c>
      <c r="B1202" s="1" t="n">
        <v>45182</v>
      </c>
      <c r="C1202" s="1" t="n">
        <v>45834</v>
      </c>
      <c r="D1202" t="inlineStr">
        <is>
          <t>UPPSALA LÄN</t>
        </is>
      </c>
      <c r="E1202" t="inlineStr">
        <is>
          <t>UPPSALA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43049-2023</t>
        </is>
      </c>
      <c r="B1203" s="1" t="n">
        <v>45182</v>
      </c>
      <c r="C1203" s="1" t="n">
        <v>45834</v>
      </c>
      <c r="D1203" t="inlineStr">
        <is>
          <t>UPPSALA LÄN</t>
        </is>
      </c>
      <c r="E1203" t="inlineStr">
        <is>
          <t>UPPSALA</t>
        </is>
      </c>
      <c r="F1203" t="inlineStr">
        <is>
          <t>Allmännings- och besparingsskogar</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42974-2023</t>
        </is>
      </c>
      <c r="B1204" s="1" t="n">
        <v>45182</v>
      </c>
      <c r="C1204" s="1" t="n">
        <v>45834</v>
      </c>
      <c r="D1204" t="inlineStr">
        <is>
          <t>UPPSALA LÄN</t>
        </is>
      </c>
      <c r="E1204" t="inlineStr">
        <is>
          <t>UPPSALA</t>
        </is>
      </c>
      <c r="F1204" t="inlineStr">
        <is>
          <t>Sveaskog</t>
        </is>
      </c>
      <c r="G1204" t="n">
        <v>3.7</v>
      </c>
      <c r="H1204" t="n">
        <v>0</v>
      </c>
      <c r="I1204" t="n">
        <v>0</v>
      </c>
      <c r="J1204" t="n">
        <v>0</v>
      </c>
      <c r="K1204" t="n">
        <v>0</v>
      </c>
      <c r="L1204" t="n">
        <v>0</v>
      </c>
      <c r="M1204" t="n">
        <v>0</v>
      </c>
      <c r="N1204" t="n">
        <v>0</v>
      </c>
      <c r="O1204" t="n">
        <v>0</v>
      </c>
      <c r="P1204" t="n">
        <v>0</v>
      </c>
      <c r="Q1204" t="n">
        <v>0</v>
      </c>
      <c r="R1204" s="2" t="inlineStr"/>
      <c r="U1204">
        <f>HYPERLINK("https://klasma.github.io/Logging_0380/knärot/A 42974-2023 karta knärot.png", "A 42974-2023")</f>
        <v/>
      </c>
      <c r="V1204">
        <f>HYPERLINK("https://klasma.github.io/Logging_0380/klagomål/A 42974-2023 FSC-klagomål.docx", "A 42974-2023")</f>
        <v/>
      </c>
      <c r="W1204">
        <f>HYPERLINK("https://klasma.github.io/Logging_0380/klagomålsmail/A 42974-2023 FSC-klagomål mail.docx", "A 42974-2023")</f>
        <v/>
      </c>
      <c r="X1204">
        <f>HYPERLINK("https://klasma.github.io/Logging_0380/tillsyn/A 42974-2023 tillsynsbegäran.docx", "A 42974-2023")</f>
        <v/>
      </c>
      <c r="Y1204">
        <f>HYPERLINK("https://klasma.github.io/Logging_0380/tillsynsmail/A 42974-2023 tillsynsbegäran mail.docx", "A 42974-2023")</f>
        <v/>
      </c>
    </row>
    <row r="1205" ht="15" customHeight="1">
      <c r="A1205" t="inlineStr">
        <is>
          <t>A 42978-2023</t>
        </is>
      </c>
      <c r="B1205" s="1" t="n">
        <v>45182</v>
      </c>
      <c r="C1205" s="1" t="n">
        <v>45834</v>
      </c>
      <c r="D1205" t="inlineStr">
        <is>
          <t>UPPSALA LÄN</t>
        </is>
      </c>
      <c r="E1205" t="inlineStr">
        <is>
          <t>UPPSALA</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43029-2023</t>
        </is>
      </c>
      <c r="B1206" s="1" t="n">
        <v>45182</v>
      </c>
      <c r="C1206" s="1" t="n">
        <v>45834</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43818-2023</t>
        </is>
      </c>
      <c r="B1207" s="1" t="n">
        <v>45182</v>
      </c>
      <c r="C1207" s="1" t="n">
        <v>45834</v>
      </c>
      <c r="D1207" t="inlineStr">
        <is>
          <t>UPPSALA LÄN</t>
        </is>
      </c>
      <c r="E1207" t="inlineStr">
        <is>
          <t>UPPSALA</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43795-2023</t>
        </is>
      </c>
      <c r="B1208" s="1" t="n">
        <v>45182</v>
      </c>
      <c r="C1208" s="1" t="n">
        <v>45834</v>
      </c>
      <c r="D1208" t="inlineStr">
        <is>
          <t>UPPSALA LÄN</t>
        </is>
      </c>
      <c r="E1208" t="inlineStr">
        <is>
          <t>UPPSALA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43316-2023</t>
        </is>
      </c>
      <c r="B1209" s="1" t="n">
        <v>45183</v>
      </c>
      <c r="C1209" s="1" t="n">
        <v>45834</v>
      </c>
      <c r="D1209" t="inlineStr">
        <is>
          <t>UPPSALA LÄN</t>
        </is>
      </c>
      <c r="E1209" t="inlineStr">
        <is>
          <t>UPPSALA</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43944-2023</t>
        </is>
      </c>
      <c r="B1210" s="1" t="n">
        <v>45187</v>
      </c>
      <c r="C1210" s="1" t="n">
        <v>45834</v>
      </c>
      <c r="D1210" t="inlineStr">
        <is>
          <t>UPPSALA LÄN</t>
        </is>
      </c>
      <c r="E1210" t="inlineStr">
        <is>
          <t>UPPSALA</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43775-2023</t>
        </is>
      </c>
      <c r="B1211" s="1" t="n">
        <v>45187</v>
      </c>
      <c r="C1211" s="1" t="n">
        <v>45834</v>
      </c>
      <c r="D1211" t="inlineStr">
        <is>
          <t>UPPSALA LÄN</t>
        </is>
      </c>
      <c r="E1211" t="inlineStr">
        <is>
          <t>UPPSALA</t>
        </is>
      </c>
      <c r="F1211" t="inlineStr">
        <is>
          <t>Bergvik skog öst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43779-2023</t>
        </is>
      </c>
      <c r="B1212" s="1" t="n">
        <v>45187</v>
      </c>
      <c r="C1212" s="1" t="n">
        <v>45834</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43776-2023</t>
        </is>
      </c>
      <c r="B1213" s="1" t="n">
        <v>45187</v>
      </c>
      <c r="C1213" s="1" t="n">
        <v>45834</v>
      </c>
      <c r="D1213" t="inlineStr">
        <is>
          <t>UPPSALA LÄN</t>
        </is>
      </c>
      <c r="E1213" t="inlineStr">
        <is>
          <t>UPPSALA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43855-2023</t>
        </is>
      </c>
      <c r="B1214" s="1" t="n">
        <v>45187</v>
      </c>
      <c r="C1214" s="1" t="n">
        <v>45834</v>
      </c>
      <c r="D1214" t="inlineStr">
        <is>
          <t>UPPSALA LÄN</t>
        </is>
      </c>
      <c r="E1214" t="inlineStr">
        <is>
          <t>UPPSALA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43778-2023</t>
        </is>
      </c>
      <c r="B1215" s="1" t="n">
        <v>45187</v>
      </c>
      <c r="C1215" s="1" t="n">
        <v>45834</v>
      </c>
      <c r="D1215" t="inlineStr">
        <is>
          <t>UPPSALA LÄN</t>
        </is>
      </c>
      <c r="E1215" t="inlineStr">
        <is>
          <t>UPPSALA</t>
        </is>
      </c>
      <c r="F1215" t="inlineStr">
        <is>
          <t>Bergvik skog öst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44875-2023</t>
        </is>
      </c>
      <c r="B1216" s="1" t="n">
        <v>45187</v>
      </c>
      <c r="C1216" s="1" t="n">
        <v>45834</v>
      </c>
      <c r="D1216" t="inlineStr">
        <is>
          <t>UPPSALA LÄN</t>
        </is>
      </c>
      <c r="E1216" t="inlineStr">
        <is>
          <t>UPPSALA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44080-2023</t>
        </is>
      </c>
      <c r="B1217" s="1" t="n">
        <v>45188</v>
      </c>
      <c r="C1217" s="1" t="n">
        <v>45834</v>
      </c>
      <c r="D1217" t="inlineStr">
        <is>
          <t>UPPSALA LÄN</t>
        </is>
      </c>
      <c r="E1217" t="inlineStr">
        <is>
          <t>UPPSALA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44115-2023</t>
        </is>
      </c>
      <c r="B1218" s="1" t="n">
        <v>45188</v>
      </c>
      <c r="C1218" s="1" t="n">
        <v>45834</v>
      </c>
      <c r="D1218" t="inlineStr">
        <is>
          <t>UPPSALA LÄN</t>
        </is>
      </c>
      <c r="E1218" t="inlineStr">
        <is>
          <t>UPPSALA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44232-2023</t>
        </is>
      </c>
      <c r="B1219" s="1" t="n">
        <v>45188</v>
      </c>
      <c r="C1219" s="1" t="n">
        <v>45834</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44105-2023</t>
        </is>
      </c>
      <c r="B1220" s="1" t="n">
        <v>45188</v>
      </c>
      <c r="C1220" s="1" t="n">
        <v>45834</v>
      </c>
      <c r="D1220" t="inlineStr">
        <is>
          <t>UPPSALA LÄN</t>
        </is>
      </c>
      <c r="E1220" t="inlineStr">
        <is>
          <t>UPPSALA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44333-2023</t>
        </is>
      </c>
      <c r="B1221" s="1" t="n">
        <v>45188</v>
      </c>
      <c r="C1221" s="1" t="n">
        <v>45834</v>
      </c>
      <c r="D1221" t="inlineStr">
        <is>
          <t>UPPSALA LÄN</t>
        </is>
      </c>
      <c r="E1221" t="inlineStr">
        <is>
          <t>UPPSALA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44337-2023</t>
        </is>
      </c>
      <c r="B1222" s="1" t="n">
        <v>45188</v>
      </c>
      <c r="C1222" s="1" t="n">
        <v>45834</v>
      </c>
      <c r="D1222" t="inlineStr">
        <is>
          <t>UPPSALA LÄN</t>
        </is>
      </c>
      <c r="E1222" t="inlineStr">
        <is>
          <t>UPPSALA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44257-2023</t>
        </is>
      </c>
      <c r="B1223" s="1" t="n">
        <v>45188</v>
      </c>
      <c r="C1223" s="1" t="n">
        <v>45834</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44815-2023</t>
        </is>
      </c>
      <c r="B1224" s="1" t="n">
        <v>45190</v>
      </c>
      <c r="C1224" s="1" t="n">
        <v>45834</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44830-2023</t>
        </is>
      </c>
      <c r="B1225" s="1" t="n">
        <v>45190</v>
      </c>
      <c r="C1225" s="1" t="n">
        <v>45834</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44785-2023</t>
        </is>
      </c>
      <c r="B1226" s="1" t="n">
        <v>45190</v>
      </c>
      <c r="C1226" s="1" t="n">
        <v>45834</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45244-2023</t>
        </is>
      </c>
      <c r="B1227" s="1" t="n">
        <v>45191</v>
      </c>
      <c r="C1227" s="1" t="n">
        <v>45834</v>
      </c>
      <c r="D1227" t="inlineStr">
        <is>
          <t>UPPSALA LÄN</t>
        </is>
      </c>
      <c r="E1227" t="inlineStr">
        <is>
          <t>UPPSALA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45223-2023</t>
        </is>
      </c>
      <c r="B1228" s="1" t="n">
        <v>45191</v>
      </c>
      <c r="C1228" s="1" t="n">
        <v>45834</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45489-2023</t>
        </is>
      </c>
      <c r="B1229" s="1" t="n">
        <v>45194</v>
      </c>
      <c r="C1229" s="1" t="n">
        <v>45834</v>
      </c>
      <c r="D1229" t="inlineStr">
        <is>
          <t>UPPSALA LÄN</t>
        </is>
      </c>
      <c r="E1229" t="inlineStr">
        <is>
          <t>UPPSALA</t>
        </is>
      </c>
      <c r="F1229" t="inlineStr">
        <is>
          <t>Allmännings- och besparingsskogar</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45575-2023</t>
        </is>
      </c>
      <c r="B1230" s="1" t="n">
        <v>45194</v>
      </c>
      <c r="C1230" s="1" t="n">
        <v>45834</v>
      </c>
      <c r="D1230" t="inlineStr">
        <is>
          <t>UPPSALA LÄN</t>
        </is>
      </c>
      <c r="E1230" t="inlineStr">
        <is>
          <t>UPPSALA</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45578-2023</t>
        </is>
      </c>
      <c r="B1231" s="1" t="n">
        <v>45194</v>
      </c>
      <c r="C1231" s="1" t="n">
        <v>45834</v>
      </c>
      <c r="D1231" t="inlineStr">
        <is>
          <t>UPPSALA LÄN</t>
        </is>
      </c>
      <c r="E1231" t="inlineStr">
        <is>
          <t>UPPSALA</t>
        </is>
      </c>
      <c r="F1231" t="inlineStr">
        <is>
          <t>Bergvik skog öst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45592-2023</t>
        </is>
      </c>
      <c r="B1232" s="1" t="n">
        <v>45194</v>
      </c>
      <c r="C1232" s="1" t="n">
        <v>45834</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45662-2023</t>
        </is>
      </c>
      <c r="B1233" s="1" t="n">
        <v>45194</v>
      </c>
      <c r="C1233" s="1" t="n">
        <v>45834</v>
      </c>
      <c r="D1233" t="inlineStr">
        <is>
          <t>UPPSALA LÄN</t>
        </is>
      </c>
      <c r="E1233" t="inlineStr">
        <is>
          <t>UPPSALA</t>
        </is>
      </c>
      <c r="F1233" t="inlineStr">
        <is>
          <t>Bergvik skog öst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45661-2023</t>
        </is>
      </c>
      <c r="B1234" s="1" t="n">
        <v>45194</v>
      </c>
      <c r="C1234" s="1" t="n">
        <v>45834</v>
      </c>
      <c r="D1234" t="inlineStr">
        <is>
          <t>UPPSALA LÄN</t>
        </is>
      </c>
      <c r="E1234" t="inlineStr">
        <is>
          <t>UPPSALA</t>
        </is>
      </c>
      <c r="F1234" t="inlineStr">
        <is>
          <t>Bergvik skog öst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45892-2023</t>
        </is>
      </c>
      <c r="B1235" s="1" t="n">
        <v>45195</v>
      </c>
      <c r="C1235" s="1" t="n">
        <v>45834</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45885-2023</t>
        </is>
      </c>
      <c r="B1236" s="1" t="n">
        <v>45195</v>
      </c>
      <c r="C1236" s="1" t="n">
        <v>45834</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46335-2023</t>
        </is>
      </c>
      <c r="B1237" s="1" t="n">
        <v>45197</v>
      </c>
      <c r="C1237" s="1" t="n">
        <v>45834</v>
      </c>
      <c r="D1237" t="inlineStr">
        <is>
          <t>UPPSALA LÄN</t>
        </is>
      </c>
      <c r="E1237" t="inlineStr">
        <is>
          <t>UPPSALA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46869-2023</t>
        </is>
      </c>
      <c r="B1238" s="1" t="n">
        <v>45200</v>
      </c>
      <c r="C1238" s="1" t="n">
        <v>45834</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46995-2023</t>
        </is>
      </c>
      <c r="B1239" s="1" t="n">
        <v>45201</v>
      </c>
      <c r="C1239" s="1" t="n">
        <v>45834</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47083-2023</t>
        </is>
      </c>
      <c r="B1240" s="1" t="n">
        <v>45201</v>
      </c>
      <c r="C1240" s="1" t="n">
        <v>45834</v>
      </c>
      <c r="D1240" t="inlineStr">
        <is>
          <t>UPPSALA LÄN</t>
        </is>
      </c>
      <c r="E1240" t="inlineStr">
        <is>
          <t>UPPSALA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47221-2023</t>
        </is>
      </c>
      <c r="B1241" s="1" t="n">
        <v>45202</v>
      </c>
      <c r="C1241" s="1" t="n">
        <v>45834</v>
      </c>
      <c r="D1241" t="inlineStr">
        <is>
          <t>UPPSALA LÄN</t>
        </is>
      </c>
      <c r="E1241" t="inlineStr">
        <is>
          <t>UPPSALA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47314-2023</t>
        </is>
      </c>
      <c r="B1242" s="1" t="n">
        <v>45202</v>
      </c>
      <c r="C1242" s="1" t="n">
        <v>45834</v>
      </c>
      <c r="D1242" t="inlineStr">
        <is>
          <t>UPPSALA LÄN</t>
        </is>
      </c>
      <c r="E1242" t="inlineStr">
        <is>
          <t>UPPSALA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45834</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47316-2023</t>
        </is>
      </c>
      <c r="B1244" s="1" t="n">
        <v>45202</v>
      </c>
      <c r="C1244" s="1" t="n">
        <v>45834</v>
      </c>
      <c r="D1244" t="inlineStr">
        <is>
          <t>UPPSALA LÄN</t>
        </is>
      </c>
      <c r="E1244" t="inlineStr">
        <is>
          <t>UPPSALA</t>
        </is>
      </c>
      <c r="F1244" t="inlineStr">
        <is>
          <t>Bergvik skog öst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47618-2023</t>
        </is>
      </c>
      <c r="B1245" s="1" t="n">
        <v>45203</v>
      </c>
      <c r="C1245" s="1" t="n">
        <v>45834</v>
      </c>
      <c r="D1245" t="inlineStr">
        <is>
          <t>UPPSALA LÄN</t>
        </is>
      </c>
      <c r="E1245" t="inlineStr">
        <is>
          <t>UPPSALA</t>
        </is>
      </c>
      <c r="F1245" t="inlineStr">
        <is>
          <t>Bergvik skog öst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48562-2023</t>
        </is>
      </c>
      <c r="B1246" s="1" t="n">
        <v>45208</v>
      </c>
      <c r="C1246" s="1" t="n">
        <v>45834</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48564-2023</t>
        </is>
      </c>
      <c r="B1247" s="1" t="n">
        <v>45208</v>
      </c>
      <c r="C1247" s="1" t="n">
        <v>45834</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48571-2023</t>
        </is>
      </c>
      <c r="B1248" s="1" t="n">
        <v>45208</v>
      </c>
      <c r="C1248" s="1" t="n">
        <v>45834</v>
      </c>
      <c r="D1248" t="inlineStr">
        <is>
          <t>UPPSALA LÄN</t>
        </is>
      </c>
      <c r="E1248" t="inlineStr">
        <is>
          <t>UPPSALA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48584-2023</t>
        </is>
      </c>
      <c r="B1249" s="1" t="n">
        <v>45208</v>
      </c>
      <c r="C1249" s="1" t="n">
        <v>45834</v>
      </c>
      <c r="D1249" t="inlineStr">
        <is>
          <t>UPPSALA LÄN</t>
        </is>
      </c>
      <c r="E1249" t="inlineStr">
        <is>
          <t>UPPSALA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49189-2023</t>
        </is>
      </c>
      <c r="B1250" s="1" t="n">
        <v>45210</v>
      </c>
      <c r="C1250" s="1" t="n">
        <v>45834</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49201-2023</t>
        </is>
      </c>
      <c r="B1251" s="1" t="n">
        <v>45210</v>
      </c>
      <c r="C1251" s="1" t="n">
        <v>45834</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49682-2023</t>
        </is>
      </c>
      <c r="B1252" s="1" t="n">
        <v>45212</v>
      </c>
      <c r="C1252" s="1" t="n">
        <v>45834</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49996-2023</t>
        </is>
      </c>
      <c r="B1253" s="1" t="n">
        <v>45215</v>
      </c>
      <c r="C1253" s="1" t="n">
        <v>45834</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50118-2023</t>
        </is>
      </c>
      <c r="B1254" s="1" t="n">
        <v>45215</v>
      </c>
      <c r="C1254" s="1" t="n">
        <v>45834</v>
      </c>
      <c r="D1254" t="inlineStr">
        <is>
          <t>UPPSALA LÄN</t>
        </is>
      </c>
      <c r="E1254" t="inlineStr">
        <is>
          <t>UPPSALA</t>
        </is>
      </c>
      <c r="G1254" t="n">
        <v>12.7</v>
      </c>
      <c r="H1254" t="n">
        <v>0</v>
      </c>
      <c r="I1254" t="n">
        <v>0</v>
      </c>
      <c r="J1254" t="n">
        <v>0</v>
      </c>
      <c r="K1254" t="n">
        <v>0</v>
      </c>
      <c r="L1254" t="n">
        <v>0</v>
      </c>
      <c r="M1254" t="n">
        <v>0</v>
      </c>
      <c r="N1254" t="n">
        <v>0</v>
      </c>
      <c r="O1254" t="n">
        <v>0</v>
      </c>
      <c r="P1254" t="n">
        <v>0</v>
      </c>
      <c r="Q1254" t="n">
        <v>0</v>
      </c>
      <c r="R1254" s="2" t="inlineStr"/>
    </row>
    <row r="1255" ht="15" customHeight="1">
      <c r="A1255" t="inlineStr">
        <is>
          <t>A 51843-2023</t>
        </is>
      </c>
      <c r="B1255" s="1" t="n">
        <v>45215</v>
      </c>
      <c r="C1255" s="1" t="n">
        <v>45834</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50267-2023</t>
        </is>
      </c>
      <c r="B1256" s="1" t="n">
        <v>45216</v>
      </c>
      <c r="C1256" s="1" t="n">
        <v>45834</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50473-2023</t>
        </is>
      </c>
      <c r="B1257" s="1" t="n">
        <v>45216</v>
      </c>
      <c r="C1257" s="1" t="n">
        <v>45834</v>
      </c>
      <c r="D1257" t="inlineStr">
        <is>
          <t>UPPSALA LÄN</t>
        </is>
      </c>
      <c r="E1257" t="inlineStr">
        <is>
          <t>UPPSALA</t>
        </is>
      </c>
      <c r="F1257" t="inlineStr">
        <is>
          <t>Allmännings- och besparingsskogar</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50395-2023</t>
        </is>
      </c>
      <c r="B1258" s="1" t="n">
        <v>45216</v>
      </c>
      <c r="C1258" s="1" t="n">
        <v>45834</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51016-2023</t>
        </is>
      </c>
      <c r="B1259" s="1" t="n">
        <v>45218</v>
      </c>
      <c r="C1259" s="1" t="n">
        <v>45834</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51006-2023</t>
        </is>
      </c>
      <c r="B1260" s="1" t="n">
        <v>45218</v>
      </c>
      <c r="C1260" s="1" t="n">
        <v>45834</v>
      </c>
      <c r="D1260" t="inlineStr">
        <is>
          <t>UPPSALA LÄN</t>
        </is>
      </c>
      <c r="E1260" t="inlineStr">
        <is>
          <t>UPPSALA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51542-2023</t>
        </is>
      </c>
      <c r="B1261" s="1" t="n">
        <v>45222</v>
      </c>
      <c r="C1261" s="1" t="n">
        <v>45834</v>
      </c>
      <c r="D1261" t="inlineStr">
        <is>
          <t>UPPSALA LÄN</t>
        </is>
      </c>
      <c r="E1261" t="inlineStr">
        <is>
          <t>UPPSALA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51734-2023</t>
        </is>
      </c>
      <c r="B1262" s="1" t="n">
        <v>45222</v>
      </c>
      <c r="C1262" s="1" t="n">
        <v>45834</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51731-2023</t>
        </is>
      </c>
      <c r="B1263" s="1" t="n">
        <v>45222</v>
      </c>
      <c r="C1263" s="1" t="n">
        <v>45834</v>
      </c>
      <c r="D1263" t="inlineStr">
        <is>
          <t>UPPSALA LÄN</t>
        </is>
      </c>
      <c r="E1263" t="inlineStr">
        <is>
          <t>UPPSALA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51576-2023</t>
        </is>
      </c>
      <c r="B1264" s="1" t="n">
        <v>45222</v>
      </c>
      <c r="C1264" s="1" t="n">
        <v>45834</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51697-2023</t>
        </is>
      </c>
      <c r="B1265" s="1" t="n">
        <v>45222</v>
      </c>
      <c r="C1265" s="1" t="n">
        <v>45834</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51935-2023</t>
        </is>
      </c>
      <c r="B1266" s="1" t="n">
        <v>45223</v>
      </c>
      <c r="C1266" s="1" t="n">
        <v>45834</v>
      </c>
      <c r="D1266" t="inlineStr">
        <is>
          <t>UPPSALA LÄN</t>
        </is>
      </c>
      <c r="E1266" t="inlineStr">
        <is>
          <t>UPPSALA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52273-2023</t>
        </is>
      </c>
      <c r="B1267" s="1" t="n">
        <v>45224</v>
      </c>
      <c r="C1267" s="1" t="n">
        <v>45834</v>
      </c>
      <c r="D1267" t="inlineStr">
        <is>
          <t>UPPSALA LÄN</t>
        </is>
      </c>
      <c r="E1267" t="inlineStr">
        <is>
          <t>UPPSALA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52492-2023</t>
        </is>
      </c>
      <c r="B1268" s="1" t="n">
        <v>45225</v>
      </c>
      <c r="C1268" s="1" t="n">
        <v>45834</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52503-2023</t>
        </is>
      </c>
      <c r="B1269" s="1" t="n">
        <v>45225</v>
      </c>
      <c r="C1269" s="1" t="n">
        <v>45834</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52518-2023</t>
        </is>
      </c>
      <c r="B1270" s="1" t="n">
        <v>45225</v>
      </c>
      <c r="C1270" s="1" t="n">
        <v>45834</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45834</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53919-2023</t>
        </is>
      </c>
      <c r="B1272" s="1" t="n">
        <v>45231</v>
      </c>
      <c r="C1272" s="1" t="n">
        <v>45834</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53982-2023</t>
        </is>
      </c>
      <c r="B1273" s="1" t="n">
        <v>45231</v>
      </c>
      <c r="C1273" s="1" t="n">
        <v>45834</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53882-2023</t>
        </is>
      </c>
      <c r="B1274" s="1" t="n">
        <v>45231</v>
      </c>
      <c r="C1274" s="1" t="n">
        <v>45834</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53900-2023</t>
        </is>
      </c>
      <c r="B1275" s="1" t="n">
        <v>45231</v>
      </c>
      <c r="C1275" s="1" t="n">
        <v>45834</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53963-2023</t>
        </is>
      </c>
      <c r="B1276" s="1" t="n">
        <v>45231</v>
      </c>
      <c r="C1276" s="1" t="n">
        <v>45834</v>
      </c>
      <c r="D1276" t="inlineStr">
        <is>
          <t>UPPSALA LÄN</t>
        </is>
      </c>
      <c r="E1276" t="inlineStr">
        <is>
          <t>UPPSALA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53967-2023</t>
        </is>
      </c>
      <c r="B1277" s="1" t="n">
        <v>45231</v>
      </c>
      <c r="C1277" s="1" t="n">
        <v>45834</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53803-2023</t>
        </is>
      </c>
      <c r="B1278" s="1" t="n">
        <v>45231</v>
      </c>
      <c r="C1278" s="1" t="n">
        <v>45834</v>
      </c>
      <c r="D1278" t="inlineStr">
        <is>
          <t>UPPSALA LÄN</t>
        </is>
      </c>
      <c r="E1278" t="inlineStr">
        <is>
          <t>UPPSALA</t>
        </is>
      </c>
      <c r="G1278" t="n">
        <v>17.6</v>
      </c>
      <c r="H1278" t="n">
        <v>0</v>
      </c>
      <c r="I1278" t="n">
        <v>0</v>
      </c>
      <c r="J1278" t="n">
        <v>0</v>
      </c>
      <c r="K1278" t="n">
        <v>0</v>
      </c>
      <c r="L1278" t="n">
        <v>0</v>
      </c>
      <c r="M1278" t="n">
        <v>0</v>
      </c>
      <c r="N1278" t="n">
        <v>0</v>
      </c>
      <c r="O1278" t="n">
        <v>0</v>
      </c>
      <c r="P1278" t="n">
        <v>0</v>
      </c>
      <c r="Q1278" t="n">
        <v>0</v>
      </c>
      <c r="R1278" s="2" t="inlineStr"/>
    </row>
    <row r="1279" ht="15" customHeight="1">
      <c r="A1279" t="inlineStr">
        <is>
          <t>A 53906-2023</t>
        </is>
      </c>
      <c r="B1279" s="1" t="n">
        <v>45231</v>
      </c>
      <c r="C1279" s="1" t="n">
        <v>45834</v>
      </c>
      <c r="D1279" t="inlineStr">
        <is>
          <t>UPPSALA LÄN</t>
        </is>
      </c>
      <c r="E1279" t="inlineStr">
        <is>
          <t>UPPSALA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54231-2023</t>
        </is>
      </c>
      <c r="B1280" s="1" t="n">
        <v>45232</v>
      </c>
      <c r="C1280" s="1" t="n">
        <v>45834</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55529-2023</t>
        </is>
      </c>
      <c r="B1281" s="1" t="n">
        <v>45232</v>
      </c>
      <c r="C1281" s="1" t="n">
        <v>45834</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54375-2023</t>
        </is>
      </c>
      <c r="B1282" s="1" t="n">
        <v>45233</v>
      </c>
      <c r="C1282" s="1" t="n">
        <v>45834</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54474-2023</t>
        </is>
      </c>
      <c r="B1283" s="1" t="n">
        <v>45233</v>
      </c>
      <c r="C1283" s="1" t="n">
        <v>45834</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54461-2023</t>
        </is>
      </c>
      <c r="B1284" s="1" t="n">
        <v>45233</v>
      </c>
      <c r="C1284" s="1" t="n">
        <v>45834</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45834</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54704-2023</t>
        </is>
      </c>
      <c r="B1286" s="1" t="n">
        <v>45236</v>
      </c>
      <c r="C1286" s="1" t="n">
        <v>45834</v>
      </c>
      <c r="D1286" t="inlineStr">
        <is>
          <t>UPPSALA LÄN</t>
        </is>
      </c>
      <c r="E1286" t="inlineStr">
        <is>
          <t>UPPSALA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54783-2023</t>
        </is>
      </c>
      <c r="B1287" s="1" t="n">
        <v>45236</v>
      </c>
      <c r="C1287" s="1" t="n">
        <v>45834</v>
      </c>
      <c r="D1287" t="inlineStr">
        <is>
          <t>UPPSALA LÄN</t>
        </is>
      </c>
      <c r="E1287" t="inlineStr">
        <is>
          <t>UPPSALA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55598-2023</t>
        </is>
      </c>
      <c r="B1288" s="1" t="n">
        <v>45238</v>
      </c>
      <c r="C1288" s="1" t="n">
        <v>45834</v>
      </c>
      <c r="D1288" t="inlineStr">
        <is>
          <t>UPPSALA LÄN</t>
        </is>
      </c>
      <c r="E1288" t="inlineStr">
        <is>
          <t>UPPSALA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56084-2023</t>
        </is>
      </c>
      <c r="B1289" s="1" t="n">
        <v>45240</v>
      </c>
      <c r="C1289" s="1" t="n">
        <v>45834</v>
      </c>
      <c r="D1289" t="inlineStr">
        <is>
          <t>UPPSALA LÄN</t>
        </is>
      </c>
      <c r="E1289" t="inlineStr">
        <is>
          <t>UPPSALA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56082-2023</t>
        </is>
      </c>
      <c r="B1290" s="1" t="n">
        <v>45240</v>
      </c>
      <c r="C1290" s="1" t="n">
        <v>45834</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56105-2023</t>
        </is>
      </c>
      <c r="B1291" s="1" t="n">
        <v>45240</v>
      </c>
      <c r="C1291" s="1" t="n">
        <v>45834</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56077-2023</t>
        </is>
      </c>
      <c r="B1292" s="1" t="n">
        <v>45240</v>
      </c>
      <c r="C1292" s="1" t="n">
        <v>45834</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56278-2023</t>
        </is>
      </c>
      <c r="B1293" s="1" t="n">
        <v>45241</v>
      </c>
      <c r="C1293" s="1" t="n">
        <v>45834</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56642-2023</t>
        </is>
      </c>
      <c r="B1294" s="1" t="n">
        <v>45243</v>
      </c>
      <c r="C1294" s="1" t="n">
        <v>45834</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56852-2023</t>
        </is>
      </c>
      <c r="B1295" s="1" t="n">
        <v>45244</v>
      </c>
      <c r="C1295" s="1" t="n">
        <v>45834</v>
      </c>
      <c r="D1295" t="inlineStr">
        <is>
          <t>UPPSALA LÄN</t>
        </is>
      </c>
      <c r="E1295" t="inlineStr">
        <is>
          <t>UPPSALA</t>
        </is>
      </c>
      <c r="F1295" t="inlineStr">
        <is>
          <t>Holmen skog AB</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56872-2023</t>
        </is>
      </c>
      <c r="B1296" s="1" t="n">
        <v>45244</v>
      </c>
      <c r="C1296" s="1" t="n">
        <v>45834</v>
      </c>
      <c r="D1296" t="inlineStr">
        <is>
          <t>UPPSALA LÄN</t>
        </is>
      </c>
      <c r="E1296" t="inlineStr">
        <is>
          <t>UPPSALA</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57186-2023</t>
        </is>
      </c>
      <c r="B1297" s="1" t="n">
        <v>45245</v>
      </c>
      <c r="C1297" s="1" t="n">
        <v>45834</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57182-2023</t>
        </is>
      </c>
      <c r="B1298" s="1" t="n">
        <v>45245</v>
      </c>
      <c r="C1298" s="1" t="n">
        <v>45834</v>
      </c>
      <c r="D1298" t="inlineStr">
        <is>
          <t>UPPSALA LÄN</t>
        </is>
      </c>
      <c r="E1298" t="inlineStr">
        <is>
          <t>UPPSALA</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59240-2023</t>
        </is>
      </c>
      <c r="B1299" s="1" t="n">
        <v>45253</v>
      </c>
      <c r="C1299" s="1" t="n">
        <v>45834</v>
      </c>
      <c r="D1299" t="inlineStr">
        <is>
          <t>UPPSALA LÄN</t>
        </is>
      </c>
      <c r="E1299" t="inlineStr">
        <is>
          <t>UPPSALA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59511-2023</t>
        </is>
      </c>
      <c r="B1300" s="1" t="n">
        <v>45254</v>
      </c>
      <c r="C1300" s="1" t="n">
        <v>45834</v>
      </c>
      <c r="D1300" t="inlineStr">
        <is>
          <t>UPPSALA LÄN</t>
        </is>
      </c>
      <c r="E1300" t="inlineStr">
        <is>
          <t>UPPSALA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59521-2023</t>
        </is>
      </c>
      <c r="B1301" s="1" t="n">
        <v>45254</v>
      </c>
      <c r="C1301" s="1" t="n">
        <v>45834</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59564-2023</t>
        </is>
      </c>
      <c r="B1302" s="1" t="n">
        <v>45254</v>
      </c>
      <c r="C1302" s="1" t="n">
        <v>45834</v>
      </c>
      <c r="D1302" t="inlineStr">
        <is>
          <t>UPPSALA LÄN</t>
        </is>
      </c>
      <c r="E1302" t="inlineStr">
        <is>
          <t>UPPSALA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59570-2023</t>
        </is>
      </c>
      <c r="B1303" s="1" t="n">
        <v>45254</v>
      </c>
      <c r="C1303" s="1" t="n">
        <v>45834</v>
      </c>
      <c r="D1303" t="inlineStr">
        <is>
          <t>UPPSALA LÄN</t>
        </is>
      </c>
      <c r="E1303" t="inlineStr">
        <is>
          <t>UPPSALA</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59585-2023</t>
        </is>
      </c>
      <c r="B1304" s="1" t="n">
        <v>45254</v>
      </c>
      <c r="C1304" s="1" t="n">
        <v>45834</v>
      </c>
      <c r="D1304" t="inlineStr">
        <is>
          <t>UPPSALA LÄN</t>
        </is>
      </c>
      <c r="E1304" t="inlineStr">
        <is>
          <t>UPPSALA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59489-2023</t>
        </is>
      </c>
      <c r="B1305" s="1" t="n">
        <v>45254</v>
      </c>
      <c r="C1305" s="1" t="n">
        <v>45834</v>
      </c>
      <c r="D1305" t="inlineStr">
        <is>
          <t>UPPSALA LÄN</t>
        </is>
      </c>
      <c r="E1305" t="inlineStr">
        <is>
          <t>UPPSALA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59856-2023</t>
        </is>
      </c>
      <c r="B1306" s="1" t="n">
        <v>45257</v>
      </c>
      <c r="C1306" s="1" t="n">
        <v>45834</v>
      </c>
      <c r="D1306" t="inlineStr">
        <is>
          <t>UPPSALA LÄN</t>
        </is>
      </c>
      <c r="E1306" t="inlineStr">
        <is>
          <t>UPPSALA</t>
        </is>
      </c>
      <c r="F1306" t="inlineStr">
        <is>
          <t>Allmännings- och besparingsskogar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59810-2023</t>
        </is>
      </c>
      <c r="B1307" s="1" t="n">
        <v>45257</v>
      </c>
      <c r="C1307" s="1" t="n">
        <v>45834</v>
      </c>
      <c r="D1307" t="inlineStr">
        <is>
          <t>UPPSALA LÄN</t>
        </is>
      </c>
      <c r="E1307" t="inlineStr">
        <is>
          <t>UPPSALA</t>
        </is>
      </c>
      <c r="F1307" t="inlineStr">
        <is>
          <t>Allmännings- och besparingsskogar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60444-2023</t>
        </is>
      </c>
      <c r="B1308" s="1" t="n">
        <v>45259</v>
      </c>
      <c r="C1308" s="1" t="n">
        <v>45834</v>
      </c>
      <c r="D1308" t="inlineStr">
        <is>
          <t>UPPSALA LÄN</t>
        </is>
      </c>
      <c r="E1308" t="inlineStr">
        <is>
          <t>UPPSALA</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60447-2023</t>
        </is>
      </c>
      <c r="B1309" s="1" t="n">
        <v>45259</v>
      </c>
      <c r="C1309" s="1" t="n">
        <v>45834</v>
      </c>
      <c r="D1309" t="inlineStr">
        <is>
          <t>UPPSALA LÄN</t>
        </is>
      </c>
      <c r="E1309" t="inlineStr">
        <is>
          <t>UPPSALA</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60714-2023</t>
        </is>
      </c>
      <c r="B1310" s="1" t="n">
        <v>45259</v>
      </c>
      <c r="C1310" s="1" t="n">
        <v>45834</v>
      </c>
      <c r="D1310" t="inlineStr">
        <is>
          <t>UPPSALA LÄN</t>
        </is>
      </c>
      <c r="E1310" t="inlineStr">
        <is>
          <t>UPPSALA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60814-2023</t>
        </is>
      </c>
      <c r="B1311" s="1" t="n">
        <v>45259</v>
      </c>
      <c r="C1311" s="1" t="n">
        <v>45834</v>
      </c>
      <c r="D1311" t="inlineStr">
        <is>
          <t>UPPSALA LÄN</t>
        </is>
      </c>
      <c r="E1311" t="inlineStr">
        <is>
          <t>UPPSALA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60781-2023</t>
        </is>
      </c>
      <c r="B1312" s="1" t="n">
        <v>45259</v>
      </c>
      <c r="C1312" s="1" t="n">
        <v>45834</v>
      </c>
      <c r="D1312" t="inlineStr">
        <is>
          <t>UPPSALA LÄN</t>
        </is>
      </c>
      <c r="E1312" t="inlineStr">
        <is>
          <t>UPPSALA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61067-2023</t>
        </is>
      </c>
      <c r="B1313" s="1" t="n">
        <v>45259</v>
      </c>
      <c r="C1313" s="1" t="n">
        <v>45834</v>
      </c>
      <c r="D1313" t="inlineStr">
        <is>
          <t>UPPSALA LÄN</t>
        </is>
      </c>
      <c r="E1313" t="inlineStr">
        <is>
          <t>UPPSALA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60707-2023</t>
        </is>
      </c>
      <c r="B1314" s="1" t="n">
        <v>45260</v>
      </c>
      <c r="C1314" s="1" t="n">
        <v>45834</v>
      </c>
      <c r="D1314" t="inlineStr">
        <is>
          <t>UPPSALA LÄN</t>
        </is>
      </c>
      <c r="E1314" t="inlineStr">
        <is>
          <t>UPPSALA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61947-2023</t>
        </is>
      </c>
      <c r="B1315" s="1" t="n">
        <v>45266</v>
      </c>
      <c r="C1315" s="1" t="n">
        <v>45834</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62287-2023</t>
        </is>
      </c>
      <c r="B1316" s="1" t="n">
        <v>45267</v>
      </c>
      <c r="C1316" s="1" t="n">
        <v>45834</v>
      </c>
      <c r="D1316" t="inlineStr">
        <is>
          <t>UPPSALA LÄN</t>
        </is>
      </c>
      <c r="E1316" t="inlineStr">
        <is>
          <t>UPPSALA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62627-2023</t>
        </is>
      </c>
      <c r="B1317" s="1" t="n">
        <v>45268</v>
      </c>
      <c r="C1317" s="1" t="n">
        <v>45834</v>
      </c>
      <c r="D1317" t="inlineStr">
        <is>
          <t>UPPSALA LÄN</t>
        </is>
      </c>
      <c r="E1317" t="inlineStr">
        <is>
          <t>UPPSALA</t>
        </is>
      </c>
      <c r="G1317" t="n">
        <v>7.6</v>
      </c>
      <c r="H1317" t="n">
        <v>0</v>
      </c>
      <c r="I1317" t="n">
        <v>0</v>
      </c>
      <c r="J1317" t="n">
        <v>0</v>
      </c>
      <c r="K1317" t="n">
        <v>0</v>
      </c>
      <c r="L1317" t="n">
        <v>0</v>
      </c>
      <c r="M1317" t="n">
        <v>0</v>
      </c>
      <c r="N1317" t="n">
        <v>0</v>
      </c>
      <c r="O1317" t="n">
        <v>0</v>
      </c>
      <c r="P1317" t="n">
        <v>0</v>
      </c>
      <c r="Q1317" t="n">
        <v>0</v>
      </c>
      <c r="R1317" s="2" t="inlineStr"/>
      <c r="U1317">
        <f>HYPERLINK("https://klasma.github.io/Logging_0380/knärot/A 62627-2023 karta knärot.png", "A 62627-2023")</f>
        <v/>
      </c>
      <c r="V1317">
        <f>HYPERLINK("https://klasma.github.io/Logging_0380/klagomål/A 62627-2023 FSC-klagomål.docx", "A 62627-2023")</f>
        <v/>
      </c>
      <c r="W1317">
        <f>HYPERLINK("https://klasma.github.io/Logging_0380/klagomålsmail/A 62627-2023 FSC-klagomål mail.docx", "A 62627-2023")</f>
        <v/>
      </c>
      <c r="X1317">
        <f>HYPERLINK("https://klasma.github.io/Logging_0380/tillsyn/A 62627-2023 tillsynsbegäran.docx", "A 62627-2023")</f>
        <v/>
      </c>
      <c r="Y1317">
        <f>HYPERLINK("https://klasma.github.io/Logging_0380/tillsynsmail/A 62627-2023 tillsynsbegäran mail.docx", "A 62627-2023")</f>
        <v/>
      </c>
    </row>
    <row r="1318" ht="15" customHeight="1">
      <c r="A1318" t="inlineStr">
        <is>
          <t>A 62636-2023</t>
        </is>
      </c>
      <c r="B1318" s="1" t="n">
        <v>45268</v>
      </c>
      <c r="C1318" s="1" t="n">
        <v>45834</v>
      </c>
      <c r="D1318" t="inlineStr">
        <is>
          <t>UPPSALA LÄN</t>
        </is>
      </c>
      <c r="E1318" t="inlineStr">
        <is>
          <t>UPPSALA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62691-2023</t>
        </is>
      </c>
      <c r="B1319" s="1" t="n">
        <v>45268</v>
      </c>
      <c r="C1319" s="1" t="n">
        <v>45834</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62694-2023</t>
        </is>
      </c>
      <c r="B1320" s="1" t="n">
        <v>45268</v>
      </c>
      <c r="C1320" s="1" t="n">
        <v>45834</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62714-2023</t>
        </is>
      </c>
      <c r="B1321" s="1" t="n">
        <v>45271</v>
      </c>
      <c r="C1321" s="1" t="n">
        <v>45834</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63163-2023</t>
        </is>
      </c>
      <c r="B1322" s="1" t="n">
        <v>45273</v>
      </c>
      <c r="C1322" s="1" t="n">
        <v>45834</v>
      </c>
      <c r="D1322" t="inlineStr">
        <is>
          <t>UPPSALA LÄN</t>
        </is>
      </c>
      <c r="E1322" t="inlineStr">
        <is>
          <t>UPPSALA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63578-2023</t>
        </is>
      </c>
      <c r="B1323" s="1" t="n">
        <v>45275</v>
      </c>
      <c r="C1323" s="1" t="n">
        <v>45834</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63579-2023</t>
        </is>
      </c>
      <c r="B1324" s="1" t="n">
        <v>45275</v>
      </c>
      <c r="C1324" s="1" t="n">
        <v>45834</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63576-2023</t>
        </is>
      </c>
      <c r="B1325" s="1" t="n">
        <v>45275</v>
      </c>
      <c r="C1325" s="1" t="n">
        <v>45834</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63588-2023</t>
        </is>
      </c>
      <c r="B1326" s="1" t="n">
        <v>45275</v>
      </c>
      <c r="C1326" s="1" t="n">
        <v>45834</v>
      </c>
      <c r="D1326" t="inlineStr">
        <is>
          <t>UPPSALA LÄN</t>
        </is>
      </c>
      <c r="E1326" t="inlineStr">
        <is>
          <t>UPPSALA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63698-2023</t>
        </is>
      </c>
      <c r="B1327" s="1" t="n">
        <v>45275</v>
      </c>
      <c r="C1327" s="1" t="n">
        <v>45834</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64079-2023</t>
        </is>
      </c>
      <c r="B1328" s="1" t="n">
        <v>45279</v>
      </c>
      <c r="C1328" s="1" t="n">
        <v>45834</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64806-2023</t>
        </is>
      </c>
      <c r="B1329" s="1" t="n">
        <v>45282</v>
      </c>
      <c r="C1329" s="1" t="n">
        <v>45834</v>
      </c>
      <c r="D1329" t="inlineStr">
        <is>
          <t>UPPSALA LÄN</t>
        </is>
      </c>
      <c r="E1329" t="inlineStr">
        <is>
          <t>UPPSALA</t>
        </is>
      </c>
      <c r="F1329" t="inlineStr">
        <is>
          <t>Kyrkan</t>
        </is>
      </c>
      <c r="G1329" t="n">
        <v>19.3</v>
      </c>
      <c r="H1329" t="n">
        <v>0</v>
      </c>
      <c r="I1329" t="n">
        <v>0</v>
      </c>
      <c r="J1329" t="n">
        <v>0</v>
      </c>
      <c r="K1329" t="n">
        <v>0</v>
      </c>
      <c r="L1329" t="n">
        <v>0</v>
      </c>
      <c r="M1329" t="n">
        <v>0</v>
      </c>
      <c r="N1329" t="n">
        <v>0</v>
      </c>
      <c r="O1329" t="n">
        <v>0</v>
      </c>
      <c r="P1329" t="n">
        <v>0</v>
      </c>
      <c r="Q1329" t="n">
        <v>0</v>
      </c>
      <c r="R1329" s="2" t="inlineStr"/>
    </row>
    <row r="1330" ht="15" customHeight="1">
      <c r="A1330" t="inlineStr">
        <is>
          <t>A 64880-2023</t>
        </is>
      </c>
      <c r="B1330" s="1" t="n">
        <v>45282</v>
      </c>
      <c r="C1330" s="1" t="n">
        <v>45834</v>
      </c>
      <c r="D1330" t="inlineStr">
        <is>
          <t>UPPSALA LÄN</t>
        </is>
      </c>
      <c r="E1330" t="inlineStr">
        <is>
          <t>UPPSALA</t>
        </is>
      </c>
      <c r="F1330" t="inlineStr">
        <is>
          <t>Kommuner</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65149-2023</t>
        </is>
      </c>
      <c r="B1331" s="1" t="n">
        <v>45288</v>
      </c>
      <c r="C1331" s="1" t="n">
        <v>45834</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45-2024</t>
        </is>
      </c>
      <c r="B1332" s="1" t="n">
        <v>45293</v>
      </c>
      <c r="C1332" s="1" t="n">
        <v>45834</v>
      </c>
      <c r="D1332" t="inlineStr">
        <is>
          <t>UPPSALA LÄN</t>
        </is>
      </c>
      <c r="E1332" t="inlineStr">
        <is>
          <t>UPPSALA</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43-2024</t>
        </is>
      </c>
      <c r="B1333" s="1" t="n">
        <v>45293</v>
      </c>
      <c r="C1333" s="1" t="n">
        <v>45834</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179-2024</t>
        </is>
      </c>
      <c r="B1334" s="1" t="n">
        <v>45294</v>
      </c>
      <c r="C1334" s="1" t="n">
        <v>45834</v>
      </c>
      <c r="D1334" t="inlineStr">
        <is>
          <t>UPPSALA LÄN</t>
        </is>
      </c>
      <c r="E1334" t="inlineStr">
        <is>
          <t>UPPSALA</t>
        </is>
      </c>
      <c r="F1334" t="inlineStr">
        <is>
          <t>Bergvik skog öst AB</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341-2024</t>
        </is>
      </c>
      <c r="B1335" s="1" t="n">
        <v>45295</v>
      </c>
      <c r="C1335" s="1" t="n">
        <v>45834</v>
      </c>
      <c r="D1335" t="inlineStr">
        <is>
          <t>UPPSALA LÄN</t>
        </is>
      </c>
      <c r="E1335" t="inlineStr">
        <is>
          <t>UPPSALA</t>
        </is>
      </c>
      <c r="F1335" t="inlineStr">
        <is>
          <t>Allmännings- och besparingsskogar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358-2024</t>
        </is>
      </c>
      <c r="B1336" s="1" t="n">
        <v>45295</v>
      </c>
      <c r="C1336" s="1" t="n">
        <v>45834</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446-2024</t>
        </is>
      </c>
      <c r="B1337" s="1" t="n">
        <v>45296</v>
      </c>
      <c r="C1337" s="1" t="n">
        <v>45834</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449-2024</t>
        </is>
      </c>
      <c r="B1338" s="1" t="n">
        <v>45296</v>
      </c>
      <c r="C1338" s="1" t="n">
        <v>45834</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c r="U1338">
        <f>HYPERLINK("https://klasma.github.io/Logging_0380/knärot/A 449-2024 karta knärot.png", "A 449-2024")</f>
        <v/>
      </c>
      <c r="V1338">
        <f>HYPERLINK("https://klasma.github.io/Logging_0380/klagomål/A 449-2024 FSC-klagomål.docx", "A 449-2024")</f>
        <v/>
      </c>
      <c r="W1338">
        <f>HYPERLINK("https://klasma.github.io/Logging_0380/klagomålsmail/A 449-2024 FSC-klagomål mail.docx", "A 449-2024")</f>
        <v/>
      </c>
      <c r="X1338">
        <f>HYPERLINK("https://klasma.github.io/Logging_0380/tillsyn/A 449-2024 tillsynsbegäran.docx", "A 449-2024")</f>
        <v/>
      </c>
      <c r="Y1338">
        <f>HYPERLINK("https://klasma.github.io/Logging_0380/tillsynsmail/A 449-2024 tillsynsbegäran mail.docx", "A 449-2024")</f>
        <v/>
      </c>
    </row>
    <row r="1339" ht="15" customHeight="1">
      <c r="A1339" t="inlineStr">
        <is>
          <t>A 600-2024</t>
        </is>
      </c>
      <c r="B1339" s="1" t="n">
        <v>45299</v>
      </c>
      <c r="C1339" s="1" t="n">
        <v>45834</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787-2024</t>
        </is>
      </c>
      <c r="B1340" s="1" t="n">
        <v>45300</v>
      </c>
      <c r="C1340" s="1" t="n">
        <v>45834</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784-2024</t>
        </is>
      </c>
      <c r="B1341" s="1" t="n">
        <v>45300</v>
      </c>
      <c r="C1341" s="1" t="n">
        <v>45834</v>
      </c>
      <c r="D1341" t="inlineStr">
        <is>
          <t>UPPSALA LÄN</t>
        </is>
      </c>
      <c r="E1341" t="inlineStr">
        <is>
          <t>UPPSALA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v>
      </c>
      <c r="C1342" s="1" t="n">
        <v>45834</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1825-2024</t>
        </is>
      </c>
      <c r="B1343" s="1" t="n">
        <v>45307</v>
      </c>
      <c r="C1343" s="1" t="n">
        <v>45834</v>
      </c>
      <c r="D1343" t="inlineStr">
        <is>
          <t>UPPSALA LÄN</t>
        </is>
      </c>
      <c r="E1343" t="inlineStr">
        <is>
          <t>UPPSALA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1806-2024</t>
        </is>
      </c>
      <c r="B1344" s="1" t="n">
        <v>45307</v>
      </c>
      <c r="C1344" s="1" t="n">
        <v>45834</v>
      </c>
      <c r="D1344" t="inlineStr">
        <is>
          <t>UPPSALA LÄN</t>
        </is>
      </c>
      <c r="E1344" t="inlineStr">
        <is>
          <t>UPPSALA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1838-2024</t>
        </is>
      </c>
      <c r="B1345" s="1" t="n">
        <v>45307</v>
      </c>
      <c r="C1345" s="1" t="n">
        <v>45834</v>
      </c>
      <c r="D1345" t="inlineStr">
        <is>
          <t>UPPSALA LÄN</t>
        </is>
      </c>
      <c r="E1345" t="inlineStr">
        <is>
          <t>UPPSALA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1994-2024</t>
        </is>
      </c>
      <c r="B1346" s="1" t="n">
        <v>45308</v>
      </c>
      <c r="C1346" s="1" t="n">
        <v>45834</v>
      </c>
      <c r="D1346" t="inlineStr">
        <is>
          <t>UPPSALA LÄN</t>
        </is>
      </c>
      <c r="E1346" t="inlineStr">
        <is>
          <t>UPPSALA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2294-2024</t>
        </is>
      </c>
      <c r="B1347" s="1" t="n">
        <v>45310</v>
      </c>
      <c r="C1347" s="1" t="n">
        <v>45834</v>
      </c>
      <c r="D1347" t="inlineStr">
        <is>
          <t>UPPSALA LÄN</t>
        </is>
      </c>
      <c r="E1347" t="inlineStr">
        <is>
          <t>UPPSALA</t>
        </is>
      </c>
      <c r="F1347" t="inlineStr">
        <is>
          <t>Allmännings- och besparingsskogar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2327-2024</t>
        </is>
      </c>
      <c r="B1348" s="1" t="n">
        <v>45310</v>
      </c>
      <c r="C1348" s="1" t="n">
        <v>45834</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2339-2024</t>
        </is>
      </c>
      <c r="B1349" s="1" t="n">
        <v>45310</v>
      </c>
      <c r="C1349" s="1" t="n">
        <v>45834</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2357-2024</t>
        </is>
      </c>
      <c r="B1350" s="1" t="n">
        <v>45310</v>
      </c>
      <c r="C1350" s="1" t="n">
        <v>45834</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2740-2024</t>
        </is>
      </c>
      <c r="B1351" s="1" t="n">
        <v>45314</v>
      </c>
      <c r="C1351" s="1" t="n">
        <v>45834</v>
      </c>
      <c r="D1351" t="inlineStr">
        <is>
          <t>UPPSALA LÄN</t>
        </is>
      </c>
      <c r="E1351" t="inlineStr">
        <is>
          <t>UPPSALA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2735-2024</t>
        </is>
      </c>
      <c r="B1352" s="1" t="n">
        <v>45314</v>
      </c>
      <c r="C1352" s="1" t="n">
        <v>45834</v>
      </c>
      <c r="D1352" t="inlineStr">
        <is>
          <t>UPPSALA LÄN</t>
        </is>
      </c>
      <c r="E1352" t="inlineStr">
        <is>
          <t>UPPSALA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2769-2024</t>
        </is>
      </c>
      <c r="B1353" s="1" t="n">
        <v>45314</v>
      </c>
      <c r="C1353" s="1" t="n">
        <v>45834</v>
      </c>
      <c r="D1353" t="inlineStr">
        <is>
          <t>UPPSALA LÄN</t>
        </is>
      </c>
      <c r="E1353" t="inlineStr">
        <is>
          <t>UPPSALA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2785-2024</t>
        </is>
      </c>
      <c r="B1354" s="1" t="n">
        <v>45314</v>
      </c>
      <c r="C1354" s="1" t="n">
        <v>45834</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3175-2024</t>
        </is>
      </c>
      <c r="B1355" s="1" t="n">
        <v>45316</v>
      </c>
      <c r="C1355" s="1" t="n">
        <v>45834</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3183-2024</t>
        </is>
      </c>
      <c r="B1356" s="1" t="n">
        <v>45316</v>
      </c>
      <c r="C1356" s="1" t="n">
        <v>45834</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3261-2024</t>
        </is>
      </c>
      <c r="B1357" s="1" t="n">
        <v>45317</v>
      </c>
      <c r="C1357" s="1" t="n">
        <v>45834</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3260-2024</t>
        </is>
      </c>
      <c r="B1358" s="1" t="n">
        <v>45317</v>
      </c>
      <c r="C1358" s="1" t="n">
        <v>45834</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3813-2024</t>
        </is>
      </c>
      <c r="B1359" s="1" t="n">
        <v>45321</v>
      </c>
      <c r="C1359" s="1" t="n">
        <v>45834</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4065-2024</t>
        </is>
      </c>
      <c r="B1360" s="1" t="n">
        <v>45323</v>
      </c>
      <c r="C1360" s="1" t="n">
        <v>45834</v>
      </c>
      <c r="D1360" t="inlineStr">
        <is>
          <t>UPPSALA LÄN</t>
        </is>
      </c>
      <c r="E1360" t="inlineStr">
        <is>
          <t>UPPSALA</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4216-2024</t>
        </is>
      </c>
      <c r="B1361" s="1" t="n">
        <v>45324</v>
      </c>
      <c r="C1361" s="1" t="n">
        <v>45834</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4412-2024</t>
        </is>
      </c>
      <c r="B1362" s="1" t="n">
        <v>45327</v>
      </c>
      <c r="C1362" s="1" t="n">
        <v>45834</v>
      </c>
      <c r="D1362" t="inlineStr">
        <is>
          <t>UPPSALA LÄN</t>
        </is>
      </c>
      <c r="E1362" t="inlineStr">
        <is>
          <t>UPPSALA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4425-2024</t>
        </is>
      </c>
      <c r="B1363" s="1" t="n">
        <v>45327</v>
      </c>
      <c r="C1363" s="1" t="n">
        <v>45834</v>
      </c>
      <c r="D1363" t="inlineStr">
        <is>
          <t>UPPSALA LÄN</t>
        </is>
      </c>
      <c r="E1363" t="inlineStr">
        <is>
          <t>UPPSALA</t>
        </is>
      </c>
      <c r="F1363" t="inlineStr">
        <is>
          <t>Allmännings- och besparingsskogar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4461-2024</t>
        </is>
      </c>
      <c r="B1364" s="1" t="n">
        <v>45327</v>
      </c>
      <c r="C1364" s="1" t="n">
        <v>45834</v>
      </c>
      <c r="D1364" t="inlineStr">
        <is>
          <t>UPPSALA LÄN</t>
        </is>
      </c>
      <c r="E1364" t="inlineStr">
        <is>
          <t>UPPSALA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4503-2024</t>
        </is>
      </c>
      <c r="B1365" s="1" t="n">
        <v>45327</v>
      </c>
      <c r="C1365" s="1" t="n">
        <v>45834</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4509-2024</t>
        </is>
      </c>
      <c r="B1366" s="1" t="n">
        <v>45327</v>
      </c>
      <c r="C1366" s="1" t="n">
        <v>45834</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4980-2024</t>
        </is>
      </c>
      <c r="B1367" s="1" t="n">
        <v>45329</v>
      </c>
      <c r="C1367" s="1" t="n">
        <v>45834</v>
      </c>
      <c r="D1367" t="inlineStr">
        <is>
          <t>UPPSALA LÄN</t>
        </is>
      </c>
      <c r="E1367" t="inlineStr">
        <is>
          <t>UPPSALA</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5475-2024</t>
        </is>
      </c>
      <c r="B1368" s="1" t="n">
        <v>45333</v>
      </c>
      <c r="C1368" s="1" t="n">
        <v>45834</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5848-2024</t>
        </is>
      </c>
      <c r="B1369" s="1" t="n">
        <v>45335</v>
      </c>
      <c r="C1369" s="1" t="n">
        <v>45834</v>
      </c>
      <c r="D1369" t="inlineStr">
        <is>
          <t>UPPSALA LÄN</t>
        </is>
      </c>
      <c r="E1369" t="inlineStr">
        <is>
          <t>UPPSALA</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5899-2024</t>
        </is>
      </c>
      <c r="B1370" s="1" t="n">
        <v>45335</v>
      </c>
      <c r="C1370" s="1" t="n">
        <v>45834</v>
      </c>
      <c r="D1370" t="inlineStr">
        <is>
          <t>UPPSALA LÄN</t>
        </is>
      </c>
      <c r="E1370" t="inlineStr">
        <is>
          <t>UPPSALA</t>
        </is>
      </c>
      <c r="F1370" t="inlineStr">
        <is>
          <t>Allmännings- och besparingsskogar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5876-2024</t>
        </is>
      </c>
      <c r="B1371" s="1" t="n">
        <v>45335</v>
      </c>
      <c r="C1371" s="1" t="n">
        <v>45834</v>
      </c>
      <c r="D1371" t="inlineStr">
        <is>
          <t>UPPSALA LÄN</t>
        </is>
      </c>
      <c r="E1371" t="inlineStr">
        <is>
          <t>UPPSALA</t>
        </is>
      </c>
      <c r="F1371" t="inlineStr">
        <is>
          <t>Kyrkan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5896-2024</t>
        </is>
      </c>
      <c r="B1372" s="1" t="n">
        <v>45335</v>
      </c>
      <c r="C1372" s="1" t="n">
        <v>45834</v>
      </c>
      <c r="D1372" t="inlineStr">
        <is>
          <t>UPPSALA LÄN</t>
        </is>
      </c>
      <c r="E1372" t="inlineStr">
        <is>
          <t>UPPSALA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5974-2024</t>
        </is>
      </c>
      <c r="B1373" s="1" t="n">
        <v>45336</v>
      </c>
      <c r="C1373" s="1" t="n">
        <v>45834</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5975-2024</t>
        </is>
      </c>
      <c r="B1374" s="1" t="n">
        <v>45336</v>
      </c>
      <c r="C1374" s="1" t="n">
        <v>45834</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6024-2024</t>
        </is>
      </c>
      <c r="B1375" s="1" t="n">
        <v>45336</v>
      </c>
      <c r="C1375" s="1" t="n">
        <v>45834</v>
      </c>
      <c r="D1375" t="inlineStr">
        <is>
          <t>UPPSALA LÄN</t>
        </is>
      </c>
      <c r="E1375" t="inlineStr">
        <is>
          <t>UPPSALA</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6199-2024</t>
        </is>
      </c>
      <c r="B1376" s="1" t="n">
        <v>45337</v>
      </c>
      <c r="C1376" s="1" t="n">
        <v>45834</v>
      </c>
      <c r="D1376" t="inlineStr">
        <is>
          <t>UPPSALA LÄN</t>
        </is>
      </c>
      <c r="E1376" t="inlineStr">
        <is>
          <t>UPPSALA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6211-2024</t>
        </is>
      </c>
      <c r="B1377" s="1" t="n">
        <v>45337</v>
      </c>
      <c r="C1377" s="1" t="n">
        <v>45834</v>
      </c>
      <c r="D1377" t="inlineStr">
        <is>
          <t>UPPSALA LÄN</t>
        </is>
      </c>
      <c r="E1377" t="inlineStr">
        <is>
          <t>UPPSALA</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6098-2024</t>
        </is>
      </c>
      <c r="B1378" s="1" t="n">
        <v>45337</v>
      </c>
      <c r="C1378" s="1" t="n">
        <v>45834</v>
      </c>
      <c r="D1378" t="inlineStr">
        <is>
          <t>UPPSALA LÄN</t>
        </is>
      </c>
      <c r="E1378" t="inlineStr">
        <is>
          <t>UPPSALA</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6363-2024</t>
        </is>
      </c>
      <c r="B1379" s="1" t="n">
        <v>45338</v>
      </c>
      <c r="C1379" s="1" t="n">
        <v>45834</v>
      </c>
      <c r="D1379" t="inlineStr">
        <is>
          <t>UPPSALA LÄN</t>
        </is>
      </c>
      <c r="E1379" t="inlineStr">
        <is>
          <t>UPPSALA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6501-2024</t>
        </is>
      </c>
      <c r="B1380" s="1" t="n">
        <v>45339</v>
      </c>
      <c r="C1380" s="1" t="n">
        <v>45834</v>
      </c>
      <c r="D1380" t="inlineStr">
        <is>
          <t>UPPSALA LÄN</t>
        </is>
      </c>
      <c r="E1380" t="inlineStr">
        <is>
          <t>UPPSALA</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6506-2024</t>
        </is>
      </c>
      <c r="B1381" s="1" t="n">
        <v>45339</v>
      </c>
      <c r="C1381" s="1" t="n">
        <v>45834</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6505-2024</t>
        </is>
      </c>
      <c r="B1382" s="1" t="n">
        <v>45339</v>
      </c>
      <c r="C1382" s="1" t="n">
        <v>45834</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6500-2024</t>
        </is>
      </c>
      <c r="B1383" s="1" t="n">
        <v>45339</v>
      </c>
      <c r="C1383" s="1" t="n">
        <v>45834</v>
      </c>
      <c r="D1383" t="inlineStr">
        <is>
          <t>UPPSALA LÄN</t>
        </is>
      </c>
      <c r="E1383" t="inlineStr">
        <is>
          <t>UPPSALA</t>
        </is>
      </c>
      <c r="F1383" t="inlineStr">
        <is>
          <t>Bergvik skog öst AB</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6504-2024</t>
        </is>
      </c>
      <c r="B1384" s="1" t="n">
        <v>45339</v>
      </c>
      <c r="C1384" s="1" t="n">
        <v>45834</v>
      </c>
      <c r="D1384" t="inlineStr">
        <is>
          <t>UPPSALA LÄN</t>
        </is>
      </c>
      <c r="E1384" t="inlineStr">
        <is>
          <t>UPPSALA</t>
        </is>
      </c>
      <c r="F1384" t="inlineStr">
        <is>
          <t>Bergvik skog öst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6503-2024</t>
        </is>
      </c>
      <c r="B1385" s="1" t="n">
        <v>45339</v>
      </c>
      <c r="C1385" s="1" t="n">
        <v>45834</v>
      </c>
      <c r="D1385" t="inlineStr">
        <is>
          <t>UPPSALA LÄN</t>
        </is>
      </c>
      <c r="E1385" t="inlineStr">
        <is>
          <t>UPPSALA</t>
        </is>
      </c>
      <c r="F1385" t="inlineStr">
        <is>
          <t>Bergvik skog öst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6507-2024</t>
        </is>
      </c>
      <c r="B1386" s="1" t="n">
        <v>45339</v>
      </c>
      <c r="C1386" s="1" t="n">
        <v>45834</v>
      </c>
      <c r="D1386" t="inlineStr">
        <is>
          <t>UPPSALA LÄN</t>
        </is>
      </c>
      <c r="E1386" t="inlineStr">
        <is>
          <t>UPPSALA</t>
        </is>
      </c>
      <c r="F1386" t="inlineStr">
        <is>
          <t>Bergvik skog öst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6628-2024</t>
        </is>
      </c>
      <c r="B1387" s="1" t="n">
        <v>45341</v>
      </c>
      <c r="C1387" s="1" t="n">
        <v>45834</v>
      </c>
      <c r="D1387" t="inlineStr">
        <is>
          <t>UPPSALA LÄN</t>
        </is>
      </c>
      <c r="E1387" t="inlineStr">
        <is>
          <t>UPPSALA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6630-2024</t>
        </is>
      </c>
      <c r="B1388" s="1" t="n">
        <v>45341</v>
      </c>
      <c r="C1388" s="1" t="n">
        <v>45834</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6650-2024</t>
        </is>
      </c>
      <c r="B1389" s="1" t="n">
        <v>45341</v>
      </c>
      <c r="C1389" s="1" t="n">
        <v>45834</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6676-2024</t>
        </is>
      </c>
      <c r="B1390" s="1" t="n">
        <v>45341</v>
      </c>
      <c r="C1390" s="1" t="n">
        <v>45834</v>
      </c>
      <c r="D1390" t="inlineStr">
        <is>
          <t>UPPSALA LÄN</t>
        </is>
      </c>
      <c r="E1390" t="inlineStr">
        <is>
          <t>UPPSALA</t>
        </is>
      </c>
      <c r="F1390" t="inlineStr">
        <is>
          <t>Bergvik skog öst AB</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6609-2024</t>
        </is>
      </c>
      <c r="B1391" s="1" t="n">
        <v>45341</v>
      </c>
      <c r="C1391" s="1" t="n">
        <v>45834</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6679-2024</t>
        </is>
      </c>
      <c r="B1392" s="1" t="n">
        <v>45341</v>
      </c>
      <c r="C1392" s="1" t="n">
        <v>45834</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6677-2024</t>
        </is>
      </c>
      <c r="B1393" s="1" t="n">
        <v>45341</v>
      </c>
      <c r="C1393" s="1" t="n">
        <v>45834</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6678-2024</t>
        </is>
      </c>
      <c r="B1394" s="1" t="n">
        <v>45341</v>
      </c>
      <c r="C1394" s="1" t="n">
        <v>45834</v>
      </c>
      <c r="D1394" t="inlineStr">
        <is>
          <t>UPPSALA LÄN</t>
        </is>
      </c>
      <c r="E1394" t="inlineStr">
        <is>
          <t>UPPSALA</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6966-2024</t>
        </is>
      </c>
      <c r="B1395" s="1" t="n">
        <v>45343</v>
      </c>
      <c r="C1395" s="1" t="n">
        <v>45834</v>
      </c>
      <c r="D1395" t="inlineStr">
        <is>
          <t>UPPSALA LÄN</t>
        </is>
      </c>
      <c r="E1395" t="inlineStr">
        <is>
          <t>UPPSALA</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7253-2024</t>
        </is>
      </c>
      <c r="B1396" s="1" t="n">
        <v>45344</v>
      </c>
      <c r="C1396" s="1" t="n">
        <v>45834</v>
      </c>
      <c r="D1396" t="inlineStr">
        <is>
          <t>UPPSALA LÄN</t>
        </is>
      </c>
      <c r="E1396" t="inlineStr">
        <is>
          <t>UPPSALA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7158-2024</t>
        </is>
      </c>
      <c r="B1397" s="1" t="n">
        <v>45344</v>
      </c>
      <c r="C1397" s="1" t="n">
        <v>45834</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7175-2024</t>
        </is>
      </c>
      <c r="B1398" s="1" t="n">
        <v>45344</v>
      </c>
      <c r="C1398" s="1" t="n">
        <v>45834</v>
      </c>
      <c r="D1398" t="inlineStr">
        <is>
          <t>UPPSALA LÄN</t>
        </is>
      </c>
      <c r="E1398" t="inlineStr">
        <is>
          <t>UPPSALA</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7275-2024</t>
        </is>
      </c>
      <c r="B1399" s="1" t="n">
        <v>45344</v>
      </c>
      <c r="C1399" s="1" t="n">
        <v>45834</v>
      </c>
      <c r="D1399" t="inlineStr">
        <is>
          <t>UPPSALA LÄN</t>
        </is>
      </c>
      <c r="E1399" t="inlineStr">
        <is>
          <t>UPPSALA</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7226-2024</t>
        </is>
      </c>
      <c r="B1400" s="1" t="n">
        <v>45344</v>
      </c>
      <c r="C1400" s="1" t="n">
        <v>45834</v>
      </c>
      <c r="D1400" t="inlineStr">
        <is>
          <t>UPPSALA LÄN</t>
        </is>
      </c>
      <c r="E1400" t="inlineStr">
        <is>
          <t>UPPSALA</t>
        </is>
      </c>
      <c r="F1400" t="inlineStr">
        <is>
          <t>Kyrkan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7274-2024</t>
        </is>
      </c>
      <c r="B1401" s="1" t="n">
        <v>45344</v>
      </c>
      <c r="C1401" s="1" t="n">
        <v>45834</v>
      </c>
      <c r="D1401" t="inlineStr">
        <is>
          <t>UPPSALA LÄN</t>
        </is>
      </c>
      <c r="E1401" t="inlineStr">
        <is>
          <t>UPPSALA</t>
        </is>
      </c>
      <c r="F1401" t="inlineStr">
        <is>
          <t>Bergvik skog öst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7278-2024</t>
        </is>
      </c>
      <c r="B1402" s="1" t="n">
        <v>45344</v>
      </c>
      <c r="C1402" s="1" t="n">
        <v>45834</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7276-2024</t>
        </is>
      </c>
      <c r="B1403" s="1" t="n">
        <v>45344</v>
      </c>
      <c r="C1403" s="1" t="n">
        <v>45834</v>
      </c>
      <c r="D1403" t="inlineStr">
        <is>
          <t>UPPSALA LÄN</t>
        </is>
      </c>
      <c r="E1403" t="inlineStr">
        <is>
          <t>UPPSALA</t>
        </is>
      </c>
      <c r="F1403" t="inlineStr">
        <is>
          <t>Bergvik skog öst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7389-2024</t>
        </is>
      </c>
      <c r="B1404" s="1" t="n">
        <v>45345</v>
      </c>
      <c r="C1404" s="1" t="n">
        <v>45834</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7390-2024</t>
        </is>
      </c>
      <c r="B1405" s="1" t="n">
        <v>45345</v>
      </c>
      <c r="C1405" s="1" t="n">
        <v>45834</v>
      </c>
      <c r="D1405" t="inlineStr">
        <is>
          <t>UPPSALA LÄN</t>
        </is>
      </c>
      <c r="E1405" t="inlineStr">
        <is>
          <t>UPPSALA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7400-2024</t>
        </is>
      </c>
      <c r="B1406" s="1" t="n">
        <v>45345</v>
      </c>
      <c r="C1406" s="1" t="n">
        <v>45834</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7388-2024</t>
        </is>
      </c>
      <c r="B1407" s="1" t="n">
        <v>45345</v>
      </c>
      <c r="C1407" s="1" t="n">
        <v>45834</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7407-2024</t>
        </is>
      </c>
      <c r="B1408" s="1" t="n">
        <v>45345</v>
      </c>
      <c r="C1408" s="1" t="n">
        <v>45834</v>
      </c>
      <c r="D1408" t="inlineStr">
        <is>
          <t>UPPSALA LÄN</t>
        </is>
      </c>
      <c r="E1408" t="inlineStr">
        <is>
          <t>UPPSALA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7403-2024</t>
        </is>
      </c>
      <c r="B1409" s="1" t="n">
        <v>45345</v>
      </c>
      <c r="C1409" s="1" t="n">
        <v>45834</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7649-2024</t>
        </is>
      </c>
      <c r="B1410" s="1" t="n">
        <v>45348</v>
      </c>
      <c r="C1410" s="1" t="n">
        <v>45834</v>
      </c>
      <c r="D1410" t="inlineStr">
        <is>
          <t>UPPSALA LÄN</t>
        </is>
      </c>
      <c r="E1410" t="inlineStr">
        <is>
          <t>UPPSALA</t>
        </is>
      </c>
      <c r="F1410" t="inlineStr">
        <is>
          <t>Kyrkan</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7654-2024</t>
        </is>
      </c>
      <c r="B1411" s="1" t="n">
        <v>45348</v>
      </c>
      <c r="C1411" s="1" t="n">
        <v>45834</v>
      </c>
      <c r="D1411" t="inlineStr">
        <is>
          <t>UPPSALA LÄN</t>
        </is>
      </c>
      <c r="E1411" t="inlineStr">
        <is>
          <t>UPPSALA</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7732-2024</t>
        </is>
      </c>
      <c r="B1412" s="1" t="n">
        <v>45349</v>
      </c>
      <c r="C1412" s="1" t="n">
        <v>45834</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7727-2024</t>
        </is>
      </c>
      <c r="B1413" s="1" t="n">
        <v>45349</v>
      </c>
      <c r="C1413" s="1" t="n">
        <v>45834</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7750-2024</t>
        </is>
      </c>
      <c r="B1414" s="1" t="n">
        <v>45349</v>
      </c>
      <c r="C1414" s="1" t="n">
        <v>45834</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7974-2024</t>
        </is>
      </c>
      <c r="B1415" s="1" t="n">
        <v>45350</v>
      </c>
      <c r="C1415" s="1" t="n">
        <v>45834</v>
      </c>
      <c r="D1415" t="inlineStr">
        <is>
          <t>UPPSALA LÄN</t>
        </is>
      </c>
      <c r="E1415" t="inlineStr">
        <is>
          <t>UPPSALA</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8132-2024</t>
        </is>
      </c>
      <c r="B1416" s="1" t="n">
        <v>45351</v>
      </c>
      <c r="C1416" s="1" t="n">
        <v>45834</v>
      </c>
      <c r="D1416" t="inlineStr">
        <is>
          <t>UPPSALA LÄN</t>
        </is>
      </c>
      <c r="E1416" t="inlineStr">
        <is>
          <t>UPPSALA</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8109-2024</t>
        </is>
      </c>
      <c r="B1417" s="1" t="n">
        <v>45351</v>
      </c>
      <c r="C1417" s="1" t="n">
        <v>45834</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8672-2024</t>
        </is>
      </c>
      <c r="B1418" s="1" t="n">
        <v>45352</v>
      </c>
      <c r="C1418" s="1" t="n">
        <v>45834</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8338-2024</t>
        </is>
      </c>
      <c r="B1419" s="1" t="n">
        <v>45352</v>
      </c>
      <c r="C1419" s="1" t="n">
        <v>45834</v>
      </c>
      <c r="D1419" t="inlineStr">
        <is>
          <t>UPPSALA LÄN</t>
        </is>
      </c>
      <c r="E1419" t="inlineStr">
        <is>
          <t>UPPSALA</t>
        </is>
      </c>
      <c r="F1419" t="inlineStr">
        <is>
          <t>Kyrkan</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9235-2024</t>
        </is>
      </c>
      <c r="B1420" s="1" t="n">
        <v>45357</v>
      </c>
      <c r="C1420" s="1" t="n">
        <v>45834</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9201-2024</t>
        </is>
      </c>
      <c r="B1421" s="1" t="n">
        <v>45358</v>
      </c>
      <c r="C1421" s="1" t="n">
        <v>45834</v>
      </c>
      <c r="D1421" t="inlineStr">
        <is>
          <t>UPPSALA LÄN</t>
        </is>
      </c>
      <c r="E1421" t="inlineStr">
        <is>
          <t>UPPSALA</t>
        </is>
      </c>
      <c r="F1421" t="inlineStr">
        <is>
          <t>Allmännings- och besparingsskogar</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9195-2024</t>
        </is>
      </c>
      <c r="B1422" s="1" t="n">
        <v>45358</v>
      </c>
      <c r="C1422" s="1" t="n">
        <v>45834</v>
      </c>
      <c r="D1422" t="inlineStr">
        <is>
          <t>UPPSALA LÄN</t>
        </is>
      </c>
      <c r="E1422" t="inlineStr">
        <is>
          <t>UPPSALA</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9255-2024</t>
        </is>
      </c>
      <c r="B1423" s="1" t="n">
        <v>45358</v>
      </c>
      <c r="C1423" s="1" t="n">
        <v>45834</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9428-2024</t>
        </is>
      </c>
      <c r="B1424" s="1" t="n">
        <v>45359</v>
      </c>
      <c r="C1424" s="1" t="n">
        <v>45834</v>
      </c>
      <c r="D1424" t="inlineStr">
        <is>
          <t>UPPSALA LÄN</t>
        </is>
      </c>
      <c r="E1424" t="inlineStr">
        <is>
          <t>UPPSALA</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9453-2024</t>
        </is>
      </c>
      <c r="B1425" s="1" t="n">
        <v>45359</v>
      </c>
      <c r="C1425" s="1" t="n">
        <v>45834</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9608-2024</t>
        </is>
      </c>
      <c r="B1426" s="1" t="n">
        <v>45361</v>
      </c>
      <c r="C1426" s="1" t="n">
        <v>45834</v>
      </c>
      <c r="D1426" t="inlineStr">
        <is>
          <t>UPPSALA LÄN</t>
        </is>
      </c>
      <c r="E1426" t="inlineStr">
        <is>
          <t>UPPSALA</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9609-2024</t>
        </is>
      </c>
      <c r="B1427" s="1" t="n">
        <v>45361</v>
      </c>
      <c r="C1427" s="1" t="n">
        <v>45834</v>
      </c>
      <c r="D1427" t="inlineStr">
        <is>
          <t>UPPSALA LÄN</t>
        </is>
      </c>
      <c r="E1427" t="inlineStr">
        <is>
          <t>UPPSALA</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9610-2024</t>
        </is>
      </c>
      <c r="B1428" s="1" t="n">
        <v>45361</v>
      </c>
      <c r="C1428" s="1" t="n">
        <v>45834</v>
      </c>
      <c r="D1428" t="inlineStr">
        <is>
          <t>UPPSALA LÄN</t>
        </is>
      </c>
      <c r="E1428" t="inlineStr">
        <is>
          <t>UPPSALA</t>
        </is>
      </c>
      <c r="F1428" t="inlineStr">
        <is>
          <t>Bergvik skog öst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9625-2024</t>
        </is>
      </c>
      <c r="B1429" s="1" t="n">
        <v>45361</v>
      </c>
      <c r="C1429" s="1" t="n">
        <v>45834</v>
      </c>
      <c r="D1429" t="inlineStr">
        <is>
          <t>UPPSALA LÄN</t>
        </is>
      </c>
      <c r="E1429" t="inlineStr">
        <is>
          <t>UPPSALA</t>
        </is>
      </c>
      <c r="F1429" t="inlineStr">
        <is>
          <t>Bergvik skog öst AB</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9611-2024</t>
        </is>
      </c>
      <c r="B1430" s="1" t="n">
        <v>45361</v>
      </c>
      <c r="C1430" s="1" t="n">
        <v>45834</v>
      </c>
      <c r="D1430" t="inlineStr">
        <is>
          <t>UPPSALA LÄN</t>
        </is>
      </c>
      <c r="E1430" t="inlineStr">
        <is>
          <t>UPPSALA</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9735-2024</t>
        </is>
      </c>
      <c r="B1431" s="1" t="n">
        <v>45362</v>
      </c>
      <c r="C1431" s="1" t="n">
        <v>45834</v>
      </c>
      <c r="D1431" t="inlineStr">
        <is>
          <t>UPPSALA LÄN</t>
        </is>
      </c>
      <c r="E1431" t="inlineStr">
        <is>
          <t>UPPSALA</t>
        </is>
      </c>
      <c r="F1431" t="inlineStr">
        <is>
          <t>Bergvik skog öst AB</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9675-2024</t>
        </is>
      </c>
      <c r="B1432" s="1" t="n">
        <v>45362</v>
      </c>
      <c r="C1432" s="1" t="n">
        <v>45834</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9914-2024</t>
        </is>
      </c>
      <c r="B1433" s="1" t="n">
        <v>45363</v>
      </c>
      <c r="C1433" s="1" t="n">
        <v>45834</v>
      </c>
      <c r="D1433" t="inlineStr">
        <is>
          <t>UPPSALA LÄN</t>
        </is>
      </c>
      <c r="E1433" t="inlineStr">
        <is>
          <t>UPPSALA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9917-2024</t>
        </is>
      </c>
      <c r="B1434" s="1" t="n">
        <v>45363</v>
      </c>
      <c r="C1434" s="1" t="n">
        <v>45834</v>
      </c>
      <c r="D1434" t="inlineStr">
        <is>
          <t>UPPSALA LÄN</t>
        </is>
      </c>
      <c r="E1434" t="inlineStr">
        <is>
          <t>UPPSALA</t>
        </is>
      </c>
      <c r="F1434" t="inlineStr">
        <is>
          <t>Bergvik skog väst AB</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10086-2024</t>
        </is>
      </c>
      <c r="B1435" s="1" t="n">
        <v>45364</v>
      </c>
      <c r="C1435" s="1" t="n">
        <v>45834</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10146-2024</t>
        </is>
      </c>
      <c r="B1436" s="1" t="n">
        <v>45364</v>
      </c>
      <c r="C1436" s="1" t="n">
        <v>45834</v>
      </c>
      <c r="D1436" t="inlineStr">
        <is>
          <t>UPPSALA LÄN</t>
        </is>
      </c>
      <c r="E1436" t="inlineStr">
        <is>
          <t>UPPSALA</t>
        </is>
      </c>
      <c r="F1436" t="inlineStr">
        <is>
          <t>Bergvik skog öst AB</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10477-2024</t>
        </is>
      </c>
      <c r="B1437" s="1" t="n">
        <v>45366</v>
      </c>
      <c r="C1437" s="1" t="n">
        <v>45834</v>
      </c>
      <c r="D1437" t="inlineStr">
        <is>
          <t>UPPSALA LÄN</t>
        </is>
      </c>
      <c r="E1437" t="inlineStr">
        <is>
          <t>UPPSALA</t>
        </is>
      </c>
      <c r="F1437" t="inlineStr">
        <is>
          <t>Holmen skog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10474-2024</t>
        </is>
      </c>
      <c r="B1438" s="1" t="n">
        <v>45366</v>
      </c>
      <c r="C1438" s="1" t="n">
        <v>45834</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10650-2024</t>
        </is>
      </c>
      <c r="B1439" s="1" t="n">
        <v>45368</v>
      </c>
      <c r="C1439" s="1" t="n">
        <v>45834</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10651-2024</t>
        </is>
      </c>
      <c r="B1440" s="1" t="n">
        <v>45368</v>
      </c>
      <c r="C1440" s="1" t="n">
        <v>45834</v>
      </c>
      <c r="D1440" t="inlineStr">
        <is>
          <t>UPPSALA LÄN</t>
        </is>
      </c>
      <c r="E1440" t="inlineStr">
        <is>
          <t>UPPSALA</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10653-2024</t>
        </is>
      </c>
      <c r="B1441" s="1" t="n">
        <v>45368</v>
      </c>
      <c r="C1441" s="1" t="n">
        <v>45834</v>
      </c>
      <c r="D1441" t="inlineStr">
        <is>
          <t>UPPSALA LÄN</t>
        </is>
      </c>
      <c r="E1441" t="inlineStr">
        <is>
          <t>UPPSALA</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10652-2024</t>
        </is>
      </c>
      <c r="B1442" s="1" t="n">
        <v>45368</v>
      </c>
      <c r="C1442" s="1" t="n">
        <v>45834</v>
      </c>
      <c r="D1442" t="inlineStr">
        <is>
          <t>UPPSALA LÄN</t>
        </is>
      </c>
      <c r="E1442" t="inlineStr">
        <is>
          <t>UPPSALA</t>
        </is>
      </c>
      <c r="F1442" t="inlineStr">
        <is>
          <t>Bergvik skog öst AB</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10827-2024</t>
        </is>
      </c>
      <c r="B1443" s="1" t="n">
        <v>45369</v>
      </c>
      <c r="C1443" s="1" t="n">
        <v>45834</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10782-2024</t>
        </is>
      </c>
      <c r="B1444" s="1" t="n">
        <v>45369</v>
      </c>
      <c r="C1444" s="1" t="n">
        <v>45834</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11169-2024</t>
        </is>
      </c>
      <c r="B1445" s="1" t="n">
        <v>45371</v>
      </c>
      <c r="C1445" s="1" t="n">
        <v>45834</v>
      </c>
      <c r="D1445" t="inlineStr">
        <is>
          <t>UPPSALA LÄN</t>
        </is>
      </c>
      <c r="E1445" t="inlineStr">
        <is>
          <t>UPPSALA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11173-2024</t>
        </is>
      </c>
      <c r="B1446" s="1" t="n">
        <v>45371</v>
      </c>
      <c r="C1446" s="1" t="n">
        <v>45834</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11159-2024</t>
        </is>
      </c>
      <c r="B1447" s="1" t="n">
        <v>45371</v>
      </c>
      <c r="C1447" s="1" t="n">
        <v>45834</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11191-2024</t>
        </is>
      </c>
      <c r="B1448" s="1" t="n">
        <v>45371</v>
      </c>
      <c r="C1448" s="1" t="n">
        <v>45834</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11166-2024</t>
        </is>
      </c>
      <c r="B1449" s="1" t="n">
        <v>45371</v>
      </c>
      <c r="C1449" s="1" t="n">
        <v>45834</v>
      </c>
      <c r="D1449" t="inlineStr">
        <is>
          <t>UPPSALA LÄN</t>
        </is>
      </c>
      <c r="E1449" t="inlineStr">
        <is>
          <t>UPPSALA</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11201-2024</t>
        </is>
      </c>
      <c r="B1450" s="1" t="n">
        <v>45371</v>
      </c>
      <c r="C1450" s="1" t="n">
        <v>45834</v>
      </c>
      <c r="D1450" t="inlineStr">
        <is>
          <t>UPPSALA LÄN</t>
        </is>
      </c>
      <c r="E1450" t="inlineStr">
        <is>
          <t>UPPSALA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11277-2024</t>
        </is>
      </c>
      <c r="B1451" s="1" t="n">
        <v>45371</v>
      </c>
      <c r="C1451" s="1" t="n">
        <v>45834</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11289-2024</t>
        </is>
      </c>
      <c r="B1452" s="1" t="n">
        <v>45371</v>
      </c>
      <c r="C1452" s="1" t="n">
        <v>45834</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11200-2024</t>
        </is>
      </c>
      <c r="B1453" s="1" t="n">
        <v>45371</v>
      </c>
      <c r="C1453" s="1" t="n">
        <v>45834</v>
      </c>
      <c r="D1453" t="inlineStr">
        <is>
          <t>UPPSALA LÄN</t>
        </is>
      </c>
      <c r="E1453" t="inlineStr">
        <is>
          <t>UPPSALA</t>
        </is>
      </c>
      <c r="F1453" t="inlineStr">
        <is>
          <t>Allmännings- och besparingsskogar</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11260-2024</t>
        </is>
      </c>
      <c r="B1454" s="1" t="n">
        <v>45371</v>
      </c>
      <c r="C1454" s="1" t="n">
        <v>45834</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11457-2024</t>
        </is>
      </c>
      <c r="B1455" s="1" t="n">
        <v>45372</v>
      </c>
      <c r="C1455" s="1" t="n">
        <v>45834</v>
      </c>
      <c r="D1455" t="inlineStr">
        <is>
          <t>UPPSALA LÄN</t>
        </is>
      </c>
      <c r="E1455" t="inlineStr">
        <is>
          <t>UPPSALA</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11677-2024</t>
        </is>
      </c>
      <c r="B1456" s="1" t="n">
        <v>45373</v>
      </c>
      <c r="C1456" s="1" t="n">
        <v>45834</v>
      </c>
      <c r="D1456" t="inlineStr">
        <is>
          <t>UPPSALA LÄN</t>
        </is>
      </c>
      <c r="E1456" t="inlineStr">
        <is>
          <t>UPPSALA</t>
        </is>
      </c>
      <c r="F1456" t="inlineStr">
        <is>
          <t>Holmen skog AB</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11719-2024</t>
        </is>
      </c>
      <c r="B1457" s="1" t="n">
        <v>45373</v>
      </c>
      <c r="C1457" s="1" t="n">
        <v>45834</v>
      </c>
      <c r="D1457" t="inlineStr">
        <is>
          <t>UPPSALA LÄN</t>
        </is>
      </c>
      <c r="E1457" t="inlineStr">
        <is>
          <t>UPPSALA</t>
        </is>
      </c>
      <c r="F1457" t="inlineStr">
        <is>
          <t>Holmen skog AB</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12345-2024</t>
        </is>
      </c>
      <c r="B1458" s="1" t="n">
        <v>45378</v>
      </c>
      <c r="C1458" s="1" t="n">
        <v>45834</v>
      </c>
      <c r="D1458" t="inlineStr">
        <is>
          <t>UPPSALA LÄN</t>
        </is>
      </c>
      <c r="E1458" t="inlineStr">
        <is>
          <t>UPPSALA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12346-2024</t>
        </is>
      </c>
      <c r="B1459" s="1" t="n">
        <v>45378</v>
      </c>
      <c r="C1459" s="1" t="n">
        <v>45834</v>
      </c>
      <c r="D1459" t="inlineStr">
        <is>
          <t>UPPSALA LÄN</t>
        </is>
      </c>
      <c r="E1459" t="inlineStr">
        <is>
          <t>UPPSALA</t>
        </is>
      </c>
      <c r="F1459" t="inlineStr">
        <is>
          <t>Bergvik skog öst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12347-2024</t>
        </is>
      </c>
      <c r="B1460" s="1" t="n">
        <v>45378</v>
      </c>
      <c r="C1460" s="1" t="n">
        <v>45834</v>
      </c>
      <c r="D1460" t="inlineStr">
        <is>
          <t>UPPSALA LÄN</t>
        </is>
      </c>
      <c r="E1460" t="inlineStr">
        <is>
          <t>UPPSALA</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12507-2024</t>
        </is>
      </c>
      <c r="B1461" s="1" t="n">
        <v>45379</v>
      </c>
      <c r="C1461" s="1" t="n">
        <v>45834</v>
      </c>
      <c r="D1461" t="inlineStr">
        <is>
          <t>UPPSALA LÄN</t>
        </is>
      </c>
      <c r="E1461" t="inlineStr">
        <is>
          <t>UPPSALA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13100-2024</t>
        </is>
      </c>
      <c r="B1462" s="1" t="n">
        <v>45385</v>
      </c>
      <c r="C1462" s="1" t="n">
        <v>45834</v>
      </c>
      <c r="D1462" t="inlineStr">
        <is>
          <t>UPPSALA LÄN</t>
        </is>
      </c>
      <c r="E1462" t="inlineStr">
        <is>
          <t>UPPSALA</t>
        </is>
      </c>
      <c r="F1462" t="inlineStr">
        <is>
          <t>Holmen skog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13305-2024</t>
        </is>
      </c>
      <c r="B1463" s="1" t="n">
        <v>45386</v>
      </c>
      <c r="C1463" s="1" t="n">
        <v>45834</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13303-2024</t>
        </is>
      </c>
      <c r="B1464" s="1" t="n">
        <v>45386</v>
      </c>
      <c r="C1464" s="1" t="n">
        <v>45834</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13302-2024</t>
        </is>
      </c>
      <c r="B1465" s="1" t="n">
        <v>45386</v>
      </c>
      <c r="C1465" s="1" t="n">
        <v>45834</v>
      </c>
      <c r="D1465" t="inlineStr">
        <is>
          <t>UPPSALA LÄN</t>
        </is>
      </c>
      <c r="E1465" t="inlineStr">
        <is>
          <t>UPPSALA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13379-2024</t>
        </is>
      </c>
      <c r="B1466" s="1" t="n">
        <v>45387</v>
      </c>
      <c r="C1466" s="1" t="n">
        <v>45834</v>
      </c>
      <c r="D1466" t="inlineStr">
        <is>
          <t>UPPSALA LÄN</t>
        </is>
      </c>
      <c r="E1466" t="inlineStr">
        <is>
          <t>UPPSALA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13644-2024</t>
        </is>
      </c>
      <c r="B1467" s="1" t="n">
        <v>45390</v>
      </c>
      <c r="C1467" s="1" t="n">
        <v>45834</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13799-2024</t>
        </is>
      </c>
      <c r="B1468" s="1" t="n">
        <v>45391</v>
      </c>
      <c r="C1468" s="1" t="n">
        <v>45834</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14533-2024</t>
        </is>
      </c>
      <c r="B1469" s="1" t="n">
        <v>45394</v>
      </c>
      <c r="C1469" s="1" t="n">
        <v>45834</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14401-2024</t>
        </is>
      </c>
      <c r="B1470" s="1" t="n">
        <v>45394</v>
      </c>
      <c r="C1470" s="1" t="n">
        <v>45834</v>
      </c>
      <c r="D1470" t="inlineStr">
        <is>
          <t>UPPSALA LÄN</t>
        </is>
      </c>
      <c r="E1470" t="inlineStr">
        <is>
          <t>UPPSALA</t>
        </is>
      </c>
      <c r="F1470" t="inlineStr">
        <is>
          <t>Övriga statliga verk och myndigheter</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14528-2024</t>
        </is>
      </c>
      <c r="B1471" s="1" t="n">
        <v>45394</v>
      </c>
      <c r="C1471" s="1" t="n">
        <v>45834</v>
      </c>
      <c r="D1471" t="inlineStr">
        <is>
          <t>UPPSALA LÄN</t>
        </is>
      </c>
      <c r="E1471" t="inlineStr">
        <is>
          <t>UPPSALA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14404-2024</t>
        </is>
      </c>
      <c r="B1472" s="1" t="n">
        <v>45394</v>
      </c>
      <c r="C1472" s="1" t="n">
        <v>45834</v>
      </c>
      <c r="D1472" t="inlineStr">
        <is>
          <t>UPPSALA LÄN</t>
        </is>
      </c>
      <c r="E1472" t="inlineStr">
        <is>
          <t>UPPSALA</t>
        </is>
      </c>
      <c r="F1472" t="inlineStr">
        <is>
          <t>Övriga statliga verk och myndigheter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14523-2024</t>
        </is>
      </c>
      <c r="B1473" s="1" t="n">
        <v>45394</v>
      </c>
      <c r="C1473" s="1" t="n">
        <v>45834</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14643-2024</t>
        </is>
      </c>
      <c r="B1474" s="1" t="n">
        <v>45397</v>
      </c>
      <c r="C1474" s="1" t="n">
        <v>45834</v>
      </c>
      <c r="D1474" t="inlineStr">
        <is>
          <t>UPPSALA LÄN</t>
        </is>
      </c>
      <c r="E1474" t="inlineStr">
        <is>
          <t>UPPSALA</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14672-2024</t>
        </is>
      </c>
      <c r="B1475" s="1" t="n">
        <v>45397</v>
      </c>
      <c r="C1475" s="1" t="n">
        <v>45834</v>
      </c>
      <c r="D1475" t="inlineStr">
        <is>
          <t>UPPSALA LÄN</t>
        </is>
      </c>
      <c r="E1475" t="inlineStr">
        <is>
          <t>UPPSALA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15254-2024</t>
        </is>
      </c>
      <c r="B1476" s="1" t="n">
        <v>45400</v>
      </c>
      <c r="C1476" s="1" t="n">
        <v>45834</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15255-2024</t>
        </is>
      </c>
      <c r="B1477" s="1" t="n">
        <v>45400</v>
      </c>
      <c r="C1477" s="1" t="n">
        <v>45834</v>
      </c>
      <c r="D1477" t="inlineStr">
        <is>
          <t>UPPSALA LÄN</t>
        </is>
      </c>
      <c r="E1477" t="inlineStr">
        <is>
          <t>UPPSALA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15544-2024</t>
        </is>
      </c>
      <c r="B1478" s="1" t="n">
        <v>45401</v>
      </c>
      <c r="C1478" s="1" t="n">
        <v>45834</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16434-2024</t>
        </is>
      </c>
      <c r="B1479" s="1" t="n">
        <v>45407</v>
      </c>
      <c r="C1479" s="1" t="n">
        <v>45834</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16324-2024</t>
        </is>
      </c>
      <c r="B1480" s="1" t="n">
        <v>45407</v>
      </c>
      <c r="C1480" s="1" t="n">
        <v>45834</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17146-2024</t>
        </is>
      </c>
      <c r="B1481" s="1" t="n">
        <v>45412</v>
      </c>
      <c r="C1481" s="1" t="n">
        <v>45834</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17287-2024</t>
        </is>
      </c>
      <c r="B1482" s="1" t="n">
        <v>45414</v>
      </c>
      <c r="C1482" s="1" t="n">
        <v>45834</v>
      </c>
      <c r="D1482" t="inlineStr">
        <is>
          <t>UPPSALA LÄN</t>
        </is>
      </c>
      <c r="E1482" t="inlineStr">
        <is>
          <t>UPPSALA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17761-2024</t>
        </is>
      </c>
      <c r="B1483" s="1" t="n">
        <v>45418</v>
      </c>
      <c r="C1483" s="1" t="n">
        <v>45834</v>
      </c>
      <c r="D1483" t="inlineStr">
        <is>
          <t>UPPSALA LÄN</t>
        </is>
      </c>
      <c r="E1483" t="inlineStr">
        <is>
          <t>UPPSALA</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18069-2024</t>
        </is>
      </c>
      <c r="B1484" s="1" t="n">
        <v>45420</v>
      </c>
      <c r="C1484" s="1" t="n">
        <v>45834</v>
      </c>
      <c r="D1484" t="inlineStr">
        <is>
          <t>UPPSALA LÄN</t>
        </is>
      </c>
      <c r="E1484" t="inlineStr">
        <is>
          <t>UPPSALA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18354-2024</t>
        </is>
      </c>
      <c r="B1485" s="1" t="n">
        <v>45422</v>
      </c>
      <c r="C1485" s="1" t="n">
        <v>45834</v>
      </c>
      <c r="D1485" t="inlineStr">
        <is>
          <t>UPPSALA LÄN</t>
        </is>
      </c>
      <c r="E1485" t="inlineStr">
        <is>
          <t>UPPSALA</t>
        </is>
      </c>
      <c r="F1485" t="inlineStr">
        <is>
          <t>Holmen skog AB</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18607-2024</t>
        </is>
      </c>
      <c r="B1486" s="1" t="n">
        <v>45426</v>
      </c>
      <c r="C1486" s="1" t="n">
        <v>45834</v>
      </c>
      <c r="D1486" t="inlineStr">
        <is>
          <t>UPPSALA LÄN</t>
        </is>
      </c>
      <c r="E1486" t="inlineStr">
        <is>
          <t>UPPSALA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18677-2024</t>
        </is>
      </c>
      <c r="B1487" s="1" t="n">
        <v>45426</v>
      </c>
      <c r="C1487" s="1" t="n">
        <v>45834</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18667-2024</t>
        </is>
      </c>
      <c r="B1488" s="1" t="n">
        <v>45426</v>
      </c>
      <c r="C1488" s="1" t="n">
        <v>45834</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18670-2024</t>
        </is>
      </c>
      <c r="B1489" s="1" t="n">
        <v>45426</v>
      </c>
      <c r="C1489" s="1" t="n">
        <v>45834</v>
      </c>
      <c r="D1489" t="inlineStr">
        <is>
          <t>UPPSALA LÄN</t>
        </is>
      </c>
      <c r="E1489" t="inlineStr">
        <is>
          <t>UPPSALA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18675-2024</t>
        </is>
      </c>
      <c r="B1490" s="1" t="n">
        <v>45426</v>
      </c>
      <c r="C1490" s="1" t="n">
        <v>45834</v>
      </c>
      <c r="D1490" t="inlineStr">
        <is>
          <t>UPPSALA LÄN</t>
        </is>
      </c>
      <c r="E1490" t="inlineStr">
        <is>
          <t>UPPSALA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18808-2024</t>
        </is>
      </c>
      <c r="B1491" s="1" t="n">
        <v>45426</v>
      </c>
      <c r="C1491" s="1" t="n">
        <v>45834</v>
      </c>
      <c r="D1491" t="inlineStr">
        <is>
          <t>UPPSALA LÄN</t>
        </is>
      </c>
      <c r="E1491" t="inlineStr">
        <is>
          <t>UPPSALA</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18668-2024</t>
        </is>
      </c>
      <c r="B1492" s="1" t="n">
        <v>45426</v>
      </c>
      <c r="C1492" s="1" t="n">
        <v>45834</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19164-2024</t>
        </is>
      </c>
      <c r="B1493" s="1" t="n">
        <v>45428</v>
      </c>
      <c r="C1493" s="1" t="n">
        <v>45834</v>
      </c>
      <c r="D1493" t="inlineStr">
        <is>
          <t>UPPSALA LÄN</t>
        </is>
      </c>
      <c r="E1493" t="inlineStr">
        <is>
          <t>UPPSALA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19126-2024</t>
        </is>
      </c>
      <c r="B1494" s="1" t="n">
        <v>45428</v>
      </c>
      <c r="C1494" s="1" t="n">
        <v>45834</v>
      </c>
      <c r="D1494" t="inlineStr">
        <is>
          <t>UPPSALA LÄN</t>
        </is>
      </c>
      <c r="E1494" t="inlineStr">
        <is>
          <t>UPPSALA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19414-2024</t>
        </is>
      </c>
      <c r="B1495" s="1" t="n">
        <v>45429</v>
      </c>
      <c r="C1495" s="1" t="n">
        <v>45834</v>
      </c>
      <c r="D1495" t="inlineStr">
        <is>
          <t>UPPSALA LÄN</t>
        </is>
      </c>
      <c r="E1495" t="inlineStr">
        <is>
          <t>UPPSALA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19539-2024</t>
        </is>
      </c>
      <c r="B1496" s="1" t="n">
        <v>45429</v>
      </c>
      <c r="C1496" s="1" t="n">
        <v>45834</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20466-2024</t>
        </is>
      </c>
      <c r="B1497" s="1" t="n">
        <v>45435</v>
      </c>
      <c r="C1497" s="1" t="n">
        <v>45834</v>
      </c>
      <c r="D1497" t="inlineStr">
        <is>
          <t>UPPSALA LÄN</t>
        </is>
      </c>
      <c r="E1497" t="inlineStr">
        <is>
          <t>UPPSALA</t>
        </is>
      </c>
      <c r="F1497" t="inlineStr">
        <is>
          <t>Holmen skog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20297-2024</t>
        </is>
      </c>
      <c r="B1498" s="1" t="n">
        <v>45435</v>
      </c>
      <c r="C1498" s="1" t="n">
        <v>45834</v>
      </c>
      <c r="D1498" t="inlineStr">
        <is>
          <t>UPPSALA LÄN</t>
        </is>
      </c>
      <c r="E1498" t="inlineStr">
        <is>
          <t>UPPSALA</t>
        </is>
      </c>
      <c r="F1498" t="inlineStr">
        <is>
          <t>Kyrkan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20301-2024</t>
        </is>
      </c>
      <c r="B1499" s="1" t="n">
        <v>45435</v>
      </c>
      <c r="C1499" s="1" t="n">
        <v>45834</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20375-2024</t>
        </is>
      </c>
      <c r="B1500" s="1" t="n">
        <v>45435</v>
      </c>
      <c r="C1500" s="1" t="n">
        <v>45834</v>
      </c>
      <c r="D1500" t="inlineStr">
        <is>
          <t>UPPSALA LÄN</t>
        </is>
      </c>
      <c r="E1500" t="inlineStr">
        <is>
          <t>UPPSALA</t>
        </is>
      </c>
      <c r="F1500" t="inlineStr">
        <is>
          <t>Holmen skog AB</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20459-2024</t>
        </is>
      </c>
      <c r="B1501" s="1" t="n">
        <v>45435</v>
      </c>
      <c r="C1501" s="1" t="n">
        <v>45834</v>
      </c>
      <c r="D1501" t="inlineStr">
        <is>
          <t>UPPSALA LÄN</t>
        </is>
      </c>
      <c r="E1501" t="inlineStr">
        <is>
          <t>UPPSALA</t>
        </is>
      </c>
      <c r="F1501" t="inlineStr">
        <is>
          <t>Kyrkan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20458-2024</t>
        </is>
      </c>
      <c r="B1502" s="1" t="n">
        <v>45435</v>
      </c>
      <c r="C1502" s="1" t="n">
        <v>45834</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20711-2024</t>
        </is>
      </c>
      <c r="B1503" s="1" t="n">
        <v>45436</v>
      </c>
      <c r="C1503" s="1" t="n">
        <v>45834</v>
      </c>
      <c r="D1503" t="inlineStr">
        <is>
          <t>UPPSALA LÄN</t>
        </is>
      </c>
      <c r="E1503" t="inlineStr">
        <is>
          <t>UPPSALA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20851-2024</t>
        </is>
      </c>
      <c r="B1504" s="1" t="n">
        <v>45439</v>
      </c>
      <c r="C1504" s="1" t="n">
        <v>45834</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21015-2024</t>
        </is>
      </c>
      <c r="B1505" s="1" t="n">
        <v>45439</v>
      </c>
      <c r="C1505" s="1" t="n">
        <v>45834</v>
      </c>
      <c r="D1505" t="inlineStr">
        <is>
          <t>UPPSALA LÄN</t>
        </is>
      </c>
      <c r="E1505" t="inlineStr">
        <is>
          <t>UPPSALA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20903-2024</t>
        </is>
      </c>
      <c r="B1506" s="1" t="n">
        <v>45439</v>
      </c>
      <c r="C1506" s="1" t="n">
        <v>45834</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21182-2024</t>
        </is>
      </c>
      <c r="B1507" s="1" t="n">
        <v>45440</v>
      </c>
      <c r="C1507" s="1" t="n">
        <v>45834</v>
      </c>
      <c r="D1507" t="inlineStr">
        <is>
          <t>UPPSALA LÄN</t>
        </is>
      </c>
      <c r="E1507" t="inlineStr">
        <is>
          <t>UPPSALA</t>
        </is>
      </c>
      <c r="F1507" t="inlineStr">
        <is>
          <t>Holmen skog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21310-2024</t>
        </is>
      </c>
      <c r="B1508" s="1" t="n">
        <v>45440</v>
      </c>
      <c r="C1508" s="1" t="n">
        <v>45834</v>
      </c>
      <c r="D1508" t="inlineStr">
        <is>
          <t>UPPSALA LÄN</t>
        </is>
      </c>
      <c r="E1508" t="inlineStr">
        <is>
          <t>UPPSALA</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21526-2024</t>
        </is>
      </c>
      <c r="B1509" s="1" t="n">
        <v>45441</v>
      </c>
      <c r="C1509" s="1" t="n">
        <v>45834</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21555-2024</t>
        </is>
      </c>
      <c r="B1510" s="1" t="n">
        <v>45441</v>
      </c>
      <c r="C1510" s="1" t="n">
        <v>45834</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21657-2024</t>
        </is>
      </c>
      <c r="B1511" s="1" t="n">
        <v>45442</v>
      </c>
      <c r="C1511" s="1" t="n">
        <v>45834</v>
      </c>
      <c r="D1511" t="inlineStr">
        <is>
          <t>UPPSALA LÄN</t>
        </is>
      </c>
      <c r="E1511" t="inlineStr">
        <is>
          <t>UPPSALA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21786-2024</t>
        </is>
      </c>
      <c r="B1512" s="1" t="n">
        <v>45442</v>
      </c>
      <c r="C1512" s="1" t="n">
        <v>45834</v>
      </c>
      <c r="D1512" t="inlineStr">
        <is>
          <t>UPPSALA LÄN</t>
        </is>
      </c>
      <c r="E1512" t="inlineStr">
        <is>
          <t>UPPSALA</t>
        </is>
      </c>
      <c r="F1512" t="inlineStr">
        <is>
          <t>Allmännings- och besparingsskogar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21641-2024</t>
        </is>
      </c>
      <c r="B1513" s="1" t="n">
        <v>45442</v>
      </c>
      <c r="C1513" s="1" t="n">
        <v>45834</v>
      </c>
      <c r="D1513" t="inlineStr">
        <is>
          <t>UPPSALA LÄN</t>
        </is>
      </c>
      <c r="E1513" t="inlineStr">
        <is>
          <t>UPPSALA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21859-2024</t>
        </is>
      </c>
      <c r="B1514" s="1" t="n">
        <v>45443</v>
      </c>
      <c r="C1514" s="1" t="n">
        <v>45834</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22431-2024</t>
        </is>
      </c>
      <c r="B1515" s="1" t="n">
        <v>45446</v>
      </c>
      <c r="C1515" s="1" t="n">
        <v>45834</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22437-2024</t>
        </is>
      </c>
      <c r="B1516" s="1" t="n">
        <v>45446</v>
      </c>
      <c r="C1516" s="1" t="n">
        <v>45834</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22433-2024</t>
        </is>
      </c>
      <c r="B1517" s="1" t="n">
        <v>45446</v>
      </c>
      <c r="C1517" s="1" t="n">
        <v>45834</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22432-2024</t>
        </is>
      </c>
      <c r="B1518" s="1" t="n">
        <v>45446</v>
      </c>
      <c r="C1518" s="1" t="n">
        <v>45834</v>
      </c>
      <c r="D1518" t="inlineStr">
        <is>
          <t>UPPSALA LÄN</t>
        </is>
      </c>
      <c r="E1518" t="inlineStr">
        <is>
          <t>UPPSALA</t>
        </is>
      </c>
      <c r="F1518" t="inlineStr">
        <is>
          <t>Bergvik skog öst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22900-2024</t>
        </is>
      </c>
      <c r="B1519" s="1" t="n">
        <v>45448</v>
      </c>
      <c r="C1519" s="1" t="n">
        <v>45834</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23291-2024</t>
        </is>
      </c>
      <c r="B1520" s="1" t="n">
        <v>45453</v>
      </c>
      <c r="C1520" s="1" t="n">
        <v>45834</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23494-2024</t>
        </is>
      </c>
      <c r="B1521" s="1" t="n">
        <v>45453</v>
      </c>
      <c r="C1521" s="1" t="n">
        <v>45834</v>
      </c>
      <c r="D1521" t="inlineStr">
        <is>
          <t>UPPSALA LÄN</t>
        </is>
      </c>
      <c r="E1521" t="inlineStr">
        <is>
          <t>UPPSALA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24098-2024</t>
        </is>
      </c>
      <c r="B1522" s="1" t="n">
        <v>45456</v>
      </c>
      <c r="C1522" s="1" t="n">
        <v>45834</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24091-2024</t>
        </is>
      </c>
      <c r="B1523" s="1" t="n">
        <v>45456</v>
      </c>
      <c r="C1523" s="1" t="n">
        <v>45834</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24787-2024</t>
        </is>
      </c>
      <c r="B1524" s="1" t="n">
        <v>45460</v>
      </c>
      <c r="C1524" s="1" t="n">
        <v>45834</v>
      </c>
      <c r="D1524" t="inlineStr">
        <is>
          <t>UPPSALA LÄN</t>
        </is>
      </c>
      <c r="E1524" t="inlineStr">
        <is>
          <t>UPPSALA</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25539-2024</t>
        </is>
      </c>
      <c r="B1525" s="1" t="n">
        <v>45463</v>
      </c>
      <c r="C1525" s="1" t="n">
        <v>45834</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25537-2024</t>
        </is>
      </c>
      <c r="B1526" s="1" t="n">
        <v>45463</v>
      </c>
      <c r="C1526" s="1" t="n">
        <v>45834</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25536-2024</t>
        </is>
      </c>
      <c r="B1527" s="1" t="n">
        <v>45463</v>
      </c>
      <c r="C1527" s="1" t="n">
        <v>45834</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25487-2024</t>
        </is>
      </c>
      <c r="B1528" s="1" t="n">
        <v>45463</v>
      </c>
      <c r="C1528" s="1" t="n">
        <v>45834</v>
      </c>
      <c r="D1528" t="inlineStr">
        <is>
          <t>UPPSALA LÄN</t>
        </is>
      </c>
      <c r="E1528" t="inlineStr">
        <is>
          <t>UPPSALA</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25403-2024</t>
        </is>
      </c>
      <c r="B1529" s="1" t="n">
        <v>45463</v>
      </c>
      <c r="C1529" s="1" t="n">
        <v>45834</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25490-2024</t>
        </is>
      </c>
      <c r="B1530" s="1" t="n">
        <v>45463</v>
      </c>
      <c r="C1530" s="1" t="n">
        <v>45834</v>
      </c>
      <c r="D1530" t="inlineStr">
        <is>
          <t>UPPSALA LÄN</t>
        </is>
      </c>
      <c r="E1530" t="inlineStr">
        <is>
          <t>UPPSALA</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26099-2024</t>
        </is>
      </c>
      <c r="B1531" s="1" t="n">
        <v>45468</v>
      </c>
      <c r="C1531" s="1" t="n">
        <v>45834</v>
      </c>
      <c r="D1531" t="inlineStr">
        <is>
          <t>UPPSALA LÄN</t>
        </is>
      </c>
      <c r="E1531" t="inlineStr">
        <is>
          <t>UPPSALA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27476-2024</t>
        </is>
      </c>
      <c r="B1532" s="1" t="n">
        <v>45474</v>
      </c>
      <c r="C1532" s="1" t="n">
        <v>45834</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27473-2024</t>
        </is>
      </c>
      <c r="B1533" s="1" t="n">
        <v>45474</v>
      </c>
      <c r="C1533" s="1" t="n">
        <v>45834</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27442-2024</t>
        </is>
      </c>
      <c r="B1534" s="1" t="n">
        <v>45474</v>
      </c>
      <c r="C1534" s="1" t="n">
        <v>45834</v>
      </c>
      <c r="D1534" t="inlineStr">
        <is>
          <t>UPPSALA LÄN</t>
        </is>
      </c>
      <c r="E1534" t="inlineStr">
        <is>
          <t>UPPSALA</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27474-2024</t>
        </is>
      </c>
      <c r="B1535" s="1" t="n">
        <v>45474</v>
      </c>
      <c r="C1535" s="1" t="n">
        <v>45834</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27498-2024</t>
        </is>
      </c>
      <c r="B1536" s="1" t="n">
        <v>45474</v>
      </c>
      <c r="C1536" s="1" t="n">
        <v>45834</v>
      </c>
      <c r="D1536" t="inlineStr">
        <is>
          <t>UPPSALA LÄN</t>
        </is>
      </c>
      <c r="E1536" t="inlineStr">
        <is>
          <t>UPPSALA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27857-2024</t>
        </is>
      </c>
      <c r="B1537" s="1" t="n">
        <v>45475</v>
      </c>
      <c r="C1537" s="1" t="n">
        <v>45834</v>
      </c>
      <c r="D1537" t="inlineStr">
        <is>
          <t>UPPSALA LÄN</t>
        </is>
      </c>
      <c r="E1537" t="inlineStr">
        <is>
          <t>UPPSALA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27994-2024</t>
        </is>
      </c>
      <c r="B1538" s="1" t="n">
        <v>45476</v>
      </c>
      <c r="C1538" s="1" t="n">
        <v>45834</v>
      </c>
      <c r="D1538" t="inlineStr">
        <is>
          <t>UPPSALA LÄN</t>
        </is>
      </c>
      <c r="E1538" t="inlineStr">
        <is>
          <t>UPPSALA</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27981-2024</t>
        </is>
      </c>
      <c r="B1539" s="1" t="n">
        <v>45476</v>
      </c>
      <c r="C1539" s="1" t="n">
        <v>45834</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27973-2024</t>
        </is>
      </c>
      <c r="B1540" s="1" t="n">
        <v>45476</v>
      </c>
      <c r="C1540" s="1" t="n">
        <v>45834</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28453-2024</t>
        </is>
      </c>
      <c r="B1541" s="1" t="n">
        <v>45477</v>
      </c>
      <c r="C1541" s="1" t="n">
        <v>45834</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28825-2024</t>
        </is>
      </c>
      <c r="B1542" s="1" t="n">
        <v>45478</v>
      </c>
      <c r="C1542" s="1" t="n">
        <v>45834</v>
      </c>
      <c r="D1542" t="inlineStr">
        <is>
          <t>UPPSALA LÄN</t>
        </is>
      </c>
      <c r="E1542" t="inlineStr">
        <is>
          <t>UPPSALA</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28782-2024</t>
        </is>
      </c>
      <c r="B1543" s="1" t="n">
        <v>45478</v>
      </c>
      <c r="C1543" s="1" t="n">
        <v>45834</v>
      </c>
      <c r="D1543" t="inlineStr">
        <is>
          <t>UPPSALA LÄN</t>
        </is>
      </c>
      <c r="E1543" t="inlineStr">
        <is>
          <t>UPPSALA</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29081-2024</t>
        </is>
      </c>
      <c r="B1544" s="1" t="n">
        <v>45481</v>
      </c>
      <c r="C1544" s="1" t="n">
        <v>45834</v>
      </c>
      <c r="D1544" t="inlineStr">
        <is>
          <t>UPPSALA LÄN</t>
        </is>
      </c>
      <c r="E1544" t="inlineStr">
        <is>
          <t>UPPSALA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29082-2024</t>
        </is>
      </c>
      <c r="B1545" s="1" t="n">
        <v>45481</v>
      </c>
      <c r="C1545" s="1" t="n">
        <v>45834</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29164-2024</t>
        </is>
      </c>
      <c r="B1546" s="1" t="n">
        <v>45482</v>
      </c>
      <c r="C1546" s="1" t="n">
        <v>45834</v>
      </c>
      <c r="D1546" t="inlineStr">
        <is>
          <t>UPPSALA LÄN</t>
        </is>
      </c>
      <c r="E1546" t="inlineStr">
        <is>
          <t>UPPSALA</t>
        </is>
      </c>
      <c r="F1546" t="inlineStr">
        <is>
          <t>Allmännings- och besparingsskogar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30079-2024</t>
        </is>
      </c>
      <c r="B1547" s="1" t="n">
        <v>45489</v>
      </c>
      <c r="C1547" s="1" t="n">
        <v>45834</v>
      </c>
      <c r="D1547" t="inlineStr">
        <is>
          <t>UPPSALA LÄN</t>
        </is>
      </c>
      <c r="E1547" t="inlineStr">
        <is>
          <t>UPPSALA</t>
        </is>
      </c>
      <c r="F1547" t="inlineStr">
        <is>
          <t>Holmen skog AB</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30319-2024</t>
        </is>
      </c>
      <c r="B1548" s="1" t="n">
        <v>45490</v>
      </c>
      <c r="C1548" s="1" t="n">
        <v>45834</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31717-2024</t>
        </is>
      </c>
      <c r="B1549" s="1" t="n">
        <v>45509</v>
      </c>
      <c r="C1549" s="1" t="n">
        <v>45834</v>
      </c>
      <c r="D1549" t="inlineStr">
        <is>
          <t>UPPSALA LÄN</t>
        </is>
      </c>
      <c r="E1549" t="inlineStr">
        <is>
          <t>UPPSALA</t>
        </is>
      </c>
      <c r="F1549" t="inlineStr">
        <is>
          <t>Bergvik skog öst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32119-2024</t>
        </is>
      </c>
      <c r="B1550" s="1" t="n">
        <v>45511</v>
      </c>
      <c r="C1550" s="1" t="n">
        <v>45834</v>
      </c>
      <c r="D1550" t="inlineStr">
        <is>
          <t>UPPSALA LÄN</t>
        </is>
      </c>
      <c r="E1550" t="inlineStr">
        <is>
          <t>UPPSALA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32127-2024</t>
        </is>
      </c>
      <c r="B1551" s="1" t="n">
        <v>45511</v>
      </c>
      <c r="C1551" s="1" t="n">
        <v>45834</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32106-2024</t>
        </is>
      </c>
      <c r="B1552" s="1" t="n">
        <v>45511</v>
      </c>
      <c r="C1552" s="1" t="n">
        <v>45834</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32117-2024</t>
        </is>
      </c>
      <c r="B1553" s="1" t="n">
        <v>45511</v>
      </c>
      <c r="C1553" s="1" t="n">
        <v>45834</v>
      </c>
      <c r="D1553" t="inlineStr">
        <is>
          <t>UPPSALA LÄN</t>
        </is>
      </c>
      <c r="E1553" t="inlineStr">
        <is>
          <t>UPPSALA</t>
        </is>
      </c>
      <c r="F1553" t="inlineStr">
        <is>
          <t>Allmännings- och besparingsskogar</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32554-2024</t>
        </is>
      </c>
      <c r="B1554" s="1" t="n">
        <v>45513</v>
      </c>
      <c r="C1554" s="1" t="n">
        <v>45834</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32553-2024</t>
        </is>
      </c>
      <c r="B1555" s="1" t="n">
        <v>45513</v>
      </c>
      <c r="C1555" s="1" t="n">
        <v>45834</v>
      </c>
      <c r="D1555" t="inlineStr">
        <is>
          <t>UPPSALA LÄN</t>
        </is>
      </c>
      <c r="E1555" t="inlineStr">
        <is>
          <t>UPPSALA</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33622-2024</t>
        </is>
      </c>
      <c r="B1556" s="1" t="n">
        <v>45520</v>
      </c>
      <c r="C1556" s="1" t="n">
        <v>45834</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33667-2024</t>
        </is>
      </c>
      <c r="B1557" s="1" t="n">
        <v>45520</v>
      </c>
      <c r="C1557" s="1" t="n">
        <v>45834</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33816-2024</t>
        </is>
      </c>
      <c r="B1558" s="1" t="n">
        <v>45520</v>
      </c>
      <c r="C1558" s="1" t="n">
        <v>45834</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33939-2024</t>
        </is>
      </c>
      <c r="B1559" s="1" t="n">
        <v>45523</v>
      </c>
      <c r="C1559" s="1" t="n">
        <v>45834</v>
      </c>
      <c r="D1559" t="inlineStr">
        <is>
          <t>UPPSALA LÄN</t>
        </is>
      </c>
      <c r="E1559" t="inlineStr">
        <is>
          <t>UPPSALA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34147-2024</t>
        </is>
      </c>
      <c r="B1560" s="1" t="n">
        <v>45524</v>
      </c>
      <c r="C1560" s="1" t="n">
        <v>45834</v>
      </c>
      <c r="D1560" t="inlineStr">
        <is>
          <t>UPPSALA LÄN</t>
        </is>
      </c>
      <c r="E1560" t="inlineStr">
        <is>
          <t>UPPSALA</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34114-2024</t>
        </is>
      </c>
      <c r="B1561" s="1" t="n">
        <v>45524</v>
      </c>
      <c r="C1561" s="1" t="n">
        <v>45834</v>
      </c>
      <c r="D1561" t="inlineStr">
        <is>
          <t>UPPSALA LÄN</t>
        </is>
      </c>
      <c r="E1561" t="inlineStr">
        <is>
          <t>UPPSALA</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34520-2024</t>
        </is>
      </c>
      <c r="B1562" s="1" t="n">
        <v>45525</v>
      </c>
      <c r="C1562" s="1" t="n">
        <v>45834</v>
      </c>
      <c r="D1562" t="inlineStr">
        <is>
          <t>UPPSALA LÄN</t>
        </is>
      </c>
      <c r="E1562" t="inlineStr">
        <is>
          <t>UPPSALA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34656-2024</t>
        </is>
      </c>
      <c r="B1563" s="1" t="n">
        <v>45526</v>
      </c>
      <c r="C1563" s="1" t="n">
        <v>45834</v>
      </c>
      <c r="D1563" t="inlineStr">
        <is>
          <t>UPPSALA LÄN</t>
        </is>
      </c>
      <c r="E1563" t="inlineStr">
        <is>
          <t>UPPSALA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34623-2024</t>
        </is>
      </c>
      <c r="B1564" s="1" t="n">
        <v>45526</v>
      </c>
      <c r="C1564" s="1" t="n">
        <v>45834</v>
      </c>
      <c r="D1564" t="inlineStr">
        <is>
          <t>UPPSALA LÄN</t>
        </is>
      </c>
      <c r="E1564" t="inlineStr">
        <is>
          <t>UPPSALA</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35830-2024</t>
        </is>
      </c>
      <c r="B1565" s="1" t="n">
        <v>45532</v>
      </c>
      <c r="C1565" s="1" t="n">
        <v>45834</v>
      </c>
      <c r="D1565" t="inlineStr">
        <is>
          <t>UPPSALA LÄN</t>
        </is>
      </c>
      <c r="E1565" t="inlineStr">
        <is>
          <t>UPPSALA</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36015-2024</t>
        </is>
      </c>
      <c r="B1566" s="1" t="n">
        <v>45533</v>
      </c>
      <c r="C1566" s="1" t="n">
        <v>45834</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36029-2024</t>
        </is>
      </c>
      <c r="B1567" s="1" t="n">
        <v>45533</v>
      </c>
      <c r="C1567" s="1" t="n">
        <v>45834</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36041-2024</t>
        </is>
      </c>
      <c r="B1568" s="1" t="n">
        <v>45533</v>
      </c>
      <c r="C1568" s="1" t="n">
        <v>45834</v>
      </c>
      <c r="D1568" t="inlineStr">
        <is>
          <t>UPPSALA LÄN</t>
        </is>
      </c>
      <c r="E1568" t="inlineStr">
        <is>
          <t>UPPSALA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37032-2024</t>
        </is>
      </c>
      <c r="B1569" s="1" t="n">
        <v>45539</v>
      </c>
      <c r="C1569" s="1" t="n">
        <v>45834</v>
      </c>
      <c r="D1569" t="inlineStr">
        <is>
          <t>UPPSALA LÄN</t>
        </is>
      </c>
      <c r="E1569" t="inlineStr">
        <is>
          <t>UPPSALA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37033-2024</t>
        </is>
      </c>
      <c r="B1570" s="1" t="n">
        <v>45539</v>
      </c>
      <c r="C1570" s="1" t="n">
        <v>45834</v>
      </c>
      <c r="D1570" t="inlineStr">
        <is>
          <t>UPPSALA LÄN</t>
        </is>
      </c>
      <c r="E1570" t="inlineStr">
        <is>
          <t>UPPSALA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37307-2024</t>
        </is>
      </c>
      <c r="B1571" s="1" t="n">
        <v>45540</v>
      </c>
      <c r="C1571" s="1" t="n">
        <v>45834</v>
      </c>
      <c r="D1571" t="inlineStr">
        <is>
          <t>UPPSALA LÄN</t>
        </is>
      </c>
      <c r="E1571" t="inlineStr">
        <is>
          <t>UPPSALA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37568-2024</t>
        </is>
      </c>
      <c r="B1572" s="1" t="n">
        <v>45541</v>
      </c>
      <c r="C1572" s="1" t="n">
        <v>45834</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37666-2024</t>
        </is>
      </c>
      <c r="B1573" s="1" t="n">
        <v>45541</v>
      </c>
      <c r="C1573" s="1" t="n">
        <v>45834</v>
      </c>
      <c r="D1573" t="inlineStr">
        <is>
          <t>UPPSALA LÄN</t>
        </is>
      </c>
      <c r="E1573" t="inlineStr">
        <is>
          <t>UPPSALA</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37579-2024</t>
        </is>
      </c>
      <c r="B1574" s="1" t="n">
        <v>45541</v>
      </c>
      <c r="C1574" s="1" t="n">
        <v>45834</v>
      </c>
      <c r="D1574" t="inlineStr">
        <is>
          <t>UPPSALA LÄN</t>
        </is>
      </c>
      <c r="E1574" t="inlineStr">
        <is>
          <t>UPPSALA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37671-2024</t>
        </is>
      </c>
      <c r="B1575" s="1" t="n">
        <v>45541</v>
      </c>
      <c r="C1575" s="1" t="n">
        <v>45834</v>
      </c>
      <c r="D1575" t="inlineStr">
        <is>
          <t>UPPSALA LÄN</t>
        </is>
      </c>
      <c r="E1575" t="inlineStr">
        <is>
          <t>UPPSALA</t>
        </is>
      </c>
      <c r="F1575" t="inlineStr">
        <is>
          <t>Övriga Aktiebolag</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38119-2024</t>
        </is>
      </c>
      <c r="B1576" s="1" t="n">
        <v>45545</v>
      </c>
      <c r="C1576" s="1" t="n">
        <v>45834</v>
      </c>
      <c r="D1576" t="inlineStr">
        <is>
          <t>UPPSALA LÄN</t>
        </is>
      </c>
      <c r="E1576" t="inlineStr">
        <is>
          <t>UPPSALA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39007-2024</t>
        </is>
      </c>
      <c r="B1577" s="1" t="n">
        <v>45548</v>
      </c>
      <c r="C1577" s="1" t="n">
        <v>45834</v>
      </c>
      <c r="D1577" t="inlineStr">
        <is>
          <t>UPPSALA LÄN</t>
        </is>
      </c>
      <c r="E1577" t="inlineStr">
        <is>
          <t>UPPSALA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39359-2024</t>
        </is>
      </c>
      <c r="B1578" s="1" t="n">
        <v>45551</v>
      </c>
      <c r="C1578" s="1" t="n">
        <v>45834</v>
      </c>
      <c r="D1578" t="inlineStr">
        <is>
          <t>UPPSALA LÄN</t>
        </is>
      </c>
      <c r="E1578" t="inlineStr">
        <is>
          <t>UPPSALA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39818-2024</t>
        </is>
      </c>
      <c r="B1579" s="1" t="n">
        <v>45552</v>
      </c>
      <c r="C1579" s="1" t="n">
        <v>45834</v>
      </c>
      <c r="D1579" t="inlineStr">
        <is>
          <t>UPPSALA LÄN</t>
        </is>
      </c>
      <c r="E1579" t="inlineStr">
        <is>
          <t>UPPSALA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39812-2024</t>
        </is>
      </c>
      <c r="B1580" s="1" t="n">
        <v>45552</v>
      </c>
      <c r="C1580" s="1" t="n">
        <v>45834</v>
      </c>
      <c r="D1580" t="inlineStr">
        <is>
          <t>UPPSALA LÄN</t>
        </is>
      </c>
      <c r="E1580" t="inlineStr">
        <is>
          <t>UPPSALA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39926-2024</t>
        </is>
      </c>
      <c r="B1581" s="1" t="n">
        <v>45553</v>
      </c>
      <c r="C1581" s="1" t="n">
        <v>45834</v>
      </c>
      <c r="D1581" t="inlineStr">
        <is>
          <t>UPPSALA LÄN</t>
        </is>
      </c>
      <c r="E1581" t="inlineStr">
        <is>
          <t>UPPSALA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40111-2024</t>
        </is>
      </c>
      <c r="B1582" s="1" t="n">
        <v>45554</v>
      </c>
      <c r="C1582" s="1" t="n">
        <v>45834</v>
      </c>
      <c r="D1582" t="inlineStr">
        <is>
          <t>UPPSALA LÄN</t>
        </is>
      </c>
      <c r="E1582" t="inlineStr">
        <is>
          <t>UPPSALA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40326-2024</t>
        </is>
      </c>
      <c r="B1583" s="1" t="n">
        <v>45554</v>
      </c>
      <c r="C1583" s="1" t="n">
        <v>45834</v>
      </c>
      <c r="D1583" t="inlineStr">
        <is>
          <t>UPPSALA LÄN</t>
        </is>
      </c>
      <c r="E1583" t="inlineStr">
        <is>
          <t>UPPSALA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40491-2024</t>
        </is>
      </c>
      <c r="B1584" s="1" t="n">
        <v>45555</v>
      </c>
      <c r="C1584" s="1" t="n">
        <v>45834</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40503-2024</t>
        </is>
      </c>
      <c r="B1585" s="1" t="n">
        <v>45555</v>
      </c>
      <c r="C1585" s="1" t="n">
        <v>45834</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40701-2024</t>
        </is>
      </c>
      <c r="B1586" s="1" t="n">
        <v>45558</v>
      </c>
      <c r="C1586" s="1" t="n">
        <v>45834</v>
      </c>
      <c r="D1586" t="inlineStr">
        <is>
          <t>UPPSALA LÄN</t>
        </is>
      </c>
      <c r="E1586" t="inlineStr">
        <is>
          <t>UPPSALA</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40753-2024</t>
        </is>
      </c>
      <c r="B1587" s="1" t="n">
        <v>45558</v>
      </c>
      <c r="C1587" s="1" t="n">
        <v>45834</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42276-2024</t>
        </is>
      </c>
      <c r="B1588" s="1" t="n">
        <v>45562</v>
      </c>
      <c r="C1588" s="1" t="n">
        <v>45834</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42146-2024</t>
        </is>
      </c>
      <c r="B1589" s="1" t="n">
        <v>45562</v>
      </c>
      <c r="C1589" s="1" t="n">
        <v>45834</v>
      </c>
      <c r="D1589" t="inlineStr">
        <is>
          <t>UPPSALA LÄN</t>
        </is>
      </c>
      <c r="E1589" t="inlineStr">
        <is>
          <t>UPPSALA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42259-2024</t>
        </is>
      </c>
      <c r="B1590" s="1" t="n">
        <v>45562</v>
      </c>
      <c r="C1590" s="1" t="n">
        <v>45834</v>
      </c>
      <c r="D1590" t="inlineStr">
        <is>
          <t>UPPSALA LÄN</t>
        </is>
      </c>
      <c r="E1590" t="inlineStr">
        <is>
          <t>UPPSALA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42143-2024</t>
        </is>
      </c>
      <c r="B1591" s="1" t="n">
        <v>45562</v>
      </c>
      <c r="C1591" s="1" t="n">
        <v>45834</v>
      </c>
      <c r="D1591" t="inlineStr">
        <is>
          <t>UPPSALA LÄN</t>
        </is>
      </c>
      <c r="E1591" t="inlineStr">
        <is>
          <t>UPPSALA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43361-2024</t>
        </is>
      </c>
      <c r="B1592" s="1" t="n">
        <v>45568</v>
      </c>
      <c r="C1592" s="1" t="n">
        <v>45834</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43959-2024</t>
        </is>
      </c>
      <c r="B1593" s="1" t="n">
        <v>45572</v>
      </c>
      <c r="C1593" s="1" t="n">
        <v>45834</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43960-2024</t>
        </is>
      </c>
      <c r="B1594" s="1" t="n">
        <v>45572</v>
      </c>
      <c r="C1594" s="1" t="n">
        <v>45834</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43951-2024</t>
        </is>
      </c>
      <c r="B1595" s="1" t="n">
        <v>45572</v>
      </c>
      <c r="C1595" s="1" t="n">
        <v>45834</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44562-2024</t>
        </is>
      </c>
      <c r="B1596" s="1" t="n">
        <v>45574</v>
      </c>
      <c r="C1596" s="1" t="n">
        <v>45834</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44550-2024</t>
        </is>
      </c>
      <c r="B1597" s="1" t="n">
        <v>45574</v>
      </c>
      <c r="C1597" s="1" t="n">
        <v>45834</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44563-2024</t>
        </is>
      </c>
      <c r="B1598" s="1" t="n">
        <v>45574</v>
      </c>
      <c r="C1598" s="1" t="n">
        <v>45834</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44847-2024</t>
        </is>
      </c>
      <c r="B1599" s="1" t="n">
        <v>45574</v>
      </c>
      <c r="C1599" s="1" t="n">
        <v>45834</v>
      </c>
      <c r="D1599" t="inlineStr">
        <is>
          <t>UPPSALA LÄN</t>
        </is>
      </c>
      <c r="E1599" t="inlineStr">
        <is>
          <t>UPPSALA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44560-2024</t>
        </is>
      </c>
      <c r="B1600" s="1" t="n">
        <v>45574</v>
      </c>
      <c r="C1600" s="1" t="n">
        <v>45834</v>
      </c>
      <c r="D1600" t="inlineStr">
        <is>
          <t>UPPSALA LÄN</t>
        </is>
      </c>
      <c r="E1600" t="inlineStr">
        <is>
          <t>UPPSALA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44946-2024</t>
        </is>
      </c>
      <c r="B1601" s="1" t="n">
        <v>45575</v>
      </c>
      <c r="C1601" s="1" t="n">
        <v>45834</v>
      </c>
      <c r="D1601" t="inlineStr">
        <is>
          <t>UPPSALA LÄN</t>
        </is>
      </c>
      <c r="E1601" t="inlineStr">
        <is>
          <t>UPPSALA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45878-2024</t>
        </is>
      </c>
      <c r="B1602" s="1" t="n">
        <v>45580</v>
      </c>
      <c r="C1602" s="1" t="n">
        <v>45834</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46728-2024</t>
        </is>
      </c>
      <c r="B1603" s="1" t="n">
        <v>45583</v>
      </c>
      <c r="C1603" s="1" t="n">
        <v>45834</v>
      </c>
      <c r="D1603" t="inlineStr">
        <is>
          <t>UPPSALA LÄN</t>
        </is>
      </c>
      <c r="E1603" t="inlineStr">
        <is>
          <t>UPPSALA</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46796-2024</t>
        </is>
      </c>
      <c r="B1604" s="1" t="n">
        <v>45583</v>
      </c>
      <c r="C1604" s="1" t="n">
        <v>45834</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46745-2024</t>
        </is>
      </c>
      <c r="B1605" s="1" t="n">
        <v>45583</v>
      </c>
      <c r="C1605" s="1" t="n">
        <v>45834</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46743-2024</t>
        </is>
      </c>
      <c r="B1606" s="1" t="n">
        <v>45583</v>
      </c>
      <c r="C1606" s="1" t="n">
        <v>45834</v>
      </c>
      <c r="D1606" t="inlineStr">
        <is>
          <t>UPPSALA LÄN</t>
        </is>
      </c>
      <c r="E1606" t="inlineStr">
        <is>
          <t>UPPSALA</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46751-2024</t>
        </is>
      </c>
      <c r="B1607" s="1" t="n">
        <v>45583</v>
      </c>
      <c r="C1607" s="1" t="n">
        <v>45834</v>
      </c>
      <c r="D1607" t="inlineStr">
        <is>
          <t>UPPSALA LÄN</t>
        </is>
      </c>
      <c r="E1607" t="inlineStr">
        <is>
          <t>UPPSALA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46794-2024</t>
        </is>
      </c>
      <c r="B1608" s="1" t="n">
        <v>45583</v>
      </c>
      <c r="C1608" s="1" t="n">
        <v>45834</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46791-2024</t>
        </is>
      </c>
      <c r="B1609" s="1" t="n">
        <v>45583</v>
      </c>
      <c r="C1609" s="1" t="n">
        <v>45834</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46730-2024</t>
        </is>
      </c>
      <c r="B1610" s="1" t="n">
        <v>45583</v>
      </c>
      <c r="C1610" s="1" t="n">
        <v>45834</v>
      </c>
      <c r="D1610" t="inlineStr">
        <is>
          <t>UPPSALA LÄN</t>
        </is>
      </c>
      <c r="E1610" t="inlineStr">
        <is>
          <t>UPPSALA</t>
        </is>
      </c>
      <c r="F1610" t="inlineStr">
        <is>
          <t>Sveaskog</t>
        </is>
      </c>
      <c r="G1610" t="n">
        <v>6.5</v>
      </c>
      <c r="H1610" t="n">
        <v>0</v>
      </c>
      <c r="I1610" t="n">
        <v>0</v>
      </c>
      <c r="J1610" t="n">
        <v>0</v>
      </c>
      <c r="K1610" t="n">
        <v>0</v>
      </c>
      <c r="L1610" t="n">
        <v>0</v>
      </c>
      <c r="M1610" t="n">
        <v>0</v>
      </c>
      <c r="N1610" t="n">
        <v>0</v>
      </c>
      <c r="O1610" t="n">
        <v>0</v>
      </c>
      <c r="P1610" t="n">
        <v>0</v>
      </c>
      <c r="Q1610" t="n">
        <v>0</v>
      </c>
      <c r="R1610" s="2" t="inlineStr"/>
      <c r="U1610">
        <f>HYPERLINK("https://klasma.github.io/Logging_0380/knärot/A 46730-2024 karta knärot.png", "A 46730-2024")</f>
        <v/>
      </c>
      <c r="V1610">
        <f>HYPERLINK("https://klasma.github.io/Logging_0380/klagomål/A 46730-2024 FSC-klagomål.docx", "A 46730-2024")</f>
        <v/>
      </c>
      <c r="W1610">
        <f>HYPERLINK("https://klasma.github.io/Logging_0380/klagomålsmail/A 46730-2024 FSC-klagomål mail.docx", "A 46730-2024")</f>
        <v/>
      </c>
      <c r="X1610">
        <f>HYPERLINK("https://klasma.github.io/Logging_0380/tillsyn/A 46730-2024 tillsynsbegäran.docx", "A 46730-2024")</f>
        <v/>
      </c>
      <c r="Y1610">
        <f>HYPERLINK("https://klasma.github.io/Logging_0380/tillsynsmail/A 46730-2024 tillsynsbegäran mail.docx", "A 46730-2024")</f>
        <v/>
      </c>
    </row>
    <row r="1611" ht="15" customHeight="1">
      <c r="A1611" t="inlineStr">
        <is>
          <t>A 46821-2024</t>
        </is>
      </c>
      <c r="B1611" s="1" t="n">
        <v>45583</v>
      </c>
      <c r="C1611" s="1" t="n">
        <v>45834</v>
      </c>
      <c r="D1611" t="inlineStr">
        <is>
          <t>UPPSALA LÄN</t>
        </is>
      </c>
      <c r="E1611" t="inlineStr">
        <is>
          <t>UPPSALA</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46748-2024</t>
        </is>
      </c>
      <c r="B1612" s="1" t="n">
        <v>45583</v>
      </c>
      <c r="C1612" s="1" t="n">
        <v>45834</v>
      </c>
      <c r="D1612" t="inlineStr">
        <is>
          <t>UPPSALA LÄN</t>
        </is>
      </c>
      <c r="E1612" t="inlineStr">
        <is>
          <t>UPPSALA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46700-2024</t>
        </is>
      </c>
      <c r="B1613" s="1" t="n">
        <v>45583</v>
      </c>
      <c r="C1613" s="1" t="n">
        <v>45834</v>
      </c>
      <c r="D1613" t="inlineStr">
        <is>
          <t>UPPSALA LÄN</t>
        </is>
      </c>
      <c r="E1613" t="inlineStr">
        <is>
          <t>UPPSALA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46925-2024</t>
        </is>
      </c>
      <c r="B1614" s="1" t="n">
        <v>45584</v>
      </c>
      <c r="C1614" s="1" t="n">
        <v>45834</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47169-2024</t>
        </is>
      </c>
      <c r="B1615" s="1" t="n">
        <v>45586</v>
      </c>
      <c r="C1615" s="1" t="n">
        <v>45834</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47052-2024</t>
        </is>
      </c>
      <c r="B1616" s="1" t="n">
        <v>45586</v>
      </c>
      <c r="C1616" s="1" t="n">
        <v>45834</v>
      </c>
      <c r="D1616" t="inlineStr">
        <is>
          <t>UPPSALA LÄN</t>
        </is>
      </c>
      <c r="E1616" t="inlineStr">
        <is>
          <t>UPPSALA</t>
        </is>
      </c>
      <c r="F1616" t="inlineStr">
        <is>
          <t>Holmen skog AB</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47288-2024</t>
        </is>
      </c>
      <c r="B1617" s="1" t="n">
        <v>45587</v>
      </c>
      <c r="C1617" s="1" t="n">
        <v>45834</v>
      </c>
      <c r="D1617" t="inlineStr">
        <is>
          <t>UPPSALA LÄN</t>
        </is>
      </c>
      <c r="E1617" t="inlineStr">
        <is>
          <t>UPPSALA</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48154-2024</t>
        </is>
      </c>
      <c r="B1618" s="1" t="n">
        <v>45589</v>
      </c>
      <c r="C1618" s="1" t="n">
        <v>45834</v>
      </c>
      <c r="D1618" t="inlineStr">
        <is>
          <t>UPPSALA LÄN</t>
        </is>
      </c>
      <c r="E1618" t="inlineStr">
        <is>
          <t>UPPSALA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48153-2024</t>
        </is>
      </c>
      <c r="B1619" s="1" t="n">
        <v>45589</v>
      </c>
      <c r="C1619" s="1" t="n">
        <v>45834</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48073-2024</t>
        </is>
      </c>
      <c r="B1620" s="1" t="n">
        <v>45589</v>
      </c>
      <c r="C1620" s="1" t="n">
        <v>45834</v>
      </c>
      <c r="D1620" t="inlineStr">
        <is>
          <t>UPPSALA LÄN</t>
        </is>
      </c>
      <c r="E1620" t="inlineStr">
        <is>
          <t>UPPSALA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49158-2024</t>
        </is>
      </c>
      <c r="B1621" s="1" t="n">
        <v>45594</v>
      </c>
      <c r="C1621" s="1" t="n">
        <v>45834</v>
      </c>
      <c r="D1621" t="inlineStr">
        <is>
          <t>UPPSALA LÄN</t>
        </is>
      </c>
      <c r="E1621" t="inlineStr">
        <is>
          <t>UPPSALA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49012-2024</t>
        </is>
      </c>
      <c r="B1622" s="1" t="n">
        <v>45594</v>
      </c>
      <c r="C1622" s="1" t="n">
        <v>45834</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49050-2024</t>
        </is>
      </c>
      <c r="B1623" s="1" t="n">
        <v>45594</v>
      </c>
      <c r="C1623" s="1" t="n">
        <v>45834</v>
      </c>
      <c r="D1623" t="inlineStr">
        <is>
          <t>UPPSALA LÄN</t>
        </is>
      </c>
      <c r="E1623" t="inlineStr">
        <is>
          <t>UPPSALA</t>
        </is>
      </c>
      <c r="F1623" t="inlineStr">
        <is>
          <t>Övriga statliga verk och myndigheter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49180-2024</t>
        </is>
      </c>
      <c r="B1624" s="1" t="n">
        <v>45595</v>
      </c>
      <c r="C1624" s="1" t="n">
        <v>45834</v>
      </c>
      <c r="D1624" t="inlineStr">
        <is>
          <t>UPPSALA LÄN</t>
        </is>
      </c>
      <c r="E1624" t="inlineStr">
        <is>
          <t>UPPSALA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50037-2024</t>
        </is>
      </c>
      <c r="B1625" s="1" t="n">
        <v>45599</v>
      </c>
      <c r="C1625" s="1" t="n">
        <v>45834</v>
      </c>
      <c r="D1625" t="inlineStr">
        <is>
          <t>UPPSALA LÄN</t>
        </is>
      </c>
      <c r="E1625" t="inlineStr">
        <is>
          <t>UPPSALA</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50535-2024</t>
        </is>
      </c>
      <c r="B1626" s="1" t="n">
        <v>45600</v>
      </c>
      <c r="C1626" s="1" t="n">
        <v>45834</v>
      </c>
      <c r="D1626" t="inlineStr">
        <is>
          <t>UPPSALA LÄN</t>
        </is>
      </c>
      <c r="E1626" t="inlineStr">
        <is>
          <t>UPPSALA</t>
        </is>
      </c>
      <c r="F1626" t="inlineStr">
        <is>
          <t>Övriga statliga verk och myndigheter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50196-2024</t>
        </is>
      </c>
      <c r="B1627" s="1" t="n">
        <v>45600</v>
      </c>
      <c r="C1627" s="1" t="n">
        <v>45834</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50463-2024</t>
        </is>
      </c>
      <c r="B1628" s="1" t="n">
        <v>45601</v>
      </c>
      <c r="C1628" s="1" t="n">
        <v>45834</v>
      </c>
      <c r="D1628" t="inlineStr">
        <is>
          <t>UPPSALA LÄN</t>
        </is>
      </c>
      <c r="E1628" t="inlineStr">
        <is>
          <t>UPPSALA</t>
        </is>
      </c>
      <c r="F1628" t="inlineStr">
        <is>
          <t>Allmännings- och besparingsskogar</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50669-2024</t>
        </is>
      </c>
      <c r="B1629" s="1" t="n">
        <v>45601</v>
      </c>
      <c r="C1629" s="1" t="n">
        <v>45834</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50834-2024</t>
        </is>
      </c>
      <c r="B1630" s="1" t="n">
        <v>45602</v>
      </c>
      <c r="C1630" s="1" t="n">
        <v>45834</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51482-2024</t>
        </is>
      </c>
      <c r="B1631" s="1" t="n">
        <v>45604</v>
      </c>
      <c r="C1631" s="1" t="n">
        <v>45834</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51483-2024</t>
        </is>
      </c>
      <c r="B1632" s="1" t="n">
        <v>45604</v>
      </c>
      <c r="C1632" s="1" t="n">
        <v>45834</v>
      </c>
      <c r="D1632" t="inlineStr">
        <is>
          <t>UPPSALA LÄN</t>
        </is>
      </c>
      <c r="E1632" t="inlineStr">
        <is>
          <t>UPPSALA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51485-2024</t>
        </is>
      </c>
      <c r="B1633" s="1" t="n">
        <v>45604</v>
      </c>
      <c r="C1633" s="1" t="n">
        <v>45834</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45834</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52094-2024</t>
        </is>
      </c>
      <c r="B1635" s="1" t="n">
        <v>45608</v>
      </c>
      <c r="C1635" s="1" t="n">
        <v>45834</v>
      </c>
      <c r="D1635" t="inlineStr">
        <is>
          <t>UPPSALA LÄN</t>
        </is>
      </c>
      <c r="E1635" t="inlineStr">
        <is>
          <t>UPPSALA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52093-2024</t>
        </is>
      </c>
      <c r="B1636" s="1" t="n">
        <v>45608</v>
      </c>
      <c r="C1636" s="1" t="n">
        <v>45834</v>
      </c>
      <c r="D1636" t="inlineStr">
        <is>
          <t>UPPSALA LÄN</t>
        </is>
      </c>
      <c r="E1636" t="inlineStr">
        <is>
          <t>UPPSALA</t>
        </is>
      </c>
      <c r="F1636" t="inlineStr">
        <is>
          <t>Bergvik skog öst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52456-2024</t>
        </is>
      </c>
      <c r="B1637" s="1" t="n">
        <v>45609</v>
      </c>
      <c r="C1637" s="1" t="n">
        <v>45834</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52466-2024</t>
        </is>
      </c>
      <c r="B1638" s="1" t="n">
        <v>45609</v>
      </c>
      <c r="C1638" s="1" t="n">
        <v>45834</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45834</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53058-2024</t>
        </is>
      </c>
      <c r="B1640" s="1" t="n">
        <v>45611</v>
      </c>
      <c r="C1640" s="1" t="n">
        <v>45834</v>
      </c>
      <c r="D1640" t="inlineStr">
        <is>
          <t>UPPSALA LÄN</t>
        </is>
      </c>
      <c r="E1640" t="inlineStr">
        <is>
          <t>UPPSALA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53615-2024</t>
        </is>
      </c>
      <c r="B1641" s="1" t="n">
        <v>45611</v>
      </c>
      <c r="C1641" s="1" t="n">
        <v>45834</v>
      </c>
      <c r="D1641" t="inlineStr">
        <is>
          <t>UPPSALA LÄN</t>
        </is>
      </c>
      <c r="E1641" t="inlineStr">
        <is>
          <t>UPPSALA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53365-2024</t>
        </is>
      </c>
      <c r="B1642" s="1" t="n">
        <v>45614</v>
      </c>
      <c r="C1642" s="1" t="n">
        <v>45834</v>
      </c>
      <c r="D1642" t="inlineStr">
        <is>
          <t>UPPSALA LÄN</t>
        </is>
      </c>
      <c r="E1642" t="inlineStr">
        <is>
          <t>UPPSALA</t>
        </is>
      </c>
      <c r="F1642" t="inlineStr">
        <is>
          <t>Allmännings- och besparingsskogar</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53588-2024</t>
        </is>
      </c>
      <c r="B1643" s="1" t="n">
        <v>45614</v>
      </c>
      <c r="C1643" s="1" t="n">
        <v>45834</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53589-2024</t>
        </is>
      </c>
      <c r="B1644" s="1" t="n">
        <v>45614</v>
      </c>
      <c r="C1644" s="1" t="n">
        <v>45834</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53569-2024</t>
        </is>
      </c>
      <c r="B1645" s="1" t="n">
        <v>45614</v>
      </c>
      <c r="C1645" s="1" t="n">
        <v>45834</v>
      </c>
      <c r="D1645" t="inlineStr">
        <is>
          <t>UPPSALA LÄN</t>
        </is>
      </c>
      <c r="E1645" t="inlineStr">
        <is>
          <t>UPPSALA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53384-2024</t>
        </is>
      </c>
      <c r="B1646" s="1" t="n">
        <v>45614</v>
      </c>
      <c r="C1646" s="1" t="n">
        <v>45834</v>
      </c>
      <c r="D1646" t="inlineStr">
        <is>
          <t>UPPSALA LÄN</t>
        </is>
      </c>
      <c r="E1646" t="inlineStr">
        <is>
          <t>UPPSALA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53266-2024</t>
        </is>
      </c>
      <c r="B1647" s="1" t="n">
        <v>45614</v>
      </c>
      <c r="C1647" s="1" t="n">
        <v>45834</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53921-2024</t>
        </is>
      </c>
      <c r="B1648" s="1" t="n">
        <v>45615</v>
      </c>
      <c r="C1648" s="1" t="n">
        <v>45834</v>
      </c>
      <c r="D1648" t="inlineStr">
        <is>
          <t>UPPSALA LÄN</t>
        </is>
      </c>
      <c r="E1648" t="inlineStr">
        <is>
          <t>UPPSALA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54512-2024</t>
        </is>
      </c>
      <c r="B1649" s="1" t="n">
        <v>45617</v>
      </c>
      <c r="C1649" s="1" t="n">
        <v>45834</v>
      </c>
      <c r="D1649" t="inlineStr">
        <is>
          <t>UPPSALA LÄN</t>
        </is>
      </c>
      <c r="E1649" t="inlineStr">
        <is>
          <t>UPPSALA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54924-2024</t>
        </is>
      </c>
      <c r="B1650" s="1" t="n">
        <v>45618</v>
      </c>
      <c r="C1650" s="1" t="n">
        <v>45834</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56050-2024</t>
        </is>
      </c>
      <c r="B1651" s="1" t="n">
        <v>45624</v>
      </c>
      <c r="C1651" s="1" t="n">
        <v>45834</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56067-2024</t>
        </is>
      </c>
      <c r="B1652" s="1" t="n">
        <v>45624</v>
      </c>
      <c r="C1652" s="1" t="n">
        <v>45834</v>
      </c>
      <c r="D1652" t="inlineStr">
        <is>
          <t>UPPSALA LÄN</t>
        </is>
      </c>
      <c r="E1652" t="inlineStr">
        <is>
          <t>UPPSALA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56084-2024</t>
        </is>
      </c>
      <c r="B1653" s="1" t="n">
        <v>45624</v>
      </c>
      <c r="C1653" s="1" t="n">
        <v>45834</v>
      </c>
      <c r="D1653" t="inlineStr">
        <is>
          <t>UPPSALA LÄN</t>
        </is>
      </c>
      <c r="E1653" t="inlineStr">
        <is>
          <t>UPPSALA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56564-2024</t>
        </is>
      </c>
      <c r="B1654" s="1" t="n">
        <v>45625</v>
      </c>
      <c r="C1654" s="1" t="n">
        <v>45834</v>
      </c>
      <c r="D1654" t="inlineStr">
        <is>
          <t>UPPSALA LÄN</t>
        </is>
      </c>
      <c r="E1654" t="inlineStr">
        <is>
          <t>UPPSALA</t>
        </is>
      </c>
      <c r="F1654" t="inlineStr">
        <is>
          <t>Övriga Aktiebolag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57614-2024</t>
        </is>
      </c>
      <c r="B1655" s="1" t="n">
        <v>45630</v>
      </c>
      <c r="C1655" s="1" t="n">
        <v>45834</v>
      </c>
      <c r="D1655" t="inlineStr">
        <is>
          <t>UPPSALA LÄN</t>
        </is>
      </c>
      <c r="E1655" t="inlineStr">
        <is>
          <t>UPPSALA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57618-2024</t>
        </is>
      </c>
      <c r="B1656" s="1" t="n">
        <v>45630</v>
      </c>
      <c r="C1656" s="1" t="n">
        <v>45834</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57643-2024</t>
        </is>
      </c>
      <c r="B1657" s="1" t="n">
        <v>45630</v>
      </c>
      <c r="C1657" s="1" t="n">
        <v>45834</v>
      </c>
      <c r="D1657" t="inlineStr">
        <is>
          <t>UPPSALA LÄN</t>
        </is>
      </c>
      <c r="E1657" t="inlineStr">
        <is>
          <t>UPPSALA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57871-2024</t>
        </is>
      </c>
      <c r="B1658" s="1" t="n">
        <v>45631</v>
      </c>
      <c r="C1658" s="1" t="n">
        <v>45834</v>
      </c>
      <c r="D1658" t="inlineStr">
        <is>
          <t>UPPSALA LÄN</t>
        </is>
      </c>
      <c r="E1658" t="inlineStr">
        <is>
          <t>UPPSALA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58187-2024</t>
        </is>
      </c>
      <c r="B1659" s="1" t="n">
        <v>45632</v>
      </c>
      <c r="C1659" s="1" t="n">
        <v>45834</v>
      </c>
      <c r="D1659" t="inlineStr">
        <is>
          <t>UPPSALA LÄN</t>
        </is>
      </c>
      <c r="E1659" t="inlineStr">
        <is>
          <t>UPPSALA</t>
        </is>
      </c>
      <c r="F1659" t="inlineStr">
        <is>
          <t>Bergvik skog väst AB</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58188-2024</t>
        </is>
      </c>
      <c r="B1660" s="1" t="n">
        <v>45632</v>
      </c>
      <c r="C1660" s="1" t="n">
        <v>45834</v>
      </c>
      <c r="D1660" t="inlineStr">
        <is>
          <t>UPPSALA LÄN</t>
        </is>
      </c>
      <c r="E1660" t="inlineStr">
        <is>
          <t>UPPSALA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59098-2024</t>
        </is>
      </c>
      <c r="B1661" s="1" t="n">
        <v>45636</v>
      </c>
      <c r="C1661" s="1" t="n">
        <v>45834</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59114-2024</t>
        </is>
      </c>
      <c r="B1662" s="1" t="n">
        <v>45637</v>
      </c>
      <c r="C1662" s="1" t="n">
        <v>45834</v>
      </c>
      <c r="D1662" t="inlineStr">
        <is>
          <t>UPPSALA LÄN</t>
        </is>
      </c>
      <c r="E1662" t="inlineStr">
        <is>
          <t>UPPSALA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59116-2024</t>
        </is>
      </c>
      <c r="B1663" s="1" t="n">
        <v>45637</v>
      </c>
      <c r="C1663" s="1" t="n">
        <v>45834</v>
      </c>
      <c r="D1663" t="inlineStr">
        <is>
          <t>UPPSALA LÄN</t>
        </is>
      </c>
      <c r="E1663" t="inlineStr">
        <is>
          <t>UPPSALA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59158-2024</t>
        </is>
      </c>
      <c r="B1664" s="1" t="n">
        <v>45637</v>
      </c>
      <c r="C1664" s="1" t="n">
        <v>45834</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59358-2024</t>
        </is>
      </c>
      <c r="B1665" s="1" t="n">
        <v>45638</v>
      </c>
      <c r="C1665" s="1" t="n">
        <v>45834</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59549-2024</t>
        </is>
      </c>
      <c r="B1666" s="1" t="n">
        <v>45638</v>
      </c>
      <c r="C1666" s="1" t="n">
        <v>45834</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59562-2024</t>
        </is>
      </c>
      <c r="B1667" s="1" t="n">
        <v>45638</v>
      </c>
      <c r="C1667" s="1" t="n">
        <v>45834</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59547-2024</t>
        </is>
      </c>
      <c r="B1668" s="1" t="n">
        <v>45638</v>
      </c>
      <c r="C1668" s="1" t="n">
        <v>45834</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59587-2024</t>
        </is>
      </c>
      <c r="B1669" s="1" t="n">
        <v>45638</v>
      </c>
      <c r="C1669" s="1" t="n">
        <v>45834</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60167-2024</t>
        </is>
      </c>
      <c r="B1670" s="1" t="n">
        <v>45642</v>
      </c>
      <c r="C1670" s="1" t="n">
        <v>45834</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45834</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59996-2024</t>
        </is>
      </c>
      <c r="B1672" s="1" t="n">
        <v>45642</v>
      </c>
      <c r="C1672" s="1" t="n">
        <v>45834</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60445-2024</t>
        </is>
      </c>
      <c r="B1673" s="1" t="n">
        <v>45643</v>
      </c>
      <c r="C1673" s="1" t="n">
        <v>45834</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60698-2024</t>
        </is>
      </c>
      <c r="B1674" s="1" t="n">
        <v>45644</v>
      </c>
      <c r="C1674" s="1" t="n">
        <v>45834</v>
      </c>
      <c r="D1674" t="inlineStr">
        <is>
          <t>UPPSALA LÄN</t>
        </is>
      </c>
      <c r="E1674" t="inlineStr">
        <is>
          <t>UPPSALA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60735-2024</t>
        </is>
      </c>
      <c r="B1675" s="1" t="n">
        <v>45644</v>
      </c>
      <c r="C1675" s="1" t="n">
        <v>45834</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60807-2024</t>
        </is>
      </c>
      <c r="B1676" s="1" t="n">
        <v>45644</v>
      </c>
      <c r="C1676" s="1" t="n">
        <v>45834</v>
      </c>
      <c r="D1676" t="inlineStr">
        <is>
          <t>UPPSALA LÄN</t>
        </is>
      </c>
      <c r="E1676" t="inlineStr">
        <is>
          <t>UPPSALA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45834</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60729-2024</t>
        </is>
      </c>
      <c r="B1678" s="1" t="n">
        <v>45644</v>
      </c>
      <c r="C1678" s="1" t="n">
        <v>45834</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60691-2024</t>
        </is>
      </c>
      <c r="B1679" s="1" t="n">
        <v>45644</v>
      </c>
      <c r="C1679" s="1" t="n">
        <v>45834</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60811-2024</t>
        </is>
      </c>
      <c r="B1680" s="1" t="n">
        <v>45644</v>
      </c>
      <c r="C1680" s="1" t="n">
        <v>45834</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60949-2024</t>
        </is>
      </c>
      <c r="B1681" s="1" t="n">
        <v>45645</v>
      </c>
      <c r="C1681" s="1" t="n">
        <v>45834</v>
      </c>
      <c r="D1681" t="inlineStr">
        <is>
          <t>UPPSALA LÄN</t>
        </is>
      </c>
      <c r="E1681" t="inlineStr">
        <is>
          <t>UPPSALA</t>
        </is>
      </c>
      <c r="F1681" t="inlineStr">
        <is>
          <t>Kommuner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60954-2024</t>
        </is>
      </c>
      <c r="B1682" s="1" t="n">
        <v>45645</v>
      </c>
      <c r="C1682" s="1" t="n">
        <v>45834</v>
      </c>
      <c r="D1682" t="inlineStr">
        <is>
          <t>UPPSALA LÄN</t>
        </is>
      </c>
      <c r="E1682" t="inlineStr">
        <is>
          <t>UPPSALA</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61071-2024</t>
        </is>
      </c>
      <c r="B1683" s="1" t="n">
        <v>45645</v>
      </c>
      <c r="C1683" s="1" t="n">
        <v>45834</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61463-2024</t>
        </is>
      </c>
      <c r="B1684" s="1" t="n">
        <v>45646</v>
      </c>
      <c r="C1684" s="1" t="n">
        <v>45834</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61574-2024</t>
        </is>
      </c>
      <c r="B1685" s="1" t="n">
        <v>45646</v>
      </c>
      <c r="C1685" s="1" t="n">
        <v>45834</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62044-2024</t>
        </is>
      </c>
      <c r="B1686" s="1" t="n">
        <v>45656</v>
      </c>
      <c r="C1686" s="1" t="n">
        <v>45834</v>
      </c>
      <c r="D1686" t="inlineStr">
        <is>
          <t>UPPSALA LÄN</t>
        </is>
      </c>
      <c r="E1686" t="inlineStr">
        <is>
          <t>UPPSALA</t>
        </is>
      </c>
      <c r="F1686" t="inlineStr">
        <is>
          <t>Övriga statliga verk och myndigheter</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62054-2024</t>
        </is>
      </c>
      <c r="B1687" s="1" t="n">
        <v>45656</v>
      </c>
      <c r="C1687" s="1" t="n">
        <v>45834</v>
      </c>
      <c r="D1687" t="inlineStr">
        <is>
          <t>UPPSALA LÄN</t>
        </is>
      </c>
      <c r="E1687" t="inlineStr">
        <is>
          <t>UPPSALA</t>
        </is>
      </c>
      <c r="F1687" t="inlineStr">
        <is>
          <t>Övriga statliga verk och myndigheter</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45834</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842-2025</t>
        </is>
      </c>
      <c r="B1689" s="1" t="n">
        <v>45665</v>
      </c>
      <c r="C1689" s="1" t="n">
        <v>45834</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844-2025</t>
        </is>
      </c>
      <c r="B1690" s="1" t="n">
        <v>45665</v>
      </c>
      <c r="C1690" s="1" t="n">
        <v>45834</v>
      </c>
      <c r="D1690" t="inlineStr">
        <is>
          <t>UPPSALA LÄN</t>
        </is>
      </c>
      <c r="E1690" t="inlineStr">
        <is>
          <t>UPPSALA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1588-2025</t>
        </is>
      </c>
      <c r="B1691" s="1" t="n">
        <v>45670</v>
      </c>
      <c r="C1691" s="1" t="n">
        <v>45834</v>
      </c>
      <c r="D1691" t="inlineStr">
        <is>
          <t>UPPSALA LÄN</t>
        </is>
      </c>
      <c r="E1691" t="inlineStr">
        <is>
          <t>UPPSALA</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1592-2025</t>
        </is>
      </c>
      <c r="B1692" s="1" t="n">
        <v>45670</v>
      </c>
      <c r="C1692" s="1" t="n">
        <v>45834</v>
      </c>
      <c r="D1692" t="inlineStr">
        <is>
          <t>UPPSALA LÄN</t>
        </is>
      </c>
      <c r="E1692" t="inlineStr">
        <is>
          <t>UPPSALA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2790-2025</t>
        </is>
      </c>
      <c r="B1693" s="1" t="n">
        <v>45677</v>
      </c>
      <c r="C1693" s="1" t="n">
        <v>45834</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2695-2025</t>
        </is>
      </c>
      <c r="B1694" s="1" t="n">
        <v>45677</v>
      </c>
      <c r="C1694" s="1" t="n">
        <v>45834</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2897-2025</t>
        </is>
      </c>
      <c r="B1695" s="1" t="n">
        <v>45677</v>
      </c>
      <c r="C1695" s="1" t="n">
        <v>45834</v>
      </c>
      <c r="D1695" t="inlineStr">
        <is>
          <t>UPPSALA LÄN</t>
        </is>
      </c>
      <c r="E1695" t="inlineStr">
        <is>
          <t>UPPSALA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3314-2025</t>
        </is>
      </c>
      <c r="B1696" s="1" t="n">
        <v>45679</v>
      </c>
      <c r="C1696" s="1" t="n">
        <v>45834</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3315-2025</t>
        </is>
      </c>
      <c r="B1697" s="1" t="n">
        <v>45679</v>
      </c>
      <c r="C1697" s="1" t="n">
        <v>45834</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3287-2025</t>
        </is>
      </c>
      <c r="B1698" s="1" t="n">
        <v>45679</v>
      </c>
      <c r="C1698" s="1" t="n">
        <v>45834</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3973-2025</t>
        </is>
      </c>
      <c r="B1699" s="1" t="n">
        <v>45684</v>
      </c>
      <c r="C1699" s="1" t="n">
        <v>45834</v>
      </c>
      <c r="D1699" t="inlineStr">
        <is>
          <t>UPPSALA LÄN</t>
        </is>
      </c>
      <c r="E1699" t="inlineStr">
        <is>
          <t>UPPSALA</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4014-2025</t>
        </is>
      </c>
      <c r="B1700" s="1" t="n">
        <v>45684</v>
      </c>
      <c r="C1700" s="1" t="n">
        <v>45834</v>
      </c>
      <c r="D1700" t="inlineStr">
        <is>
          <t>UPPSALA LÄN</t>
        </is>
      </c>
      <c r="E1700" t="inlineStr">
        <is>
          <t>UPPSALA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4293-2025</t>
        </is>
      </c>
      <c r="B1701" s="1" t="n">
        <v>45685</v>
      </c>
      <c r="C1701" s="1" t="n">
        <v>45834</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4242-2025</t>
        </is>
      </c>
      <c r="B1702" s="1" t="n">
        <v>45685</v>
      </c>
      <c r="C1702" s="1" t="n">
        <v>45834</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4244-2025</t>
        </is>
      </c>
      <c r="B1703" s="1" t="n">
        <v>45685</v>
      </c>
      <c r="C1703" s="1" t="n">
        <v>45834</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4240-2025</t>
        </is>
      </c>
      <c r="B1704" s="1" t="n">
        <v>45685</v>
      </c>
      <c r="C1704" s="1" t="n">
        <v>45834</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4569-2025</t>
        </is>
      </c>
      <c r="B1705" s="1" t="n">
        <v>45687</v>
      </c>
      <c r="C1705" s="1" t="n">
        <v>45834</v>
      </c>
      <c r="D1705" t="inlineStr">
        <is>
          <t>UPPSALA LÄN</t>
        </is>
      </c>
      <c r="E1705" t="inlineStr">
        <is>
          <t>UPPSALA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5068-2025</t>
        </is>
      </c>
      <c r="B1706" s="1" t="n">
        <v>45691</v>
      </c>
      <c r="C1706" s="1" t="n">
        <v>45834</v>
      </c>
      <c r="D1706" t="inlineStr">
        <is>
          <t>UPPSALA LÄN</t>
        </is>
      </c>
      <c r="E1706" t="inlineStr">
        <is>
          <t>UPPSALA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4993-2025</t>
        </is>
      </c>
      <c r="B1707" s="1" t="n">
        <v>45691</v>
      </c>
      <c r="C1707" s="1" t="n">
        <v>45834</v>
      </c>
      <c r="D1707" t="inlineStr">
        <is>
          <t>UPPSALA LÄN</t>
        </is>
      </c>
      <c r="E1707" t="inlineStr">
        <is>
          <t>UPPSALA</t>
        </is>
      </c>
      <c r="F1707" t="inlineStr">
        <is>
          <t>Kyrkan</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5204-2025</t>
        </is>
      </c>
      <c r="B1708" s="1" t="n">
        <v>45691</v>
      </c>
      <c r="C1708" s="1" t="n">
        <v>45834</v>
      </c>
      <c r="D1708" t="inlineStr">
        <is>
          <t>UPPSALA LÄN</t>
        </is>
      </c>
      <c r="E1708" t="inlineStr">
        <is>
          <t>UPPSALA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5371-2025</t>
        </is>
      </c>
      <c r="B1709" s="1" t="n">
        <v>45692</v>
      </c>
      <c r="C1709" s="1" t="n">
        <v>45834</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5373-2025</t>
        </is>
      </c>
      <c r="B1710" s="1" t="n">
        <v>45692</v>
      </c>
      <c r="C1710" s="1" t="n">
        <v>45834</v>
      </c>
      <c r="D1710" t="inlineStr">
        <is>
          <t>UPPSALA LÄN</t>
        </is>
      </c>
      <c r="E1710" t="inlineStr">
        <is>
          <t>UPPSALA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5628-2025</t>
        </is>
      </c>
      <c r="B1711" s="1" t="n">
        <v>45693</v>
      </c>
      <c r="C1711" s="1" t="n">
        <v>45834</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6971-2025</t>
        </is>
      </c>
      <c r="B1712" s="1" t="n">
        <v>45693</v>
      </c>
      <c r="C1712" s="1" t="n">
        <v>45834</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6973-2025</t>
        </is>
      </c>
      <c r="B1713" s="1" t="n">
        <v>45693</v>
      </c>
      <c r="C1713" s="1" t="n">
        <v>45834</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5605-2025</t>
        </is>
      </c>
      <c r="B1714" s="1" t="n">
        <v>45693</v>
      </c>
      <c r="C1714" s="1" t="n">
        <v>45834</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6988-2025</t>
        </is>
      </c>
      <c r="B1715" s="1" t="n">
        <v>45693</v>
      </c>
      <c r="C1715" s="1" t="n">
        <v>45834</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6970-2025</t>
        </is>
      </c>
      <c r="B1716" s="1" t="n">
        <v>45693</v>
      </c>
      <c r="C1716" s="1" t="n">
        <v>45834</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5725-2025</t>
        </is>
      </c>
      <c r="B1717" s="1" t="n">
        <v>45694</v>
      </c>
      <c r="C1717" s="1" t="n">
        <v>45834</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5729-2025</t>
        </is>
      </c>
      <c r="B1718" s="1" t="n">
        <v>45694</v>
      </c>
      <c r="C1718" s="1" t="n">
        <v>45834</v>
      </c>
      <c r="D1718" t="inlineStr">
        <is>
          <t>UPPSALA LÄN</t>
        </is>
      </c>
      <c r="E1718" t="inlineStr">
        <is>
          <t>UPPSALA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5671-2025</t>
        </is>
      </c>
      <c r="B1719" s="1" t="n">
        <v>45694</v>
      </c>
      <c r="C1719" s="1" t="n">
        <v>45834</v>
      </c>
      <c r="D1719" t="inlineStr">
        <is>
          <t>UPPSALA LÄN</t>
        </is>
      </c>
      <c r="E1719" t="inlineStr">
        <is>
          <t>UPPSALA</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5719-2025</t>
        </is>
      </c>
      <c r="B1720" s="1" t="n">
        <v>45694</v>
      </c>
      <c r="C1720" s="1" t="n">
        <v>45834</v>
      </c>
      <c r="D1720" t="inlineStr">
        <is>
          <t>UPPSALA LÄN</t>
        </is>
      </c>
      <c r="E1720" t="inlineStr">
        <is>
          <t>UPPSALA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45834</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5722-2025</t>
        </is>
      </c>
      <c r="B1722" s="1" t="n">
        <v>45694</v>
      </c>
      <c r="C1722" s="1" t="n">
        <v>45834</v>
      </c>
      <c r="D1722" t="inlineStr">
        <is>
          <t>UPPSALA LÄN</t>
        </is>
      </c>
      <c r="E1722" t="inlineStr">
        <is>
          <t>UPPSALA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5730-2025</t>
        </is>
      </c>
      <c r="B1723" s="1" t="n">
        <v>45694</v>
      </c>
      <c r="C1723" s="1" t="n">
        <v>45834</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5925-2025</t>
        </is>
      </c>
      <c r="B1724" s="1" t="n">
        <v>45695</v>
      </c>
      <c r="C1724" s="1" t="n">
        <v>45834</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6012-2025</t>
        </is>
      </c>
      <c r="B1725" s="1" t="n">
        <v>45695</v>
      </c>
      <c r="C1725" s="1" t="n">
        <v>45834</v>
      </c>
      <c r="D1725" t="inlineStr">
        <is>
          <t>UPPSALA LÄN</t>
        </is>
      </c>
      <c r="E1725" t="inlineStr">
        <is>
          <t>UPPSALA</t>
        </is>
      </c>
      <c r="F1725" t="inlineStr">
        <is>
          <t>Övriga Aktiebolag</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6060-2025</t>
        </is>
      </c>
      <c r="B1726" s="1" t="n">
        <v>45695</v>
      </c>
      <c r="C1726" s="1" t="n">
        <v>45834</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6059-2025</t>
        </is>
      </c>
      <c r="B1727" s="1" t="n">
        <v>45695</v>
      </c>
      <c r="C1727" s="1" t="n">
        <v>45834</v>
      </c>
      <c r="D1727" t="inlineStr">
        <is>
          <t>UPPSALA LÄN</t>
        </is>
      </c>
      <c r="E1727" t="inlineStr">
        <is>
          <t>UPPSALA</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6006-2025</t>
        </is>
      </c>
      <c r="B1728" s="1" t="n">
        <v>45695</v>
      </c>
      <c r="C1728" s="1" t="n">
        <v>45834</v>
      </c>
      <c r="D1728" t="inlineStr">
        <is>
          <t>UPPSALA LÄN</t>
        </is>
      </c>
      <c r="E1728" t="inlineStr">
        <is>
          <t>UPPSALA</t>
        </is>
      </c>
      <c r="F1728" t="inlineStr">
        <is>
          <t>Övriga Aktiebolag</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6058-2025</t>
        </is>
      </c>
      <c r="B1729" s="1" t="n">
        <v>45695</v>
      </c>
      <c r="C1729" s="1" t="n">
        <v>45834</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6290-2025</t>
        </is>
      </c>
      <c r="B1730" s="1" t="n">
        <v>45698</v>
      </c>
      <c r="C1730" s="1" t="n">
        <v>45834</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6541-2025</t>
        </is>
      </c>
      <c r="B1731" s="1" t="n">
        <v>45699</v>
      </c>
      <c r="C1731" s="1" t="n">
        <v>45834</v>
      </c>
      <c r="D1731" t="inlineStr">
        <is>
          <t>UPPSALA LÄN</t>
        </is>
      </c>
      <c r="E1731" t="inlineStr">
        <is>
          <t>UPPSALA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6549-2025</t>
        </is>
      </c>
      <c r="B1732" s="1" t="n">
        <v>45699</v>
      </c>
      <c r="C1732" s="1" t="n">
        <v>45834</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6550-2025</t>
        </is>
      </c>
      <c r="B1733" s="1" t="n">
        <v>45699</v>
      </c>
      <c r="C1733" s="1" t="n">
        <v>45834</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7346-2025</t>
        </is>
      </c>
      <c r="B1734" s="1" t="n">
        <v>45703</v>
      </c>
      <c r="C1734" s="1" t="n">
        <v>45834</v>
      </c>
      <c r="D1734" t="inlineStr">
        <is>
          <t>UPPSALA LÄN</t>
        </is>
      </c>
      <c r="E1734" t="inlineStr">
        <is>
          <t>UPPSALA</t>
        </is>
      </c>
      <c r="F1734" t="inlineStr">
        <is>
          <t>Bergvik skog öst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7645-2025</t>
        </is>
      </c>
      <c r="B1735" s="1" t="n">
        <v>45705</v>
      </c>
      <c r="C1735" s="1" t="n">
        <v>45834</v>
      </c>
      <c r="D1735" t="inlineStr">
        <is>
          <t>UPPSALA LÄN</t>
        </is>
      </c>
      <c r="E1735" t="inlineStr">
        <is>
          <t>UPPSALA</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7633-2025</t>
        </is>
      </c>
      <c r="B1736" s="1" t="n">
        <v>45705</v>
      </c>
      <c r="C1736" s="1" t="n">
        <v>45834</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7376-2025</t>
        </is>
      </c>
      <c r="B1737" s="1" t="n">
        <v>45705</v>
      </c>
      <c r="C1737" s="1" t="n">
        <v>45834</v>
      </c>
      <c r="D1737" t="inlineStr">
        <is>
          <t>UPPSALA LÄN</t>
        </is>
      </c>
      <c r="E1737" t="inlineStr">
        <is>
          <t>UPPSALA</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7501-2025</t>
        </is>
      </c>
      <c r="B1738" s="1" t="n">
        <v>45705</v>
      </c>
      <c r="C1738" s="1" t="n">
        <v>45834</v>
      </c>
      <c r="D1738" t="inlineStr">
        <is>
          <t>UPPSALA LÄN</t>
        </is>
      </c>
      <c r="E1738" t="inlineStr">
        <is>
          <t>UPPSALA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8164-2025</t>
        </is>
      </c>
      <c r="B1739" s="1" t="n">
        <v>45707</v>
      </c>
      <c r="C1739" s="1" t="n">
        <v>45834</v>
      </c>
      <c r="D1739" t="inlineStr">
        <is>
          <t>UPPSALA LÄN</t>
        </is>
      </c>
      <c r="E1739" t="inlineStr">
        <is>
          <t>UPPSALA</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8162-2025</t>
        </is>
      </c>
      <c r="B1740" s="1" t="n">
        <v>45707</v>
      </c>
      <c r="C1740" s="1" t="n">
        <v>45834</v>
      </c>
      <c r="D1740" t="inlineStr">
        <is>
          <t>UPPSALA LÄN</t>
        </is>
      </c>
      <c r="E1740" t="inlineStr">
        <is>
          <t>UPPSALA</t>
        </is>
      </c>
      <c r="F1740" t="inlineStr">
        <is>
          <t>Övriga Aktiebolag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8931-2025</t>
        </is>
      </c>
      <c r="B1741" s="1" t="n">
        <v>45713</v>
      </c>
      <c r="C1741" s="1" t="n">
        <v>45834</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9235-2025</t>
        </is>
      </c>
      <c r="B1742" s="1" t="n">
        <v>45714</v>
      </c>
      <c r="C1742" s="1" t="n">
        <v>45834</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9411-2025</t>
        </is>
      </c>
      <c r="B1743" s="1" t="n">
        <v>45715</v>
      </c>
      <c r="C1743" s="1" t="n">
        <v>45834</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9414-2025</t>
        </is>
      </c>
      <c r="B1744" s="1" t="n">
        <v>45715</v>
      </c>
      <c r="C1744" s="1" t="n">
        <v>45834</v>
      </c>
      <c r="D1744" t="inlineStr">
        <is>
          <t>UPPSALA LÄN</t>
        </is>
      </c>
      <c r="E1744" t="inlineStr">
        <is>
          <t>UPPSALA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v>
      </c>
      <c r="C1745" s="1" t="n">
        <v>45834</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9984-2025</t>
        </is>
      </c>
      <c r="B1746" s="1" t="n">
        <v>45719</v>
      </c>
      <c r="C1746" s="1" t="n">
        <v>45834</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9993-2025</t>
        </is>
      </c>
      <c r="B1747" s="1" t="n">
        <v>45719</v>
      </c>
      <c r="C1747" s="1" t="n">
        <v>45834</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9991-2025</t>
        </is>
      </c>
      <c r="B1748" s="1" t="n">
        <v>45719</v>
      </c>
      <c r="C1748" s="1" t="n">
        <v>45834</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9981-2025</t>
        </is>
      </c>
      <c r="B1749" s="1" t="n">
        <v>45719</v>
      </c>
      <c r="C1749" s="1" t="n">
        <v>45834</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9995-2025</t>
        </is>
      </c>
      <c r="B1750" s="1" t="n">
        <v>45719</v>
      </c>
      <c r="C1750" s="1" t="n">
        <v>45834</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v>
      </c>
      <c r="C1751" s="1" t="n">
        <v>45834</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10489-2025</t>
        </is>
      </c>
      <c r="B1752" s="1" t="n">
        <v>45721</v>
      </c>
      <c r="C1752" s="1" t="n">
        <v>45834</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10488-2025</t>
        </is>
      </c>
      <c r="B1753" s="1" t="n">
        <v>45721</v>
      </c>
      <c r="C1753" s="1" t="n">
        <v>45834</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10490-2025</t>
        </is>
      </c>
      <c r="B1754" s="1" t="n">
        <v>45721</v>
      </c>
      <c r="C1754" s="1" t="n">
        <v>45834</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10612-2025</t>
        </is>
      </c>
      <c r="B1755" s="1" t="n">
        <v>45721</v>
      </c>
      <c r="C1755" s="1" t="n">
        <v>45834</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11103-2025</t>
        </is>
      </c>
      <c r="B1756" s="1" t="n">
        <v>45723</v>
      </c>
      <c r="C1756" s="1" t="n">
        <v>45834</v>
      </c>
      <c r="D1756" t="inlineStr">
        <is>
          <t>UPPSALA LÄN</t>
        </is>
      </c>
      <c r="E1756" t="inlineStr">
        <is>
          <t>UPPSALA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11119-2025</t>
        </is>
      </c>
      <c r="B1757" s="1" t="n">
        <v>45723</v>
      </c>
      <c r="C1757" s="1" t="n">
        <v>45834</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11184-2025</t>
        </is>
      </c>
      <c r="B1758" s="1" t="n">
        <v>45725</v>
      </c>
      <c r="C1758" s="1" t="n">
        <v>45834</v>
      </c>
      <c r="D1758" t="inlineStr">
        <is>
          <t>UPPSALA LÄN</t>
        </is>
      </c>
      <c r="E1758" t="inlineStr">
        <is>
          <t>UPPSALA</t>
        </is>
      </c>
      <c r="F1758" t="inlineStr">
        <is>
          <t>Bergvik skog öst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11339-2025</t>
        </is>
      </c>
      <c r="B1759" s="1" t="n">
        <v>45726</v>
      </c>
      <c r="C1759" s="1" t="n">
        <v>45834</v>
      </c>
      <c r="D1759" t="inlineStr">
        <is>
          <t>UPPSALA LÄN</t>
        </is>
      </c>
      <c r="E1759" t="inlineStr">
        <is>
          <t>UPPSALA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11409-2025</t>
        </is>
      </c>
      <c r="B1760" s="1" t="n">
        <v>45726</v>
      </c>
      <c r="C1760" s="1" t="n">
        <v>45834</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12282-2025</t>
        </is>
      </c>
      <c r="B1761" s="1" t="n">
        <v>45729</v>
      </c>
      <c r="C1761" s="1" t="n">
        <v>45834</v>
      </c>
      <c r="D1761" t="inlineStr">
        <is>
          <t>UPPSALA LÄN</t>
        </is>
      </c>
      <c r="E1761" t="inlineStr">
        <is>
          <t>UPPSALA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12211-2025</t>
        </is>
      </c>
      <c r="B1762" s="1" t="n">
        <v>45729</v>
      </c>
      <c r="C1762" s="1" t="n">
        <v>45834</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12209-2025</t>
        </is>
      </c>
      <c r="B1763" s="1" t="n">
        <v>45729</v>
      </c>
      <c r="C1763" s="1" t="n">
        <v>45834</v>
      </c>
      <c r="D1763" t="inlineStr">
        <is>
          <t>UPPSALA LÄN</t>
        </is>
      </c>
      <c r="E1763" t="inlineStr">
        <is>
          <t>UPPSALA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12287-2025</t>
        </is>
      </c>
      <c r="B1764" s="1" t="n">
        <v>45729</v>
      </c>
      <c r="C1764" s="1" t="n">
        <v>45834</v>
      </c>
      <c r="D1764" t="inlineStr">
        <is>
          <t>UPPSALA LÄN</t>
        </is>
      </c>
      <c r="E1764" t="inlineStr">
        <is>
          <t>UPPSALA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12284-2025</t>
        </is>
      </c>
      <c r="B1765" s="1" t="n">
        <v>45729</v>
      </c>
      <c r="C1765" s="1" t="n">
        <v>45834</v>
      </c>
      <c r="D1765" t="inlineStr">
        <is>
          <t>UPPSALA LÄN</t>
        </is>
      </c>
      <c r="E1765" t="inlineStr">
        <is>
          <t>UPPSALA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12414-2025</t>
        </is>
      </c>
      <c r="B1766" s="1" t="n">
        <v>45730</v>
      </c>
      <c r="C1766" s="1" t="n">
        <v>45834</v>
      </c>
      <c r="D1766" t="inlineStr">
        <is>
          <t>UPPSALA LÄN</t>
        </is>
      </c>
      <c r="E1766" t="inlineStr">
        <is>
          <t>UPPSALA</t>
        </is>
      </c>
      <c r="F1766" t="inlineStr">
        <is>
          <t>Övriga statliga verk och myndigheter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12828-2025</t>
        </is>
      </c>
      <c r="B1767" s="1" t="n">
        <v>45733</v>
      </c>
      <c r="C1767" s="1" t="n">
        <v>45834</v>
      </c>
      <c r="D1767" t="inlineStr">
        <is>
          <t>UPPSALA LÄN</t>
        </is>
      </c>
      <c r="E1767" t="inlineStr">
        <is>
          <t>UPPSALA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12830-2025</t>
        </is>
      </c>
      <c r="B1768" s="1" t="n">
        <v>45733</v>
      </c>
      <c r="C1768" s="1" t="n">
        <v>45834</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13491-2025</t>
        </is>
      </c>
      <c r="B1769" s="1" t="n">
        <v>45736</v>
      </c>
      <c r="C1769" s="1" t="n">
        <v>45834</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13492-2025</t>
        </is>
      </c>
      <c r="B1770" s="1" t="n">
        <v>45736</v>
      </c>
      <c r="C1770" s="1" t="n">
        <v>45834</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13590-2025</t>
        </is>
      </c>
      <c r="B1771" s="1" t="n">
        <v>45736</v>
      </c>
      <c r="C1771" s="1" t="n">
        <v>45834</v>
      </c>
      <c r="D1771" t="inlineStr">
        <is>
          <t>UPPSALA LÄN</t>
        </is>
      </c>
      <c r="E1771" t="inlineStr">
        <is>
          <t>UPPSALA</t>
        </is>
      </c>
      <c r="F1771" t="inlineStr">
        <is>
          <t>Allmännings- och besparingsskogar</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13502-2025</t>
        </is>
      </c>
      <c r="B1772" s="1" t="n">
        <v>45736</v>
      </c>
      <c r="C1772" s="1" t="n">
        <v>45834</v>
      </c>
      <c r="D1772" t="inlineStr">
        <is>
          <t>UPPSALA LÄN</t>
        </is>
      </c>
      <c r="E1772" t="inlineStr">
        <is>
          <t>UPPSALA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13602-2025</t>
        </is>
      </c>
      <c r="B1773" s="1" t="n">
        <v>45736</v>
      </c>
      <c r="C1773" s="1" t="n">
        <v>45834</v>
      </c>
      <c r="D1773" t="inlineStr">
        <is>
          <t>UPPSALA LÄN</t>
        </is>
      </c>
      <c r="E1773" t="inlineStr">
        <is>
          <t>UPPSALA</t>
        </is>
      </c>
      <c r="F1773" t="inlineStr">
        <is>
          <t>Allmännings- och besparingsskogar</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13742-2025</t>
        </is>
      </c>
      <c r="B1774" s="1" t="n">
        <v>45737</v>
      </c>
      <c r="C1774" s="1" t="n">
        <v>45834</v>
      </c>
      <c r="D1774" t="inlineStr">
        <is>
          <t>UPPSALA LÄN</t>
        </is>
      </c>
      <c r="E1774" t="inlineStr">
        <is>
          <t>UPPSALA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13914-2025</t>
        </is>
      </c>
      <c r="B1775" s="1" t="n">
        <v>45737</v>
      </c>
      <c r="C1775" s="1" t="n">
        <v>45834</v>
      </c>
      <c r="D1775" t="inlineStr">
        <is>
          <t>UPPSALA LÄN</t>
        </is>
      </c>
      <c r="E1775" t="inlineStr">
        <is>
          <t>UPPSALA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13908-2025</t>
        </is>
      </c>
      <c r="B1776" s="1" t="n">
        <v>45737</v>
      </c>
      <c r="C1776" s="1" t="n">
        <v>45834</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14400-2025</t>
        </is>
      </c>
      <c r="B1777" s="1" t="n">
        <v>45741</v>
      </c>
      <c r="C1777" s="1" t="n">
        <v>45834</v>
      </c>
      <c r="D1777" t="inlineStr">
        <is>
          <t>UPPSALA LÄN</t>
        </is>
      </c>
      <c r="E1777" t="inlineStr">
        <is>
          <t>UPPSALA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14652-2025</t>
        </is>
      </c>
      <c r="B1778" s="1" t="n">
        <v>45742</v>
      </c>
      <c r="C1778" s="1" t="n">
        <v>45834</v>
      </c>
      <c r="D1778" t="inlineStr">
        <is>
          <t>UPPSALA LÄN</t>
        </is>
      </c>
      <c r="E1778" t="inlineStr">
        <is>
          <t>UPPSALA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14907-2025</t>
        </is>
      </c>
      <c r="B1779" s="1" t="n">
        <v>45743</v>
      </c>
      <c r="C1779" s="1" t="n">
        <v>45834</v>
      </c>
      <c r="D1779" t="inlineStr">
        <is>
          <t>UPPSALA LÄN</t>
        </is>
      </c>
      <c r="E1779" t="inlineStr">
        <is>
          <t>UPPSALA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15264-2025</t>
        </is>
      </c>
      <c r="B1780" s="1" t="n">
        <v>45744</v>
      </c>
      <c r="C1780" s="1" t="n">
        <v>45834</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15473-2025</t>
        </is>
      </c>
      <c r="B1781" s="1" t="n">
        <v>45747</v>
      </c>
      <c r="C1781" s="1" t="n">
        <v>45834</v>
      </c>
      <c r="D1781" t="inlineStr">
        <is>
          <t>UPPSALA LÄN</t>
        </is>
      </c>
      <c r="E1781" t="inlineStr">
        <is>
          <t>UPPSALA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15937-2025</t>
        </is>
      </c>
      <c r="B1782" s="1" t="n">
        <v>45749</v>
      </c>
      <c r="C1782" s="1" t="n">
        <v>45834</v>
      </c>
      <c r="D1782" t="inlineStr">
        <is>
          <t>UPPSALA LÄN</t>
        </is>
      </c>
      <c r="E1782" t="inlineStr">
        <is>
          <t>UPPSALA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16288-2025</t>
        </is>
      </c>
      <c r="B1783" s="1" t="n">
        <v>45751</v>
      </c>
      <c r="C1783" s="1" t="n">
        <v>45834</v>
      </c>
      <c r="D1783" t="inlineStr">
        <is>
          <t>UPPSALA LÄN</t>
        </is>
      </c>
      <c r="E1783" t="inlineStr">
        <is>
          <t>UPPSALA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17250-2025</t>
        </is>
      </c>
      <c r="B1784" s="1" t="n">
        <v>45756</v>
      </c>
      <c r="C1784" s="1" t="n">
        <v>45834</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17211-2025</t>
        </is>
      </c>
      <c r="B1785" s="1" t="n">
        <v>45756</v>
      </c>
      <c r="C1785" s="1" t="n">
        <v>45834</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17587-2025</t>
        </is>
      </c>
      <c r="B1786" s="1" t="n">
        <v>45757</v>
      </c>
      <c r="C1786" s="1" t="n">
        <v>45834</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17593-2025</t>
        </is>
      </c>
      <c r="B1787" s="1" t="n">
        <v>45757</v>
      </c>
      <c r="C1787" s="1" t="n">
        <v>45834</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17595-2025</t>
        </is>
      </c>
      <c r="B1788" s="1" t="n">
        <v>45757</v>
      </c>
      <c r="C1788" s="1" t="n">
        <v>45834</v>
      </c>
      <c r="D1788" t="inlineStr">
        <is>
          <t>UPPSALA LÄN</t>
        </is>
      </c>
      <c r="E1788" t="inlineStr">
        <is>
          <t>UPPSALA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17596-2025</t>
        </is>
      </c>
      <c r="B1789" s="1" t="n">
        <v>45757</v>
      </c>
      <c r="C1789" s="1" t="n">
        <v>45834</v>
      </c>
      <c r="D1789" t="inlineStr">
        <is>
          <t>UPPSALA LÄN</t>
        </is>
      </c>
      <c r="E1789" t="inlineStr">
        <is>
          <t>UPPSALA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17658-2025</t>
        </is>
      </c>
      <c r="B1790" s="1" t="n">
        <v>45758</v>
      </c>
      <c r="C1790" s="1" t="n">
        <v>45834</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18058-2025</t>
        </is>
      </c>
      <c r="B1791" s="1" t="n">
        <v>45761</v>
      </c>
      <c r="C1791" s="1" t="n">
        <v>45834</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18054-2025</t>
        </is>
      </c>
      <c r="B1792" s="1" t="n">
        <v>45761</v>
      </c>
      <c r="C1792" s="1" t="n">
        <v>45834</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18330-2025</t>
        </is>
      </c>
      <c r="B1793" s="1" t="n">
        <v>45762</v>
      </c>
      <c r="C1793" s="1" t="n">
        <v>45834</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18410-2025</t>
        </is>
      </c>
      <c r="B1794" s="1" t="n">
        <v>45762</v>
      </c>
      <c r="C1794" s="1" t="n">
        <v>45834</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18717-2025</t>
        </is>
      </c>
      <c r="B1795" s="1" t="n">
        <v>45763</v>
      </c>
      <c r="C1795" s="1" t="n">
        <v>45834</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18781-2025</t>
        </is>
      </c>
      <c r="B1796" s="1" t="n">
        <v>45763</v>
      </c>
      <c r="C1796" s="1" t="n">
        <v>45834</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18626-2025</t>
        </is>
      </c>
      <c r="B1797" s="1" t="n">
        <v>45763</v>
      </c>
      <c r="C1797" s="1" t="n">
        <v>45834</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18805-2025</t>
        </is>
      </c>
      <c r="B1798" s="1" t="n">
        <v>45763</v>
      </c>
      <c r="C1798" s="1" t="n">
        <v>45834</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18625-2025</t>
        </is>
      </c>
      <c r="B1799" s="1" t="n">
        <v>45763</v>
      </c>
      <c r="C1799" s="1" t="n">
        <v>45834</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19345-2025</t>
        </is>
      </c>
      <c r="B1800" s="1" t="n">
        <v>45769</v>
      </c>
      <c r="C1800" s="1" t="n">
        <v>45834</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19613-2025</t>
        </is>
      </c>
      <c r="B1801" s="1" t="n">
        <v>45770</v>
      </c>
      <c r="C1801" s="1" t="n">
        <v>45834</v>
      </c>
      <c r="D1801" t="inlineStr">
        <is>
          <t>UPPSALA LÄN</t>
        </is>
      </c>
      <c r="E1801" t="inlineStr">
        <is>
          <t>UPPSALA</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20152-2025</t>
        </is>
      </c>
      <c r="B1802" s="1" t="n">
        <v>45772</v>
      </c>
      <c r="C1802" s="1" t="n">
        <v>45834</v>
      </c>
      <c r="D1802" t="inlineStr">
        <is>
          <t>UPPSALA LÄN</t>
        </is>
      </c>
      <c r="E1802" t="inlineStr">
        <is>
          <t>UPPSALA</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20248-2025</t>
        </is>
      </c>
      <c r="B1803" s="1" t="n">
        <v>45772</v>
      </c>
      <c r="C1803" s="1" t="n">
        <v>45834</v>
      </c>
      <c r="D1803" t="inlineStr">
        <is>
          <t>UPPSALA LÄN</t>
        </is>
      </c>
      <c r="E1803" t="inlineStr">
        <is>
          <t>UPPSALA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20418-2025</t>
        </is>
      </c>
      <c r="B1804" s="1" t="n">
        <v>45775</v>
      </c>
      <c r="C1804" s="1" t="n">
        <v>45834</v>
      </c>
      <c r="D1804" t="inlineStr">
        <is>
          <t>UPPSALA LÄN</t>
        </is>
      </c>
      <c r="E1804" t="inlineStr">
        <is>
          <t>UPPSALA</t>
        </is>
      </c>
      <c r="F1804" t="inlineStr">
        <is>
          <t>Allmännings- och besparingsskogar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20797-2025</t>
        </is>
      </c>
      <c r="B1805" s="1" t="n">
        <v>45776</v>
      </c>
      <c r="C1805" s="1" t="n">
        <v>45834</v>
      </c>
      <c r="D1805" t="inlineStr">
        <is>
          <t>UPPSALA LÄN</t>
        </is>
      </c>
      <c r="E1805" t="inlineStr">
        <is>
          <t>UPPSALA</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20686-2025</t>
        </is>
      </c>
      <c r="B1806" s="1" t="n">
        <v>45776</v>
      </c>
      <c r="C1806" s="1" t="n">
        <v>45834</v>
      </c>
      <c r="D1806" t="inlineStr">
        <is>
          <t>UPPSALA LÄN</t>
        </is>
      </c>
      <c r="E1806" t="inlineStr">
        <is>
          <t>UPPSALA</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20703-2025</t>
        </is>
      </c>
      <c r="B1807" s="1" t="n">
        <v>45776</v>
      </c>
      <c r="C1807" s="1" t="n">
        <v>45834</v>
      </c>
      <c r="D1807" t="inlineStr">
        <is>
          <t>UPPSALA LÄN</t>
        </is>
      </c>
      <c r="E1807" t="inlineStr">
        <is>
          <t>UPPSALA</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20712-2025</t>
        </is>
      </c>
      <c r="B1808" s="1" t="n">
        <v>45776</v>
      </c>
      <c r="C1808" s="1" t="n">
        <v>45834</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21033-2025</t>
        </is>
      </c>
      <c r="B1809" s="1" t="n">
        <v>45777</v>
      </c>
      <c r="C1809" s="1" t="n">
        <v>45834</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20888-2025</t>
        </is>
      </c>
      <c r="B1810" s="1" t="n">
        <v>45777</v>
      </c>
      <c r="C1810" s="1" t="n">
        <v>45834</v>
      </c>
      <c r="D1810" t="inlineStr">
        <is>
          <t>UPPSALA LÄN</t>
        </is>
      </c>
      <c r="E1810" t="inlineStr">
        <is>
          <t>UPPSALA</t>
        </is>
      </c>
      <c r="F1810" t="inlineStr">
        <is>
          <t>Övriga statliga verk och myndigheter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20928-2025</t>
        </is>
      </c>
      <c r="B1811" s="1" t="n">
        <v>45777</v>
      </c>
      <c r="C1811" s="1" t="n">
        <v>45834</v>
      </c>
      <c r="D1811" t="inlineStr">
        <is>
          <t>UPPSALA LÄN</t>
        </is>
      </c>
      <c r="E1811" t="inlineStr">
        <is>
          <t>UPPSALA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20858-2025</t>
        </is>
      </c>
      <c r="B1812" s="1" t="n">
        <v>45777</v>
      </c>
      <c r="C1812" s="1" t="n">
        <v>45834</v>
      </c>
      <c r="D1812" t="inlineStr">
        <is>
          <t>UPPSALA LÄN</t>
        </is>
      </c>
      <c r="E1812" t="inlineStr">
        <is>
          <t>UPPSALA</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20874-2025</t>
        </is>
      </c>
      <c r="B1813" s="1" t="n">
        <v>45777</v>
      </c>
      <c r="C1813" s="1" t="n">
        <v>45834</v>
      </c>
      <c r="D1813" t="inlineStr">
        <is>
          <t>UPPSALA LÄN</t>
        </is>
      </c>
      <c r="E1813" t="inlineStr">
        <is>
          <t>UPPSALA</t>
        </is>
      </c>
      <c r="F1813" t="inlineStr">
        <is>
          <t>Övriga Aktiebolag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21281-2025</t>
        </is>
      </c>
      <c r="B1814" s="1" t="n">
        <v>45779</v>
      </c>
      <c r="C1814" s="1" t="n">
        <v>45834</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21279-2025</t>
        </is>
      </c>
      <c r="B1815" s="1" t="n">
        <v>45779</v>
      </c>
      <c r="C1815" s="1" t="n">
        <v>45834</v>
      </c>
      <c r="D1815" t="inlineStr">
        <is>
          <t>UPPSALA LÄN</t>
        </is>
      </c>
      <c r="E1815" t="inlineStr">
        <is>
          <t>UPPSALA</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21217-2025</t>
        </is>
      </c>
      <c r="B1816" s="1" t="n">
        <v>45779</v>
      </c>
      <c r="C1816" s="1" t="n">
        <v>45834</v>
      </c>
      <c r="D1816" t="inlineStr">
        <is>
          <t>UPPSALA LÄN</t>
        </is>
      </c>
      <c r="E1816" t="inlineStr">
        <is>
          <t>UPPSALA</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21748-2025</t>
        </is>
      </c>
      <c r="B1817" s="1" t="n">
        <v>45783</v>
      </c>
      <c r="C1817" s="1" t="n">
        <v>45834</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21936-2025</t>
        </is>
      </c>
      <c r="B1818" s="1" t="n">
        <v>45784</v>
      </c>
      <c r="C1818" s="1" t="n">
        <v>45834</v>
      </c>
      <c r="D1818" t="inlineStr">
        <is>
          <t>UPPSALA LÄN</t>
        </is>
      </c>
      <c r="E1818" t="inlineStr">
        <is>
          <t>UPPSALA</t>
        </is>
      </c>
      <c r="F1818" t="inlineStr">
        <is>
          <t>Bergvik skog öst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22018-2025</t>
        </is>
      </c>
      <c r="B1819" s="1" t="n">
        <v>45784</v>
      </c>
      <c r="C1819" s="1" t="n">
        <v>45834</v>
      </c>
      <c r="D1819" t="inlineStr">
        <is>
          <t>UPPSALA LÄN</t>
        </is>
      </c>
      <c r="E1819" t="inlineStr">
        <is>
          <t>UPPSALA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22930-2025</t>
        </is>
      </c>
      <c r="B1820" s="1" t="n">
        <v>45790</v>
      </c>
      <c r="C1820" s="1" t="n">
        <v>45834</v>
      </c>
      <c r="D1820" t="inlineStr">
        <is>
          <t>UPPSALA LÄN</t>
        </is>
      </c>
      <c r="E1820" t="inlineStr">
        <is>
          <t>UPPSALA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22953-2025</t>
        </is>
      </c>
      <c r="B1821" s="1" t="n">
        <v>45790</v>
      </c>
      <c r="C1821" s="1" t="n">
        <v>45834</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22951-2025</t>
        </is>
      </c>
      <c r="B1822" s="1" t="n">
        <v>45790</v>
      </c>
      <c r="C1822" s="1" t="n">
        <v>45834</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24284-2025</t>
        </is>
      </c>
      <c r="B1823" s="1" t="n">
        <v>45797</v>
      </c>
      <c r="C1823" s="1" t="n">
        <v>45834</v>
      </c>
      <c r="D1823" t="inlineStr">
        <is>
          <t>UPPSALA LÄN</t>
        </is>
      </c>
      <c r="E1823" t="inlineStr">
        <is>
          <t>UPPSALA</t>
        </is>
      </c>
      <c r="F1823" t="inlineStr">
        <is>
          <t>Holmen skog AB</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24268-2025</t>
        </is>
      </c>
      <c r="B1824" s="1" t="n">
        <v>45797</v>
      </c>
      <c r="C1824" s="1" t="n">
        <v>45834</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24521-2025</t>
        </is>
      </c>
      <c r="B1825" s="1" t="n">
        <v>45798</v>
      </c>
      <c r="C1825" s="1" t="n">
        <v>45834</v>
      </c>
      <c r="D1825" t="inlineStr">
        <is>
          <t>UPPSALA LÄN</t>
        </is>
      </c>
      <c r="E1825" t="inlineStr">
        <is>
          <t>UPPSALA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24525-2025</t>
        </is>
      </c>
      <c r="B1826" s="1" t="n">
        <v>45798</v>
      </c>
      <c r="C1826" s="1" t="n">
        <v>45834</v>
      </c>
      <c r="D1826" t="inlineStr">
        <is>
          <t>UPPSALA LÄN</t>
        </is>
      </c>
      <c r="E1826" t="inlineStr">
        <is>
          <t>UPPSALA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v>
      </c>
      <c r="C1827" s="1" t="n">
        <v>45834</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25030-2025</t>
        </is>
      </c>
      <c r="B1828" s="1" t="n">
        <v>45799</v>
      </c>
      <c r="C1828" s="1" t="n">
        <v>45834</v>
      </c>
      <c r="D1828" t="inlineStr">
        <is>
          <t>UPPSALA LÄN</t>
        </is>
      </c>
      <c r="E1828" t="inlineStr">
        <is>
          <t>UPPSALA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45834</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45834</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25025-2025</t>
        </is>
      </c>
      <c r="B1831" s="1" t="n">
        <v>45799</v>
      </c>
      <c r="C1831" s="1" t="n">
        <v>45834</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25026-2025</t>
        </is>
      </c>
      <c r="B1832" s="1" t="n">
        <v>45799</v>
      </c>
      <c r="C1832" s="1" t="n">
        <v>45834</v>
      </c>
      <c r="D1832" t="inlineStr">
        <is>
          <t>UPPSALA LÄN</t>
        </is>
      </c>
      <c r="E1832" t="inlineStr">
        <is>
          <t>UPPSALA</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45834</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45834</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25052-2025</t>
        </is>
      </c>
      <c r="B1835" s="1" t="n">
        <v>45799</v>
      </c>
      <c r="C1835" s="1" t="n">
        <v>45834</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24794-2025</t>
        </is>
      </c>
      <c r="B1836" s="1" t="n">
        <v>45799</v>
      </c>
      <c r="C1836" s="1" t="n">
        <v>45834</v>
      </c>
      <c r="D1836" t="inlineStr">
        <is>
          <t>UPPSALA LÄN</t>
        </is>
      </c>
      <c r="E1836" t="inlineStr">
        <is>
          <t>UPPSALA</t>
        </is>
      </c>
      <c r="F1836" t="inlineStr">
        <is>
          <t>BillerudKorsnäs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45834</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24961-2025</t>
        </is>
      </c>
      <c r="B1838" s="1" t="n">
        <v>45799</v>
      </c>
      <c r="C1838" s="1" t="n">
        <v>45834</v>
      </c>
      <c r="D1838" t="inlineStr">
        <is>
          <t>UPPSALA LÄN</t>
        </is>
      </c>
      <c r="E1838" t="inlineStr">
        <is>
          <t>UPPSALA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25055-2025</t>
        </is>
      </c>
      <c r="B1839" s="1" t="n">
        <v>45799</v>
      </c>
      <c r="C1839" s="1" t="n">
        <v>45834</v>
      </c>
      <c r="D1839" t="inlineStr">
        <is>
          <t>UPPSALA LÄN</t>
        </is>
      </c>
      <c r="E1839" t="inlineStr">
        <is>
          <t>UPPSALA</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25513-2025</t>
        </is>
      </c>
      <c r="B1840" s="1" t="n">
        <v>45803</v>
      </c>
      <c r="C1840" s="1" t="n">
        <v>45834</v>
      </c>
      <c r="D1840" t="inlineStr">
        <is>
          <t>UPPSALA LÄN</t>
        </is>
      </c>
      <c r="E1840" t="inlineStr">
        <is>
          <t>UPPSALA</t>
        </is>
      </c>
      <c r="F1840" t="inlineStr">
        <is>
          <t>Bergvik skog öst AB</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25674-2025</t>
        </is>
      </c>
      <c r="B1841" s="1" t="n">
        <v>45803</v>
      </c>
      <c r="C1841" s="1" t="n">
        <v>45834</v>
      </c>
      <c r="D1841" t="inlineStr">
        <is>
          <t>UPPSALA LÄN</t>
        </is>
      </c>
      <c r="E1841" t="inlineStr">
        <is>
          <t>UPPSALA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26155-2025</t>
        </is>
      </c>
      <c r="B1842" s="1" t="n">
        <v>45805</v>
      </c>
      <c r="C1842" s="1" t="n">
        <v>45834</v>
      </c>
      <c r="D1842" t="inlineStr">
        <is>
          <t>UPPSALA LÄN</t>
        </is>
      </c>
      <c r="E1842" t="inlineStr">
        <is>
          <t>UPPSALA</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26130-2025</t>
        </is>
      </c>
      <c r="B1843" s="1" t="n">
        <v>45805</v>
      </c>
      <c r="C1843" s="1" t="n">
        <v>45834</v>
      </c>
      <c r="D1843" t="inlineStr">
        <is>
          <t>UPPSALA LÄN</t>
        </is>
      </c>
      <c r="E1843" t="inlineStr">
        <is>
          <t>UPPSALA</t>
        </is>
      </c>
      <c r="F1843" t="inlineStr">
        <is>
          <t>Bergvik skog öst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26141-2025</t>
        </is>
      </c>
      <c r="B1844" s="1" t="n">
        <v>45805</v>
      </c>
      <c r="C1844" s="1" t="n">
        <v>45834</v>
      </c>
      <c r="D1844" t="inlineStr">
        <is>
          <t>UPPSALA LÄN</t>
        </is>
      </c>
      <c r="E1844" t="inlineStr">
        <is>
          <t>UPPSALA</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26131-2025</t>
        </is>
      </c>
      <c r="B1845" s="1" t="n">
        <v>45805</v>
      </c>
      <c r="C1845" s="1" t="n">
        <v>45834</v>
      </c>
      <c r="D1845" t="inlineStr">
        <is>
          <t>UPPSALA LÄN</t>
        </is>
      </c>
      <c r="E1845" t="inlineStr">
        <is>
          <t>UPPSALA</t>
        </is>
      </c>
      <c r="F1845" t="inlineStr">
        <is>
          <t>Bergvik skog öst AB</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26139-2025</t>
        </is>
      </c>
      <c r="B1846" s="1" t="n">
        <v>45805</v>
      </c>
      <c r="C1846" s="1" t="n">
        <v>45834</v>
      </c>
      <c r="D1846" t="inlineStr">
        <is>
          <t>UPPSALA LÄN</t>
        </is>
      </c>
      <c r="E1846" t="inlineStr">
        <is>
          <t>UPPSALA</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26738-2025</t>
        </is>
      </c>
      <c r="B1847" s="1" t="n">
        <v>45809</v>
      </c>
      <c r="C1847" s="1" t="n">
        <v>45834</v>
      </c>
      <c r="D1847" t="inlineStr">
        <is>
          <t>UPPSALA LÄN</t>
        </is>
      </c>
      <c r="E1847" t="inlineStr">
        <is>
          <t>UPPSALA</t>
        </is>
      </c>
      <c r="F1847" t="inlineStr">
        <is>
          <t>Övriga Aktiebolag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26739-2025</t>
        </is>
      </c>
      <c r="B1848" s="1" t="n">
        <v>45809</v>
      </c>
      <c r="C1848" s="1" t="n">
        <v>45834</v>
      </c>
      <c r="D1848" t="inlineStr">
        <is>
          <t>UPPSALA LÄN</t>
        </is>
      </c>
      <c r="E1848" t="inlineStr">
        <is>
          <t>UPPSALA</t>
        </is>
      </c>
      <c r="F1848" t="inlineStr">
        <is>
          <t>Övriga Aktiebolag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26740-2025</t>
        </is>
      </c>
      <c r="B1849" s="1" t="n">
        <v>45809</v>
      </c>
      <c r="C1849" s="1" t="n">
        <v>45834</v>
      </c>
      <c r="D1849" t="inlineStr">
        <is>
          <t>UPPSALA LÄN</t>
        </is>
      </c>
      <c r="E1849" t="inlineStr">
        <is>
          <t>UPPSALA</t>
        </is>
      </c>
      <c r="F1849" t="inlineStr">
        <is>
          <t>Övriga Aktiebolag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26713-2025</t>
        </is>
      </c>
      <c r="B1850" s="1" t="n">
        <v>45809</v>
      </c>
      <c r="C1850" s="1" t="n">
        <v>45834</v>
      </c>
      <c r="D1850" t="inlineStr">
        <is>
          <t>UPPSALA LÄN</t>
        </is>
      </c>
      <c r="E1850" t="inlineStr">
        <is>
          <t>UPPSALA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26696-2025</t>
        </is>
      </c>
      <c r="B1851" s="1" t="n">
        <v>45810</v>
      </c>
      <c r="C1851" s="1" t="n">
        <v>45834</v>
      </c>
      <c r="D1851" t="inlineStr">
        <is>
          <t>UPPSALA LÄN</t>
        </is>
      </c>
      <c r="E1851" t="inlineStr">
        <is>
          <t>UPPSALA</t>
        </is>
      </c>
      <c r="F1851" t="inlineStr">
        <is>
          <t>Bergvik skog öst AB</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26709-2025</t>
        </is>
      </c>
      <c r="B1852" s="1" t="n">
        <v>45810</v>
      </c>
      <c r="C1852" s="1" t="n">
        <v>45834</v>
      </c>
      <c r="D1852" t="inlineStr">
        <is>
          <t>UPPSALA LÄN</t>
        </is>
      </c>
      <c r="E1852" t="inlineStr">
        <is>
          <t>UPPSALA</t>
        </is>
      </c>
      <c r="F1852" t="inlineStr">
        <is>
          <t>Kyrkan</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26697-2025</t>
        </is>
      </c>
      <c r="B1853" s="1" t="n">
        <v>45810</v>
      </c>
      <c r="C1853" s="1" t="n">
        <v>45834</v>
      </c>
      <c r="D1853" t="inlineStr">
        <is>
          <t>UPPSALA LÄN</t>
        </is>
      </c>
      <c r="E1853" t="inlineStr">
        <is>
          <t>UPPSALA</t>
        </is>
      </c>
      <c r="F1853" t="inlineStr">
        <is>
          <t>Bergvik skog öst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26923-2025</t>
        </is>
      </c>
      <c r="B1854" s="1" t="n">
        <v>45811</v>
      </c>
      <c r="C1854" s="1" t="n">
        <v>45834</v>
      </c>
      <c r="D1854" t="inlineStr">
        <is>
          <t>UPPSALA LÄN</t>
        </is>
      </c>
      <c r="E1854" t="inlineStr">
        <is>
          <t>UPPSALA</t>
        </is>
      </c>
      <c r="F1854" t="inlineStr">
        <is>
          <t>Kyrkan</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45834</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27286-2025</t>
        </is>
      </c>
      <c r="B1856" s="1" t="n">
        <v>45812</v>
      </c>
      <c r="C1856" s="1" t="n">
        <v>45834</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45834</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27706-2025</t>
        </is>
      </c>
      <c r="B1858" s="1" t="n">
        <v>45813</v>
      </c>
      <c r="C1858" s="1" t="n">
        <v>45834</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45834</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45834</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45834</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45834</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45834</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45834</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28878-2025</t>
        </is>
      </c>
      <c r="B1865" s="1" t="n">
        <v>45820</v>
      </c>
      <c r="C1865" s="1" t="n">
        <v>45834</v>
      </c>
      <c r="D1865" t="inlineStr">
        <is>
          <t>UPPSALA LÄN</t>
        </is>
      </c>
      <c r="E1865" t="inlineStr">
        <is>
          <t>UPPSALA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29030-2025</t>
        </is>
      </c>
      <c r="B1866" s="1" t="n">
        <v>45821</v>
      </c>
      <c r="C1866" s="1" t="n">
        <v>45834</v>
      </c>
      <c r="D1866" t="inlineStr">
        <is>
          <t>UPPSALA LÄN</t>
        </is>
      </c>
      <c r="E1866" t="inlineStr">
        <is>
          <t>UPPSALA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29047-2025</t>
        </is>
      </c>
      <c r="B1867" s="1" t="n">
        <v>45821</v>
      </c>
      <c r="C1867" s="1" t="n">
        <v>45834</v>
      </c>
      <c r="D1867" t="inlineStr">
        <is>
          <t>UPPSALA LÄN</t>
        </is>
      </c>
      <c r="E1867" t="inlineStr">
        <is>
          <t>UPPSALA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45834</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45834</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29664-2025</t>
        </is>
      </c>
      <c r="B1870" s="1" t="n">
        <v>45825</v>
      </c>
      <c r="C1870" s="1" t="n">
        <v>45834</v>
      </c>
      <c r="D1870" t="inlineStr">
        <is>
          <t>UPPSALA LÄN</t>
        </is>
      </c>
      <c r="E1870" t="inlineStr">
        <is>
          <t>UPPSALA</t>
        </is>
      </c>
      <c r="F1870" t="inlineStr">
        <is>
          <t>Holmen skog AB</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29627-2025</t>
        </is>
      </c>
      <c r="B1871" s="1" t="n">
        <v>45825</v>
      </c>
      <c r="C1871" s="1" t="n">
        <v>45834</v>
      </c>
      <c r="D1871" t="inlineStr">
        <is>
          <t>UPPSALA LÄN</t>
        </is>
      </c>
      <c r="E1871" t="inlineStr">
        <is>
          <t>UPPSALA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30282-2025</t>
        </is>
      </c>
      <c r="B1872" s="1" t="n">
        <v>45827</v>
      </c>
      <c r="C1872" s="1" t="n">
        <v>45834</v>
      </c>
      <c r="D1872" t="inlineStr">
        <is>
          <t>UPPSALA LÄN</t>
        </is>
      </c>
      <c r="E1872" t="inlineStr">
        <is>
          <t>UPPSALA</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30437-2025</t>
        </is>
      </c>
      <c r="B1873" s="1" t="n">
        <v>45827</v>
      </c>
      <c r="C1873" s="1" t="n">
        <v>45834</v>
      </c>
      <c r="D1873" t="inlineStr">
        <is>
          <t>UPPSALA LÄN</t>
        </is>
      </c>
      <c r="E1873" t="inlineStr">
        <is>
          <t>UPPSALA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45834</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30616-2025</t>
        </is>
      </c>
      <c r="B1875" s="1" t="n">
        <v>45831</v>
      </c>
      <c r="C1875" s="1" t="n">
        <v>45834</v>
      </c>
      <c r="D1875" t="inlineStr">
        <is>
          <t>UPPSALA LÄN</t>
        </is>
      </c>
      <c r="E1875" t="inlineStr">
        <is>
          <t>UPPSALA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30583-2025</t>
        </is>
      </c>
      <c r="B1876" s="1" t="n">
        <v>45831</v>
      </c>
      <c r="C1876" s="1" t="n">
        <v>45834</v>
      </c>
      <c r="D1876" t="inlineStr">
        <is>
          <t>UPPSALA LÄN</t>
        </is>
      </c>
      <c r="E1876" t="inlineStr">
        <is>
          <t>UPPSALA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30585-2025</t>
        </is>
      </c>
      <c r="B1877" s="1" t="n">
        <v>45831</v>
      </c>
      <c r="C1877" s="1" t="n">
        <v>45834</v>
      </c>
      <c r="D1877" t="inlineStr">
        <is>
          <t>UPPSALA LÄN</t>
        </is>
      </c>
      <c r="E1877" t="inlineStr">
        <is>
          <t>UPPSALA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30839-2025</t>
        </is>
      </c>
      <c r="B1878" s="1" t="n">
        <v>45831</v>
      </c>
      <c r="C1878" s="1" t="n">
        <v>45834</v>
      </c>
      <c r="D1878" t="inlineStr">
        <is>
          <t>UPPSALA LÄN</t>
        </is>
      </c>
      <c r="E1878" t="inlineStr">
        <is>
          <t>UPPSALA</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30838-2025</t>
        </is>
      </c>
      <c r="B1879" s="1" t="n">
        <v>45831</v>
      </c>
      <c r="C1879" s="1" t="n">
        <v>45834</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45834</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45834</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c r="A1882" t="inlineStr">
        <is>
          <t>A 30898-2025</t>
        </is>
      </c>
      <c r="B1882" s="1" t="n">
        <v>45832</v>
      </c>
      <c r="C1882" s="1" t="n">
        <v>45834</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2025-06-26T19:16:33Z</dcterms:created>
  <dcterms:modified xmlns:dcterms="http://purl.org/dc/terms/" xmlns:xsi="http://www.w3.org/2001/XMLSchema-instance" xsi:type="dcterms:W3CDTF">2025-06-26T19:16:34Z</dcterms:modified>
</cp:coreProperties>
</file>