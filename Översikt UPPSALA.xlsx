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46041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46041</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46041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46041</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46041</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46041</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46041</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46041</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45803.55260416667</v>
      </c>
      <c r="C18" s="1" t="n">
        <v>46041</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62998-2025</t>
        </is>
      </c>
      <c r="B19" s="1" t="n">
        <v>46009.5597337963</v>
      </c>
      <c r="C19" s="1" t="n">
        <v>46041</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3929-2021</t>
        </is>
      </c>
      <c r="B20" s="1" t="n">
        <v>44222</v>
      </c>
      <c r="C20" s="1" t="n">
        <v>46041</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46041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46041</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25143-2023</t>
        </is>
      </c>
      <c r="B23" s="1" t="n">
        <v>45086</v>
      </c>
      <c r="C23" s="1" t="n">
        <v>46041</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48755-2025</t>
        </is>
      </c>
      <c r="B24" s="1" t="n">
        <v>45936</v>
      </c>
      <c r="C24" s="1" t="n">
        <v>46041</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46041</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46041</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17846-2025</t>
        </is>
      </c>
      <c r="B27" s="1" t="n">
        <v>45758</v>
      </c>
      <c r="C27" s="1" t="n">
        <v>46041</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46041</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46041</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46041</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25608-2025</t>
        </is>
      </c>
      <c r="B31" s="1" t="n">
        <v>45803.55535879629</v>
      </c>
      <c r="C31" s="1" t="n">
        <v>46041</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46041</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46041</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46041</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46041</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46041</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46041</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46041</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56363-2025</t>
        </is>
      </c>
      <c r="B39" s="1" t="n">
        <v>45974.6671412037</v>
      </c>
      <c r="C39" s="1" t="n">
        <v>46041</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46041</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46041</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46041</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46041</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46041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46041</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46041</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44601-2025</t>
        </is>
      </c>
      <c r="B47" s="1" t="n">
        <v>45917.43857638889</v>
      </c>
      <c r="C47" s="1" t="n">
        <v>46041</v>
      </c>
      <c r="D47" t="inlineStr">
        <is>
          <t>UPPSALA LÄN</t>
        </is>
      </c>
      <c r="E47" t="inlineStr">
        <is>
          <t>UPPSALA</t>
        </is>
      </c>
      <c r="G47" t="n">
        <v>5.5</v>
      </c>
      <c r="H47" t="n">
        <v>1</v>
      </c>
      <c r="I47" t="n">
        <v>1</v>
      </c>
      <c r="J47" t="n">
        <v>1</v>
      </c>
      <c r="K47" t="n">
        <v>0</v>
      </c>
      <c r="L47" t="n">
        <v>1</v>
      </c>
      <c r="M47" t="n">
        <v>1</v>
      </c>
      <c r="N47" t="n">
        <v>0</v>
      </c>
      <c r="O47" t="n">
        <v>3</v>
      </c>
      <c r="P47" t="n">
        <v>2</v>
      </c>
      <c r="Q47" t="n">
        <v>5</v>
      </c>
      <c r="R47" s="2" t="inlineStr">
        <is>
          <t>Skogsalm
Ask
Igelkott
Fjällig taggsvamp s.str.
Blåsippa</t>
        </is>
      </c>
      <c r="S47">
        <f>HYPERLINK("https://klasma.github.io/Logging_0380/artfynd/A 44601-2025 artfynd.xlsx", "A 44601-2025")</f>
        <v/>
      </c>
      <c r="T47">
        <f>HYPERLINK("https://klasma.github.io/Logging_0380/kartor/A 44601-2025 karta.png", "A 44601-2025")</f>
        <v/>
      </c>
      <c r="V47">
        <f>HYPERLINK("https://klasma.github.io/Logging_0380/klagomål/A 44601-2025 FSC-klagomål.docx", "A 44601-2025")</f>
        <v/>
      </c>
      <c r="W47">
        <f>HYPERLINK("https://klasma.github.io/Logging_0380/klagomålsmail/A 44601-2025 FSC-klagomål mail.docx", "A 44601-2025")</f>
        <v/>
      </c>
      <c r="X47">
        <f>HYPERLINK("https://klasma.github.io/Logging_0380/tillsyn/A 44601-2025 tillsynsbegäran.docx", "A 44601-2025")</f>
        <v/>
      </c>
      <c r="Y47">
        <f>HYPERLINK("https://klasma.github.io/Logging_0380/tillsynsmail/A 44601-2025 tillsynsbegäran mail.docx", "A 44601-2025")</f>
        <v/>
      </c>
    </row>
    <row r="48" ht="15" customHeight="1">
      <c r="A48" t="inlineStr">
        <is>
          <t>A 3100-2024</t>
        </is>
      </c>
      <c r="B48" s="1" t="n">
        <v>45316</v>
      </c>
      <c r="C48" s="1" t="n">
        <v>46041</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1725-2022</t>
        </is>
      </c>
      <c r="B49" s="1" t="n">
        <v>44574</v>
      </c>
      <c r="C49" s="1" t="n">
        <v>46041</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29803-2023</t>
        </is>
      </c>
      <c r="B50" s="1" t="n">
        <v>45107</v>
      </c>
      <c r="C50" s="1" t="n">
        <v>46041</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27625-2023</t>
        </is>
      </c>
      <c r="B51" s="1" t="n">
        <v>45097</v>
      </c>
      <c r="C51" s="1" t="n">
        <v>46041</v>
      </c>
      <c r="D51" t="inlineStr">
        <is>
          <t>UPPSALA LÄN</t>
        </is>
      </c>
      <c r="E51" t="inlineStr">
        <is>
          <t>UPPSALA</t>
        </is>
      </c>
      <c r="G51" t="n">
        <v>6</v>
      </c>
      <c r="H51" t="n">
        <v>4</v>
      </c>
      <c r="I51" t="n">
        <v>1</v>
      </c>
      <c r="J51" t="n">
        <v>1</v>
      </c>
      <c r="K51" t="n">
        <v>0</v>
      </c>
      <c r="L51" t="n">
        <v>0</v>
      </c>
      <c r="M51" t="n">
        <v>0</v>
      </c>
      <c r="N51" t="n">
        <v>0</v>
      </c>
      <c r="O51" t="n">
        <v>1</v>
      </c>
      <c r="P51" t="n">
        <v>0</v>
      </c>
      <c r="Q51" t="n">
        <v>5</v>
      </c>
      <c r="R51" s="2" t="inlineStr">
        <is>
          <t>Spillkråka
Fällmossa
Gröngöling
Skogsödla
Blåsippa</t>
        </is>
      </c>
      <c r="S51">
        <f>HYPERLINK("https://klasma.github.io/Logging_0380/artfynd/A 27625-2023 artfynd.xlsx", "A 27625-2023")</f>
        <v/>
      </c>
      <c r="T51">
        <f>HYPERLINK("https://klasma.github.io/Logging_0380/kartor/A 27625-2023 karta.png", "A 27625-2023")</f>
        <v/>
      </c>
      <c r="V51">
        <f>HYPERLINK("https://klasma.github.io/Logging_0380/klagomål/A 27625-2023 FSC-klagomål.docx", "A 27625-2023")</f>
        <v/>
      </c>
      <c r="W51">
        <f>HYPERLINK("https://klasma.github.io/Logging_0380/klagomålsmail/A 27625-2023 FSC-klagomål mail.docx", "A 27625-2023")</f>
        <v/>
      </c>
      <c r="X51">
        <f>HYPERLINK("https://klasma.github.io/Logging_0380/tillsyn/A 27625-2023 tillsynsbegäran.docx", "A 27625-2023")</f>
        <v/>
      </c>
      <c r="Y51">
        <f>HYPERLINK("https://klasma.github.io/Logging_0380/tillsynsmail/A 27625-2023 tillsynsbegäran mail.docx", "A 27625-2023")</f>
        <v/>
      </c>
      <c r="Z51">
        <f>HYPERLINK("https://klasma.github.io/Logging_0380/fåglar/A 27625-2023 prioriterade fågelarter.docx", "A 27625-2023")</f>
        <v/>
      </c>
    </row>
    <row r="52" ht="15" customHeight="1">
      <c r="A52" t="inlineStr">
        <is>
          <t>A 13546-2025</t>
        </is>
      </c>
      <c r="B52" s="1" t="n">
        <v>45736.53695601852</v>
      </c>
      <c r="C52" s="1" t="n">
        <v>46041</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21809-2024</t>
        </is>
      </c>
      <c r="B53" s="1" t="n">
        <v>45442</v>
      </c>
      <c r="C53" s="1" t="n">
        <v>46041</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23153-2022</t>
        </is>
      </c>
      <c r="B54" s="1" t="n">
        <v>44719</v>
      </c>
      <c r="C54" s="1" t="n">
        <v>46041</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46041</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46041</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46041</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46041</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46041</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46041</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15297-2022</t>
        </is>
      </c>
      <c r="B61" s="1" t="n">
        <v>44659</v>
      </c>
      <c r="C61" s="1" t="n">
        <v>46041</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26758-2022</t>
        </is>
      </c>
      <c r="B62" s="1" t="n">
        <v>44740</v>
      </c>
      <c r="C62" s="1" t="n">
        <v>46041</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11217-2024</t>
        </is>
      </c>
      <c r="B63" s="1" t="n">
        <v>45371</v>
      </c>
      <c r="C63" s="1" t="n">
        <v>46041</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46041</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46041</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46041</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59538-2025</t>
        </is>
      </c>
      <c r="B67" s="1" t="n">
        <v>45989.96568287037</v>
      </c>
      <c r="C67" s="1" t="n">
        <v>46041</v>
      </c>
      <c r="D67" t="inlineStr">
        <is>
          <t>UPPSALA LÄN</t>
        </is>
      </c>
      <c r="E67" t="inlineStr">
        <is>
          <t>UPPSALA</t>
        </is>
      </c>
      <c r="G67" t="n">
        <v>4.3</v>
      </c>
      <c r="H67" t="n">
        <v>1</v>
      </c>
      <c r="I67" t="n">
        <v>1</v>
      </c>
      <c r="J67" t="n">
        <v>2</v>
      </c>
      <c r="K67" t="n">
        <v>0</v>
      </c>
      <c r="L67" t="n">
        <v>0</v>
      </c>
      <c r="M67" t="n">
        <v>0</v>
      </c>
      <c r="N67" t="n">
        <v>0</v>
      </c>
      <c r="O67" t="n">
        <v>2</v>
      </c>
      <c r="P67" t="n">
        <v>0</v>
      </c>
      <c r="Q67" t="n">
        <v>3</v>
      </c>
      <c r="R67" s="2" t="inlineStr">
        <is>
          <t>Spillkråka
Ullticka
Vågbandad barkbock</t>
        </is>
      </c>
      <c r="S67">
        <f>HYPERLINK("https://klasma.github.io/Logging_0380/artfynd/A 59538-2025 artfynd.xlsx", "A 59538-2025")</f>
        <v/>
      </c>
      <c r="T67">
        <f>HYPERLINK("https://klasma.github.io/Logging_0380/kartor/A 59538-2025 karta.png", "A 59538-2025")</f>
        <v/>
      </c>
      <c r="U67">
        <f>HYPERLINK("https://klasma.github.io/Logging_0380/knärot/A 59538-2025 karta knärot.png", "A 59538-2025")</f>
        <v/>
      </c>
      <c r="V67">
        <f>HYPERLINK("https://klasma.github.io/Logging_0380/klagomål/A 59538-2025 FSC-klagomål.docx", "A 59538-2025")</f>
        <v/>
      </c>
      <c r="W67">
        <f>HYPERLINK("https://klasma.github.io/Logging_0380/klagomålsmail/A 59538-2025 FSC-klagomål mail.docx", "A 59538-2025")</f>
        <v/>
      </c>
      <c r="X67">
        <f>HYPERLINK("https://klasma.github.io/Logging_0380/tillsyn/A 59538-2025 tillsynsbegäran.docx", "A 59538-2025")</f>
        <v/>
      </c>
      <c r="Y67">
        <f>HYPERLINK("https://klasma.github.io/Logging_0380/tillsynsmail/A 59538-2025 tillsynsbegäran mail.docx", "A 59538-2025")</f>
        <v/>
      </c>
      <c r="Z67">
        <f>HYPERLINK("https://klasma.github.io/Logging_0380/fåglar/A 59538-2025 prioriterade fågelarter.docx", "A 59538-2025")</f>
        <v/>
      </c>
    </row>
    <row r="68" ht="15" customHeight="1">
      <c r="A68" t="inlineStr">
        <is>
          <t>A 17277-2023</t>
        </is>
      </c>
      <c r="B68" s="1" t="n">
        <v>45035.44672453704</v>
      </c>
      <c r="C68" s="1" t="n">
        <v>46041</v>
      </c>
      <c r="D68" t="inlineStr">
        <is>
          <t>UPPSALA LÄN</t>
        </is>
      </c>
      <c r="E68" t="inlineStr">
        <is>
          <t>UPPSALA</t>
        </is>
      </c>
      <c r="F68" t="inlineStr">
        <is>
          <t>Övriga Aktiebolag</t>
        </is>
      </c>
      <c r="G68" t="n">
        <v>6.1</v>
      </c>
      <c r="H68" t="n">
        <v>3</v>
      </c>
      <c r="I68" t="n">
        <v>0</v>
      </c>
      <c r="J68" t="n">
        <v>2</v>
      </c>
      <c r="K68" t="n">
        <v>0</v>
      </c>
      <c r="L68" t="n">
        <v>0</v>
      </c>
      <c r="M68" t="n">
        <v>0</v>
      </c>
      <c r="N68" t="n">
        <v>0</v>
      </c>
      <c r="O68" t="n">
        <v>2</v>
      </c>
      <c r="P68" t="n">
        <v>0</v>
      </c>
      <c r="Q68" t="n">
        <v>3</v>
      </c>
      <c r="R68" s="2" t="inlineStr">
        <is>
          <t>Duvhök
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45627-2025</t>
        </is>
      </c>
      <c r="B69" s="1" t="n">
        <v>45922.80255787037</v>
      </c>
      <c r="C69" s="1" t="n">
        <v>46041</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46041</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6044-2024</t>
        </is>
      </c>
      <c r="B71" s="1" t="n">
        <v>45336</v>
      </c>
      <c r="C71" s="1" t="n">
        <v>46041</v>
      </c>
      <c r="D71" t="inlineStr">
        <is>
          <t>UPPSALA LÄN</t>
        </is>
      </c>
      <c r="E71" t="inlineStr">
        <is>
          <t>UPPSALA</t>
        </is>
      </c>
      <c r="F71" t="inlineStr">
        <is>
          <t>Holmen skog AB</t>
        </is>
      </c>
      <c r="G71" t="n">
        <v>7.4</v>
      </c>
      <c r="H71" t="n">
        <v>0</v>
      </c>
      <c r="I71" t="n">
        <v>0</v>
      </c>
      <c r="J71" t="n">
        <v>3</v>
      </c>
      <c r="K71" t="n">
        <v>0</v>
      </c>
      <c r="L71" t="n">
        <v>0</v>
      </c>
      <c r="M71" t="n">
        <v>0</v>
      </c>
      <c r="N71" t="n">
        <v>0</v>
      </c>
      <c r="O71" t="n">
        <v>3</v>
      </c>
      <c r="P71" t="n">
        <v>0</v>
      </c>
      <c r="Q71" t="n">
        <v>3</v>
      </c>
      <c r="R71" s="2" t="inlineStr">
        <is>
          <t>Gul dropplav
Rutskinn
Skuggorangelav</t>
        </is>
      </c>
      <c r="S71">
        <f>HYPERLINK("https://klasma.github.io/Logging_0380/artfynd/A 6044-2024 artfynd.xlsx", "A 6044-2024")</f>
        <v/>
      </c>
      <c r="T71">
        <f>HYPERLINK("https://klasma.github.io/Logging_0380/kartor/A 6044-2024 karta.png", "A 6044-2024")</f>
        <v/>
      </c>
      <c r="V71">
        <f>HYPERLINK("https://klasma.github.io/Logging_0380/klagomål/A 6044-2024 FSC-klagomål.docx", "A 6044-2024")</f>
        <v/>
      </c>
      <c r="W71">
        <f>HYPERLINK("https://klasma.github.io/Logging_0380/klagomålsmail/A 6044-2024 FSC-klagomål mail.docx", "A 6044-2024")</f>
        <v/>
      </c>
      <c r="X71">
        <f>HYPERLINK("https://klasma.github.io/Logging_0380/tillsyn/A 6044-2024 tillsynsbegäran.docx", "A 6044-2024")</f>
        <v/>
      </c>
      <c r="Y71">
        <f>HYPERLINK("https://klasma.github.io/Logging_0380/tillsynsmail/A 6044-2024 tillsynsbegäran mail.docx", "A 6044-2024")</f>
        <v/>
      </c>
    </row>
    <row r="72" ht="15" customHeight="1">
      <c r="A72" t="inlineStr">
        <is>
          <t>A 55788-2025</t>
        </is>
      </c>
      <c r="B72" s="1" t="n">
        <v>45972.64483796297</v>
      </c>
      <c r="C72" s="1" t="n">
        <v>46041</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60038-2021</t>
        </is>
      </c>
      <c r="B73" s="1" t="n">
        <v>44495</v>
      </c>
      <c r="C73" s="1" t="n">
        <v>46041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36471-2022</t>
        </is>
      </c>
      <c r="B74" s="1" t="n">
        <v>44804</v>
      </c>
      <c r="C74" s="1" t="n">
        <v>46041</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25943-2023</t>
        </is>
      </c>
      <c r="B75" s="1" t="n">
        <v>45090</v>
      </c>
      <c r="C75" s="1" t="n">
        <v>46041</v>
      </c>
      <c r="D75" t="inlineStr">
        <is>
          <t>UPPSALA LÄN</t>
        </is>
      </c>
      <c r="E75" t="inlineStr">
        <is>
          <t>UPPSALA</t>
        </is>
      </c>
      <c r="F75" t="inlineStr">
        <is>
          <t>Holmen skog AB</t>
        </is>
      </c>
      <c r="G75" t="n">
        <v>2.7</v>
      </c>
      <c r="H75" t="n">
        <v>1</v>
      </c>
      <c r="I75" t="n">
        <v>1</v>
      </c>
      <c r="J75" t="n">
        <v>2</v>
      </c>
      <c r="K75" t="n">
        <v>0</v>
      </c>
      <c r="L75" t="n">
        <v>0</v>
      </c>
      <c r="M75" t="n">
        <v>0</v>
      </c>
      <c r="N75" t="n">
        <v>0</v>
      </c>
      <c r="O75" t="n">
        <v>2</v>
      </c>
      <c r="P75" t="n">
        <v>0</v>
      </c>
      <c r="Q75" t="n">
        <v>3</v>
      </c>
      <c r="R75" s="2" t="inlineStr">
        <is>
          <t>Mindre hackspett
Vedtrappmossa
Vedticka</t>
        </is>
      </c>
      <c r="S75">
        <f>HYPERLINK("https://klasma.github.io/Logging_0380/artfynd/A 25943-2023 artfynd.xlsx", "A 25943-2023")</f>
        <v/>
      </c>
      <c r="T75">
        <f>HYPERLINK("https://klasma.github.io/Logging_0380/kartor/A 25943-2023 karta.png", "A 25943-2023")</f>
        <v/>
      </c>
      <c r="V75">
        <f>HYPERLINK("https://klasma.github.io/Logging_0380/klagomål/A 25943-2023 FSC-klagomål.docx", "A 25943-2023")</f>
        <v/>
      </c>
      <c r="W75">
        <f>HYPERLINK("https://klasma.github.io/Logging_0380/klagomålsmail/A 25943-2023 FSC-klagomål mail.docx", "A 25943-2023")</f>
        <v/>
      </c>
      <c r="X75">
        <f>HYPERLINK("https://klasma.github.io/Logging_0380/tillsyn/A 25943-2023 tillsynsbegäran.docx", "A 25943-2023")</f>
        <v/>
      </c>
      <c r="Y75">
        <f>HYPERLINK("https://klasma.github.io/Logging_0380/tillsynsmail/A 25943-2023 tillsynsbegäran mail.docx", "A 25943-2023")</f>
        <v/>
      </c>
      <c r="Z75">
        <f>HYPERLINK("https://klasma.github.io/Logging_0380/fåglar/A 25943-2023 prioriterade fågelarter.docx", "A 25943-2023")</f>
        <v/>
      </c>
    </row>
    <row r="76" ht="15" customHeight="1">
      <c r="A76" t="inlineStr">
        <is>
          <t>A 30716-2025</t>
        </is>
      </c>
      <c r="B76" s="1" t="n">
        <v>45831.55982638889</v>
      </c>
      <c r="C76" s="1" t="n">
        <v>46041</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52503-2025</t>
        </is>
      </c>
      <c r="B77" s="1" t="n">
        <v>45954.49768518518</v>
      </c>
      <c r="C77" s="1" t="n">
        <v>46041</v>
      </c>
      <c r="D77" t="inlineStr">
        <is>
          <t>UPPSALA LÄN</t>
        </is>
      </c>
      <c r="E77" t="inlineStr">
        <is>
          <t>UPPSALA</t>
        </is>
      </c>
      <c r="F77" t="inlineStr">
        <is>
          <t>Holmen skog AB</t>
        </is>
      </c>
      <c r="G77" t="n">
        <v>21.5</v>
      </c>
      <c r="H77" t="n">
        <v>0</v>
      </c>
      <c r="I77" t="n">
        <v>0</v>
      </c>
      <c r="J77" t="n">
        <v>0</v>
      </c>
      <c r="K77" t="n">
        <v>2</v>
      </c>
      <c r="L77" t="n">
        <v>0</v>
      </c>
      <c r="M77" t="n">
        <v>0</v>
      </c>
      <c r="N77" t="n">
        <v>0</v>
      </c>
      <c r="O77" t="n">
        <v>2</v>
      </c>
      <c r="P77" t="n">
        <v>2</v>
      </c>
      <c r="Q77" t="n">
        <v>2</v>
      </c>
      <c r="R77" s="2" t="inlineStr">
        <is>
          <t>Gulvit blekspik
Klosterlav</t>
        </is>
      </c>
      <c r="S77">
        <f>HYPERLINK("https://klasma.github.io/Logging_0380/artfynd/A 52503-2025 artfynd.xlsx", "A 52503-2025")</f>
        <v/>
      </c>
      <c r="T77">
        <f>HYPERLINK("https://klasma.github.io/Logging_0380/kartor/A 52503-2025 karta.png", "A 52503-2025")</f>
        <v/>
      </c>
      <c r="V77">
        <f>HYPERLINK("https://klasma.github.io/Logging_0380/klagomål/A 52503-2025 FSC-klagomål.docx", "A 52503-2025")</f>
        <v/>
      </c>
      <c r="W77">
        <f>HYPERLINK("https://klasma.github.io/Logging_0380/klagomålsmail/A 52503-2025 FSC-klagomål mail.docx", "A 52503-2025")</f>
        <v/>
      </c>
      <c r="X77">
        <f>HYPERLINK("https://klasma.github.io/Logging_0380/tillsyn/A 52503-2025 tillsynsbegäran.docx", "A 52503-2025")</f>
        <v/>
      </c>
      <c r="Y77">
        <f>HYPERLINK("https://klasma.github.io/Logging_0380/tillsynsmail/A 52503-2025 tillsynsbegäran mail.docx", "A 52503-2025")</f>
        <v/>
      </c>
    </row>
    <row r="78" ht="15" customHeight="1">
      <c r="A78" t="inlineStr">
        <is>
          <t>A 57715-2025</t>
        </is>
      </c>
      <c r="B78" s="1" t="n">
        <v>45981</v>
      </c>
      <c r="C78" s="1" t="n">
        <v>46041</v>
      </c>
      <c r="D78" t="inlineStr">
        <is>
          <t>UPPSALA LÄN</t>
        </is>
      </c>
      <c r="E78" t="inlineStr">
        <is>
          <t>UPPSALA</t>
        </is>
      </c>
      <c r="F78" t="inlineStr">
        <is>
          <t>Kommuner</t>
        </is>
      </c>
      <c r="G78" t="n">
        <v>2</v>
      </c>
      <c r="H78" t="n">
        <v>0</v>
      </c>
      <c r="I78" t="n">
        <v>1</v>
      </c>
      <c r="J78" t="n">
        <v>1</v>
      </c>
      <c r="K78" t="n">
        <v>0</v>
      </c>
      <c r="L78" t="n">
        <v>0</v>
      </c>
      <c r="M78" t="n">
        <v>0</v>
      </c>
      <c r="N78" t="n">
        <v>0</v>
      </c>
      <c r="O78" t="n">
        <v>1</v>
      </c>
      <c r="P78" t="n">
        <v>0</v>
      </c>
      <c r="Q78" t="n">
        <v>2</v>
      </c>
      <c r="R78" s="2" t="inlineStr">
        <is>
          <t>Ullticka
Bronshjon</t>
        </is>
      </c>
      <c r="S78">
        <f>HYPERLINK("https://klasma.github.io/Logging_0380/artfynd/A 57715-2025 artfynd.xlsx", "A 57715-2025")</f>
        <v/>
      </c>
      <c r="T78">
        <f>HYPERLINK("https://klasma.github.io/Logging_0380/kartor/A 57715-2025 karta.png", "A 57715-2025")</f>
        <v/>
      </c>
      <c r="V78">
        <f>HYPERLINK("https://klasma.github.io/Logging_0380/klagomål/A 57715-2025 FSC-klagomål.docx", "A 57715-2025")</f>
        <v/>
      </c>
      <c r="W78">
        <f>HYPERLINK("https://klasma.github.io/Logging_0380/klagomålsmail/A 57715-2025 FSC-klagomål mail.docx", "A 57715-2025")</f>
        <v/>
      </c>
      <c r="X78">
        <f>HYPERLINK("https://klasma.github.io/Logging_0380/tillsyn/A 57715-2025 tillsynsbegäran.docx", "A 57715-2025")</f>
        <v/>
      </c>
      <c r="Y78">
        <f>HYPERLINK("https://klasma.github.io/Logging_0380/tillsynsmail/A 57715-2025 tillsynsbegäran mail.docx", "A 57715-2025")</f>
        <v/>
      </c>
    </row>
    <row r="79" ht="15" customHeight="1">
      <c r="A79" t="inlineStr">
        <is>
          <t>A 41921-2025</t>
        </is>
      </c>
      <c r="B79" s="1" t="n">
        <v>45903</v>
      </c>
      <c r="C79" s="1" t="n">
        <v>46041</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51749-2023</t>
        </is>
      </c>
      <c r="B80" s="1" t="n">
        <v>45222</v>
      </c>
      <c r="C80" s="1" t="n">
        <v>46041</v>
      </c>
      <c r="D80" t="inlineStr">
        <is>
          <t>UPPSALA LÄN</t>
        </is>
      </c>
      <c r="E80" t="inlineStr">
        <is>
          <t>UPPSALA</t>
        </is>
      </c>
      <c r="G80" t="n">
        <v>3.6</v>
      </c>
      <c r="H80" t="n">
        <v>1</v>
      </c>
      <c r="I80" t="n">
        <v>0</v>
      </c>
      <c r="J80" t="n">
        <v>1</v>
      </c>
      <c r="K80" t="n">
        <v>0</v>
      </c>
      <c r="L80" t="n">
        <v>0</v>
      </c>
      <c r="M80" t="n">
        <v>0</v>
      </c>
      <c r="N80" t="n">
        <v>0</v>
      </c>
      <c r="O80" t="n">
        <v>1</v>
      </c>
      <c r="P80" t="n">
        <v>0</v>
      </c>
      <c r="Q80" t="n">
        <v>2</v>
      </c>
      <c r="R80" s="2" t="inlineStr">
        <is>
          <t>Säfferot
Gullviva</t>
        </is>
      </c>
      <c r="S80">
        <f>HYPERLINK("https://klasma.github.io/Logging_0380/artfynd/A 51749-2023 artfynd.xlsx", "A 51749-2023")</f>
        <v/>
      </c>
      <c r="T80">
        <f>HYPERLINK("https://klasma.github.io/Logging_0380/kartor/A 51749-2023 karta.png", "A 51749-2023")</f>
        <v/>
      </c>
      <c r="V80">
        <f>HYPERLINK("https://klasma.github.io/Logging_0380/klagomål/A 51749-2023 FSC-klagomål.docx", "A 51749-2023")</f>
        <v/>
      </c>
      <c r="W80">
        <f>HYPERLINK("https://klasma.github.io/Logging_0380/klagomålsmail/A 51749-2023 FSC-klagomål mail.docx", "A 51749-2023")</f>
        <v/>
      </c>
      <c r="X80">
        <f>HYPERLINK("https://klasma.github.io/Logging_0380/tillsyn/A 51749-2023 tillsynsbegäran.docx", "A 51749-2023")</f>
        <v/>
      </c>
      <c r="Y80">
        <f>HYPERLINK("https://klasma.github.io/Logging_0380/tillsynsmail/A 51749-2023 tillsynsbegäran mail.docx", "A 51749-2023")</f>
        <v/>
      </c>
    </row>
    <row r="81" ht="15" customHeight="1">
      <c r="A81" t="inlineStr">
        <is>
          <t>A 58546-2025</t>
        </is>
      </c>
      <c r="B81" s="1" t="n">
        <v>45985.99173611111</v>
      </c>
      <c r="C81" s="1" t="n">
        <v>46041</v>
      </c>
      <c r="D81" t="inlineStr">
        <is>
          <t>UPPSALA LÄN</t>
        </is>
      </c>
      <c r="E81" t="inlineStr">
        <is>
          <t>UPPSALA</t>
        </is>
      </c>
      <c r="G81" t="n">
        <v>0.6</v>
      </c>
      <c r="H81" t="n">
        <v>1</v>
      </c>
      <c r="I81" t="n">
        <v>0</v>
      </c>
      <c r="J81" t="n">
        <v>1</v>
      </c>
      <c r="K81" t="n">
        <v>0</v>
      </c>
      <c r="L81" t="n">
        <v>0</v>
      </c>
      <c r="M81" t="n">
        <v>0</v>
      </c>
      <c r="N81" t="n">
        <v>0</v>
      </c>
      <c r="O81" t="n">
        <v>1</v>
      </c>
      <c r="P81" t="n">
        <v>0</v>
      </c>
      <c r="Q81" t="n">
        <v>2</v>
      </c>
      <c r="R81" s="2" t="inlineStr">
        <is>
          <t>Vedtrappmossa
Revlummer</t>
        </is>
      </c>
      <c r="S81">
        <f>HYPERLINK("https://klasma.github.io/Logging_0380/artfynd/A 58546-2025 artfynd.xlsx", "A 58546-2025")</f>
        <v/>
      </c>
      <c r="T81">
        <f>HYPERLINK("https://klasma.github.io/Logging_0380/kartor/A 58546-2025 karta.png", "A 58546-2025")</f>
        <v/>
      </c>
      <c r="U81">
        <f>HYPERLINK("https://klasma.github.io/Logging_0380/knärot/A 58546-2025 karta knärot.png", "A 58546-2025")</f>
        <v/>
      </c>
      <c r="V81">
        <f>HYPERLINK("https://klasma.github.io/Logging_0380/klagomål/A 58546-2025 FSC-klagomål.docx", "A 58546-2025")</f>
        <v/>
      </c>
      <c r="W81">
        <f>HYPERLINK("https://klasma.github.io/Logging_0380/klagomålsmail/A 58546-2025 FSC-klagomål mail.docx", "A 58546-2025")</f>
        <v/>
      </c>
      <c r="X81">
        <f>HYPERLINK("https://klasma.github.io/Logging_0380/tillsyn/A 58546-2025 tillsynsbegäran.docx", "A 58546-2025")</f>
        <v/>
      </c>
      <c r="Y81">
        <f>HYPERLINK("https://klasma.github.io/Logging_0380/tillsynsmail/A 58546-2025 tillsynsbegäran mail.docx", "A 58546-2025")</f>
        <v/>
      </c>
    </row>
    <row r="82" ht="15" customHeight="1">
      <c r="A82" t="inlineStr">
        <is>
          <t>A 53589-2025</t>
        </is>
      </c>
      <c r="B82" s="1" t="n">
        <v>45960.43780092592</v>
      </c>
      <c r="C82" s="1" t="n">
        <v>46041</v>
      </c>
      <c r="D82" t="inlineStr">
        <is>
          <t>UPPSALA LÄN</t>
        </is>
      </c>
      <c r="E82" t="inlineStr">
        <is>
          <t>UPPSALA</t>
        </is>
      </c>
      <c r="G82" t="n">
        <v>9.699999999999999</v>
      </c>
      <c r="H82" t="n">
        <v>1</v>
      </c>
      <c r="I82" t="n">
        <v>0</v>
      </c>
      <c r="J82" t="n">
        <v>2</v>
      </c>
      <c r="K82" t="n">
        <v>0</v>
      </c>
      <c r="L82" t="n">
        <v>0</v>
      </c>
      <c r="M82" t="n">
        <v>0</v>
      </c>
      <c r="N82" t="n">
        <v>0</v>
      </c>
      <c r="O82" t="n">
        <v>2</v>
      </c>
      <c r="P82" t="n">
        <v>0</v>
      </c>
      <c r="Q82" t="n">
        <v>2</v>
      </c>
      <c r="R82" s="2" t="inlineStr">
        <is>
          <t>Spillkråka
Vedtrappmossa</t>
        </is>
      </c>
      <c r="S82">
        <f>HYPERLINK("https://klasma.github.io/Logging_0380/artfynd/A 53589-2025 artfynd.xlsx", "A 53589-2025")</f>
        <v/>
      </c>
      <c r="T82">
        <f>HYPERLINK("https://klasma.github.io/Logging_0380/kartor/A 53589-2025 karta.png", "A 53589-2025")</f>
        <v/>
      </c>
      <c r="V82">
        <f>HYPERLINK("https://klasma.github.io/Logging_0380/klagomål/A 53589-2025 FSC-klagomål.docx", "A 53589-2025")</f>
        <v/>
      </c>
      <c r="W82">
        <f>HYPERLINK("https://klasma.github.io/Logging_0380/klagomålsmail/A 53589-2025 FSC-klagomål mail.docx", "A 53589-2025")</f>
        <v/>
      </c>
      <c r="X82">
        <f>HYPERLINK("https://klasma.github.io/Logging_0380/tillsyn/A 53589-2025 tillsynsbegäran.docx", "A 53589-2025")</f>
        <v/>
      </c>
      <c r="Y82">
        <f>HYPERLINK("https://klasma.github.io/Logging_0380/tillsynsmail/A 53589-2025 tillsynsbegäran mail.docx", "A 53589-2025")</f>
        <v/>
      </c>
      <c r="Z82">
        <f>HYPERLINK("https://klasma.github.io/Logging_0380/fåglar/A 53589-2025 prioriterade fågelarter.docx", "A 53589-2025")</f>
        <v/>
      </c>
    </row>
    <row r="83" ht="15" customHeight="1">
      <c r="A83" t="inlineStr">
        <is>
          <t>A 63026-2025</t>
        </is>
      </c>
      <c r="B83" s="1" t="n">
        <v>46009.59555555556</v>
      </c>
      <c r="C83" s="1" t="n">
        <v>46041</v>
      </c>
      <c r="D83" t="inlineStr">
        <is>
          <t>UPPSALA LÄN</t>
        </is>
      </c>
      <c r="E83" t="inlineStr">
        <is>
          <t>UPPSALA</t>
        </is>
      </c>
      <c r="G83" t="n">
        <v>1.1</v>
      </c>
      <c r="H83" t="n">
        <v>1</v>
      </c>
      <c r="I83" t="n">
        <v>1</v>
      </c>
      <c r="J83" t="n">
        <v>1</v>
      </c>
      <c r="K83" t="n">
        <v>0</v>
      </c>
      <c r="L83" t="n">
        <v>0</v>
      </c>
      <c r="M83" t="n">
        <v>0</v>
      </c>
      <c r="N83" t="n">
        <v>0</v>
      </c>
      <c r="O83" t="n">
        <v>1</v>
      </c>
      <c r="P83" t="n">
        <v>0</v>
      </c>
      <c r="Q83" t="n">
        <v>2</v>
      </c>
      <c r="R83" s="2" t="inlineStr">
        <is>
          <t>Spillkråka
Jättesvampmal</t>
        </is>
      </c>
      <c r="S83">
        <f>HYPERLINK("https://klasma.github.io/Logging_0380/artfynd/A 63026-2025 artfynd.xlsx", "A 63026-2025")</f>
        <v/>
      </c>
      <c r="T83">
        <f>HYPERLINK("https://klasma.github.io/Logging_0380/kartor/A 63026-2025 karta.png", "A 63026-2025")</f>
        <v/>
      </c>
      <c r="V83">
        <f>HYPERLINK("https://klasma.github.io/Logging_0380/klagomål/A 63026-2025 FSC-klagomål.docx", "A 63026-2025")</f>
        <v/>
      </c>
      <c r="W83">
        <f>HYPERLINK("https://klasma.github.io/Logging_0380/klagomålsmail/A 63026-2025 FSC-klagomål mail.docx", "A 63026-2025")</f>
        <v/>
      </c>
      <c r="X83">
        <f>HYPERLINK("https://klasma.github.io/Logging_0380/tillsyn/A 63026-2025 tillsynsbegäran.docx", "A 63026-2025")</f>
        <v/>
      </c>
      <c r="Y83">
        <f>HYPERLINK("https://klasma.github.io/Logging_0380/tillsynsmail/A 63026-2025 tillsynsbegäran mail.docx", "A 63026-2025")</f>
        <v/>
      </c>
      <c r="Z83">
        <f>HYPERLINK("https://klasma.github.io/Logging_0380/fåglar/A 63026-2025 prioriterade fågelarter.docx", "A 63026-2025")</f>
        <v/>
      </c>
    </row>
    <row r="84" ht="15" customHeight="1">
      <c r="A84" t="inlineStr">
        <is>
          <t>A 88-2024</t>
        </is>
      </c>
      <c r="B84" s="1" t="n">
        <v>45293</v>
      </c>
      <c r="C84" s="1" t="n">
        <v>46041</v>
      </c>
      <c r="D84" t="inlineStr">
        <is>
          <t>UPPSALA LÄN</t>
        </is>
      </c>
      <c r="E84" t="inlineStr">
        <is>
          <t>UPPSALA</t>
        </is>
      </c>
      <c r="G84" t="n">
        <v>2.1</v>
      </c>
      <c r="H84" t="n">
        <v>0</v>
      </c>
      <c r="I84" t="n">
        <v>0</v>
      </c>
      <c r="J84" t="n">
        <v>1</v>
      </c>
      <c r="K84" t="n">
        <v>0</v>
      </c>
      <c r="L84" t="n">
        <v>1</v>
      </c>
      <c r="M84" t="n">
        <v>0</v>
      </c>
      <c r="N84" t="n">
        <v>0</v>
      </c>
      <c r="O84" t="n">
        <v>2</v>
      </c>
      <c r="P84" t="n">
        <v>1</v>
      </c>
      <c r="Q84" t="n">
        <v>2</v>
      </c>
      <c r="R84" s="2" t="inlineStr">
        <is>
          <t>Ask
Gullklöver</t>
        </is>
      </c>
      <c r="S84">
        <f>HYPERLINK("https://klasma.github.io/Logging_0380/artfynd/A 88-2024 artfynd.xlsx", "A 88-2024")</f>
        <v/>
      </c>
      <c r="T84">
        <f>HYPERLINK("https://klasma.github.io/Logging_0380/kartor/A 88-2024 karta.png", "A 88-2024")</f>
        <v/>
      </c>
      <c r="V84">
        <f>HYPERLINK("https://klasma.github.io/Logging_0380/klagomål/A 88-2024 FSC-klagomål.docx", "A 88-2024")</f>
        <v/>
      </c>
      <c r="W84">
        <f>HYPERLINK("https://klasma.github.io/Logging_0380/klagomålsmail/A 88-2024 FSC-klagomål mail.docx", "A 88-2024")</f>
        <v/>
      </c>
      <c r="X84">
        <f>HYPERLINK("https://klasma.github.io/Logging_0380/tillsyn/A 88-2024 tillsynsbegäran.docx", "A 88-2024")</f>
        <v/>
      </c>
      <c r="Y84">
        <f>HYPERLINK("https://klasma.github.io/Logging_0380/tillsynsmail/A 88-2024 tillsynsbegäran mail.docx", "A 88-2024")</f>
        <v/>
      </c>
    </row>
    <row r="85" ht="15" customHeight="1">
      <c r="A85" t="inlineStr">
        <is>
          <t>A 18425-2025</t>
        </is>
      </c>
      <c r="B85" s="1" t="n">
        <v>45762.62260416667</v>
      </c>
      <c r="C85" s="1" t="n">
        <v>46041</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39933-2023</t>
        </is>
      </c>
      <c r="B86" s="1" t="n">
        <v>45168.50667824074</v>
      </c>
      <c r="C86" s="1" t="n">
        <v>46041</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6998-2023</t>
        </is>
      </c>
      <c r="B87" s="1" t="n">
        <v>44967</v>
      </c>
      <c r="C87" s="1" t="n">
        <v>46041</v>
      </c>
      <c r="D87" t="inlineStr">
        <is>
          <t>UPPSALA LÄN</t>
        </is>
      </c>
      <c r="E87" t="inlineStr">
        <is>
          <t>UPPSALA</t>
        </is>
      </c>
      <c r="G87" t="n">
        <v>8.4</v>
      </c>
      <c r="H87" t="n">
        <v>2</v>
      </c>
      <c r="I87" t="n">
        <v>0</v>
      </c>
      <c r="J87" t="n">
        <v>0</v>
      </c>
      <c r="K87" t="n">
        <v>0</v>
      </c>
      <c r="L87" t="n">
        <v>0</v>
      </c>
      <c r="M87" t="n">
        <v>0</v>
      </c>
      <c r="N87" t="n">
        <v>0</v>
      </c>
      <c r="O87" t="n">
        <v>0</v>
      </c>
      <c r="P87" t="n">
        <v>0</v>
      </c>
      <c r="Q87" t="n">
        <v>2</v>
      </c>
      <c r="R87" s="2" t="inlineStr">
        <is>
          <t>Nattviol
Blåsippa</t>
        </is>
      </c>
      <c r="S87">
        <f>HYPERLINK("https://klasma.github.io/Logging_0380/artfynd/A 6998-2023 artfynd.xlsx", "A 6998-2023")</f>
        <v/>
      </c>
      <c r="T87">
        <f>HYPERLINK("https://klasma.github.io/Logging_0380/kartor/A 6998-2023 karta.png", "A 6998-2023")</f>
        <v/>
      </c>
      <c r="V87">
        <f>HYPERLINK("https://klasma.github.io/Logging_0380/klagomål/A 6998-2023 FSC-klagomål.docx", "A 6998-2023")</f>
        <v/>
      </c>
      <c r="W87">
        <f>HYPERLINK("https://klasma.github.io/Logging_0380/klagomålsmail/A 6998-2023 FSC-klagomål mail.docx", "A 6998-2023")</f>
        <v/>
      </c>
      <c r="X87">
        <f>HYPERLINK("https://klasma.github.io/Logging_0380/tillsyn/A 6998-2023 tillsynsbegäran.docx", "A 6998-2023")</f>
        <v/>
      </c>
      <c r="Y87">
        <f>HYPERLINK("https://klasma.github.io/Logging_0380/tillsynsmail/A 6998-2023 tillsynsbegäran mail.docx", "A 6998-2023")</f>
        <v/>
      </c>
    </row>
    <row r="88" ht="15" customHeight="1">
      <c r="A88" t="inlineStr">
        <is>
          <t>A 5755-2025</t>
        </is>
      </c>
      <c r="B88" s="1" t="n">
        <v>45694.55559027778</v>
      </c>
      <c r="C88" s="1" t="n">
        <v>46041</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25660-2025</t>
        </is>
      </c>
      <c r="B89" s="1" t="n">
        <v>45803.61554398148</v>
      </c>
      <c r="C89" s="1" t="n">
        <v>46041</v>
      </c>
      <c r="D89" t="inlineStr">
        <is>
          <t>UPPSALA LÄN</t>
        </is>
      </c>
      <c r="E89" t="inlineStr">
        <is>
          <t>UPPSALA</t>
        </is>
      </c>
      <c r="F89" t="inlineStr">
        <is>
          <t>Holmen skog AB</t>
        </is>
      </c>
      <c r="G89" t="n">
        <v>4.8</v>
      </c>
      <c r="H89" t="n">
        <v>0</v>
      </c>
      <c r="I89" t="n">
        <v>2</v>
      </c>
      <c r="J89" t="n">
        <v>0</v>
      </c>
      <c r="K89" t="n">
        <v>0</v>
      </c>
      <c r="L89" t="n">
        <v>0</v>
      </c>
      <c r="M89" t="n">
        <v>0</v>
      </c>
      <c r="N89" t="n">
        <v>0</v>
      </c>
      <c r="O89" t="n">
        <v>0</v>
      </c>
      <c r="P89" t="n">
        <v>0</v>
      </c>
      <c r="Q89" t="n">
        <v>2</v>
      </c>
      <c r="R89" s="2" t="inlineStr">
        <is>
          <t>Mindre märgborre
Skogshakmossa</t>
        </is>
      </c>
      <c r="S89">
        <f>HYPERLINK("https://klasma.github.io/Logging_0380/artfynd/A 25660-2025 artfynd.xlsx", "A 25660-2025")</f>
        <v/>
      </c>
      <c r="T89">
        <f>HYPERLINK("https://klasma.github.io/Logging_0380/kartor/A 25660-2025 karta.png", "A 25660-2025")</f>
        <v/>
      </c>
      <c r="V89">
        <f>HYPERLINK("https://klasma.github.io/Logging_0380/klagomål/A 25660-2025 FSC-klagomål.docx", "A 25660-2025")</f>
        <v/>
      </c>
      <c r="W89">
        <f>HYPERLINK("https://klasma.github.io/Logging_0380/klagomålsmail/A 25660-2025 FSC-klagomål mail.docx", "A 25660-2025")</f>
        <v/>
      </c>
      <c r="X89">
        <f>HYPERLINK("https://klasma.github.io/Logging_0380/tillsyn/A 25660-2025 tillsynsbegäran.docx", "A 25660-2025")</f>
        <v/>
      </c>
      <c r="Y89">
        <f>HYPERLINK("https://klasma.github.io/Logging_0380/tillsynsmail/A 25660-2025 tillsynsbegäran mail.docx", "A 25660-2025")</f>
        <v/>
      </c>
    </row>
    <row r="90" ht="15" customHeight="1">
      <c r="A90" t="inlineStr">
        <is>
          <t>A 9401-2025</t>
        </is>
      </c>
      <c r="B90" s="1" t="n">
        <v>45715.38105324074</v>
      </c>
      <c r="C90" s="1" t="n">
        <v>46041</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58906-2021</t>
        </is>
      </c>
      <c r="B91" s="1" t="n">
        <v>44489</v>
      </c>
      <c r="C91" s="1" t="n">
        <v>46041</v>
      </c>
      <c r="D91" t="inlineStr">
        <is>
          <t>UPPSALA LÄN</t>
        </is>
      </c>
      <c r="E91" t="inlineStr">
        <is>
          <t>UPPSALA</t>
        </is>
      </c>
      <c r="G91" t="n">
        <v>8.6</v>
      </c>
      <c r="H91" t="n">
        <v>1</v>
      </c>
      <c r="I91" t="n">
        <v>0</v>
      </c>
      <c r="J91" t="n">
        <v>1</v>
      </c>
      <c r="K91" t="n">
        <v>0</v>
      </c>
      <c r="L91" t="n">
        <v>0</v>
      </c>
      <c r="M91" t="n">
        <v>0</v>
      </c>
      <c r="N91" t="n">
        <v>0</v>
      </c>
      <c r="O91" t="n">
        <v>1</v>
      </c>
      <c r="P91" t="n">
        <v>0</v>
      </c>
      <c r="Q91" t="n">
        <v>2</v>
      </c>
      <c r="R91" s="2" t="inlineStr">
        <is>
          <t>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33708-2025</t>
        </is>
      </c>
      <c r="B92" s="1" t="n">
        <v>45841.81555555556</v>
      </c>
      <c r="C92" s="1" t="n">
        <v>46041</v>
      </c>
      <c r="D92" t="inlineStr">
        <is>
          <t>UPPSALA LÄN</t>
        </is>
      </c>
      <c r="E92" t="inlineStr">
        <is>
          <t>UPPSALA</t>
        </is>
      </c>
      <c r="F92" t="inlineStr">
        <is>
          <t>Holmen skog AB</t>
        </is>
      </c>
      <c r="G92" t="n">
        <v>2</v>
      </c>
      <c r="H92" t="n">
        <v>0</v>
      </c>
      <c r="I92" t="n">
        <v>1</v>
      </c>
      <c r="J92" t="n">
        <v>0</v>
      </c>
      <c r="K92" t="n">
        <v>0</v>
      </c>
      <c r="L92" t="n">
        <v>0</v>
      </c>
      <c r="M92" t="n">
        <v>1</v>
      </c>
      <c r="N92" t="n">
        <v>0</v>
      </c>
      <c r="O92" t="n">
        <v>1</v>
      </c>
      <c r="P92" t="n">
        <v>1</v>
      </c>
      <c r="Q92" t="n">
        <v>2</v>
      </c>
      <c r="R92" s="2" t="inlineStr">
        <is>
          <t>Skogsalm
Svavelriska</t>
        </is>
      </c>
      <c r="S92">
        <f>HYPERLINK("https://klasma.github.io/Logging_0380/artfynd/A 33708-2025 artfynd.xlsx", "A 33708-2025")</f>
        <v/>
      </c>
      <c r="T92">
        <f>HYPERLINK("https://klasma.github.io/Logging_0380/kartor/A 33708-2025 karta.png", "A 33708-2025")</f>
        <v/>
      </c>
      <c r="V92">
        <f>HYPERLINK("https://klasma.github.io/Logging_0380/klagomål/A 33708-2025 FSC-klagomål.docx", "A 33708-2025")</f>
        <v/>
      </c>
      <c r="W92">
        <f>HYPERLINK("https://klasma.github.io/Logging_0380/klagomålsmail/A 33708-2025 FSC-klagomål mail.docx", "A 33708-2025")</f>
        <v/>
      </c>
      <c r="X92">
        <f>HYPERLINK("https://klasma.github.io/Logging_0380/tillsyn/A 33708-2025 tillsynsbegäran.docx", "A 33708-2025")</f>
        <v/>
      </c>
      <c r="Y92">
        <f>HYPERLINK("https://klasma.github.io/Logging_0380/tillsynsmail/A 33708-2025 tillsynsbegäran mail.docx", "A 33708-2025")</f>
        <v/>
      </c>
    </row>
    <row r="93" ht="15" customHeight="1">
      <c r="A93" t="inlineStr">
        <is>
          <t>A 44675-2023</t>
        </is>
      </c>
      <c r="B93" s="1" t="n">
        <v>45189</v>
      </c>
      <c r="C93" s="1" t="n">
        <v>46041</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8865-2022</t>
        </is>
      </c>
      <c r="B94" s="1" t="n">
        <v>44614</v>
      </c>
      <c r="C94" s="1" t="n">
        <v>46041</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46041</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46041</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52849-2021</t>
        </is>
      </c>
      <c r="B97" s="1" t="n">
        <v>44467</v>
      </c>
      <c r="C97" s="1" t="n">
        <v>46041</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26135-2025</t>
        </is>
      </c>
      <c r="B98" s="1" t="n">
        <v>45805.41232638889</v>
      </c>
      <c r="C98" s="1" t="n">
        <v>46041</v>
      </c>
      <c r="D98" t="inlineStr">
        <is>
          <t>UPPSALA LÄN</t>
        </is>
      </c>
      <c r="E98" t="inlineStr">
        <is>
          <t>UPPSALA</t>
        </is>
      </c>
      <c r="F98" t="inlineStr">
        <is>
          <t>Holmen skog AB</t>
        </is>
      </c>
      <c r="G98" t="n">
        <v>3.1</v>
      </c>
      <c r="H98" t="n">
        <v>0</v>
      </c>
      <c r="I98" t="n">
        <v>0</v>
      </c>
      <c r="J98" t="n">
        <v>1</v>
      </c>
      <c r="K98" t="n">
        <v>0</v>
      </c>
      <c r="L98" t="n">
        <v>0</v>
      </c>
      <c r="M98" t="n">
        <v>0</v>
      </c>
      <c r="N98" t="n">
        <v>0</v>
      </c>
      <c r="O98" t="n">
        <v>1</v>
      </c>
      <c r="P98" t="n">
        <v>0</v>
      </c>
      <c r="Q98" t="n">
        <v>1</v>
      </c>
      <c r="R98" s="2" t="inlineStr">
        <is>
          <t>Vedtrappmossa</t>
        </is>
      </c>
      <c r="S98">
        <f>HYPERLINK("https://klasma.github.io/Logging_0380/artfynd/A 26135-2025 artfynd.xlsx", "A 26135-2025")</f>
        <v/>
      </c>
      <c r="T98">
        <f>HYPERLINK("https://klasma.github.io/Logging_0380/kartor/A 26135-2025 karta.png", "A 26135-2025")</f>
        <v/>
      </c>
      <c r="V98">
        <f>HYPERLINK("https://klasma.github.io/Logging_0380/klagomål/A 26135-2025 FSC-klagomål.docx", "A 26135-2025")</f>
        <v/>
      </c>
      <c r="W98">
        <f>HYPERLINK("https://klasma.github.io/Logging_0380/klagomålsmail/A 26135-2025 FSC-klagomål mail.docx", "A 26135-2025")</f>
        <v/>
      </c>
      <c r="X98">
        <f>HYPERLINK("https://klasma.github.io/Logging_0380/tillsyn/A 26135-2025 tillsynsbegäran.docx", "A 26135-2025")</f>
        <v/>
      </c>
      <c r="Y98">
        <f>HYPERLINK("https://klasma.github.io/Logging_0380/tillsynsmail/A 26135-2025 tillsynsbegäran mail.docx", "A 26135-2025")</f>
        <v/>
      </c>
    </row>
    <row r="99" ht="15" customHeight="1">
      <c r="A99" t="inlineStr">
        <is>
          <t>A 17484-2025</t>
        </is>
      </c>
      <c r="B99" s="1" t="n">
        <v>45757.49934027778</v>
      </c>
      <c r="C99" s="1" t="n">
        <v>46041</v>
      </c>
      <c r="D99" t="inlineStr">
        <is>
          <t>UPPSALA LÄN</t>
        </is>
      </c>
      <c r="E99" t="inlineStr">
        <is>
          <t>UPPSALA</t>
        </is>
      </c>
      <c r="G99" t="n">
        <v>13.1</v>
      </c>
      <c r="H99" t="n">
        <v>1</v>
      </c>
      <c r="I99" t="n">
        <v>0</v>
      </c>
      <c r="J99" t="n">
        <v>0</v>
      </c>
      <c r="K99" t="n">
        <v>0</v>
      </c>
      <c r="L99" t="n">
        <v>0</v>
      </c>
      <c r="M99" t="n">
        <v>0</v>
      </c>
      <c r="N99" t="n">
        <v>0</v>
      </c>
      <c r="O99" t="n">
        <v>0</v>
      </c>
      <c r="P99" t="n">
        <v>0</v>
      </c>
      <c r="Q99" t="n">
        <v>1</v>
      </c>
      <c r="R99" s="2" t="inlineStr">
        <is>
          <t>Fläcknycklar</t>
        </is>
      </c>
      <c r="S99">
        <f>HYPERLINK("https://klasma.github.io/Logging_0380/artfynd/A 17484-2025 artfynd.xlsx", "A 17484-2025")</f>
        <v/>
      </c>
      <c r="T99">
        <f>HYPERLINK("https://klasma.github.io/Logging_0380/kartor/A 17484-2025 karta.png", "A 17484-2025")</f>
        <v/>
      </c>
      <c r="V99">
        <f>HYPERLINK("https://klasma.github.io/Logging_0380/klagomål/A 17484-2025 FSC-klagomål.docx", "A 17484-2025")</f>
        <v/>
      </c>
      <c r="W99">
        <f>HYPERLINK("https://klasma.github.io/Logging_0380/klagomålsmail/A 17484-2025 FSC-klagomål mail.docx", "A 17484-2025")</f>
        <v/>
      </c>
      <c r="X99">
        <f>HYPERLINK("https://klasma.github.io/Logging_0380/tillsyn/A 17484-2025 tillsynsbegäran.docx", "A 17484-2025")</f>
        <v/>
      </c>
      <c r="Y99">
        <f>HYPERLINK("https://klasma.github.io/Logging_0380/tillsynsmail/A 17484-2025 tillsynsbegäran mail.docx", "A 17484-2025")</f>
        <v/>
      </c>
    </row>
    <row r="100" ht="15" customHeight="1">
      <c r="A100" t="inlineStr">
        <is>
          <t>A 61818-2022</t>
        </is>
      </c>
      <c r="B100" s="1" t="n">
        <v>44917</v>
      </c>
      <c r="C100" s="1" t="n">
        <v>46041</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49015-2022</t>
        </is>
      </c>
      <c r="B101" s="1" t="n">
        <v>44855</v>
      </c>
      <c r="C101" s="1" t="n">
        <v>46041</v>
      </c>
      <c r="D101" t="inlineStr">
        <is>
          <t>UPPSALA LÄN</t>
        </is>
      </c>
      <c r="E101" t="inlineStr">
        <is>
          <t>UPPSALA</t>
        </is>
      </c>
      <c r="F101" t="inlineStr">
        <is>
          <t>Kommuner</t>
        </is>
      </c>
      <c r="G101" t="n">
        <v>4.5</v>
      </c>
      <c r="H101" t="n">
        <v>0</v>
      </c>
      <c r="I101" t="n">
        <v>0</v>
      </c>
      <c r="J101" t="n">
        <v>1</v>
      </c>
      <c r="K101" t="n">
        <v>0</v>
      </c>
      <c r="L101" t="n">
        <v>0</v>
      </c>
      <c r="M101" t="n">
        <v>0</v>
      </c>
      <c r="N101" t="n">
        <v>0</v>
      </c>
      <c r="O101" t="n">
        <v>1</v>
      </c>
      <c r="P101" t="n">
        <v>0</v>
      </c>
      <c r="Q101" t="n">
        <v>1</v>
      </c>
      <c r="R101" s="2" t="inlineStr">
        <is>
          <t>Harticka</t>
        </is>
      </c>
      <c r="S101">
        <f>HYPERLINK("https://klasma.github.io/Logging_0380/artfynd/A 49015-2022 artfynd.xlsx", "A 49015-2022")</f>
        <v/>
      </c>
      <c r="T101">
        <f>HYPERLINK("https://klasma.github.io/Logging_0380/kartor/A 49015-2022 karta.png", "A 49015-2022")</f>
        <v/>
      </c>
      <c r="V101">
        <f>HYPERLINK("https://klasma.github.io/Logging_0380/klagomål/A 49015-2022 FSC-klagomål.docx", "A 49015-2022")</f>
        <v/>
      </c>
      <c r="W101">
        <f>HYPERLINK("https://klasma.github.io/Logging_0380/klagomålsmail/A 49015-2022 FSC-klagomål mail.docx", "A 49015-2022")</f>
        <v/>
      </c>
      <c r="X101">
        <f>HYPERLINK("https://klasma.github.io/Logging_0380/tillsyn/A 49015-2022 tillsynsbegäran.docx", "A 49015-2022")</f>
        <v/>
      </c>
      <c r="Y101">
        <f>HYPERLINK("https://klasma.github.io/Logging_0380/tillsynsmail/A 49015-2022 tillsynsbegäran mail.docx", "A 49015-2022")</f>
        <v/>
      </c>
    </row>
    <row r="102" ht="15" customHeight="1">
      <c r="A102" t="inlineStr">
        <is>
          <t>A 40568-2025</t>
        </is>
      </c>
      <c r="B102" s="1" t="n">
        <v>45896.47487268518</v>
      </c>
      <c r="C102" s="1" t="n">
        <v>46041</v>
      </c>
      <c r="D102" t="inlineStr">
        <is>
          <t>UPPSALA LÄN</t>
        </is>
      </c>
      <c r="E102" t="inlineStr">
        <is>
          <t>UPPSALA</t>
        </is>
      </c>
      <c r="F102" t="inlineStr">
        <is>
          <t>Kyrkan</t>
        </is>
      </c>
      <c r="G102" t="n">
        <v>2.1</v>
      </c>
      <c r="H102" t="n">
        <v>0</v>
      </c>
      <c r="I102" t="n">
        <v>1</v>
      </c>
      <c r="J102" t="n">
        <v>0</v>
      </c>
      <c r="K102" t="n">
        <v>0</v>
      </c>
      <c r="L102" t="n">
        <v>0</v>
      </c>
      <c r="M102" t="n">
        <v>0</v>
      </c>
      <c r="N102" t="n">
        <v>0</v>
      </c>
      <c r="O102" t="n">
        <v>0</v>
      </c>
      <c r="P102" t="n">
        <v>0</v>
      </c>
      <c r="Q102" t="n">
        <v>1</v>
      </c>
      <c r="R102" s="2" t="inlineStr">
        <is>
          <t>Rödgul trumpetsvamp</t>
        </is>
      </c>
      <c r="S102">
        <f>HYPERLINK("https://klasma.github.io/Logging_0380/artfynd/A 40568-2025 artfynd.xlsx", "A 40568-2025")</f>
        <v/>
      </c>
      <c r="T102">
        <f>HYPERLINK("https://klasma.github.io/Logging_0380/kartor/A 40568-2025 karta.png", "A 40568-2025")</f>
        <v/>
      </c>
      <c r="V102">
        <f>HYPERLINK("https://klasma.github.io/Logging_0380/klagomål/A 40568-2025 FSC-klagomål.docx", "A 40568-2025")</f>
        <v/>
      </c>
      <c r="W102">
        <f>HYPERLINK("https://klasma.github.io/Logging_0380/klagomålsmail/A 40568-2025 FSC-klagomål mail.docx", "A 40568-2025")</f>
        <v/>
      </c>
      <c r="X102">
        <f>HYPERLINK("https://klasma.github.io/Logging_0380/tillsyn/A 40568-2025 tillsynsbegäran.docx", "A 40568-2025")</f>
        <v/>
      </c>
      <c r="Y102">
        <f>HYPERLINK("https://klasma.github.io/Logging_0380/tillsynsmail/A 40568-2025 tillsynsbegäran mail.docx", "A 40568-2025")</f>
        <v/>
      </c>
    </row>
    <row r="103" ht="15" customHeight="1">
      <c r="A103" t="inlineStr">
        <is>
          <t>A 29902-2023</t>
        </is>
      </c>
      <c r="B103" s="1" t="n">
        <v>45107</v>
      </c>
      <c r="C103" s="1" t="n">
        <v>46041</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18373-2025</t>
        </is>
      </c>
      <c r="B104" s="1" t="n">
        <v>45762.57244212963</v>
      </c>
      <c r="C104" s="1" t="n">
        <v>46041</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41606-2025</t>
        </is>
      </c>
      <c r="B105" s="1" t="n">
        <v>45901.66702546296</v>
      </c>
      <c r="C105" s="1" t="n">
        <v>46041</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42622-2022</t>
        </is>
      </c>
      <c r="B106" s="1" t="n">
        <v>44831</v>
      </c>
      <c r="C106" s="1" t="n">
        <v>46041</v>
      </c>
      <c r="D106" t="inlineStr">
        <is>
          <t>UPPSALA LÄN</t>
        </is>
      </c>
      <c r="E106" t="inlineStr">
        <is>
          <t>UPPSALA</t>
        </is>
      </c>
      <c r="G106" t="n">
        <v>2.4</v>
      </c>
      <c r="H106" t="n">
        <v>0</v>
      </c>
      <c r="I106" t="n">
        <v>0</v>
      </c>
      <c r="J106" t="n">
        <v>1</v>
      </c>
      <c r="K106" t="n">
        <v>0</v>
      </c>
      <c r="L106" t="n">
        <v>0</v>
      </c>
      <c r="M106" t="n">
        <v>0</v>
      </c>
      <c r="N106" t="n">
        <v>0</v>
      </c>
      <c r="O106" t="n">
        <v>1</v>
      </c>
      <c r="P106" t="n">
        <v>0</v>
      </c>
      <c r="Q106" t="n">
        <v>1</v>
      </c>
      <c r="R106" s="2" t="inlineStr">
        <is>
          <t>Motaggsvamp</t>
        </is>
      </c>
      <c r="S106">
        <f>HYPERLINK("https://klasma.github.io/Logging_0380/artfynd/A 42622-2022 artfynd.xlsx", "A 42622-2022")</f>
        <v/>
      </c>
      <c r="T106">
        <f>HYPERLINK("https://klasma.github.io/Logging_0380/kartor/A 42622-2022 karta.png", "A 42622-2022")</f>
        <v/>
      </c>
      <c r="V106">
        <f>HYPERLINK("https://klasma.github.io/Logging_0380/klagomål/A 42622-2022 FSC-klagomål.docx", "A 42622-2022")</f>
        <v/>
      </c>
      <c r="W106">
        <f>HYPERLINK("https://klasma.github.io/Logging_0380/klagomålsmail/A 42622-2022 FSC-klagomål mail.docx", "A 42622-2022")</f>
        <v/>
      </c>
      <c r="X106">
        <f>HYPERLINK("https://klasma.github.io/Logging_0380/tillsyn/A 42622-2022 tillsynsbegäran.docx", "A 42622-2022")</f>
        <v/>
      </c>
      <c r="Y106">
        <f>HYPERLINK("https://klasma.github.io/Logging_0380/tillsynsmail/A 42622-2022 tillsynsbegäran mail.docx", "A 42622-2022")</f>
        <v/>
      </c>
    </row>
    <row r="107" ht="15" customHeight="1">
      <c r="A107" t="inlineStr">
        <is>
          <t>A 63075-2025</t>
        </is>
      </c>
      <c r="B107" s="1" t="n">
        <v>46009.66185185185</v>
      </c>
      <c r="C107" s="1" t="n">
        <v>46041</v>
      </c>
      <c r="D107" t="inlineStr">
        <is>
          <t>UPPSALA LÄN</t>
        </is>
      </c>
      <c r="E107" t="inlineStr">
        <is>
          <t>UPPSALA</t>
        </is>
      </c>
      <c r="F107" t="inlineStr">
        <is>
          <t>Övriga statliga verk och myndigheter</t>
        </is>
      </c>
      <c r="G107" t="n">
        <v>4</v>
      </c>
      <c r="H107" t="n">
        <v>1</v>
      </c>
      <c r="I107" t="n">
        <v>0</v>
      </c>
      <c r="J107" t="n">
        <v>1</v>
      </c>
      <c r="K107" t="n">
        <v>0</v>
      </c>
      <c r="L107" t="n">
        <v>0</v>
      </c>
      <c r="M107" t="n">
        <v>0</v>
      </c>
      <c r="N107" t="n">
        <v>0</v>
      </c>
      <c r="O107" t="n">
        <v>1</v>
      </c>
      <c r="P107" t="n">
        <v>0</v>
      </c>
      <c r="Q107" t="n">
        <v>1</v>
      </c>
      <c r="R107" s="2" t="inlineStr">
        <is>
          <t>Talltita</t>
        </is>
      </c>
      <c r="S107">
        <f>HYPERLINK("https://klasma.github.io/Logging_0380/artfynd/A 63075-2025 artfynd.xlsx", "A 63075-2025")</f>
        <v/>
      </c>
      <c r="T107">
        <f>HYPERLINK("https://klasma.github.io/Logging_0380/kartor/A 63075-2025 karta.png", "A 63075-2025")</f>
        <v/>
      </c>
      <c r="V107">
        <f>HYPERLINK("https://klasma.github.io/Logging_0380/klagomål/A 63075-2025 FSC-klagomål.docx", "A 63075-2025")</f>
        <v/>
      </c>
      <c r="W107">
        <f>HYPERLINK("https://klasma.github.io/Logging_0380/klagomålsmail/A 63075-2025 FSC-klagomål mail.docx", "A 63075-2025")</f>
        <v/>
      </c>
      <c r="X107">
        <f>HYPERLINK("https://klasma.github.io/Logging_0380/tillsyn/A 63075-2025 tillsynsbegäran.docx", "A 63075-2025")</f>
        <v/>
      </c>
      <c r="Y107">
        <f>HYPERLINK("https://klasma.github.io/Logging_0380/tillsynsmail/A 63075-2025 tillsynsbegäran mail.docx", "A 63075-2025")</f>
        <v/>
      </c>
      <c r="Z107">
        <f>HYPERLINK("https://klasma.github.io/Logging_0380/fåglar/A 63075-2025 prioriterade fågelarter.docx", "A 63075-2025")</f>
        <v/>
      </c>
    </row>
    <row r="108" ht="15" customHeight="1">
      <c r="A108" t="inlineStr">
        <is>
          <t>A 5750-2023</t>
        </is>
      </c>
      <c r="B108" s="1" t="n">
        <v>44963</v>
      </c>
      <c r="C108" s="1" t="n">
        <v>46041</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44385-2025</t>
        </is>
      </c>
      <c r="B109" s="1" t="n">
        <v>45916.48704861111</v>
      </c>
      <c r="C109" s="1" t="n">
        <v>46041</v>
      </c>
      <c r="D109" t="inlineStr">
        <is>
          <t>UPPSALA LÄN</t>
        </is>
      </c>
      <c r="E109" t="inlineStr">
        <is>
          <t>UPPSALA</t>
        </is>
      </c>
      <c r="F109" t="inlineStr">
        <is>
          <t>Bergvik skog öst AB</t>
        </is>
      </c>
      <c r="G109" t="n">
        <v>6.8</v>
      </c>
      <c r="H109" t="n">
        <v>1</v>
      </c>
      <c r="I109" t="n">
        <v>0</v>
      </c>
      <c r="J109" t="n">
        <v>0</v>
      </c>
      <c r="K109" t="n">
        <v>0</v>
      </c>
      <c r="L109" t="n">
        <v>0</v>
      </c>
      <c r="M109" t="n">
        <v>0</v>
      </c>
      <c r="N109" t="n">
        <v>0</v>
      </c>
      <c r="O109" t="n">
        <v>0</v>
      </c>
      <c r="P109" t="n">
        <v>0</v>
      </c>
      <c r="Q109" t="n">
        <v>1</v>
      </c>
      <c r="R109" s="2" t="inlineStr">
        <is>
          <t>Blåsippa</t>
        </is>
      </c>
      <c r="S109">
        <f>HYPERLINK("https://klasma.github.io/Logging_0380/artfynd/A 44385-2025 artfynd.xlsx", "A 44385-2025")</f>
        <v/>
      </c>
      <c r="T109">
        <f>HYPERLINK("https://klasma.github.io/Logging_0380/kartor/A 44385-2025 karta.png", "A 44385-2025")</f>
        <v/>
      </c>
      <c r="V109">
        <f>HYPERLINK("https://klasma.github.io/Logging_0380/klagomål/A 44385-2025 FSC-klagomål.docx", "A 44385-2025")</f>
        <v/>
      </c>
      <c r="W109">
        <f>HYPERLINK("https://klasma.github.io/Logging_0380/klagomålsmail/A 44385-2025 FSC-klagomål mail.docx", "A 44385-2025")</f>
        <v/>
      </c>
      <c r="X109">
        <f>HYPERLINK("https://klasma.github.io/Logging_0380/tillsyn/A 44385-2025 tillsynsbegäran.docx", "A 44385-2025")</f>
        <v/>
      </c>
      <c r="Y109">
        <f>HYPERLINK("https://klasma.github.io/Logging_0380/tillsynsmail/A 44385-2025 tillsynsbegäran mail.docx", "A 44385-2025")</f>
        <v/>
      </c>
    </row>
    <row r="110" ht="15" customHeight="1">
      <c r="A110" t="inlineStr">
        <is>
          <t>A 25729-2024</t>
        </is>
      </c>
      <c r="B110" s="1" t="n">
        <v>45464</v>
      </c>
      <c r="C110" s="1" t="n">
        <v>46041</v>
      </c>
      <c r="D110" t="inlineStr">
        <is>
          <t>UPPSALA LÄN</t>
        </is>
      </c>
      <c r="E110" t="inlineStr">
        <is>
          <t>UPPSALA</t>
        </is>
      </c>
      <c r="G110" t="n">
        <v>22.3</v>
      </c>
      <c r="H110" t="n">
        <v>0</v>
      </c>
      <c r="I110" t="n">
        <v>0</v>
      </c>
      <c r="J110" t="n">
        <v>1</v>
      </c>
      <c r="K110" t="n">
        <v>0</v>
      </c>
      <c r="L110" t="n">
        <v>0</v>
      </c>
      <c r="M110" t="n">
        <v>0</v>
      </c>
      <c r="N110" t="n">
        <v>0</v>
      </c>
      <c r="O110" t="n">
        <v>1</v>
      </c>
      <c r="P110" t="n">
        <v>0</v>
      </c>
      <c r="Q110" t="n">
        <v>1</v>
      </c>
      <c r="R110" s="2" t="inlineStr">
        <is>
          <t>Ullticka</t>
        </is>
      </c>
      <c r="S110">
        <f>HYPERLINK("https://klasma.github.io/Logging_0380/artfynd/A 25729-2024 artfynd.xlsx", "A 25729-2024")</f>
        <v/>
      </c>
      <c r="T110">
        <f>HYPERLINK("https://klasma.github.io/Logging_0380/kartor/A 25729-2024 karta.png", "A 25729-2024")</f>
        <v/>
      </c>
      <c r="V110">
        <f>HYPERLINK("https://klasma.github.io/Logging_0380/klagomål/A 25729-2024 FSC-klagomål.docx", "A 25729-2024")</f>
        <v/>
      </c>
      <c r="W110">
        <f>HYPERLINK("https://klasma.github.io/Logging_0380/klagomålsmail/A 25729-2024 FSC-klagomål mail.docx", "A 25729-2024")</f>
        <v/>
      </c>
      <c r="X110">
        <f>HYPERLINK("https://klasma.github.io/Logging_0380/tillsyn/A 25729-2024 tillsynsbegäran.docx", "A 25729-2024")</f>
        <v/>
      </c>
      <c r="Y110">
        <f>HYPERLINK("https://klasma.github.io/Logging_0380/tillsynsmail/A 25729-2024 tillsynsbegäran mail.docx", "A 25729-2024")</f>
        <v/>
      </c>
    </row>
    <row r="111" ht="15" customHeight="1">
      <c r="A111" t="inlineStr">
        <is>
          <t>A 29906-2023</t>
        </is>
      </c>
      <c r="B111" s="1" t="n">
        <v>45107</v>
      </c>
      <c r="C111" s="1" t="n">
        <v>46041</v>
      </c>
      <c r="D111" t="inlineStr">
        <is>
          <t>UPPSALA LÄN</t>
        </is>
      </c>
      <c r="E111" t="inlineStr">
        <is>
          <t>UPPSALA</t>
        </is>
      </c>
      <c r="F111" t="inlineStr">
        <is>
          <t>Kyrkan</t>
        </is>
      </c>
      <c r="G111" t="n">
        <v>0.5</v>
      </c>
      <c r="H111" t="n">
        <v>0</v>
      </c>
      <c r="I111" t="n">
        <v>1</v>
      </c>
      <c r="J111" t="n">
        <v>0</v>
      </c>
      <c r="K111" t="n">
        <v>0</v>
      </c>
      <c r="L111" t="n">
        <v>0</v>
      </c>
      <c r="M111" t="n">
        <v>0</v>
      </c>
      <c r="N111" t="n">
        <v>0</v>
      </c>
      <c r="O111" t="n">
        <v>0</v>
      </c>
      <c r="P111" t="n">
        <v>0</v>
      </c>
      <c r="Q111" t="n">
        <v>1</v>
      </c>
      <c r="R111" s="2" t="inlineStr">
        <is>
          <t>Sotriska</t>
        </is>
      </c>
      <c r="S111">
        <f>HYPERLINK("https://klasma.github.io/Logging_0380/artfynd/A 29906-2023 artfynd.xlsx", "A 29906-2023")</f>
        <v/>
      </c>
      <c r="T111">
        <f>HYPERLINK("https://klasma.github.io/Logging_0380/kartor/A 29906-2023 karta.png", "A 29906-2023")</f>
        <v/>
      </c>
      <c r="V111">
        <f>HYPERLINK("https://klasma.github.io/Logging_0380/klagomål/A 29906-2023 FSC-klagomål.docx", "A 29906-2023")</f>
        <v/>
      </c>
      <c r="W111">
        <f>HYPERLINK("https://klasma.github.io/Logging_0380/klagomålsmail/A 29906-2023 FSC-klagomål mail.docx", "A 29906-2023")</f>
        <v/>
      </c>
      <c r="X111">
        <f>HYPERLINK("https://klasma.github.io/Logging_0380/tillsyn/A 29906-2023 tillsynsbegäran.docx", "A 29906-2023")</f>
        <v/>
      </c>
      <c r="Y111">
        <f>HYPERLINK("https://klasma.github.io/Logging_0380/tillsynsmail/A 29906-2023 tillsynsbegäran mail.docx", "A 29906-2023")</f>
        <v/>
      </c>
    </row>
    <row r="112" ht="15" customHeight="1">
      <c r="A112" t="inlineStr">
        <is>
          <t>A 39741-2023</t>
        </is>
      </c>
      <c r="B112" s="1" t="n">
        <v>45167</v>
      </c>
      <c r="C112" s="1" t="n">
        <v>46041</v>
      </c>
      <c r="D112" t="inlineStr">
        <is>
          <t>UPPSALA LÄN</t>
        </is>
      </c>
      <c r="E112" t="inlineStr">
        <is>
          <t>UPPSALA</t>
        </is>
      </c>
      <c r="G112" t="n">
        <v>5.6</v>
      </c>
      <c r="H112" t="n">
        <v>1</v>
      </c>
      <c r="I112" t="n">
        <v>0</v>
      </c>
      <c r="J112" t="n">
        <v>1</v>
      </c>
      <c r="K112" t="n">
        <v>0</v>
      </c>
      <c r="L112" t="n">
        <v>0</v>
      </c>
      <c r="M112" t="n">
        <v>0</v>
      </c>
      <c r="N112" t="n">
        <v>0</v>
      </c>
      <c r="O112" t="n">
        <v>1</v>
      </c>
      <c r="P112" t="n">
        <v>0</v>
      </c>
      <c r="Q112" t="n">
        <v>1</v>
      </c>
      <c r="R112" s="2" t="inlineStr">
        <is>
          <t>Entita</t>
        </is>
      </c>
      <c r="S112">
        <f>HYPERLINK("https://klasma.github.io/Logging_0380/artfynd/A 39741-2023 artfynd.xlsx", "A 39741-2023")</f>
        <v/>
      </c>
      <c r="T112">
        <f>HYPERLINK("https://klasma.github.io/Logging_0380/kartor/A 39741-2023 karta.png", "A 39741-2023")</f>
        <v/>
      </c>
      <c r="V112">
        <f>HYPERLINK("https://klasma.github.io/Logging_0380/klagomål/A 39741-2023 FSC-klagomål.docx", "A 39741-2023")</f>
        <v/>
      </c>
      <c r="W112">
        <f>HYPERLINK("https://klasma.github.io/Logging_0380/klagomålsmail/A 39741-2023 FSC-klagomål mail.docx", "A 39741-2023")</f>
        <v/>
      </c>
      <c r="X112">
        <f>HYPERLINK("https://klasma.github.io/Logging_0380/tillsyn/A 39741-2023 tillsynsbegäran.docx", "A 39741-2023")</f>
        <v/>
      </c>
      <c r="Y112">
        <f>HYPERLINK("https://klasma.github.io/Logging_0380/tillsynsmail/A 39741-2023 tillsynsbegäran mail.docx", "A 39741-2023")</f>
        <v/>
      </c>
      <c r="Z112">
        <f>HYPERLINK("https://klasma.github.io/Logging_0380/fåglar/A 39741-2023 prioriterade fågelarter.docx", "A 39741-2023")</f>
        <v/>
      </c>
    </row>
    <row r="113" ht="15" customHeight="1">
      <c r="A113" t="inlineStr">
        <is>
          <t>A 37004-2025</t>
        </is>
      </c>
      <c r="B113" s="1" t="n">
        <v>45874.69282407407</v>
      </c>
      <c r="C113" s="1" t="n">
        <v>46041</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60055-2022</t>
        </is>
      </c>
      <c r="B114" s="1" t="n">
        <v>44909</v>
      </c>
      <c r="C114" s="1" t="n">
        <v>46041</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58050-2021</t>
        </is>
      </c>
      <c r="B115" s="1" t="n">
        <v>44487</v>
      </c>
      <c r="C115" s="1" t="n">
        <v>46041</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63172-2023</t>
        </is>
      </c>
      <c r="B116" s="1" t="n">
        <v>45273</v>
      </c>
      <c r="C116" s="1" t="n">
        <v>46041</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51475-2025</t>
        </is>
      </c>
      <c r="B117" s="1" t="n">
        <v>45950</v>
      </c>
      <c r="C117" s="1" t="n">
        <v>46041</v>
      </c>
      <c r="D117" t="inlineStr">
        <is>
          <t>UPPSALA LÄN</t>
        </is>
      </c>
      <c r="E117" t="inlineStr">
        <is>
          <t>UPPSALA</t>
        </is>
      </c>
      <c r="G117" t="n">
        <v>3.3</v>
      </c>
      <c r="H117" t="n">
        <v>0</v>
      </c>
      <c r="I117" t="n">
        <v>1</v>
      </c>
      <c r="J117" t="n">
        <v>0</v>
      </c>
      <c r="K117" t="n">
        <v>0</v>
      </c>
      <c r="L117" t="n">
        <v>0</v>
      </c>
      <c r="M117" t="n">
        <v>0</v>
      </c>
      <c r="N117" t="n">
        <v>0</v>
      </c>
      <c r="O117" t="n">
        <v>0</v>
      </c>
      <c r="P117" t="n">
        <v>0</v>
      </c>
      <c r="Q117" t="n">
        <v>1</v>
      </c>
      <c r="R117" s="2" t="inlineStr">
        <is>
          <t>Bronshjon</t>
        </is>
      </c>
      <c r="S117">
        <f>HYPERLINK("https://klasma.github.io/Logging_0380/artfynd/A 51475-2025 artfynd.xlsx", "A 51475-2025")</f>
        <v/>
      </c>
      <c r="T117">
        <f>HYPERLINK("https://klasma.github.io/Logging_0380/kartor/A 51475-2025 karta.png", "A 51475-2025")</f>
        <v/>
      </c>
      <c r="V117">
        <f>HYPERLINK("https://klasma.github.io/Logging_0380/klagomål/A 51475-2025 FSC-klagomål.docx", "A 51475-2025")</f>
        <v/>
      </c>
      <c r="W117">
        <f>HYPERLINK("https://klasma.github.io/Logging_0380/klagomålsmail/A 51475-2025 FSC-klagomål mail.docx", "A 51475-2025")</f>
        <v/>
      </c>
      <c r="X117">
        <f>HYPERLINK("https://klasma.github.io/Logging_0380/tillsyn/A 51475-2025 tillsynsbegäran.docx", "A 51475-2025")</f>
        <v/>
      </c>
      <c r="Y117">
        <f>HYPERLINK("https://klasma.github.io/Logging_0380/tillsynsmail/A 51475-2025 tillsynsbegäran mail.docx", "A 51475-2025")</f>
        <v/>
      </c>
    </row>
    <row r="118" ht="15" customHeight="1">
      <c r="A118" t="inlineStr">
        <is>
          <t>A 9206-2024</t>
        </is>
      </c>
      <c r="B118" s="1" t="n">
        <v>45358</v>
      </c>
      <c r="C118" s="1" t="n">
        <v>46041</v>
      </c>
      <c r="D118" t="inlineStr">
        <is>
          <t>UPPSALA LÄN</t>
        </is>
      </c>
      <c r="E118" t="inlineStr">
        <is>
          <t>UPPSALA</t>
        </is>
      </c>
      <c r="F118" t="inlineStr">
        <is>
          <t>Allmännings- och besparingsskogar</t>
        </is>
      </c>
      <c r="G118" t="n">
        <v>22.2</v>
      </c>
      <c r="H118" t="n">
        <v>1</v>
      </c>
      <c r="I118" t="n">
        <v>0</v>
      </c>
      <c r="J118" t="n">
        <v>0</v>
      </c>
      <c r="K118" t="n">
        <v>1</v>
      </c>
      <c r="L118" t="n">
        <v>0</v>
      </c>
      <c r="M118" t="n">
        <v>0</v>
      </c>
      <c r="N118" t="n">
        <v>0</v>
      </c>
      <c r="O118" t="n">
        <v>1</v>
      </c>
      <c r="P118" t="n">
        <v>1</v>
      </c>
      <c r="Q118" t="n">
        <v>1</v>
      </c>
      <c r="R118" s="2" t="inlineStr">
        <is>
          <t>Knärot</t>
        </is>
      </c>
      <c r="S118">
        <f>HYPERLINK("https://klasma.github.io/Logging_0380/artfynd/A 9206-2024 artfynd.xlsx", "A 9206-2024")</f>
        <v/>
      </c>
      <c r="T118">
        <f>HYPERLINK("https://klasma.github.io/Logging_0380/kartor/A 9206-2024 karta.png", "A 9206-2024")</f>
        <v/>
      </c>
      <c r="U118">
        <f>HYPERLINK("https://klasma.github.io/Logging_0380/knärot/A 9206-2024 karta knärot.png", "A 9206-2024")</f>
        <v/>
      </c>
      <c r="V118">
        <f>HYPERLINK("https://klasma.github.io/Logging_0380/klagomål/A 9206-2024 FSC-klagomål.docx", "A 9206-2024")</f>
        <v/>
      </c>
      <c r="W118">
        <f>HYPERLINK("https://klasma.github.io/Logging_0380/klagomålsmail/A 9206-2024 FSC-klagomål mail.docx", "A 9206-2024")</f>
        <v/>
      </c>
      <c r="X118">
        <f>HYPERLINK("https://klasma.github.io/Logging_0380/tillsyn/A 9206-2024 tillsynsbegäran.docx", "A 9206-2024")</f>
        <v/>
      </c>
      <c r="Y118">
        <f>HYPERLINK("https://klasma.github.io/Logging_0380/tillsynsmail/A 9206-2024 tillsynsbegäran mail.docx", "A 9206-2024")</f>
        <v/>
      </c>
    </row>
    <row r="119" ht="15" customHeight="1">
      <c r="A119" t="inlineStr">
        <is>
          <t>A 36842-2025</t>
        </is>
      </c>
      <c r="B119" s="1" t="n">
        <v>45874</v>
      </c>
      <c r="C119" s="1" t="n">
        <v>46041</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61374-2025</t>
        </is>
      </c>
      <c r="B120" s="1" t="n">
        <v>46001.44021990741</v>
      </c>
      <c r="C120" s="1" t="n">
        <v>46041</v>
      </c>
      <c r="D120" t="inlineStr">
        <is>
          <t>UPPSALA LÄN</t>
        </is>
      </c>
      <c r="E120" t="inlineStr">
        <is>
          <t>UPPSALA</t>
        </is>
      </c>
      <c r="F120" t="inlineStr">
        <is>
          <t>Holmen skog AB</t>
        </is>
      </c>
      <c r="G120" t="n">
        <v>6.2</v>
      </c>
      <c r="H120" t="n">
        <v>0</v>
      </c>
      <c r="I120" t="n">
        <v>1</v>
      </c>
      <c r="J120" t="n">
        <v>0</v>
      </c>
      <c r="K120" t="n">
        <v>0</v>
      </c>
      <c r="L120" t="n">
        <v>0</v>
      </c>
      <c r="M120" t="n">
        <v>0</v>
      </c>
      <c r="N120" t="n">
        <v>0</v>
      </c>
      <c r="O120" t="n">
        <v>0</v>
      </c>
      <c r="P120" t="n">
        <v>0</v>
      </c>
      <c r="Q120" t="n">
        <v>1</v>
      </c>
      <c r="R120" s="2" t="inlineStr">
        <is>
          <t>Tibast</t>
        </is>
      </c>
      <c r="S120">
        <f>HYPERLINK("https://klasma.github.io/Logging_0380/artfynd/A 61374-2025 artfynd.xlsx", "A 61374-2025")</f>
        <v/>
      </c>
      <c r="T120">
        <f>HYPERLINK("https://klasma.github.io/Logging_0380/kartor/A 61374-2025 karta.png", "A 61374-2025")</f>
        <v/>
      </c>
      <c r="V120">
        <f>HYPERLINK("https://klasma.github.io/Logging_0380/klagomål/A 61374-2025 FSC-klagomål.docx", "A 61374-2025")</f>
        <v/>
      </c>
      <c r="W120">
        <f>HYPERLINK("https://klasma.github.io/Logging_0380/klagomålsmail/A 61374-2025 FSC-klagomål mail.docx", "A 61374-2025")</f>
        <v/>
      </c>
      <c r="X120">
        <f>HYPERLINK("https://klasma.github.io/Logging_0380/tillsyn/A 61374-2025 tillsynsbegäran.docx", "A 61374-2025")</f>
        <v/>
      </c>
      <c r="Y120">
        <f>HYPERLINK("https://klasma.github.io/Logging_0380/tillsynsmail/A 61374-2025 tillsynsbegäran mail.docx", "A 61374-2025")</f>
        <v/>
      </c>
    </row>
    <row r="121" ht="15" customHeight="1">
      <c r="A121" t="inlineStr">
        <is>
          <t>A 844-2025</t>
        </is>
      </c>
      <c r="B121" s="1" t="n">
        <v>45665</v>
      </c>
      <c r="C121" s="1" t="n">
        <v>46041</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16761-2022</t>
        </is>
      </c>
      <c r="B122" s="1" t="n">
        <v>44673.47858796296</v>
      </c>
      <c r="C122" s="1" t="n">
        <v>46041</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61830-2022</t>
        </is>
      </c>
      <c r="B123" s="1" t="n">
        <v>44917.59298611111</v>
      </c>
      <c r="C123" s="1" t="n">
        <v>46041</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2729-2024</t>
        </is>
      </c>
      <c r="B124" s="1" t="n">
        <v>45314.55579861111</v>
      </c>
      <c r="C124" s="1" t="n">
        <v>46041</v>
      </c>
      <c r="D124" t="inlineStr">
        <is>
          <t>UPPSALA LÄN</t>
        </is>
      </c>
      <c r="E124" t="inlineStr">
        <is>
          <t>UPPSALA</t>
        </is>
      </c>
      <c r="G124" t="n">
        <v>3.3</v>
      </c>
      <c r="H124" t="n">
        <v>1</v>
      </c>
      <c r="I124" t="n">
        <v>0</v>
      </c>
      <c r="J124" t="n">
        <v>0</v>
      </c>
      <c r="K124" t="n">
        <v>0</v>
      </c>
      <c r="L124" t="n">
        <v>0</v>
      </c>
      <c r="M124" t="n">
        <v>0</v>
      </c>
      <c r="N124" t="n">
        <v>0</v>
      </c>
      <c r="O124" t="n">
        <v>0</v>
      </c>
      <c r="P124" t="n">
        <v>0</v>
      </c>
      <c r="Q124" t="n">
        <v>1</v>
      </c>
      <c r="R124" s="2" t="inlineStr">
        <is>
          <t>Revlummer</t>
        </is>
      </c>
      <c r="S124">
        <f>HYPERLINK("https://klasma.github.io/Logging_0380/artfynd/A 2729-2024 artfynd.xlsx", "A 2729-2024")</f>
        <v/>
      </c>
      <c r="T124">
        <f>HYPERLINK("https://klasma.github.io/Logging_0380/kartor/A 2729-2024 karta.png", "A 2729-2024")</f>
        <v/>
      </c>
      <c r="V124">
        <f>HYPERLINK("https://klasma.github.io/Logging_0380/klagomål/A 2729-2024 FSC-klagomål.docx", "A 2729-2024")</f>
        <v/>
      </c>
      <c r="W124">
        <f>HYPERLINK("https://klasma.github.io/Logging_0380/klagomålsmail/A 2729-2024 FSC-klagomål mail.docx", "A 2729-2024")</f>
        <v/>
      </c>
      <c r="X124">
        <f>HYPERLINK("https://klasma.github.io/Logging_0380/tillsyn/A 2729-2024 tillsynsbegäran.docx", "A 2729-2024")</f>
        <v/>
      </c>
      <c r="Y124">
        <f>HYPERLINK("https://klasma.github.io/Logging_0380/tillsynsmail/A 2729-2024 tillsynsbegäran mail.docx", "A 2729-2024")</f>
        <v/>
      </c>
    </row>
    <row r="125" ht="15" customHeight="1">
      <c r="A125" t="inlineStr">
        <is>
          <t>A 46634-2022</t>
        </is>
      </c>
      <c r="B125" s="1" t="n">
        <v>44849</v>
      </c>
      <c r="C125" s="1" t="n">
        <v>46041</v>
      </c>
      <c r="D125" t="inlineStr">
        <is>
          <t>UPPSALA LÄN</t>
        </is>
      </c>
      <c r="E125" t="inlineStr">
        <is>
          <t>UPPSALA</t>
        </is>
      </c>
      <c r="G125" t="n">
        <v>2.9</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46634-2022 artfynd.xlsx", "A 46634-2022")</f>
        <v/>
      </c>
      <c r="T125">
        <f>HYPERLINK("https://klasma.github.io/Logging_0380/kartor/A 46634-2022 karta.png", "A 46634-2022")</f>
        <v/>
      </c>
      <c r="V125">
        <f>HYPERLINK("https://klasma.github.io/Logging_0380/klagomål/A 46634-2022 FSC-klagomål.docx", "A 46634-2022")</f>
        <v/>
      </c>
      <c r="W125">
        <f>HYPERLINK("https://klasma.github.io/Logging_0380/klagomålsmail/A 46634-2022 FSC-klagomål mail.docx", "A 46634-2022")</f>
        <v/>
      </c>
      <c r="X125">
        <f>HYPERLINK("https://klasma.github.io/Logging_0380/tillsyn/A 46634-2022 tillsynsbegäran.docx", "A 46634-2022")</f>
        <v/>
      </c>
      <c r="Y125">
        <f>HYPERLINK("https://klasma.github.io/Logging_0380/tillsynsmail/A 46634-2022 tillsynsbegäran mail.docx", "A 46634-2022")</f>
        <v/>
      </c>
    </row>
    <row r="126" ht="15" customHeight="1">
      <c r="A126" t="inlineStr">
        <is>
          <t>A 57793-2022</t>
        </is>
      </c>
      <c r="B126" s="1" t="n">
        <v>44897</v>
      </c>
      <c r="C126" s="1" t="n">
        <v>46041</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46041</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5009-2023</t>
        </is>
      </c>
      <c r="B128" s="1" t="n">
        <v>44958</v>
      </c>
      <c r="C128" s="1" t="n">
        <v>46041</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21657-2024</t>
        </is>
      </c>
      <c r="B129" s="1" t="n">
        <v>45442</v>
      </c>
      <c r="C129" s="1" t="n">
        <v>46041</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13093-2024</t>
        </is>
      </c>
      <c r="B130" s="1" t="n">
        <v>45385</v>
      </c>
      <c r="C130" s="1" t="n">
        <v>46041</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5732-2025</t>
        </is>
      </c>
      <c r="B131" s="1" t="n">
        <v>45694.49650462963</v>
      </c>
      <c r="C131" s="1" t="n">
        <v>46041</v>
      </c>
      <c r="D131" t="inlineStr">
        <is>
          <t>UPPSALA LÄN</t>
        </is>
      </c>
      <c r="E131" t="inlineStr">
        <is>
          <t>UPPSALA</t>
        </is>
      </c>
      <c r="G131" t="n">
        <v>1.9</v>
      </c>
      <c r="H131" t="n">
        <v>0</v>
      </c>
      <c r="I131" t="n">
        <v>1</v>
      </c>
      <c r="J131" t="n">
        <v>0</v>
      </c>
      <c r="K131" t="n">
        <v>0</v>
      </c>
      <c r="L131" t="n">
        <v>0</v>
      </c>
      <c r="M131" t="n">
        <v>0</v>
      </c>
      <c r="N131" t="n">
        <v>0</v>
      </c>
      <c r="O131" t="n">
        <v>0</v>
      </c>
      <c r="P131" t="n">
        <v>0</v>
      </c>
      <c r="Q131" t="n">
        <v>1</v>
      </c>
      <c r="R131" s="2" t="inlineStr">
        <is>
          <t>Fällmossa</t>
        </is>
      </c>
      <c r="S131">
        <f>HYPERLINK("https://klasma.github.io/Logging_0380/artfynd/A 5732-2025 artfynd.xlsx", "A 5732-2025")</f>
        <v/>
      </c>
      <c r="T131">
        <f>HYPERLINK("https://klasma.github.io/Logging_0380/kartor/A 5732-2025 karta.png", "A 5732-2025")</f>
        <v/>
      </c>
      <c r="V131">
        <f>HYPERLINK("https://klasma.github.io/Logging_0380/klagomål/A 5732-2025 FSC-klagomål.docx", "A 5732-2025")</f>
        <v/>
      </c>
      <c r="W131">
        <f>HYPERLINK("https://klasma.github.io/Logging_0380/klagomålsmail/A 5732-2025 FSC-klagomål mail.docx", "A 5732-2025")</f>
        <v/>
      </c>
      <c r="X131">
        <f>HYPERLINK("https://klasma.github.io/Logging_0380/tillsyn/A 5732-2025 tillsynsbegäran.docx", "A 5732-2025")</f>
        <v/>
      </c>
      <c r="Y131">
        <f>HYPERLINK("https://klasma.github.io/Logging_0380/tillsynsmail/A 5732-2025 tillsynsbegäran mail.docx", "A 5732-2025")</f>
        <v/>
      </c>
    </row>
    <row r="132" ht="15" customHeight="1">
      <c r="A132" t="inlineStr">
        <is>
          <t>A 21801-2025</t>
        </is>
      </c>
      <c r="B132" s="1" t="n">
        <v>45783</v>
      </c>
      <c r="C132" s="1" t="n">
        <v>46041</v>
      </c>
      <c r="D132" t="inlineStr">
        <is>
          <t>UPPSALA LÄN</t>
        </is>
      </c>
      <c r="E132" t="inlineStr">
        <is>
          <t>UPPSALA</t>
        </is>
      </c>
      <c r="G132" t="n">
        <v>7.9</v>
      </c>
      <c r="H132" t="n">
        <v>1</v>
      </c>
      <c r="I132" t="n">
        <v>0</v>
      </c>
      <c r="J132" t="n">
        <v>0</v>
      </c>
      <c r="K132" t="n">
        <v>0</v>
      </c>
      <c r="L132" t="n">
        <v>0</v>
      </c>
      <c r="M132" t="n">
        <v>0</v>
      </c>
      <c r="N132" t="n">
        <v>0</v>
      </c>
      <c r="O132" t="n">
        <v>0</v>
      </c>
      <c r="P132" t="n">
        <v>0</v>
      </c>
      <c r="Q132" t="n">
        <v>1</v>
      </c>
      <c r="R132" s="2" t="inlineStr">
        <is>
          <t>Mattlummer</t>
        </is>
      </c>
      <c r="S132">
        <f>HYPERLINK("https://klasma.github.io/Logging_0380/artfynd/A 21801-2025 artfynd.xlsx", "A 21801-2025")</f>
        <v/>
      </c>
      <c r="T132">
        <f>HYPERLINK("https://klasma.github.io/Logging_0380/kartor/A 21801-2025 karta.png", "A 21801-2025")</f>
        <v/>
      </c>
      <c r="V132">
        <f>HYPERLINK("https://klasma.github.io/Logging_0380/klagomål/A 21801-2025 FSC-klagomål.docx", "A 21801-2025")</f>
        <v/>
      </c>
      <c r="W132">
        <f>HYPERLINK("https://klasma.github.io/Logging_0380/klagomålsmail/A 21801-2025 FSC-klagomål mail.docx", "A 21801-2025")</f>
        <v/>
      </c>
      <c r="X132">
        <f>HYPERLINK("https://klasma.github.io/Logging_0380/tillsyn/A 21801-2025 tillsynsbegäran.docx", "A 21801-2025")</f>
        <v/>
      </c>
      <c r="Y132">
        <f>HYPERLINK("https://klasma.github.io/Logging_0380/tillsynsmail/A 21801-2025 tillsynsbegäran mail.docx", "A 21801-2025")</f>
        <v/>
      </c>
    </row>
    <row r="133" ht="15" customHeight="1">
      <c r="A133" t="inlineStr">
        <is>
          <t>A 4657-2025</t>
        </is>
      </c>
      <c r="B133" s="1" t="n">
        <v>45687</v>
      </c>
      <c r="C133" s="1" t="n">
        <v>46041</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Grönsångare</t>
        </is>
      </c>
      <c r="S133">
        <f>HYPERLINK("https://klasma.github.io/Logging_0380/artfynd/A 4657-2025 artfynd.xlsx", "A 4657-2025")</f>
        <v/>
      </c>
      <c r="T133">
        <f>HYPERLINK("https://klasma.github.io/Logging_0380/kartor/A 4657-2025 karta.png", "A 4657-2025")</f>
        <v/>
      </c>
      <c r="V133">
        <f>HYPERLINK("https://klasma.github.io/Logging_0380/klagomål/A 4657-2025 FSC-klagomål.docx", "A 4657-2025")</f>
        <v/>
      </c>
      <c r="W133">
        <f>HYPERLINK("https://klasma.github.io/Logging_0380/klagomålsmail/A 4657-2025 FSC-klagomål mail.docx", "A 4657-2025")</f>
        <v/>
      </c>
      <c r="X133">
        <f>HYPERLINK("https://klasma.github.io/Logging_0380/tillsyn/A 4657-2025 tillsynsbegäran.docx", "A 4657-2025")</f>
        <v/>
      </c>
      <c r="Y133">
        <f>HYPERLINK("https://klasma.github.io/Logging_0380/tillsynsmail/A 4657-2025 tillsynsbegäran mail.docx", "A 4657-2025")</f>
        <v/>
      </c>
      <c r="Z133">
        <f>HYPERLINK("https://klasma.github.io/Logging_0380/fåglar/A 4657-2025 prioriterade fågelarter.docx", "A 4657-2025")</f>
        <v/>
      </c>
    </row>
    <row r="134" ht="15" customHeight="1">
      <c r="A134" t="inlineStr">
        <is>
          <t>A 27848-2023</t>
        </is>
      </c>
      <c r="B134" s="1" t="n">
        <v>45098</v>
      </c>
      <c r="C134" s="1" t="n">
        <v>46041</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26923-2025</t>
        </is>
      </c>
      <c r="B135" s="1" t="n">
        <v>45811.38710648148</v>
      </c>
      <c r="C135" s="1" t="n">
        <v>46041</v>
      </c>
      <c r="D135" t="inlineStr">
        <is>
          <t>UPPSALA LÄN</t>
        </is>
      </c>
      <c r="E135" t="inlineStr">
        <is>
          <t>UPPSALA</t>
        </is>
      </c>
      <c r="F135" t="inlineStr">
        <is>
          <t>Kyrkan</t>
        </is>
      </c>
      <c r="G135" t="n">
        <v>9.800000000000001</v>
      </c>
      <c r="H135" t="n">
        <v>1</v>
      </c>
      <c r="I135" t="n">
        <v>0</v>
      </c>
      <c r="J135" t="n">
        <v>0</v>
      </c>
      <c r="K135" t="n">
        <v>0</v>
      </c>
      <c r="L135" t="n">
        <v>0</v>
      </c>
      <c r="M135" t="n">
        <v>0</v>
      </c>
      <c r="N135" t="n">
        <v>0</v>
      </c>
      <c r="O135" t="n">
        <v>0</v>
      </c>
      <c r="P135" t="n">
        <v>0</v>
      </c>
      <c r="Q135" t="n">
        <v>1</v>
      </c>
      <c r="R135" s="2" t="inlineStr">
        <is>
          <t>Fläcknycklar</t>
        </is>
      </c>
      <c r="S135">
        <f>HYPERLINK("https://klasma.github.io/Logging_0380/artfynd/A 26923-2025 artfynd.xlsx", "A 26923-2025")</f>
        <v/>
      </c>
      <c r="T135">
        <f>HYPERLINK("https://klasma.github.io/Logging_0380/kartor/A 26923-2025 karta.png", "A 26923-2025")</f>
        <v/>
      </c>
      <c r="V135">
        <f>HYPERLINK("https://klasma.github.io/Logging_0380/klagomål/A 26923-2025 FSC-klagomål.docx", "A 26923-2025")</f>
        <v/>
      </c>
      <c r="W135">
        <f>HYPERLINK("https://klasma.github.io/Logging_0380/klagomålsmail/A 26923-2025 FSC-klagomål mail.docx", "A 26923-2025")</f>
        <v/>
      </c>
      <c r="X135">
        <f>HYPERLINK("https://klasma.github.io/Logging_0380/tillsyn/A 26923-2025 tillsynsbegäran.docx", "A 26923-2025")</f>
        <v/>
      </c>
      <c r="Y135">
        <f>HYPERLINK("https://klasma.github.io/Logging_0380/tillsynsmail/A 26923-2025 tillsynsbegäran mail.docx", "A 26923-2025")</f>
        <v/>
      </c>
    </row>
    <row r="136" ht="15" customHeight="1">
      <c r="A136" t="inlineStr">
        <is>
          <t>A 3304-2025</t>
        </is>
      </c>
      <c r="B136" s="1" t="n">
        <v>45679</v>
      </c>
      <c r="C136" s="1" t="n">
        <v>46041</v>
      </c>
      <c r="D136" t="inlineStr">
        <is>
          <t>UPPSALA LÄN</t>
        </is>
      </c>
      <c r="E136" t="inlineStr">
        <is>
          <t>UPPSALA</t>
        </is>
      </c>
      <c r="F136" t="inlineStr">
        <is>
          <t>Övriga statliga verk och myndigheter</t>
        </is>
      </c>
      <c r="G136" t="n">
        <v>3.8</v>
      </c>
      <c r="H136" t="n">
        <v>1</v>
      </c>
      <c r="I136" t="n">
        <v>0</v>
      </c>
      <c r="J136" t="n">
        <v>0</v>
      </c>
      <c r="K136" t="n">
        <v>0</v>
      </c>
      <c r="L136" t="n">
        <v>0</v>
      </c>
      <c r="M136" t="n">
        <v>0</v>
      </c>
      <c r="N136" t="n">
        <v>0</v>
      </c>
      <c r="O136" t="n">
        <v>0</v>
      </c>
      <c r="P136" t="n">
        <v>0</v>
      </c>
      <c r="Q136" t="n">
        <v>1</v>
      </c>
      <c r="R136" s="2" t="inlineStr">
        <is>
          <t>Blåsippa</t>
        </is>
      </c>
      <c r="S136">
        <f>HYPERLINK("https://klasma.github.io/Logging_0380/artfynd/A 3304-2025 artfynd.xlsx", "A 3304-2025")</f>
        <v/>
      </c>
      <c r="T136">
        <f>HYPERLINK("https://klasma.github.io/Logging_0380/kartor/A 3304-2025 karta.png", "A 3304-2025")</f>
        <v/>
      </c>
      <c r="V136">
        <f>HYPERLINK("https://klasma.github.io/Logging_0380/klagomål/A 3304-2025 FSC-klagomål.docx", "A 3304-2025")</f>
        <v/>
      </c>
      <c r="W136">
        <f>HYPERLINK("https://klasma.github.io/Logging_0380/klagomålsmail/A 3304-2025 FSC-klagomål mail.docx", "A 3304-2025")</f>
        <v/>
      </c>
      <c r="X136">
        <f>HYPERLINK("https://klasma.github.io/Logging_0380/tillsyn/A 3304-2025 tillsynsbegäran.docx", "A 3304-2025")</f>
        <v/>
      </c>
      <c r="Y136">
        <f>HYPERLINK("https://klasma.github.io/Logging_0380/tillsynsmail/A 3304-2025 tillsynsbegäran mail.docx", "A 3304-2025")</f>
        <v/>
      </c>
    </row>
    <row r="137" ht="15" customHeight="1">
      <c r="A137" t="inlineStr">
        <is>
          <t>A 28299-2025</t>
        </is>
      </c>
      <c r="B137" s="1" t="n">
        <v>45818.60254629629</v>
      </c>
      <c r="C137" s="1" t="n">
        <v>46041</v>
      </c>
      <c r="D137" t="inlineStr">
        <is>
          <t>UPPSALA LÄN</t>
        </is>
      </c>
      <c r="E137" t="inlineStr">
        <is>
          <t>UPPSALA</t>
        </is>
      </c>
      <c r="F137" t="inlineStr">
        <is>
          <t>Holmen skog AB</t>
        </is>
      </c>
      <c r="G137" t="n">
        <v>12</v>
      </c>
      <c r="H137" t="n">
        <v>0</v>
      </c>
      <c r="I137" t="n">
        <v>0</v>
      </c>
      <c r="J137" t="n">
        <v>1</v>
      </c>
      <c r="K137" t="n">
        <v>0</v>
      </c>
      <c r="L137" t="n">
        <v>0</v>
      </c>
      <c r="M137" t="n">
        <v>0</v>
      </c>
      <c r="N137" t="n">
        <v>0</v>
      </c>
      <c r="O137" t="n">
        <v>1</v>
      </c>
      <c r="P137" t="n">
        <v>0</v>
      </c>
      <c r="Q137" t="n">
        <v>1</v>
      </c>
      <c r="R137" s="2" t="inlineStr">
        <is>
          <t>Slåtterfibbla</t>
        </is>
      </c>
      <c r="S137">
        <f>HYPERLINK("https://klasma.github.io/Logging_0380/artfynd/A 28299-2025 artfynd.xlsx", "A 28299-2025")</f>
        <v/>
      </c>
      <c r="T137">
        <f>HYPERLINK("https://klasma.github.io/Logging_0380/kartor/A 28299-2025 karta.png", "A 28299-2025")</f>
        <v/>
      </c>
      <c r="V137">
        <f>HYPERLINK("https://klasma.github.io/Logging_0380/klagomål/A 28299-2025 FSC-klagomål.docx", "A 28299-2025")</f>
        <v/>
      </c>
      <c r="W137">
        <f>HYPERLINK("https://klasma.github.io/Logging_0380/klagomålsmail/A 28299-2025 FSC-klagomål mail.docx", "A 28299-2025")</f>
        <v/>
      </c>
      <c r="X137">
        <f>HYPERLINK("https://klasma.github.io/Logging_0380/tillsyn/A 28299-2025 tillsynsbegäran.docx", "A 28299-2025")</f>
        <v/>
      </c>
      <c r="Y137">
        <f>HYPERLINK("https://klasma.github.io/Logging_0380/tillsynsmail/A 28299-2025 tillsynsbegäran mail.docx", "A 28299-2025")</f>
        <v/>
      </c>
    </row>
    <row r="138" ht="15" customHeight="1">
      <c r="A138" t="inlineStr">
        <is>
          <t>A 27824-2025</t>
        </is>
      </c>
      <c r="B138" s="1" t="n">
        <v>45817.34614583333</v>
      </c>
      <c r="C138" s="1" t="n">
        <v>46041</v>
      </c>
      <c r="D138" t="inlineStr">
        <is>
          <t>UPPSALA LÄN</t>
        </is>
      </c>
      <c r="E138" t="inlineStr">
        <is>
          <t>UPPSALA</t>
        </is>
      </c>
      <c r="F138" t="inlineStr">
        <is>
          <t>Kyrkan</t>
        </is>
      </c>
      <c r="G138" t="n">
        <v>3.3</v>
      </c>
      <c r="H138" t="n">
        <v>0</v>
      </c>
      <c r="I138" t="n">
        <v>1</v>
      </c>
      <c r="J138" t="n">
        <v>0</v>
      </c>
      <c r="K138" t="n">
        <v>0</v>
      </c>
      <c r="L138" t="n">
        <v>0</v>
      </c>
      <c r="M138" t="n">
        <v>0</v>
      </c>
      <c r="N138" t="n">
        <v>0</v>
      </c>
      <c r="O138" t="n">
        <v>0</v>
      </c>
      <c r="P138" t="n">
        <v>0</v>
      </c>
      <c r="Q138" t="n">
        <v>1</v>
      </c>
      <c r="R138" s="2" t="inlineStr">
        <is>
          <t>Sårläka</t>
        </is>
      </c>
      <c r="S138">
        <f>HYPERLINK("https://klasma.github.io/Logging_0380/artfynd/A 27824-2025 artfynd.xlsx", "A 27824-2025")</f>
        <v/>
      </c>
      <c r="T138">
        <f>HYPERLINK("https://klasma.github.io/Logging_0380/kartor/A 27824-2025 karta.png", "A 27824-2025")</f>
        <v/>
      </c>
      <c r="V138">
        <f>HYPERLINK("https://klasma.github.io/Logging_0380/klagomål/A 27824-2025 FSC-klagomål.docx", "A 27824-2025")</f>
        <v/>
      </c>
      <c r="W138">
        <f>HYPERLINK("https://klasma.github.io/Logging_0380/klagomålsmail/A 27824-2025 FSC-klagomål mail.docx", "A 27824-2025")</f>
        <v/>
      </c>
      <c r="X138">
        <f>HYPERLINK("https://klasma.github.io/Logging_0380/tillsyn/A 27824-2025 tillsynsbegäran.docx", "A 27824-2025")</f>
        <v/>
      </c>
      <c r="Y138">
        <f>HYPERLINK("https://klasma.github.io/Logging_0380/tillsynsmail/A 27824-2025 tillsynsbegäran mail.docx", "A 27824-2025")</f>
        <v/>
      </c>
    </row>
    <row r="139" ht="15" customHeight="1">
      <c r="A139" t="inlineStr">
        <is>
          <t>A 28056-2025</t>
        </is>
      </c>
      <c r="B139" s="1" t="n">
        <v>45817</v>
      </c>
      <c r="C139" s="1" t="n">
        <v>46041</v>
      </c>
      <c r="D139" t="inlineStr">
        <is>
          <t>UPPSALA LÄN</t>
        </is>
      </c>
      <c r="E139" t="inlineStr">
        <is>
          <t>UPPSALA</t>
        </is>
      </c>
      <c r="G139" t="n">
        <v>19.3</v>
      </c>
      <c r="H139" t="n">
        <v>1</v>
      </c>
      <c r="I139" t="n">
        <v>0</v>
      </c>
      <c r="J139" t="n">
        <v>0</v>
      </c>
      <c r="K139" t="n">
        <v>1</v>
      </c>
      <c r="L139" t="n">
        <v>0</v>
      </c>
      <c r="M139" t="n">
        <v>0</v>
      </c>
      <c r="N139" t="n">
        <v>0</v>
      </c>
      <c r="O139" t="n">
        <v>1</v>
      </c>
      <c r="P139" t="n">
        <v>1</v>
      </c>
      <c r="Q139" t="n">
        <v>1</v>
      </c>
      <c r="R139" s="2" t="inlineStr">
        <is>
          <t>Knärot</t>
        </is>
      </c>
      <c r="S139">
        <f>HYPERLINK("https://klasma.github.io/Logging_0380/artfynd/A 28056-2025 artfynd.xlsx", "A 28056-2025")</f>
        <v/>
      </c>
      <c r="T139">
        <f>HYPERLINK("https://klasma.github.io/Logging_0380/kartor/A 28056-2025 karta.png", "A 28056-2025")</f>
        <v/>
      </c>
      <c r="U139">
        <f>HYPERLINK("https://klasma.github.io/Logging_0380/knärot/A 28056-2025 karta knärot.png", "A 28056-2025")</f>
        <v/>
      </c>
      <c r="V139">
        <f>HYPERLINK("https://klasma.github.io/Logging_0380/klagomål/A 28056-2025 FSC-klagomål.docx", "A 28056-2025")</f>
        <v/>
      </c>
      <c r="W139">
        <f>HYPERLINK("https://klasma.github.io/Logging_0380/klagomålsmail/A 28056-2025 FSC-klagomål mail.docx", "A 28056-2025")</f>
        <v/>
      </c>
      <c r="X139">
        <f>HYPERLINK("https://klasma.github.io/Logging_0380/tillsyn/A 28056-2025 tillsynsbegäran.docx", "A 28056-2025")</f>
        <v/>
      </c>
      <c r="Y139">
        <f>HYPERLINK("https://klasma.github.io/Logging_0380/tillsynsmail/A 28056-2025 tillsynsbegäran mail.docx", "A 28056-2025")</f>
        <v/>
      </c>
    </row>
    <row r="140" ht="15" customHeight="1">
      <c r="A140" t="inlineStr">
        <is>
          <t>A 13526-2025</t>
        </is>
      </c>
      <c r="B140" s="1" t="n">
        <v>45736.49902777778</v>
      </c>
      <c r="C140" s="1" t="n">
        <v>46041</v>
      </c>
      <c r="D140" t="inlineStr">
        <is>
          <t>UPPSALA LÄN</t>
        </is>
      </c>
      <c r="E140" t="inlineStr">
        <is>
          <t>UPPSALA</t>
        </is>
      </c>
      <c r="F140" t="inlineStr">
        <is>
          <t>Allmännings- och besparingsskogar</t>
        </is>
      </c>
      <c r="G140" t="n">
        <v>3</v>
      </c>
      <c r="H140" t="n">
        <v>0</v>
      </c>
      <c r="I140" t="n">
        <v>0</v>
      </c>
      <c r="J140" t="n">
        <v>1</v>
      </c>
      <c r="K140" t="n">
        <v>0</v>
      </c>
      <c r="L140" t="n">
        <v>0</v>
      </c>
      <c r="M140" t="n">
        <v>0</v>
      </c>
      <c r="N140" t="n">
        <v>0</v>
      </c>
      <c r="O140" t="n">
        <v>1</v>
      </c>
      <c r="P140" t="n">
        <v>0</v>
      </c>
      <c r="Q140" t="n">
        <v>1</v>
      </c>
      <c r="R140" s="2" t="inlineStr">
        <is>
          <t>Vedtrappmossa</t>
        </is>
      </c>
      <c r="S140">
        <f>HYPERLINK("https://klasma.github.io/Logging_0380/artfynd/A 13526-2025 artfynd.xlsx", "A 13526-2025")</f>
        <v/>
      </c>
      <c r="T140">
        <f>HYPERLINK("https://klasma.github.io/Logging_0380/kartor/A 13526-2025 karta.png", "A 13526-2025")</f>
        <v/>
      </c>
      <c r="V140">
        <f>HYPERLINK("https://klasma.github.io/Logging_0380/klagomål/A 13526-2025 FSC-klagomål.docx", "A 13526-2025")</f>
        <v/>
      </c>
      <c r="W140">
        <f>HYPERLINK("https://klasma.github.io/Logging_0380/klagomålsmail/A 13526-2025 FSC-klagomål mail.docx", "A 13526-2025")</f>
        <v/>
      </c>
      <c r="X140">
        <f>HYPERLINK("https://klasma.github.io/Logging_0380/tillsyn/A 13526-2025 tillsynsbegäran.docx", "A 13526-2025")</f>
        <v/>
      </c>
      <c r="Y140">
        <f>HYPERLINK("https://klasma.github.io/Logging_0380/tillsynsmail/A 13526-2025 tillsynsbegäran mail.docx", "A 13526-2025")</f>
        <v/>
      </c>
    </row>
    <row r="141" ht="15" customHeight="1">
      <c r="A141" t="inlineStr">
        <is>
          <t>A 29664-2025</t>
        </is>
      </c>
      <c r="B141" s="1" t="n">
        <v>45825.49060185185</v>
      </c>
      <c r="C141" s="1" t="n">
        <v>46041</v>
      </c>
      <c r="D141" t="inlineStr">
        <is>
          <t>UPPSALA LÄN</t>
        </is>
      </c>
      <c r="E141" t="inlineStr">
        <is>
          <t>UPPSALA</t>
        </is>
      </c>
      <c r="F141" t="inlineStr">
        <is>
          <t>Holmen skog AB</t>
        </is>
      </c>
      <c r="G141" t="n">
        <v>16.8</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29664-2025 artfynd.xlsx", "A 29664-2025")</f>
        <v/>
      </c>
      <c r="T141">
        <f>HYPERLINK("https://klasma.github.io/Logging_0380/kartor/A 29664-2025 karta.png", "A 29664-2025")</f>
        <v/>
      </c>
      <c r="V141">
        <f>HYPERLINK("https://klasma.github.io/Logging_0380/klagomål/A 29664-2025 FSC-klagomål.docx", "A 29664-2025")</f>
        <v/>
      </c>
      <c r="W141">
        <f>HYPERLINK("https://klasma.github.io/Logging_0380/klagomålsmail/A 29664-2025 FSC-klagomål mail.docx", "A 29664-2025")</f>
        <v/>
      </c>
      <c r="X141">
        <f>HYPERLINK("https://klasma.github.io/Logging_0380/tillsyn/A 29664-2025 tillsynsbegäran.docx", "A 29664-2025")</f>
        <v/>
      </c>
      <c r="Y141">
        <f>HYPERLINK("https://klasma.github.io/Logging_0380/tillsynsmail/A 29664-2025 tillsynsbegäran mail.docx", "A 29664-2025")</f>
        <v/>
      </c>
    </row>
    <row r="142" ht="15" customHeight="1">
      <c r="A142" t="inlineStr">
        <is>
          <t>A 35260-2025</t>
        </is>
      </c>
      <c r="B142" s="1" t="n">
        <v>45853.76976851852</v>
      </c>
      <c r="C142" s="1" t="n">
        <v>46041</v>
      </c>
      <c r="D142" t="inlineStr">
        <is>
          <t>UPPSALA LÄN</t>
        </is>
      </c>
      <c r="E142" t="inlineStr">
        <is>
          <t>UPPSALA</t>
        </is>
      </c>
      <c r="G142" t="n">
        <v>7.3</v>
      </c>
      <c r="H142" t="n">
        <v>0</v>
      </c>
      <c r="I142" t="n">
        <v>1</v>
      </c>
      <c r="J142" t="n">
        <v>0</v>
      </c>
      <c r="K142" t="n">
        <v>0</v>
      </c>
      <c r="L142" t="n">
        <v>0</v>
      </c>
      <c r="M142" t="n">
        <v>0</v>
      </c>
      <c r="N142" t="n">
        <v>0</v>
      </c>
      <c r="O142" t="n">
        <v>0</v>
      </c>
      <c r="P142" t="n">
        <v>0</v>
      </c>
      <c r="Q142" t="n">
        <v>1</v>
      </c>
      <c r="R142" s="2" t="inlineStr">
        <is>
          <t>Svavelriska</t>
        </is>
      </c>
      <c r="S142">
        <f>HYPERLINK("https://klasma.github.io/Logging_0380/artfynd/A 35260-2025 artfynd.xlsx", "A 35260-2025")</f>
        <v/>
      </c>
      <c r="T142">
        <f>HYPERLINK("https://klasma.github.io/Logging_0380/kartor/A 35260-2025 karta.png", "A 35260-2025")</f>
        <v/>
      </c>
      <c r="V142">
        <f>HYPERLINK("https://klasma.github.io/Logging_0380/klagomål/A 35260-2025 FSC-klagomål.docx", "A 35260-2025")</f>
        <v/>
      </c>
      <c r="W142">
        <f>HYPERLINK("https://klasma.github.io/Logging_0380/klagomålsmail/A 35260-2025 FSC-klagomål mail.docx", "A 35260-2025")</f>
        <v/>
      </c>
      <c r="X142">
        <f>HYPERLINK("https://klasma.github.io/Logging_0380/tillsyn/A 35260-2025 tillsynsbegäran.docx", "A 35260-2025")</f>
        <v/>
      </c>
      <c r="Y142">
        <f>HYPERLINK("https://klasma.github.io/Logging_0380/tillsynsmail/A 35260-2025 tillsynsbegäran mail.docx", "A 35260-2025")</f>
        <v/>
      </c>
    </row>
    <row r="143" ht="15" customHeight="1">
      <c r="A143" t="inlineStr">
        <is>
          <t>A 3260-2022</t>
        </is>
      </c>
      <c r="B143" s="1" t="n">
        <v>44583.61803240741</v>
      </c>
      <c r="C143" s="1" t="n">
        <v>46041</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46041</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46041</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46041</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46041</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46041</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46041</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46041</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8139-2022</t>
        </is>
      </c>
      <c r="B151" s="1" t="n">
        <v>44609.61430555556</v>
      </c>
      <c r="C151" s="1" t="n">
        <v>46041</v>
      </c>
      <c r="D151" t="inlineStr">
        <is>
          <t>UPPSALA LÄN</t>
        </is>
      </c>
      <c r="E151" t="inlineStr">
        <is>
          <t>UPPSALA</t>
        </is>
      </c>
      <c r="G151" t="n">
        <v>0.6</v>
      </c>
      <c r="H151" t="n">
        <v>0</v>
      </c>
      <c r="I151" t="n">
        <v>0</v>
      </c>
      <c r="J151" t="n">
        <v>0</v>
      </c>
      <c r="K151" t="n">
        <v>0</v>
      </c>
      <c r="L151" t="n">
        <v>0</v>
      </c>
      <c r="M151" t="n">
        <v>0</v>
      </c>
      <c r="N151" t="n">
        <v>0</v>
      </c>
      <c r="O151" t="n">
        <v>0</v>
      </c>
      <c r="P151" t="n">
        <v>0</v>
      </c>
      <c r="Q151" t="n">
        <v>0</v>
      </c>
      <c r="R151" s="2" t="inlineStr"/>
    </row>
    <row r="152" ht="15" customHeight="1">
      <c r="A152" t="inlineStr">
        <is>
          <t>A 22070-2021</t>
        </is>
      </c>
      <c r="B152" s="1" t="n">
        <v>44323.58961805556</v>
      </c>
      <c r="C152" s="1" t="n">
        <v>46041</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17536-2021</t>
        </is>
      </c>
      <c r="B153" s="1" t="n">
        <v>44299</v>
      </c>
      <c r="C153" s="1" t="n">
        <v>46041</v>
      </c>
      <c r="D153" t="inlineStr">
        <is>
          <t>UPPSALA LÄN</t>
        </is>
      </c>
      <c r="E153" t="inlineStr">
        <is>
          <t>UPPSALA</t>
        </is>
      </c>
      <c r="F153" t="inlineStr">
        <is>
          <t>Holmen skog AB</t>
        </is>
      </c>
      <c r="G153" t="n">
        <v>7.6</v>
      </c>
      <c r="H153" t="n">
        <v>0</v>
      </c>
      <c r="I153" t="n">
        <v>0</v>
      </c>
      <c r="J153" t="n">
        <v>0</v>
      </c>
      <c r="K153" t="n">
        <v>0</v>
      </c>
      <c r="L153" t="n">
        <v>0</v>
      </c>
      <c r="M153" t="n">
        <v>0</v>
      </c>
      <c r="N153" t="n">
        <v>0</v>
      </c>
      <c r="O153" t="n">
        <v>0</v>
      </c>
      <c r="P153" t="n">
        <v>0</v>
      </c>
      <c r="Q153" t="n">
        <v>0</v>
      </c>
      <c r="R153" s="2" t="inlineStr"/>
    </row>
    <row r="154" ht="15" customHeight="1">
      <c r="A154" t="inlineStr">
        <is>
          <t>A 22645-2022</t>
        </is>
      </c>
      <c r="B154" s="1" t="n">
        <v>44714</v>
      </c>
      <c r="C154" s="1" t="n">
        <v>46041</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59479-2021</t>
        </is>
      </c>
      <c r="B155" s="1" t="n">
        <v>44491.50769675926</v>
      </c>
      <c r="C155" s="1" t="n">
        <v>46041</v>
      </c>
      <c r="D155" t="inlineStr">
        <is>
          <t>UPPSALA LÄN</t>
        </is>
      </c>
      <c r="E155" t="inlineStr">
        <is>
          <t>UPPSALA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58897-2021</t>
        </is>
      </c>
      <c r="B156" s="1" t="n">
        <v>44489</v>
      </c>
      <c r="C156" s="1" t="n">
        <v>46041</v>
      </c>
      <c r="D156" t="inlineStr">
        <is>
          <t>UPPSALA LÄN</t>
        </is>
      </c>
      <c r="E156" t="inlineStr">
        <is>
          <t>UPPSALA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46041</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46041</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46041</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46041</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46041</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46041</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46041</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46041</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46041</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46041</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46041</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46041</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46041</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46041</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46041</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46041</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46041</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46041</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46041</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46041</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46041</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46041</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46041</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46041</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46041</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46041</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46041</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46041</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46041</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46041</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46041</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46041</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46041</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46041</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46041</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46041</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46041</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46041</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46041</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46041</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46041</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46041</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46041</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46041</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46041</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46041</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46041</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46041</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46041</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46041</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46041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46041</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46041</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46041</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46041</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46041</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46041</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46041</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46041</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46041</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46041</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46041</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46041</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46041</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46041</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46041</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46041</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46041</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46041</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46041</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46041</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46041</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46041</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46041</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46041</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46041</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46041</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46041</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46041</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46041</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46041</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46041</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46041</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46041</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46041</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46041</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46041</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46041</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36253-2025</t>
        </is>
      </c>
      <c r="B245" s="1" t="n">
        <v>45867.58056712963</v>
      </c>
      <c r="C245" s="1" t="n">
        <v>46041</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19139-2023</t>
        </is>
      </c>
      <c r="B246" s="1" t="n">
        <v>45048.55349537037</v>
      </c>
      <c r="C246" s="1" t="n">
        <v>46041</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46041</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46041</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46807-2022</t>
        </is>
      </c>
      <c r="B249" s="1" t="n">
        <v>44848</v>
      </c>
      <c r="C249" s="1" t="n">
        <v>46041</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46041</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30616-2025</t>
        </is>
      </c>
      <c r="B251" s="1" t="n">
        <v>45831.46731481481</v>
      </c>
      <c r="C251" s="1" t="n">
        <v>46041</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60814-2023</t>
        </is>
      </c>
      <c r="B252" s="1" t="n">
        <v>45259</v>
      </c>
      <c r="C252" s="1" t="n">
        <v>46041</v>
      </c>
      <c r="D252" t="inlineStr">
        <is>
          <t>UPPSALA LÄN</t>
        </is>
      </c>
      <c r="E252" t="inlineStr">
        <is>
          <t>UPPSALA</t>
        </is>
      </c>
      <c r="G252" t="n">
        <v>5.9</v>
      </c>
      <c r="H252" t="n">
        <v>0</v>
      </c>
      <c r="I252" t="n">
        <v>0</v>
      </c>
      <c r="J252" t="n">
        <v>0</v>
      </c>
      <c r="K252" t="n">
        <v>0</v>
      </c>
      <c r="L252" t="n">
        <v>0</v>
      </c>
      <c r="M252" t="n">
        <v>0</v>
      </c>
      <c r="N252" t="n">
        <v>0</v>
      </c>
      <c r="O252" t="n">
        <v>0</v>
      </c>
      <c r="P252" t="n">
        <v>0</v>
      </c>
      <c r="Q252" t="n">
        <v>0</v>
      </c>
      <c r="R252" s="2" t="inlineStr"/>
    </row>
    <row r="253" ht="15" customHeight="1">
      <c r="A253" t="inlineStr">
        <is>
          <t>A 10411-2022</t>
        </is>
      </c>
      <c r="B253" s="1" t="n">
        <v>44623.4572337963</v>
      </c>
      <c r="C253" s="1" t="n">
        <v>46041</v>
      </c>
      <c r="D253" t="inlineStr">
        <is>
          <t>UPPSALA LÄN</t>
        </is>
      </c>
      <c r="E253" t="inlineStr">
        <is>
          <t>UPPSALA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51935-2023</t>
        </is>
      </c>
      <c r="B254" s="1" t="n">
        <v>45223</v>
      </c>
      <c r="C254" s="1" t="n">
        <v>46041</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40507-2021</t>
        </is>
      </c>
      <c r="B255" s="1" t="n">
        <v>44420</v>
      </c>
      <c r="C255" s="1" t="n">
        <v>46041</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46041</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36913-2025</t>
        </is>
      </c>
      <c r="B257" s="1" t="n">
        <v>45874</v>
      </c>
      <c r="C257" s="1" t="n">
        <v>46041</v>
      </c>
      <c r="D257" t="inlineStr">
        <is>
          <t>UPPSALA LÄN</t>
        </is>
      </c>
      <c r="E257" t="inlineStr">
        <is>
          <t>UPPSALA</t>
        </is>
      </c>
      <c r="G257" t="n">
        <v>1.7</v>
      </c>
      <c r="H257" t="n">
        <v>0</v>
      </c>
      <c r="I257" t="n">
        <v>0</v>
      </c>
      <c r="J257" t="n">
        <v>0</v>
      </c>
      <c r="K257" t="n">
        <v>0</v>
      </c>
      <c r="L257" t="n">
        <v>0</v>
      </c>
      <c r="M257" t="n">
        <v>0</v>
      </c>
      <c r="N257" t="n">
        <v>0</v>
      </c>
      <c r="O257" t="n">
        <v>0</v>
      </c>
      <c r="P257" t="n">
        <v>0</v>
      </c>
      <c r="Q257" t="n">
        <v>0</v>
      </c>
      <c r="R257" s="2" t="inlineStr"/>
    </row>
    <row r="258" ht="15" customHeight="1">
      <c r="A258" t="inlineStr">
        <is>
          <t>A 11744-2023</t>
        </is>
      </c>
      <c r="B258" s="1" t="n">
        <v>44993</v>
      </c>
      <c r="C258" s="1" t="n">
        <v>46041</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12152-2021</t>
        </is>
      </c>
      <c r="B259" s="1" t="n">
        <v>44266.57917824074</v>
      </c>
      <c r="C259" s="1" t="n">
        <v>46041</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9235-2025</t>
        </is>
      </c>
      <c r="B260" s="1" t="n">
        <v>45714.55368055555</v>
      </c>
      <c r="C260" s="1" t="n">
        <v>46041</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5006-2022</t>
        </is>
      </c>
      <c r="B261" s="1" t="n">
        <v>44593</v>
      </c>
      <c r="C261" s="1" t="n">
        <v>46041</v>
      </c>
      <c r="D261" t="inlineStr">
        <is>
          <t>UPPSALA LÄN</t>
        </is>
      </c>
      <c r="E261" t="inlineStr">
        <is>
          <t>UPPSALA</t>
        </is>
      </c>
      <c r="F261" t="inlineStr">
        <is>
          <t>BillerudKorsnäs AB</t>
        </is>
      </c>
      <c r="G261" t="n">
        <v>1.4</v>
      </c>
      <c r="H261" t="n">
        <v>0</v>
      </c>
      <c r="I261" t="n">
        <v>0</v>
      </c>
      <c r="J261" t="n">
        <v>0</v>
      </c>
      <c r="K261" t="n">
        <v>0</v>
      </c>
      <c r="L261" t="n">
        <v>0</v>
      </c>
      <c r="M261" t="n">
        <v>0</v>
      </c>
      <c r="N261" t="n">
        <v>0</v>
      </c>
      <c r="O261" t="n">
        <v>0</v>
      </c>
      <c r="P261" t="n">
        <v>0</v>
      </c>
      <c r="Q261" t="n">
        <v>0</v>
      </c>
      <c r="R261" s="2" t="inlineStr"/>
    </row>
    <row r="262" ht="15" customHeight="1">
      <c r="A262" t="inlineStr">
        <is>
          <t>A 37010-2025</t>
        </is>
      </c>
      <c r="B262" s="1" t="n">
        <v>45874.705</v>
      </c>
      <c r="C262" s="1" t="n">
        <v>46041</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37352-2025</t>
        </is>
      </c>
      <c r="B263" s="1" t="n">
        <v>45876</v>
      </c>
      <c r="C263" s="1" t="n">
        <v>46041</v>
      </c>
      <c r="D263" t="inlineStr">
        <is>
          <t>UPPSALA LÄN</t>
        </is>
      </c>
      <c r="E263" t="inlineStr">
        <is>
          <t>UPPSALA</t>
        </is>
      </c>
      <c r="G263" t="n">
        <v>2.6</v>
      </c>
      <c r="H263" t="n">
        <v>0</v>
      </c>
      <c r="I263" t="n">
        <v>0</v>
      </c>
      <c r="J263" t="n">
        <v>0</v>
      </c>
      <c r="K263" t="n">
        <v>0</v>
      </c>
      <c r="L263" t="n">
        <v>0</v>
      </c>
      <c r="M263" t="n">
        <v>0</v>
      </c>
      <c r="N263" t="n">
        <v>0</v>
      </c>
      <c r="O263" t="n">
        <v>0</v>
      </c>
      <c r="P263" t="n">
        <v>0</v>
      </c>
      <c r="Q263" t="n">
        <v>0</v>
      </c>
      <c r="R263" s="2" t="inlineStr"/>
    </row>
    <row r="264" ht="15" customHeight="1">
      <c r="A264" t="inlineStr">
        <is>
          <t>A 18626-2025</t>
        </is>
      </c>
      <c r="B264" s="1" t="n">
        <v>45763.52995370371</v>
      </c>
      <c r="C264" s="1" t="n">
        <v>46041</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16615-2021</t>
        </is>
      </c>
      <c r="B265" s="1" t="n">
        <v>44294.37555555555</v>
      </c>
      <c r="C265" s="1" t="n">
        <v>46041</v>
      </c>
      <c r="D265" t="inlineStr">
        <is>
          <t>UPPSALA LÄN</t>
        </is>
      </c>
      <c r="E265" t="inlineStr">
        <is>
          <t>UPPSALA</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69432-2021</t>
        </is>
      </c>
      <c r="B266" s="1" t="n">
        <v>44531</v>
      </c>
      <c r="C266" s="1" t="n">
        <v>46041</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37351-2025</t>
        </is>
      </c>
      <c r="B267" s="1" t="n">
        <v>45876</v>
      </c>
      <c r="C267" s="1" t="n">
        <v>46041</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37468-2025</t>
        </is>
      </c>
      <c r="B268" s="1" t="n">
        <v>45877.57847222222</v>
      </c>
      <c r="C268" s="1" t="n">
        <v>46041</v>
      </c>
      <c r="D268" t="inlineStr">
        <is>
          <t>UPPSALA LÄN</t>
        </is>
      </c>
      <c r="E268" t="inlineStr">
        <is>
          <t>UPPSALA</t>
        </is>
      </c>
      <c r="G268" t="n">
        <v>2.9</v>
      </c>
      <c r="H268" t="n">
        <v>0</v>
      </c>
      <c r="I268" t="n">
        <v>0</v>
      </c>
      <c r="J268" t="n">
        <v>0</v>
      </c>
      <c r="K268" t="n">
        <v>0</v>
      </c>
      <c r="L268" t="n">
        <v>0</v>
      </c>
      <c r="M268" t="n">
        <v>0</v>
      </c>
      <c r="N268" t="n">
        <v>0</v>
      </c>
      <c r="O268" t="n">
        <v>0</v>
      </c>
      <c r="P268" t="n">
        <v>0</v>
      </c>
      <c r="Q268" t="n">
        <v>0</v>
      </c>
      <c r="R268" s="2" t="inlineStr"/>
    </row>
    <row r="269" ht="15" customHeight="1">
      <c r="A269" t="inlineStr">
        <is>
          <t>A 15377-2022</t>
        </is>
      </c>
      <c r="B269" s="1" t="n">
        <v>44659.57912037037</v>
      </c>
      <c r="C269" s="1" t="n">
        <v>46041</v>
      </c>
      <c r="D269" t="inlineStr">
        <is>
          <t>UPPSALA LÄN</t>
        </is>
      </c>
      <c r="E269" t="inlineStr">
        <is>
          <t>UPPSALA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37557-2025</t>
        </is>
      </c>
      <c r="B270" s="1" t="n">
        <v>45880.32907407408</v>
      </c>
      <c r="C270" s="1" t="n">
        <v>46041</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35016-2025</t>
        </is>
      </c>
      <c r="B271" s="1" t="n">
        <v>45851.62179398148</v>
      </c>
      <c r="C271" s="1" t="n">
        <v>46041</v>
      </c>
      <c r="D271" t="inlineStr">
        <is>
          <t>UPPSALA LÄN</t>
        </is>
      </c>
      <c r="E271" t="inlineStr">
        <is>
          <t>UPPSALA</t>
        </is>
      </c>
      <c r="F271" t="inlineStr">
        <is>
          <t>Bergvik skog öst AB</t>
        </is>
      </c>
      <c r="G271" t="n">
        <v>7</v>
      </c>
      <c r="H271" t="n">
        <v>0</v>
      </c>
      <c r="I271" t="n">
        <v>0</v>
      </c>
      <c r="J271" t="n">
        <v>0</v>
      </c>
      <c r="K271" t="n">
        <v>0</v>
      </c>
      <c r="L271" t="n">
        <v>0</v>
      </c>
      <c r="M271" t="n">
        <v>0</v>
      </c>
      <c r="N271" t="n">
        <v>0</v>
      </c>
      <c r="O271" t="n">
        <v>0</v>
      </c>
      <c r="P271" t="n">
        <v>0</v>
      </c>
      <c r="Q271" t="n">
        <v>0</v>
      </c>
      <c r="R271" s="2" t="inlineStr"/>
    </row>
    <row r="272" ht="15" customHeight="1">
      <c r="A272" t="inlineStr">
        <is>
          <t>A 37561-2025</t>
        </is>
      </c>
      <c r="B272" s="1" t="n">
        <v>45880.34064814815</v>
      </c>
      <c r="C272" s="1" t="n">
        <v>46041</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34061-2022</t>
        </is>
      </c>
      <c r="B273" s="1" t="n">
        <v>44791.38336805555</v>
      </c>
      <c r="C273" s="1" t="n">
        <v>46041</v>
      </c>
      <c r="D273" t="inlineStr">
        <is>
          <t>UPPSALA LÄN</t>
        </is>
      </c>
      <c r="E273" t="inlineStr">
        <is>
          <t>UPPSALA</t>
        </is>
      </c>
      <c r="F273" t="inlineStr">
        <is>
          <t>Bergvik skog öst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37611-2025</t>
        </is>
      </c>
      <c r="B274" s="1" t="n">
        <v>45880</v>
      </c>
      <c r="C274" s="1" t="n">
        <v>46041</v>
      </c>
      <c r="D274" t="inlineStr">
        <is>
          <t>UPPSALA LÄN</t>
        </is>
      </c>
      <c r="E274" t="inlineStr">
        <is>
          <t>UPPSALA</t>
        </is>
      </c>
      <c r="G274" t="n">
        <v>2.9</v>
      </c>
      <c r="H274" t="n">
        <v>0</v>
      </c>
      <c r="I274" t="n">
        <v>0</v>
      </c>
      <c r="J274" t="n">
        <v>0</v>
      </c>
      <c r="K274" t="n">
        <v>0</v>
      </c>
      <c r="L274" t="n">
        <v>0</v>
      </c>
      <c r="M274" t="n">
        <v>0</v>
      </c>
      <c r="N274" t="n">
        <v>0</v>
      </c>
      <c r="O274" t="n">
        <v>0</v>
      </c>
      <c r="P274" t="n">
        <v>0</v>
      </c>
      <c r="Q274" t="n">
        <v>0</v>
      </c>
      <c r="R274" s="2" t="inlineStr"/>
    </row>
    <row r="275" ht="15" customHeight="1">
      <c r="A275" t="inlineStr">
        <is>
          <t>A 37486-2025</t>
        </is>
      </c>
      <c r="B275" s="1" t="n">
        <v>45877.62969907407</v>
      </c>
      <c r="C275" s="1" t="n">
        <v>46041</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69691-2021</t>
        </is>
      </c>
      <c r="B276" s="1" t="n">
        <v>44532</v>
      </c>
      <c r="C276" s="1" t="n">
        <v>46041</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10464-2022</t>
        </is>
      </c>
      <c r="B277" s="1" t="n">
        <v>44623</v>
      </c>
      <c r="C277" s="1" t="n">
        <v>46041</v>
      </c>
      <c r="D277" t="inlineStr">
        <is>
          <t>UPPSALA LÄN</t>
        </is>
      </c>
      <c r="E277" t="inlineStr">
        <is>
          <t>UPPSALA</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35411-2022</t>
        </is>
      </c>
      <c r="B278" s="1" t="n">
        <v>44798</v>
      </c>
      <c r="C278" s="1" t="n">
        <v>46041</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56084-2024</t>
        </is>
      </c>
      <c r="B279" s="1" t="n">
        <v>45624</v>
      </c>
      <c r="C279" s="1" t="n">
        <v>46041</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37759-2025</t>
        </is>
      </c>
      <c r="B280" s="1" t="n">
        <v>45880.68200231482</v>
      </c>
      <c r="C280" s="1" t="n">
        <v>46041</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4993-2025</t>
        </is>
      </c>
      <c r="B281" s="1" t="n">
        <v>45691</v>
      </c>
      <c r="C281" s="1" t="n">
        <v>46041</v>
      </c>
      <c r="D281" t="inlineStr">
        <is>
          <t>UPPSALA LÄN</t>
        </is>
      </c>
      <c r="E281" t="inlineStr">
        <is>
          <t>UPPSALA</t>
        </is>
      </c>
      <c r="F281" t="inlineStr">
        <is>
          <t>Kyrkan</t>
        </is>
      </c>
      <c r="G281" t="n">
        <v>6.7</v>
      </c>
      <c r="H281" t="n">
        <v>0</v>
      </c>
      <c r="I281" t="n">
        <v>0</v>
      </c>
      <c r="J281" t="n">
        <v>0</v>
      </c>
      <c r="K281" t="n">
        <v>0</v>
      </c>
      <c r="L281" t="n">
        <v>0</v>
      </c>
      <c r="M281" t="n">
        <v>0</v>
      </c>
      <c r="N281" t="n">
        <v>0</v>
      </c>
      <c r="O281" t="n">
        <v>0</v>
      </c>
      <c r="P281" t="n">
        <v>0</v>
      </c>
      <c r="Q281" t="n">
        <v>0</v>
      </c>
      <c r="R281" s="2" t="inlineStr"/>
    </row>
    <row r="282" ht="15" customHeight="1">
      <c r="A282" t="inlineStr">
        <is>
          <t>A 37856-2025</t>
        </is>
      </c>
      <c r="B282" s="1" t="n">
        <v>45881.45898148148</v>
      </c>
      <c r="C282" s="1" t="n">
        <v>46041</v>
      </c>
      <c r="D282" t="inlineStr">
        <is>
          <t>UPPSALA LÄN</t>
        </is>
      </c>
      <c r="E282" t="inlineStr">
        <is>
          <t>UPPSALA</t>
        </is>
      </c>
      <c r="G282" t="n">
        <v>1.7</v>
      </c>
      <c r="H282" t="n">
        <v>0</v>
      </c>
      <c r="I282" t="n">
        <v>0</v>
      </c>
      <c r="J282" t="n">
        <v>0</v>
      </c>
      <c r="K282" t="n">
        <v>0</v>
      </c>
      <c r="L282" t="n">
        <v>0</v>
      </c>
      <c r="M282" t="n">
        <v>0</v>
      </c>
      <c r="N282" t="n">
        <v>0</v>
      </c>
      <c r="O282" t="n">
        <v>0</v>
      </c>
      <c r="P282" t="n">
        <v>0</v>
      </c>
      <c r="Q282" t="n">
        <v>0</v>
      </c>
      <c r="R282" s="2" t="inlineStr"/>
    </row>
    <row r="283" ht="15" customHeight="1">
      <c r="A283" t="inlineStr">
        <is>
          <t>A 3287-2025</t>
        </is>
      </c>
      <c r="B283" s="1" t="n">
        <v>45679</v>
      </c>
      <c r="C283" s="1" t="n">
        <v>46041</v>
      </c>
      <c r="D283" t="inlineStr">
        <is>
          <t>UPPSALA LÄN</t>
        </is>
      </c>
      <c r="E283" t="inlineStr">
        <is>
          <t>UPPSALA</t>
        </is>
      </c>
      <c r="F283" t="inlineStr">
        <is>
          <t>Kyrkan</t>
        </is>
      </c>
      <c r="G283" t="n">
        <v>6.7</v>
      </c>
      <c r="H283" t="n">
        <v>0</v>
      </c>
      <c r="I283" t="n">
        <v>0</v>
      </c>
      <c r="J283" t="n">
        <v>0</v>
      </c>
      <c r="K283" t="n">
        <v>0</v>
      </c>
      <c r="L283" t="n">
        <v>0</v>
      </c>
      <c r="M283" t="n">
        <v>0</v>
      </c>
      <c r="N283" t="n">
        <v>0</v>
      </c>
      <c r="O283" t="n">
        <v>0</v>
      </c>
      <c r="P283" t="n">
        <v>0</v>
      </c>
      <c r="Q283" t="n">
        <v>0</v>
      </c>
      <c r="R283" s="2" t="inlineStr"/>
    </row>
    <row r="284" ht="15" customHeight="1">
      <c r="A284" t="inlineStr">
        <is>
          <t>A 17595-2025</t>
        </is>
      </c>
      <c r="B284" s="1" t="n">
        <v>45757</v>
      </c>
      <c r="C284" s="1" t="n">
        <v>46041</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32928-2025</t>
        </is>
      </c>
      <c r="B285" s="1" t="n">
        <v>45839</v>
      </c>
      <c r="C285" s="1" t="n">
        <v>46041</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38113-2025</t>
        </is>
      </c>
      <c r="B286" s="1" t="n">
        <v>45882.52290509259</v>
      </c>
      <c r="C286" s="1" t="n">
        <v>46041</v>
      </c>
      <c r="D286" t="inlineStr">
        <is>
          <t>UPPSALA LÄN</t>
        </is>
      </c>
      <c r="E286" t="inlineStr">
        <is>
          <t>UPPSALA</t>
        </is>
      </c>
      <c r="G286" t="n">
        <v>5.8</v>
      </c>
      <c r="H286" t="n">
        <v>0</v>
      </c>
      <c r="I286" t="n">
        <v>0</v>
      </c>
      <c r="J286" t="n">
        <v>0</v>
      </c>
      <c r="K286" t="n">
        <v>0</v>
      </c>
      <c r="L286" t="n">
        <v>0</v>
      </c>
      <c r="M286" t="n">
        <v>0</v>
      </c>
      <c r="N286" t="n">
        <v>0</v>
      </c>
      <c r="O286" t="n">
        <v>0</v>
      </c>
      <c r="P286" t="n">
        <v>0</v>
      </c>
      <c r="Q286" t="n">
        <v>0</v>
      </c>
      <c r="R286" s="2" t="inlineStr"/>
    </row>
    <row r="287" ht="15" customHeight="1">
      <c r="A287" t="inlineStr">
        <is>
          <t>A 38034-2025</t>
        </is>
      </c>
      <c r="B287" s="1" t="n">
        <v>45882.37202546297</v>
      </c>
      <c r="C287" s="1" t="n">
        <v>46041</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37851-2025</t>
        </is>
      </c>
      <c r="B288" s="1" t="n">
        <v>45881.44938657407</v>
      </c>
      <c r="C288" s="1" t="n">
        <v>46041</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17587-2025</t>
        </is>
      </c>
      <c r="B289" s="1" t="n">
        <v>45757.67611111111</v>
      </c>
      <c r="C289" s="1" t="n">
        <v>46041</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39529-2025</t>
        </is>
      </c>
      <c r="B290" s="1" t="n">
        <v>45890</v>
      </c>
      <c r="C290" s="1" t="n">
        <v>46041</v>
      </c>
      <c r="D290" t="inlineStr">
        <is>
          <t>UPPSALA LÄN</t>
        </is>
      </c>
      <c r="E290" t="inlineStr">
        <is>
          <t>UPPSALA</t>
        </is>
      </c>
      <c r="F290" t="inlineStr">
        <is>
          <t>Allmännings- och besparingsskogar</t>
        </is>
      </c>
      <c r="G290" t="n">
        <v>3.9</v>
      </c>
      <c r="H290" t="n">
        <v>0</v>
      </c>
      <c r="I290" t="n">
        <v>0</v>
      </c>
      <c r="J290" t="n">
        <v>0</v>
      </c>
      <c r="K290" t="n">
        <v>0</v>
      </c>
      <c r="L290" t="n">
        <v>0</v>
      </c>
      <c r="M290" t="n">
        <v>0</v>
      </c>
      <c r="N290" t="n">
        <v>0</v>
      </c>
      <c r="O290" t="n">
        <v>0</v>
      </c>
      <c r="P290" t="n">
        <v>0</v>
      </c>
      <c r="Q290" t="n">
        <v>0</v>
      </c>
      <c r="R290" s="2" t="inlineStr"/>
    </row>
    <row r="291" ht="15" customHeight="1">
      <c r="A291" t="inlineStr">
        <is>
          <t>A 24012-2023</t>
        </is>
      </c>
      <c r="B291" s="1" t="n">
        <v>45078</v>
      </c>
      <c r="C291" s="1" t="n">
        <v>46041</v>
      </c>
      <c r="D291" t="inlineStr">
        <is>
          <t>UPPSALA LÄN</t>
        </is>
      </c>
      <c r="E291" t="inlineStr">
        <is>
          <t>UPPSALA</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33797-2021</t>
        </is>
      </c>
      <c r="B292" s="1" t="n">
        <v>44378.56137731481</v>
      </c>
      <c r="C292" s="1" t="n">
        <v>46041</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19513-2023</t>
        </is>
      </c>
      <c r="B293" s="1" t="n">
        <v>45050.49392361111</v>
      </c>
      <c r="C293" s="1" t="n">
        <v>46041</v>
      </c>
      <c r="D293" t="inlineStr">
        <is>
          <t>UPPSALA LÄN</t>
        </is>
      </c>
      <c r="E293" t="inlineStr">
        <is>
          <t>UPPSALA</t>
        </is>
      </c>
      <c r="G293" t="n">
        <v>6.6</v>
      </c>
      <c r="H293" t="n">
        <v>0</v>
      </c>
      <c r="I293" t="n">
        <v>0</v>
      </c>
      <c r="J293" t="n">
        <v>0</v>
      </c>
      <c r="K293" t="n">
        <v>0</v>
      </c>
      <c r="L293" t="n">
        <v>0</v>
      </c>
      <c r="M293" t="n">
        <v>0</v>
      </c>
      <c r="N293" t="n">
        <v>0</v>
      </c>
      <c r="O293" t="n">
        <v>0</v>
      </c>
      <c r="P293" t="n">
        <v>0</v>
      </c>
      <c r="Q293" t="n">
        <v>0</v>
      </c>
      <c r="R293" s="2" t="inlineStr"/>
    </row>
    <row r="294" ht="15" customHeight="1">
      <c r="A294" t="inlineStr">
        <is>
          <t>A 39792-2025</t>
        </is>
      </c>
      <c r="B294" s="1" t="n">
        <v>45891.4865625</v>
      </c>
      <c r="C294" s="1" t="n">
        <v>46041</v>
      </c>
      <c r="D294" t="inlineStr">
        <is>
          <t>UPPSALA LÄN</t>
        </is>
      </c>
      <c r="E294" t="inlineStr">
        <is>
          <t>UPPSALA</t>
        </is>
      </c>
      <c r="G294" t="n">
        <v>0.9</v>
      </c>
      <c r="H294" t="n">
        <v>0</v>
      </c>
      <c r="I294" t="n">
        <v>0</v>
      </c>
      <c r="J294" t="n">
        <v>0</v>
      </c>
      <c r="K294" t="n">
        <v>0</v>
      </c>
      <c r="L294" t="n">
        <v>0</v>
      </c>
      <c r="M294" t="n">
        <v>0</v>
      </c>
      <c r="N294" t="n">
        <v>0</v>
      </c>
      <c r="O294" t="n">
        <v>0</v>
      </c>
      <c r="P294" t="n">
        <v>0</v>
      </c>
      <c r="Q294" t="n">
        <v>0</v>
      </c>
      <c r="R294" s="2" t="inlineStr"/>
    </row>
    <row r="295" ht="15" customHeight="1">
      <c r="A295" t="inlineStr">
        <is>
          <t>A 47221-2023</t>
        </is>
      </c>
      <c r="B295" s="1" t="n">
        <v>45202</v>
      </c>
      <c r="C295" s="1" t="n">
        <v>46041</v>
      </c>
      <c r="D295" t="inlineStr">
        <is>
          <t>UPPSALA LÄN</t>
        </is>
      </c>
      <c r="E295" t="inlineStr">
        <is>
          <t>UPPSALA</t>
        </is>
      </c>
      <c r="G295" t="n">
        <v>8.6</v>
      </c>
      <c r="H295" t="n">
        <v>0</v>
      </c>
      <c r="I295" t="n">
        <v>0</v>
      </c>
      <c r="J295" t="n">
        <v>0</v>
      </c>
      <c r="K295" t="n">
        <v>0</v>
      </c>
      <c r="L295" t="n">
        <v>0</v>
      </c>
      <c r="M295" t="n">
        <v>0</v>
      </c>
      <c r="N295" t="n">
        <v>0</v>
      </c>
      <c r="O295" t="n">
        <v>0</v>
      </c>
      <c r="P295" t="n">
        <v>0</v>
      </c>
      <c r="Q295" t="n">
        <v>0</v>
      </c>
      <c r="R295" s="2" t="inlineStr"/>
    </row>
    <row r="296" ht="15" customHeight="1">
      <c r="A296" t="inlineStr">
        <is>
          <t>A 39721-2025</t>
        </is>
      </c>
      <c r="B296" s="1" t="n">
        <v>45891.33204861111</v>
      </c>
      <c r="C296" s="1" t="n">
        <v>46041</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59358-2024</t>
        </is>
      </c>
      <c r="B297" s="1" t="n">
        <v>45638</v>
      </c>
      <c r="C297" s="1" t="n">
        <v>46041</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39777-2025</t>
        </is>
      </c>
      <c r="B298" s="1" t="n">
        <v>45891.46827546296</v>
      </c>
      <c r="C298" s="1" t="n">
        <v>46041</v>
      </c>
      <c r="D298" t="inlineStr">
        <is>
          <t>UPPSALA LÄN</t>
        </is>
      </c>
      <c r="E298" t="inlineStr">
        <is>
          <t>UPPSALA</t>
        </is>
      </c>
      <c r="G298" t="n">
        <v>6.5</v>
      </c>
      <c r="H298" t="n">
        <v>0</v>
      </c>
      <c r="I298" t="n">
        <v>0</v>
      </c>
      <c r="J298" t="n">
        <v>0</v>
      </c>
      <c r="K298" t="n">
        <v>0</v>
      </c>
      <c r="L298" t="n">
        <v>0</v>
      </c>
      <c r="M298" t="n">
        <v>0</v>
      </c>
      <c r="N298" t="n">
        <v>0</v>
      </c>
      <c r="O298" t="n">
        <v>0</v>
      </c>
      <c r="P298" t="n">
        <v>0</v>
      </c>
      <c r="Q298" t="n">
        <v>0</v>
      </c>
      <c r="R298" s="2" t="inlineStr"/>
    </row>
    <row r="299" ht="15" customHeight="1">
      <c r="A299" t="inlineStr">
        <is>
          <t>A 58023-2022</t>
        </is>
      </c>
      <c r="B299" s="1" t="n">
        <v>44900.54711805555</v>
      </c>
      <c r="C299" s="1" t="n">
        <v>46041</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45878-2024</t>
        </is>
      </c>
      <c r="B300" s="1" t="n">
        <v>45580</v>
      </c>
      <c r="C300" s="1" t="n">
        <v>46041</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40639-2025</t>
        </is>
      </c>
      <c r="B301" s="1" t="n">
        <v>45896.61050925926</v>
      </c>
      <c r="C301" s="1" t="n">
        <v>46041</v>
      </c>
      <c r="D301" t="inlineStr">
        <is>
          <t>UPPSALA LÄN</t>
        </is>
      </c>
      <c r="E301" t="inlineStr">
        <is>
          <t>UPPSALA</t>
        </is>
      </c>
      <c r="G301" t="n">
        <v>6.9</v>
      </c>
      <c r="H301" t="n">
        <v>0</v>
      </c>
      <c r="I301" t="n">
        <v>0</v>
      </c>
      <c r="J301" t="n">
        <v>0</v>
      </c>
      <c r="K301" t="n">
        <v>0</v>
      </c>
      <c r="L301" t="n">
        <v>0</v>
      </c>
      <c r="M301" t="n">
        <v>0</v>
      </c>
      <c r="N301" t="n">
        <v>0</v>
      </c>
      <c r="O301" t="n">
        <v>0</v>
      </c>
      <c r="P301" t="n">
        <v>0</v>
      </c>
      <c r="Q301" t="n">
        <v>0</v>
      </c>
      <c r="R301" s="2" t="inlineStr"/>
    </row>
    <row r="302" ht="15" customHeight="1">
      <c r="A302" t="inlineStr">
        <is>
          <t>A 40501-2025</t>
        </is>
      </c>
      <c r="B302" s="1" t="n">
        <v>45896</v>
      </c>
      <c r="C302" s="1" t="n">
        <v>46041</v>
      </c>
      <c r="D302" t="inlineStr">
        <is>
          <t>UPPSALA LÄN</t>
        </is>
      </c>
      <c r="E302" t="inlineStr">
        <is>
          <t>UPPSALA</t>
        </is>
      </c>
      <c r="G302" t="n">
        <v>0.6</v>
      </c>
      <c r="H302" t="n">
        <v>0</v>
      </c>
      <c r="I302" t="n">
        <v>0</v>
      </c>
      <c r="J302" t="n">
        <v>0</v>
      </c>
      <c r="K302" t="n">
        <v>0</v>
      </c>
      <c r="L302" t="n">
        <v>0</v>
      </c>
      <c r="M302" t="n">
        <v>0</v>
      </c>
      <c r="N302" t="n">
        <v>0</v>
      </c>
      <c r="O302" t="n">
        <v>0</v>
      </c>
      <c r="P302" t="n">
        <v>0</v>
      </c>
      <c r="Q302" t="n">
        <v>0</v>
      </c>
      <c r="R302" s="2" t="inlineStr"/>
    </row>
    <row r="303" ht="15" customHeight="1">
      <c r="A303" t="inlineStr">
        <is>
          <t>A 5374-2023</t>
        </is>
      </c>
      <c r="B303" s="1" t="n">
        <v>44944</v>
      </c>
      <c r="C303" s="1" t="n">
        <v>46041</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40503-2024</t>
        </is>
      </c>
      <c r="B304" s="1" t="n">
        <v>45555.5727662037</v>
      </c>
      <c r="C304" s="1" t="n">
        <v>46041</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40504-2025</t>
        </is>
      </c>
      <c r="B305" s="1" t="n">
        <v>45896</v>
      </c>
      <c r="C305" s="1" t="n">
        <v>46041</v>
      </c>
      <c r="D305" t="inlineStr">
        <is>
          <t>UPPSALA LÄN</t>
        </is>
      </c>
      <c r="E305" t="inlineStr">
        <is>
          <t>UPPSALA</t>
        </is>
      </c>
      <c r="G305" t="n">
        <v>4.4</v>
      </c>
      <c r="H305" t="n">
        <v>0</v>
      </c>
      <c r="I305" t="n">
        <v>0</v>
      </c>
      <c r="J305" t="n">
        <v>0</v>
      </c>
      <c r="K305" t="n">
        <v>0</v>
      </c>
      <c r="L305" t="n">
        <v>0</v>
      </c>
      <c r="M305" t="n">
        <v>0</v>
      </c>
      <c r="N305" t="n">
        <v>0</v>
      </c>
      <c r="O305" t="n">
        <v>0</v>
      </c>
      <c r="P305" t="n">
        <v>0</v>
      </c>
      <c r="Q305" t="n">
        <v>0</v>
      </c>
      <c r="R305" s="2" t="inlineStr"/>
    </row>
    <row r="306" ht="15" customHeight="1">
      <c r="A306" t="inlineStr">
        <is>
          <t>A 341-2024</t>
        </is>
      </c>
      <c r="B306" s="1" t="n">
        <v>45295</v>
      </c>
      <c r="C306" s="1" t="n">
        <v>46041</v>
      </c>
      <c r="D306" t="inlineStr">
        <is>
          <t>UPPSALA LÄN</t>
        </is>
      </c>
      <c r="E306" t="inlineStr">
        <is>
          <t>UPPSALA</t>
        </is>
      </c>
      <c r="F306" t="inlineStr">
        <is>
          <t>Allmännings- och besparingsskogar</t>
        </is>
      </c>
      <c r="G306" t="n">
        <v>1.8</v>
      </c>
      <c r="H306" t="n">
        <v>0</v>
      </c>
      <c r="I306" t="n">
        <v>0</v>
      </c>
      <c r="J306" t="n">
        <v>0</v>
      </c>
      <c r="K306" t="n">
        <v>0</v>
      </c>
      <c r="L306" t="n">
        <v>0</v>
      </c>
      <c r="M306" t="n">
        <v>0</v>
      </c>
      <c r="N306" t="n">
        <v>0</v>
      </c>
      <c r="O306" t="n">
        <v>0</v>
      </c>
      <c r="P306" t="n">
        <v>0</v>
      </c>
      <c r="Q306" t="n">
        <v>0</v>
      </c>
      <c r="R306" s="2" t="inlineStr"/>
    </row>
    <row r="307" ht="15" customHeight="1">
      <c r="A307" t="inlineStr">
        <is>
          <t>A 40606-2025</t>
        </is>
      </c>
      <c r="B307" s="1" t="n">
        <v>45896.57171296296</v>
      </c>
      <c r="C307" s="1" t="n">
        <v>46041</v>
      </c>
      <c r="D307" t="inlineStr">
        <is>
          <t>UPPSALA LÄN</t>
        </is>
      </c>
      <c r="E307" t="inlineStr">
        <is>
          <t>UPPSALA</t>
        </is>
      </c>
      <c r="G307" t="n">
        <v>3.2</v>
      </c>
      <c r="H307" t="n">
        <v>0</v>
      </c>
      <c r="I307" t="n">
        <v>0</v>
      </c>
      <c r="J307" t="n">
        <v>0</v>
      </c>
      <c r="K307" t="n">
        <v>0</v>
      </c>
      <c r="L307" t="n">
        <v>0</v>
      </c>
      <c r="M307" t="n">
        <v>0</v>
      </c>
      <c r="N307" t="n">
        <v>0</v>
      </c>
      <c r="O307" t="n">
        <v>0</v>
      </c>
      <c r="P307" t="n">
        <v>0</v>
      </c>
      <c r="Q307" t="n">
        <v>0</v>
      </c>
      <c r="R307" s="2" t="inlineStr"/>
    </row>
    <row r="308" ht="15" customHeight="1">
      <c r="A308" t="inlineStr">
        <is>
          <t>A 38469-2025</t>
        </is>
      </c>
      <c r="B308" s="1" t="n">
        <v>45884</v>
      </c>
      <c r="C308" s="1" t="n">
        <v>46041</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43855-2023</t>
        </is>
      </c>
      <c r="B309" s="1" t="n">
        <v>45187.61136574074</v>
      </c>
      <c r="C309" s="1" t="n">
        <v>46041</v>
      </c>
      <c r="D309" t="inlineStr">
        <is>
          <t>UPPSALA LÄN</t>
        </is>
      </c>
      <c r="E309" t="inlineStr">
        <is>
          <t>UPPSALA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40610-2025</t>
        </is>
      </c>
      <c r="B310" s="1" t="n">
        <v>45896.57368055556</v>
      </c>
      <c r="C310" s="1" t="n">
        <v>46041</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56656-2025</t>
        </is>
      </c>
      <c r="B311" s="1" t="n">
        <v>45975.65054398148</v>
      </c>
      <c r="C311" s="1" t="n">
        <v>46041</v>
      </c>
      <c r="D311" t="inlineStr">
        <is>
          <t>UPPSALA LÄN</t>
        </is>
      </c>
      <c r="E311" t="inlineStr">
        <is>
          <t>UPPSALA</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56493-2025</t>
        </is>
      </c>
      <c r="B312" s="1" t="n">
        <v>45975.424375</v>
      </c>
      <c r="C312" s="1" t="n">
        <v>46041</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56466-2025</t>
        </is>
      </c>
      <c r="B313" s="1" t="n">
        <v>45975.37621527778</v>
      </c>
      <c r="C313" s="1" t="n">
        <v>46041</v>
      </c>
      <c r="D313" t="inlineStr">
        <is>
          <t>UPPSALA LÄN</t>
        </is>
      </c>
      <c r="E313" t="inlineStr">
        <is>
          <t>UPPSALA</t>
        </is>
      </c>
      <c r="F313" t="inlineStr">
        <is>
          <t>Holmen skog AB</t>
        </is>
      </c>
      <c r="G313" t="n">
        <v>3.4</v>
      </c>
      <c r="H313" t="n">
        <v>0</v>
      </c>
      <c r="I313" t="n">
        <v>0</v>
      </c>
      <c r="J313" t="n">
        <v>0</v>
      </c>
      <c r="K313" t="n">
        <v>0</v>
      </c>
      <c r="L313" t="n">
        <v>0</v>
      </c>
      <c r="M313" t="n">
        <v>0</v>
      </c>
      <c r="N313" t="n">
        <v>0</v>
      </c>
      <c r="O313" t="n">
        <v>0</v>
      </c>
      <c r="P313" t="n">
        <v>0</v>
      </c>
      <c r="Q313" t="n">
        <v>0</v>
      </c>
      <c r="R313" s="2" t="inlineStr"/>
    </row>
    <row r="314" ht="15" customHeight="1">
      <c r="A314" t="inlineStr">
        <is>
          <t>A 40111-2024</t>
        </is>
      </c>
      <c r="B314" s="1" t="n">
        <v>45554</v>
      </c>
      <c r="C314" s="1" t="n">
        <v>46041</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40855-2025</t>
        </is>
      </c>
      <c r="B315" s="1" t="n">
        <v>45897</v>
      </c>
      <c r="C315" s="1" t="n">
        <v>46041</v>
      </c>
      <c r="D315" t="inlineStr">
        <is>
          <t>UPPSALA LÄN</t>
        </is>
      </c>
      <c r="E315" t="inlineStr">
        <is>
          <t>UPPSALA</t>
        </is>
      </c>
      <c r="G315" t="n">
        <v>2.9</v>
      </c>
      <c r="H315" t="n">
        <v>0</v>
      </c>
      <c r="I315" t="n">
        <v>0</v>
      </c>
      <c r="J315" t="n">
        <v>0</v>
      </c>
      <c r="K315" t="n">
        <v>0</v>
      </c>
      <c r="L315" t="n">
        <v>0</v>
      </c>
      <c r="M315" t="n">
        <v>0</v>
      </c>
      <c r="N315" t="n">
        <v>0</v>
      </c>
      <c r="O315" t="n">
        <v>0</v>
      </c>
      <c r="P315" t="n">
        <v>0</v>
      </c>
      <c r="Q315" t="n">
        <v>0</v>
      </c>
      <c r="R315" s="2" t="inlineStr"/>
    </row>
    <row r="316" ht="15" customHeight="1">
      <c r="A316" t="inlineStr">
        <is>
          <t>A 38865-2022</t>
        </is>
      </c>
      <c r="B316" s="1" t="n">
        <v>44816</v>
      </c>
      <c r="C316" s="1" t="n">
        <v>46041</v>
      </c>
      <c r="D316" t="inlineStr">
        <is>
          <t>UPPSALA LÄN</t>
        </is>
      </c>
      <c r="E316" t="inlineStr">
        <is>
          <t>UPPSALA</t>
        </is>
      </c>
      <c r="G316" t="n">
        <v>14.6</v>
      </c>
      <c r="H316" t="n">
        <v>0</v>
      </c>
      <c r="I316" t="n">
        <v>0</v>
      </c>
      <c r="J316" t="n">
        <v>0</v>
      </c>
      <c r="K316" t="n">
        <v>0</v>
      </c>
      <c r="L316" t="n">
        <v>0</v>
      </c>
      <c r="M316" t="n">
        <v>0</v>
      </c>
      <c r="N316" t="n">
        <v>0</v>
      </c>
      <c r="O316" t="n">
        <v>0</v>
      </c>
      <c r="P316" t="n">
        <v>0</v>
      </c>
      <c r="Q316" t="n">
        <v>0</v>
      </c>
      <c r="R316" s="2" t="inlineStr"/>
    </row>
    <row r="317" ht="15" customHeight="1">
      <c r="A317" t="inlineStr">
        <is>
          <t>A 18717-2025</t>
        </is>
      </c>
      <c r="B317" s="1" t="n">
        <v>45763.6503125</v>
      </c>
      <c r="C317" s="1" t="n">
        <v>46041</v>
      </c>
      <c r="D317" t="inlineStr">
        <is>
          <t>UPPSALA LÄN</t>
        </is>
      </c>
      <c r="E317" t="inlineStr">
        <is>
          <t>UPPSALA</t>
        </is>
      </c>
      <c r="G317" t="n">
        <v>1</v>
      </c>
      <c r="H317" t="n">
        <v>0</v>
      </c>
      <c r="I317" t="n">
        <v>0</v>
      </c>
      <c r="J317" t="n">
        <v>0</v>
      </c>
      <c r="K317" t="n">
        <v>0</v>
      </c>
      <c r="L317" t="n">
        <v>0</v>
      </c>
      <c r="M317" t="n">
        <v>0</v>
      </c>
      <c r="N317" t="n">
        <v>0</v>
      </c>
      <c r="O317" t="n">
        <v>0</v>
      </c>
      <c r="P317" t="n">
        <v>0</v>
      </c>
      <c r="Q317" t="n">
        <v>0</v>
      </c>
      <c r="R317" s="2" t="inlineStr"/>
    </row>
    <row r="318" ht="15" customHeight="1">
      <c r="A318" t="inlineStr">
        <is>
          <t>A 3183-2024</t>
        </is>
      </c>
      <c r="B318" s="1" t="n">
        <v>45316</v>
      </c>
      <c r="C318" s="1" t="n">
        <v>46041</v>
      </c>
      <c r="D318" t="inlineStr">
        <is>
          <t>UPPSALA LÄN</t>
        </is>
      </c>
      <c r="E318" t="inlineStr">
        <is>
          <t>UPPSALA</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3261-2024</t>
        </is>
      </c>
      <c r="B319" s="1" t="n">
        <v>45317</v>
      </c>
      <c r="C319" s="1" t="n">
        <v>46041</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11173-2024</t>
        </is>
      </c>
      <c r="B320" s="1" t="n">
        <v>45371.50738425926</v>
      </c>
      <c r="C320" s="1" t="n">
        <v>46041</v>
      </c>
      <c r="D320" t="inlineStr">
        <is>
          <t>UPPSALA LÄN</t>
        </is>
      </c>
      <c r="E320" t="inlineStr">
        <is>
          <t>UPPSALA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1838-2024</t>
        </is>
      </c>
      <c r="B321" s="1" t="n">
        <v>45307</v>
      </c>
      <c r="C321" s="1" t="n">
        <v>46041</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29019-2023</t>
        </is>
      </c>
      <c r="B322" s="1" t="n">
        <v>45104.6828125</v>
      </c>
      <c r="C322" s="1" t="n">
        <v>46041</v>
      </c>
      <c r="D322" t="inlineStr">
        <is>
          <t>UPPSALA LÄN</t>
        </is>
      </c>
      <c r="E322" t="inlineStr">
        <is>
          <t>UPPSALA</t>
        </is>
      </c>
      <c r="G322" t="n">
        <v>1.2</v>
      </c>
      <c r="H322" t="n">
        <v>0</v>
      </c>
      <c r="I322" t="n">
        <v>0</v>
      </c>
      <c r="J322" t="n">
        <v>0</v>
      </c>
      <c r="K322" t="n">
        <v>0</v>
      </c>
      <c r="L322" t="n">
        <v>0</v>
      </c>
      <c r="M322" t="n">
        <v>0</v>
      </c>
      <c r="N322" t="n">
        <v>0</v>
      </c>
      <c r="O322" t="n">
        <v>0</v>
      </c>
      <c r="P322" t="n">
        <v>0</v>
      </c>
      <c r="Q322" t="n">
        <v>0</v>
      </c>
      <c r="R322" s="2" t="inlineStr"/>
    </row>
    <row r="323" ht="15" customHeight="1">
      <c r="A323" t="inlineStr">
        <is>
          <t>A 11103-2025</t>
        </is>
      </c>
      <c r="B323" s="1" t="n">
        <v>45723</v>
      </c>
      <c r="C323" s="1" t="n">
        <v>46041</v>
      </c>
      <c r="D323" t="inlineStr">
        <is>
          <t>UPPSALA LÄN</t>
        </is>
      </c>
      <c r="E323" t="inlineStr">
        <is>
          <t>UPPSALA</t>
        </is>
      </c>
      <c r="G323" t="n">
        <v>7.9</v>
      </c>
      <c r="H323" t="n">
        <v>0</v>
      </c>
      <c r="I323" t="n">
        <v>0</v>
      </c>
      <c r="J323" t="n">
        <v>0</v>
      </c>
      <c r="K323" t="n">
        <v>0</v>
      </c>
      <c r="L323" t="n">
        <v>0</v>
      </c>
      <c r="M323" t="n">
        <v>0</v>
      </c>
      <c r="N323" t="n">
        <v>0</v>
      </c>
      <c r="O323" t="n">
        <v>0</v>
      </c>
      <c r="P323" t="n">
        <v>0</v>
      </c>
      <c r="Q323" t="n">
        <v>0</v>
      </c>
      <c r="R323" s="2" t="inlineStr"/>
    </row>
    <row r="324" ht="15" customHeight="1">
      <c r="A324" t="inlineStr">
        <is>
          <t>A 57410-2025</t>
        </is>
      </c>
      <c r="B324" s="1" t="n">
        <v>45980.4484837963</v>
      </c>
      <c r="C324" s="1" t="n">
        <v>46041</v>
      </c>
      <c r="D324" t="inlineStr">
        <is>
          <t>UPPSALA LÄN</t>
        </is>
      </c>
      <c r="E324" t="inlineStr">
        <is>
          <t>UPPSALA</t>
        </is>
      </c>
      <c r="G324" t="n">
        <v>3.1</v>
      </c>
      <c r="H324" t="n">
        <v>0</v>
      </c>
      <c r="I324" t="n">
        <v>0</v>
      </c>
      <c r="J324" t="n">
        <v>0</v>
      </c>
      <c r="K324" t="n">
        <v>0</v>
      </c>
      <c r="L324" t="n">
        <v>0</v>
      </c>
      <c r="M324" t="n">
        <v>0</v>
      </c>
      <c r="N324" t="n">
        <v>0</v>
      </c>
      <c r="O324" t="n">
        <v>0</v>
      </c>
      <c r="P324" t="n">
        <v>0</v>
      </c>
      <c r="Q324" t="n">
        <v>0</v>
      </c>
      <c r="R324" s="2" t="inlineStr"/>
    </row>
    <row r="325" ht="15" customHeight="1">
      <c r="A325" t="inlineStr">
        <is>
          <t>A 48571-2023</t>
        </is>
      </c>
      <c r="B325" s="1" t="n">
        <v>45208.46130787037</v>
      </c>
      <c r="C325" s="1" t="n">
        <v>46041</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59996-2024</t>
        </is>
      </c>
      <c r="B326" s="1" t="n">
        <v>45642</v>
      </c>
      <c r="C326" s="1" t="n">
        <v>46041</v>
      </c>
      <c r="D326" t="inlineStr">
        <is>
          <t>UPPSALA LÄN</t>
        </is>
      </c>
      <c r="E326" t="inlineStr">
        <is>
          <t>UPPSALA</t>
        </is>
      </c>
      <c r="F326" t="inlineStr">
        <is>
          <t>Bergvik skog väst AB</t>
        </is>
      </c>
      <c r="G326" t="n">
        <v>14.5</v>
      </c>
      <c r="H326" t="n">
        <v>0</v>
      </c>
      <c r="I326" t="n">
        <v>0</v>
      </c>
      <c r="J326" t="n">
        <v>0</v>
      </c>
      <c r="K326" t="n">
        <v>0</v>
      </c>
      <c r="L326" t="n">
        <v>0</v>
      </c>
      <c r="M326" t="n">
        <v>0</v>
      </c>
      <c r="N326" t="n">
        <v>0</v>
      </c>
      <c r="O326" t="n">
        <v>0</v>
      </c>
      <c r="P326" t="n">
        <v>0</v>
      </c>
      <c r="Q326" t="n">
        <v>0</v>
      </c>
      <c r="R326" s="2" t="inlineStr"/>
    </row>
    <row r="327" ht="15" customHeight="1">
      <c r="A327" t="inlineStr">
        <is>
          <t>A 41444-2025</t>
        </is>
      </c>
      <c r="B327" s="1" t="n">
        <v>45901.41756944444</v>
      </c>
      <c r="C327" s="1" t="n">
        <v>46041</v>
      </c>
      <c r="D327" t="inlineStr">
        <is>
          <t>UPPSALA LÄN</t>
        </is>
      </c>
      <c r="E327" t="inlineStr">
        <is>
          <t>UPPSALA</t>
        </is>
      </c>
      <c r="F327" t="inlineStr">
        <is>
          <t>Kyrkan</t>
        </is>
      </c>
      <c r="G327" t="n">
        <v>4.5</v>
      </c>
      <c r="H327" t="n">
        <v>0</v>
      </c>
      <c r="I327" t="n">
        <v>0</v>
      </c>
      <c r="J327" t="n">
        <v>0</v>
      </c>
      <c r="K327" t="n">
        <v>0</v>
      </c>
      <c r="L327" t="n">
        <v>0</v>
      </c>
      <c r="M327" t="n">
        <v>0</v>
      </c>
      <c r="N327" t="n">
        <v>0</v>
      </c>
      <c r="O327" t="n">
        <v>0</v>
      </c>
      <c r="P327" t="n">
        <v>0</v>
      </c>
      <c r="Q327" t="n">
        <v>0</v>
      </c>
      <c r="R327" s="2" t="inlineStr"/>
    </row>
    <row r="328" ht="15" customHeight="1">
      <c r="A328" t="inlineStr">
        <is>
          <t>A 48588-2022</t>
        </is>
      </c>
      <c r="B328" s="1" t="n">
        <v>44859.36896990741</v>
      </c>
      <c r="C328" s="1" t="n">
        <v>46041</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22996-2021</t>
        </is>
      </c>
      <c r="B329" s="1" t="n">
        <v>44328</v>
      </c>
      <c r="C329" s="1" t="n">
        <v>46041</v>
      </c>
      <c r="D329" t="inlineStr">
        <is>
          <t>UPPSALA LÄN</t>
        </is>
      </c>
      <c r="E329" t="inlineStr">
        <is>
          <t>UPPSALA</t>
        </is>
      </c>
      <c r="F329" t="inlineStr">
        <is>
          <t>Bergvik skog öst AB</t>
        </is>
      </c>
      <c r="G329" t="n">
        <v>3.1</v>
      </c>
      <c r="H329" t="n">
        <v>0</v>
      </c>
      <c r="I329" t="n">
        <v>0</v>
      </c>
      <c r="J329" t="n">
        <v>0</v>
      </c>
      <c r="K329" t="n">
        <v>0</v>
      </c>
      <c r="L329" t="n">
        <v>0</v>
      </c>
      <c r="M329" t="n">
        <v>0</v>
      </c>
      <c r="N329" t="n">
        <v>0</v>
      </c>
      <c r="O329" t="n">
        <v>0</v>
      </c>
      <c r="P329" t="n">
        <v>0</v>
      </c>
      <c r="Q329" t="n">
        <v>0</v>
      </c>
      <c r="R329" s="2" t="inlineStr"/>
    </row>
    <row r="330" ht="15" customHeight="1">
      <c r="A330" t="inlineStr">
        <is>
          <t>A 41707-2025</t>
        </is>
      </c>
      <c r="B330" s="1" t="n">
        <v>45902.42243055555</v>
      </c>
      <c r="C330" s="1" t="n">
        <v>46041</v>
      </c>
      <c r="D330" t="inlineStr">
        <is>
          <t>UPPSALA LÄN</t>
        </is>
      </c>
      <c r="E330" t="inlineStr">
        <is>
          <t>UPPSALA</t>
        </is>
      </c>
      <c r="F330" t="inlineStr">
        <is>
          <t>Allmännings- och besparingsskogar</t>
        </is>
      </c>
      <c r="G330" t="n">
        <v>3.3</v>
      </c>
      <c r="H330" t="n">
        <v>0</v>
      </c>
      <c r="I330" t="n">
        <v>0</v>
      </c>
      <c r="J330" t="n">
        <v>0</v>
      </c>
      <c r="K330" t="n">
        <v>0</v>
      </c>
      <c r="L330" t="n">
        <v>0</v>
      </c>
      <c r="M330" t="n">
        <v>0</v>
      </c>
      <c r="N330" t="n">
        <v>0</v>
      </c>
      <c r="O330" t="n">
        <v>0</v>
      </c>
      <c r="P330" t="n">
        <v>0</v>
      </c>
      <c r="Q330" t="n">
        <v>0</v>
      </c>
      <c r="R330" s="2" t="inlineStr"/>
    </row>
    <row r="331" ht="15" customHeight="1">
      <c r="A331" t="inlineStr">
        <is>
          <t>A 57709-2025</t>
        </is>
      </c>
      <c r="B331" s="1" t="n">
        <v>45981</v>
      </c>
      <c r="C331" s="1" t="n">
        <v>46041</v>
      </c>
      <c r="D331" t="inlineStr">
        <is>
          <t>UPPSALA LÄN</t>
        </is>
      </c>
      <c r="E331" t="inlineStr">
        <is>
          <t>UPPSALA</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43032-2022</t>
        </is>
      </c>
      <c r="B332" s="1" t="n">
        <v>44832</v>
      </c>
      <c r="C332" s="1" t="n">
        <v>46041</v>
      </c>
      <c r="D332" t="inlineStr">
        <is>
          <t>UPPSALA LÄN</t>
        </is>
      </c>
      <c r="E332" t="inlineStr">
        <is>
          <t>UPPSALA</t>
        </is>
      </c>
      <c r="G332" t="n">
        <v>1.5</v>
      </c>
      <c r="H332" t="n">
        <v>0</v>
      </c>
      <c r="I332" t="n">
        <v>0</v>
      </c>
      <c r="J332" t="n">
        <v>0</v>
      </c>
      <c r="K332" t="n">
        <v>0</v>
      </c>
      <c r="L332" t="n">
        <v>0</v>
      </c>
      <c r="M332" t="n">
        <v>0</v>
      </c>
      <c r="N332" t="n">
        <v>0</v>
      </c>
      <c r="O332" t="n">
        <v>0</v>
      </c>
      <c r="P332" t="n">
        <v>0</v>
      </c>
      <c r="Q332" t="n">
        <v>0</v>
      </c>
      <c r="R332" s="2" t="inlineStr"/>
    </row>
    <row r="333" ht="15" customHeight="1">
      <c r="A333" t="inlineStr">
        <is>
          <t>A 58104-2025</t>
        </is>
      </c>
      <c r="B333" s="1" t="n">
        <v>45982</v>
      </c>
      <c r="C333" s="1" t="n">
        <v>46041</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57796-2025</t>
        </is>
      </c>
      <c r="B334" s="1" t="n">
        <v>45981.58204861111</v>
      </c>
      <c r="C334" s="1" t="n">
        <v>46041</v>
      </c>
      <c r="D334" t="inlineStr">
        <is>
          <t>UPPSALA LÄN</t>
        </is>
      </c>
      <c r="E334" t="inlineStr">
        <is>
          <t>UPPSALA</t>
        </is>
      </c>
      <c r="G334" t="n">
        <v>2.6</v>
      </c>
      <c r="H334" t="n">
        <v>0</v>
      </c>
      <c r="I334" t="n">
        <v>0</v>
      </c>
      <c r="J334" t="n">
        <v>0</v>
      </c>
      <c r="K334" t="n">
        <v>0</v>
      </c>
      <c r="L334" t="n">
        <v>0</v>
      </c>
      <c r="M334" t="n">
        <v>0</v>
      </c>
      <c r="N334" t="n">
        <v>0</v>
      </c>
      <c r="O334" t="n">
        <v>0</v>
      </c>
      <c r="P334" t="n">
        <v>0</v>
      </c>
      <c r="Q334" t="n">
        <v>0</v>
      </c>
      <c r="R334" s="2" t="inlineStr"/>
    </row>
    <row r="335" ht="15" customHeight="1">
      <c r="A335" t="inlineStr">
        <is>
          <t>A 41445-2025</t>
        </is>
      </c>
      <c r="B335" s="1" t="n">
        <v>45901.41853009259</v>
      </c>
      <c r="C335" s="1" t="n">
        <v>46041</v>
      </c>
      <c r="D335" t="inlineStr">
        <is>
          <t>UPPSALA LÄN</t>
        </is>
      </c>
      <c r="E335" t="inlineStr">
        <is>
          <t>UPPSALA</t>
        </is>
      </c>
      <c r="F335" t="inlineStr">
        <is>
          <t>Kyrkan</t>
        </is>
      </c>
      <c r="G335" t="n">
        <v>4.5</v>
      </c>
      <c r="H335" t="n">
        <v>0</v>
      </c>
      <c r="I335" t="n">
        <v>0</v>
      </c>
      <c r="J335" t="n">
        <v>0</v>
      </c>
      <c r="K335" t="n">
        <v>0</v>
      </c>
      <c r="L335" t="n">
        <v>0</v>
      </c>
      <c r="M335" t="n">
        <v>0</v>
      </c>
      <c r="N335" t="n">
        <v>0</v>
      </c>
      <c r="O335" t="n">
        <v>0</v>
      </c>
      <c r="P335" t="n">
        <v>0</v>
      </c>
      <c r="Q335" t="n">
        <v>0</v>
      </c>
      <c r="R335" s="2" t="inlineStr"/>
    </row>
    <row r="336" ht="15" customHeight="1">
      <c r="A336" t="inlineStr">
        <is>
          <t>A 33689-2023</t>
        </is>
      </c>
      <c r="B336" s="1" t="n">
        <v>45119</v>
      </c>
      <c r="C336" s="1" t="n">
        <v>46041</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57736-2025</t>
        </is>
      </c>
      <c r="B337" s="1" t="n">
        <v>45981</v>
      </c>
      <c r="C337" s="1" t="n">
        <v>46041</v>
      </c>
      <c r="D337" t="inlineStr">
        <is>
          <t>UPPSALA LÄN</t>
        </is>
      </c>
      <c r="E337" t="inlineStr">
        <is>
          <t>UPPSALA</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54715-2022</t>
        </is>
      </c>
      <c r="B338" s="1" t="n">
        <v>44883</v>
      </c>
      <c r="C338" s="1" t="n">
        <v>46041</v>
      </c>
      <c r="D338" t="inlineStr">
        <is>
          <t>UPPSALA LÄN</t>
        </is>
      </c>
      <c r="E338" t="inlineStr">
        <is>
          <t>UPPSALA</t>
        </is>
      </c>
      <c r="F338" t="inlineStr">
        <is>
          <t>Övriga Aktiebolag</t>
        </is>
      </c>
      <c r="G338" t="n">
        <v>9.5</v>
      </c>
      <c r="H338" t="n">
        <v>0</v>
      </c>
      <c r="I338" t="n">
        <v>0</v>
      </c>
      <c r="J338" t="n">
        <v>0</v>
      </c>
      <c r="K338" t="n">
        <v>0</v>
      </c>
      <c r="L338" t="n">
        <v>0</v>
      </c>
      <c r="M338" t="n">
        <v>0</v>
      </c>
      <c r="N338" t="n">
        <v>0</v>
      </c>
      <c r="O338" t="n">
        <v>0</v>
      </c>
      <c r="P338" t="n">
        <v>0</v>
      </c>
      <c r="Q338" t="n">
        <v>0</v>
      </c>
      <c r="R338" s="2" t="inlineStr"/>
    </row>
    <row r="339" ht="15" customHeight="1">
      <c r="A339" t="inlineStr">
        <is>
          <t>A 50954-2022</t>
        </is>
      </c>
      <c r="B339" s="1" t="n">
        <v>44866</v>
      </c>
      <c r="C339" s="1" t="n">
        <v>46041</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57827-2025</t>
        </is>
      </c>
      <c r="B340" s="1" t="n">
        <v>45981.60923611111</v>
      </c>
      <c r="C340" s="1" t="n">
        <v>46041</v>
      </c>
      <c r="D340" t="inlineStr">
        <is>
          <t>UPPSALA LÄN</t>
        </is>
      </c>
      <c r="E340" t="inlineStr">
        <is>
          <t>UPPSALA</t>
        </is>
      </c>
      <c r="F340" t="inlineStr">
        <is>
          <t>Kyrkan</t>
        </is>
      </c>
      <c r="G340" t="n">
        <v>2.9</v>
      </c>
      <c r="H340" t="n">
        <v>0</v>
      </c>
      <c r="I340" t="n">
        <v>0</v>
      </c>
      <c r="J340" t="n">
        <v>0</v>
      </c>
      <c r="K340" t="n">
        <v>0</v>
      </c>
      <c r="L340" t="n">
        <v>0</v>
      </c>
      <c r="M340" t="n">
        <v>0</v>
      </c>
      <c r="N340" t="n">
        <v>0</v>
      </c>
      <c r="O340" t="n">
        <v>0</v>
      </c>
      <c r="P340" t="n">
        <v>0</v>
      </c>
      <c r="Q340" t="n">
        <v>0</v>
      </c>
      <c r="R340" s="2" t="inlineStr"/>
    </row>
    <row r="341" ht="15" customHeight="1">
      <c r="A341" t="inlineStr">
        <is>
          <t>A 57836-2025</t>
        </is>
      </c>
      <c r="B341" s="1" t="n">
        <v>45981.61822916667</v>
      </c>
      <c r="C341" s="1" t="n">
        <v>46041</v>
      </c>
      <c r="D341" t="inlineStr">
        <is>
          <t>UPPSALA LÄN</t>
        </is>
      </c>
      <c r="E341" t="inlineStr">
        <is>
          <t>UPPSALA</t>
        </is>
      </c>
      <c r="F341" t="inlineStr">
        <is>
          <t>Kyrkan</t>
        </is>
      </c>
      <c r="G341" t="n">
        <v>0.8</v>
      </c>
      <c r="H341" t="n">
        <v>0</v>
      </c>
      <c r="I341" t="n">
        <v>0</v>
      </c>
      <c r="J341" t="n">
        <v>0</v>
      </c>
      <c r="K341" t="n">
        <v>0</v>
      </c>
      <c r="L341" t="n">
        <v>0</v>
      </c>
      <c r="M341" t="n">
        <v>0</v>
      </c>
      <c r="N341" t="n">
        <v>0</v>
      </c>
      <c r="O341" t="n">
        <v>0</v>
      </c>
      <c r="P341" t="n">
        <v>0</v>
      </c>
      <c r="Q341" t="n">
        <v>0</v>
      </c>
      <c r="R341" s="2" t="inlineStr"/>
    </row>
    <row r="342" ht="15" customHeight="1">
      <c r="A342" t="inlineStr">
        <is>
          <t>A 6602-2023</t>
        </is>
      </c>
      <c r="B342" s="1" t="n">
        <v>44966</v>
      </c>
      <c r="C342" s="1" t="n">
        <v>46041</v>
      </c>
      <c r="D342" t="inlineStr">
        <is>
          <t>UPPSALA LÄN</t>
        </is>
      </c>
      <c r="E342" t="inlineStr">
        <is>
          <t>UPPSALA</t>
        </is>
      </c>
      <c r="F342" t="inlineStr">
        <is>
          <t>Allmännings- och besparingsskogar</t>
        </is>
      </c>
      <c r="G342" t="n">
        <v>20.2</v>
      </c>
      <c r="H342" t="n">
        <v>0</v>
      </c>
      <c r="I342" t="n">
        <v>0</v>
      </c>
      <c r="J342" t="n">
        <v>0</v>
      </c>
      <c r="K342" t="n">
        <v>0</v>
      </c>
      <c r="L342" t="n">
        <v>0</v>
      </c>
      <c r="M342" t="n">
        <v>0</v>
      </c>
      <c r="N342" t="n">
        <v>0</v>
      </c>
      <c r="O342" t="n">
        <v>0</v>
      </c>
      <c r="P342" t="n">
        <v>0</v>
      </c>
      <c r="Q342" t="n">
        <v>0</v>
      </c>
      <c r="R342" s="2" t="inlineStr"/>
    </row>
    <row r="343" ht="15" customHeight="1">
      <c r="A343" t="inlineStr">
        <is>
          <t>A 53206-2025</t>
        </is>
      </c>
      <c r="B343" s="1" t="n">
        <v>45958.58711805556</v>
      </c>
      <c r="C343" s="1" t="n">
        <v>46041</v>
      </c>
      <c r="D343" t="inlineStr">
        <is>
          <t>UPPSALA LÄN</t>
        </is>
      </c>
      <c r="E343" t="inlineStr">
        <is>
          <t>UPPSALA</t>
        </is>
      </c>
      <c r="F343" t="inlineStr">
        <is>
          <t>Bergvik skog väst AB</t>
        </is>
      </c>
      <c r="G343" t="n">
        <v>18.6</v>
      </c>
      <c r="H343" t="n">
        <v>0</v>
      </c>
      <c r="I343" t="n">
        <v>0</v>
      </c>
      <c r="J343" t="n">
        <v>0</v>
      </c>
      <c r="K343" t="n">
        <v>0</v>
      </c>
      <c r="L343" t="n">
        <v>0</v>
      </c>
      <c r="M343" t="n">
        <v>0</v>
      </c>
      <c r="N343" t="n">
        <v>0</v>
      </c>
      <c r="O343" t="n">
        <v>0</v>
      </c>
      <c r="P343" t="n">
        <v>0</v>
      </c>
      <c r="Q343" t="n">
        <v>0</v>
      </c>
      <c r="R343" s="2" t="inlineStr"/>
    </row>
    <row r="344" ht="15" customHeight="1">
      <c r="A344" t="inlineStr">
        <is>
          <t>A 42084-2025</t>
        </is>
      </c>
      <c r="B344" s="1" t="n">
        <v>45903.69096064815</v>
      </c>
      <c r="C344" s="1" t="n">
        <v>46041</v>
      </c>
      <c r="D344" t="inlineStr">
        <is>
          <t>UPPSALA LÄN</t>
        </is>
      </c>
      <c r="E344" t="inlineStr">
        <is>
          <t>UPPSALA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42085-2025</t>
        </is>
      </c>
      <c r="B345" s="1" t="n">
        <v>45903.69358796296</v>
      </c>
      <c r="C345" s="1" t="n">
        <v>46041</v>
      </c>
      <c r="D345" t="inlineStr">
        <is>
          <t>UPPSALA LÄN</t>
        </is>
      </c>
      <c r="E345" t="inlineStr">
        <is>
          <t>UPPSALA</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57789-2025</t>
        </is>
      </c>
      <c r="B346" s="1" t="n">
        <v>45981.57793981482</v>
      </c>
      <c r="C346" s="1" t="n">
        <v>46041</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12211-2025</t>
        </is>
      </c>
      <c r="B347" s="1" t="n">
        <v>45729</v>
      </c>
      <c r="C347" s="1" t="n">
        <v>46041</v>
      </c>
      <c r="D347" t="inlineStr">
        <is>
          <t>UPPSALA LÄN</t>
        </is>
      </c>
      <c r="E347" t="inlineStr">
        <is>
          <t>UPPSALA</t>
        </is>
      </c>
      <c r="G347" t="n">
        <v>3.6</v>
      </c>
      <c r="H347" t="n">
        <v>0</v>
      </c>
      <c r="I347" t="n">
        <v>0</v>
      </c>
      <c r="J347" t="n">
        <v>0</v>
      </c>
      <c r="K347" t="n">
        <v>0</v>
      </c>
      <c r="L347" t="n">
        <v>0</v>
      </c>
      <c r="M347" t="n">
        <v>0</v>
      </c>
      <c r="N347" t="n">
        <v>0</v>
      </c>
      <c r="O347" t="n">
        <v>0</v>
      </c>
      <c r="P347" t="n">
        <v>0</v>
      </c>
      <c r="Q347" t="n">
        <v>0</v>
      </c>
      <c r="R347" s="2" t="inlineStr"/>
    </row>
    <row r="348" ht="15" customHeight="1">
      <c r="A348" t="inlineStr">
        <is>
          <t>A 26738-2025</t>
        </is>
      </c>
      <c r="B348" s="1" t="n">
        <v>45809</v>
      </c>
      <c r="C348" s="1" t="n">
        <v>46041</v>
      </c>
      <c r="D348" t="inlineStr">
        <is>
          <t>UPPSALA LÄN</t>
        </is>
      </c>
      <c r="E348" t="inlineStr">
        <is>
          <t>UPPSALA</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44501.71344907407</v>
      </c>
      <c r="C349" s="1" t="n">
        <v>46041</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26739-2025</t>
        </is>
      </c>
      <c r="B350" s="1" t="n">
        <v>45809</v>
      </c>
      <c r="C350" s="1" t="n">
        <v>46041</v>
      </c>
      <c r="D350" t="inlineStr">
        <is>
          <t>UPPSALA LÄN</t>
        </is>
      </c>
      <c r="E350" t="inlineStr">
        <is>
          <t>UPPSALA</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17211-2025</t>
        </is>
      </c>
      <c r="B351" s="1" t="n">
        <v>45756.44024305556</v>
      </c>
      <c r="C351" s="1" t="n">
        <v>46041</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24909-2025</t>
        </is>
      </c>
      <c r="B352" s="1" t="n">
        <v>45799.53348379629</v>
      </c>
      <c r="C352" s="1" t="n">
        <v>46041</v>
      </c>
      <c r="D352" t="inlineStr">
        <is>
          <t>UPPSALA LÄN</t>
        </is>
      </c>
      <c r="E352" t="inlineStr">
        <is>
          <t>UPPSALA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17250-2025</t>
        </is>
      </c>
      <c r="B353" s="1" t="n">
        <v>45756.50738425926</v>
      </c>
      <c r="C353" s="1" t="n">
        <v>46041</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42134-2025</t>
        </is>
      </c>
      <c r="B354" s="1" t="n">
        <v>45904</v>
      </c>
      <c r="C354" s="1" t="n">
        <v>46041</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41954-2025</t>
        </is>
      </c>
      <c r="B355" s="1" t="n">
        <v>45903</v>
      </c>
      <c r="C355" s="1" t="n">
        <v>46041</v>
      </c>
      <c r="D355" t="inlineStr">
        <is>
          <t>UPPSALA LÄN</t>
        </is>
      </c>
      <c r="E355" t="inlineStr">
        <is>
          <t>UPPSALA</t>
        </is>
      </c>
      <c r="G355" t="n">
        <v>7.5</v>
      </c>
      <c r="H355" t="n">
        <v>0</v>
      </c>
      <c r="I355" t="n">
        <v>0</v>
      </c>
      <c r="J355" t="n">
        <v>0</v>
      </c>
      <c r="K355" t="n">
        <v>0</v>
      </c>
      <c r="L355" t="n">
        <v>0</v>
      </c>
      <c r="M355" t="n">
        <v>0</v>
      </c>
      <c r="N355" t="n">
        <v>0</v>
      </c>
      <c r="O355" t="n">
        <v>0</v>
      </c>
      <c r="P355" t="n">
        <v>0</v>
      </c>
      <c r="Q355" t="n">
        <v>0</v>
      </c>
      <c r="R355" s="2" t="inlineStr"/>
    </row>
    <row r="356" ht="15" customHeight="1">
      <c r="A356" t="inlineStr">
        <is>
          <t>A 14400-2025</t>
        </is>
      </c>
      <c r="B356" s="1" t="n">
        <v>45741.45114583334</v>
      </c>
      <c r="C356" s="1" t="n">
        <v>46041</v>
      </c>
      <c r="D356" t="inlineStr">
        <is>
          <t>UPPSALA LÄN</t>
        </is>
      </c>
      <c r="E356" t="inlineStr">
        <is>
          <t>UPPSALA</t>
        </is>
      </c>
      <c r="G356" t="n">
        <v>6.6</v>
      </c>
      <c r="H356" t="n">
        <v>0</v>
      </c>
      <c r="I356" t="n">
        <v>0</v>
      </c>
      <c r="J356" t="n">
        <v>0</v>
      </c>
      <c r="K356" t="n">
        <v>0</v>
      </c>
      <c r="L356" t="n">
        <v>0</v>
      </c>
      <c r="M356" t="n">
        <v>0</v>
      </c>
      <c r="N356" t="n">
        <v>0</v>
      </c>
      <c r="O356" t="n">
        <v>0</v>
      </c>
      <c r="P356" t="n">
        <v>0</v>
      </c>
      <c r="Q356" t="n">
        <v>0</v>
      </c>
      <c r="R356" s="2" t="inlineStr"/>
    </row>
    <row r="357" ht="15" customHeight="1">
      <c r="A357" t="inlineStr">
        <is>
          <t>A 60729-2024</t>
        </is>
      </c>
      <c r="B357" s="1" t="n">
        <v>45644</v>
      </c>
      <c r="C357" s="1" t="n">
        <v>46041</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42347-2025</t>
        </is>
      </c>
      <c r="B358" s="1" t="n">
        <v>45904.77746527778</v>
      </c>
      <c r="C358" s="1" t="n">
        <v>46041</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73326-2021</t>
        </is>
      </c>
      <c r="B359" s="1" t="n">
        <v>44548</v>
      </c>
      <c r="C359" s="1" t="n">
        <v>46041</v>
      </c>
      <c r="D359" t="inlineStr">
        <is>
          <t>UPPSALA LÄN</t>
        </is>
      </c>
      <c r="E359" t="inlineStr">
        <is>
          <t>UPPSALA</t>
        </is>
      </c>
      <c r="G359" t="n">
        <v>4</v>
      </c>
      <c r="H359" t="n">
        <v>0</v>
      </c>
      <c r="I359" t="n">
        <v>0</v>
      </c>
      <c r="J359" t="n">
        <v>0</v>
      </c>
      <c r="K359" t="n">
        <v>0</v>
      </c>
      <c r="L359" t="n">
        <v>0</v>
      </c>
      <c r="M359" t="n">
        <v>0</v>
      </c>
      <c r="N359" t="n">
        <v>0</v>
      </c>
      <c r="O359" t="n">
        <v>0</v>
      </c>
      <c r="P359" t="n">
        <v>0</v>
      </c>
      <c r="Q359" t="n">
        <v>0</v>
      </c>
      <c r="R359" s="2" t="inlineStr"/>
    </row>
    <row r="360" ht="15" customHeight="1">
      <c r="A360" t="inlineStr">
        <is>
          <t>A 73044-2021</t>
        </is>
      </c>
      <c r="B360" s="1" t="n">
        <v>44550.37994212963</v>
      </c>
      <c r="C360" s="1" t="n">
        <v>46041</v>
      </c>
      <c r="D360" t="inlineStr">
        <is>
          <t>UPPSALA LÄN</t>
        </is>
      </c>
      <c r="E360" t="inlineStr">
        <is>
          <t>UPPSALA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58193-2025</t>
        </is>
      </c>
      <c r="B361" s="1" t="n">
        <v>45983.85069444445</v>
      </c>
      <c r="C361" s="1" t="n">
        <v>46041</v>
      </c>
      <c r="D361" t="inlineStr">
        <is>
          <t>UPPSALA LÄN</t>
        </is>
      </c>
      <c r="E361" t="inlineStr">
        <is>
          <t>UPPSALA</t>
        </is>
      </c>
      <c r="G361" t="n">
        <v>2.7</v>
      </c>
      <c r="H361" t="n">
        <v>0</v>
      </c>
      <c r="I361" t="n">
        <v>0</v>
      </c>
      <c r="J361" t="n">
        <v>0</v>
      </c>
      <c r="K361" t="n">
        <v>0</v>
      </c>
      <c r="L361" t="n">
        <v>0</v>
      </c>
      <c r="M361" t="n">
        <v>0</v>
      </c>
      <c r="N361" t="n">
        <v>0</v>
      </c>
      <c r="O361" t="n">
        <v>0</v>
      </c>
      <c r="P361" t="n">
        <v>0</v>
      </c>
      <c r="Q361" t="n">
        <v>0</v>
      </c>
      <c r="R361" s="2" t="inlineStr"/>
    </row>
    <row r="362" ht="15" customHeight="1">
      <c r="A362" t="inlineStr">
        <is>
          <t>A 9313-2023</t>
        </is>
      </c>
      <c r="B362" s="1" t="n">
        <v>44980</v>
      </c>
      <c r="C362" s="1" t="n">
        <v>46041</v>
      </c>
      <c r="D362" t="inlineStr">
        <is>
          <t>UPPSALA LÄN</t>
        </is>
      </c>
      <c r="E362" t="inlineStr">
        <is>
          <t>UPPSALA</t>
        </is>
      </c>
      <c r="G362" t="n">
        <v>2.6</v>
      </c>
      <c r="H362" t="n">
        <v>0</v>
      </c>
      <c r="I362" t="n">
        <v>0</v>
      </c>
      <c r="J362" t="n">
        <v>0</v>
      </c>
      <c r="K362" t="n">
        <v>0</v>
      </c>
      <c r="L362" t="n">
        <v>0</v>
      </c>
      <c r="M362" t="n">
        <v>0</v>
      </c>
      <c r="N362" t="n">
        <v>0</v>
      </c>
      <c r="O362" t="n">
        <v>0</v>
      </c>
      <c r="P362" t="n">
        <v>0</v>
      </c>
      <c r="Q362" t="n">
        <v>0</v>
      </c>
      <c r="R362" s="2" t="inlineStr"/>
    </row>
    <row r="363" ht="15" customHeight="1">
      <c r="A363" t="inlineStr">
        <is>
          <t>A 42593-2025</t>
        </is>
      </c>
      <c r="B363" s="1" t="n">
        <v>45905.64862268518</v>
      </c>
      <c r="C363" s="1" t="n">
        <v>46041</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42541-2025</t>
        </is>
      </c>
      <c r="B364" s="1" t="n">
        <v>45905.5756712963</v>
      </c>
      <c r="C364" s="1" t="n">
        <v>46041</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46069-2022</t>
        </is>
      </c>
      <c r="B365" s="1" t="n">
        <v>44847</v>
      </c>
      <c r="C365" s="1" t="n">
        <v>46041</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59521-2023</t>
        </is>
      </c>
      <c r="B366" s="1" t="n">
        <v>45254.49552083333</v>
      </c>
      <c r="C366" s="1" t="n">
        <v>46041</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968-2026</t>
        </is>
      </c>
      <c r="B367" s="1" t="n">
        <v>46030.56152777778</v>
      </c>
      <c r="C367" s="1" t="n">
        <v>46041</v>
      </c>
      <c r="D367" t="inlineStr">
        <is>
          <t>UPPSALA LÄN</t>
        </is>
      </c>
      <c r="E367" t="inlineStr">
        <is>
          <t>UPPSALA</t>
        </is>
      </c>
      <c r="G367" t="n">
        <v>1.5</v>
      </c>
      <c r="H367" t="n">
        <v>0</v>
      </c>
      <c r="I367" t="n">
        <v>0</v>
      </c>
      <c r="J367" t="n">
        <v>0</v>
      </c>
      <c r="K367" t="n">
        <v>0</v>
      </c>
      <c r="L367" t="n">
        <v>0</v>
      </c>
      <c r="M367" t="n">
        <v>0</v>
      </c>
      <c r="N367" t="n">
        <v>0</v>
      </c>
      <c r="O367" t="n">
        <v>0</v>
      </c>
      <c r="P367" t="n">
        <v>0</v>
      </c>
      <c r="Q367" t="n">
        <v>0</v>
      </c>
      <c r="R367" s="2" t="inlineStr"/>
    </row>
    <row r="368" ht="15" customHeight="1">
      <c r="A368" t="inlineStr">
        <is>
          <t>A 60444-2023</t>
        </is>
      </c>
      <c r="B368" s="1" t="n">
        <v>45259.52809027778</v>
      </c>
      <c r="C368" s="1" t="n">
        <v>46041</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46920-2021</t>
        </is>
      </c>
      <c r="B369" s="1" t="n">
        <v>44446</v>
      </c>
      <c r="C369" s="1" t="n">
        <v>46041</v>
      </c>
      <c r="D369" t="inlineStr">
        <is>
          <t>UPPSALA LÄN</t>
        </is>
      </c>
      <c r="E369" t="inlineStr">
        <is>
          <t>UPPSALA</t>
        </is>
      </c>
      <c r="G369" t="n">
        <v>1.6</v>
      </c>
      <c r="H369" t="n">
        <v>0</v>
      </c>
      <c r="I369" t="n">
        <v>0</v>
      </c>
      <c r="J369" t="n">
        <v>0</v>
      </c>
      <c r="K369" t="n">
        <v>0</v>
      </c>
      <c r="L369" t="n">
        <v>0</v>
      </c>
      <c r="M369" t="n">
        <v>0</v>
      </c>
      <c r="N369" t="n">
        <v>0</v>
      </c>
      <c r="O369" t="n">
        <v>0</v>
      </c>
      <c r="P369" t="n">
        <v>0</v>
      </c>
      <c r="Q369" t="n">
        <v>0</v>
      </c>
      <c r="R369" s="2" t="inlineStr"/>
    </row>
    <row r="370" ht="15" customHeight="1">
      <c r="A370" t="inlineStr">
        <is>
          <t>A 53615-2024</t>
        </is>
      </c>
      <c r="B370" s="1" t="n">
        <v>45611</v>
      </c>
      <c r="C370" s="1" t="n">
        <v>46041</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27068-2023</t>
        </is>
      </c>
      <c r="B371" s="1" t="n">
        <v>45096</v>
      </c>
      <c r="C371" s="1" t="n">
        <v>46041</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50103-2025</t>
        </is>
      </c>
      <c r="B372" s="1" t="n">
        <v>45943.53451388889</v>
      </c>
      <c r="C372" s="1" t="n">
        <v>46041</v>
      </c>
      <c r="D372" t="inlineStr">
        <is>
          <t>UPPSALA LÄN</t>
        </is>
      </c>
      <c r="E372" t="inlineStr">
        <is>
          <t>UPPSALA</t>
        </is>
      </c>
      <c r="F372" t="inlineStr">
        <is>
          <t>Bergvik skog öst AB</t>
        </is>
      </c>
      <c r="G372" t="n">
        <v>3.5</v>
      </c>
      <c r="H372" t="n">
        <v>0</v>
      </c>
      <c r="I372" t="n">
        <v>0</v>
      </c>
      <c r="J372" t="n">
        <v>0</v>
      </c>
      <c r="K372" t="n">
        <v>0</v>
      </c>
      <c r="L372" t="n">
        <v>0</v>
      </c>
      <c r="M372" t="n">
        <v>0</v>
      </c>
      <c r="N372" t="n">
        <v>0</v>
      </c>
      <c r="O372" t="n">
        <v>0</v>
      </c>
      <c r="P372" t="n">
        <v>0</v>
      </c>
      <c r="Q372" t="n">
        <v>0</v>
      </c>
      <c r="R372" s="2" t="inlineStr"/>
    </row>
    <row r="373" ht="15" customHeight="1">
      <c r="A373" t="inlineStr">
        <is>
          <t>A 50104-2025</t>
        </is>
      </c>
      <c r="B373" s="1" t="n">
        <v>45943.5354050926</v>
      </c>
      <c r="C373" s="1" t="n">
        <v>46041</v>
      </c>
      <c r="D373" t="inlineStr">
        <is>
          <t>UPPSALA LÄN</t>
        </is>
      </c>
      <c r="E373" t="inlineStr">
        <is>
          <t>UPPSALA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17658-2025</t>
        </is>
      </c>
      <c r="B374" s="1" t="n">
        <v>45758</v>
      </c>
      <c r="C374" s="1" t="n">
        <v>46041</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37588-2022</t>
        </is>
      </c>
      <c r="B375" s="1" t="n">
        <v>44809.92752314815</v>
      </c>
      <c r="C375" s="1" t="n">
        <v>46041</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37670-2022</t>
        </is>
      </c>
      <c r="B376" s="1" t="n">
        <v>44810</v>
      </c>
      <c r="C376" s="1" t="n">
        <v>46041</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32276-2021</t>
        </is>
      </c>
      <c r="B377" s="1" t="n">
        <v>44371.49178240741</v>
      </c>
      <c r="C377" s="1" t="n">
        <v>46041</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7226-2024</t>
        </is>
      </c>
      <c r="B378" s="1" t="n">
        <v>45344.64759259259</v>
      </c>
      <c r="C378" s="1" t="n">
        <v>46041</v>
      </c>
      <c r="D378" t="inlineStr">
        <is>
          <t>UPPSALA LÄN</t>
        </is>
      </c>
      <c r="E378" t="inlineStr">
        <is>
          <t>UPPSALA</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29901-2023</t>
        </is>
      </c>
      <c r="B379" s="1" t="n">
        <v>45107</v>
      </c>
      <c r="C379" s="1" t="n">
        <v>46041</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29926-2023</t>
        </is>
      </c>
      <c r="B380" s="1" t="n">
        <v>45107</v>
      </c>
      <c r="C380" s="1" t="n">
        <v>46041</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29927-2023</t>
        </is>
      </c>
      <c r="B381" s="1" t="n">
        <v>45107</v>
      </c>
      <c r="C381" s="1" t="n">
        <v>46041</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7253-2024</t>
        </is>
      </c>
      <c r="B382" s="1" t="n">
        <v>45344.69567129629</v>
      </c>
      <c r="C382" s="1" t="n">
        <v>46041</v>
      </c>
      <c r="D382" t="inlineStr">
        <is>
          <t>UPPSALA LÄN</t>
        </is>
      </c>
      <c r="E382" t="inlineStr">
        <is>
          <t>UPPSALA</t>
        </is>
      </c>
      <c r="F382" t="inlineStr">
        <is>
          <t>Kyrkan</t>
        </is>
      </c>
      <c r="G382" t="n">
        <v>2.5</v>
      </c>
      <c r="H382" t="n">
        <v>0</v>
      </c>
      <c r="I382" t="n">
        <v>0</v>
      </c>
      <c r="J382" t="n">
        <v>0</v>
      </c>
      <c r="K382" t="n">
        <v>0</v>
      </c>
      <c r="L382" t="n">
        <v>0</v>
      </c>
      <c r="M382" t="n">
        <v>0</v>
      </c>
      <c r="N382" t="n">
        <v>0</v>
      </c>
      <c r="O382" t="n">
        <v>0</v>
      </c>
      <c r="P382" t="n">
        <v>0</v>
      </c>
      <c r="Q382" t="n">
        <v>0</v>
      </c>
      <c r="R382" s="2" t="inlineStr"/>
    </row>
    <row r="383" ht="15" customHeight="1">
      <c r="A383" t="inlineStr">
        <is>
          <t>A 39148-2022</t>
        </is>
      </c>
      <c r="B383" s="1" t="n">
        <v>44816</v>
      </c>
      <c r="C383" s="1" t="n">
        <v>46041</v>
      </c>
      <c r="D383" t="inlineStr">
        <is>
          <t>UPPSALA LÄN</t>
        </is>
      </c>
      <c r="E383" t="inlineStr">
        <is>
          <t>UPPSALA</t>
        </is>
      </c>
      <c r="F383" t="inlineStr">
        <is>
          <t>Övriga statliga verk och myndigheter</t>
        </is>
      </c>
      <c r="G383" t="n">
        <v>1.7</v>
      </c>
      <c r="H383" t="n">
        <v>0</v>
      </c>
      <c r="I383" t="n">
        <v>0</v>
      </c>
      <c r="J383" t="n">
        <v>0</v>
      </c>
      <c r="K383" t="n">
        <v>0</v>
      </c>
      <c r="L383" t="n">
        <v>0</v>
      </c>
      <c r="M383" t="n">
        <v>0</v>
      </c>
      <c r="N383" t="n">
        <v>0</v>
      </c>
      <c r="O383" t="n">
        <v>0</v>
      </c>
      <c r="P383" t="n">
        <v>0</v>
      </c>
      <c r="Q383" t="n">
        <v>0</v>
      </c>
      <c r="R383" s="2" t="inlineStr"/>
    </row>
    <row r="384" ht="15" customHeight="1">
      <c r="A384" t="inlineStr">
        <is>
          <t>A 43056-2025</t>
        </is>
      </c>
      <c r="B384" s="1" t="n">
        <v>45909.57565972222</v>
      </c>
      <c r="C384" s="1" t="n">
        <v>46041</v>
      </c>
      <c r="D384" t="inlineStr">
        <is>
          <t>UPPSALA LÄN</t>
        </is>
      </c>
      <c r="E384" t="inlineStr">
        <is>
          <t>UPPSALA</t>
        </is>
      </c>
      <c r="F384" t="inlineStr">
        <is>
          <t>Allmännings- och besparingsskogar</t>
        </is>
      </c>
      <c r="G384" t="n">
        <v>11.8</v>
      </c>
      <c r="H384" t="n">
        <v>0</v>
      </c>
      <c r="I384" t="n">
        <v>0</v>
      </c>
      <c r="J384" t="n">
        <v>0</v>
      </c>
      <c r="K384" t="n">
        <v>0</v>
      </c>
      <c r="L384" t="n">
        <v>0</v>
      </c>
      <c r="M384" t="n">
        <v>0</v>
      </c>
      <c r="N384" t="n">
        <v>0</v>
      </c>
      <c r="O384" t="n">
        <v>0</v>
      </c>
      <c r="P384" t="n">
        <v>0</v>
      </c>
      <c r="Q384" t="n">
        <v>0</v>
      </c>
      <c r="R384" s="2" t="inlineStr"/>
    </row>
    <row r="385" ht="15" customHeight="1">
      <c r="A385" t="inlineStr">
        <is>
          <t>A 34509-2023</t>
        </is>
      </c>
      <c r="B385" s="1" t="n">
        <v>45133</v>
      </c>
      <c r="C385" s="1" t="n">
        <v>46041</v>
      </c>
      <c r="D385" t="inlineStr">
        <is>
          <t>UPPSALA LÄN</t>
        </is>
      </c>
      <c r="E385" t="inlineStr">
        <is>
          <t>UPPSALA</t>
        </is>
      </c>
      <c r="G385" t="n">
        <v>2.6</v>
      </c>
      <c r="H385" t="n">
        <v>0</v>
      </c>
      <c r="I385" t="n">
        <v>0</v>
      </c>
      <c r="J385" t="n">
        <v>0</v>
      </c>
      <c r="K385" t="n">
        <v>0</v>
      </c>
      <c r="L385" t="n">
        <v>0</v>
      </c>
      <c r="M385" t="n">
        <v>0</v>
      </c>
      <c r="N385" t="n">
        <v>0</v>
      </c>
      <c r="O385" t="n">
        <v>0</v>
      </c>
      <c r="P385" t="n">
        <v>0</v>
      </c>
      <c r="Q385" t="n">
        <v>0</v>
      </c>
      <c r="R385" s="2" t="inlineStr"/>
    </row>
    <row r="386" ht="15" customHeight="1">
      <c r="A386" t="inlineStr">
        <is>
          <t>A 27119-2023</t>
        </is>
      </c>
      <c r="B386" s="1" t="n">
        <v>45096</v>
      </c>
      <c r="C386" s="1" t="n">
        <v>46041</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918-2026</t>
        </is>
      </c>
      <c r="B387" s="1" t="n">
        <v>46030.48498842592</v>
      </c>
      <c r="C387" s="1" t="n">
        <v>46041</v>
      </c>
      <c r="D387" t="inlineStr">
        <is>
          <t>UPPSALA LÄN</t>
        </is>
      </c>
      <c r="E387" t="inlineStr">
        <is>
          <t>UPPSALA</t>
        </is>
      </c>
      <c r="F387" t="inlineStr">
        <is>
          <t>Övriga statliga verk och myndigheter</t>
        </is>
      </c>
      <c r="G387" t="n">
        <v>15.1</v>
      </c>
      <c r="H387" t="n">
        <v>0</v>
      </c>
      <c r="I387" t="n">
        <v>0</v>
      </c>
      <c r="J387" t="n">
        <v>0</v>
      </c>
      <c r="K387" t="n">
        <v>0</v>
      </c>
      <c r="L387" t="n">
        <v>0</v>
      </c>
      <c r="M387" t="n">
        <v>0</v>
      </c>
      <c r="N387" t="n">
        <v>0</v>
      </c>
      <c r="O387" t="n">
        <v>0</v>
      </c>
      <c r="P387" t="n">
        <v>0</v>
      </c>
      <c r="Q387" t="n">
        <v>0</v>
      </c>
      <c r="R387" s="2" t="inlineStr"/>
    </row>
    <row r="388" ht="15" customHeight="1">
      <c r="A388" t="inlineStr">
        <is>
          <t>A 50102-2025</t>
        </is>
      </c>
      <c r="B388" s="1" t="n">
        <v>45943.53341435185</v>
      </c>
      <c r="C388" s="1" t="n">
        <v>46041</v>
      </c>
      <c r="D388" t="inlineStr">
        <is>
          <t>UPPSALA LÄN</t>
        </is>
      </c>
      <c r="E388" t="inlineStr">
        <is>
          <t>UPPSALA</t>
        </is>
      </c>
      <c r="F388" t="inlineStr">
        <is>
          <t>Bergvik skog öst AB</t>
        </is>
      </c>
      <c r="G388" t="n">
        <v>5.8</v>
      </c>
      <c r="H388" t="n">
        <v>0</v>
      </c>
      <c r="I388" t="n">
        <v>0</v>
      </c>
      <c r="J388" t="n">
        <v>0</v>
      </c>
      <c r="K388" t="n">
        <v>0</v>
      </c>
      <c r="L388" t="n">
        <v>0</v>
      </c>
      <c r="M388" t="n">
        <v>0</v>
      </c>
      <c r="N388" t="n">
        <v>0</v>
      </c>
      <c r="O388" t="n">
        <v>0</v>
      </c>
      <c r="P388" t="n">
        <v>0</v>
      </c>
      <c r="Q388" t="n">
        <v>0</v>
      </c>
      <c r="R388" s="2" t="inlineStr"/>
    </row>
    <row r="389" ht="15" customHeight="1">
      <c r="A389" t="inlineStr">
        <is>
          <t>A 27903-2023</t>
        </is>
      </c>
      <c r="B389" s="1" t="n">
        <v>45098.62966435185</v>
      </c>
      <c r="C389" s="1" t="n">
        <v>46041</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10394-2025</t>
        </is>
      </c>
      <c r="B390" s="1" t="n">
        <v>45720.60410879629</v>
      </c>
      <c r="C390" s="1" t="n">
        <v>46041</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59207-2025</t>
        </is>
      </c>
      <c r="B391" s="1" t="n">
        <v>45988.61304398148</v>
      </c>
      <c r="C391" s="1" t="n">
        <v>46041</v>
      </c>
      <c r="D391" t="inlineStr">
        <is>
          <t>UPPSALA LÄN</t>
        </is>
      </c>
      <c r="E391" t="inlineStr">
        <is>
          <t>UPPSALA</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482-2026</t>
        </is>
      </c>
      <c r="B392" s="1" t="n">
        <v>46029.40886574074</v>
      </c>
      <c r="C392" s="1" t="n">
        <v>46041</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72224-2021</t>
        </is>
      </c>
      <c r="B393" s="1" t="n">
        <v>44544</v>
      </c>
      <c r="C393" s="1" t="n">
        <v>46041</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66686-2021</t>
        </is>
      </c>
      <c r="B394" s="1" t="n">
        <v>44519</v>
      </c>
      <c r="C394" s="1" t="n">
        <v>46041</v>
      </c>
      <c r="D394" t="inlineStr">
        <is>
          <t>UPPSALA LÄN</t>
        </is>
      </c>
      <c r="E394" t="inlineStr">
        <is>
          <t>UPPSALA</t>
        </is>
      </c>
      <c r="G394" t="n">
        <v>6.4</v>
      </c>
      <c r="H394" t="n">
        <v>0</v>
      </c>
      <c r="I394" t="n">
        <v>0</v>
      </c>
      <c r="J394" t="n">
        <v>0</v>
      </c>
      <c r="K394" t="n">
        <v>0</v>
      </c>
      <c r="L394" t="n">
        <v>0</v>
      </c>
      <c r="M394" t="n">
        <v>0</v>
      </c>
      <c r="N394" t="n">
        <v>0</v>
      </c>
      <c r="O394" t="n">
        <v>0</v>
      </c>
      <c r="P394" t="n">
        <v>0</v>
      </c>
      <c r="Q394" t="n">
        <v>0</v>
      </c>
      <c r="R394" s="2" t="inlineStr"/>
    </row>
    <row r="395" ht="15" customHeight="1">
      <c r="A395" t="inlineStr">
        <is>
          <t>A 5899-2024</t>
        </is>
      </c>
      <c r="B395" s="1" t="n">
        <v>45335</v>
      </c>
      <c r="C395" s="1" t="n">
        <v>46041</v>
      </c>
      <c r="D395" t="inlineStr">
        <is>
          <t>UPPSALA LÄN</t>
        </is>
      </c>
      <c r="E395" t="inlineStr">
        <is>
          <t>UPPSALA</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45-2024</t>
        </is>
      </c>
      <c r="B396" s="1" t="n">
        <v>45293</v>
      </c>
      <c r="C396" s="1" t="n">
        <v>46041</v>
      </c>
      <c r="D396" t="inlineStr">
        <is>
          <t>UPPSALA LÄN</t>
        </is>
      </c>
      <c r="E396" t="inlineStr">
        <is>
          <t>UPPSALA</t>
        </is>
      </c>
      <c r="G396" t="n">
        <v>12.5</v>
      </c>
      <c r="H396" t="n">
        <v>0</v>
      </c>
      <c r="I396" t="n">
        <v>0</v>
      </c>
      <c r="J396" t="n">
        <v>0</v>
      </c>
      <c r="K396" t="n">
        <v>0</v>
      </c>
      <c r="L396" t="n">
        <v>0</v>
      </c>
      <c r="M396" t="n">
        <v>0</v>
      </c>
      <c r="N396" t="n">
        <v>0</v>
      </c>
      <c r="O396" t="n">
        <v>0</v>
      </c>
      <c r="P396" t="n">
        <v>0</v>
      </c>
      <c r="Q396" t="n">
        <v>0</v>
      </c>
      <c r="R396" s="2" t="inlineStr"/>
    </row>
    <row r="397" ht="15" customHeight="1">
      <c r="A397" t="inlineStr">
        <is>
          <t>A 43893-2025</t>
        </is>
      </c>
      <c r="B397" s="1" t="n">
        <v>45912.7097337963</v>
      </c>
      <c r="C397" s="1" t="n">
        <v>46041</v>
      </c>
      <c r="D397" t="inlineStr">
        <is>
          <t>UPPSALA LÄN</t>
        </is>
      </c>
      <c r="E397" t="inlineStr">
        <is>
          <t>UPPSALA</t>
        </is>
      </c>
      <c r="F397" t="inlineStr">
        <is>
          <t>Kyrkan</t>
        </is>
      </c>
      <c r="G397" t="n">
        <v>5.7</v>
      </c>
      <c r="H397" t="n">
        <v>0</v>
      </c>
      <c r="I397" t="n">
        <v>0</v>
      </c>
      <c r="J397" t="n">
        <v>0</v>
      </c>
      <c r="K397" t="n">
        <v>0</v>
      </c>
      <c r="L397" t="n">
        <v>0</v>
      </c>
      <c r="M397" t="n">
        <v>0</v>
      </c>
      <c r="N397" t="n">
        <v>0</v>
      </c>
      <c r="O397" t="n">
        <v>0</v>
      </c>
      <c r="P397" t="n">
        <v>0</v>
      </c>
      <c r="Q397" t="n">
        <v>0</v>
      </c>
      <c r="R397" s="2" t="inlineStr"/>
    </row>
    <row r="398" ht="15" customHeight="1">
      <c r="A398" t="inlineStr">
        <is>
          <t>A 37162-2021</t>
        </is>
      </c>
      <c r="B398" s="1" t="n">
        <v>44395</v>
      </c>
      <c r="C398" s="1" t="n">
        <v>46041</v>
      </c>
      <c r="D398" t="inlineStr">
        <is>
          <t>UPPSALA LÄN</t>
        </is>
      </c>
      <c r="E398" t="inlineStr">
        <is>
          <t>UPPSALA</t>
        </is>
      </c>
      <c r="G398" t="n">
        <v>3.5</v>
      </c>
      <c r="H398" t="n">
        <v>0</v>
      </c>
      <c r="I398" t="n">
        <v>0</v>
      </c>
      <c r="J398" t="n">
        <v>0</v>
      </c>
      <c r="K398" t="n">
        <v>0</v>
      </c>
      <c r="L398" t="n">
        <v>0</v>
      </c>
      <c r="M398" t="n">
        <v>0</v>
      </c>
      <c r="N398" t="n">
        <v>0</v>
      </c>
      <c r="O398" t="n">
        <v>0</v>
      </c>
      <c r="P398" t="n">
        <v>0</v>
      </c>
      <c r="Q398" t="n">
        <v>0</v>
      </c>
      <c r="R398" s="2" t="inlineStr"/>
    </row>
    <row r="399" ht="15" customHeight="1">
      <c r="A399" t="inlineStr">
        <is>
          <t>A 38934-2023</t>
        </is>
      </c>
      <c r="B399" s="1" t="n">
        <v>45163.59913194444</v>
      </c>
      <c r="C399" s="1" t="n">
        <v>46041</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46041</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179-2024</t>
        </is>
      </c>
      <c r="B401" s="1" t="n">
        <v>45294.5666550926</v>
      </c>
      <c r="C401" s="1" t="n">
        <v>46041</v>
      </c>
      <c r="D401" t="inlineStr">
        <is>
          <t>UPPSALA LÄN</t>
        </is>
      </c>
      <c r="E401" t="inlineStr">
        <is>
          <t>UPPSALA</t>
        </is>
      </c>
      <c r="F401" t="inlineStr">
        <is>
          <t>Bergvik skog öst AB</t>
        </is>
      </c>
      <c r="G401" t="n">
        <v>12.7</v>
      </c>
      <c r="H401" t="n">
        <v>0</v>
      </c>
      <c r="I401" t="n">
        <v>0</v>
      </c>
      <c r="J401" t="n">
        <v>0</v>
      </c>
      <c r="K401" t="n">
        <v>0</v>
      </c>
      <c r="L401" t="n">
        <v>0</v>
      </c>
      <c r="M401" t="n">
        <v>0</v>
      </c>
      <c r="N401" t="n">
        <v>0</v>
      </c>
      <c r="O401" t="n">
        <v>0</v>
      </c>
      <c r="P401" t="n">
        <v>0</v>
      </c>
      <c r="Q401" t="n">
        <v>0</v>
      </c>
      <c r="R401" s="2" t="inlineStr"/>
    </row>
    <row r="402" ht="15" customHeight="1">
      <c r="A402" t="inlineStr">
        <is>
          <t>A 73531-2021</t>
        </is>
      </c>
      <c r="B402" s="1" t="n">
        <v>44551.76711805556</v>
      </c>
      <c r="C402" s="1" t="n">
        <v>46041</v>
      </c>
      <c r="D402" t="inlineStr">
        <is>
          <t>UPPSALA LÄN</t>
        </is>
      </c>
      <c r="E402" t="inlineStr">
        <is>
          <t>UPPSALA</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4509-2024</t>
        </is>
      </c>
      <c r="B403" s="1" t="n">
        <v>45327</v>
      </c>
      <c r="C403" s="1" t="n">
        <v>46041</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50106-2025</t>
        </is>
      </c>
      <c r="B404" s="1" t="n">
        <v>45943.53659722222</v>
      </c>
      <c r="C404" s="1" t="n">
        <v>46041</v>
      </c>
      <c r="D404" t="inlineStr">
        <is>
          <t>UPPSALA LÄN</t>
        </is>
      </c>
      <c r="E404" t="inlineStr">
        <is>
          <t>UPPSALA</t>
        </is>
      </c>
      <c r="F404" t="inlineStr">
        <is>
          <t>Bergvik skog öst AB</t>
        </is>
      </c>
      <c r="G404" t="n">
        <v>3.4</v>
      </c>
      <c r="H404" t="n">
        <v>0</v>
      </c>
      <c r="I404" t="n">
        <v>0</v>
      </c>
      <c r="J404" t="n">
        <v>0</v>
      </c>
      <c r="K404" t="n">
        <v>0</v>
      </c>
      <c r="L404" t="n">
        <v>0</v>
      </c>
      <c r="M404" t="n">
        <v>0</v>
      </c>
      <c r="N404" t="n">
        <v>0</v>
      </c>
      <c r="O404" t="n">
        <v>0</v>
      </c>
      <c r="P404" t="n">
        <v>0</v>
      </c>
      <c r="Q404" t="n">
        <v>0</v>
      </c>
      <c r="R404" s="2" t="inlineStr"/>
    </row>
    <row r="405" ht="15" customHeight="1">
      <c r="A405" t="inlineStr">
        <is>
          <t>A 53900-2023</t>
        </is>
      </c>
      <c r="B405" s="1" t="n">
        <v>45231.54601851852</v>
      </c>
      <c r="C405" s="1" t="n">
        <v>46041</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59779-2025</t>
        </is>
      </c>
      <c r="B406" s="1" t="n">
        <v>45992.60832175926</v>
      </c>
      <c r="C406" s="1" t="n">
        <v>46041</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59688-2025</t>
        </is>
      </c>
      <c r="B407" s="1" t="n">
        <v>45992.47825231482</v>
      </c>
      <c r="C407" s="1" t="n">
        <v>46041</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74023-2021</t>
        </is>
      </c>
      <c r="B408" s="1" t="n">
        <v>44553</v>
      </c>
      <c r="C408" s="1" t="n">
        <v>46041</v>
      </c>
      <c r="D408" t="inlineStr">
        <is>
          <t>UPPSALA LÄN</t>
        </is>
      </c>
      <c r="E408" t="inlineStr">
        <is>
          <t>UPPSALA</t>
        </is>
      </c>
      <c r="G408" t="n">
        <v>5.4</v>
      </c>
      <c r="H408" t="n">
        <v>0</v>
      </c>
      <c r="I408" t="n">
        <v>0</v>
      </c>
      <c r="J408" t="n">
        <v>0</v>
      </c>
      <c r="K408" t="n">
        <v>0</v>
      </c>
      <c r="L408" t="n">
        <v>0</v>
      </c>
      <c r="M408" t="n">
        <v>0</v>
      </c>
      <c r="N408" t="n">
        <v>0</v>
      </c>
      <c r="O408" t="n">
        <v>0</v>
      </c>
      <c r="P408" t="n">
        <v>0</v>
      </c>
      <c r="Q408" t="n">
        <v>0</v>
      </c>
      <c r="R408" s="2" t="inlineStr"/>
    </row>
    <row r="409" ht="15" customHeight="1">
      <c r="A409" t="inlineStr">
        <is>
          <t>A 44226-2025</t>
        </is>
      </c>
      <c r="B409" s="1" t="n">
        <v>45915.64064814815</v>
      </c>
      <c r="C409" s="1" t="n">
        <v>46041</v>
      </c>
      <c r="D409" t="inlineStr">
        <is>
          <t>UPPSALA LÄN</t>
        </is>
      </c>
      <c r="E409" t="inlineStr">
        <is>
          <t>UPPSALA</t>
        </is>
      </c>
      <c r="F409" t="inlineStr">
        <is>
          <t>Kyrkan</t>
        </is>
      </c>
      <c r="G409" t="n">
        <v>2.5</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46041</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6989-2022</t>
        </is>
      </c>
      <c r="B411" s="1" t="n">
        <v>44603</v>
      </c>
      <c r="C411" s="1" t="n">
        <v>46041</v>
      </c>
      <c r="D411" t="inlineStr">
        <is>
          <t>UPPSALA LÄN</t>
        </is>
      </c>
      <c r="E411" t="inlineStr">
        <is>
          <t>UPPSALA</t>
        </is>
      </c>
      <c r="G411" t="n">
        <v>3.1</v>
      </c>
      <c r="H411" t="n">
        <v>0</v>
      </c>
      <c r="I411" t="n">
        <v>0</v>
      </c>
      <c r="J411" t="n">
        <v>0</v>
      </c>
      <c r="K411" t="n">
        <v>0</v>
      </c>
      <c r="L411" t="n">
        <v>0</v>
      </c>
      <c r="M411" t="n">
        <v>0</v>
      </c>
      <c r="N411" t="n">
        <v>0</v>
      </c>
      <c r="O411" t="n">
        <v>0</v>
      </c>
      <c r="P411" t="n">
        <v>0</v>
      </c>
      <c r="Q411" t="n">
        <v>0</v>
      </c>
      <c r="R411" s="2" t="inlineStr"/>
    </row>
    <row r="412" ht="15" customHeight="1">
      <c r="A412" t="inlineStr">
        <is>
          <t>A 38190-2023</t>
        </is>
      </c>
      <c r="B412" s="1" t="n">
        <v>45161</v>
      </c>
      <c r="C412" s="1" t="n">
        <v>46041</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34147-2024</t>
        </is>
      </c>
      <c r="B413" s="1" t="n">
        <v>45524</v>
      </c>
      <c r="C413" s="1" t="n">
        <v>46041</v>
      </c>
      <c r="D413" t="inlineStr">
        <is>
          <t>UPPSALA LÄN</t>
        </is>
      </c>
      <c r="E413" t="inlineStr">
        <is>
          <t>UPPSALA</t>
        </is>
      </c>
      <c r="F413" t="inlineStr">
        <is>
          <t>Allmännings- och besparingsskogar</t>
        </is>
      </c>
      <c r="G413" t="n">
        <v>0.2</v>
      </c>
      <c r="H413" t="n">
        <v>0</v>
      </c>
      <c r="I413" t="n">
        <v>0</v>
      </c>
      <c r="J413" t="n">
        <v>0</v>
      </c>
      <c r="K413" t="n">
        <v>0</v>
      </c>
      <c r="L413" t="n">
        <v>0</v>
      </c>
      <c r="M413" t="n">
        <v>0</v>
      </c>
      <c r="N413" t="n">
        <v>0</v>
      </c>
      <c r="O413" t="n">
        <v>0</v>
      </c>
      <c r="P413" t="n">
        <v>0</v>
      </c>
      <c r="Q413" t="n">
        <v>0</v>
      </c>
      <c r="R413" s="2" t="inlineStr"/>
    </row>
    <row r="414" ht="15" customHeight="1">
      <c r="A414" t="inlineStr">
        <is>
          <t>A 11224-2022</t>
        </is>
      </c>
      <c r="B414" s="1" t="n">
        <v>44629.57741898148</v>
      </c>
      <c r="C414" s="1" t="n">
        <v>46041</v>
      </c>
      <c r="D414" t="inlineStr">
        <is>
          <t>UPPSALA LÄN</t>
        </is>
      </c>
      <c r="E414" t="inlineStr">
        <is>
          <t>UPPSALA</t>
        </is>
      </c>
      <c r="F414" t="inlineStr">
        <is>
          <t>Bergvik skog öst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26099-2024</t>
        </is>
      </c>
      <c r="B415" s="1" t="n">
        <v>45468</v>
      </c>
      <c r="C415" s="1" t="n">
        <v>46041</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17788-2023</t>
        </is>
      </c>
      <c r="B416" s="1" t="n">
        <v>45037</v>
      </c>
      <c r="C416" s="1" t="n">
        <v>46041</v>
      </c>
      <c r="D416" t="inlineStr">
        <is>
          <t>UPPSALA LÄN</t>
        </is>
      </c>
      <c r="E416" t="inlineStr">
        <is>
          <t>UPPSALA</t>
        </is>
      </c>
      <c r="F416" t="inlineStr">
        <is>
          <t>Övriga Aktiebolag</t>
        </is>
      </c>
      <c r="G416" t="n">
        <v>3.7</v>
      </c>
      <c r="H416" t="n">
        <v>0</v>
      </c>
      <c r="I416" t="n">
        <v>0</v>
      </c>
      <c r="J416" t="n">
        <v>0</v>
      </c>
      <c r="K416" t="n">
        <v>0</v>
      </c>
      <c r="L416" t="n">
        <v>0</v>
      </c>
      <c r="M416" t="n">
        <v>0</v>
      </c>
      <c r="N416" t="n">
        <v>0</v>
      </c>
      <c r="O416" t="n">
        <v>0</v>
      </c>
      <c r="P416" t="n">
        <v>0</v>
      </c>
      <c r="Q416" t="n">
        <v>0</v>
      </c>
      <c r="R416" s="2" t="inlineStr"/>
    </row>
    <row r="417" ht="15" customHeight="1">
      <c r="A417" t="inlineStr">
        <is>
          <t>A 60781-2023</t>
        </is>
      </c>
      <c r="B417" s="1" t="n">
        <v>45259</v>
      </c>
      <c r="C417" s="1" t="n">
        <v>46041</v>
      </c>
      <c r="D417" t="inlineStr">
        <is>
          <t>UPPSALA LÄN</t>
        </is>
      </c>
      <c r="E417" t="inlineStr">
        <is>
          <t>UPPSALA</t>
        </is>
      </c>
      <c r="G417" t="n">
        <v>4.1</v>
      </c>
      <c r="H417" t="n">
        <v>0</v>
      </c>
      <c r="I417" t="n">
        <v>0</v>
      </c>
      <c r="J417" t="n">
        <v>0</v>
      </c>
      <c r="K417" t="n">
        <v>0</v>
      </c>
      <c r="L417" t="n">
        <v>0</v>
      </c>
      <c r="M417" t="n">
        <v>0</v>
      </c>
      <c r="N417" t="n">
        <v>0</v>
      </c>
      <c r="O417" t="n">
        <v>0</v>
      </c>
      <c r="P417" t="n">
        <v>0</v>
      </c>
      <c r="Q417" t="n">
        <v>0</v>
      </c>
      <c r="R417" s="2" t="inlineStr"/>
    </row>
    <row r="418" ht="15" customHeight="1">
      <c r="A418" t="inlineStr">
        <is>
          <t>A 60714-2023</t>
        </is>
      </c>
      <c r="B418" s="1" t="n">
        <v>45259</v>
      </c>
      <c r="C418" s="1" t="n">
        <v>46041</v>
      </c>
      <c r="D418" t="inlineStr">
        <is>
          <t>UPPSALA LÄN</t>
        </is>
      </c>
      <c r="E418" t="inlineStr">
        <is>
          <t>UPPSALA</t>
        </is>
      </c>
      <c r="G418" t="n">
        <v>3.3</v>
      </c>
      <c r="H418" t="n">
        <v>0</v>
      </c>
      <c r="I418" t="n">
        <v>0</v>
      </c>
      <c r="J418" t="n">
        <v>0</v>
      </c>
      <c r="K418" t="n">
        <v>0</v>
      </c>
      <c r="L418" t="n">
        <v>0</v>
      </c>
      <c r="M418" t="n">
        <v>0</v>
      </c>
      <c r="N418" t="n">
        <v>0</v>
      </c>
      <c r="O418" t="n">
        <v>0</v>
      </c>
      <c r="P418" t="n">
        <v>0</v>
      </c>
      <c r="Q418" t="n">
        <v>0</v>
      </c>
      <c r="R418" s="2" t="inlineStr"/>
    </row>
    <row r="419" ht="15" customHeight="1">
      <c r="A419" t="inlineStr">
        <is>
          <t>A 33941-2023</t>
        </is>
      </c>
      <c r="B419" s="1" t="n">
        <v>45134.57021990741</v>
      </c>
      <c r="C419" s="1" t="n">
        <v>46041</v>
      </c>
      <c r="D419" t="inlineStr">
        <is>
          <t>UPPSALA LÄN</t>
        </is>
      </c>
      <c r="E419" t="inlineStr">
        <is>
          <t>UPPSALA</t>
        </is>
      </c>
      <c r="F419" t="inlineStr">
        <is>
          <t>Holmen skog AB</t>
        </is>
      </c>
      <c r="G419" t="n">
        <v>0.6</v>
      </c>
      <c r="H419" t="n">
        <v>0</v>
      </c>
      <c r="I419" t="n">
        <v>0</v>
      </c>
      <c r="J419" t="n">
        <v>0</v>
      </c>
      <c r="K419" t="n">
        <v>0</v>
      </c>
      <c r="L419" t="n">
        <v>0</v>
      </c>
      <c r="M419" t="n">
        <v>0</v>
      </c>
      <c r="N419" t="n">
        <v>0</v>
      </c>
      <c r="O419" t="n">
        <v>0</v>
      </c>
      <c r="P419" t="n">
        <v>0</v>
      </c>
      <c r="Q419" t="n">
        <v>0</v>
      </c>
      <c r="R419" s="2" t="inlineStr"/>
    </row>
    <row r="420" ht="15" customHeight="1">
      <c r="A420" t="inlineStr">
        <is>
          <t>A 44470-2025</t>
        </is>
      </c>
      <c r="B420" s="1" t="n">
        <v>45916</v>
      </c>
      <c r="C420" s="1" t="n">
        <v>46041</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60269-2025</t>
        </is>
      </c>
      <c r="B421" s="1" t="n">
        <v>45994.62346064814</v>
      </c>
      <c r="C421" s="1" t="n">
        <v>46041</v>
      </c>
      <c r="D421" t="inlineStr">
        <is>
          <t>UPPSALA LÄN</t>
        </is>
      </c>
      <c r="E421" t="inlineStr">
        <is>
          <t>UPPSALA</t>
        </is>
      </c>
      <c r="F421" t="inlineStr">
        <is>
          <t>Allmännings- och besparingsskogar</t>
        </is>
      </c>
      <c r="G421" t="n">
        <v>3.8</v>
      </c>
      <c r="H421" t="n">
        <v>0</v>
      </c>
      <c r="I421" t="n">
        <v>0</v>
      </c>
      <c r="J421" t="n">
        <v>0</v>
      </c>
      <c r="K421" t="n">
        <v>0</v>
      </c>
      <c r="L421" t="n">
        <v>0</v>
      </c>
      <c r="M421" t="n">
        <v>0</v>
      </c>
      <c r="N421" t="n">
        <v>0</v>
      </c>
      <c r="O421" t="n">
        <v>0</v>
      </c>
      <c r="P421" t="n">
        <v>0</v>
      </c>
      <c r="Q421" t="n">
        <v>0</v>
      </c>
      <c r="R421" s="2" t="inlineStr"/>
    </row>
    <row r="422" ht="15" customHeight="1">
      <c r="A422" t="inlineStr">
        <is>
          <t>A 30583-2025</t>
        </is>
      </c>
      <c r="B422" s="1" t="n">
        <v>45831.42365740741</v>
      </c>
      <c r="C422" s="1" t="n">
        <v>46041</v>
      </c>
      <c r="D422" t="inlineStr">
        <is>
          <t>UPPSALA LÄN</t>
        </is>
      </c>
      <c r="E422" t="inlineStr">
        <is>
          <t>UPPSALA</t>
        </is>
      </c>
      <c r="G422" t="n">
        <v>2</v>
      </c>
      <c r="H422" t="n">
        <v>0</v>
      </c>
      <c r="I422" t="n">
        <v>0</v>
      </c>
      <c r="J422" t="n">
        <v>0</v>
      </c>
      <c r="K422" t="n">
        <v>0</v>
      </c>
      <c r="L422" t="n">
        <v>0</v>
      </c>
      <c r="M422" t="n">
        <v>0</v>
      </c>
      <c r="N422" t="n">
        <v>0</v>
      </c>
      <c r="O422" t="n">
        <v>0</v>
      </c>
      <c r="P422" t="n">
        <v>0</v>
      </c>
      <c r="Q422" t="n">
        <v>0</v>
      </c>
      <c r="R422" s="2" t="inlineStr"/>
    </row>
    <row r="423" ht="15" customHeight="1">
      <c r="A423" t="inlineStr">
        <is>
          <t>A 70031-2021</t>
        </is>
      </c>
      <c r="B423" s="1" t="n">
        <v>44533.46665509259</v>
      </c>
      <c r="C423" s="1" t="n">
        <v>46041</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44813-2025</t>
        </is>
      </c>
      <c r="B424" s="1" t="n">
        <v>45918.37322916667</v>
      </c>
      <c r="C424" s="1" t="n">
        <v>46041</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15629-2023</t>
        </is>
      </c>
      <c r="B425" s="1" t="n">
        <v>45021.29524305555</v>
      </c>
      <c r="C425" s="1" t="n">
        <v>46041</v>
      </c>
      <c r="D425" t="inlineStr">
        <is>
          <t>UPPSALA LÄN</t>
        </is>
      </c>
      <c r="E425" t="inlineStr">
        <is>
          <t>UPPSALA</t>
        </is>
      </c>
      <c r="F425" t="inlineStr">
        <is>
          <t>Övriga Aktiebolag</t>
        </is>
      </c>
      <c r="G425" t="n">
        <v>7</v>
      </c>
      <c r="H425" t="n">
        <v>0</v>
      </c>
      <c r="I425" t="n">
        <v>0</v>
      </c>
      <c r="J425" t="n">
        <v>0</v>
      </c>
      <c r="K425" t="n">
        <v>0</v>
      </c>
      <c r="L425" t="n">
        <v>0</v>
      </c>
      <c r="M425" t="n">
        <v>0</v>
      </c>
      <c r="N425" t="n">
        <v>0</v>
      </c>
      <c r="O425" t="n">
        <v>0</v>
      </c>
      <c r="P425" t="n">
        <v>0</v>
      </c>
      <c r="Q425" t="n">
        <v>0</v>
      </c>
      <c r="R425" s="2" t="inlineStr"/>
    </row>
    <row r="426" ht="15" customHeight="1">
      <c r="A426" t="inlineStr">
        <is>
          <t>A 46745-2024</t>
        </is>
      </c>
      <c r="B426" s="1" t="n">
        <v>45583</v>
      </c>
      <c r="C426" s="1" t="n">
        <v>46041</v>
      </c>
      <c r="D426" t="inlineStr">
        <is>
          <t>UPPSALA LÄN</t>
        </is>
      </c>
      <c r="E426" t="inlineStr">
        <is>
          <t>UPPSALA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46748-2024</t>
        </is>
      </c>
      <c r="B427" s="1" t="n">
        <v>45583</v>
      </c>
      <c r="C427" s="1" t="n">
        <v>46041</v>
      </c>
      <c r="D427" t="inlineStr">
        <is>
          <t>UPPSALA LÄN</t>
        </is>
      </c>
      <c r="E427" t="inlineStr">
        <is>
          <t>UPPSALA</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70228-2021</t>
        </is>
      </c>
      <c r="B428" s="1" t="n">
        <v>44535</v>
      </c>
      <c r="C428" s="1" t="n">
        <v>46041</v>
      </c>
      <c r="D428" t="inlineStr">
        <is>
          <t>UPPSALA LÄN</t>
        </is>
      </c>
      <c r="E428" t="inlineStr">
        <is>
          <t>UPPSALA</t>
        </is>
      </c>
      <c r="G428" t="n">
        <v>1.8</v>
      </c>
      <c r="H428" t="n">
        <v>0</v>
      </c>
      <c r="I428" t="n">
        <v>0</v>
      </c>
      <c r="J428" t="n">
        <v>0</v>
      </c>
      <c r="K428" t="n">
        <v>0</v>
      </c>
      <c r="L428" t="n">
        <v>0</v>
      </c>
      <c r="M428" t="n">
        <v>0</v>
      </c>
      <c r="N428" t="n">
        <v>0</v>
      </c>
      <c r="O428" t="n">
        <v>0</v>
      </c>
      <c r="P428" t="n">
        <v>0</v>
      </c>
      <c r="Q428" t="n">
        <v>0</v>
      </c>
      <c r="R428" s="2" t="inlineStr"/>
    </row>
    <row r="429" ht="15" customHeight="1">
      <c r="A429" t="inlineStr">
        <is>
          <t>A 12221-2022</t>
        </is>
      </c>
      <c r="B429" s="1" t="n">
        <v>44637.35744212963</v>
      </c>
      <c r="C429" s="1" t="n">
        <v>46041</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17481-2023</t>
        </is>
      </c>
      <c r="B430" s="1" t="n">
        <v>45036</v>
      </c>
      <c r="C430" s="1" t="n">
        <v>46041</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56067-2024</t>
        </is>
      </c>
      <c r="B431" s="1" t="n">
        <v>45624</v>
      </c>
      <c r="C431" s="1" t="n">
        <v>46041</v>
      </c>
      <c r="D431" t="inlineStr">
        <is>
          <t>UPPSALA LÄN</t>
        </is>
      </c>
      <c r="E431" t="inlineStr">
        <is>
          <t>UPPSALA</t>
        </is>
      </c>
      <c r="G431" t="n">
        <v>2.4</v>
      </c>
      <c r="H431" t="n">
        <v>0</v>
      </c>
      <c r="I431" t="n">
        <v>0</v>
      </c>
      <c r="J431" t="n">
        <v>0</v>
      </c>
      <c r="K431" t="n">
        <v>0</v>
      </c>
      <c r="L431" t="n">
        <v>0</v>
      </c>
      <c r="M431" t="n">
        <v>0</v>
      </c>
      <c r="N431" t="n">
        <v>0</v>
      </c>
      <c r="O431" t="n">
        <v>0</v>
      </c>
      <c r="P431" t="n">
        <v>0</v>
      </c>
      <c r="Q431" t="n">
        <v>0</v>
      </c>
      <c r="R431" s="2" t="inlineStr"/>
    </row>
    <row r="432" ht="15" customHeight="1">
      <c r="A432" t="inlineStr">
        <is>
          <t>A 49938-2025</t>
        </is>
      </c>
      <c r="B432" s="1" t="n">
        <v>45940</v>
      </c>
      <c r="C432" s="1" t="n">
        <v>46041</v>
      </c>
      <c r="D432" t="inlineStr">
        <is>
          <t>UPPSALA LÄN</t>
        </is>
      </c>
      <c r="E432" t="inlineStr">
        <is>
          <t>UPPSALA</t>
        </is>
      </c>
      <c r="G432" t="n">
        <v>1.6</v>
      </c>
      <c r="H432" t="n">
        <v>0</v>
      </c>
      <c r="I432" t="n">
        <v>0</v>
      </c>
      <c r="J432" t="n">
        <v>0</v>
      </c>
      <c r="K432" t="n">
        <v>0</v>
      </c>
      <c r="L432" t="n">
        <v>0</v>
      </c>
      <c r="M432" t="n">
        <v>0</v>
      </c>
      <c r="N432" t="n">
        <v>0</v>
      </c>
      <c r="O432" t="n">
        <v>0</v>
      </c>
      <c r="P432" t="n">
        <v>0</v>
      </c>
      <c r="Q432" t="n">
        <v>0</v>
      </c>
      <c r="R432" s="2" t="inlineStr"/>
    </row>
    <row r="433" ht="15" customHeight="1">
      <c r="A433" t="inlineStr">
        <is>
          <t>A 45405-2025</t>
        </is>
      </c>
      <c r="B433" s="1" t="n">
        <v>45922.42865740741</v>
      </c>
      <c r="C433" s="1" t="n">
        <v>46041</v>
      </c>
      <c r="D433" t="inlineStr">
        <is>
          <t>UPPSALA LÄN</t>
        </is>
      </c>
      <c r="E433" t="inlineStr">
        <is>
          <t>UPPSALA</t>
        </is>
      </c>
      <c r="G433" t="n">
        <v>1.6</v>
      </c>
      <c r="H433" t="n">
        <v>0</v>
      </c>
      <c r="I433" t="n">
        <v>0</v>
      </c>
      <c r="J433" t="n">
        <v>0</v>
      </c>
      <c r="K433" t="n">
        <v>0</v>
      </c>
      <c r="L433" t="n">
        <v>0</v>
      </c>
      <c r="M433" t="n">
        <v>0</v>
      </c>
      <c r="N433" t="n">
        <v>0</v>
      </c>
      <c r="O433" t="n">
        <v>0</v>
      </c>
      <c r="P433" t="n">
        <v>0</v>
      </c>
      <c r="Q433" t="n">
        <v>0</v>
      </c>
      <c r="R433" s="2" t="inlineStr"/>
    </row>
    <row r="434" ht="15" customHeight="1">
      <c r="A434" t="inlineStr">
        <is>
          <t>A 45447-2025</t>
        </is>
      </c>
      <c r="B434" s="1" t="n">
        <v>45922.48148148148</v>
      </c>
      <c r="C434" s="1" t="n">
        <v>46041</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c r="U434">
        <f>HYPERLINK("https://klasma.github.io/Logging_0380/knärot/A 45447-2025 karta knärot.png", "A 45447-2025")</f>
        <v/>
      </c>
      <c r="V434">
        <f>HYPERLINK("https://klasma.github.io/Logging_0380/klagomål/A 45447-2025 FSC-klagomål.docx", "A 45447-2025")</f>
        <v/>
      </c>
      <c r="W434">
        <f>HYPERLINK("https://klasma.github.io/Logging_0380/klagomålsmail/A 45447-2025 FSC-klagomål mail.docx", "A 45447-2025")</f>
        <v/>
      </c>
      <c r="X434">
        <f>HYPERLINK("https://klasma.github.io/Logging_0380/tillsyn/A 45447-2025 tillsynsbegäran.docx", "A 45447-2025")</f>
        <v/>
      </c>
      <c r="Y434">
        <f>HYPERLINK("https://klasma.github.io/Logging_0380/tillsynsmail/A 45447-2025 tillsynsbegäran mail.docx", "A 45447-2025")</f>
        <v/>
      </c>
    </row>
    <row r="435" ht="15" customHeight="1">
      <c r="A435" t="inlineStr">
        <is>
          <t>A 45436-2025</t>
        </is>
      </c>
      <c r="B435" s="1" t="n">
        <v>45922.46763888889</v>
      </c>
      <c r="C435" s="1" t="n">
        <v>46041</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38493-2023</t>
        </is>
      </c>
      <c r="B436" s="1" t="n">
        <v>45162</v>
      </c>
      <c r="C436" s="1" t="n">
        <v>46041</v>
      </c>
      <c r="D436" t="inlineStr">
        <is>
          <t>UPPSALA LÄN</t>
        </is>
      </c>
      <c r="E436" t="inlineStr">
        <is>
          <t>UPPSALA</t>
        </is>
      </c>
      <c r="F436" t="inlineStr">
        <is>
          <t>Allmännings- och besparingsskogar</t>
        </is>
      </c>
      <c r="G436" t="n">
        <v>3.5</v>
      </c>
      <c r="H436" t="n">
        <v>0</v>
      </c>
      <c r="I436" t="n">
        <v>0</v>
      </c>
      <c r="J436" t="n">
        <v>0</v>
      </c>
      <c r="K436" t="n">
        <v>0</v>
      </c>
      <c r="L436" t="n">
        <v>0</v>
      </c>
      <c r="M436" t="n">
        <v>0</v>
      </c>
      <c r="N436" t="n">
        <v>0</v>
      </c>
      <c r="O436" t="n">
        <v>0</v>
      </c>
      <c r="P436" t="n">
        <v>0</v>
      </c>
      <c r="Q436" t="n">
        <v>0</v>
      </c>
      <c r="R436" s="2" t="inlineStr"/>
    </row>
    <row r="437" ht="15" customHeight="1">
      <c r="A437" t="inlineStr">
        <is>
          <t>A 45519-2025</t>
        </is>
      </c>
      <c r="B437" s="1" t="n">
        <v>45922</v>
      </c>
      <c r="C437" s="1" t="n">
        <v>46041</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37618-2023</t>
        </is>
      </c>
      <c r="B438" s="1" t="n">
        <v>45159.44694444445</v>
      </c>
      <c r="C438" s="1" t="n">
        <v>46041</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35142-2023</t>
        </is>
      </c>
      <c r="B439" s="1" t="n">
        <v>45145</v>
      </c>
      <c r="C439" s="1" t="n">
        <v>46041</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45588-2025</t>
        </is>
      </c>
      <c r="B440" s="1" t="n">
        <v>45922</v>
      </c>
      <c r="C440" s="1" t="n">
        <v>46041</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47083-2023</t>
        </is>
      </c>
      <c r="B441" s="1" t="n">
        <v>45201.62318287037</v>
      </c>
      <c r="C441" s="1" t="n">
        <v>46041</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45904-2025</t>
        </is>
      </c>
      <c r="B442" s="1" t="n">
        <v>45923.70230324074</v>
      </c>
      <c r="C442" s="1" t="n">
        <v>46041</v>
      </c>
      <c r="D442" t="inlineStr">
        <is>
          <t>UPPSALA LÄN</t>
        </is>
      </c>
      <c r="E442" t="inlineStr">
        <is>
          <t>UPPSALA</t>
        </is>
      </c>
      <c r="F442" t="inlineStr">
        <is>
          <t>Kyrkan</t>
        </is>
      </c>
      <c r="G442" t="n">
        <v>1.4</v>
      </c>
      <c r="H442" t="n">
        <v>0</v>
      </c>
      <c r="I442" t="n">
        <v>0</v>
      </c>
      <c r="J442" t="n">
        <v>0</v>
      </c>
      <c r="K442" t="n">
        <v>0</v>
      </c>
      <c r="L442" t="n">
        <v>0</v>
      </c>
      <c r="M442" t="n">
        <v>0</v>
      </c>
      <c r="N442" t="n">
        <v>0</v>
      </c>
      <c r="O442" t="n">
        <v>0</v>
      </c>
      <c r="P442" t="n">
        <v>0</v>
      </c>
      <c r="Q442" t="n">
        <v>0</v>
      </c>
      <c r="R442" s="2" t="inlineStr"/>
    </row>
    <row r="443" ht="15" customHeight="1">
      <c r="A443" t="inlineStr">
        <is>
          <t>A 2524-2026</t>
        </is>
      </c>
      <c r="B443" s="1" t="n">
        <v>46037.42877314815</v>
      </c>
      <c r="C443" s="1" t="n">
        <v>46041</v>
      </c>
      <c r="D443" t="inlineStr">
        <is>
          <t>UPPSALA LÄN</t>
        </is>
      </c>
      <c r="E443" t="inlineStr">
        <is>
          <t>UPPSALA</t>
        </is>
      </c>
      <c r="F443" t="inlineStr">
        <is>
          <t>Allmännings- och besparingsskogar</t>
        </is>
      </c>
      <c r="G443" t="n">
        <v>13.4</v>
      </c>
      <c r="H443" t="n">
        <v>0</v>
      </c>
      <c r="I443" t="n">
        <v>0</v>
      </c>
      <c r="J443" t="n">
        <v>0</v>
      </c>
      <c r="K443" t="n">
        <v>0</v>
      </c>
      <c r="L443" t="n">
        <v>0</v>
      </c>
      <c r="M443" t="n">
        <v>0</v>
      </c>
      <c r="N443" t="n">
        <v>0</v>
      </c>
      <c r="O443" t="n">
        <v>0</v>
      </c>
      <c r="P443" t="n">
        <v>0</v>
      </c>
      <c r="Q443" t="n">
        <v>0</v>
      </c>
      <c r="R443" s="2" t="inlineStr"/>
    </row>
    <row r="444" ht="15" customHeight="1">
      <c r="A444" t="inlineStr">
        <is>
          <t>A 9255-2024</t>
        </is>
      </c>
      <c r="B444" s="1" t="n">
        <v>45358</v>
      </c>
      <c r="C444" s="1" t="n">
        <v>46041</v>
      </c>
      <c r="D444" t="inlineStr">
        <is>
          <t>UPPSALA LÄN</t>
        </is>
      </c>
      <c r="E444" t="inlineStr">
        <is>
          <t>UPPSALA</t>
        </is>
      </c>
      <c r="G444" t="n">
        <v>1.8</v>
      </c>
      <c r="H444" t="n">
        <v>0</v>
      </c>
      <c r="I444" t="n">
        <v>0</v>
      </c>
      <c r="J444" t="n">
        <v>0</v>
      </c>
      <c r="K444" t="n">
        <v>0</v>
      </c>
      <c r="L444" t="n">
        <v>0</v>
      </c>
      <c r="M444" t="n">
        <v>0</v>
      </c>
      <c r="N444" t="n">
        <v>0</v>
      </c>
      <c r="O444" t="n">
        <v>0</v>
      </c>
      <c r="P444" t="n">
        <v>0</v>
      </c>
      <c r="Q444" t="n">
        <v>0</v>
      </c>
      <c r="R444" s="2" t="inlineStr"/>
    </row>
    <row r="445" ht="15" customHeight="1">
      <c r="A445" t="inlineStr">
        <is>
          <t>A 66983-2021</t>
        </is>
      </c>
      <c r="B445" s="1" t="n">
        <v>44522</v>
      </c>
      <c r="C445" s="1" t="n">
        <v>46041</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60357-2025</t>
        </is>
      </c>
      <c r="B446" s="1" t="n">
        <v>45995.31793981481</v>
      </c>
      <c r="C446" s="1" t="n">
        <v>46041</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9242-2022</t>
        </is>
      </c>
      <c r="B447" s="1" t="n">
        <v>44616</v>
      </c>
      <c r="C447" s="1" t="n">
        <v>46041</v>
      </c>
      <c r="D447" t="inlineStr">
        <is>
          <t>UPPSALA LÄN</t>
        </is>
      </c>
      <c r="E447" t="inlineStr">
        <is>
          <t>UPPSALA</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42528-2023</t>
        </is>
      </c>
      <c r="B448" s="1" t="n">
        <v>45181.33571759259</v>
      </c>
      <c r="C448" s="1" t="n">
        <v>46041</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60356-2025</t>
        </is>
      </c>
      <c r="B449" s="1" t="n">
        <v>45995.31737268518</v>
      </c>
      <c r="C449" s="1" t="n">
        <v>46041</v>
      </c>
      <c r="D449" t="inlineStr">
        <is>
          <t>UPPSALA LÄN</t>
        </is>
      </c>
      <c r="E449" t="inlineStr">
        <is>
          <t>UPPSALA</t>
        </is>
      </c>
      <c r="G449" t="n">
        <v>1</v>
      </c>
      <c r="H449" t="n">
        <v>0</v>
      </c>
      <c r="I449" t="n">
        <v>0</v>
      </c>
      <c r="J449" t="n">
        <v>0</v>
      </c>
      <c r="K449" t="n">
        <v>0</v>
      </c>
      <c r="L449" t="n">
        <v>0</v>
      </c>
      <c r="M449" t="n">
        <v>0</v>
      </c>
      <c r="N449" t="n">
        <v>0</v>
      </c>
      <c r="O449" t="n">
        <v>0</v>
      </c>
      <c r="P449" t="n">
        <v>0</v>
      </c>
      <c r="Q449" t="n">
        <v>0</v>
      </c>
      <c r="R449" s="2" t="inlineStr"/>
    </row>
    <row r="450" ht="15" customHeight="1">
      <c r="A450" t="inlineStr">
        <is>
          <t>A 45903-2025</t>
        </is>
      </c>
      <c r="B450" s="1" t="n">
        <v>45923.70146990741</v>
      </c>
      <c r="C450" s="1" t="n">
        <v>46041</v>
      </c>
      <c r="D450" t="inlineStr">
        <is>
          <t>UPPSALA LÄN</t>
        </is>
      </c>
      <c r="E450" t="inlineStr">
        <is>
          <t>UPPSALA</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58965-2025</t>
        </is>
      </c>
      <c r="B451" s="1" t="n">
        <v>45987</v>
      </c>
      <c r="C451" s="1" t="n">
        <v>46041</v>
      </c>
      <c r="D451" t="inlineStr">
        <is>
          <t>UPPSALA LÄN</t>
        </is>
      </c>
      <c r="E451" t="inlineStr">
        <is>
          <t>UPPSALA</t>
        </is>
      </c>
      <c r="G451" t="n">
        <v>7.7</v>
      </c>
      <c r="H451" t="n">
        <v>0</v>
      </c>
      <c r="I451" t="n">
        <v>0</v>
      </c>
      <c r="J451" t="n">
        <v>0</v>
      </c>
      <c r="K451" t="n">
        <v>0</v>
      </c>
      <c r="L451" t="n">
        <v>0</v>
      </c>
      <c r="M451" t="n">
        <v>0</v>
      </c>
      <c r="N451" t="n">
        <v>0</v>
      </c>
      <c r="O451" t="n">
        <v>0</v>
      </c>
      <c r="P451" t="n">
        <v>0</v>
      </c>
      <c r="Q451" t="n">
        <v>0</v>
      </c>
      <c r="R451" s="2" t="inlineStr"/>
    </row>
    <row r="452" ht="15" customHeight="1">
      <c r="A452" t="inlineStr">
        <is>
          <t>A 65659-2021</t>
        </is>
      </c>
      <c r="B452" s="1" t="n">
        <v>44516</v>
      </c>
      <c r="C452" s="1" t="n">
        <v>46041</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46773-2025</t>
        </is>
      </c>
      <c r="B453" s="1" t="n">
        <v>45926.63290509259</v>
      </c>
      <c r="C453" s="1" t="n">
        <v>46041</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46632-2025</t>
        </is>
      </c>
      <c r="B454" s="1" t="n">
        <v>45926.45846064815</v>
      </c>
      <c r="C454" s="1" t="n">
        <v>46041</v>
      </c>
      <c r="D454" t="inlineStr">
        <is>
          <t>UPPSALA LÄN</t>
        </is>
      </c>
      <c r="E454" t="inlineStr">
        <is>
          <t>UPPSALA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46202-2024</t>
        </is>
      </c>
      <c r="B455" s="1" t="n">
        <v>45581</v>
      </c>
      <c r="C455" s="1" t="n">
        <v>46041</v>
      </c>
      <c r="D455" t="inlineStr">
        <is>
          <t>UPPSALA LÄN</t>
        </is>
      </c>
      <c r="E455" t="inlineStr">
        <is>
          <t>UPPSALA</t>
        </is>
      </c>
      <c r="G455" t="n">
        <v>3.2</v>
      </c>
      <c r="H455" t="n">
        <v>0</v>
      </c>
      <c r="I455" t="n">
        <v>0</v>
      </c>
      <c r="J455" t="n">
        <v>0</v>
      </c>
      <c r="K455" t="n">
        <v>0</v>
      </c>
      <c r="L455" t="n">
        <v>0</v>
      </c>
      <c r="M455" t="n">
        <v>0</v>
      </c>
      <c r="N455" t="n">
        <v>0</v>
      </c>
      <c r="O455" t="n">
        <v>0</v>
      </c>
      <c r="P455" t="n">
        <v>0</v>
      </c>
      <c r="Q455" t="n">
        <v>0</v>
      </c>
      <c r="R455" s="2" t="inlineStr"/>
    </row>
    <row r="456" ht="15" customHeight="1">
      <c r="A456" t="inlineStr">
        <is>
          <t>A 46571-2025</t>
        </is>
      </c>
      <c r="B456" s="1" t="n">
        <v>45926.366875</v>
      </c>
      <c r="C456" s="1" t="n">
        <v>46041</v>
      </c>
      <c r="D456" t="inlineStr">
        <is>
          <t>UPPSALA LÄN</t>
        </is>
      </c>
      <c r="E456" t="inlineStr">
        <is>
          <t>UPPSALA</t>
        </is>
      </c>
      <c r="F456" t="inlineStr">
        <is>
          <t>Bergvik skog öst AB</t>
        </is>
      </c>
      <c r="G456" t="n">
        <v>11.1</v>
      </c>
      <c r="H456" t="n">
        <v>0</v>
      </c>
      <c r="I456" t="n">
        <v>0</v>
      </c>
      <c r="J456" t="n">
        <v>0</v>
      </c>
      <c r="K456" t="n">
        <v>0</v>
      </c>
      <c r="L456" t="n">
        <v>0</v>
      </c>
      <c r="M456" t="n">
        <v>0</v>
      </c>
      <c r="N456" t="n">
        <v>0</v>
      </c>
      <c r="O456" t="n">
        <v>0</v>
      </c>
      <c r="P456" t="n">
        <v>0</v>
      </c>
      <c r="Q456" t="n">
        <v>0</v>
      </c>
      <c r="R456" s="2" t="inlineStr"/>
    </row>
    <row r="457" ht="15" customHeight="1">
      <c r="A457" t="inlineStr">
        <is>
          <t>A 42063-2023</t>
        </is>
      </c>
      <c r="B457" s="1" t="n">
        <v>45177.56940972222</v>
      </c>
      <c r="C457" s="1" t="n">
        <v>46041</v>
      </c>
      <c r="D457" t="inlineStr">
        <is>
          <t>UPPSALA LÄN</t>
        </is>
      </c>
      <c r="E457" t="inlineStr">
        <is>
          <t>UPPSALA</t>
        </is>
      </c>
      <c r="G457" t="n">
        <v>5.6</v>
      </c>
      <c r="H457" t="n">
        <v>0</v>
      </c>
      <c r="I457" t="n">
        <v>0</v>
      </c>
      <c r="J457" t="n">
        <v>0</v>
      </c>
      <c r="K457" t="n">
        <v>0</v>
      </c>
      <c r="L457" t="n">
        <v>0</v>
      </c>
      <c r="M457" t="n">
        <v>0</v>
      </c>
      <c r="N457" t="n">
        <v>0</v>
      </c>
      <c r="O457" t="n">
        <v>0</v>
      </c>
      <c r="P457" t="n">
        <v>0</v>
      </c>
      <c r="Q457" t="n">
        <v>0</v>
      </c>
      <c r="R457" s="2" t="inlineStr"/>
    </row>
    <row r="458" ht="15" customHeight="1">
      <c r="A458" t="inlineStr">
        <is>
          <t>A 46564-2025</t>
        </is>
      </c>
      <c r="B458" s="1" t="n">
        <v>45926.35917824074</v>
      </c>
      <c r="C458" s="1" t="n">
        <v>46041</v>
      </c>
      <c r="D458" t="inlineStr">
        <is>
          <t>UPPSALA LÄN</t>
        </is>
      </c>
      <c r="E458" t="inlineStr">
        <is>
          <t>UPPSALA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46565-2025</t>
        </is>
      </c>
      <c r="B459" s="1" t="n">
        <v>45926.35998842592</v>
      </c>
      <c r="C459" s="1" t="n">
        <v>46041</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60512-2025</t>
        </is>
      </c>
      <c r="B460" s="1" t="n">
        <v>45995.63483796296</v>
      </c>
      <c r="C460" s="1" t="n">
        <v>46041</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53384-2024</t>
        </is>
      </c>
      <c r="B461" s="1" t="n">
        <v>45614</v>
      </c>
      <c r="C461" s="1" t="n">
        <v>46041</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46775-2025</t>
        </is>
      </c>
      <c r="B462" s="1" t="n">
        <v>45926.63366898148</v>
      </c>
      <c r="C462" s="1" t="n">
        <v>46041</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13602-2025</t>
        </is>
      </c>
      <c r="B463" s="1" t="n">
        <v>45736.60863425926</v>
      </c>
      <c r="C463" s="1" t="n">
        <v>46041</v>
      </c>
      <c r="D463" t="inlineStr">
        <is>
          <t>UPPSALA LÄN</t>
        </is>
      </c>
      <c r="E463" t="inlineStr">
        <is>
          <t>UPPSALA</t>
        </is>
      </c>
      <c r="F463" t="inlineStr">
        <is>
          <t>Allmännings- och besparingsskogar</t>
        </is>
      </c>
      <c r="G463" t="n">
        <v>9.5</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46041</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47316-2025</t>
        </is>
      </c>
      <c r="B465" s="1" t="n">
        <v>45930.55024305556</v>
      </c>
      <c r="C465" s="1" t="n">
        <v>46041</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46983-2025</t>
        </is>
      </c>
      <c r="B466" s="1" t="n">
        <v>45929.53203703704</v>
      </c>
      <c r="C466" s="1" t="n">
        <v>46041</v>
      </c>
      <c r="D466" t="inlineStr">
        <is>
          <t>UPPSALA LÄN</t>
        </is>
      </c>
      <c r="E466" t="inlineStr">
        <is>
          <t>UPPSALA</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18781-2025</t>
        </is>
      </c>
      <c r="B467" s="1" t="n">
        <v>45763</v>
      </c>
      <c r="C467" s="1" t="n">
        <v>46041</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1390-2026</t>
        </is>
      </c>
      <c r="B468" s="1" t="n">
        <v>46031.63210648148</v>
      </c>
      <c r="C468" s="1" t="n">
        <v>46041</v>
      </c>
      <c r="D468" t="inlineStr">
        <is>
          <t>UPPSALA LÄN</t>
        </is>
      </c>
      <c r="E468" t="inlineStr">
        <is>
          <t>UPPSALA</t>
        </is>
      </c>
      <c r="G468" t="n">
        <v>7.9</v>
      </c>
      <c r="H468" t="n">
        <v>0</v>
      </c>
      <c r="I468" t="n">
        <v>0</v>
      </c>
      <c r="J468" t="n">
        <v>0</v>
      </c>
      <c r="K468" t="n">
        <v>0</v>
      </c>
      <c r="L468" t="n">
        <v>0</v>
      </c>
      <c r="M468" t="n">
        <v>0</v>
      </c>
      <c r="N468" t="n">
        <v>0</v>
      </c>
      <c r="O468" t="n">
        <v>0</v>
      </c>
      <c r="P468" t="n">
        <v>0</v>
      </c>
      <c r="Q468" t="n">
        <v>0</v>
      </c>
      <c r="R468" s="2" t="inlineStr"/>
    </row>
    <row r="469" ht="15" customHeight="1">
      <c r="A469" t="inlineStr">
        <is>
          <t>A 60735-2024</t>
        </is>
      </c>
      <c r="B469" s="1" t="n">
        <v>45644</v>
      </c>
      <c r="C469" s="1" t="n">
        <v>46041</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37626-2023</t>
        </is>
      </c>
      <c r="B470" s="1" t="n">
        <v>45159.45748842593</v>
      </c>
      <c r="C470" s="1" t="n">
        <v>46041</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60445-2024</t>
        </is>
      </c>
      <c r="B471" s="1" t="n">
        <v>45643</v>
      </c>
      <c r="C471" s="1" t="n">
        <v>46041</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47131-2025</t>
        </is>
      </c>
      <c r="B472" s="1" t="n">
        <v>45929.69553240741</v>
      </c>
      <c r="C472" s="1" t="n">
        <v>46041</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47132-2025</t>
        </is>
      </c>
      <c r="B473" s="1" t="n">
        <v>45929.6965162037</v>
      </c>
      <c r="C473" s="1" t="n">
        <v>46041</v>
      </c>
      <c r="D473" t="inlineStr">
        <is>
          <t>UPPSALA LÄN</t>
        </is>
      </c>
      <c r="E473" t="inlineStr">
        <is>
          <t>UPPSALA</t>
        </is>
      </c>
      <c r="F473" t="inlineStr">
        <is>
          <t>Kyrkan</t>
        </is>
      </c>
      <c r="G473" t="n">
        <v>1.9</v>
      </c>
      <c r="H473" t="n">
        <v>0</v>
      </c>
      <c r="I473" t="n">
        <v>0</v>
      </c>
      <c r="J473" t="n">
        <v>0</v>
      </c>
      <c r="K473" t="n">
        <v>0</v>
      </c>
      <c r="L473" t="n">
        <v>0</v>
      </c>
      <c r="M473" t="n">
        <v>0</v>
      </c>
      <c r="N473" t="n">
        <v>0</v>
      </c>
      <c r="O473" t="n">
        <v>0</v>
      </c>
      <c r="P473" t="n">
        <v>0</v>
      </c>
      <c r="Q473" t="n">
        <v>0</v>
      </c>
      <c r="R473" s="2" t="inlineStr"/>
    </row>
    <row r="474" ht="15" customHeight="1">
      <c r="A474" t="inlineStr">
        <is>
          <t>A 43795-2023</t>
        </is>
      </c>
      <c r="B474" s="1" t="n">
        <v>45182</v>
      </c>
      <c r="C474" s="1" t="n">
        <v>46041</v>
      </c>
      <c r="D474" t="inlineStr">
        <is>
          <t>UPPSALA LÄN</t>
        </is>
      </c>
      <c r="E474" t="inlineStr">
        <is>
          <t>UPPSALA</t>
        </is>
      </c>
      <c r="G474" t="n">
        <v>4.7</v>
      </c>
      <c r="H474" t="n">
        <v>0</v>
      </c>
      <c r="I474" t="n">
        <v>0</v>
      </c>
      <c r="J474" t="n">
        <v>0</v>
      </c>
      <c r="K474" t="n">
        <v>0</v>
      </c>
      <c r="L474" t="n">
        <v>0</v>
      </c>
      <c r="M474" t="n">
        <v>0</v>
      </c>
      <c r="N474" t="n">
        <v>0</v>
      </c>
      <c r="O474" t="n">
        <v>0</v>
      </c>
      <c r="P474" t="n">
        <v>0</v>
      </c>
      <c r="Q474" t="n">
        <v>0</v>
      </c>
      <c r="R474" s="2" t="inlineStr"/>
    </row>
    <row r="475" ht="15" customHeight="1">
      <c r="A475" t="inlineStr">
        <is>
          <t>A 17232-2022</t>
        </is>
      </c>
      <c r="B475" s="1" t="n">
        <v>44678.3315625</v>
      </c>
      <c r="C475" s="1" t="n">
        <v>46041</v>
      </c>
      <c r="D475" t="inlineStr">
        <is>
          <t>UPPSALA LÄN</t>
        </is>
      </c>
      <c r="E475" t="inlineStr">
        <is>
          <t>UPPSALA</t>
        </is>
      </c>
      <c r="F475" t="inlineStr">
        <is>
          <t>Övriga Aktiebolag</t>
        </is>
      </c>
      <c r="G475" t="n">
        <v>7.4</v>
      </c>
      <c r="H475" t="n">
        <v>0</v>
      </c>
      <c r="I475" t="n">
        <v>0</v>
      </c>
      <c r="J475" t="n">
        <v>0</v>
      </c>
      <c r="K475" t="n">
        <v>0</v>
      </c>
      <c r="L475" t="n">
        <v>0</v>
      </c>
      <c r="M475" t="n">
        <v>0</v>
      </c>
      <c r="N475" t="n">
        <v>0</v>
      </c>
      <c r="O475" t="n">
        <v>0</v>
      </c>
      <c r="P475" t="n">
        <v>0</v>
      </c>
      <c r="Q475" t="n">
        <v>0</v>
      </c>
      <c r="R475" s="2" t="inlineStr"/>
    </row>
    <row r="476" ht="15" customHeight="1">
      <c r="A476" t="inlineStr">
        <is>
          <t>A 8404-2022</t>
        </is>
      </c>
      <c r="B476" s="1" t="n">
        <v>44610</v>
      </c>
      <c r="C476" s="1" t="n">
        <v>46041</v>
      </c>
      <c r="D476" t="inlineStr">
        <is>
          <t>UPPSALA LÄN</t>
        </is>
      </c>
      <c r="E476" t="inlineStr">
        <is>
          <t>UPPSALA</t>
        </is>
      </c>
      <c r="F476" t="inlineStr">
        <is>
          <t>Allmännings- och besparingsskogar</t>
        </is>
      </c>
      <c r="G476" t="n">
        <v>5.4</v>
      </c>
      <c r="H476" t="n">
        <v>0</v>
      </c>
      <c r="I476" t="n">
        <v>0</v>
      </c>
      <c r="J476" t="n">
        <v>0</v>
      </c>
      <c r="K476" t="n">
        <v>0</v>
      </c>
      <c r="L476" t="n">
        <v>0</v>
      </c>
      <c r="M476" t="n">
        <v>0</v>
      </c>
      <c r="N476" t="n">
        <v>0</v>
      </c>
      <c r="O476" t="n">
        <v>0</v>
      </c>
      <c r="P476" t="n">
        <v>0</v>
      </c>
      <c r="Q476" t="n">
        <v>0</v>
      </c>
      <c r="R476" s="2" t="inlineStr"/>
    </row>
    <row r="477" ht="15" customHeight="1">
      <c r="A477" t="inlineStr">
        <is>
          <t>A 53921-2024</t>
        </is>
      </c>
      <c r="B477" s="1" t="n">
        <v>45615</v>
      </c>
      <c r="C477" s="1" t="n">
        <v>46041</v>
      </c>
      <c r="D477" t="inlineStr">
        <is>
          <t>UPPSALA LÄN</t>
        </is>
      </c>
      <c r="E477" t="inlineStr">
        <is>
          <t>UPPSALA</t>
        </is>
      </c>
      <c r="G477" t="n">
        <v>8.1</v>
      </c>
      <c r="H477" t="n">
        <v>0</v>
      </c>
      <c r="I477" t="n">
        <v>0</v>
      </c>
      <c r="J477" t="n">
        <v>0</v>
      </c>
      <c r="K477" t="n">
        <v>0</v>
      </c>
      <c r="L477" t="n">
        <v>0</v>
      </c>
      <c r="M477" t="n">
        <v>0</v>
      </c>
      <c r="N477" t="n">
        <v>0</v>
      </c>
      <c r="O477" t="n">
        <v>0</v>
      </c>
      <c r="P477" t="n">
        <v>0</v>
      </c>
      <c r="Q477" t="n">
        <v>0</v>
      </c>
      <c r="R477" s="2" t="inlineStr"/>
    </row>
    <row r="478" ht="15" customHeight="1">
      <c r="A478" t="inlineStr">
        <is>
          <t>A 47688-2025</t>
        </is>
      </c>
      <c r="B478" s="1" t="n">
        <v>45931.59091435185</v>
      </c>
      <c r="C478" s="1" t="n">
        <v>46041</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47649-2025</t>
        </is>
      </c>
      <c r="B479" s="1" t="n">
        <v>45931.52792824074</v>
      </c>
      <c r="C479" s="1" t="n">
        <v>46041</v>
      </c>
      <c r="D479" t="inlineStr">
        <is>
          <t>UPPSALA LÄN</t>
        </is>
      </c>
      <c r="E479" t="inlineStr">
        <is>
          <t>UPPSALA</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59562-2024</t>
        </is>
      </c>
      <c r="B480" s="1" t="n">
        <v>45638</v>
      </c>
      <c r="C480" s="1" t="n">
        <v>46041</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47840-2025</t>
        </is>
      </c>
      <c r="B481" s="1" t="n">
        <v>45932.37375</v>
      </c>
      <c r="C481" s="1" t="n">
        <v>46041</v>
      </c>
      <c r="D481" t="inlineStr">
        <is>
          <t>UPPSALA LÄN</t>
        </is>
      </c>
      <c r="E481" t="inlineStr">
        <is>
          <t>UPPSALA</t>
        </is>
      </c>
      <c r="G481" t="n">
        <v>1.8</v>
      </c>
      <c r="H481" t="n">
        <v>0</v>
      </c>
      <c r="I481" t="n">
        <v>0</v>
      </c>
      <c r="J481" t="n">
        <v>0</v>
      </c>
      <c r="K481" t="n">
        <v>0</v>
      </c>
      <c r="L481" t="n">
        <v>0</v>
      </c>
      <c r="M481" t="n">
        <v>0</v>
      </c>
      <c r="N481" t="n">
        <v>0</v>
      </c>
      <c r="O481" t="n">
        <v>0</v>
      </c>
      <c r="P481" t="n">
        <v>0</v>
      </c>
      <c r="Q481" t="n">
        <v>0</v>
      </c>
      <c r="R481" s="2" t="inlineStr"/>
    </row>
    <row r="482" ht="15" customHeight="1">
      <c r="A482" t="inlineStr">
        <is>
          <t>A 47557-2025</t>
        </is>
      </c>
      <c r="B482" s="1" t="n">
        <v>45931.37734953704</v>
      </c>
      <c r="C482" s="1" t="n">
        <v>46041</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47961-2025</t>
        </is>
      </c>
      <c r="B483" s="1" t="n">
        <v>45932.59373842592</v>
      </c>
      <c r="C483" s="1" t="n">
        <v>46041</v>
      </c>
      <c r="D483" t="inlineStr">
        <is>
          <t>UPPSALA LÄN</t>
        </is>
      </c>
      <c r="E483" t="inlineStr">
        <is>
          <t>UPPSALA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47978-2025</t>
        </is>
      </c>
      <c r="B484" s="1" t="n">
        <v>45932.61177083333</v>
      </c>
      <c r="C484" s="1" t="n">
        <v>46041</v>
      </c>
      <c r="D484" t="inlineStr">
        <is>
          <t>UPPSALA LÄN</t>
        </is>
      </c>
      <c r="E484" t="inlineStr">
        <is>
          <t>UPPSALA</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47558-2025</t>
        </is>
      </c>
      <c r="B485" s="1" t="n">
        <v>45931.37796296296</v>
      </c>
      <c r="C485" s="1" t="n">
        <v>46041</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60698-2024</t>
        </is>
      </c>
      <c r="B486" s="1" t="n">
        <v>45644</v>
      </c>
      <c r="C486" s="1" t="n">
        <v>46041</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46041</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44115-2023</t>
        </is>
      </c>
      <c r="B488" s="1" t="n">
        <v>45188</v>
      </c>
      <c r="C488" s="1" t="n">
        <v>46041</v>
      </c>
      <c r="D488" t="inlineStr">
        <is>
          <t>UPPSALA LÄN</t>
        </is>
      </c>
      <c r="E488" t="inlineStr">
        <is>
          <t>UPPSALA</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32479-2025</t>
        </is>
      </c>
      <c r="B489" s="1" t="n">
        <v>45838</v>
      </c>
      <c r="C489" s="1" t="n">
        <v>46041</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47690-2025</t>
        </is>
      </c>
      <c r="B490" s="1" t="n">
        <v>45931.59373842592</v>
      </c>
      <c r="C490" s="1" t="n">
        <v>46041</v>
      </c>
      <c r="D490" t="inlineStr">
        <is>
          <t>UPPSALA LÄN</t>
        </is>
      </c>
      <c r="E490" t="inlineStr">
        <is>
          <t>UPPSALA</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42772-2022</t>
        </is>
      </c>
      <c r="B491" s="1" t="n">
        <v>44832.49594907407</v>
      </c>
      <c r="C491" s="1" t="n">
        <v>46041</v>
      </c>
      <c r="D491" t="inlineStr">
        <is>
          <t>UPPSALA LÄN</t>
        </is>
      </c>
      <c r="E491" t="inlineStr">
        <is>
          <t>UPPSALA</t>
        </is>
      </c>
      <c r="G491" t="n">
        <v>17.7</v>
      </c>
      <c r="H491" t="n">
        <v>0</v>
      </c>
      <c r="I491" t="n">
        <v>0</v>
      </c>
      <c r="J491" t="n">
        <v>0</v>
      </c>
      <c r="K491" t="n">
        <v>0</v>
      </c>
      <c r="L491" t="n">
        <v>0</v>
      </c>
      <c r="M491" t="n">
        <v>0</v>
      </c>
      <c r="N491" t="n">
        <v>0</v>
      </c>
      <c r="O491" t="n">
        <v>0</v>
      </c>
      <c r="P491" t="n">
        <v>0</v>
      </c>
      <c r="Q491" t="n">
        <v>0</v>
      </c>
      <c r="R491" s="2" t="inlineStr"/>
    </row>
    <row r="492" ht="15" customHeight="1">
      <c r="A492" t="inlineStr">
        <is>
          <t>A 6363-2024</t>
        </is>
      </c>
      <c r="B492" s="1" t="n">
        <v>45338.49412037037</v>
      </c>
      <c r="C492" s="1" t="n">
        <v>46041</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10490-2025</t>
        </is>
      </c>
      <c r="B493" s="1" t="n">
        <v>45721.35173611111</v>
      </c>
      <c r="C493" s="1" t="n">
        <v>46041</v>
      </c>
      <c r="D493" t="inlineStr">
        <is>
          <t>UPPSALA LÄN</t>
        </is>
      </c>
      <c r="E493" t="inlineStr">
        <is>
          <t>UPPSALA</t>
        </is>
      </c>
      <c r="G493" t="n">
        <v>1.8</v>
      </c>
      <c r="H493" t="n">
        <v>0</v>
      </c>
      <c r="I493" t="n">
        <v>0</v>
      </c>
      <c r="J493" t="n">
        <v>0</v>
      </c>
      <c r="K493" t="n">
        <v>0</v>
      </c>
      <c r="L493" t="n">
        <v>0</v>
      </c>
      <c r="M493" t="n">
        <v>0</v>
      </c>
      <c r="N493" t="n">
        <v>0</v>
      </c>
      <c r="O493" t="n">
        <v>0</v>
      </c>
      <c r="P493" t="n">
        <v>0</v>
      </c>
      <c r="Q493" t="n">
        <v>0</v>
      </c>
      <c r="R493" s="2" t="inlineStr"/>
    </row>
    <row r="494" ht="15" customHeight="1">
      <c r="A494" t="inlineStr">
        <is>
          <t>A 35906-2023</t>
        </is>
      </c>
      <c r="B494" s="1" t="n">
        <v>45148</v>
      </c>
      <c r="C494" s="1" t="n">
        <v>46041</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35914-2023</t>
        </is>
      </c>
      <c r="B495" s="1" t="n">
        <v>45148</v>
      </c>
      <c r="C495" s="1" t="n">
        <v>46041</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35916-2023</t>
        </is>
      </c>
      <c r="B496" s="1" t="n">
        <v>45148</v>
      </c>
      <c r="C496" s="1" t="n">
        <v>46041</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4312-2022</t>
        </is>
      </c>
      <c r="B497" s="1" t="n">
        <v>44588</v>
      </c>
      <c r="C497" s="1" t="n">
        <v>46041</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48418-2025</t>
        </is>
      </c>
      <c r="B498" s="1" t="n">
        <v>45934.55967592593</v>
      </c>
      <c r="C498" s="1" t="n">
        <v>46041</v>
      </c>
      <c r="D498" t="inlineStr">
        <is>
          <t>UPPSALA LÄN</t>
        </is>
      </c>
      <c r="E498" t="inlineStr">
        <is>
          <t>UPPSALA</t>
        </is>
      </c>
      <c r="F498" t="inlineStr">
        <is>
          <t>Bergvik skog öst AB</t>
        </is>
      </c>
      <c r="G498" t="n">
        <v>5.2</v>
      </c>
      <c r="H498" t="n">
        <v>0</v>
      </c>
      <c r="I498" t="n">
        <v>0</v>
      </c>
      <c r="J498" t="n">
        <v>0</v>
      </c>
      <c r="K498" t="n">
        <v>0</v>
      </c>
      <c r="L498" t="n">
        <v>0</v>
      </c>
      <c r="M498" t="n">
        <v>0</v>
      </c>
      <c r="N498" t="n">
        <v>0</v>
      </c>
      <c r="O498" t="n">
        <v>0</v>
      </c>
      <c r="P498" t="n">
        <v>0</v>
      </c>
      <c r="Q498" t="n">
        <v>0</v>
      </c>
      <c r="R498" s="2" t="inlineStr"/>
    </row>
    <row r="499" ht="15" customHeight="1">
      <c r="A499" t="inlineStr">
        <is>
          <t>A 4065-2024</t>
        </is>
      </c>
      <c r="B499" s="1" t="n">
        <v>45323.55914351852</v>
      </c>
      <c r="C499" s="1" t="n">
        <v>46041</v>
      </c>
      <c r="D499" t="inlineStr">
        <is>
          <t>UPPSALA LÄN</t>
        </is>
      </c>
      <c r="E499" t="inlineStr">
        <is>
          <t>UPPSALA</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45662-2023</t>
        </is>
      </c>
      <c r="B500" s="1" t="n">
        <v>45194</v>
      </c>
      <c r="C500" s="1" t="n">
        <v>46041</v>
      </c>
      <c r="D500" t="inlineStr">
        <is>
          <t>UPPSALA LÄN</t>
        </is>
      </c>
      <c r="E500" t="inlineStr">
        <is>
          <t>UPPSALA</t>
        </is>
      </c>
      <c r="F500" t="inlineStr">
        <is>
          <t>Bergvik skog öst AB</t>
        </is>
      </c>
      <c r="G500" t="n">
        <v>2.8</v>
      </c>
      <c r="H500" t="n">
        <v>0</v>
      </c>
      <c r="I500" t="n">
        <v>0</v>
      </c>
      <c r="J500" t="n">
        <v>0</v>
      </c>
      <c r="K500" t="n">
        <v>0</v>
      </c>
      <c r="L500" t="n">
        <v>0</v>
      </c>
      <c r="M500" t="n">
        <v>0</v>
      </c>
      <c r="N500" t="n">
        <v>0</v>
      </c>
      <c r="O500" t="n">
        <v>0</v>
      </c>
      <c r="P500" t="n">
        <v>0</v>
      </c>
      <c r="Q500" t="n">
        <v>0</v>
      </c>
      <c r="R500" s="2" t="inlineStr"/>
    </row>
    <row r="501" ht="15" customHeight="1">
      <c r="A501" t="inlineStr">
        <is>
          <t>A 49164-2025</t>
        </is>
      </c>
      <c r="B501" s="1" t="n">
        <v>45938.3615625</v>
      </c>
      <c r="C501" s="1" t="n">
        <v>46041</v>
      </c>
      <c r="D501" t="inlineStr">
        <is>
          <t>UPPSALA LÄN</t>
        </is>
      </c>
      <c r="E501" t="inlineStr">
        <is>
          <t>UPPSALA</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50463-2024</t>
        </is>
      </c>
      <c r="B502" s="1" t="n">
        <v>45601</v>
      </c>
      <c r="C502" s="1" t="n">
        <v>46041</v>
      </c>
      <c r="D502" t="inlineStr">
        <is>
          <t>UPPSALA LÄN</t>
        </is>
      </c>
      <c r="E502" t="inlineStr">
        <is>
          <t>UPPSALA</t>
        </is>
      </c>
      <c r="F502" t="inlineStr">
        <is>
          <t>Allmännings- och besparingsskogar</t>
        </is>
      </c>
      <c r="G502" t="n">
        <v>12.6</v>
      </c>
      <c r="H502" t="n">
        <v>0</v>
      </c>
      <c r="I502" t="n">
        <v>0</v>
      </c>
      <c r="J502" t="n">
        <v>0</v>
      </c>
      <c r="K502" t="n">
        <v>0</v>
      </c>
      <c r="L502" t="n">
        <v>0</v>
      </c>
      <c r="M502" t="n">
        <v>0</v>
      </c>
      <c r="N502" t="n">
        <v>0</v>
      </c>
      <c r="O502" t="n">
        <v>0</v>
      </c>
      <c r="P502" t="n">
        <v>0</v>
      </c>
      <c r="Q502" t="n">
        <v>0</v>
      </c>
      <c r="R502" s="2" t="inlineStr"/>
    </row>
    <row r="503" ht="15" customHeight="1">
      <c r="A503" t="inlineStr">
        <is>
          <t>A 54813-2022</t>
        </is>
      </c>
      <c r="B503" s="1" t="n">
        <v>44883</v>
      </c>
      <c r="C503" s="1" t="n">
        <v>46041</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49094-2025</t>
        </is>
      </c>
      <c r="B504" s="1" t="n">
        <v>45937.68865740741</v>
      </c>
      <c r="C504" s="1" t="n">
        <v>46041</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46635-2022</t>
        </is>
      </c>
      <c r="B505" s="1" t="n">
        <v>44849</v>
      </c>
      <c r="C505" s="1" t="n">
        <v>46041</v>
      </c>
      <c r="D505" t="inlineStr">
        <is>
          <t>UPPSALA LÄN</t>
        </is>
      </c>
      <c r="E505" t="inlineStr">
        <is>
          <t>UPPSALA</t>
        </is>
      </c>
      <c r="G505" t="n">
        <v>3.4</v>
      </c>
      <c r="H505" t="n">
        <v>0</v>
      </c>
      <c r="I505" t="n">
        <v>0</v>
      </c>
      <c r="J505" t="n">
        <v>0</v>
      </c>
      <c r="K505" t="n">
        <v>0</v>
      </c>
      <c r="L505" t="n">
        <v>0</v>
      </c>
      <c r="M505" t="n">
        <v>0</v>
      </c>
      <c r="N505" t="n">
        <v>0</v>
      </c>
      <c r="O505" t="n">
        <v>0</v>
      </c>
      <c r="P505" t="n">
        <v>0</v>
      </c>
      <c r="Q505" t="n">
        <v>0</v>
      </c>
      <c r="R505" s="2" t="inlineStr"/>
    </row>
    <row r="506" ht="15" customHeight="1">
      <c r="A506" t="inlineStr">
        <is>
          <t>A 49080-2025</t>
        </is>
      </c>
      <c r="B506" s="1" t="n">
        <v>45937</v>
      </c>
      <c r="C506" s="1" t="n">
        <v>46041</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49098-2025</t>
        </is>
      </c>
      <c r="B507" s="1" t="n">
        <v>45937</v>
      </c>
      <c r="C507" s="1" t="n">
        <v>46041</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5189-2022</t>
        </is>
      </c>
      <c r="B508" s="1" t="n">
        <v>44594</v>
      </c>
      <c r="C508" s="1" t="n">
        <v>46041</v>
      </c>
      <c r="D508" t="inlineStr">
        <is>
          <t>UPPSALA LÄN</t>
        </is>
      </c>
      <c r="E508" t="inlineStr">
        <is>
          <t>UPPSALA</t>
        </is>
      </c>
      <c r="G508" t="n">
        <v>5.9</v>
      </c>
      <c r="H508" t="n">
        <v>0</v>
      </c>
      <c r="I508" t="n">
        <v>0</v>
      </c>
      <c r="J508" t="n">
        <v>0</v>
      </c>
      <c r="K508" t="n">
        <v>0</v>
      </c>
      <c r="L508" t="n">
        <v>0</v>
      </c>
      <c r="M508" t="n">
        <v>0</v>
      </c>
      <c r="N508" t="n">
        <v>0</v>
      </c>
      <c r="O508" t="n">
        <v>0</v>
      </c>
      <c r="P508" t="n">
        <v>0</v>
      </c>
      <c r="Q508" t="n">
        <v>0</v>
      </c>
      <c r="R508" s="2" t="inlineStr"/>
    </row>
    <row r="509" ht="15" customHeight="1">
      <c r="A509" t="inlineStr">
        <is>
          <t>A 59547-2024</t>
        </is>
      </c>
      <c r="B509" s="1" t="n">
        <v>45638</v>
      </c>
      <c r="C509" s="1" t="n">
        <v>46041</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11201-2024</t>
        </is>
      </c>
      <c r="B510" s="1" t="n">
        <v>45371</v>
      </c>
      <c r="C510" s="1" t="n">
        <v>46041</v>
      </c>
      <c r="D510" t="inlineStr">
        <is>
          <t>UPPSALA LÄN</t>
        </is>
      </c>
      <c r="E510" t="inlineStr">
        <is>
          <t>UPPSALA</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2790-2025</t>
        </is>
      </c>
      <c r="B511" s="1" t="n">
        <v>45677</v>
      </c>
      <c r="C511" s="1" t="n">
        <v>46041</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46041</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11162-2022</t>
        </is>
      </c>
      <c r="B513" s="1" t="n">
        <v>44629.42423611111</v>
      </c>
      <c r="C513" s="1" t="n">
        <v>46041</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49160-2025</t>
        </is>
      </c>
      <c r="B514" s="1" t="n">
        <v>45938.35063657408</v>
      </c>
      <c r="C514" s="1" t="n">
        <v>46041</v>
      </c>
      <c r="D514" t="inlineStr">
        <is>
          <t>UPPSALA LÄN</t>
        </is>
      </c>
      <c r="E514" t="inlineStr">
        <is>
          <t>UPPSALA</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49829-2025</t>
        </is>
      </c>
      <c r="B515" s="1" t="n">
        <v>45940.45038194444</v>
      </c>
      <c r="C515" s="1" t="n">
        <v>46041</v>
      </c>
      <c r="D515" t="inlineStr">
        <is>
          <t>UPPSALA LÄN</t>
        </is>
      </c>
      <c r="E515" t="inlineStr">
        <is>
          <t>UPPSALA</t>
        </is>
      </c>
      <c r="F515" t="inlineStr">
        <is>
          <t>Bergvik skog öst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8132-2024</t>
        </is>
      </c>
      <c r="B516" s="1" t="n">
        <v>45351.54596064815</v>
      </c>
      <c r="C516" s="1" t="n">
        <v>46041</v>
      </c>
      <c r="D516" t="inlineStr">
        <is>
          <t>UPPSALA LÄN</t>
        </is>
      </c>
      <c r="E516" t="inlineStr">
        <is>
          <t>UPPSALA</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49463-2025</t>
        </is>
      </c>
      <c r="B517" s="1" t="n">
        <v>45939.32621527778</v>
      </c>
      <c r="C517" s="1" t="n">
        <v>46041</v>
      </c>
      <c r="D517" t="inlineStr">
        <is>
          <t>UPPSALA LÄN</t>
        </is>
      </c>
      <c r="E517" t="inlineStr">
        <is>
          <t>UPPSALA</t>
        </is>
      </c>
      <c r="G517" t="n">
        <v>3.4</v>
      </c>
      <c r="H517" t="n">
        <v>0</v>
      </c>
      <c r="I517" t="n">
        <v>0</v>
      </c>
      <c r="J517" t="n">
        <v>0</v>
      </c>
      <c r="K517" t="n">
        <v>0</v>
      </c>
      <c r="L517" t="n">
        <v>0</v>
      </c>
      <c r="M517" t="n">
        <v>0</v>
      </c>
      <c r="N517" t="n">
        <v>0</v>
      </c>
      <c r="O517" t="n">
        <v>0</v>
      </c>
      <c r="P517" t="n">
        <v>0</v>
      </c>
      <c r="Q517" t="n">
        <v>0</v>
      </c>
      <c r="R517" s="2" t="inlineStr"/>
    </row>
    <row r="518" ht="15" customHeight="1">
      <c r="A518" t="inlineStr">
        <is>
          <t>A 49937-2025</t>
        </is>
      </c>
      <c r="B518" s="1" t="n">
        <v>45940.67084490741</v>
      </c>
      <c r="C518" s="1" t="n">
        <v>46041</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49940-2025</t>
        </is>
      </c>
      <c r="B519" s="1" t="n">
        <v>45940.67305555556</v>
      </c>
      <c r="C519" s="1" t="n">
        <v>46041</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20087-2023</t>
        </is>
      </c>
      <c r="B520" s="1" t="n">
        <v>45054.9271875</v>
      </c>
      <c r="C520" s="1" t="n">
        <v>46041</v>
      </c>
      <c r="D520" t="inlineStr">
        <is>
          <t>UPPSALA LÄN</t>
        </is>
      </c>
      <c r="E520" t="inlineStr">
        <is>
          <t>UPPSALA</t>
        </is>
      </c>
      <c r="G520" t="n">
        <v>1</v>
      </c>
      <c r="H520" t="n">
        <v>0</v>
      </c>
      <c r="I520" t="n">
        <v>0</v>
      </c>
      <c r="J520" t="n">
        <v>0</v>
      </c>
      <c r="K520" t="n">
        <v>0</v>
      </c>
      <c r="L520" t="n">
        <v>0</v>
      </c>
      <c r="M520" t="n">
        <v>0</v>
      </c>
      <c r="N520" t="n">
        <v>0</v>
      </c>
      <c r="O520" t="n">
        <v>0</v>
      </c>
      <c r="P520" t="n">
        <v>0</v>
      </c>
      <c r="Q520" t="n">
        <v>0</v>
      </c>
      <c r="R520" s="2" t="inlineStr"/>
    </row>
    <row r="521" ht="15" customHeight="1">
      <c r="A521" t="inlineStr">
        <is>
          <t>A 49990-2025</t>
        </is>
      </c>
      <c r="B521" s="1" t="n">
        <v>45942.84414351852</v>
      </c>
      <c r="C521" s="1" t="n">
        <v>46041</v>
      </c>
      <c r="D521" t="inlineStr">
        <is>
          <t>UPPSALA LÄN</t>
        </is>
      </c>
      <c r="E521" t="inlineStr">
        <is>
          <t>UPPSALA</t>
        </is>
      </c>
      <c r="G521" t="n">
        <v>0.6</v>
      </c>
      <c r="H521" t="n">
        <v>0</v>
      </c>
      <c r="I521" t="n">
        <v>0</v>
      </c>
      <c r="J521" t="n">
        <v>0</v>
      </c>
      <c r="K521" t="n">
        <v>0</v>
      </c>
      <c r="L521" t="n">
        <v>0</v>
      </c>
      <c r="M521" t="n">
        <v>0</v>
      </c>
      <c r="N521" t="n">
        <v>0</v>
      </c>
      <c r="O521" t="n">
        <v>0</v>
      </c>
      <c r="P521" t="n">
        <v>0</v>
      </c>
      <c r="Q521" t="n">
        <v>0</v>
      </c>
      <c r="R521" s="2" t="inlineStr"/>
    </row>
    <row r="522" ht="15" customHeight="1">
      <c r="A522" t="inlineStr">
        <is>
          <t>A 49987-2025</t>
        </is>
      </c>
      <c r="B522" s="1" t="n">
        <v>45942.80185185185</v>
      </c>
      <c r="C522" s="1" t="n">
        <v>46041</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49988-2025</t>
        </is>
      </c>
      <c r="B523" s="1" t="n">
        <v>45942.80318287037</v>
      </c>
      <c r="C523" s="1" t="n">
        <v>46041</v>
      </c>
      <c r="D523" t="inlineStr">
        <is>
          <t>UPPSALA LÄN</t>
        </is>
      </c>
      <c r="E523" t="inlineStr">
        <is>
          <t>UPPSALA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61463-2024</t>
        </is>
      </c>
      <c r="B524" s="1" t="n">
        <v>45646.50211805556</v>
      </c>
      <c r="C524" s="1" t="n">
        <v>46041</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40872-2023</t>
        </is>
      </c>
      <c r="B525" s="1" t="n">
        <v>45173</v>
      </c>
      <c r="C525" s="1" t="n">
        <v>46041</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50591-2025</t>
        </is>
      </c>
      <c r="B526" s="1" t="n">
        <v>45944</v>
      </c>
      <c r="C526" s="1" t="n">
        <v>46041</v>
      </c>
      <c r="D526" t="inlineStr">
        <is>
          <t>UPPSALA LÄN</t>
        </is>
      </c>
      <c r="E526" t="inlineStr">
        <is>
          <t>UPPSALA</t>
        </is>
      </c>
      <c r="G526" t="n">
        <v>4.2</v>
      </c>
      <c r="H526" t="n">
        <v>0</v>
      </c>
      <c r="I526" t="n">
        <v>0</v>
      </c>
      <c r="J526" t="n">
        <v>0</v>
      </c>
      <c r="K526" t="n">
        <v>0</v>
      </c>
      <c r="L526" t="n">
        <v>0</v>
      </c>
      <c r="M526" t="n">
        <v>0</v>
      </c>
      <c r="N526" t="n">
        <v>0</v>
      </c>
      <c r="O526" t="n">
        <v>0</v>
      </c>
      <c r="P526" t="n">
        <v>0</v>
      </c>
      <c r="Q526" t="n">
        <v>0</v>
      </c>
      <c r="R526" s="2" t="inlineStr"/>
    </row>
    <row r="527" ht="15" customHeight="1">
      <c r="A527" t="inlineStr">
        <is>
          <t>A 49986-2025</t>
        </is>
      </c>
      <c r="B527" s="1" t="n">
        <v>45942.79476851852</v>
      </c>
      <c r="C527" s="1" t="n">
        <v>46041</v>
      </c>
      <c r="D527" t="inlineStr">
        <is>
          <t>UPPSALA LÄN</t>
        </is>
      </c>
      <c r="E527" t="inlineStr">
        <is>
          <t>UPPSALA</t>
        </is>
      </c>
      <c r="F527" t="inlineStr">
        <is>
          <t>Bergvik skog öst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5309-2022</t>
        </is>
      </c>
      <c r="B528" s="1" t="n">
        <v>44594</v>
      </c>
      <c r="C528" s="1" t="n">
        <v>46041</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45575-2023</t>
        </is>
      </c>
      <c r="B529" s="1" t="n">
        <v>45194.60876157408</v>
      </c>
      <c r="C529" s="1" t="n">
        <v>46041</v>
      </c>
      <c r="D529" t="inlineStr">
        <is>
          <t>UPPSALA LÄN</t>
        </is>
      </c>
      <c r="E529" t="inlineStr">
        <is>
          <t>UPPSALA</t>
        </is>
      </c>
      <c r="F529" t="inlineStr">
        <is>
          <t>Bergvik skog öst AB</t>
        </is>
      </c>
      <c r="G529" t="n">
        <v>2.2</v>
      </c>
      <c r="H529" t="n">
        <v>0</v>
      </c>
      <c r="I529" t="n">
        <v>0</v>
      </c>
      <c r="J529" t="n">
        <v>0</v>
      </c>
      <c r="K529" t="n">
        <v>0</v>
      </c>
      <c r="L529" t="n">
        <v>0</v>
      </c>
      <c r="M529" t="n">
        <v>0</v>
      </c>
      <c r="N529" t="n">
        <v>0</v>
      </c>
      <c r="O529" t="n">
        <v>0</v>
      </c>
      <c r="P529" t="n">
        <v>0</v>
      </c>
      <c r="Q529" t="n">
        <v>0</v>
      </c>
      <c r="R529" s="2" t="inlineStr"/>
    </row>
    <row r="530" ht="15" customHeight="1">
      <c r="A530" t="inlineStr">
        <is>
          <t>A 50232-2025</t>
        </is>
      </c>
      <c r="B530" s="1" t="n">
        <v>45943.70756944444</v>
      </c>
      <c r="C530" s="1" t="n">
        <v>46041</v>
      </c>
      <c r="D530" t="inlineStr">
        <is>
          <t>UPPSALA LÄN</t>
        </is>
      </c>
      <c r="E530" t="inlineStr">
        <is>
          <t>UPPSALA</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39865-2022</t>
        </is>
      </c>
      <c r="B531" s="1" t="n">
        <v>44819.62</v>
      </c>
      <c r="C531" s="1" t="n">
        <v>46041</v>
      </c>
      <c r="D531" t="inlineStr">
        <is>
          <t>UPPSALA LÄN</t>
        </is>
      </c>
      <c r="E531" t="inlineStr">
        <is>
          <t>UPPSALA</t>
        </is>
      </c>
      <c r="G531" t="n">
        <v>2.5</v>
      </c>
      <c r="H531" t="n">
        <v>0</v>
      </c>
      <c r="I531" t="n">
        <v>0</v>
      </c>
      <c r="J531" t="n">
        <v>0</v>
      </c>
      <c r="K531" t="n">
        <v>0</v>
      </c>
      <c r="L531" t="n">
        <v>0</v>
      </c>
      <c r="M531" t="n">
        <v>0</v>
      </c>
      <c r="N531" t="n">
        <v>0</v>
      </c>
      <c r="O531" t="n">
        <v>0</v>
      </c>
      <c r="P531" t="n">
        <v>0</v>
      </c>
      <c r="Q531" t="n">
        <v>0</v>
      </c>
      <c r="R531" s="2" t="inlineStr"/>
    </row>
    <row r="532" ht="15" customHeight="1">
      <c r="A532" t="inlineStr">
        <is>
          <t>A 56889-2022</t>
        </is>
      </c>
      <c r="B532" s="1" t="n">
        <v>44894.57065972222</v>
      </c>
      <c r="C532" s="1" t="n">
        <v>46041</v>
      </c>
      <c r="D532" t="inlineStr">
        <is>
          <t>UPPSALA LÄN</t>
        </is>
      </c>
      <c r="E532" t="inlineStr">
        <is>
          <t>UPPSALA</t>
        </is>
      </c>
      <c r="F532" t="inlineStr">
        <is>
          <t>Övriga Aktiebolag</t>
        </is>
      </c>
      <c r="G532" t="n">
        <v>21.6</v>
      </c>
      <c r="H532" t="n">
        <v>0</v>
      </c>
      <c r="I532" t="n">
        <v>0</v>
      </c>
      <c r="J532" t="n">
        <v>0</v>
      </c>
      <c r="K532" t="n">
        <v>0</v>
      </c>
      <c r="L532" t="n">
        <v>0</v>
      </c>
      <c r="M532" t="n">
        <v>0</v>
      </c>
      <c r="N532" t="n">
        <v>0</v>
      </c>
      <c r="O532" t="n">
        <v>0</v>
      </c>
      <c r="P532" t="n">
        <v>0</v>
      </c>
      <c r="Q532" t="n">
        <v>0</v>
      </c>
      <c r="R532" s="2" t="inlineStr"/>
    </row>
    <row r="533" ht="15" customHeight="1">
      <c r="A533" t="inlineStr">
        <is>
          <t>A 49989-2025</t>
        </is>
      </c>
      <c r="B533" s="1" t="n">
        <v>45942.8396412037</v>
      </c>
      <c r="C533" s="1" t="n">
        <v>46041</v>
      </c>
      <c r="D533" t="inlineStr">
        <is>
          <t>UPPSALA LÄN</t>
        </is>
      </c>
      <c r="E533" t="inlineStr">
        <is>
          <t>UPPSALA</t>
        </is>
      </c>
      <c r="G533" t="n">
        <v>2.4</v>
      </c>
      <c r="H533" t="n">
        <v>0</v>
      </c>
      <c r="I533" t="n">
        <v>0</v>
      </c>
      <c r="J533" t="n">
        <v>0</v>
      </c>
      <c r="K533" t="n">
        <v>0</v>
      </c>
      <c r="L533" t="n">
        <v>0</v>
      </c>
      <c r="M533" t="n">
        <v>0</v>
      </c>
      <c r="N533" t="n">
        <v>0</v>
      </c>
      <c r="O533" t="n">
        <v>0</v>
      </c>
      <c r="P533" t="n">
        <v>0</v>
      </c>
      <c r="Q533" t="n">
        <v>0</v>
      </c>
      <c r="R533" s="2" t="inlineStr"/>
    </row>
    <row r="534" ht="15" customHeight="1">
      <c r="A534" t="inlineStr">
        <is>
          <t>A 20206-2023</t>
        </is>
      </c>
      <c r="B534" s="1" t="n">
        <v>45055</v>
      </c>
      <c r="C534" s="1" t="n">
        <v>46041</v>
      </c>
      <c r="D534" t="inlineStr">
        <is>
          <t>UPPSALA LÄN</t>
        </is>
      </c>
      <c r="E534" t="inlineStr">
        <is>
          <t>UPPSALA</t>
        </is>
      </c>
      <c r="G534" t="n">
        <v>5.7</v>
      </c>
      <c r="H534" t="n">
        <v>0</v>
      </c>
      <c r="I534" t="n">
        <v>0</v>
      </c>
      <c r="J534" t="n">
        <v>0</v>
      </c>
      <c r="K534" t="n">
        <v>0</v>
      </c>
      <c r="L534" t="n">
        <v>0</v>
      </c>
      <c r="M534" t="n">
        <v>0</v>
      </c>
      <c r="N534" t="n">
        <v>0</v>
      </c>
      <c r="O534" t="n">
        <v>0</v>
      </c>
      <c r="P534" t="n">
        <v>0</v>
      </c>
      <c r="Q534" t="n">
        <v>0</v>
      </c>
      <c r="R534" s="2" t="inlineStr"/>
    </row>
    <row r="535" ht="15" customHeight="1">
      <c r="A535" t="inlineStr">
        <is>
          <t>A 43029-2023</t>
        </is>
      </c>
      <c r="B535" s="1" t="n">
        <v>45182</v>
      </c>
      <c r="C535" s="1" t="n">
        <v>46041</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43031-2023</t>
        </is>
      </c>
      <c r="B536" s="1" t="n">
        <v>45182</v>
      </c>
      <c r="C536" s="1" t="n">
        <v>46041</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26762-2023</t>
        </is>
      </c>
      <c r="B537" s="1" t="n">
        <v>45093.46706018518</v>
      </c>
      <c r="C537" s="1" t="n">
        <v>46041</v>
      </c>
      <c r="D537" t="inlineStr">
        <is>
          <t>UPPSALA LÄN</t>
        </is>
      </c>
      <c r="E537" t="inlineStr">
        <is>
          <t>UPPSALA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50897-2025</t>
        </is>
      </c>
      <c r="B538" s="1" t="n">
        <v>45946.64121527778</v>
      </c>
      <c r="C538" s="1" t="n">
        <v>46041</v>
      </c>
      <c r="D538" t="inlineStr">
        <is>
          <t>UPPSALA LÄN</t>
        </is>
      </c>
      <c r="E538" t="inlineStr">
        <is>
          <t>UPPSALA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16434-2024</t>
        </is>
      </c>
      <c r="B539" s="1" t="n">
        <v>45407.69575231482</v>
      </c>
      <c r="C539" s="1" t="n">
        <v>46041</v>
      </c>
      <c r="D539" t="inlineStr">
        <is>
          <t>UPPSALA LÄN</t>
        </is>
      </c>
      <c r="E539" t="inlineStr">
        <is>
          <t>UPPSALA</t>
        </is>
      </c>
      <c r="G539" t="n">
        <v>1.7</v>
      </c>
      <c r="H539" t="n">
        <v>0</v>
      </c>
      <c r="I539" t="n">
        <v>0</v>
      </c>
      <c r="J539" t="n">
        <v>0</v>
      </c>
      <c r="K539" t="n">
        <v>0</v>
      </c>
      <c r="L539" t="n">
        <v>0</v>
      </c>
      <c r="M539" t="n">
        <v>0</v>
      </c>
      <c r="N539" t="n">
        <v>0</v>
      </c>
      <c r="O539" t="n">
        <v>0</v>
      </c>
      <c r="P539" t="n">
        <v>0</v>
      </c>
      <c r="Q539" t="n">
        <v>0</v>
      </c>
      <c r="R539" s="2" t="inlineStr"/>
    </row>
    <row r="540" ht="15" customHeight="1">
      <c r="A540" t="inlineStr">
        <is>
          <t>A 44080-2023</t>
        </is>
      </c>
      <c r="B540" s="1" t="n">
        <v>45188.42052083334</v>
      </c>
      <c r="C540" s="1" t="n">
        <v>46041</v>
      </c>
      <c r="D540" t="inlineStr">
        <is>
          <t>UPPSALA LÄN</t>
        </is>
      </c>
      <c r="E540" t="inlineStr">
        <is>
          <t>UPPSALA</t>
        </is>
      </c>
      <c r="G540" t="n">
        <v>13.3</v>
      </c>
      <c r="H540" t="n">
        <v>0</v>
      </c>
      <c r="I540" t="n">
        <v>0</v>
      </c>
      <c r="J540" t="n">
        <v>0</v>
      </c>
      <c r="K540" t="n">
        <v>0</v>
      </c>
      <c r="L540" t="n">
        <v>0</v>
      </c>
      <c r="M540" t="n">
        <v>0</v>
      </c>
      <c r="N540" t="n">
        <v>0</v>
      </c>
      <c r="O540" t="n">
        <v>0</v>
      </c>
      <c r="P540" t="n">
        <v>0</v>
      </c>
      <c r="Q540" t="n">
        <v>0</v>
      </c>
      <c r="R540" s="2" t="inlineStr"/>
    </row>
    <row r="541" ht="15" customHeight="1">
      <c r="A541" t="inlineStr">
        <is>
          <t>A 41112-2025</t>
        </is>
      </c>
      <c r="B541" s="1" t="n">
        <v>45898.46040509259</v>
      </c>
      <c r="C541" s="1" t="n">
        <v>46041</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53963-2023</t>
        </is>
      </c>
      <c r="B542" s="1" t="n">
        <v>45231.62840277778</v>
      </c>
      <c r="C542" s="1" t="n">
        <v>46041</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2897-2025</t>
        </is>
      </c>
      <c r="B543" s="1" t="n">
        <v>45677</v>
      </c>
      <c r="C543" s="1" t="n">
        <v>46041</v>
      </c>
      <c r="D543" t="inlineStr">
        <is>
          <t>UPPSALA LÄN</t>
        </is>
      </c>
      <c r="E543" t="inlineStr">
        <is>
          <t>UPPSALA</t>
        </is>
      </c>
      <c r="G543" t="n">
        <v>2.7</v>
      </c>
      <c r="H543" t="n">
        <v>0</v>
      </c>
      <c r="I543" t="n">
        <v>0</v>
      </c>
      <c r="J543" t="n">
        <v>0</v>
      </c>
      <c r="K543" t="n">
        <v>0</v>
      </c>
      <c r="L543" t="n">
        <v>0</v>
      </c>
      <c r="M543" t="n">
        <v>0</v>
      </c>
      <c r="N543" t="n">
        <v>0</v>
      </c>
      <c r="O543" t="n">
        <v>0</v>
      </c>
      <c r="P543" t="n">
        <v>0</v>
      </c>
      <c r="Q543" t="n">
        <v>0</v>
      </c>
      <c r="R543" s="2" t="inlineStr"/>
    </row>
    <row r="544" ht="15" customHeight="1">
      <c r="A544" t="inlineStr">
        <is>
          <t>A 50706-2025</t>
        </is>
      </c>
      <c r="B544" s="1" t="n">
        <v>45946.30063657407</v>
      </c>
      <c r="C544" s="1" t="n">
        <v>46041</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50708-2025</t>
        </is>
      </c>
      <c r="B545" s="1" t="n">
        <v>45946.31299768519</v>
      </c>
      <c r="C545" s="1" t="n">
        <v>46041</v>
      </c>
      <c r="D545" t="inlineStr">
        <is>
          <t>UPPSALA LÄN</t>
        </is>
      </c>
      <c r="E545" t="inlineStr">
        <is>
          <t>UPPSALA</t>
        </is>
      </c>
      <c r="G545" t="n">
        <v>6.7</v>
      </c>
      <c r="H545" t="n">
        <v>0</v>
      </c>
      <c r="I545" t="n">
        <v>0</v>
      </c>
      <c r="J545" t="n">
        <v>0</v>
      </c>
      <c r="K545" t="n">
        <v>0</v>
      </c>
      <c r="L545" t="n">
        <v>0</v>
      </c>
      <c r="M545" t="n">
        <v>0</v>
      </c>
      <c r="N545" t="n">
        <v>0</v>
      </c>
      <c r="O545" t="n">
        <v>0</v>
      </c>
      <c r="P545" t="n">
        <v>0</v>
      </c>
      <c r="Q545" t="n">
        <v>0</v>
      </c>
      <c r="R545" s="2" t="inlineStr"/>
    </row>
    <row r="546" ht="15" customHeight="1">
      <c r="A546" t="inlineStr">
        <is>
          <t>A 51433-2025</t>
        </is>
      </c>
      <c r="B546" s="1" t="n">
        <v>45950.55603009259</v>
      </c>
      <c r="C546" s="1" t="n">
        <v>46041</v>
      </c>
      <c r="D546" t="inlineStr">
        <is>
          <t>UPPSALA LÄN</t>
        </is>
      </c>
      <c r="E546" t="inlineStr">
        <is>
          <t>UPPSALA</t>
        </is>
      </c>
      <c r="F546" t="inlineStr">
        <is>
          <t>Bergvik skog öst AB</t>
        </is>
      </c>
      <c r="G546" t="n">
        <v>14.7</v>
      </c>
      <c r="H546" t="n">
        <v>0</v>
      </c>
      <c r="I546" t="n">
        <v>0</v>
      </c>
      <c r="J546" t="n">
        <v>0</v>
      </c>
      <c r="K546" t="n">
        <v>0</v>
      </c>
      <c r="L546" t="n">
        <v>0</v>
      </c>
      <c r="M546" t="n">
        <v>0</v>
      </c>
      <c r="N546" t="n">
        <v>0</v>
      </c>
      <c r="O546" t="n">
        <v>0</v>
      </c>
      <c r="P546" t="n">
        <v>0</v>
      </c>
      <c r="Q546" t="n">
        <v>0</v>
      </c>
      <c r="R546" s="2" t="inlineStr"/>
    </row>
    <row r="547" ht="15" customHeight="1">
      <c r="A547" t="inlineStr">
        <is>
          <t>A 6059-2025</t>
        </is>
      </c>
      <c r="B547" s="1" t="n">
        <v>45695.8391550926</v>
      </c>
      <c r="C547" s="1" t="n">
        <v>46041</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6060-2025</t>
        </is>
      </c>
      <c r="B548" s="1" t="n">
        <v>45695.84078703704</v>
      </c>
      <c r="C548" s="1" t="n">
        <v>46041</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51090-2025</t>
        </is>
      </c>
      <c r="B549" s="1" t="n">
        <v>45947.4724537037</v>
      </c>
      <c r="C549" s="1" t="n">
        <v>46041</v>
      </c>
      <c r="D549" t="inlineStr">
        <is>
          <t>UPPSALA LÄN</t>
        </is>
      </c>
      <c r="E549" t="inlineStr">
        <is>
          <t>UPPSALA</t>
        </is>
      </c>
      <c r="F549" t="inlineStr">
        <is>
          <t>Övriga Aktiebolag</t>
        </is>
      </c>
      <c r="G549" t="n">
        <v>17.5</v>
      </c>
      <c r="H549" t="n">
        <v>0</v>
      </c>
      <c r="I549" t="n">
        <v>0</v>
      </c>
      <c r="J549" t="n">
        <v>0</v>
      </c>
      <c r="K549" t="n">
        <v>0</v>
      </c>
      <c r="L549" t="n">
        <v>0</v>
      </c>
      <c r="M549" t="n">
        <v>0</v>
      </c>
      <c r="N549" t="n">
        <v>0</v>
      </c>
      <c r="O549" t="n">
        <v>0</v>
      </c>
      <c r="P549" t="n">
        <v>0</v>
      </c>
      <c r="Q549" t="n">
        <v>0</v>
      </c>
      <c r="R549" s="2" t="inlineStr"/>
    </row>
    <row r="550" ht="15" customHeight="1">
      <c r="A550" t="inlineStr">
        <is>
          <t>A 6677-2024</t>
        </is>
      </c>
      <c r="B550" s="1" t="n">
        <v>45341</v>
      </c>
      <c r="C550" s="1" t="n">
        <v>46041</v>
      </c>
      <c r="D550" t="inlineStr">
        <is>
          <t>UPPSALA LÄN</t>
        </is>
      </c>
      <c r="E550" t="inlineStr">
        <is>
          <t>UPPSALA</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50949-2025</t>
        </is>
      </c>
      <c r="B551" s="1" t="n">
        <v>45946.75140046296</v>
      </c>
      <c r="C551" s="1" t="n">
        <v>46041</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50951-2025</t>
        </is>
      </c>
      <c r="B552" s="1" t="n">
        <v>45946.76038194444</v>
      </c>
      <c r="C552" s="1" t="n">
        <v>46041</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51505-2025</t>
        </is>
      </c>
      <c r="B553" s="1" t="n">
        <v>45950</v>
      </c>
      <c r="C553" s="1" t="n">
        <v>46041</v>
      </c>
      <c r="D553" t="inlineStr">
        <is>
          <t>UPPSALA LÄN</t>
        </is>
      </c>
      <c r="E553" t="inlineStr">
        <is>
          <t>UPPSALA</t>
        </is>
      </c>
      <c r="G553" t="n">
        <v>6.7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46041</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51158-2025</t>
        </is>
      </c>
      <c r="B555" s="1" t="n">
        <v>45947.58105324074</v>
      </c>
      <c r="C555" s="1" t="n">
        <v>46041</v>
      </c>
      <c r="D555" t="inlineStr">
        <is>
          <t>UPPSALA LÄN</t>
        </is>
      </c>
      <c r="E555" t="inlineStr">
        <is>
          <t>UPPSALA</t>
        </is>
      </c>
      <c r="F555" t="inlineStr">
        <is>
          <t>Övriga Aktiebolag</t>
        </is>
      </c>
      <c r="G555" t="n">
        <v>12.1</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46041</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6630-2024</t>
        </is>
      </c>
      <c r="B557" s="1" t="n">
        <v>45341.63811342593</v>
      </c>
      <c r="C557" s="1" t="n">
        <v>46041</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50395-2023</t>
        </is>
      </c>
      <c r="B558" s="1" t="n">
        <v>45216</v>
      </c>
      <c r="C558" s="1" t="n">
        <v>46041</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50473-2023</t>
        </is>
      </c>
      <c r="B559" s="1" t="n">
        <v>45216</v>
      </c>
      <c r="C559" s="1" t="n">
        <v>46041</v>
      </c>
      <c r="D559" t="inlineStr">
        <is>
          <t>UPPSALA LÄN</t>
        </is>
      </c>
      <c r="E559" t="inlineStr">
        <is>
          <t>UPPSALA</t>
        </is>
      </c>
      <c r="F559" t="inlineStr">
        <is>
          <t>Allmännings- och besparingsskogar</t>
        </is>
      </c>
      <c r="G559" t="n">
        <v>7.6</v>
      </c>
      <c r="H559" t="n">
        <v>0</v>
      </c>
      <c r="I559" t="n">
        <v>0</v>
      </c>
      <c r="J559" t="n">
        <v>0</v>
      </c>
      <c r="K559" t="n">
        <v>0</v>
      </c>
      <c r="L559" t="n">
        <v>0</v>
      </c>
      <c r="M559" t="n">
        <v>0</v>
      </c>
      <c r="N559" t="n">
        <v>0</v>
      </c>
      <c r="O559" t="n">
        <v>0</v>
      </c>
      <c r="P559" t="n">
        <v>0</v>
      </c>
      <c r="Q559" t="n">
        <v>0</v>
      </c>
      <c r="R559" s="2" t="inlineStr"/>
    </row>
    <row r="560" ht="15" customHeight="1">
      <c r="A560" t="inlineStr">
        <is>
          <t>A 41002-2023</t>
        </is>
      </c>
      <c r="B560" s="1" t="n">
        <v>45173</v>
      </c>
      <c r="C560" s="1" t="n">
        <v>46041</v>
      </c>
      <c r="D560" t="inlineStr">
        <is>
          <t>UPPSALA LÄN</t>
        </is>
      </c>
      <c r="E560" t="inlineStr">
        <is>
          <t>UPPSALA</t>
        </is>
      </c>
      <c r="G560" t="n">
        <v>6.2</v>
      </c>
      <c r="H560" t="n">
        <v>0</v>
      </c>
      <c r="I560" t="n">
        <v>0</v>
      </c>
      <c r="J560" t="n">
        <v>0</v>
      </c>
      <c r="K560" t="n">
        <v>0</v>
      </c>
      <c r="L560" t="n">
        <v>0</v>
      </c>
      <c r="M560" t="n">
        <v>0</v>
      </c>
      <c r="N560" t="n">
        <v>0</v>
      </c>
      <c r="O560" t="n">
        <v>0</v>
      </c>
      <c r="P560" t="n">
        <v>0</v>
      </c>
      <c r="Q560" t="n">
        <v>0</v>
      </c>
      <c r="R560" s="2" t="inlineStr"/>
    </row>
    <row r="561" ht="15" customHeight="1">
      <c r="A561" t="inlineStr">
        <is>
          <t>A 5725-2025</t>
        </is>
      </c>
      <c r="B561" s="1" t="n">
        <v>45694</v>
      </c>
      <c r="C561" s="1" t="n">
        <v>46041</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4059-2022</t>
        </is>
      </c>
      <c r="B562" s="1" t="n">
        <v>44588</v>
      </c>
      <c r="C562" s="1" t="n">
        <v>46041</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12209-2025</t>
        </is>
      </c>
      <c r="B563" s="1" t="n">
        <v>45729</v>
      </c>
      <c r="C563" s="1" t="n">
        <v>46041</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48564-2023</t>
        </is>
      </c>
      <c r="B564" s="1" t="n">
        <v>45208.4350462963</v>
      </c>
      <c r="C564" s="1" t="n">
        <v>46041</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1032-2023</t>
        </is>
      </c>
      <c r="B565" s="1" t="n">
        <v>44935</v>
      </c>
      <c r="C565" s="1" t="n">
        <v>46041</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7501-2025</t>
        </is>
      </c>
      <c r="B566" s="1" t="n">
        <v>45705</v>
      </c>
      <c r="C566" s="1" t="n">
        <v>46041</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52267-2025</t>
        </is>
      </c>
      <c r="B567" s="1" t="n">
        <v>45953.53460648148</v>
      </c>
      <c r="C567" s="1" t="n">
        <v>46041</v>
      </c>
      <c r="D567" t="inlineStr">
        <is>
          <t>UPPSALA LÄN</t>
        </is>
      </c>
      <c r="E567" t="inlineStr">
        <is>
          <t>UPPSALA</t>
        </is>
      </c>
      <c r="G567" t="n">
        <v>1.9</v>
      </c>
      <c r="H567" t="n">
        <v>0</v>
      </c>
      <c r="I567" t="n">
        <v>0</v>
      </c>
      <c r="J567" t="n">
        <v>0</v>
      </c>
      <c r="K567" t="n">
        <v>0</v>
      </c>
      <c r="L567" t="n">
        <v>0</v>
      </c>
      <c r="M567" t="n">
        <v>0</v>
      </c>
      <c r="N567" t="n">
        <v>0</v>
      </c>
      <c r="O567" t="n">
        <v>0</v>
      </c>
      <c r="P567" t="n">
        <v>0</v>
      </c>
      <c r="Q567" t="n">
        <v>0</v>
      </c>
      <c r="R567" s="2" t="inlineStr"/>
    </row>
    <row r="568" ht="15" customHeight="1">
      <c r="A568" t="inlineStr">
        <is>
          <t>A 42273-2023</t>
        </is>
      </c>
      <c r="B568" s="1" t="n">
        <v>45180.40255787037</v>
      </c>
      <c r="C568" s="1" t="n">
        <v>46041</v>
      </c>
      <c r="D568" t="inlineStr">
        <is>
          <t>UPPSALA LÄN</t>
        </is>
      </c>
      <c r="E568" t="inlineStr">
        <is>
          <t>UPPSALA</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53569-2024</t>
        </is>
      </c>
      <c r="B569" s="1" t="n">
        <v>45614.65928240741</v>
      </c>
      <c r="C569" s="1" t="n">
        <v>46041</v>
      </c>
      <c r="D569" t="inlineStr">
        <is>
          <t>UPPSALA LÄN</t>
        </is>
      </c>
      <c r="E569" t="inlineStr">
        <is>
          <t>UPPSALA</t>
        </is>
      </c>
      <c r="G569" t="n">
        <v>2.7</v>
      </c>
      <c r="H569" t="n">
        <v>0</v>
      </c>
      <c r="I569" t="n">
        <v>0</v>
      </c>
      <c r="J569" t="n">
        <v>0</v>
      </c>
      <c r="K569" t="n">
        <v>0</v>
      </c>
      <c r="L569" t="n">
        <v>0</v>
      </c>
      <c r="M569" t="n">
        <v>0</v>
      </c>
      <c r="N569" t="n">
        <v>0</v>
      </c>
      <c r="O569" t="n">
        <v>0</v>
      </c>
      <c r="P569" t="n">
        <v>0</v>
      </c>
      <c r="Q569" t="n">
        <v>0</v>
      </c>
      <c r="R569" s="2" t="inlineStr"/>
    </row>
    <row r="570" ht="15" customHeight="1">
      <c r="A570" t="inlineStr">
        <is>
          <t>A 8877-2022</t>
        </is>
      </c>
      <c r="B570" s="1" t="n">
        <v>44614.59027777778</v>
      </c>
      <c r="C570" s="1" t="n">
        <v>46041</v>
      </c>
      <c r="D570" t="inlineStr">
        <is>
          <t>UPPSALA LÄN</t>
        </is>
      </c>
      <c r="E570" t="inlineStr">
        <is>
          <t>UPPSALA</t>
        </is>
      </c>
      <c r="G570" t="n">
        <v>1.4</v>
      </c>
      <c r="H570" t="n">
        <v>0</v>
      </c>
      <c r="I570" t="n">
        <v>0</v>
      </c>
      <c r="J570" t="n">
        <v>0</v>
      </c>
      <c r="K570" t="n">
        <v>0</v>
      </c>
      <c r="L570" t="n">
        <v>0</v>
      </c>
      <c r="M570" t="n">
        <v>0</v>
      </c>
      <c r="N570" t="n">
        <v>0</v>
      </c>
      <c r="O570" t="n">
        <v>0</v>
      </c>
      <c r="P570" t="n">
        <v>0</v>
      </c>
      <c r="Q570" t="n">
        <v>0</v>
      </c>
      <c r="R570" s="2" t="inlineStr"/>
    </row>
    <row r="571" ht="15" customHeight="1">
      <c r="A571" t="inlineStr">
        <is>
          <t>A 52269-2025</t>
        </is>
      </c>
      <c r="B571" s="1" t="n">
        <v>45953.53765046296</v>
      </c>
      <c r="C571" s="1" t="n">
        <v>46041</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52517-2025</t>
        </is>
      </c>
      <c r="B572" s="1" t="n">
        <v>45954.51438657408</v>
      </c>
      <c r="C572" s="1" t="n">
        <v>46041</v>
      </c>
      <c r="D572" t="inlineStr">
        <is>
          <t>UPPSALA LÄN</t>
        </is>
      </c>
      <c r="E572" t="inlineStr">
        <is>
          <t>UPPSALA</t>
        </is>
      </c>
      <c r="G572" t="n">
        <v>10.3</v>
      </c>
      <c r="H572" t="n">
        <v>0</v>
      </c>
      <c r="I572" t="n">
        <v>0</v>
      </c>
      <c r="J572" t="n">
        <v>0</v>
      </c>
      <c r="K572" t="n">
        <v>0</v>
      </c>
      <c r="L572" t="n">
        <v>0</v>
      </c>
      <c r="M572" t="n">
        <v>0</v>
      </c>
      <c r="N572" t="n">
        <v>0</v>
      </c>
      <c r="O572" t="n">
        <v>0</v>
      </c>
      <c r="P572" t="n">
        <v>0</v>
      </c>
      <c r="Q572" t="n">
        <v>0</v>
      </c>
      <c r="R572" s="2" t="inlineStr"/>
    </row>
    <row r="573" ht="15" customHeight="1">
      <c r="A573" t="inlineStr">
        <is>
          <t>A 52523-2025</t>
        </is>
      </c>
      <c r="B573" s="1" t="n">
        <v>45954.528125</v>
      </c>
      <c r="C573" s="1" t="n">
        <v>46041</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45954.38475694445</v>
      </c>
      <c r="C574" s="1" t="n">
        <v>46041</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46041</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46041</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45958.49162037037</v>
      </c>
      <c r="C577" s="1" t="n">
        <v>46041</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45958.6516087963</v>
      </c>
      <c r="C578" s="1" t="n">
        <v>46041</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42543-2023</t>
        </is>
      </c>
      <c r="B579" s="1" t="n">
        <v>45181.36815972222</v>
      </c>
      <c r="C579" s="1" t="n">
        <v>46041</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17558-2022</t>
        </is>
      </c>
      <c r="B580" s="1" t="n">
        <v>44679.66694444444</v>
      </c>
      <c r="C580" s="1" t="n">
        <v>46041</v>
      </c>
      <c r="D580" t="inlineStr">
        <is>
          <t>UPPSALA LÄN</t>
        </is>
      </c>
      <c r="E580" t="inlineStr">
        <is>
          <t>UPPSALA</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61245-2025</t>
        </is>
      </c>
      <c r="B581" s="1" t="n">
        <v>45999</v>
      </c>
      <c r="C581" s="1" t="n">
        <v>46041</v>
      </c>
      <c r="D581" t="inlineStr">
        <is>
          <t>UPPSALA LÄN</t>
        </is>
      </c>
      <c r="E581" t="inlineStr">
        <is>
          <t>UPPSALA</t>
        </is>
      </c>
      <c r="G581" t="n">
        <v>3.4</v>
      </c>
      <c r="H581" t="n">
        <v>0</v>
      </c>
      <c r="I581" t="n">
        <v>0</v>
      </c>
      <c r="J581" t="n">
        <v>0</v>
      </c>
      <c r="K581" t="n">
        <v>0</v>
      </c>
      <c r="L581" t="n">
        <v>0</v>
      </c>
      <c r="M581" t="n">
        <v>0</v>
      </c>
      <c r="N581" t="n">
        <v>0</v>
      </c>
      <c r="O581" t="n">
        <v>0</v>
      </c>
      <c r="P581" t="n">
        <v>0</v>
      </c>
      <c r="Q581" t="n">
        <v>0</v>
      </c>
      <c r="R581" s="2" t="inlineStr"/>
    </row>
    <row r="582" ht="15" customHeight="1">
      <c r="A582" t="inlineStr">
        <is>
          <t>A 4875-2021</t>
        </is>
      </c>
      <c r="B582" s="1" t="n">
        <v>44223</v>
      </c>
      <c r="C582" s="1" t="n">
        <v>46041</v>
      </c>
      <c r="D582" t="inlineStr">
        <is>
          <t>UPPSALA LÄN</t>
        </is>
      </c>
      <c r="E582" t="inlineStr">
        <is>
          <t>UPPSALA</t>
        </is>
      </c>
      <c r="G582" t="n">
        <v>0.4</v>
      </c>
      <c r="H582" t="n">
        <v>0</v>
      </c>
      <c r="I582" t="n">
        <v>0</v>
      </c>
      <c r="J582" t="n">
        <v>0</v>
      </c>
      <c r="K582" t="n">
        <v>0</v>
      </c>
      <c r="L582" t="n">
        <v>0</v>
      </c>
      <c r="M582" t="n">
        <v>0</v>
      </c>
      <c r="N582" t="n">
        <v>0</v>
      </c>
      <c r="O582" t="n">
        <v>0</v>
      </c>
      <c r="P582" t="n">
        <v>0</v>
      </c>
      <c r="Q582" t="n">
        <v>0</v>
      </c>
      <c r="R582" s="2" t="inlineStr"/>
    </row>
    <row r="583" ht="15" customHeight="1">
      <c r="A583" t="inlineStr">
        <is>
          <t>A 53021-2025</t>
        </is>
      </c>
      <c r="B583" s="1" t="n">
        <v>45957.95233796296</v>
      </c>
      <c r="C583" s="1" t="n">
        <v>46041</v>
      </c>
      <c r="D583" t="inlineStr">
        <is>
          <t>UPPSALA LÄN</t>
        </is>
      </c>
      <c r="E583" t="inlineStr">
        <is>
          <t>UPPSALA</t>
        </is>
      </c>
      <c r="G583" t="n">
        <v>1.6</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46041</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44315-2021</t>
        </is>
      </c>
      <c r="B585" s="1" t="n">
        <v>44435.38657407407</v>
      </c>
      <c r="C585" s="1" t="n">
        <v>46041</v>
      </c>
      <c r="D585" t="inlineStr">
        <is>
          <t>UPPSALA LÄN</t>
        </is>
      </c>
      <c r="E585" t="inlineStr">
        <is>
          <t>UPPSALA</t>
        </is>
      </c>
      <c r="G585" t="n">
        <v>5.2</v>
      </c>
      <c r="H585" t="n">
        <v>0</v>
      </c>
      <c r="I585" t="n">
        <v>0</v>
      </c>
      <c r="J585" t="n">
        <v>0</v>
      </c>
      <c r="K585" t="n">
        <v>0</v>
      </c>
      <c r="L585" t="n">
        <v>0</v>
      </c>
      <c r="M585" t="n">
        <v>0</v>
      </c>
      <c r="N585" t="n">
        <v>0</v>
      </c>
      <c r="O585" t="n">
        <v>0</v>
      </c>
      <c r="P585" t="n">
        <v>0</v>
      </c>
      <c r="Q585" t="n">
        <v>0</v>
      </c>
      <c r="R585" s="2" t="inlineStr"/>
    </row>
    <row r="586" ht="15" customHeight="1">
      <c r="A586" t="inlineStr">
        <is>
          <t>A 6851-2022</t>
        </is>
      </c>
      <c r="B586" s="1" t="n">
        <v>44602</v>
      </c>
      <c r="C586" s="1" t="n">
        <v>46041</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43818-2023</t>
        </is>
      </c>
      <c r="B587" s="1" t="n">
        <v>45182</v>
      </c>
      <c r="C587" s="1" t="n">
        <v>46041</v>
      </c>
      <c r="D587" t="inlineStr">
        <is>
          <t>UPPSALA LÄN</t>
        </is>
      </c>
      <c r="E587" t="inlineStr">
        <is>
          <t>UPPSALA</t>
        </is>
      </c>
      <c r="G587" t="n">
        <v>10.8</v>
      </c>
      <c r="H587" t="n">
        <v>0</v>
      </c>
      <c r="I587" t="n">
        <v>0</v>
      </c>
      <c r="J587" t="n">
        <v>0</v>
      </c>
      <c r="K587" t="n">
        <v>0</v>
      </c>
      <c r="L587" t="n">
        <v>0</v>
      </c>
      <c r="M587" t="n">
        <v>0</v>
      </c>
      <c r="N587" t="n">
        <v>0</v>
      </c>
      <c r="O587" t="n">
        <v>0</v>
      </c>
      <c r="P587" t="n">
        <v>0</v>
      </c>
      <c r="Q587" t="n">
        <v>0</v>
      </c>
      <c r="R587" s="2" t="inlineStr"/>
    </row>
    <row r="588" ht="15" customHeight="1">
      <c r="A588" t="inlineStr">
        <is>
          <t>A 41422-2023</t>
        </is>
      </c>
      <c r="B588" s="1" t="n">
        <v>45175</v>
      </c>
      <c r="C588" s="1" t="n">
        <v>46041</v>
      </c>
      <c r="D588" t="inlineStr">
        <is>
          <t>UPPSALA LÄN</t>
        </is>
      </c>
      <c r="E588" t="inlineStr">
        <is>
          <t>UPPSALA</t>
        </is>
      </c>
      <c r="F588" t="inlineStr">
        <is>
          <t>Kyrkan</t>
        </is>
      </c>
      <c r="G588" t="n">
        <v>5.2</v>
      </c>
      <c r="H588" t="n">
        <v>0</v>
      </c>
      <c r="I588" t="n">
        <v>0</v>
      </c>
      <c r="J588" t="n">
        <v>0</v>
      </c>
      <c r="K588" t="n">
        <v>0</v>
      </c>
      <c r="L588" t="n">
        <v>0</v>
      </c>
      <c r="M588" t="n">
        <v>0</v>
      </c>
      <c r="N588" t="n">
        <v>0</v>
      </c>
      <c r="O588" t="n">
        <v>0</v>
      </c>
      <c r="P588" t="n">
        <v>0</v>
      </c>
      <c r="Q588" t="n">
        <v>0</v>
      </c>
      <c r="R588" s="2" t="inlineStr"/>
    </row>
    <row r="589" ht="15" customHeight="1">
      <c r="A589" t="inlineStr">
        <is>
          <t>A 53062-2025</t>
        </is>
      </c>
      <c r="B589" s="1" t="n">
        <v>45958.37273148148</v>
      </c>
      <c r="C589" s="1" t="n">
        <v>46041</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53224-2025</t>
        </is>
      </c>
      <c r="B590" s="1" t="n">
        <v>45958.60826388889</v>
      </c>
      <c r="C590" s="1" t="n">
        <v>46041</v>
      </c>
      <c r="D590" t="inlineStr">
        <is>
          <t>UPPSALA LÄN</t>
        </is>
      </c>
      <c r="E590" t="inlineStr">
        <is>
          <t>UPPSALA</t>
        </is>
      </c>
      <c r="F590" t="inlineStr">
        <is>
          <t>Bergvik skog väst AB</t>
        </is>
      </c>
      <c r="G590" t="n">
        <v>3.7</v>
      </c>
      <c r="H590" t="n">
        <v>0</v>
      </c>
      <c r="I590" t="n">
        <v>0</v>
      </c>
      <c r="J590" t="n">
        <v>0</v>
      </c>
      <c r="K590" t="n">
        <v>0</v>
      </c>
      <c r="L590" t="n">
        <v>0</v>
      </c>
      <c r="M590" t="n">
        <v>0</v>
      </c>
      <c r="N590" t="n">
        <v>0</v>
      </c>
      <c r="O590" t="n">
        <v>0</v>
      </c>
      <c r="P590" t="n">
        <v>0</v>
      </c>
      <c r="Q590" t="n">
        <v>0</v>
      </c>
      <c r="R590" s="2" t="inlineStr"/>
    </row>
    <row r="591" ht="15" customHeight="1">
      <c r="A591" t="inlineStr">
        <is>
          <t>A 53230-2025</t>
        </is>
      </c>
      <c r="B591" s="1" t="n">
        <v>45958.62303240741</v>
      </c>
      <c r="C591" s="1" t="n">
        <v>46041</v>
      </c>
      <c r="D591" t="inlineStr">
        <is>
          <t>UPPSALA LÄN</t>
        </is>
      </c>
      <c r="E591" t="inlineStr">
        <is>
          <t>UPPSALA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53242-2025</t>
        </is>
      </c>
      <c r="B592" s="1" t="n">
        <v>45958.64146990741</v>
      </c>
      <c r="C592" s="1" t="n">
        <v>46041</v>
      </c>
      <c r="D592" t="inlineStr">
        <is>
          <t>UPPSALA LÄN</t>
        </is>
      </c>
      <c r="E592" t="inlineStr">
        <is>
          <t>UPPSALA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53244-2025</t>
        </is>
      </c>
      <c r="B593" s="1" t="n">
        <v>45957</v>
      </c>
      <c r="C593" s="1" t="n">
        <v>46041</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53234-2025</t>
        </is>
      </c>
      <c r="B594" s="1" t="n">
        <v>45958.62765046296</v>
      </c>
      <c r="C594" s="1" t="n">
        <v>46041</v>
      </c>
      <c r="D594" t="inlineStr">
        <is>
          <t>UPPSALA LÄN</t>
        </is>
      </c>
      <c r="E594" t="inlineStr">
        <is>
          <t>UPPSALA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53235-2025</t>
        </is>
      </c>
      <c r="B595" s="1" t="n">
        <v>45958.62983796297</v>
      </c>
      <c r="C595" s="1" t="n">
        <v>46041</v>
      </c>
      <c r="D595" t="inlineStr">
        <is>
          <t>UPPSALA LÄN</t>
        </is>
      </c>
      <c r="E595" t="inlineStr">
        <is>
          <t>UPPSALA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52963-2025</t>
        </is>
      </c>
      <c r="B596" s="1" t="n">
        <v>45957.66506944445</v>
      </c>
      <c r="C596" s="1" t="n">
        <v>46041</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53228-2025</t>
        </is>
      </c>
      <c r="B597" s="1" t="n">
        <v>45958.61577546296</v>
      </c>
      <c r="C597" s="1" t="n">
        <v>46041</v>
      </c>
      <c r="D597" t="inlineStr">
        <is>
          <t>UPPSALA LÄN</t>
        </is>
      </c>
      <c r="E597" t="inlineStr">
        <is>
          <t>UPPSALA</t>
        </is>
      </c>
      <c r="F597" t="inlineStr">
        <is>
          <t>Bergvik skog väst AB</t>
        </is>
      </c>
      <c r="G597" t="n">
        <v>0.7</v>
      </c>
      <c r="H597" t="n">
        <v>0</v>
      </c>
      <c r="I597" t="n">
        <v>0</v>
      </c>
      <c r="J597" t="n">
        <v>0</v>
      </c>
      <c r="K597" t="n">
        <v>0</v>
      </c>
      <c r="L597" t="n">
        <v>0</v>
      </c>
      <c r="M597" t="n">
        <v>0</v>
      </c>
      <c r="N597" t="n">
        <v>0</v>
      </c>
      <c r="O597" t="n">
        <v>0</v>
      </c>
      <c r="P597" t="n">
        <v>0</v>
      </c>
      <c r="Q597" t="n">
        <v>0</v>
      </c>
      <c r="R597" s="2" t="inlineStr"/>
    </row>
    <row r="598" ht="15" customHeight="1">
      <c r="A598" t="inlineStr">
        <is>
          <t>A 53238-2025</t>
        </is>
      </c>
      <c r="B598" s="1" t="n">
        <v>45958.63368055555</v>
      </c>
      <c r="C598" s="1" t="n">
        <v>46041</v>
      </c>
      <c r="D598" t="inlineStr">
        <is>
          <t>UPPSALA LÄN</t>
        </is>
      </c>
      <c r="E598" t="inlineStr">
        <is>
          <t>UPPSALA</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6541-2025</t>
        </is>
      </c>
      <c r="B599" s="1" t="n">
        <v>45699</v>
      </c>
      <c r="C599" s="1" t="n">
        <v>46041</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36479-2023</t>
        </is>
      </c>
      <c r="B600" s="1" t="n">
        <v>45152</v>
      </c>
      <c r="C600" s="1" t="n">
        <v>46041</v>
      </c>
      <c r="D600" t="inlineStr">
        <is>
          <t>UPPSALA LÄN</t>
        </is>
      </c>
      <c r="E600" t="inlineStr">
        <is>
          <t>UPPSALA</t>
        </is>
      </c>
      <c r="F600" t="inlineStr">
        <is>
          <t>Allmännings- och besparingsskogar</t>
        </is>
      </c>
      <c r="G600" t="n">
        <v>3.4</v>
      </c>
      <c r="H600" t="n">
        <v>0</v>
      </c>
      <c r="I600" t="n">
        <v>0</v>
      </c>
      <c r="J600" t="n">
        <v>0</v>
      </c>
      <c r="K600" t="n">
        <v>0</v>
      </c>
      <c r="L600" t="n">
        <v>0</v>
      </c>
      <c r="M600" t="n">
        <v>0</v>
      </c>
      <c r="N600" t="n">
        <v>0</v>
      </c>
      <c r="O600" t="n">
        <v>0</v>
      </c>
      <c r="P600" t="n">
        <v>0</v>
      </c>
      <c r="Q600" t="n">
        <v>0</v>
      </c>
      <c r="R600" s="2" t="inlineStr"/>
    </row>
    <row r="601" ht="15" customHeight="1">
      <c r="A601" t="inlineStr">
        <is>
          <t>A 5729-2025</t>
        </is>
      </c>
      <c r="B601" s="1" t="n">
        <v>45694.49037037037</v>
      </c>
      <c r="C601" s="1" t="n">
        <v>46041</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9398-2023</t>
        </is>
      </c>
      <c r="B602" s="1" t="n">
        <v>44977</v>
      </c>
      <c r="C602" s="1" t="n">
        <v>46041</v>
      </c>
      <c r="D602" t="inlineStr">
        <is>
          <t>UPPSALA LÄN</t>
        </is>
      </c>
      <c r="E602" t="inlineStr">
        <is>
          <t>UPPSALA</t>
        </is>
      </c>
      <c r="G602" t="n">
        <v>5.1</v>
      </c>
      <c r="H602" t="n">
        <v>0</v>
      </c>
      <c r="I602" t="n">
        <v>0</v>
      </c>
      <c r="J602" t="n">
        <v>0</v>
      </c>
      <c r="K602" t="n">
        <v>0</v>
      </c>
      <c r="L602" t="n">
        <v>0</v>
      </c>
      <c r="M602" t="n">
        <v>0</v>
      </c>
      <c r="N602" t="n">
        <v>0</v>
      </c>
      <c r="O602" t="n">
        <v>0</v>
      </c>
      <c r="P602" t="n">
        <v>0</v>
      </c>
      <c r="Q602" t="n">
        <v>0</v>
      </c>
      <c r="R602" s="2" t="inlineStr"/>
    </row>
    <row r="603" ht="15" customHeight="1">
      <c r="A603" t="inlineStr">
        <is>
          <t>A 20497-2022</t>
        </is>
      </c>
      <c r="B603" s="1" t="n">
        <v>44699</v>
      </c>
      <c r="C603" s="1" t="n">
        <v>46041</v>
      </c>
      <c r="D603" t="inlineStr">
        <is>
          <t>UPPSALA LÄN</t>
        </is>
      </c>
      <c r="E603" t="inlineStr">
        <is>
          <t>UPPSALA</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3955-2021</t>
        </is>
      </c>
      <c r="B604" s="1" t="n">
        <v>44222</v>
      </c>
      <c r="C604" s="1" t="n">
        <v>46041</v>
      </c>
      <c r="D604" t="inlineStr">
        <is>
          <t>UPPSALA LÄN</t>
        </is>
      </c>
      <c r="E604" t="inlineStr">
        <is>
          <t>UPPSALA</t>
        </is>
      </c>
      <c r="G604" t="n">
        <v>2.3</v>
      </c>
      <c r="H604" t="n">
        <v>0</v>
      </c>
      <c r="I604" t="n">
        <v>0</v>
      </c>
      <c r="J604" t="n">
        <v>0</v>
      </c>
      <c r="K604" t="n">
        <v>0</v>
      </c>
      <c r="L604" t="n">
        <v>0</v>
      </c>
      <c r="M604" t="n">
        <v>0</v>
      </c>
      <c r="N604" t="n">
        <v>0</v>
      </c>
      <c r="O604" t="n">
        <v>0</v>
      </c>
      <c r="P604" t="n">
        <v>0</v>
      </c>
      <c r="Q604" t="n">
        <v>0</v>
      </c>
      <c r="R604" s="2" t="inlineStr"/>
    </row>
    <row r="605" ht="15" customHeight="1">
      <c r="A605" t="inlineStr">
        <is>
          <t>A 52503-2023</t>
        </is>
      </c>
      <c r="B605" s="1" t="n">
        <v>45225.46480324074</v>
      </c>
      <c r="C605" s="1" t="n">
        <v>46041</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33562-2023</t>
        </is>
      </c>
      <c r="B606" s="1" t="n">
        <v>45131</v>
      </c>
      <c r="C606" s="1" t="n">
        <v>46041</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10674-2022</t>
        </is>
      </c>
      <c r="B607" s="1" t="n">
        <v>44624.64538194444</v>
      </c>
      <c r="C607" s="1" t="n">
        <v>46041</v>
      </c>
      <c r="D607" t="inlineStr">
        <is>
          <t>UPPSALA LÄN</t>
        </is>
      </c>
      <c r="E607" t="inlineStr">
        <is>
          <t>UPPSALA</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60447-2023</t>
        </is>
      </c>
      <c r="B608" s="1" t="n">
        <v>45259</v>
      </c>
      <c r="C608" s="1" t="n">
        <v>46041</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54783-2023</t>
        </is>
      </c>
      <c r="B609" s="1" t="n">
        <v>45236.47697916667</v>
      </c>
      <c r="C609" s="1" t="n">
        <v>46041</v>
      </c>
      <c r="D609" t="inlineStr">
        <is>
          <t>UPPSALA LÄN</t>
        </is>
      </c>
      <c r="E609" t="inlineStr">
        <is>
          <t>UPPSALA</t>
        </is>
      </c>
      <c r="G609" t="n">
        <v>2.2</v>
      </c>
      <c r="H609" t="n">
        <v>0</v>
      </c>
      <c r="I609" t="n">
        <v>0</v>
      </c>
      <c r="J609" t="n">
        <v>0</v>
      </c>
      <c r="K609" t="n">
        <v>0</v>
      </c>
      <c r="L609" t="n">
        <v>0</v>
      </c>
      <c r="M609" t="n">
        <v>0</v>
      </c>
      <c r="N609" t="n">
        <v>0</v>
      </c>
      <c r="O609" t="n">
        <v>0</v>
      </c>
      <c r="P609" t="n">
        <v>0</v>
      </c>
      <c r="Q609" t="n">
        <v>0</v>
      </c>
      <c r="R609" s="2" t="inlineStr"/>
    </row>
    <row r="610" ht="15" customHeight="1">
      <c r="A610" t="inlineStr">
        <is>
          <t>A 54924-2024</t>
        </is>
      </c>
      <c r="B610" s="1" t="n">
        <v>45618.71140046296</v>
      </c>
      <c r="C610" s="1" t="n">
        <v>46041</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53582-2025</t>
        </is>
      </c>
      <c r="B611" s="1" t="n">
        <v>45960.43065972222</v>
      </c>
      <c r="C611" s="1" t="n">
        <v>46041</v>
      </c>
      <c r="D611" t="inlineStr">
        <is>
          <t>UPPSALA LÄN</t>
        </is>
      </c>
      <c r="E611" t="inlineStr">
        <is>
          <t>UPPSALA</t>
        </is>
      </c>
      <c r="G611" t="n">
        <v>12.2</v>
      </c>
      <c r="H611" t="n">
        <v>0</v>
      </c>
      <c r="I611" t="n">
        <v>0</v>
      </c>
      <c r="J611" t="n">
        <v>0</v>
      </c>
      <c r="K611" t="n">
        <v>0</v>
      </c>
      <c r="L611" t="n">
        <v>0</v>
      </c>
      <c r="M611" t="n">
        <v>0</v>
      </c>
      <c r="N611" t="n">
        <v>0</v>
      </c>
      <c r="O611" t="n">
        <v>0</v>
      </c>
      <c r="P611" t="n">
        <v>0</v>
      </c>
      <c r="Q611" t="n">
        <v>0</v>
      </c>
      <c r="R611" s="2" t="inlineStr"/>
    </row>
    <row r="612" ht="15" customHeight="1">
      <c r="A612" t="inlineStr">
        <is>
          <t>A 12293-2022</t>
        </is>
      </c>
      <c r="B612" s="1" t="n">
        <v>44637.56178240741</v>
      </c>
      <c r="C612" s="1" t="n">
        <v>46041</v>
      </c>
      <c r="D612" t="inlineStr">
        <is>
          <t>UPPSALA LÄN</t>
        </is>
      </c>
      <c r="E612" t="inlineStr">
        <is>
          <t>UPPSALA</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53324-2025</t>
        </is>
      </c>
      <c r="B613" s="1" t="n">
        <v>45959.36146990741</v>
      </c>
      <c r="C613" s="1" t="n">
        <v>46041</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46041</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46041</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53322-2025</t>
        </is>
      </c>
      <c r="B616" s="1" t="n">
        <v>45959.35965277778</v>
      </c>
      <c r="C616" s="1" t="n">
        <v>46041</v>
      </c>
      <c r="D616" t="inlineStr">
        <is>
          <t>UPPSALA LÄN</t>
        </is>
      </c>
      <c r="E616" t="inlineStr">
        <is>
          <t>UPPSALA</t>
        </is>
      </c>
      <c r="F616" t="inlineStr">
        <is>
          <t>Bergvik skog öst AB</t>
        </is>
      </c>
      <c r="G616" t="n">
        <v>2.4</v>
      </c>
      <c r="H616" t="n">
        <v>0</v>
      </c>
      <c r="I616" t="n">
        <v>0</v>
      </c>
      <c r="J616" t="n">
        <v>0</v>
      </c>
      <c r="K616" t="n">
        <v>0</v>
      </c>
      <c r="L616" t="n">
        <v>0</v>
      </c>
      <c r="M616" t="n">
        <v>0</v>
      </c>
      <c r="N616" t="n">
        <v>0</v>
      </c>
      <c r="O616" t="n">
        <v>0</v>
      </c>
      <c r="P616" t="n">
        <v>0</v>
      </c>
      <c r="Q616" t="n">
        <v>0</v>
      </c>
      <c r="R616" s="2" t="inlineStr"/>
    </row>
    <row r="617" ht="15" customHeight="1">
      <c r="A617" t="inlineStr">
        <is>
          <t>A 53423-2025</t>
        </is>
      </c>
      <c r="B617" s="1" t="n">
        <v>45959.60851851852</v>
      </c>
      <c r="C617" s="1" t="n">
        <v>46041</v>
      </c>
      <c r="D617" t="inlineStr">
        <is>
          <t>UPPSALA LÄN</t>
        </is>
      </c>
      <c r="E617" t="inlineStr">
        <is>
          <t>UPPSALA</t>
        </is>
      </c>
      <c r="F617" t="inlineStr">
        <is>
          <t>Övriga Aktiebolag</t>
        </is>
      </c>
      <c r="G617" t="n">
        <v>23.6</v>
      </c>
      <c r="H617" t="n">
        <v>0</v>
      </c>
      <c r="I617" t="n">
        <v>0</v>
      </c>
      <c r="J617" t="n">
        <v>0</v>
      </c>
      <c r="K617" t="n">
        <v>0</v>
      </c>
      <c r="L617" t="n">
        <v>0</v>
      </c>
      <c r="M617" t="n">
        <v>0</v>
      </c>
      <c r="N617" t="n">
        <v>0</v>
      </c>
      <c r="O617" t="n">
        <v>0</v>
      </c>
      <c r="P617" t="n">
        <v>0</v>
      </c>
      <c r="Q617" t="n">
        <v>0</v>
      </c>
      <c r="R617" s="2" t="inlineStr"/>
    </row>
    <row r="618" ht="15" customHeight="1">
      <c r="A618" t="inlineStr">
        <is>
          <t>A 54808-2023</t>
        </is>
      </c>
      <c r="B618" s="1" t="n">
        <v>45236</v>
      </c>
      <c r="C618" s="1" t="n">
        <v>46041</v>
      </c>
      <c r="D618" t="inlineStr">
        <is>
          <t>UPPSALA LÄN</t>
        </is>
      </c>
      <c r="E618" t="inlineStr">
        <is>
          <t>UPPSALA</t>
        </is>
      </c>
      <c r="G618" t="n">
        <v>4.1</v>
      </c>
      <c r="H618" t="n">
        <v>0</v>
      </c>
      <c r="I618" t="n">
        <v>0</v>
      </c>
      <c r="J618" t="n">
        <v>0</v>
      </c>
      <c r="K618" t="n">
        <v>0</v>
      </c>
      <c r="L618" t="n">
        <v>0</v>
      </c>
      <c r="M618" t="n">
        <v>0</v>
      </c>
      <c r="N618" t="n">
        <v>0</v>
      </c>
      <c r="O618" t="n">
        <v>0</v>
      </c>
      <c r="P618" t="n">
        <v>0</v>
      </c>
      <c r="Q618" t="n">
        <v>0</v>
      </c>
      <c r="R618" s="2" t="inlineStr"/>
    </row>
    <row r="619" ht="15" customHeight="1">
      <c r="A619" t="inlineStr">
        <is>
          <t>A 23291-2024</t>
        </is>
      </c>
      <c r="B619" s="1" t="n">
        <v>45453</v>
      </c>
      <c r="C619" s="1" t="n">
        <v>46041</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34114-2024</t>
        </is>
      </c>
      <c r="B620" s="1" t="n">
        <v>45524</v>
      </c>
      <c r="C620" s="1" t="n">
        <v>46041</v>
      </c>
      <c r="D620" t="inlineStr">
        <is>
          <t>UPPSALA LÄN</t>
        </is>
      </c>
      <c r="E620" t="inlineStr">
        <is>
          <t>UPPSALA</t>
        </is>
      </c>
      <c r="F620" t="inlineStr">
        <is>
          <t>Allmännings- och besparingsskogar</t>
        </is>
      </c>
      <c r="G620" t="n">
        <v>1.3</v>
      </c>
      <c r="H620" t="n">
        <v>0</v>
      </c>
      <c r="I620" t="n">
        <v>0</v>
      </c>
      <c r="J620" t="n">
        <v>0</v>
      </c>
      <c r="K620" t="n">
        <v>0</v>
      </c>
      <c r="L620" t="n">
        <v>0</v>
      </c>
      <c r="M620" t="n">
        <v>0</v>
      </c>
      <c r="N620" t="n">
        <v>0</v>
      </c>
      <c r="O620" t="n">
        <v>0</v>
      </c>
      <c r="P620" t="n">
        <v>0</v>
      </c>
      <c r="Q620" t="n">
        <v>0</v>
      </c>
      <c r="R620" s="2" t="inlineStr"/>
    </row>
    <row r="621" ht="15" customHeight="1">
      <c r="A621" t="inlineStr">
        <is>
          <t>A 9984-2025</t>
        </is>
      </c>
      <c r="B621" s="1" t="n">
        <v>45719.42197916667</v>
      </c>
      <c r="C621" s="1" t="n">
        <v>46041</v>
      </c>
      <c r="D621" t="inlineStr">
        <is>
          <t>UPPSALA LÄN</t>
        </is>
      </c>
      <c r="E621" t="inlineStr">
        <is>
          <t>UPPSALA</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9991-2025</t>
        </is>
      </c>
      <c r="B622" s="1" t="n">
        <v>45719.43646990741</v>
      </c>
      <c r="C622" s="1" t="n">
        <v>46041</v>
      </c>
      <c r="D622" t="inlineStr">
        <is>
          <t>UPPSALA LÄN</t>
        </is>
      </c>
      <c r="E622" t="inlineStr">
        <is>
          <t>UPPSALA</t>
        </is>
      </c>
      <c r="F622" t="inlineStr">
        <is>
          <t>Kyrkan</t>
        </is>
      </c>
      <c r="G622" t="n">
        <v>6.1</v>
      </c>
      <c r="H622" t="n">
        <v>0</v>
      </c>
      <c r="I622" t="n">
        <v>0</v>
      </c>
      <c r="J622" t="n">
        <v>0</v>
      </c>
      <c r="K622" t="n">
        <v>0</v>
      </c>
      <c r="L622" t="n">
        <v>0</v>
      </c>
      <c r="M622" t="n">
        <v>0</v>
      </c>
      <c r="N622" t="n">
        <v>0</v>
      </c>
      <c r="O622" t="n">
        <v>0</v>
      </c>
      <c r="P622" t="n">
        <v>0</v>
      </c>
      <c r="Q622" t="n">
        <v>0</v>
      </c>
      <c r="R622" s="2" t="inlineStr"/>
    </row>
    <row r="623" ht="15" customHeight="1">
      <c r="A623" t="inlineStr">
        <is>
          <t>A 7611-2023</t>
        </is>
      </c>
      <c r="B623" s="1" t="n">
        <v>44967</v>
      </c>
      <c r="C623" s="1" t="n">
        <v>46041</v>
      </c>
      <c r="D623" t="inlineStr">
        <is>
          <t>UPPSALA LÄN</t>
        </is>
      </c>
      <c r="E623" t="inlineStr">
        <is>
          <t>UPPSALA</t>
        </is>
      </c>
      <c r="G623" t="n">
        <v>3.5</v>
      </c>
      <c r="H623" t="n">
        <v>0</v>
      </c>
      <c r="I623" t="n">
        <v>0</v>
      </c>
      <c r="J623" t="n">
        <v>0</v>
      </c>
      <c r="K623" t="n">
        <v>0</v>
      </c>
      <c r="L623" t="n">
        <v>0</v>
      </c>
      <c r="M623" t="n">
        <v>0</v>
      </c>
      <c r="N623" t="n">
        <v>0</v>
      </c>
      <c r="O623" t="n">
        <v>0</v>
      </c>
      <c r="P623" t="n">
        <v>0</v>
      </c>
      <c r="Q623" t="n">
        <v>0</v>
      </c>
      <c r="R623" s="2" t="inlineStr"/>
    </row>
    <row r="624" ht="15" customHeight="1">
      <c r="A624" t="inlineStr">
        <is>
          <t>A 53891-2025</t>
        </is>
      </c>
      <c r="B624" s="1" t="n">
        <v>45961.41853009259</v>
      </c>
      <c r="C624" s="1" t="n">
        <v>46041</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53886-2025</t>
        </is>
      </c>
      <c r="B625" s="1" t="n">
        <v>45961.40716435185</v>
      </c>
      <c r="C625" s="1" t="n">
        <v>46041</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35542-2022</t>
        </is>
      </c>
      <c r="B626" s="1" t="n">
        <v>44799.36695601852</v>
      </c>
      <c r="C626" s="1" t="n">
        <v>46041</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60056-2022</t>
        </is>
      </c>
      <c r="B627" s="1" t="n">
        <v>44909</v>
      </c>
      <c r="C627" s="1" t="n">
        <v>46041</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54601-2025</t>
        </is>
      </c>
      <c r="B628" s="1" t="n">
        <v>45965.82398148148</v>
      </c>
      <c r="C628" s="1" t="n">
        <v>46041</v>
      </c>
      <c r="D628" t="inlineStr">
        <is>
          <t>UPPSALA LÄN</t>
        </is>
      </c>
      <c r="E628" t="inlineStr">
        <is>
          <t>UPPSALA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59585-2023</t>
        </is>
      </c>
      <c r="B629" s="1" t="n">
        <v>45254</v>
      </c>
      <c r="C629" s="1" t="n">
        <v>46041</v>
      </c>
      <c r="D629" t="inlineStr">
        <is>
          <t>UPPSALA LÄN</t>
        </is>
      </c>
      <c r="E629" t="inlineStr">
        <is>
          <t>UPPSALA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3813-2024</t>
        </is>
      </c>
      <c r="B630" s="1" t="n">
        <v>45321</v>
      </c>
      <c r="C630" s="1" t="n">
        <v>46041</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5989-2022</t>
        </is>
      </c>
      <c r="B631" s="1" t="n">
        <v>44599.42277777778</v>
      </c>
      <c r="C631" s="1" t="n">
        <v>46041</v>
      </c>
      <c r="D631" t="inlineStr">
        <is>
          <t>UPPSALA LÄN</t>
        </is>
      </c>
      <c r="E631" t="inlineStr">
        <is>
          <t>UPPSALA</t>
        </is>
      </c>
      <c r="G631" t="n">
        <v>2.8</v>
      </c>
      <c r="H631" t="n">
        <v>0</v>
      </c>
      <c r="I631" t="n">
        <v>0</v>
      </c>
      <c r="J631" t="n">
        <v>0</v>
      </c>
      <c r="K631" t="n">
        <v>0</v>
      </c>
      <c r="L631" t="n">
        <v>0</v>
      </c>
      <c r="M631" t="n">
        <v>0</v>
      </c>
      <c r="N631" t="n">
        <v>0</v>
      </c>
      <c r="O631" t="n">
        <v>0</v>
      </c>
      <c r="P631" t="n">
        <v>0</v>
      </c>
      <c r="Q631" t="n">
        <v>0</v>
      </c>
      <c r="R631" s="2" t="inlineStr"/>
    </row>
    <row r="632" ht="15" customHeight="1">
      <c r="A632" t="inlineStr">
        <is>
          <t>A 3260-2024</t>
        </is>
      </c>
      <c r="B632" s="1" t="n">
        <v>45317</v>
      </c>
      <c r="C632" s="1" t="n">
        <v>46041</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5006-2022</t>
        </is>
      </c>
      <c r="B633" s="1" t="n">
        <v>44593</v>
      </c>
      <c r="C633" s="1" t="n">
        <v>46041</v>
      </c>
      <c r="D633" t="inlineStr">
        <is>
          <t>UPPSALA LÄN</t>
        </is>
      </c>
      <c r="E633" t="inlineStr">
        <is>
          <t>UPPSALA</t>
        </is>
      </c>
      <c r="F633" t="inlineStr">
        <is>
          <t>BillerudKorsnäs AB</t>
        </is>
      </c>
      <c r="G633" t="n">
        <v>1.4</v>
      </c>
      <c r="H633" t="n">
        <v>0</v>
      </c>
      <c r="I633" t="n">
        <v>0</v>
      </c>
      <c r="J633" t="n">
        <v>0</v>
      </c>
      <c r="K633" t="n">
        <v>0</v>
      </c>
      <c r="L633" t="n">
        <v>0</v>
      </c>
      <c r="M633" t="n">
        <v>0</v>
      </c>
      <c r="N633" t="n">
        <v>0</v>
      </c>
      <c r="O633" t="n">
        <v>0</v>
      </c>
      <c r="P633" t="n">
        <v>0</v>
      </c>
      <c r="Q633" t="n">
        <v>0</v>
      </c>
      <c r="R633" s="2" t="inlineStr"/>
    </row>
    <row r="634" ht="15" customHeight="1">
      <c r="A634" t="inlineStr">
        <is>
          <t>A 5007-2022</t>
        </is>
      </c>
      <c r="B634" s="1" t="n">
        <v>44593.61355324074</v>
      </c>
      <c r="C634" s="1" t="n">
        <v>46041</v>
      </c>
      <c r="D634" t="inlineStr">
        <is>
          <t>UPPSALA LÄN</t>
        </is>
      </c>
      <c r="E634" t="inlineStr">
        <is>
          <t>UPPSALA</t>
        </is>
      </c>
      <c r="F634" t="inlineStr">
        <is>
          <t>BillerudKorsnäs AB</t>
        </is>
      </c>
      <c r="G634" t="n">
        <v>3.6</v>
      </c>
      <c r="H634" t="n">
        <v>0</v>
      </c>
      <c r="I634" t="n">
        <v>0</v>
      </c>
      <c r="J634" t="n">
        <v>0</v>
      </c>
      <c r="K634" t="n">
        <v>0</v>
      </c>
      <c r="L634" t="n">
        <v>0</v>
      </c>
      <c r="M634" t="n">
        <v>0</v>
      </c>
      <c r="N634" t="n">
        <v>0</v>
      </c>
      <c r="O634" t="n">
        <v>0</v>
      </c>
      <c r="P634" t="n">
        <v>0</v>
      </c>
      <c r="Q634" t="n">
        <v>0</v>
      </c>
      <c r="R634" s="2" t="inlineStr"/>
    </row>
    <row r="635" ht="15" customHeight="1">
      <c r="A635" t="inlineStr">
        <is>
          <t>A 9611-2024</t>
        </is>
      </c>
      <c r="B635" s="1" t="n">
        <v>45361.57299768519</v>
      </c>
      <c r="C635" s="1" t="n">
        <v>46041</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54723-2025</t>
        </is>
      </c>
      <c r="B636" s="1" t="n">
        <v>45966.53721064814</v>
      </c>
      <c r="C636" s="1" t="n">
        <v>46041</v>
      </c>
      <c r="D636" t="inlineStr">
        <is>
          <t>UPPSALA LÄN</t>
        </is>
      </c>
      <c r="E636" t="inlineStr">
        <is>
          <t>UPPSALA</t>
        </is>
      </c>
      <c r="F636" t="inlineStr">
        <is>
          <t>Bergvik skog öst AB</t>
        </is>
      </c>
      <c r="G636" t="n">
        <v>4.7</v>
      </c>
      <c r="H636" t="n">
        <v>0</v>
      </c>
      <c r="I636" t="n">
        <v>0</v>
      </c>
      <c r="J636" t="n">
        <v>0</v>
      </c>
      <c r="K636" t="n">
        <v>0</v>
      </c>
      <c r="L636" t="n">
        <v>0</v>
      </c>
      <c r="M636" t="n">
        <v>0</v>
      </c>
      <c r="N636" t="n">
        <v>0</v>
      </c>
      <c r="O636" t="n">
        <v>0</v>
      </c>
      <c r="P636" t="n">
        <v>0</v>
      </c>
      <c r="Q636" t="n">
        <v>0</v>
      </c>
      <c r="R636" s="2" t="inlineStr"/>
    </row>
    <row r="637" ht="15" customHeight="1">
      <c r="A637" t="inlineStr">
        <is>
          <t>A 7276-2024</t>
        </is>
      </c>
      <c r="B637" s="1" t="n">
        <v>45344</v>
      </c>
      <c r="C637" s="1" t="n">
        <v>46041</v>
      </c>
      <c r="D637" t="inlineStr">
        <is>
          <t>UPPSALA LÄN</t>
        </is>
      </c>
      <c r="E637" t="inlineStr">
        <is>
          <t>UPPSALA</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39107-2023</t>
        </is>
      </c>
      <c r="B638" s="1" t="n">
        <v>45164.82913194445</v>
      </c>
      <c r="C638" s="1" t="n">
        <v>46041</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54284-2025</t>
        </is>
      </c>
      <c r="B639" s="1" t="n">
        <v>45964.76486111111</v>
      </c>
      <c r="C639" s="1" t="n">
        <v>46041</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3040-2023</t>
        </is>
      </c>
      <c r="B640" s="1" t="n">
        <v>44946</v>
      </c>
      <c r="C640" s="1" t="n">
        <v>46041</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18607-2024</t>
        </is>
      </c>
      <c r="B641" s="1" t="n">
        <v>45425.94947916667</v>
      </c>
      <c r="C641" s="1" t="n">
        <v>46041</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54724-2025</t>
        </is>
      </c>
      <c r="B642" s="1" t="n">
        <v>45966.53849537037</v>
      </c>
      <c r="C642" s="1" t="n">
        <v>46041</v>
      </c>
      <c r="D642" t="inlineStr">
        <is>
          <t>UPPSALA LÄN</t>
        </is>
      </c>
      <c r="E642" t="inlineStr">
        <is>
          <t>UPPSALA</t>
        </is>
      </c>
      <c r="F642" t="inlineStr">
        <is>
          <t>Bergvik skog öst AB</t>
        </is>
      </c>
      <c r="G642" t="n">
        <v>3.9</v>
      </c>
      <c r="H642" t="n">
        <v>0</v>
      </c>
      <c r="I642" t="n">
        <v>0</v>
      </c>
      <c r="J642" t="n">
        <v>0</v>
      </c>
      <c r="K642" t="n">
        <v>0</v>
      </c>
      <c r="L642" t="n">
        <v>0</v>
      </c>
      <c r="M642" t="n">
        <v>0</v>
      </c>
      <c r="N642" t="n">
        <v>0</v>
      </c>
      <c r="O642" t="n">
        <v>0</v>
      </c>
      <c r="P642" t="n">
        <v>0</v>
      </c>
      <c r="Q642" t="n">
        <v>0</v>
      </c>
      <c r="R642" s="2" t="inlineStr"/>
    </row>
    <row r="643" ht="15" customHeight="1">
      <c r="A643" t="inlineStr">
        <is>
          <t>A 8109-2024</t>
        </is>
      </c>
      <c r="B643" s="1" t="n">
        <v>45351.48662037037</v>
      </c>
      <c r="C643" s="1" t="n">
        <v>46041</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57770-2025</t>
        </is>
      </c>
      <c r="B644" s="1" t="n">
        <v>45981</v>
      </c>
      <c r="C644" s="1" t="n">
        <v>46041</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554-2023</t>
        </is>
      </c>
      <c r="B645" s="1" t="n">
        <v>44930</v>
      </c>
      <c r="C645" s="1" t="n">
        <v>46041</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2357-2024</t>
        </is>
      </c>
      <c r="B646" s="1" t="n">
        <v>45310</v>
      </c>
      <c r="C646" s="1" t="n">
        <v>46041</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668-2025</t>
        </is>
      </c>
      <c r="B647" s="1" t="n">
        <v>45664</v>
      </c>
      <c r="C647" s="1" t="n">
        <v>46041</v>
      </c>
      <c r="D647" t="inlineStr">
        <is>
          <t>UPPSALA LÄN</t>
        </is>
      </c>
      <c r="E647" t="inlineStr">
        <is>
          <t>UPPSALA</t>
        </is>
      </c>
      <c r="F647" t="inlineStr">
        <is>
          <t>Bergvik skog öst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45592-2023</t>
        </is>
      </c>
      <c r="B648" s="1" t="n">
        <v>45194.63479166666</v>
      </c>
      <c r="C648" s="1" t="n">
        <v>46041</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44781-2021</t>
        </is>
      </c>
      <c r="B649" s="1" t="n">
        <v>44438</v>
      </c>
      <c r="C649" s="1" t="n">
        <v>46041</v>
      </c>
      <c r="D649" t="inlineStr">
        <is>
          <t>UPPSALA LÄN</t>
        </is>
      </c>
      <c r="E649" t="inlineStr">
        <is>
          <t>UPPSALA</t>
        </is>
      </c>
      <c r="F649" t="inlineStr">
        <is>
          <t>Sveaskog</t>
        </is>
      </c>
      <c r="G649" t="n">
        <v>0.1</v>
      </c>
      <c r="H649" t="n">
        <v>0</v>
      </c>
      <c r="I649" t="n">
        <v>0</v>
      </c>
      <c r="J649" t="n">
        <v>0</v>
      </c>
      <c r="K649" t="n">
        <v>0</v>
      </c>
      <c r="L649" t="n">
        <v>0</v>
      </c>
      <c r="M649" t="n">
        <v>0</v>
      </c>
      <c r="N649" t="n">
        <v>0</v>
      </c>
      <c r="O649" t="n">
        <v>0</v>
      </c>
      <c r="P649" t="n">
        <v>0</v>
      </c>
      <c r="Q649" t="n">
        <v>0</v>
      </c>
      <c r="R649" s="2" t="inlineStr"/>
    </row>
    <row r="650" ht="15" customHeight="1">
      <c r="A650" t="inlineStr">
        <is>
          <t>A 54507-2025</t>
        </is>
      </c>
      <c r="B650" s="1" t="n">
        <v>45965.61792824074</v>
      </c>
      <c r="C650" s="1" t="n">
        <v>46041</v>
      </c>
      <c r="D650" t="inlineStr">
        <is>
          <t>UPPSALA LÄN</t>
        </is>
      </c>
      <c r="E650" t="inlineStr">
        <is>
          <t>UPPSALA</t>
        </is>
      </c>
      <c r="G650" t="n">
        <v>7.7</v>
      </c>
      <c r="H650" t="n">
        <v>0</v>
      </c>
      <c r="I650" t="n">
        <v>0</v>
      </c>
      <c r="J650" t="n">
        <v>0</v>
      </c>
      <c r="K650" t="n">
        <v>0</v>
      </c>
      <c r="L650" t="n">
        <v>0</v>
      </c>
      <c r="M650" t="n">
        <v>0</v>
      </c>
      <c r="N650" t="n">
        <v>0</v>
      </c>
      <c r="O650" t="n">
        <v>0</v>
      </c>
      <c r="P650" t="n">
        <v>0</v>
      </c>
      <c r="Q650" t="n">
        <v>0</v>
      </c>
      <c r="R650" s="2" t="inlineStr"/>
    </row>
    <row r="651" ht="15" customHeight="1">
      <c r="A651" t="inlineStr">
        <is>
          <t>A 54393-2025</t>
        </is>
      </c>
      <c r="B651" s="1" t="n">
        <v>45965</v>
      </c>
      <c r="C651" s="1" t="n">
        <v>46041</v>
      </c>
      <c r="D651" t="inlineStr">
        <is>
          <t>UPPSALA LÄN</t>
        </is>
      </c>
      <c r="E651" t="inlineStr">
        <is>
          <t>UPPSALA</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54600-2025</t>
        </is>
      </c>
      <c r="B652" s="1" t="n">
        <v>45965.81543981482</v>
      </c>
      <c r="C652" s="1" t="n">
        <v>46041</v>
      </c>
      <c r="D652" t="inlineStr">
        <is>
          <t>UPPSALA LÄN</t>
        </is>
      </c>
      <c r="E652" t="inlineStr">
        <is>
          <t>UPPSALA</t>
        </is>
      </c>
      <c r="F652" t="inlineStr">
        <is>
          <t>Bergvik skog öst AB</t>
        </is>
      </c>
      <c r="G652" t="n">
        <v>4.7</v>
      </c>
      <c r="H652" t="n">
        <v>0</v>
      </c>
      <c r="I652" t="n">
        <v>0</v>
      </c>
      <c r="J652" t="n">
        <v>0</v>
      </c>
      <c r="K652" t="n">
        <v>0</v>
      </c>
      <c r="L652" t="n">
        <v>0</v>
      </c>
      <c r="M652" t="n">
        <v>0</v>
      </c>
      <c r="N652" t="n">
        <v>0</v>
      </c>
      <c r="O652" t="n">
        <v>0</v>
      </c>
      <c r="P652" t="n">
        <v>0</v>
      </c>
      <c r="Q652" t="n">
        <v>0</v>
      </c>
      <c r="R652" s="2" t="inlineStr"/>
    </row>
    <row r="653" ht="15" customHeight="1">
      <c r="A653" t="inlineStr">
        <is>
          <t>A 42124-2021</t>
        </is>
      </c>
      <c r="B653" s="1" t="n">
        <v>44426</v>
      </c>
      <c r="C653" s="1" t="n">
        <v>46041</v>
      </c>
      <c r="D653" t="inlineStr">
        <is>
          <t>UPPSALA LÄN</t>
        </is>
      </c>
      <c r="E653" t="inlineStr">
        <is>
          <t>UPPSALA</t>
        </is>
      </c>
      <c r="G653" t="n">
        <v>6.3</v>
      </c>
      <c r="H653" t="n">
        <v>0</v>
      </c>
      <c r="I653" t="n">
        <v>0</v>
      </c>
      <c r="J653" t="n">
        <v>0</v>
      </c>
      <c r="K653" t="n">
        <v>0</v>
      </c>
      <c r="L653" t="n">
        <v>0</v>
      </c>
      <c r="M653" t="n">
        <v>0</v>
      </c>
      <c r="N653" t="n">
        <v>0</v>
      </c>
      <c r="O653" t="n">
        <v>0</v>
      </c>
      <c r="P653" t="n">
        <v>0</v>
      </c>
      <c r="Q653" t="n">
        <v>0</v>
      </c>
      <c r="R653" s="2" t="inlineStr"/>
    </row>
    <row r="654" ht="15" customHeight="1">
      <c r="A654" t="inlineStr">
        <is>
          <t>A 26323-2023</t>
        </is>
      </c>
      <c r="B654" s="1" t="n">
        <v>45091.69766203704</v>
      </c>
      <c r="C654" s="1" t="n">
        <v>46041</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16288-2025</t>
        </is>
      </c>
      <c r="B655" s="1" t="n">
        <v>45751.32001157408</v>
      </c>
      <c r="C655" s="1" t="n">
        <v>46041</v>
      </c>
      <c r="D655" t="inlineStr">
        <is>
          <t>UPPSALA LÄN</t>
        </is>
      </c>
      <c r="E655" t="inlineStr">
        <is>
          <t>UPPSALA</t>
        </is>
      </c>
      <c r="G655" t="n">
        <v>3.9</v>
      </c>
      <c r="H655" t="n">
        <v>0</v>
      </c>
      <c r="I655" t="n">
        <v>0</v>
      </c>
      <c r="J655" t="n">
        <v>0</v>
      </c>
      <c r="K655" t="n">
        <v>0</v>
      </c>
      <c r="L655" t="n">
        <v>0</v>
      </c>
      <c r="M655" t="n">
        <v>0</v>
      </c>
      <c r="N655" t="n">
        <v>0</v>
      </c>
      <c r="O655" t="n">
        <v>0</v>
      </c>
      <c r="P655" t="n">
        <v>0</v>
      </c>
      <c r="Q655" t="n">
        <v>0</v>
      </c>
      <c r="R655" s="2" t="inlineStr"/>
    </row>
    <row r="656" ht="15" customHeight="1">
      <c r="A656" t="inlineStr">
        <is>
          <t>A 7899-2022</t>
        </is>
      </c>
      <c r="B656" s="1" t="n">
        <v>44608</v>
      </c>
      <c r="C656" s="1" t="n">
        <v>46041</v>
      </c>
      <c r="D656" t="inlineStr">
        <is>
          <t>UPPSALA LÄN</t>
        </is>
      </c>
      <c r="E656" t="inlineStr">
        <is>
          <t>UPPSALA</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47316-2023</t>
        </is>
      </c>
      <c r="B657" s="1" t="n">
        <v>45202.4997337963</v>
      </c>
      <c r="C657" s="1" t="n">
        <v>46041</v>
      </c>
      <c r="D657" t="inlineStr">
        <is>
          <t>UPPSALA LÄN</t>
        </is>
      </c>
      <c r="E657" t="inlineStr">
        <is>
          <t>UPPSALA</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63059-2025</t>
        </is>
      </c>
      <c r="B658" s="1" t="n">
        <v>46009.63920138889</v>
      </c>
      <c r="C658" s="1" t="n">
        <v>46041</v>
      </c>
      <c r="D658" t="inlineStr">
        <is>
          <t>UPPSALA LÄN</t>
        </is>
      </c>
      <c r="E658" t="inlineStr">
        <is>
          <t>UPPSALA</t>
        </is>
      </c>
      <c r="G658" t="n">
        <v>15.4</v>
      </c>
      <c r="H658" t="n">
        <v>0</v>
      </c>
      <c r="I658" t="n">
        <v>0</v>
      </c>
      <c r="J658" t="n">
        <v>0</v>
      </c>
      <c r="K658" t="n">
        <v>0</v>
      </c>
      <c r="L658" t="n">
        <v>0</v>
      </c>
      <c r="M658" t="n">
        <v>0</v>
      </c>
      <c r="N658" t="n">
        <v>0</v>
      </c>
      <c r="O658" t="n">
        <v>0</v>
      </c>
      <c r="P658" t="n">
        <v>0</v>
      </c>
      <c r="Q658" t="n">
        <v>0</v>
      </c>
      <c r="R658" s="2" t="inlineStr"/>
    </row>
    <row r="659" ht="15" customHeight="1">
      <c r="A659" t="inlineStr">
        <is>
          <t>A 5605-2025</t>
        </is>
      </c>
      <c r="B659" s="1" t="n">
        <v>45693</v>
      </c>
      <c r="C659" s="1" t="n">
        <v>46041</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55275-2025</t>
        </is>
      </c>
      <c r="B660" s="1" t="n">
        <v>45968.76021990741</v>
      </c>
      <c r="C660" s="1" t="n">
        <v>46041</v>
      </c>
      <c r="D660" t="inlineStr">
        <is>
          <t>UPPSALA LÄN</t>
        </is>
      </c>
      <c r="E660" t="inlineStr">
        <is>
          <t>UPPSALA</t>
        </is>
      </c>
      <c r="F660" t="inlineStr">
        <is>
          <t>Allmännings- och besparingsskogar</t>
        </is>
      </c>
      <c r="G660" t="n">
        <v>13.2</v>
      </c>
      <c r="H660" t="n">
        <v>0</v>
      </c>
      <c r="I660" t="n">
        <v>0</v>
      </c>
      <c r="J660" t="n">
        <v>0</v>
      </c>
      <c r="K660" t="n">
        <v>0</v>
      </c>
      <c r="L660" t="n">
        <v>0</v>
      </c>
      <c r="M660" t="n">
        <v>0</v>
      </c>
      <c r="N660" t="n">
        <v>0</v>
      </c>
      <c r="O660" t="n">
        <v>0</v>
      </c>
      <c r="P660" t="n">
        <v>0</v>
      </c>
      <c r="Q660" t="n">
        <v>0</v>
      </c>
      <c r="R660" s="2" t="inlineStr"/>
    </row>
    <row r="661" ht="15" customHeight="1">
      <c r="A661" t="inlineStr">
        <is>
          <t>A 55357-2025</t>
        </is>
      </c>
      <c r="B661" s="1" t="n">
        <v>45971.37480324074</v>
      </c>
      <c r="C661" s="1" t="n">
        <v>46041</v>
      </c>
      <c r="D661" t="inlineStr">
        <is>
          <t>UPPSALA LÄN</t>
        </is>
      </c>
      <c r="E661" t="inlineStr">
        <is>
          <t>UPPSALA</t>
        </is>
      </c>
      <c r="G661" t="n">
        <v>6</v>
      </c>
      <c r="H661" t="n">
        <v>0</v>
      </c>
      <c r="I661" t="n">
        <v>0</v>
      </c>
      <c r="J661" t="n">
        <v>0</v>
      </c>
      <c r="K661" t="n">
        <v>0</v>
      </c>
      <c r="L661" t="n">
        <v>0</v>
      </c>
      <c r="M661" t="n">
        <v>0</v>
      </c>
      <c r="N661" t="n">
        <v>0</v>
      </c>
      <c r="O661" t="n">
        <v>0</v>
      </c>
      <c r="P661" t="n">
        <v>0</v>
      </c>
      <c r="Q661" t="n">
        <v>0</v>
      </c>
      <c r="R661" s="2" t="inlineStr"/>
    </row>
    <row r="662" ht="15" customHeight="1">
      <c r="A662" t="inlineStr">
        <is>
          <t>A 39818-2024</t>
        </is>
      </c>
      <c r="B662" s="1" t="n">
        <v>45552</v>
      </c>
      <c r="C662" s="1" t="n">
        <v>46041</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63669-2025</t>
        </is>
      </c>
      <c r="B663" s="1" t="n">
        <v>46014.45854166667</v>
      </c>
      <c r="C663" s="1" t="n">
        <v>46041</v>
      </c>
      <c r="D663" t="inlineStr">
        <is>
          <t>UPPSALA LÄN</t>
        </is>
      </c>
      <c r="E663" t="inlineStr">
        <is>
          <t>UPPSALA</t>
        </is>
      </c>
      <c r="G663" t="n">
        <v>5.4</v>
      </c>
      <c r="H663" t="n">
        <v>0</v>
      </c>
      <c r="I663" t="n">
        <v>0</v>
      </c>
      <c r="J663" t="n">
        <v>0</v>
      </c>
      <c r="K663" t="n">
        <v>0</v>
      </c>
      <c r="L663" t="n">
        <v>0</v>
      </c>
      <c r="M663" t="n">
        <v>0</v>
      </c>
      <c r="N663" t="n">
        <v>0</v>
      </c>
      <c r="O663" t="n">
        <v>0</v>
      </c>
      <c r="P663" t="n">
        <v>0</v>
      </c>
      <c r="Q663" t="n">
        <v>0</v>
      </c>
      <c r="R663" s="2" t="inlineStr"/>
    </row>
    <row r="664" ht="15" customHeight="1">
      <c r="A664" t="inlineStr">
        <is>
          <t>A 63389-2025</t>
        </is>
      </c>
      <c r="B664" s="1" t="n">
        <v>46011.70635416666</v>
      </c>
      <c r="C664" s="1" t="n">
        <v>46041</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33332-2022</t>
        </is>
      </c>
      <c r="B665" s="1" t="n">
        <v>44788</v>
      </c>
      <c r="C665" s="1" t="n">
        <v>46041</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18054-2025</t>
        </is>
      </c>
      <c r="B666" s="1" t="n">
        <v>45761.47540509259</v>
      </c>
      <c r="C666" s="1" t="n">
        <v>46041</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18058-2025</t>
        </is>
      </c>
      <c r="B667" s="1" t="n">
        <v>45761.47748842592</v>
      </c>
      <c r="C667" s="1" t="n">
        <v>46041</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63621-2025</t>
        </is>
      </c>
      <c r="B668" s="1" t="n">
        <v>46014.35287037037</v>
      </c>
      <c r="C668" s="1" t="n">
        <v>46041</v>
      </c>
      <c r="D668" t="inlineStr">
        <is>
          <t>UPPSALA LÄN</t>
        </is>
      </c>
      <c r="E668" t="inlineStr">
        <is>
          <t>UPPSALA</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63534-2025</t>
        </is>
      </c>
      <c r="B669" s="1" t="n">
        <v>46013.57037037037</v>
      </c>
      <c r="C669" s="1" t="n">
        <v>46041</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33272-2025</t>
        </is>
      </c>
      <c r="B670" s="1" t="n">
        <v>45840.68518518518</v>
      </c>
      <c r="C670" s="1" t="n">
        <v>46041</v>
      </c>
      <c r="D670" t="inlineStr">
        <is>
          <t>UPPSALA LÄN</t>
        </is>
      </c>
      <c r="E670" t="inlineStr">
        <is>
          <t>UPPSALA</t>
        </is>
      </c>
      <c r="G670" t="n">
        <v>4.7</v>
      </c>
      <c r="H670" t="n">
        <v>0</v>
      </c>
      <c r="I670" t="n">
        <v>0</v>
      </c>
      <c r="J670" t="n">
        <v>0</v>
      </c>
      <c r="K670" t="n">
        <v>0</v>
      </c>
      <c r="L670" t="n">
        <v>0</v>
      </c>
      <c r="M670" t="n">
        <v>0</v>
      </c>
      <c r="N670" t="n">
        <v>0</v>
      </c>
      <c r="O670" t="n">
        <v>0</v>
      </c>
      <c r="P670" t="n">
        <v>0</v>
      </c>
      <c r="Q670" t="n">
        <v>0</v>
      </c>
      <c r="R670" s="2" t="inlineStr"/>
    </row>
    <row r="671" ht="15" customHeight="1">
      <c r="A671" t="inlineStr">
        <is>
          <t>A 55594-2025</t>
        </is>
      </c>
      <c r="B671" s="1" t="n">
        <v>45971.70613425926</v>
      </c>
      <c r="C671" s="1" t="n">
        <v>46041</v>
      </c>
      <c r="D671" t="inlineStr">
        <is>
          <t>UPPSALA LÄN</t>
        </is>
      </c>
      <c r="E671" t="inlineStr">
        <is>
          <t>UPPSALA</t>
        </is>
      </c>
      <c r="F671" t="inlineStr">
        <is>
          <t>Allmännings- och besparingsskogar</t>
        </is>
      </c>
      <c r="G671" t="n">
        <v>3.2</v>
      </c>
      <c r="H671" t="n">
        <v>0</v>
      </c>
      <c r="I671" t="n">
        <v>0</v>
      </c>
      <c r="J671" t="n">
        <v>0</v>
      </c>
      <c r="K671" t="n">
        <v>0</v>
      </c>
      <c r="L671" t="n">
        <v>0</v>
      </c>
      <c r="M671" t="n">
        <v>0</v>
      </c>
      <c r="N671" t="n">
        <v>0</v>
      </c>
      <c r="O671" t="n">
        <v>0</v>
      </c>
      <c r="P671" t="n">
        <v>0</v>
      </c>
      <c r="Q671" t="n">
        <v>0</v>
      </c>
      <c r="R671" s="2" t="inlineStr"/>
    </row>
    <row r="672" ht="15" customHeight="1">
      <c r="A672" t="inlineStr">
        <is>
          <t>A 63530-2025</t>
        </is>
      </c>
      <c r="B672" s="1" t="n">
        <v>46013.56292824074</v>
      </c>
      <c r="C672" s="1" t="n">
        <v>46041</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5663-2023</t>
        </is>
      </c>
      <c r="B673" s="1" t="n">
        <v>44960</v>
      </c>
      <c r="C673" s="1" t="n">
        <v>46041</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5675-2023</t>
        </is>
      </c>
      <c r="B674" s="1" t="n">
        <v>44960.66233796296</v>
      </c>
      <c r="C674" s="1" t="n">
        <v>46041</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48757-2025</t>
        </is>
      </c>
      <c r="B675" s="1" t="n">
        <v>45936.73660879629</v>
      </c>
      <c r="C675" s="1" t="n">
        <v>46041</v>
      </c>
      <c r="D675" t="inlineStr">
        <is>
          <t>UPPSALA LÄN</t>
        </is>
      </c>
      <c r="E675" t="inlineStr">
        <is>
          <t>UPPSALA</t>
        </is>
      </c>
      <c r="G675" t="n">
        <v>4.2</v>
      </c>
      <c r="H675" t="n">
        <v>0</v>
      </c>
      <c r="I675" t="n">
        <v>0</v>
      </c>
      <c r="J675" t="n">
        <v>0</v>
      </c>
      <c r="K675" t="n">
        <v>0</v>
      </c>
      <c r="L675" t="n">
        <v>0</v>
      </c>
      <c r="M675" t="n">
        <v>0</v>
      </c>
      <c r="N675" t="n">
        <v>0</v>
      </c>
      <c r="O675" t="n">
        <v>0</v>
      </c>
      <c r="P675" t="n">
        <v>0</v>
      </c>
      <c r="Q675" t="n">
        <v>0</v>
      </c>
      <c r="R675" s="2" t="inlineStr"/>
    </row>
    <row r="676" ht="15" customHeight="1">
      <c r="A676" t="inlineStr">
        <is>
          <t>A 55732-2025</t>
        </is>
      </c>
      <c r="B676" s="1" t="n">
        <v>45972</v>
      </c>
      <c r="C676" s="1" t="n">
        <v>46041</v>
      </c>
      <c r="D676" t="inlineStr">
        <is>
          <t>UPPSALA LÄN</t>
        </is>
      </c>
      <c r="E676" t="inlineStr">
        <is>
          <t>UPPSALA</t>
        </is>
      </c>
      <c r="G676" t="n">
        <v>10.9</v>
      </c>
      <c r="H676" t="n">
        <v>0</v>
      </c>
      <c r="I676" t="n">
        <v>0</v>
      </c>
      <c r="J676" t="n">
        <v>0</v>
      </c>
      <c r="K676" t="n">
        <v>0</v>
      </c>
      <c r="L676" t="n">
        <v>0</v>
      </c>
      <c r="M676" t="n">
        <v>0</v>
      </c>
      <c r="N676" t="n">
        <v>0</v>
      </c>
      <c r="O676" t="n">
        <v>0</v>
      </c>
      <c r="P676" t="n">
        <v>0</v>
      </c>
      <c r="Q676" t="n">
        <v>0</v>
      </c>
      <c r="R676" s="2" t="inlineStr"/>
    </row>
    <row r="677" ht="15" customHeight="1">
      <c r="A677" t="inlineStr">
        <is>
          <t>A 63527-2025</t>
        </is>
      </c>
      <c r="B677" s="1" t="n">
        <v>46013.55923611111</v>
      </c>
      <c r="C677" s="1" t="n">
        <v>46041</v>
      </c>
      <c r="D677" t="inlineStr">
        <is>
          <t>UPPSALA LÄN</t>
        </is>
      </c>
      <c r="E677" t="inlineStr">
        <is>
          <t>UPPSALA</t>
        </is>
      </c>
      <c r="G677" t="n">
        <v>6.3</v>
      </c>
      <c r="H677" t="n">
        <v>0</v>
      </c>
      <c r="I677" t="n">
        <v>0</v>
      </c>
      <c r="J677" t="n">
        <v>0</v>
      </c>
      <c r="K677" t="n">
        <v>0</v>
      </c>
      <c r="L677" t="n">
        <v>0</v>
      </c>
      <c r="M677" t="n">
        <v>0</v>
      </c>
      <c r="N677" t="n">
        <v>0</v>
      </c>
      <c r="O677" t="n">
        <v>0</v>
      </c>
      <c r="P677" t="n">
        <v>0</v>
      </c>
      <c r="Q677" t="n">
        <v>0</v>
      </c>
      <c r="R677" s="2" t="inlineStr"/>
    </row>
    <row r="678" ht="15" customHeight="1">
      <c r="A678" t="inlineStr">
        <is>
          <t>A 63532-2025</t>
        </is>
      </c>
      <c r="B678" s="1" t="n">
        <v>46013.56641203703</v>
      </c>
      <c r="C678" s="1" t="n">
        <v>46041</v>
      </c>
      <c r="D678" t="inlineStr">
        <is>
          <t>UPPSALA LÄN</t>
        </is>
      </c>
      <c r="E678" t="inlineStr">
        <is>
          <t>UPPSALA</t>
        </is>
      </c>
      <c r="G678" t="n">
        <v>2.6</v>
      </c>
      <c r="H678" t="n">
        <v>0</v>
      </c>
      <c r="I678" t="n">
        <v>0</v>
      </c>
      <c r="J678" t="n">
        <v>0</v>
      </c>
      <c r="K678" t="n">
        <v>0</v>
      </c>
      <c r="L678" t="n">
        <v>0</v>
      </c>
      <c r="M678" t="n">
        <v>0</v>
      </c>
      <c r="N678" t="n">
        <v>0</v>
      </c>
      <c r="O678" t="n">
        <v>0</v>
      </c>
      <c r="P678" t="n">
        <v>0</v>
      </c>
      <c r="Q678" t="n">
        <v>0</v>
      </c>
      <c r="R678" s="2" t="inlineStr"/>
    </row>
    <row r="679" ht="15" customHeight="1">
      <c r="A679" t="inlineStr">
        <is>
          <t>A 6973-2025</t>
        </is>
      </c>
      <c r="B679" s="1" t="n">
        <v>45693</v>
      </c>
      <c r="C679" s="1" t="n">
        <v>46041</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39608-2022</t>
        </is>
      </c>
      <c r="B680" s="1" t="n">
        <v>44817</v>
      </c>
      <c r="C680" s="1" t="n">
        <v>46041</v>
      </c>
      <c r="D680" t="inlineStr">
        <is>
          <t>UPPSALA LÄN</t>
        </is>
      </c>
      <c r="E680" t="inlineStr">
        <is>
          <t>UPPSALA</t>
        </is>
      </c>
      <c r="G680" t="n">
        <v>2</v>
      </c>
      <c r="H680" t="n">
        <v>0</v>
      </c>
      <c r="I680" t="n">
        <v>0</v>
      </c>
      <c r="J680" t="n">
        <v>0</v>
      </c>
      <c r="K680" t="n">
        <v>0</v>
      </c>
      <c r="L680" t="n">
        <v>0</v>
      </c>
      <c r="M680" t="n">
        <v>0</v>
      </c>
      <c r="N680" t="n">
        <v>0</v>
      </c>
      <c r="O680" t="n">
        <v>0</v>
      </c>
      <c r="P680" t="n">
        <v>0</v>
      </c>
      <c r="Q680" t="n">
        <v>0</v>
      </c>
      <c r="R680" s="2" t="inlineStr"/>
    </row>
    <row r="681" ht="15" customHeight="1">
      <c r="A681" t="inlineStr">
        <is>
          <t>A 11409-2025</t>
        </is>
      </c>
      <c r="B681" s="1" t="n">
        <v>45726</v>
      </c>
      <c r="C681" s="1" t="n">
        <v>46041</v>
      </c>
      <c r="D681" t="inlineStr">
        <is>
          <t>UPPSALA LÄN</t>
        </is>
      </c>
      <c r="E681" t="inlineStr">
        <is>
          <t>UPPSALA</t>
        </is>
      </c>
      <c r="G681" t="n">
        <v>0.3</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46041</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56577-2025</t>
        </is>
      </c>
      <c r="B683" s="1" t="n">
        <v>45975.5341550926</v>
      </c>
      <c r="C683" s="1" t="n">
        <v>46041</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28825-2024</t>
        </is>
      </c>
      <c r="B684" s="1" t="n">
        <v>45478</v>
      </c>
      <c r="C684" s="1" t="n">
        <v>46041</v>
      </c>
      <c r="D684" t="inlineStr">
        <is>
          <t>UPPSALA LÄN</t>
        </is>
      </c>
      <c r="E684" t="inlineStr">
        <is>
          <t>UPPSALA</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56620-2025</t>
        </is>
      </c>
      <c r="B685" s="1" t="n">
        <v>45975.59520833333</v>
      </c>
      <c r="C685" s="1" t="n">
        <v>46041</v>
      </c>
      <c r="D685" t="inlineStr">
        <is>
          <t>UPPSALA LÄN</t>
        </is>
      </c>
      <c r="E685" t="inlineStr">
        <is>
          <t>UPPSALA</t>
        </is>
      </c>
      <c r="G685" t="n">
        <v>3.6</v>
      </c>
      <c r="H685" t="n">
        <v>0</v>
      </c>
      <c r="I685" t="n">
        <v>0</v>
      </c>
      <c r="J685" t="n">
        <v>0</v>
      </c>
      <c r="K685" t="n">
        <v>0</v>
      </c>
      <c r="L685" t="n">
        <v>0</v>
      </c>
      <c r="M685" t="n">
        <v>0</v>
      </c>
      <c r="N685" t="n">
        <v>0</v>
      </c>
      <c r="O685" t="n">
        <v>0</v>
      </c>
      <c r="P685" t="n">
        <v>0</v>
      </c>
      <c r="Q685" t="n">
        <v>0</v>
      </c>
      <c r="R685" s="2" t="inlineStr"/>
    </row>
    <row r="686" ht="15" customHeight="1">
      <c r="A686" t="inlineStr">
        <is>
          <t>A 50037-2024</t>
        </is>
      </c>
      <c r="B686" s="1" t="n">
        <v>45599</v>
      </c>
      <c r="C686" s="1" t="n">
        <v>46041</v>
      </c>
      <c r="D686" t="inlineStr">
        <is>
          <t>UPPSALA LÄN</t>
        </is>
      </c>
      <c r="E686" t="inlineStr">
        <is>
          <t>UPPSALA</t>
        </is>
      </c>
      <c r="G686" t="n">
        <v>13.7</v>
      </c>
      <c r="H686" t="n">
        <v>0</v>
      </c>
      <c r="I686" t="n">
        <v>0</v>
      </c>
      <c r="J686" t="n">
        <v>0</v>
      </c>
      <c r="K686" t="n">
        <v>0</v>
      </c>
      <c r="L686" t="n">
        <v>0</v>
      </c>
      <c r="M686" t="n">
        <v>0</v>
      </c>
      <c r="N686" t="n">
        <v>0</v>
      </c>
      <c r="O686" t="n">
        <v>0</v>
      </c>
      <c r="P686" t="n">
        <v>0</v>
      </c>
      <c r="Q686" t="n">
        <v>0</v>
      </c>
      <c r="R686" s="2" t="inlineStr"/>
    </row>
    <row r="687" ht="15" customHeight="1">
      <c r="A687" t="inlineStr">
        <is>
          <t>A 74019-2021</t>
        </is>
      </c>
      <c r="B687" s="1" t="n">
        <v>44553</v>
      </c>
      <c r="C687" s="1" t="n">
        <v>46041</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60167-2024</t>
        </is>
      </c>
      <c r="B688" s="1" t="n">
        <v>45642.63524305556</v>
      </c>
      <c r="C688" s="1" t="n">
        <v>46041</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61574-2024</t>
        </is>
      </c>
      <c r="B689" s="1" t="n">
        <v>45646.61892361111</v>
      </c>
      <c r="C689" s="1" t="n">
        <v>46041</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9820-2023</t>
        </is>
      </c>
      <c r="B690" s="1" t="n">
        <v>44984.69216435185</v>
      </c>
      <c r="C690" s="1" t="n">
        <v>46041</v>
      </c>
      <c r="D690" t="inlineStr">
        <is>
          <t>UPPSALA LÄN</t>
        </is>
      </c>
      <c r="E690" t="inlineStr">
        <is>
          <t>UPPSALA</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34243-2021</t>
        </is>
      </c>
      <c r="B691" s="1" t="n">
        <v>44379.56163194445</v>
      </c>
      <c r="C691" s="1" t="n">
        <v>46041</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53906-2023</t>
        </is>
      </c>
      <c r="B692" s="1" t="n">
        <v>45231</v>
      </c>
      <c r="C692" s="1" t="n">
        <v>46041</v>
      </c>
      <c r="D692" t="inlineStr">
        <is>
          <t>UPPSALA LÄN</t>
        </is>
      </c>
      <c r="E692" t="inlineStr">
        <is>
          <t>UPPSALA</t>
        </is>
      </c>
      <c r="G692" t="n">
        <v>13.2</v>
      </c>
      <c r="H692" t="n">
        <v>0</v>
      </c>
      <c r="I692" t="n">
        <v>0</v>
      </c>
      <c r="J692" t="n">
        <v>0</v>
      </c>
      <c r="K692" t="n">
        <v>0</v>
      </c>
      <c r="L692" t="n">
        <v>0</v>
      </c>
      <c r="M692" t="n">
        <v>0</v>
      </c>
      <c r="N692" t="n">
        <v>0</v>
      </c>
      <c r="O692" t="n">
        <v>0</v>
      </c>
      <c r="P692" t="n">
        <v>0</v>
      </c>
      <c r="Q692" t="n">
        <v>0</v>
      </c>
      <c r="R692" s="2" t="inlineStr"/>
    </row>
    <row r="693" ht="15" customHeight="1">
      <c r="A693" t="inlineStr">
        <is>
          <t>A 1975-2022</t>
        </is>
      </c>
      <c r="B693" s="1" t="n">
        <v>44575</v>
      </c>
      <c r="C693" s="1" t="n">
        <v>46041</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27622-2023</t>
        </is>
      </c>
      <c r="B694" s="1" t="n">
        <v>45097</v>
      </c>
      <c r="C694" s="1" t="n">
        <v>46041</v>
      </c>
      <c r="D694" t="inlineStr">
        <is>
          <t>UPPSALA LÄN</t>
        </is>
      </c>
      <c r="E694" t="inlineStr">
        <is>
          <t>UPPSALA</t>
        </is>
      </c>
      <c r="G694" t="n">
        <v>3.2</v>
      </c>
      <c r="H694" t="n">
        <v>0</v>
      </c>
      <c r="I694" t="n">
        <v>0</v>
      </c>
      <c r="J694" t="n">
        <v>0</v>
      </c>
      <c r="K694" t="n">
        <v>0</v>
      </c>
      <c r="L694" t="n">
        <v>0</v>
      </c>
      <c r="M694" t="n">
        <v>0</v>
      </c>
      <c r="N694" t="n">
        <v>0</v>
      </c>
      <c r="O694" t="n">
        <v>0</v>
      </c>
      <c r="P694" t="n">
        <v>0</v>
      </c>
      <c r="Q694" t="n">
        <v>0</v>
      </c>
      <c r="R694" s="2" t="inlineStr"/>
    </row>
    <row r="695" ht="15" customHeight="1">
      <c r="A695" t="inlineStr">
        <is>
          <t>A 13799-2024</t>
        </is>
      </c>
      <c r="B695" s="1" t="n">
        <v>45391.37361111111</v>
      </c>
      <c r="C695" s="1" t="n">
        <v>46041</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33816-2024</t>
        </is>
      </c>
      <c r="B696" s="1" t="n">
        <v>45520</v>
      </c>
      <c r="C696" s="1" t="n">
        <v>46041</v>
      </c>
      <c r="D696" t="inlineStr">
        <is>
          <t>UPPSALA LÄN</t>
        </is>
      </c>
      <c r="E696" t="inlineStr">
        <is>
          <t>UPPSALA</t>
        </is>
      </c>
      <c r="G696" t="n">
        <v>1.1</v>
      </c>
      <c r="H696" t="n">
        <v>0</v>
      </c>
      <c r="I696" t="n">
        <v>0</v>
      </c>
      <c r="J696" t="n">
        <v>0</v>
      </c>
      <c r="K696" t="n">
        <v>0</v>
      </c>
      <c r="L696" t="n">
        <v>0</v>
      </c>
      <c r="M696" t="n">
        <v>0</v>
      </c>
      <c r="N696" t="n">
        <v>0</v>
      </c>
      <c r="O696" t="n">
        <v>0</v>
      </c>
      <c r="P696" t="n">
        <v>0</v>
      </c>
      <c r="Q696" t="n">
        <v>0</v>
      </c>
      <c r="R696" s="2" t="inlineStr"/>
    </row>
    <row r="697" ht="15" customHeight="1">
      <c r="A697" t="inlineStr">
        <is>
          <t>A 56679-2022</t>
        </is>
      </c>
      <c r="B697" s="1" t="n">
        <v>44893</v>
      </c>
      <c r="C697" s="1" t="n">
        <v>46041</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2927-2022</t>
        </is>
      </c>
      <c r="B698" s="1" t="n">
        <v>44581.60254629629</v>
      </c>
      <c r="C698" s="1" t="n">
        <v>46041</v>
      </c>
      <c r="D698" t="inlineStr">
        <is>
          <t>UPPSALA LÄN</t>
        </is>
      </c>
      <c r="E698" t="inlineStr">
        <is>
          <t>UPPSALA</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733-2022</t>
        </is>
      </c>
      <c r="B699" s="1" t="n">
        <v>44568.67040509259</v>
      </c>
      <c r="C699" s="1" t="n">
        <v>46041</v>
      </c>
      <c r="D699" t="inlineStr">
        <is>
          <t>UPPSALA LÄN</t>
        </is>
      </c>
      <c r="E699" t="inlineStr">
        <is>
          <t>UPPSALA</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10827-2024</t>
        </is>
      </c>
      <c r="B700" s="1" t="n">
        <v>45369</v>
      </c>
      <c r="C700" s="1" t="n">
        <v>46041</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59133-2022</t>
        </is>
      </c>
      <c r="B701" s="1" t="n">
        <v>44904</v>
      </c>
      <c r="C701" s="1" t="n">
        <v>46041</v>
      </c>
      <c r="D701" t="inlineStr">
        <is>
          <t>UPPSALA LÄN</t>
        </is>
      </c>
      <c r="E701" t="inlineStr">
        <is>
          <t>UPPSALA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46041</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59719-2022</t>
        </is>
      </c>
      <c r="B703" s="1" t="n">
        <v>44908.425625</v>
      </c>
      <c r="C703" s="1" t="n">
        <v>46041</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9201-2024</t>
        </is>
      </c>
      <c r="B704" s="1" t="n">
        <v>45358</v>
      </c>
      <c r="C704" s="1" t="n">
        <v>46041</v>
      </c>
      <c r="D704" t="inlineStr">
        <is>
          <t>UPPSALA LÄN</t>
        </is>
      </c>
      <c r="E704" t="inlineStr">
        <is>
          <t>UPPSALA</t>
        </is>
      </c>
      <c r="F704" t="inlineStr">
        <is>
          <t>Allmännings- och besparingsskogar</t>
        </is>
      </c>
      <c r="G704" t="n">
        <v>6.5</v>
      </c>
      <c r="H704" t="n">
        <v>0</v>
      </c>
      <c r="I704" t="n">
        <v>0</v>
      </c>
      <c r="J704" t="n">
        <v>0</v>
      </c>
      <c r="K704" t="n">
        <v>0</v>
      </c>
      <c r="L704" t="n">
        <v>0</v>
      </c>
      <c r="M704" t="n">
        <v>0</v>
      </c>
      <c r="N704" t="n">
        <v>0</v>
      </c>
      <c r="O704" t="n">
        <v>0</v>
      </c>
      <c r="P704" t="n">
        <v>0</v>
      </c>
      <c r="Q704" t="n">
        <v>0</v>
      </c>
      <c r="R704" s="2" t="inlineStr"/>
    </row>
    <row r="705" ht="15" customHeight="1">
      <c r="A705" t="inlineStr">
        <is>
          <t>A 29145-2021</t>
        </is>
      </c>
      <c r="B705" s="1" t="n">
        <v>44358.63490740741</v>
      </c>
      <c r="C705" s="1" t="n">
        <v>46041</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3353-2023</t>
        </is>
      </c>
      <c r="B706" s="1" t="n">
        <v>44949.4708912037</v>
      </c>
      <c r="C706" s="1" t="n">
        <v>46041</v>
      </c>
      <c r="D706" t="inlineStr">
        <is>
          <t>UPPSALA LÄN</t>
        </is>
      </c>
      <c r="E706" t="inlineStr">
        <is>
          <t>UPPSALA</t>
        </is>
      </c>
      <c r="G706" t="n">
        <v>3</v>
      </c>
      <c r="H706" t="n">
        <v>0</v>
      </c>
      <c r="I706" t="n">
        <v>0</v>
      </c>
      <c r="J706" t="n">
        <v>0</v>
      </c>
      <c r="K706" t="n">
        <v>0</v>
      </c>
      <c r="L706" t="n">
        <v>0</v>
      </c>
      <c r="M706" t="n">
        <v>0</v>
      </c>
      <c r="N706" t="n">
        <v>0</v>
      </c>
      <c r="O706" t="n">
        <v>0</v>
      </c>
      <c r="P706" t="n">
        <v>0</v>
      </c>
      <c r="Q706" t="n">
        <v>0</v>
      </c>
      <c r="R706" s="2" t="inlineStr"/>
    </row>
    <row r="707" ht="15" customHeight="1">
      <c r="A707" t="inlineStr">
        <is>
          <t>A 12507-2024</t>
        </is>
      </c>
      <c r="B707" s="1" t="n">
        <v>45379</v>
      </c>
      <c r="C707" s="1" t="n">
        <v>46041</v>
      </c>
      <c r="D707" t="inlineStr">
        <is>
          <t>UPPSALA LÄN</t>
        </is>
      </c>
      <c r="E707" t="inlineStr">
        <is>
          <t>UPPSALA</t>
        </is>
      </c>
      <c r="G707" t="n">
        <v>4.6</v>
      </c>
      <c r="H707" t="n">
        <v>0</v>
      </c>
      <c r="I707" t="n">
        <v>0</v>
      </c>
      <c r="J707" t="n">
        <v>0</v>
      </c>
      <c r="K707" t="n">
        <v>0</v>
      </c>
      <c r="L707" t="n">
        <v>0</v>
      </c>
      <c r="M707" t="n">
        <v>0</v>
      </c>
      <c r="N707" t="n">
        <v>0</v>
      </c>
      <c r="O707" t="n">
        <v>0</v>
      </c>
      <c r="P707" t="n">
        <v>0</v>
      </c>
      <c r="Q707" t="n">
        <v>0</v>
      </c>
      <c r="R707" s="2" t="inlineStr"/>
    </row>
    <row r="708" ht="15" customHeight="1">
      <c r="A708" t="inlineStr">
        <is>
          <t>A 60702-2022</t>
        </is>
      </c>
      <c r="B708" s="1" t="n">
        <v>44912.29869212963</v>
      </c>
      <c r="C708" s="1" t="n">
        <v>46041</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37819-2021</t>
        </is>
      </c>
      <c r="B709" s="1" t="n">
        <v>44403.29719907408</v>
      </c>
      <c r="C709" s="1" t="n">
        <v>46041</v>
      </c>
      <c r="D709" t="inlineStr">
        <is>
          <t>UPPSALA LÄN</t>
        </is>
      </c>
      <c r="E709" t="inlineStr">
        <is>
          <t>UPPSALA</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8933-2022</t>
        </is>
      </c>
      <c r="B710" s="1" t="n">
        <v>44614.69730324074</v>
      </c>
      <c r="C710" s="1" t="n">
        <v>46041</v>
      </c>
      <c r="D710" t="inlineStr">
        <is>
          <t>UPPSALA LÄN</t>
        </is>
      </c>
      <c r="E710" t="inlineStr">
        <is>
          <t>UPPSALA</t>
        </is>
      </c>
      <c r="F710" t="inlineStr">
        <is>
          <t>Holmen skog AB</t>
        </is>
      </c>
      <c r="G710" t="n">
        <v>3.6</v>
      </c>
      <c r="H710" t="n">
        <v>0</v>
      </c>
      <c r="I710" t="n">
        <v>0</v>
      </c>
      <c r="J710" t="n">
        <v>0</v>
      </c>
      <c r="K710" t="n">
        <v>0</v>
      </c>
      <c r="L710" t="n">
        <v>0</v>
      </c>
      <c r="M710" t="n">
        <v>0</v>
      </c>
      <c r="N710" t="n">
        <v>0</v>
      </c>
      <c r="O710" t="n">
        <v>0</v>
      </c>
      <c r="P710" t="n">
        <v>0</v>
      </c>
      <c r="Q710" t="n">
        <v>0</v>
      </c>
      <c r="R710" s="2" t="inlineStr"/>
    </row>
    <row r="711" ht="15" customHeight="1">
      <c r="A711" t="inlineStr">
        <is>
          <t>A 21859-2024</t>
        </is>
      </c>
      <c r="B711" s="1" t="n">
        <v>45443</v>
      </c>
      <c r="C711" s="1" t="n">
        <v>46041</v>
      </c>
      <c r="D711" t="inlineStr">
        <is>
          <t>UPPSALA LÄN</t>
        </is>
      </c>
      <c r="E711" t="inlineStr">
        <is>
          <t>UPPSALA</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6930-2023</t>
        </is>
      </c>
      <c r="B712" s="1" t="n">
        <v>44967.55960648148</v>
      </c>
      <c r="C712" s="1" t="n">
        <v>46041</v>
      </c>
      <c r="D712" t="inlineStr">
        <is>
          <t>UPPSALA LÄN</t>
        </is>
      </c>
      <c r="E712" t="inlineStr">
        <is>
          <t>UPPSALA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3086-2023</t>
        </is>
      </c>
      <c r="B713" s="1" t="n">
        <v>44946.43564814814</v>
      </c>
      <c r="C713" s="1" t="n">
        <v>46041</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33939-2024</t>
        </is>
      </c>
      <c r="B714" s="1" t="n">
        <v>45523</v>
      </c>
      <c r="C714" s="1" t="n">
        <v>46041</v>
      </c>
      <c r="D714" t="inlineStr">
        <is>
          <t>UPPSALA LÄN</t>
        </is>
      </c>
      <c r="E714" t="inlineStr">
        <is>
          <t>UPPSALA</t>
        </is>
      </c>
      <c r="G714" t="n">
        <v>1.2</v>
      </c>
      <c r="H714" t="n">
        <v>0</v>
      </c>
      <c r="I714" t="n">
        <v>0</v>
      </c>
      <c r="J714" t="n">
        <v>0</v>
      </c>
      <c r="K714" t="n">
        <v>0</v>
      </c>
      <c r="L714" t="n">
        <v>0</v>
      </c>
      <c r="M714" t="n">
        <v>0</v>
      </c>
      <c r="N714" t="n">
        <v>0</v>
      </c>
      <c r="O714" t="n">
        <v>0</v>
      </c>
      <c r="P714" t="n">
        <v>0</v>
      </c>
      <c r="Q714" t="n">
        <v>0</v>
      </c>
      <c r="R714" s="2" t="inlineStr"/>
    </row>
    <row r="715" ht="15" customHeight="1">
      <c r="A715" t="inlineStr">
        <is>
          <t>A 16811-2023</t>
        </is>
      </c>
      <c r="B715" s="1" t="n">
        <v>45033</v>
      </c>
      <c r="C715" s="1" t="n">
        <v>46041</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69436-2021</t>
        </is>
      </c>
      <c r="B716" s="1" t="n">
        <v>44531</v>
      </c>
      <c r="C716" s="1" t="n">
        <v>46041</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10612-2025</t>
        </is>
      </c>
      <c r="B717" s="1" t="n">
        <v>45721.60894675926</v>
      </c>
      <c r="C717" s="1" t="n">
        <v>46041</v>
      </c>
      <c r="D717" t="inlineStr">
        <is>
          <t>UPPSALA LÄN</t>
        </is>
      </c>
      <c r="E717" t="inlineStr">
        <is>
          <t>UPPSALA</t>
        </is>
      </c>
      <c r="G717" t="n">
        <v>3.5</v>
      </c>
      <c r="H717" t="n">
        <v>0</v>
      </c>
      <c r="I717" t="n">
        <v>0</v>
      </c>
      <c r="J717" t="n">
        <v>0</v>
      </c>
      <c r="K717" t="n">
        <v>0</v>
      </c>
      <c r="L717" t="n">
        <v>0</v>
      </c>
      <c r="M717" t="n">
        <v>0</v>
      </c>
      <c r="N717" t="n">
        <v>0</v>
      </c>
      <c r="O717" t="n">
        <v>0</v>
      </c>
      <c r="P717" t="n">
        <v>0</v>
      </c>
      <c r="Q717" t="n">
        <v>0</v>
      </c>
      <c r="R717" s="2" t="inlineStr"/>
    </row>
    <row r="718" ht="15" customHeight="1">
      <c r="A718" t="inlineStr">
        <is>
          <t>A 59489-2023</t>
        </is>
      </c>
      <c r="B718" s="1" t="n">
        <v>45254</v>
      </c>
      <c r="C718" s="1" t="n">
        <v>46041</v>
      </c>
      <c r="D718" t="inlineStr">
        <is>
          <t>UPPSALA LÄN</t>
        </is>
      </c>
      <c r="E718" t="inlineStr">
        <is>
          <t>UPPSALA</t>
        </is>
      </c>
      <c r="G718" t="n">
        <v>6.5</v>
      </c>
      <c r="H718" t="n">
        <v>0</v>
      </c>
      <c r="I718" t="n">
        <v>0</v>
      </c>
      <c r="J718" t="n">
        <v>0</v>
      </c>
      <c r="K718" t="n">
        <v>0</v>
      </c>
      <c r="L718" t="n">
        <v>0</v>
      </c>
      <c r="M718" t="n">
        <v>0</v>
      </c>
      <c r="N718" t="n">
        <v>0</v>
      </c>
      <c r="O718" t="n">
        <v>0</v>
      </c>
      <c r="P718" t="n">
        <v>0</v>
      </c>
      <c r="Q718" t="n">
        <v>0</v>
      </c>
      <c r="R718" s="2" t="inlineStr"/>
    </row>
    <row r="719" ht="15" customHeight="1">
      <c r="A719" t="inlineStr">
        <is>
          <t>A 13420-2021</t>
        </is>
      </c>
      <c r="B719" s="1" t="n">
        <v>44273</v>
      </c>
      <c r="C719" s="1" t="n">
        <v>46041</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47287-2023</t>
        </is>
      </c>
      <c r="B720" s="1" t="n">
        <v>45202</v>
      </c>
      <c r="C720" s="1" t="n">
        <v>46041</v>
      </c>
      <c r="D720" t="inlineStr">
        <is>
          <t>UPPSALA LÄN</t>
        </is>
      </c>
      <c r="E720" t="inlineStr">
        <is>
          <t>UPPSALA</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5678-2023</t>
        </is>
      </c>
      <c r="B721" s="1" t="n">
        <v>44960</v>
      </c>
      <c r="C721" s="1" t="n">
        <v>46041</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5028-2022</t>
        </is>
      </c>
      <c r="B722" s="1" t="n">
        <v>44593.64863425926</v>
      </c>
      <c r="C722" s="1" t="n">
        <v>46041</v>
      </c>
      <c r="D722" t="inlineStr">
        <is>
          <t>UPPSALA LÄN</t>
        </is>
      </c>
      <c r="E722" t="inlineStr">
        <is>
          <t>UPPSALA</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179-2023</t>
        </is>
      </c>
      <c r="B723" s="1" t="n">
        <v>44928</v>
      </c>
      <c r="C723" s="1" t="n">
        <v>46041</v>
      </c>
      <c r="D723" t="inlineStr">
        <is>
          <t>UPPSALA LÄN</t>
        </is>
      </c>
      <c r="E723" t="inlineStr">
        <is>
          <t>UPPSALA</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39812-2024</t>
        </is>
      </c>
      <c r="B724" s="1" t="n">
        <v>45552</v>
      </c>
      <c r="C724" s="1" t="n">
        <v>46041</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32688-2023</t>
        </is>
      </c>
      <c r="B725" s="1" t="n">
        <v>45121</v>
      </c>
      <c r="C725" s="1" t="n">
        <v>46041</v>
      </c>
      <c r="D725" t="inlineStr">
        <is>
          <t>UPPSALA LÄN</t>
        </is>
      </c>
      <c r="E725" t="inlineStr">
        <is>
          <t>UPPSALA</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39795-2022</t>
        </is>
      </c>
      <c r="B726" s="1" t="n">
        <v>44819.50233796296</v>
      </c>
      <c r="C726" s="1" t="n">
        <v>46041</v>
      </c>
      <c r="D726" t="inlineStr">
        <is>
          <t>UPPSALA LÄN</t>
        </is>
      </c>
      <c r="E726" t="inlineStr">
        <is>
          <t>UPPSALA</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9206-2022</t>
        </is>
      </c>
      <c r="B727" s="1" t="n">
        <v>44616</v>
      </c>
      <c r="C727" s="1" t="n">
        <v>46041</v>
      </c>
      <c r="D727" t="inlineStr">
        <is>
          <t>UPPSALA LÄN</t>
        </is>
      </c>
      <c r="E727" t="inlineStr">
        <is>
          <t>UPPSALA</t>
        </is>
      </c>
      <c r="G727" t="n">
        <v>1.7</v>
      </c>
      <c r="H727" t="n">
        <v>0</v>
      </c>
      <c r="I727" t="n">
        <v>0</v>
      </c>
      <c r="J727" t="n">
        <v>0</v>
      </c>
      <c r="K727" t="n">
        <v>0</v>
      </c>
      <c r="L727" t="n">
        <v>0</v>
      </c>
      <c r="M727" t="n">
        <v>0</v>
      </c>
      <c r="N727" t="n">
        <v>0</v>
      </c>
      <c r="O727" t="n">
        <v>0</v>
      </c>
      <c r="P727" t="n">
        <v>0</v>
      </c>
      <c r="Q727" t="n">
        <v>0</v>
      </c>
      <c r="R727" s="2" t="inlineStr"/>
    </row>
    <row r="728" ht="15" customHeight="1">
      <c r="A728" t="inlineStr">
        <is>
          <t>A 55021-2022</t>
        </is>
      </c>
      <c r="B728" s="1" t="n">
        <v>44886</v>
      </c>
      <c r="C728" s="1" t="n">
        <v>46041</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64855-2021</t>
        </is>
      </c>
      <c r="B729" s="1" t="n">
        <v>44512</v>
      </c>
      <c r="C729" s="1" t="n">
        <v>46041</v>
      </c>
      <c r="D729" t="inlineStr">
        <is>
          <t>UPPSALA LÄN</t>
        </is>
      </c>
      <c r="E729" t="inlineStr">
        <is>
          <t>UPPSALA</t>
        </is>
      </c>
      <c r="G729" t="n">
        <v>3.1</v>
      </c>
      <c r="H729" t="n">
        <v>0</v>
      </c>
      <c r="I729" t="n">
        <v>0</v>
      </c>
      <c r="J729" t="n">
        <v>0</v>
      </c>
      <c r="K729" t="n">
        <v>0</v>
      </c>
      <c r="L729" t="n">
        <v>0</v>
      </c>
      <c r="M729" t="n">
        <v>0</v>
      </c>
      <c r="N729" t="n">
        <v>0</v>
      </c>
      <c r="O729" t="n">
        <v>0</v>
      </c>
      <c r="P729" t="n">
        <v>0</v>
      </c>
      <c r="Q729" t="n">
        <v>0</v>
      </c>
      <c r="R729" s="2" t="inlineStr"/>
    </row>
    <row r="730" ht="15" customHeight="1">
      <c r="A730" t="inlineStr">
        <is>
          <t>A 74495-2021</t>
        </is>
      </c>
      <c r="B730" s="1" t="n">
        <v>44560</v>
      </c>
      <c r="C730" s="1" t="n">
        <v>46041</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6408-2022</t>
        </is>
      </c>
      <c r="B731" s="1" t="n">
        <v>44600</v>
      </c>
      <c r="C731" s="1" t="n">
        <v>46041</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10383-2022</t>
        </is>
      </c>
      <c r="B732" s="1" t="n">
        <v>44623.41775462963</v>
      </c>
      <c r="C732" s="1" t="n">
        <v>46041</v>
      </c>
      <c r="D732" t="inlineStr">
        <is>
          <t>UPPSALA LÄN</t>
        </is>
      </c>
      <c r="E732" t="inlineStr">
        <is>
          <t>UPPSALA</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10456-2022</t>
        </is>
      </c>
      <c r="B733" s="1" t="n">
        <v>44623.5571875</v>
      </c>
      <c r="C733" s="1" t="n">
        <v>46041</v>
      </c>
      <c r="D733" t="inlineStr">
        <is>
          <t>UPPSALA LÄN</t>
        </is>
      </c>
      <c r="E733" t="inlineStr">
        <is>
          <t>UPPSALA</t>
        </is>
      </c>
      <c r="F733" t="inlineStr">
        <is>
          <t>Övriga Aktiebolag</t>
        </is>
      </c>
      <c r="G733" t="n">
        <v>12.6</v>
      </c>
      <c r="H733" t="n">
        <v>0</v>
      </c>
      <c r="I733" t="n">
        <v>0</v>
      </c>
      <c r="J733" t="n">
        <v>0</v>
      </c>
      <c r="K733" t="n">
        <v>0</v>
      </c>
      <c r="L733" t="n">
        <v>0</v>
      </c>
      <c r="M733" t="n">
        <v>0</v>
      </c>
      <c r="N733" t="n">
        <v>0</v>
      </c>
      <c r="O733" t="n">
        <v>0</v>
      </c>
      <c r="P733" t="n">
        <v>0</v>
      </c>
      <c r="Q733" t="n">
        <v>0</v>
      </c>
      <c r="R733" s="2" t="inlineStr"/>
    </row>
    <row r="734" ht="15" customHeight="1">
      <c r="A734" t="inlineStr">
        <is>
          <t>A 39548-2023</t>
        </is>
      </c>
      <c r="B734" s="1" t="n">
        <v>45167.3721412037</v>
      </c>
      <c r="C734" s="1" t="n">
        <v>46041</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13644-2024</t>
        </is>
      </c>
      <c r="B735" s="1" t="n">
        <v>45390</v>
      </c>
      <c r="C735" s="1" t="n">
        <v>46041</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9592-2022</t>
        </is>
      </c>
      <c r="B736" s="1" t="n">
        <v>44617.48311342593</v>
      </c>
      <c r="C736" s="1" t="n">
        <v>46041</v>
      </c>
      <c r="D736" t="inlineStr">
        <is>
          <t>UPPSALA LÄN</t>
        </is>
      </c>
      <c r="E736" t="inlineStr">
        <is>
          <t>UPPSALA</t>
        </is>
      </c>
      <c r="G736" t="n">
        <v>7.5</v>
      </c>
      <c r="H736" t="n">
        <v>0</v>
      </c>
      <c r="I736" t="n">
        <v>0</v>
      </c>
      <c r="J736" t="n">
        <v>0</v>
      </c>
      <c r="K736" t="n">
        <v>0</v>
      </c>
      <c r="L736" t="n">
        <v>0</v>
      </c>
      <c r="M736" t="n">
        <v>0</v>
      </c>
      <c r="N736" t="n">
        <v>0</v>
      </c>
      <c r="O736" t="n">
        <v>0</v>
      </c>
      <c r="P736" t="n">
        <v>0</v>
      </c>
      <c r="Q736" t="n">
        <v>0</v>
      </c>
      <c r="R736" s="2" t="inlineStr"/>
    </row>
    <row r="737" ht="15" customHeight="1">
      <c r="A737" t="inlineStr">
        <is>
          <t>A 8494-2021</t>
        </is>
      </c>
      <c r="B737" s="1" t="n">
        <v>44245</v>
      </c>
      <c r="C737" s="1" t="n">
        <v>46041</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46041</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46041</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46041</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8473-2023</t>
        </is>
      </c>
      <c r="B741" s="1" t="n">
        <v>44977</v>
      </c>
      <c r="C741" s="1" t="n">
        <v>46041</v>
      </c>
      <c r="D741" t="inlineStr">
        <is>
          <t>UPPSALA LÄN</t>
        </is>
      </c>
      <c r="E741" t="inlineStr">
        <is>
          <t>UPPSALA</t>
        </is>
      </c>
      <c r="F741" t="inlineStr">
        <is>
          <t>Holmen skog AB</t>
        </is>
      </c>
      <c r="G741" t="n">
        <v>3.6</v>
      </c>
      <c r="H741" t="n">
        <v>0</v>
      </c>
      <c r="I741" t="n">
        <v>0</v>
      </c>
      <c r="J741" t="n">
        <v>0</v>
      </c>
      <c r="K741" t="n">
        <v>0</v>
      </c>
      <c r="L741" t="n">
        <v>0</v>
      </c>
      <c r="M741" t="n">
        <v>0</v>
      </c>
      <c r="N741" t="n">
        <v>0</v>
      </c>
      <c r="O741" t="n">
        <v>0</v>
      </c>
      <c r="P741" t="n">
        <v>0</v>
      </c>
      <c r="Q741" t="n">
        <v>0</v>
      </c>
      <c r="R741" s="2" t="inlineStr"/>
    </row>
    <row r="742" ht="15" customHeight="1">
      <c r="A742" t="inlineStr">
        <is>
          <t>A 49682-2023</t>
        </is>
      </c>
      <c r="B742" s="1" t="n">
        <v>45212.34997685185</v>
      </c>
      <c r="C742" s="1" t="n">
        <v>46041</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55073-2022</t>
        </is>
      </c>
      <c r="B743" s="1" t="n">
        <v>44886.5928125</v>
      </c>
      <c r="C743" s="1" t="n">
        <v>46041</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22431-2024</t>
        </is>
      </c>
      <c r="B744" s="1" t="n">
        <v>45446.78256944445</v>
      </c>
      <c r="C744" s="1" t="n">
        <v>46041</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43-2024</t>
        </is>
      </c>
      <c r="B745" s="1" t="n">
        <v>45293</v>
      </c>
      <c r="C745" s="1" t="n">
        <v>46041</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42681-2023</t>
        </is>
      </c>
      <c r="B746" s="1" t="n">
        <v>45181.58055555556</v>
      </c>
      <c r="C746" s="1" t="n">
        <v>46041</v>
      </c>
      <c r="D746" t="inlineStr">
        <is>
          <t>UPPSALA LÄN</t>
        </is>
      </c>
      <c r="E746" t="inlineStr">
        <is>
          <t>UPPSALA</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46041</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19345-2025</t>
        </is>
      </c>
      <c r="B748" s="1" t="n">
        <v>45769.6009375</v>
      </c>
      <c r="C748" s="1" t="n">
        <v>46041</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6970-2025</t>
        </is>
      </c>
      <c r="B749" s="1" t="n">
        <v>45693</v>
      </c>
      <c r="C749" s="1" t="n">
        <v>46041</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27543-2022</t>
        </is>
      </c>
      <c r="B750" s="1" t="n">
        <v>44742</v>
      </c>
      <c r="C750" s="1" t="n">
        <v>46041</v>
      </c>
      <c r="D750" t="inlineStr">
        <is>
          <t>UPPSALA LÄN</t>
        </is>
      </c>
      <c r="E750" t="inlineStr">
        <is>
          <t>UPPSALA</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18677-2024</t>
        </is>
      </c>
      <c r="B751" s="1" t="n">
        <v>45426</v>
      </c>
      <c r="C751" s="1" t="n">
        <v>46041</v>
      </c>
      <c r="D751" t="inlineStr">
        <is>
          <t>UPPSALA LÄN</t>
        </is>
      </c>
      <c r="E751" t="inlineStr">
        <is>
          <t>UPPSALA</t>
        </is>
      </c>
      <c r="G751" t="n">
        <v>2.8</v>
      </c>
      <c r="H751" t="n">
        <v>0</v>
      </c>
      <c r="I751" t="n">
        <v>0</v>
      </c>
      <c r="J751" t="n">
        <v>0</v>
      </c>
      <c r="K751" t="n">
        <v>0</v>
      </c>
      <c r="L751" t="n">
        <v>0</v>
      </c>
      <c r="M751" t="n">
        <v>0</v>
      </c>
      <c r="N751" t="n">
        <v>0</v>
      </c>
      <c r="O751" t="n">
        <v>0</v>
      </c>
      <c r="P751" t="n">
        <v>0</v>
      </c>
      <c r="Q751" t="n">
        <v>0</v>
      </c>
      <c r="R751" s="2" t="inlineStr"/>
    </row>
    <row r="752" ht="15" customHeight="1">
      <c r="A752" t="inlineStr">
        <is>
          <t>A 11739-2023</t>
        </is>
      </c>
      <c r="B752" s="1" t="n">
        <v>44993</v>
      </c>
      <c r="C752" s="1" t="n">
        <v>46041</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53893-2023</t>
        </is>
      </c>
      <c r="B753" s="1" t="n">
        <v>45231</v>
      </c>
      <c r="C753" s="1" t="n">
        <v>46041</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6679-2024</t>
        </is>
      </c>
      <c r="B754" s="1" t="n">
        <v>45341</v>
      </c>
      <c r="C754" s="1" t="n">
        <v>46041</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49050-2024</t>
        </is>
      </c>
      <c r="B755" s="1" t="n">
        <v>45594</v>
      </c>
      <c r="C755" s="1" t="n">
        <v>46041</v>
      </c>
      <c r="D755" t="inlineStr">
        <is>
          <t>UPPSALA LÄN</t>
        </is>
      </c>
      <c r="E755" t="inlineStr">
        <is>
          <t>UPPSALA</t>
        </is>
      </c>
      <c r="F755" t="inlineStr">
        <is>
          <t>Övriga statliga verk och myndigheter</t>
        </is>
      </c>
      <c r="G755" t="n">
        <v>3.9</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46041</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781-2024</t>
        </is>
      </c>
      <c r="B757" s="1" t="n">
        <v>45300.55028935185</v>
      </c>
      <c r="C757" s="1" t="n">
        <v>46041</v>
      </c>
      <c r="D757" t="inlineStr">
        <is>
          <t>UPPSALA LÄN</t>
        </is>
      </c>
      <c r="E757" t="inlineStr">
        <is>
          <t>UPPSALA</t>
        </is>
      </c>
      <c r="G757" t="n">
        <v>6.3</v>
      </c>
      <c r="H757" t="n">
        <v>0</v>
      </c>
      <c r="I757" t="n">
        <v>0</v>
      </c>
      <c r="J757" t="n">
        <v>0</v>
      </c>
      <c r="K757" t="n">
        <v>0</v>
      </c>
      <c r="L757" t="n">
        <v>0</v>
      </c>
      <c r="M757" t="n">
        <v>0</v>
      </c>
      <c r="N757" t="n">
        <v>0</v>
      </c>
      <c r="O757" t="n">
        <v>0</v>
      </c>
      <c r="P757" t="n">
        <v>0</v>
      </c>
      <c r="Q757" t="n">
        <v>0</v>
      </c>
      <c r="R757" s="2" t="inlineStr"/>
    </row>
    <row r="758" ht="15" customHeight="1">
      <c r="A758" t="inlineStr">
        <is>
          <t>A 27599-2023</t>
        </is>
      </c>
      <c r="B758" s="1" t="n">
        <v>45097</v>
      </c>
      <c r="C758" s="1" t="n">
        <v>46041</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11568-2023</t>
        </is>
      </c>
      <c r="B759" s="1" t="n">
        <v>44994</v>
      </c>
      <c r="C759" s="1" t="n">
        <v>46041</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7058-2023</t>
        </is>
      </c>
      <c r="B760" s="1" t="n">
        <v>44969</v>
      </c>
      <c r="C760" s="1" t="n">
        <v>46041</v>
      </c>
      <c r="D760" t="inlineStr">
        <is>
          <t>UPPSALA LÄN</t>
        </is>
      </c>
      <c r="E760" t="inlineStr">
        <is>
          <t>UPPSALA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3214-2023</t>
        </is>
      </c>
      <c r="B761" s="1" t="n">
        <v>44944</v>
      </c>
      <c r="C761" s="1" t="n">
        <v>46041</v>
      </c>
      <c r="D761" t="inlineStr">
        <is>
          <t>UPPSALA LÄN</t>
        </is>
      </c>
      <c r="E761" t="inlineStr">
        <is>
          <t>UPPSALA</t>
        </is>
      </c>
      <c r="G761" t="n">
        <v>4.1</v>
      </c>
      <c r="H761" t="n">
        <v>0</v>
      </c>
      <c r="I761" t="n">
        <v>0</v>
      </c>
      <c r="J761" t="n">
        <v>0</v>
      </c>
      <c r="K761" t="n">
        <v>0</v>
      </c>
      <c r="L761" t="n">
        <v>0</v>
      </c>
      <c r="M761" t="n">
        <v>0</v>
      </c>
      <c r="N761" t="n">
        <v>0</v>
      </c>
      <c r="O761" t="n">
        <v>0</v>
      </c>
      <c r="P761" t="n">
        <v>0</v>
      </c>
      <c r="Q761" t="n">
        <v>0</v>
      </c>
      <c r="R761" s="2" t="inlineStr"/>
    </row>
    <row r="762" ht="15" customHeight="1">
      <c r="A762" t="inlineStr">
        <is>
          <t>A 16126-2022</t>
        </is>
      </c>
      <c r="B762" s="1" t="n">
        <v>44665</v>
      </c>
      <c r="C762" s="1" t="n">
        <v>46041</v>
      </c>
      <c r="D762" t="inlineStr">
        <is>
          <t>UPPSALA LÄN</t>
        </is>
      </c>
      <c r="E762" t="inlineStr">
        <is>
          <t>UPPSALA</t>
        </is>
      </c>
      <c r="F762" t="inlineStr">
        <is>
          <t>Bergvik skog öst AB</t>
        </is>
      </c>
      <c r="G762" t="n">
        <v>4.4</v>
      </c>
      <c r="H762" t="n">
        <v>0</v>
      </c>
      <c r="I762" t="n">
        <v>0</v>
      </c>
      <c r="J762" t="n">
        <v>0</v>
      </c>
      <c r="K762" t="n">
        <v>0</v>
      </c>
      <c r="L762" t="n">
        <v>0</v>
      </c>
      <c r="M762" t="n">
        <v>0</v>
      </c>
      <c r="N762" t="n">
        <v>0</v>
      </c>
      <c r="O762" t="n">
        <v>0</v>
      </c>
      <c r="P762" t="n">
        <v>0</v>
      </c>
      <c r="Q762" t="n">
        <v>0</v>
      </c>
      <c r="R762" s="2" t="inlineStr"/>
    </row>
    <row r="763" ht="15" customHeight="1">
      <c r="A763" t="inlineStr">
        <is>
          <t>A 21935-2023</t>
        </is>
      </c>
      <c r="B763" s="1" t="n">
        <v>45068.58563657408</v>
      </c>
      <c r="C763" s="1" t="n">
        <v>46041</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50669-2024</t>
        </is>
      </c>
      <c r="B764" s="1" t="n">
        <v>45601</v>
      </c>
      <c r="C764" s="1" t="n">
        <v>46041</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18668-2024</t>
        </is>
      </c>
      <c r="B765" s="1" t="n">
        <v>45426.34148148148</v>
      </c>
      <c r="C765" s="1" t="n">
        <v>46041</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36782-2023</t>
        </is>
      </c>
      <c r="B766" s="1" t="n">
        <v>45154.35092592592</v>
      </c>
      <c r="C766" s="1" t="n">
        <v>46041</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14337-2022</t>
        </is>
      </c>
      <c r="B767" s="1" t="n">
        <v>44652</v>
      </c>
      <c r="C767" s="1" t="n">
        <v>46041</v>
      </c>
      <c r="D767" t="inlineStr">
        <is>
          <t>UPPSALA LÄN</t>
        </is>
      </c>
      <c r="E767" t="inlineStr">
        <is>
          <t>UPPSALA</t>
        </is>
      </c>
      <c r="G767" t="n">
        <v>1.5</v>
      </c>
      <c r="H767" t="n">
        <v>0</v>
      </c>
      <c r="I767" t="n">
        <v>0</v>
      </c>
      <c r="J767" t="n">
        <v>0</v>
      </c>
      <c r="K767" t="n">
        <v>0</v>
      </c>
      <c r="L767" t="n">
        <v>0</v>
      </c>
      <c r="M767" t="n">
        <v>0</v>
      </c>
      <c r="N767" t="n">
        <v>0</v>
      </c>
      <c r="O767" t="n">
        <v>0</v>
      </c>
      <c r="P767" t="n">
        <v>0</v>
      </c>
      <c r="Q767" t="n">
        <v>0</v>
      </c>
      <c r="R767" s="2" t="inlineStr"/>
    </row>
    <row r="768" ht="15" customHeight="1">
      <c r="A768" t="inlineStr">
        <is>
          <t>A 2980-2025</t>
        </is>
      </c>
      <c r="B768" s="1" t="n">
        <v>45678</v>
      </c>
      <c r="C768" s="1" t="n">
        <v>46041</v>
      </c>
      <c r="D768" t="inlineStr">
        <is>
          <t>UPPSALA LÄN</t>
        </is>
      </c>
      <c r="E768" t="inlineStr">
        <is>
          <t>UPPSALA</t>
        </is>
      </c>
      <c r="G768" t="n">
        <v>5</v>
      </c>
      <c r="H768" t="n">
        <v>0</v>
      </c>
      <c r="I768" t="n">
        <v>0</v>
      </c>
      <c r="J768" t="n">
        <v>0</v>
      </c>
      <c r="K768" t="n">
        <v>0</v>
      </c>
      <c r="L768" t="n">
        <v>0</v>
      </c>
      <c r="M768" t="n">
        <v>0</v>
      </c>
      <c r="N768" t="n">
        <v>0</v>
      </c>
      <c r="O768" t="n">
        <v>0</v>
      </c>
      <c r="P768" t="n">
        <v>0</v>
      </c>
      <c r="Q768" t="n">
        <v>0</v>
      </c>
      <c r="R768" s="2" t="inlineStr"/>
    </row>
    <row r="769" ht="15" customHeight="1">
      <c r="A769" t="inlineStr">
        <is>
          <t>A 17448-2022</t>
        </is>
      </c>
      <c r="B769" s="1" t="n">
        <v>44679</v>
      </c>
      <c r="C769" s="1" t="n">
        <v>46041</v>
      </c>
      <c r="D769" t="inlineStr">
        <is>
          <t>UPPSALA LÄN</t>
        </is>
      </c>
      <c r="E769" t="inlineStr">
        <is>
          <t>UPPSALA</t>
        </is>
      </c>
      <c r="G769" t="n">
        <v>2.7</v>
      </c>
      <c r="H769" t="n">
        <v>0</v>
      </c>
      <c r="I769" t="n">
        <v>0</v>
      </c>
      <c r="J769" t="n">
        <v>0</v>
      </c>
      <c r="K769" t="n">
        <v>0</v>
      </c>
      <c r="L769" t="n">
        <v>0</v>
      </c>
      <c r="M769" t="n">
        <v>0</v>
      </c>
      <c r="N769" t="n">
        <v>0</v>
      </c>
      <c r="O769" t="n">
        <v>0</v>
      </c>
      <c r="P769" t="n">
        <v>0</v>
      </c>
      <c r="Q769" t="n">
        <v>0</v>
      </c>
      <c r="R769" s="2" t="inlineStr"/>
    </row>
    <row r="770" ht="15" customHeight="1">
      <c r="A770" t="inlineStr">
        <is>
          <t>A 9914-2024</t>
        </is>
      </c>
      <c r="B770" s="1" t="n">
        <v>45363.54878472222</v>
      </c>
      <c r="C770" s="1" t="n">
        <v>46041</v>
      </c>
      <c r="D770" t="inlineStr">
        <is>
          <t>UPPSALA LÄN</t>
        </is>
      </c>
      <c r="E770" t="inlineStr">
        <is>
          <t>UPPSALA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6999-2023</t>
        </is>
      </c>
      <c r="B771" s="1" t="n">
        <v>44967.80034722222</v>
      </c>
      <c r="C771" s="1" t="n">
        <v>46041</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7002-2023</t>
        </is>
      </c>
      <c r="B772" s="1" t="n">
        <v>44967</v>
      </c>
      <c r="C772" s="1" t="n">
        <v>46041</v>
      </c>
      <c r="D772" t="inlineStr">
        <is>
          <t>UPPSALA LÄN</t>
        </is>
      </c>
      <c r="E772" t="inlineStr">
        <is>
          <t>UPPSALA</t>
        </is>
      </c>
      <c r="G772" t="n">
        <v>5</v>
      </c>
      <c r="H772" t="n">
        <v>0</v>
      </c>
      <c r="I772" t="n">
        <v>0</v>
      </c>
      <c r="J772" t="n">
        <v>0</v>
      </c>
      <c r="K772" t="n">
        <v>0</v>
      </c>
      <c r="L772" t="n">
        <v>0</v>
      </c>
      <c r="M772" t="n">
        <v>0</v>
      </c>
      <c r="N772" t="n">
        <v>0</v>
      </c>
      <c r="O772" t="n">
        <v>0</v>
      </c>
      <c r="P772" t="n">
        <v>0</v>
      </c>
      <c r="Q772" t="n">
        <v>0</v>
      </c>
      <c r="R772" s="2" t="inlineStr"/>
    </row>
    <row r="773" ht="15" customHeight="1">
      <c r="A773" t="inlineStr">
        <is>
          <t>A 62054-2024</t>
        </is>
      </c>
      <c r="B773" s="1" t="n">
        <v>45656</v>
      </c>
      <c r="C773" s="1" t="n">
        <v>46041</v>
      </c>
      <c r="D773" t="inlineStr">
        <is>
          <t>UPPSALA LÄN</t>
        </is>
      </c>
      <c r="E773" t="inlineStr">
        <is>
          <t>UPPSALA</t>
        </is>
      </c>
      <c r="F773" t="inlineStr">
        <is>
          <t>Övriga statliga verk och myndigheter</t>
        </is>
      </c>
      <c r="G773" t="n">
        <v>29.3</v>
      </c>
      <c r="H773" t="n">
        <v>0</v>
      </c>
      <c r="I773" t="n">
        <v>0</v>
      </c>
      <c r="J773" t="n">
        <v>0</v>
      </c>
      <c r="K773" t="n">
        <v>0</v>
      </c>
      <c r="L773" t="n">
        <v>0</v>
      </c>
      <c r="M773" t="n">
        <v>0</v>
      </c>
      <c r="N773" t="n">
        <v>0</v>
      </c>
      <c r="O773" t="n">
        <v>0</v>
      </c>
      <c r="P773" t="n">
        <v>0</v>
      </c>
      <c r="Q773" t="n">
        <v>0</v>
      </c>
      <c r="R773" s="2" t="inlineStr"/>
    </row>
    <row r="774" ht="15" customHeight="1">
      <c r="A774" t="inlineStr">
        <is>
          <t>A 5722-2025</t>
        </is>
      </c>
      <c r="B774" s="1" t="n">
        <v>45694</v>
      </c>
      <c r="C774" s="1" t="n">
        <v>46041</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367-2023</t>
        </is>
      </c>
      <c r="B775" s="1" t="n">
        <v>44929</v>
      </c>
      <c r="C775" s="1" t="n">
        <v>46041</v>
      </c>
      <c r="D775" t="inlineStr">
        <is>
          <t>UPPSALA LÄN</t>
        </is>
      </c>
      <c r="E775" t="inlineStr">
        <is>
          <t>UPPSALA</t>
        </is>
      </c>
      <c r="G775" t="n">
        <v>2.4</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46041</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12414-2025</t>
        </is>
      </c>
      <c r="B777" s="1" t="n">
        <v>45730.43966435185</v>
      </c>
      <c r="C777" s="1" t="n">
        <v>46041</v>
      </c>
      <c r="D777" t="inlineStr">
        <is>
          <t>UPPSALA LÄN</t>
        </is>
      </c>
      <c r="E777" t="inlineStr">
        <is>
          <t>UPPSALA</t>
        </is>
      </c>
      <c r="F777" t="inlineStr">
        <is>
          <t>Övriga statliga verk och myndigheter</t>
        </is>
      </c>
      <c r="G777" t="n">
        <v>6.8</v>
      </c>
      <c r="H777" t="n">
        <v>0</v>
      </c>
      <c r="I777" t="n">
        <v>0</v>
      </c>
      <c r="J777" t="n">
        <v>0</v>
      </c>
      <c r="K777" t="n">
        <v>0</v>
      </c>
      <c r="L777" t="n">
        <v>0</v>
      </c>
      <c r="M777" t="n">
        <v>0</v>
      </c>
      <c r="N777" t="n">
        <v>0</v>
      </c>
      <c r="O777" t="n">
        <v>0</v>
      </c>
      <c r="P777" t="n">
        <v>0</v>
      </c>
      <c r="Q777" t="n">
        <v>0</v>
      </c>
      <c r="R777" s="2" t="inlineStr"/>
    </row>
    <row r="778" ht="15" customHeight="1">
      <c r="A778" t="inlineStr">
        <is>
          <t>A 19380-2023</t>
        </is>
      </c>
      <c r="B778" s="1" t="n">
        <v>45049.66025462963</v>
      </c>
      <c r="C778" s="1" t="n">
        <v>46041</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53365-2024</t>
        </is>
      </c>
      <c r="B779" s="1" t="n">
        <v>45614</v>
      </c>
      <c r="C779" s="1" t="n">
        <v>46041</v>
      </c>
      <c r="D779" t="inlineStr">
        <is>
          <t>UPPSALA LÄN</t>
        </is>
      </c>
      <c r="E779" t="inlineStr">
        <is>
          <t>UPPSALA</t>
        </is>
      </c>
      <c r="F779" t="inlineStr">
        <is>
          <t>Allmännings- och besparingsskogar</t>
        </is>
      </c>
      <c r="G779" t="n">
        <v>6.6</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46041</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46041</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46041</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36392-2023</t>
        </is>
      </c>
      <c r="B783" s="1" t="n">
        <v>45152</v>
      </c>
      <c r="C783" s="1" t="n">
        <v>46041</v>
      </c>
      <c r="D783" t="inlineStr">
        <is>
          <t>UPPSALA LÄN</t>
        </is>
      </c>
      <c r="E783" t="inlineStr">
        <is>
          <t>UPPSALA</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46796-2024</t>
        </is>
      </c>
      <c r="B784" s="1" t="n">
        <v>45583</v>
      </c>
      <c r="C784" s="1" t="n">
        <v>46041</v>
      </c>
      <c r="D784" t="inlineStr">
        <is>
          <t>UPPSALA LÄN</t>
        </is>
      </c>
      <c r="E784" t="inlineStr">
        <is>
          <t>UPPSALA</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6155-2023</t>
        </is>
      </c>
      <c r="B785" s="1" t="n">
        <v>44964.65261574074</v>
      </c>
      <c r="C785" s="1" t="n">
        <v>46041</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18443-2023</t>
        </is>
      </c>
      <c r="B786" s="1" t="n">
        <v>45042</v>
      </c>
      <c r="C786" s="1" t="n">
        <v>46041</v>
      </c>
      <c r="D786" t="inlineStr">
        <is>
          <t>UPPSALA LÄN</t>
        </is>
      </c>
      <c r="E786" t="inlineStr">
        <is>
          <t>UPPSALA</t>
        </is>
      </c>
      <c r="G786" t="n">
        <v>0.4</v>
      </c>
      <c r="H786" t="n">
        <v>0</v>
      </c>
      <c r="I786" t="n">
        <v>0</v>
      </c>
      <c r="J786" t="n">
        <v>0</v>
      </c>
      <c r="K786" t="n">
        <v>0</v>
      </c>
      <c r="L786" t="n">
        <v>0</v>
      </c>
      <c r="M786" t="n">
        <v>0</v>
      </c>
      <c r="N786" t="n">
        <v>0</v>
      </c>
      <c r="O786" t="n">
        <v>0</v>
      </c>
      <c r="P786" t="n">
        <v>0</v>
      </c>
      <c r="Q786" t="n">
        <v>0</v>
      </c>
      <c r="R786" s="2" t="inlineStr"/>
    </row>
    <row r="787" ht="15" customHeight="1">
      <c r="A787" t="inlineStr">
        <is>
          <t>A 8090-2022</t>
        </is>
      </c>
      <c r="B787" s="1" t="n">
        <v>44608</v>
      </c>
      <c r="C787" s="1" t="n">
        <v>46041</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60047-2022</t>
        </is>
      </c>
      <c r="B788" s="1" t="n">
        <v>44909.51885416666</v>
      </c>
      <c r="C788" s="1" t="n">
        <v>46041</v>
      </c>
      <c r="D788" t="inlineStr">
        <is>
          <t>UPPSALA LÄN</t>
        </is>
      </c>
      <c r="E788" t="inlineStr">
        <is>
          <t>UPPSALA</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6009-2022</t>
        </is>
      </c>
      <c r="B789" s="1" t="n">
        <v>44599.44832175926</v>
      </c>
      <c r="C789" s="1" t="n">
        <v>46041</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50535-2024</t>
        </is>
      </c>
      <c r="B790" s="1" t="n">
        <v>45600</v>
      </c>
      <c r="C790" s="1" t="n">
        <v>46041</v>
      </c>
      <c r="D790" t="inlineStr">
        <is>
          <t>UPPSALA LÄN</t>
        </is>
      </c>
      <c r="E790" t="inlineStr">
        <is>
          <t>UPPSALA</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29799-2023</t>
        </is>
      </c>
      <c r="B791" s="1" t="n">
        <v>45107.53688657407</v>
      </c>
      <c r="C791" s="1" t="n">
        <v>46041</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24098-2024</t>
        </is>
      </c>
      <c r="B792" s="1" t="n">
        <v>45456.59535879629</v>
      </c>
      <c r="C792" s="1" t="n">
        <v>46041</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59549-2024</t>
        </is>
      </c>
      <c r="B793" s="1" t="n">
        <v>45638</v>
      </c>
      <c r="C793" s="1" t="n">
        <v>46041</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12606-2023</t>
        </is>
      </c>
      <c r="B794" s="1" t="n">
        <v>45000.44666666666</v>
      </c>
      <c r="C794" s="1" t="n">
        <v>46041</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18410-2025</t>
        </is>
      </c>
      <c r="B795" s="1" t="n">
        <v>45762.61341435185</v>
      </c>
      <c r="C795" s="1" t="n">
        <v>46041</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8931-2025</t>
        </is>
      </c>
      <c r="B796" s="1" t="n">
        <v>45713.44519675926</v>
      </c>
      <c r="C796" s="1" t="n">
        <v>46041</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25462-2023</t>
        </is>
      </c>
      <c r="B797" s="1" t="n">
        <v>45089</v>
      </c>
      <c r="C797" s="1" t="n">
        <v>46041</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46041</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33622-2024</t>
        </is>
      </c>
      <c r="B799" s="1" t="n">
        <v>45520</v>
      </c>
      <c r="C799" s="1" t="n">
        <v>46041</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46041</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5362-2023</t>
        </is>
      </c>
      <c r="B801" s="1" t="n">
        <v>44944</v>
      </c>
      <c r="C801" s="1" t="n">
        <v>46041</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61947-2023</t>
        </is>
      </c>
      <c r="B802" s="1" t="n">
        <v>45266</v>
      </c>
      <c r="C802" s="1" t="n">
        <v>46041</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51661-2022</t>
        </is>
      </c>
      <c r="B803" s="1" t="n">
        <v>44872</v>
      </c>
      <c r="C803" s="1" t="n">
        <v>46041</v>
      </c>
      <c r="D803" t="inlineStr">
        <is>
          <t>UPPSALA LÄN</t>
        </is>
      </c>
      <c r="E803" t="inlineStr">
        <is>
          <t>UPPSALA</t>
        </is>
      </c>
      <c r="G803" t="n">
        <v>8.9</v>
      </c>
      <c r="H803" t="n">
        <v>0</v>
      </c>
      <c r="I803" t="n">
        <v>0</v>
      </c>
      <c r="J803" t="n">
        <v>0</v>
      </c>
      <c r="K803" t="n">
        <v>0</v>
      </c>
      <c r="L803" t="n">
        <v>0</v>
      </c>
      <c r="M803" t="n">
        <v>0</v>
      </c>
      <c r="N803" t="n">
        <v>0</v>
      </c>
      <c r="O803" t="n">
        <v>0</v>
      </c>
      <c r="P803" t="n">
        <v>0</v>
      </c>
      <c r="Q803" t="n">
        <v>0</v>
      </c>
      <c r="R803" s="2" t="inlineStr"/>
    </row>
    <row r="804" ht="15" customHeight="1">
      <c r="A804" t="inlineStr">
        <is>
          <t>A 27442-2024</t>
        </is>
      </c>
      <c r="B804" s="1" t="n">
        <v>45474.41729166666</v>
      </c>
      <c r="C804" s="1" t="n">
        <v>46041</v>
      </c>
      <c r="D804" t="inlineStr">
        <is>
          <t>UPPSALA LÄN</t>
        </is>
      </c>
      <c r="E804" t="inlineStr">
        <is>
          <t>UPPSALA</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32553-2024</t>
        </is>
      </c>
      <c r="B805" s="1" t="n">
        <v>45513.51815972223</v>
      </c>
      <c r="C805" s="1" t="n">
        <v>46041</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54512-2024</t>
        </is>
      </c>
      <c r="B806" s="1" t="n">
        <v>45617.59006944444</v>
      </c>
      <c r="C806" s="1" t="n">
        <v>46041</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60003-2024</t>
        </is>
      </c>
      <c r="B807" s="1" t="n">
        <v>45642</v>
      </c>
      <c r="C807" s="1" t="n">
        <v>46041</v>
      </c>
      <c r="D807" t="inlineStr">
        <is>
          <t>UPPSALA LÄN</t>
        </is>
      </c>
      <c r="E807" t="inlineStr">
        <is>
          <t>UPPSALA</t>
        </is>
      </c>
      <c r="F807" t="inlineStr">
        <is>
          <t>Bergvik skog väst AB</t>
        </is>
      </c>
      <c r="G807" t="n">
        <v>14.5</v>
      </c>
      <c r="H807" t="n">
        <v>0</v>
      </c>
      <c r="I807" t="n">
        <v>0</v>
      </c>
      <c r="J807" t="n">
        <v>0</v>
      </c>
      <c r="K807" t="n">
        <v>0</v>
      </c>
      <c r="L807" t="n">
        <v>0</v>
      </c>
      <c r="M807" t="n">
        <v>0</v>
      </c>
      <c r="N807" t="n">
        <v>0</v>
      </c>
      <c r="O807" t="n">
        <v>0</v>
      </c>
      <c r="P807" t="n">
        <v>0</v>
      </c>
      <c r="Q807" t="n">
        <v>0</v>
      </c>
      <c r="R807" s="2" t="inlineStr"/>
    </row>
    <row r="808" ht="15" customHeight="1">
      <c r="A808" t="inlineStr">
        <is>
          <t>A 19276-2023</t>
        </is>
      </c>
      <c r="B808" s="1" t="n">
        <v>45049</v>
      </c>
      <c r="C808" s="1" t="n">
        <v>46041</v>
      </c>
      <c r="D808" t="inlineStr">
        <is>
          <t>UPPSALA LÄN</t>
        </is>
      </c>
      <c r="E808" t="inlineStr">
        <is>
          <t>UPPSALA</t>
        </is>
      </c>
      <c r="G808" t="n">
        <v>1.8</v>
      </c>
      <c r="H808" t="n">
        <v>0</v>
      </c>
      <c r="I808" t="n">
        <v>0</v>
      </c>
      <c r="J808" t="n">
        <v>0</v>
      </c>
      <c r="K808" t="n">
        <v>0</v>
      </c>
      <c r="L808" t="n">
        <v>0</v>
      </c>
      <c r="M808" t="n">
        <v>0</v>
      </c>
      <c r="N808" t="n">
        <v>0</v>
      </c>
      <c r="O808" t="n">
        <v>0</v>
      </c>
      <c r="P808" t="n">
        <v>0</v>
      </c>
      <c r="Q808" t="n">
        <v>0</v>
      </c>
      <c r="R808" s="2" t="inlineStr"/>
    </row>
    <row r="809" ht="15" customHeight="1">
      <c r="A809" t="inlineStr">
        <is>
          <t>A 74493-2021</t>
        </is>
      </c>
      <c r="B809" s="1" t="n">
        <v>44560</v>
      </c>
      <c r="C809" s="1" t="n">
        <v>46041</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5974-2024</t>
        </is>
      </c>
      <c r="B810" s="1" t="n">
        <v>45336.53908564815</v>
      </c>
      <c r="C810" s="1" t="n">
        <v>46041</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53589-2024</t>
        </is>
      </c>
      <c r="B811" s="1" t="n">
        <v>45614.67020833334</v>
      </c>
      <c r="C811" s="1" t="n">
        <v>46041</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6058-2025</t>
        </is>
      </c>
      <c r="B812" s="1" t="n">
        <v>45695.83655092592</v>
      </c>
      <c r="C812" s="1" t="n">
        <v>46041</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8164-2025</t>
        </is>
      </c>
      <c r="B813" s="1" t="n">
        <v>45707</v>
      </c>
      <c r="C813" s="1" t="n">
        <v>46041</v>
      </c>
      <c r="D813" t="inlineStr">
        <is>
          <t>UPPSALA LÄN</t>
        </is>
      </c>
      <c r="E813" t="inlineStr">
        <is>
          <t>UPPSALA</t>
        </is>
      </c>
      <c r="F813" t="inlineStr">
        <is>
          <t>Övriga Aktiebolag</t>
        </is>
      </c>
      <c r="G813" t="n">
        <v>12.2</v>
      </c>
      <c r="H813" t="n">
        <v>0</v>
      </c>
      <c r="I813" t="n">
        <v>0</v>
      </c>
      <c r="J813" t="n">
        <v>0</v>
      </c>
      <c r="K813" t="n">
        <v>0</v>
      </c>
      <c r="L813" t="n">
        <v>0</v>
      </c>
      <c r="M813" t="n">
        <v>0</v>
      </c>
      <c r="N813" t="n">
        <v>0</v>
      </c>
      <c r="O813" t="n">
        <v>0</v>
      </c>
      <c r="P813" t="n">
        <v>0</v>
      </c>
      <c r="Q813" t="n">
        <v>0</v>
      </c>
      <c r="R813" s="2" t="inlineStr"/>
    </row>
    <row r="814" ht="15" customHeight="1">
      <c r="A814" t="inlineStr">
        <is>
          <t>A 60954-2024</t>
        </is>
      </c>
      <c r="B814" s="1" t="n">
        <v>45645</v>
      </c>
      <c r="C814" s="1" t="n">
        <v>46041</v>
      </c>
      <c r="D814" t="inlineStr">
        <is>
          <t>UPPSALA LÄN</t>
        </is>
      </c>
      <c r="E814" t="inlineStr">
        <is>
          <t>UPPSALA</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31157-2023</t>
        </is>
      </c>
      <c r="B815" s="1" t="n">
        <v>45113</v>
      </c>
      <c r="C815" s="1" t="n">
        <v>46041</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31161-2023</t>
        </is>
      </c>
      <c r="B816" s="1" t="n">
        <v>45113.80170138889</v>
      </c>
      <c r="C816" s="1" t="n">
        <v>46041</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17593-2025</t>
        </is>
      </c>
      <c r="B817" s="1" t="n">
        <v>45757.6997337963</v>
      </c>
      <c r="C817" s="1" t="n">
        <v>46041</v>
      </c>
      <c r="D817" t="inlineStr">
        <is>
          <t>UPPSALA LÄN</t>
        </is>
      </c>
      <c r="E817" t="inlineStr">
        <is>
          <t>UPPSALA</t>
        </is>
      </c>
      <c r="G817" t="n">
        <v>3.6</v>
      </c>
      <c r="H817" t="n">
        <v>0</v>
      </c>
      <c r="I817" t="n">
        <v>0</v>
      </c>
      <c r="J817" t="n">
        <v>0</v>
      </c>
      <c r="K817" t="n">
        <v>0</v>
      </c>
      <c r="L817" t="n">
        <v>0</v>
      </c>
      <c r="M817" t="n">
        <v>0</v>
      </c>
      <c r="N817" t="n">
        <v>0</v>
      </c>
      <c r="O817" t="n">
        <v>0</v>
      </c>
      <c r="P817" t="n">
        <v>0</v>
      </c>
      <c r="Q817" t="n">
        <v>0</v>
      </c>
      <c r="R817" s="2" t="inlineStr"/>
    </row>
    <row r="818" ht="15" customHeight="1">
      <c r="A818" t="inlineStr">
        <is>
          <t>A 17596-2025</t>
        </is>
      </c>
      <c r="B818" s="1" t="n">
        <v>45757</v>
      </c>
      <c r="C818" s="1" t="n">
        <v>46041</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57871-2024</t>
        </is>
      </c>
      <c r="B819" s="1" t="n">
        <v>45631.44464120371</v>
      </c>
      <c r="C819" s="1" t="n">
        <v>46041</v>
      </c>
      <c r="D819" t="inlineStr">
        <is>
          <t>UPPSALA LÄN</t>
        </is>
      </c>
      <c r="E819" t="inlineStr">
        <is>
          <t>UPPSALA</t>
        </is>
      </c>
      <c r="G819" t="n">
        <v>2.9</v>
      </c>
      <c r="H819" t="n">
        <v>0</v>
      </c>
      <c r="I819" t="n">
        <v>0</v>
      </c>
      <c r="J819" t="n">
        <v>0</v>
      </c>
      <c r="K819" t="n">
        <v>0</v>
      </c>
      <c r="L819" t="n">
        <v>0</v>
      </c>
      <c r="M819" t="n">
        <v>0</v>
      </c>
      <c r="N819" t="n">
        <v>0</v>
      </c>
      <c r="O819" t="n">
        <v>0</v>
      </c>
      <c r="P819" t="n">
        <v>0</v>
      </c>
      <c r="Q819" t="n">
        <v>0</v>
      </c>
      <c r="R819" s="2" t="inlineStr"/>
    </row>
    <row r="820" ht="15" customHeight="1">
      <c r="A820" t="inlineStr">
        <is>
          <t>A 19613-2025</t>
        </is>
      </c>
      <c r="B820" s="1" t="n">
        <v>45770.61341435185</v>
      </c>
      <c r="C820" s="1" t="n">
        <v>46041</v>
      </c>
      <c r="D820" t="inlineStr">
        <is>
          <t>UPPSALA LÄN</t>
        </is>
      </c>
      <c r="E820" t="inlineStr">
        <is>
          <t>UPPSALA</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2695-2025</t>
        </is>
      </c>
      <c r="B821" s="1" t="n">
        <v>45677.39440972222</v>
      </c>
      <c r="C821" s="1" t="n">
        <v>46041</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6971-2025</t>
        </is>
      </c>
      <c r="B822" s="1" t="n">
        <v>45693</v>
      </c>
      <c r="C822" s="1" t="n">
        <v>46041</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9982-2025</t>
        </is>
      </c>
      <c r="B823" s="1" t="n">
        <v>45719.4094212963</v>
      </c>
      <c r="C823" s="1" t="n">
        <v>46041</v>
      </c>
      <c r="D823" t="inlineStr">
        <is>
          <t>UPPSALA LÄN</t>
        </is>
      </c>
      <c r="E823" t="inlineStr">
        <is>
          <t>UPPSALA</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40325-2023</t>
        </is>
      </c>
      <c r="B824" s="1" t="n">
        <v>45169</v>
      </c>
      <c r="C824" s="1" t="n">
        <v>46041</v>
      </c>
      <c r="D824" t="inlineStr">
        <is>
          <t>UPPSALA LÄN</t>
        </is>
      </c>
      <c r="E824" t="inlineStr">
        <is>
          <t>UPPSALA</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56872-2023</t>
        </is>
      </c>
      <c r="B825" s="1" t="n">
        <v>45244.52202546296</v>
      </c>
      <c r="C825" s="1" t="n">
        <v>46041</v>
      </c>
      <c r="D825" t="inlineStr">
        <is>
          <t>UPPSALA LÄN</t>
        </is>
      </c>
      <c r="E825" t="inlineStr">
        <is>
          <t>UPPSALA</t>
        </is>
      </c>
      <c r="F825" t="inlineStr">
        <is>
          <t>Holmen skog AB</t>
        </is>
      </c>
      <c r="G825" t="n">
        <v>3.5</v>
      </c>
      <c r="H825" t="n">
        <v>0</v>
      </c>
      <c r="I825" t="n">
        <v>0</v>
      </c>
      <c r="J825" t="n">
        <v>0</v>
      </c>
      <c r="K825" t="n">
        <v>0</v>
      </c>
      <c r="L825" t="n">
        <v>0</v>
      </c>
      <c r="M825" t="n">
        <v>0</v>
      </c>
      <c r="N825" t="n">
        <v>0</v>
      </c>
      <c r="O825" t="n">
        <v>0</v>
      </c>
      <c r="P825" t="n">
        <v>0</v>
      </c>
      <c r="Q825" t="n">
        <v>0</v>
      </c>
      <c r="R825" s="2" t="inlineStr"/>
    </row>
    <row r="826" ht="15" customHeight="1">
      <c r="A826" t="inlineStr">
        <is>
          <t>A 20301-2024</t>
        </is>
      </c>
      <c r="B826" s="1" t="n">
        <v>45435.34778935185</v>
      </c>
      <c r="C826" s="1" t="n">
        <v>46041</v>
      </c>
      <c r="D826" t="inlineStr">
        <is>
          <t>UPPSALA LÄN</t>
        </is>
      </c>
      <c r="E826" t="inlineStr">
        <is>
          <t>UPPSALA</t>
        </is>
      </c>
      <c r="F826" t="inlineStr">
        <is>
          <t>Kyrkan</t>
        </is>
      </c>
      <c r="G826" t="n">
        <v>2.8</v>
      </c>
      <c r="H826" t="n">
        <v>0</v>
      </c>
      <c r="I826" t="n">
        <v>0</v>
      </c>
      <c r="J826" t="n">
        <v>0</v>
      </c>
      <c r="K826" t="n">
        <v>0</v>
      </c>
      <c r="L826" t="n">
        <v>0</v>
      </c>
      <c r="M826" t="n">
        <v>0</v>
      </c>
      <c r="N826" t="n">
        <v>0</v>
      </c>
      <c r="O826" t="n">
        <v>0</v>
      </c>
      <c r="P826" t="n">
        <v>0</v>
      </c>
      <c r="Q826" t="n">
        <v>0</v>
      </c>
      <c r="R826" s="2" t="inlineStr"/>
    </row>
    <row r="827" ht="15" customHeight="1">
      <c r="A827" t="inlineStr">
        <is>
          <t>A 9995-2025</t>
        </is>
      </c>
      <c r="B827" s="1" t="n">
        <v>45719.43872685185</v>
      </c>
      <c r="C827" s="1" t="n">
        <v>46041</v>
      </c>
      <c r="D827" t="inlineStr">
        <is>
          <t>UPPSALA LÄN</t>
        </is>
      </c>
      <c r="E827" t="inlineStr">
        <is>
          <t>UPPSALA</t>
        </is>
      </c>
      <c r="F827" t="inlineStr">
        <is>
          <t>Kyrkan</t>
        </is>
      </c>
      <c r="G827" t="n">
        <v>2</v>
      </c>
      <c r="H827" t="n">
        <v>0</v>
      </c>
      <c r="I827" t="n">
        <v>0</v>
      </c>
      <c r="J827" t="n">
        <v>0</v>
      </c>
      <c r="K827" t="n">
        <v>0</v>
      </c>
      <c r="L827" t="n">
        <v>0</v>
      </c>
      <c r="M827" t="n">
        <v>0</v>
      </c>
      <c r="N827" t="n">
        <v>0</v>
      </c>
      <c r="O827" t="n">
        <v>0</v>
      </c>
      <c r="P827" t="n">
        <v>0</v>
      </c>
      <c r="Q827" t="n">
        <v>0</v>
      </c>
      <c r="R827" s="2" t="inlineStr"/>
    </row>
    <row r="828" ht="15" customHeight="1">
      <c r="A828" t="inlineStr">
        <is>
          <t>A 18805-2025</t>
        </is>
      </c>
      <c r="B828" s="1" t="n">
        <v>45763</v>
      </c>
      <c r="C828" s="1" t="n">
        <v>46041</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13128-2022</t>
        </is>
      </c>
      <c r="B829" s="1" t="n">
        <v>44644.37548611111</v>
      </c>
      <c r="C829" s="1" t="n">
        <v>46041</v>
      </c>
      <c r="D829" t="inlineStr">
        <is>
          <t>UPPSALA LÄN</t>
        </is>
      </c>
      <c r="E829" t="inlineStr">
        <is>
          <t>UPPSALA</t>
        </is>
      </c>
      <c r="F829" t="inlineStr">
        <is>
          <t>Övriga Aktiebolag</t>
        </is>
      </c>
      <c r="G829" t="n">
        <v>3.7</v>
      </c>
      <c r="H829" t="n">
        <v>0</v>
      </c>
      <c r="I829" t="n">
        <v>0</v>
      </c>
      <c r="J829" t="n">
        <v>0</v>
      </c>
      <c r="K829" t="n">
        <v>0</v>
      </c>
      <c r="L829" t="n">
        <v>0</v>
      </c>
      <c r="M829" t="n">
        <v>0</v>
      </c>
      <c r="N829" t="n">
        <v>0</v>
      </c>
      <c r="O829" t="n">
        <v>0</v>
      </c>
      <c r="P829" t="n">
        <v>0</v>
      </c>
      <c r="Q829" t="n">
        <v>0</v>
      </c>
      <c r="R829" s="2" t="inlineStr"/>
    </row>
    <row r="830" ht="15" customHeight="1">
      <c r="A830" t="inlineStr">
        <is>
          <t>A 37763-2021</t>
        </is>
      </c>
      <c r="B830" s="1" t="n">
        <v>44400.6750925926</v>
      </c>
      <c r="C830" s="1" t="n">
        <v>46041</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37820-2021</t>
        </is>
      </c>
      <c r="B831" s="1" t="n">
        <v>44403.3119212963</v>
      </c>
      <c r="C831" s="1" t="n">
        <v>46041</v>
      </c>
      <c r="D831" t="inlineStr">
        <is>
          <t>UPPSALA LÄN</t>
        </is>
      </c>
      <c r="E831" t="inlineStr">
        <is>
          <t>UPPSALA</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46041</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9295-2023</t>
        </is>
      </c>
      <c r="B833" s="1" t="n">
        <v>44980</v>
      </c>
      <c r="C833" s="1" t="n">
        <v>46041</v>
      </c>
      <c r="D833" t="inlineStr">
        <is>
          <t>UPPSALA LÄN</t>
        </is>
      </c>
      <c r="E833" t="inlineStr">
        <is>
          <t>UPPSALA</t>
        </is>
      </c>
      <c r="G833" t="n">
        <v>2.1</v>
      </c>
      <c r="H833" t="n">
        <v>0</v>
      </c>
      <c r="I833" t="n">
        <v>0</v>
      </c>
      <c r="J833" t="n">
        <v>0</v>
      </c>
      <c r="K833" t="n">
        <v>0</v>
      </c>
      <c r="L833" t="n">
        <v>0</v>
      </c>
      <c r="M833" t="n">
        <v>0</v>
      </c>
      <c r="N833" t="n">
        <v>0</v>
      </c>
      <c r="O833" t="n">
        <v>0</v>
      </c>
      <c r="P833" t="n">
        <v>0</v>
      </c>
      <c r="Q833" t="n">
        <v>0</v>
      </c>
      <c r="R833" s="2" t="inlineStr"/>
    </row>
    <row r="834" ht="15" customHeight="1">
      <c r="A834" t="inlineStr">
        <is>
          <t>A 69595-2021</t>
        </is>
      </c>
      <c r="B834" s="1" t="n">
        <v>44532</v>
      </c>
      <c r="C834" s="1" t="n">
        <v>46041</v>
      </c>
      <c r="D834" t="inlineStr">
        <is>
          <t>UPPSALA LÄN</t>
        </is>
      </c>
      <c r="E834" t="inlineStr">
        <is>
          <t>UPPSALA</t>
        </is>
      </c>
      <c r="G834" t="n">
        <v>3.9</v>
      </c>
      <c r="H834" t="n">
        <v>0</v>
      </c>
      <c r="I834" t="n">
        <v>0</v>
      </c>
      <c r="J834" t="n">
        <v>0</v>
      </c>
      <c r="K834" t="n">
        <v>0</v>
      </c>
      <c r="L834" t="n">
        <v>0</v>
      </c>
      <c r="M834" t="n">
        <v>0</v>
      </c>
      <c r="N834" t="n">
        <v>0</v>
      </c>
      <c r="O834" t="n">
        <v>0</v>
      </c>
      <c r="P834" t="n">
        <v>0</v>
      </c>
      <c r="Q834" t="n">
        <v>0</v>
      </c>
      <c r="R834" s="2" t="inlineStr"/>
    </row>
    <row r="835" ht="15" customHeight="1">
      <c r="A835" t="inlineStr">
        <is>
          <t>A 44830-2023</t>
        </is>
      </c>
      <c r="B835" s="1" t="n">
        <v>45190</v>
      </c>
      <c r="C835" s="1" t="n">
        <v>46041</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63307-2021</t>
        </is>
      </c>
      <c r="B836" s="1" t="n">
        <v>44508.44033564815</v>
      </c>
      <c r="C836" s="1" t="n">
        <v>46041</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66690-2021</t>
        </is>
      </c>
      <c r="B837" s="1" t="n">
        <v>44519.64902777778</v>
      </c>
      <c r="C837" s="1" t="n">
        <v>46041</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9426-2023</t>
        </is>
      </c>
      <c r="B838" s="1" t="n">
        <v>44977</v>
      </c>
      <c r="C838" s="1" t="n">
        <v>46041</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62044-2024</t>
        </is>
      </c>
      <c r="B839" s="1" t="n">
        <v>45656</v>
      </c>
      <c r="C839" s="1" t="n">
        <v>46041</v>
      </c>
      <c r="D839" t="inlineStr">
        <is>
          <t>UPPSALA LÄN</t>
        </is>
      </c>
      <c r="E839" t="inlineStr">
        <is>
          <t>UPPSALA</t>
        </is>
      </c>
      <c r="F839" t="inlineStr">
        <is>
          <t>Övriga statliga verk och myndigheter</t>
        </is>
      </c>
      <c r="G839" t="n">
        <v>11.6</v>
      </c>
      <c r="H839" t="n">
        <v>0</v>
      </c>
      <c r="I839" t="n">
        <v>0</v>
      </c>
      <c r="J839" t="n">
        <v>0</v>
      </c>
      <c r="K839" t="n">
        <v>0</v>
      </c>
      <c r="L839" t="n">
        <v>0</v>
      </c>
      <c r="M839" t="n">
        <v>0</v>
      </c>
      <c r="N839" t="n">
        <v>0</v>
      </c>
      <c r="O839" t="n">
        <v>0</v>
      </c>
      <c r="P839" t="n">
        <v>0</v>
      </c>
      <c r="Q839" t="n">
        <v>0</v>
      </c>
      <c r="R839" s="2" t="inlineStr"/>
    </row>
    <row r="840" ht="15" customHeight="1">
      <c r="A840" t="inlineStr">
        <is>
          <t>A 5975-2024</t>
        </is>
      </c>
      <c r="B840" s="1" t="n">
        <v>45336.54270833333</v>
      </c>
      <c r="C840" s="1" t="n">
        <v>46041</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27912-2023</t>
        </is>
      </c>
      <c r="B841" s="1" t="n">
        <v>45098.63572916666</v>
      </c>
      <c r="C841" s="1" t="n">
        <v>46041</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5764-2025</t>
        </is>
      </c>
      <c r="B842" s="1" t="n">
        <v>45694</v>
      </c>
      <c r="C842" s="1" t="n">
        <v>46041</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32428-2023</t>
        </is>
      </c>
      <c r="B843" s="1" t="n">
        <v>45110</v>
      </c>
      <c r="C843" s="1" t="n">
        <v>46041</v>
      </c>
      <c r="D843" t="inlineStr">
        <is>
          <t>UPPSALA LÄN</t>
        </is>
      </c>
      <c r="E843" t="inlineStr">
        <is>
          <t>UPPSALA</t>
        </is>
      </c>
      <c r="G843" t="n">
        <v>3.1</v>
      </c>
      <c r="H843" t="n">
        <v>0</v>
      </c>
      <c r="I843" t="n">
        <v>0</v>
      </c>
      <c r="J843" t="n">
        <v>0</v>
      </c>
      <c r="K843" t="n">
        <v>0</v>
      </c>
      <c r="L843" t="n">
        <v>0</v>
      </c>
      <c r="M843" t="n">
        <v>0</v>
      </c>
      <c r="N843" t="n">
        <v>0</v>
      </c>
      <c r="O843" t="n">
        <v>0</v>
      </c>
      <c r="P843" t="n">
        <v>0</v>
      </c>
      <c r="Q843" t="n">
        <v>0</v>
      </c>
      <c r="R843" s="2" t="inlineStr"/>
    </row>
    <row r="844" ht="15" customHeight="1">
      <c r="A844" t="inlineStr">
        <is>
          <t>A 45489-2023</t>
        </is>
      </c>
      <c r="B844" s="1" t="n">
        <v>45194</v>
      </c>
      <c r="C844" s="1" t="n">
        <v>46041</v>
      </c>
      <c r="D844" t="inlineStr">
        <is>
          <t>UPPSALA LÄN</t>
        </is>
      </c>
      <c r="E844" t="inlineStr">
        <is>
          <t>UPPSALA</t>
        </is>
      </c>
      <c r="F844" t="inlineStr">
        <is>
          <t>Allmännings- och besparingsskogar</t>
        </is>
      </c>
      <c r="G844" t="n">
        <v>15.8</v>
      </c>
      <c r="H844" t="n">
        <v>0</v>
      </c>
      <c r="I844" t="n">
        <v>0</v>
      </c>
      <c r="J844" t="n">
        <v>0</v>
      </c>
      <c r="K844" t="n">
        <v>0</v>
      </c>
      <c r="L844" t="n">
        <v>0</v>
      </c>
      <c r="M844" t="n">
        <v>0</v>
      </c>
      <c r="N844" t="n">
        <v>0</v>
      </c>
      <c r="O844" t="n">
        <v>0</v>
      </c>
      <c r="P844" t="n">
        <v>0</v>
      </c>
      <c r="Q844" t="n">
        <v>0</v>
      </c>
      <c r="R844" s="2" t="inlineStr"/>
    </row>
    <row r="845" ht="15" customHeight="1">
      <c r="A845" t="inlineStr">
        <is>
          <t>A 40100-2022</t>
        </is>
      </c>
      <c r="B845" s="1" t="n">
        <v>44820.47935185185</v>
      </c>
      <c r="C845" s="1" t="n">
        <v>46041</v>
      </c>
      <c r="D845" t="inlineStr">
        <is>
          <t>UPPSALA LÄN</t>
        </is>
      </c>
      <c r="E845" t="inlineStr">
        <is>
          <t>UPPSALA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27473-2024</t>
        </is>
      </c>
      <c r="B846" s="1" t="n">
        <v>45474</v>
      </c>
      <c r="C846" s="1" t="n">
        <v>46041</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21727-2023</t>
        </is>
      </c>
      <c r="B847" s="1" t="n">
        <v>45065.43013888889</v>
      </c>
      <c r="C847" s="1" t="n">
        <v>46041</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59116-2024</t>
        </is>
      </c>
      <c r="B848" s="1" t="n">
        <v>45637</v>
      </c>
      <c r="C848" s="1" t="n">
        <v>46041</v>
      </c>
      <c r="D848" t="inlineStr">
        <is>
          <t>UPPSALA LÄN</t>
        </is>
      </c>
      <c r="E848" t="inlineStr">
        <is>
          <t>UPPSALA</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69698-2021</t>
        </is>
      </c>
      <c r="B849" s="1" t="n">
        <v>44532</v>
      </c>
      <c r="C849" s="1" t="n">
        <v>46041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5068-2025</t>
        </is>
      </c>
      <c r="B850" s="1" t="n">
        <v>45691</v>
      </c>
      <c r="C850" s="1" t="n">
        <v>46041</v>
      </c>
      <c r="D850" t="inlineStr">
        <is>
          <t>UPPSALA LÄN</t>
        </is>
      </c>
      <c r="E850" t="inlineStr">
        <is>
          <t>UPPSALA</t>
        </is>
      </c>
      <c r="G850" t="n">
        <v>5.9</v>
      </c>
      <c r="H850" t="n">
        <v>0</v>
      </c>
      <c r="I850" t="n">
        <v>0</v>
      </c>
      <c r="J850" t="n">
        <v>0</v>
      </c>
      <c r="K850" t="n">
        <v>0</v>
      </c>
      <c r="L850" t="n">
        <v>0</v>
      </c>
      <c r="M850" t="n">
        <v>0</v>
      </c>
      <c r="N850" t="n">
        <v>0</v>
      </c>
      <c r="O850" t="n">
        <v>0</v>
      </c>
      <c r="P850" t="n">
        <v>0</v>
      </c>
      <c r="Q850" t="n">
        <v>0</v>
      </c>
      <c r="R850" s="2" t="inlineStr"/>
    </row>
    <row r="851" ht="15" customHeight="1">
      <c r="A851" t="inlineStr">
        <is>
          <t>A 53614-2024</t>
        </is>
      </c>
      <c r="B851" s="1" t="n">
        <v>45611</v>
      </c>
      <c r="C851" s="1" t="n">
        <v>46041</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784-2024</t>
        </is>
      </c>
      <c r="B852" s="1" t="n">
        <v>45300.55680555556</v>
      </c>
      <c r="C852" s="1" t="n">
        <v>46041</v>
      </c>
      <c r="D852" t="inlineStr">
        <is>
          <t>UPPSALA LÄN</t>
        </is>
      </c>
      <c r="E852" t="inlineStr">
        <is>
          <t>UPPSALA</t>
        </is>
      </c>
      <c r="G852" t="n">
        <v>6.6</v>
      </c>
      <c r="H852" t="n">
        <v>0</v>
      </c>
      <c r="I852" t="n">
        <v>0</v>
      </c>
      <c r="J852" t="n">
        <v>0</v>
      </c>
      <c r="K852" t="n">
        <v>0</v>
      </c>
      <c r="L852" t="n">
        <v>0</v>
      </c>
      <c r="M852" t="n">
        <v>0</v>
      </c>
      <c r="N852" t="n">
        <v>0</v>
      </c>
      <c r="O852" t="n">
        <v>0</v>
      </c>
      <c r="P852" t="n">
        <v>0</v>
      </c>
      <c r="Q852" t="n">
        <v>0</v>
      </c>
      <c r="R852" s="2" t="inlineStr"/>
    </row>
    <row r="853" ht="15" customHeight="1">
      <c r="A853" t="inlineStr">
        <is>
          <t>A 48153-2024</t>
        </is>
      </c>
      <c r="B853" s="1" t="n">
        <v>45589</v>
      </c>
      <c r="C853" s="1" t="n">
        <v>46041</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48154-2024</t>
        </is>
      </c>
      <c r="B854" s="1" t="n">
        <v>45589</v>
      </c>
      <c r="C854" s="1" t="n">
        <v>46041</v>
      </c>
      <c r="D854" t="inlineStr">
        <is>
          <t>UPPSALA LÄN</t>
        </is>
      </c>
      <c r="E854" t="inlineStr">
        <is>
          <t>UPPSALA</t>
        </is>
      </c>
      <c r="G854" t="n">
        <v>5.1</v>
      </c>
      <c r="H854" t="n">
        <v>0</v>
      </c>
      <c r="I854" t="n">
        <v>0</v>
      </c>
      <c r="J854" t="n">
        <v>0</v>
      </c>
      <c r="K854" t="n">
        <v>0</v>
      </c>
      <c r="L854" t="n">
        <v>0</v>
      </c>
      <c r="M854" t="n">
        <v>0</v>
      </c>
      <c r="N854" t="n">
        <v>0</v>
      </c>
      <c r="O854" t="n">
        <v>0</v>
      </c>
      <c r="P854" t="n">
        <v>0</v>
      </c>
      <c r="Q854" t="n">
        <v>0</v>
      </c>
      <c r="R854" s="2" t="inlineStr"/>
    </row>
    <row r="855" ht="15" customHeight="1">
      <c r="A855" t="inlineStr">
        <is>
          <t>A 8132-2022</t>
        </is>
      </c>
      <c r="B855" s="1" t="n">
        <v>44609.60171296296</v>
      </c>
      <c r="C855" s="1" t="n">
        <v>46041</v>
      </c>
      <c r="D855" t="inlineStr">
        <is>
          <t>UPPSALA LÄN</t>
        </is>
      </c>
      <c r="E855" t="inlineStr">
        <is>
          <t>UPPSALA</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5204-2025</t>
        </is>
      </c>
      <c r="B856" s="1" t="n">
        <v>45691</v>
      </c>
      <c r="C856" s="1" t="n">
        <v>46041</v>
      </c>
      <c r="D856" t="inlineStr">
        <is>
          <t>UPPSALA LÄN</t>
        </is>
      </c>
      <c r="E856" t="inlineStr">
        <is>
          <t>UPPSALA</t>
        </is>
      </c>
      <c r="G856" t="n">
        <v>3.7</v>
      </c>
      <c r="H856" t="n">
        <v>0</v>
      </c>
      <c r="I856" t="n">
        <v>0</v>
      </c>
      <c r="J856" t="n">
        <v>0</v>
      </c>
      <c r="K856" t="n">
        <v>0</v>
      </c>
      <c r="L856" t="n">
        <v>0</v>
      </c>
      <c r="M856" t="n">
        <v>0</v>
      </c>
      <c r="N856" t="n">
        <v>0</v>
      </c>
      <c r="O856" t="n">
        <v>0</v>
      </c>
      <c r="P856" t="n">
        <v>0</v>
      </c>
      <c r="Q856" t="n">
        <v>0</v>
      </c>
      <c r="R856" s="2" t="inlineStr"/>
    </row>
    <row r="857" ht="15" customHeight="1">
      <c r="A857" t="inlineStr">
        <is>
          <t>A 62471-2021</t>
        </is>
      </c>
      <c r="B857" s="1" t="n">
        <v>44503</v>
      </c>
      <c r="C857" s="1" t="n">
        <v>46041</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9993-2025</t>
        </is>
      </c>
      <c r="B858" s="1" t="n">
        <v>45719.43755787037</v>
      </c>
      <c r="C858" s="1" t="n">
        <v>46041</v>
      </c>
      <c r="D858" t="inlineStr">
        <is>
          <t>UPPSALA LÄN</t>
        </is>
      </c>
      <c r="E858" t="inlineStr">
        <is>
          <t>UPPSALA</t>
        </is>
      </c>
      <c r="F858" t="inlineStr">
        <is>
          <t>Kyrkan</t>
        </is>
      </c>
      <c r="G858" t="n">
        <v>6.1</v>
      </c>
      <c r="H858" t="n">
        <v>0</v>
      </c>
      <c r="I858" t="n">
        <v>0</v>
      </c>
      <c r="J858" t="n">
        <v>0</v>
      </c>
      <c r="K858" t="n">
        <v>0</v>
      </c>
      <c r="L858" t="n">
        <v>0</v>
      </c>
      <c r="M858" t="n">
        <v>0</v>
      </c>
      <c r="N858" t="n">
        <v>0</v>
      </c>
      <c r="O858" t="n">
        <v>0</v>
      </c>
      <c r="P858" t="n">
        <v>0</v>
      </c>
      <c r="Q858" t="n">
        <v>0</v>
      </c>
      <c r="R858" s="2" t="inlineStr"/>
    </row>
    <row r="859" ht="15" customHeight="1">
      <c r="A859" t="inlineStr">
        <is>
          <t>A 10565-2022</t>
        </is>
      </c>
      <c r="B859" s="1" t="n">
        <v>44624.35083333333</v>
      </c>
      <c r="C859" s="1" t="n">
        <v>46041</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24091-2024</t>
        </is>
      </c>
      <c r="B860" s="1" t="n">
        <v>45456.58491898148</v>
      </c>
      <c r="C860" s="1" t="n">
        <v>46041</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46041</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20102-2023</t>
        </is>
      </c>
      <c r="B862" s="1" t="n">
        <v>45054.95675925926</v>
      </c>
      <c r="C862" s="1" t="n">
        <v>46041</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19017-2023</t>
        </is>
      </c>
      <c r="B863" s="1" t="n">
        <v>45047.31793981481</v>
      </c>
      <c r="C863" s="1" t="n">
        <v>46041</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55862-2022</t>
        </is>
      </c>
      <c r="B864" s="1" t="n">
        <v>44888</v>
      </c>
      <c r="C864" s="1" t="n">
        <v>46041</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12284-2025</t>
        </is>
      </c>
      <c r="B865" s="1" t="n">
        <v>45729</v>
      </c>
      <c r="C865" s="1" t="n">
        <v>46041</v>
      </c>
      <c r="D865" t="inlineStr">
        <is>
          <t>UPPSALA LÄN</t>
        </is>
      </c>
      <c r="E865" t="inlineStr">
        <is>
          <t>UPPSALA</t>
        </is>
      </c>
      <c r="G865" t="n">
        <v>6.7</v>
      </c>
      <c r="H865" t="n">
        <v>0</v>
      </c>
      <c r="I865" t="n">
        <v>0</v>
      </c>
      <c r="J865" t="n">
        <v>0</v>
      </c>
      <c r="K865" t="n">
        <v>0</v>
      </c>
      <c r="L865" t="n">
        <v>0</v>
      </c>
      <c r="M865" t="n">
        <v>0</v>
      </c>
      <c r="N865" t="n">
        <v>0</v>
      </c>
      <c r="O865" t="n">
        <v>0</v>
      </c>
      <c r="P865" t="n">
        <v>0</v>
      </c>
      <c r="Q865" t="n">
        <v>0</v>
      </c>
      <c r="R865" s="2" t="inlineStr"/>
    </row>
    <row r="866" ht="15" customHeight="1">
      <c r="A866" t="inlineStr">
        <is>
          <t>A 12287-2025</t>
        </is>
      </c>
      <c r="B866" s="1" t="n">
        <v>45729</v>
      </c>
      <c r="C866" s="1" t="n">
        <v>46041</v>
      </c>
      <c r="D866" t="inlineStr">
        <is>
          <t>UPPSALA LÄN</t>
        </is>
      </c>
      <c r="E866" t="inlineStr">
        <is>
          <t>UPPSALA</t>
        </is>
      </c>
      <c r="G866" t="n">
        <v>4.6</v>
      </c>
      <c r="H866" t="n">
        <v>0</v>
      </c>
      <c r="I866" t="n">
        <v>0</v>
      </c>
      <c r="J866" t="n">
        <v>0</v>
      </c>
      <c r="K866" t="n">
        <v>0</v>
      </c>
      <c r="L866" t="n">
        <v>0</v>
      </c>
      <c r="M866" t="n">
        <v>0</v>
      </c>
      <c r="N866" t="n">
        <v>0</v>
      </c>
      <c r="O866" t="n">
        <v>0</v>
      </c>
      <c r="P866" t="n">
        <v>0</v>
      </c>
      <c r="Q866" t="n">
        <v>0</v>
      </c>
      <c r="R866" s="2" t="inlineStr"/>
    </row>
    <row r="867" ht="15" customHeight="1">
      <c r="A867" t="inlineStr">
        <is>
          <t>A 33191-2023</t>
        </is>
      </c>
      <c r="B867" s="1" t="n">
        <v>45127</v>
      </c>
      <c r="C867" s="1" t="n">
        <v>46041</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34265-2021</t>
        </is>
      </c>
      <c r="B868" s="1" t="n">
        <v>44379.5745949074</v>
      </c>
      <c r="C868" s="1" t="n">
        <v>46041</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4461-2024</t>
        </is>
      </c>
      <c r="B869" s="1" t="n">
        <v>45327</v>
      </c>
      <c r="C869" s="1" t="n">
        <v>46041</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14784-2023</t>
        </is>
      </c>
      <c r="B870" s="1" t="n">
        <v>45014</v>
      </c>
      <c r="C870" s="1" t="n">
        <v>46041</v>
      </c>
      <c r="D870" t="inlineStr">
        <is>
          <t>UPPSALA LÄN</t>
        </is>
      </c>
      <c r="E870" t="inlineStr">
        <is>
          <t>UPPSALA</t>
        </is>
      </c>
      <c r="G870" t="n">
        <v>4.7</v>
      </c>
      <c r="H870" t="n">
        <v>0</v>
      </c>
      <c r="I870" t="n">
        <v>0</v>
      </c>
      <c r="J870" t="n">
        <v>0</v>
      </c>
      <c r="K870" t="n">
        <v>0</v>
      </c>
      <c r="L870" t="n">
        <v>0</v>
      </c>
      <c r="M870" t="n">
        <v>0</v>
      </c>
      <c r="N870" t="n">
        <v>0</v>
      </c>
      <c r="O870" t="n">
        <v>0</v>
      </c>
      <c r="P870" t="n">
        <v>0</v>
      </c>
      <c r="Q870" t="n">
        <v>0</v>
      </c>
      <c r="R870" s="2" t="inlineStr"/>
    </row>
    <row r="871" ht="15" customHeight="1">
      <c r="A871" t="inlineStr">
        <is>
          <t>A 51576-2023</t>
        </is>
      </c>
      <c r="B871" s="1" t="n">
        <v>45222</v>
      </c>
      <c r="C871" s="1" t="n">
        <v>46041</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4929-2022</t>
        </is>
      </c>
      <c r="B872" s="1" t="n">
        <v>44593</v>
      </c>
      <c r="C872" s="1" t="n">
        <v>46041</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4240-2025</t>
        </is>
      </c>
      <c r="B873" s="1" t="n">
        <v>45685.5778125</v>
      </c>
      <c r="C873" s="1" t="n">
        <v>46041</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6012-2025</t>
        </is>
      </c>
      <c r="B874" s="1" t="n">
        <v>45695.59805555556</v>
      </c>
      <c r="C874" s="1" t="n">
        <v>46041</v>
      </c>
      <c r="D874" t="inlineStr">
        <is>
          <t>UPPSALA LÄN</t>
        </is>
      </c>
      <c r="E874" t="inlineStr">
        <is>
          <t>UPPSALA</t>
        </is>
      </c>
      <c r="F874" t="inlineStr">
        <is>
          <t>Övriga Aktiebolag</t>
        </is>
      </c>
      <c r="G874" t="n">
        <v>14.3</v>
      </c>
      <c r="H874" t="n">
        <v>0</v>
      </c>
      <c r="I874" t="n">
        <v>0</v>
      </c>
      <c r="J874" t="n">
        <v>0</v>
      </c>
      <c r="K874" t="n">
        <v>0</v>
      </c>
      <c r="L874" t="n">
        <v>0</v>
      </c>
      <c r="M874" t="n">
        <v>0</v>
      </c>
      <c r="N874" t="n">
        <v>0</v>
      </c>
      <c r="O874" t="n">
        <v>0</v>
      </c>
      <c r="P874" t="n">
        <v>0</v>
      </c>
      <c r="Q874" t="n">
        <v>0</v>
      </c>
      <c r="R874" s="2" t="inlineStr"/>
    </row>
    <row r="875" ht="15" customHeight="1">
      <c r="A875" t="inlineStr">
        <is>
          <t>A 24787-2024</t>
        </is>
      </c>
      <c r="B875" s="1" t="n">
        <v>45460</v>
      </c>
      <c r="C875" s="1" t="n">
        <v>46041</v>
      </c>
      <c r="D875" t="inlineStr">
        <is>
          <t>UPPSALA LÄN</t>
        </is>
      </c>
      <c r="E875" t="inlineStr">
        <is>
          <t>UPPSALA</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7388-2024</t>
        </is>
      </c>
      <c r="B876" s="1" t="n">
        <v>45345.56</v>
      </c>
      <c r="C876" s="1" t="n">
        <v>46041</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60984-2022</t>
        </is>
      </c>
      <c r="B877" s="1" t="n">
        <v>44914.67600694444</v>
      </c>
      <c r="C877" s="1" t="n">
        <v>46041</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21052-2023</t>
        </is>
      </c>
      <c r="B878" s="1" t="n">
        <v>45061</v>
      </c>
      <c r="C878" s="1" t="n">
        <v>46041</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46743-2024</t>
        </is>
      </c>
      <c r="B879" s="1" t="n">
        <v>45583.47836805556</v>
      </c>
      <c r="C879" s="1" t="n">
        <v>46041</v>
      </c>
      <c r="D879" t="inlineStr">
        <is>
          <t>UPPSALA LÄN</t>
        </is>
      </c>
      <c r="E879" t="inlineStr">
        <is>
          <t>UPPSALA</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46041</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44967.78984953704</v>
      </c>
      <c r="C881" s="1" t="n">
        <v>46041</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23157-2023</t>
        </is>
      </c>
      <c r="B882" s="1" t="n">
        <v>45075.51982638889</v>
      </c>
      <c r="C882" s="1" t="n">
        <v>46041</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6549-2025</t>
        </is>
      </c>
      <c r="B883" s="1" t="n">
        <v>45699</v>
      </c>
      <c r="C883" s="1" t="n">
        <v>46041</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12830-2025</t>
        </is>
      </c>
      <c r="B884" s="1" t="n">
        <v>45733.63099537037</v>
      </c>
      <c r="C884" s="1" t="n">
        <v>46041</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18808-2024</t>
        </is>
      </c>
      <c r="B885" s="1" t="n">
        <v>45426.61569444444</v>
      </c>
      <c r="C885" s="1" t="n">
        <v>46041</v>
      </c>
      <c r="D885" t="inlineStr">
        <is>
          <t>UPPSALA LÄN</t>
        </is>
      </c>
      <c r="E885" t="inlineStr">
        <is>
          <t>UPPSALA</t>
        </is>
      </c>
      <c r="G885" t="n">
        <v>11.5</v>
      </c>
      <c r="H885" t="n">
        <v>0</v>
      </c>
      <c r="I885" t="n">
        <v>0</v>
      </c>
      <c r="J885" t="n">
        <v>0</v>
      </c>
      <c r="K885" t="n">
        <v>0</v>
      </c>
      <c r="L885" t="n">
        <v>0</v>
      </c>
      <c r="M885" t="n">
        <v>0</v>
      </c>
      <c r="N885" t="n">
        <v>0</v>
      </c>
      <c r="O885" t="n">
        <v>0</v>
      </c>
      <c r="P885" t="n">
        <v>0</v>
      </c>
      <c r="Q885" t="n">
        <v>0</v>
      </c>
      <c r="R885" s="2" t="inlineStr"/>
    </row>
    <row r="886" ht="15" customHeight="1">
      <c r="A886" t="inlineStr">
        <is>
          <t>A 28782-2024</t>
        </is>
      </c>
      <c r="B886" s="1" t="n">
        <v>45478.60802083334</v>
      </c>
      <c r="C886" s="1" t="n">
        <v>46041</v>
      </c>
      <c r="D886" t="inlineStr">
        <is>
          <t>UPPSALA LÄN</t>
        </is>
      </c>
      <c r="E886" t="inlineStr">
        <is>
          <t>UPPSALA</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9981-2025</t>
        </is>
      </c>
      <c r="B887" s="1" t="n">
        <v>45719.40723379629</v>
      </c>
      <c r="C887" s="1" t="n">
        <v>46041</v>
      </c>
      <c r="D887" t="inlineStr">
        <is>
          <t>UPPSALA LÄN</t>
        </is>
      </c>
      <c r="E887" t="inlineStr">
        <is>
          <t>UPPSALA</t>
        </is>
      </c>
      <c r="F887" t="inlineStr">
        <is>
          <t>Kyrkan</t>
        </is>
      </c>
      <c r="G887" t="n">
        <v>2.9</v>
      </c>
      <c r="H887" t="n">
        <v>0</v>
      </c>
      <c r="I887" t="n">
        <v>0</v>
      </c>
      <c r="J887" t="n">
        <v>0</v>
      </c>
      <c r="K887" t="n">
        <v>0</v>
      </c>
      <c r="L887" t="n">
        <v>0</v>
      </c>
      <c r="M887" t="n">
        <v>0</v>
      </c>
      <c r="N887" t="n">
        <v>0</v>
      </c>
      <c r="O887" t="n">
        <v>0</v>
      </c>
      <c r="P887" t="n">
        <v>0</v>
      </c>
      <c r="Q887" t="n">
        <v>0</v>
      </c>
      <c r="R887" s="2" t="inlineStr"/>
    </row>
    <row r="888" ht="15" customHeight="1">
      <c r="A888" t="inlineStr">
        <is>
          <t>A 36781-2023</t>
        </is>
      </c>
      <c r="B888" s="1" t="n">
        <v>45154.34931712963</v>
      </c>
      <c r="C888" s="1" t="n">
        <v>46041</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6550-2025</t>
        </is>
      </c>
      <c r="B889" s="1" t="n">
        <v>45699.71063657408</v>
      </c>
      <c r="C889" s="1" t="n">
        <v>46041</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12282-2025</t>
        </is>
      </c>
      <c r="B890" s="1" t="n">
        <v>45729</v>
      </c>
      <c r="C890" s="1" t="n">
        <v>46041</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14907-2025</t>
        </is>
      </c>
      <c r="B891" s="1" t="n">
        <v>45743.50744212963</v>
      </c>
      <c r="C891" s="1" t="n">
        <v>46041</v>
      </c>
      <c r="D891" t="inlineStr">
        <is>
          <t>UPPSALA LÄN</t>
        </is>
      </c>
      <c r="E891" t="inlineStr">
        <is>
          <t>UPPSALA</t>
        </is>
      </c>
      <c r="G891" t="n">
        <v>7</v>
      </c>
      <c r="H891" t="n">
        <v>0</v>
      </c>
      <c r="I891" t="n">
        <v>0</v>
      </c>
      <c r="J891" t="n">
        <v>0</v>
      </c>
      <c r="K891" t="n">
        <v>0</v>
      </c>
      <c r="L891" t="n">
        <v>0</v>
      </c>
      <c r="M891" t="n">
        <v>0</v>
      </c>
      <c r="N891" t="n">
        <v>0</v>
      </c>
      <c r="O891" t="n">
        <v>0</v>
      </c>
      <c r="P891" t="n">
        <v>0</v>
      </c>
      <c r="Q891" t="n">
        <v>0</v>
      </c>
      <c r="R891" s="2" t="inlineStr"/>
    </row>
    <row r="892" ht="15" customHeight="1">
      <c r="A892" t="inlineStr">
        <is>
          <t>A 41545-2023</t>
        </is>
      </c>
      <c r="B892" s="1" t="n">
        <v>45175.57060185185</v>
      </c>
      <c r="C892" s="1" t="n">
        <v>46041</v>
      </c>
      <c r="D892" t="inlineStr">
        <is>
          <t>UPPSALA LÄN</t>
        </is>
      </c>
      <c r="E892" t="inlineStr">
        <is>
          <t>UPPSALA</t>
        </is>
      </c>
      <c r="G892" t="n">
        <v>6.6</v>
      </c>
      <c r="H892" t="n">
        <v>0</v>
      </c>
      <c r="I892" t="n">
        <v>0</v>
      </c>
      <c r="J892" t="n">
        <v>0</v>
      </c>
      <c r="K892" t="n">
        <v>0</v>
      </c>
      <c r="L892" t="n">
        <v>0</v>
      </c>
      <c r="M892" t="n">
        <v>0</v>
      </c>
      <c r="N892" t="n">
        <v>0</v>
      </c>
      <c r="O892" t="n">
        <v>0</v>
      </c>
      <c r="P892" t="n">
        <v>0</v>
      </c>
      <c r="Q892" t="n">
        <v>0</v>
      </c>
      <c r="R892" s="2" t="inlineStr"/>
    </row>
    <row r="893" ht="15" customHeight="1">
      <c r="A893" t="inlineStr">
        <is>
          <t>A 6006-2025</t>
        </is>
      </c>
      <c r="B893" s="1" t="n">
        <v>45695.59197916667</v>
      </c>
      <c r="C893" s="1" t="n">
        <v>46041</v>
      </c>
      <c r="D893" t="inlineStr">
        <is>
          <t>UPPSALA LÄN</t>
        </is>
      </c>
      <c r="E893" t="inlineStr">
        <is>
          <t>UPPSALA</t>
        </is>
      </c>
      <c r="F893" t="inlineStr">
        <is>
          <t>Övriga Aktiebolag</t>
        </is>
      </c>
      <c r="G893" t="n">
        <v>13.8</v>
      </c>
      <c r="H893" t="n">
        <v>0</v>
      </c>
      <c r="I893" t="n">
        <v>0</v>
      </c>
      <c r="J893" t="n">
        <v>0</v>
      </c>
      <c r="K893" t="n">
        <v>0</v>
      </c>
      <c r="L893" t="n">
        <v>0</v>
      </c>
      <c r="M893" t="n">
        <v>0</v>
      </c>
      <c r="N893" t="n">
        <v>0</v>
      </c>
      <c r="O893" t="n">
        <v>0</v>
      </c>
      <c r="P893" t="n">
        <v>0</v>
      </c>
      <c r="Q893" t="n">
        <v>0</v>
      </c>
      <c r="R893" s="2" t="inlineStr"/>
    </row>
    <row r="894" ht="15" customHeight="1">
      <c r="A894" t="inlineStr">
        <is>
          <t>A 60691-2024</t>
        </is>
      </c>
      <c r="B894" s="1" t="n">
        <v>45644.47723379629</v>
      </c>
      <c r="C894" s="1" t="n">
        <v>46041</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13526-2023</t>
        </is>
      </c>
      <c r="B895" s="1" t="n">
        <v>45006</v>
      </c>
      <c r="C895" s="1" t="n">
        <v>46041</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1825-2024</t>
        </is>
      </c>
      <c r="B896" s="1" t="n">
        <v>45307</v>
      </c>
      <c r="C896" s="1" t="n">
        <v>46041</v>
      </c>
      <c r="D896" t="inlineStr">
        <is>
          <t>UPPSALA LÄN</t>
        </is>
      </c>
      <c r="E896" t="inlineStr">
        <is>
          <t>UPPSALA</t>
        </is>
      </c>
      <c r="G896" t="n">
        <v>4.2</v>
      </c>
      <c r="H896" t="n">
        <v>0</v>
      </c>
      <c r="I896" t="n">
        <v>0</v>
      </c>
      <c r="J896" t="n">
        <v>0</v>
      </c>
      <c r="K896" t="n">
        <v>0</v>
      </c>
      <c r="L896" t="n">
        <v>0</v>
      </c>
      <c r="M896" t="n">
        <v>0</v>
      </c>
      <c r="N896" t="n">
        <v>0</v>
      </c>
      <c r="O896" t="n">
        <v>0</v>
      </c>
      <c r="P896" t="n">
        <v>0</v>
      </c>
      <c r="Q896" t="n">
        <v>0</v>
      </c>
      <c r="R896" s="2" t="inlineStr"/>
    </row>
    <row r="897" ht="15" customHeight="1">
      <c r="A897" t="inlineStr">
        <is>
          <t>A 53266-2024</t>
        </is>
      </c>
      <c r="B897" s="1" t="n">
        <v>45614</v>
      </c>
      <c r="C897" s="1" t="n">
        <v>46041</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4412-2024</t>
        </is>
      </c>
      <c r="B898" s="1" t="n">
        <v>45327</v>
      </c>
      <c r="C898" s="1" t="n">
        <v>46041</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787-2024</t>
        </is>
      </c>
      <c r="B899" s="1" t="n">
        <v>45300</v>
      </c>
      <c r="C899" s="1" t="n">
        <v>46041</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1588-2025</t>
        </is>
      </c>
      <c r="B900" s="1" t="n">
        <v>45670</v>
      </c>
      <c r="C900" s="1" t="n">
        <v>46041</v>
      </c>
      <c r="D900" t="inlineStr">
        <is>
          <t>UPPSALA LÄN</t>
        </is>
      </c>
      <c r="E900" t="inlineStr">
        <is>
          <t>UPPSALA</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20703-2025</t>
        </is>
      </c>
      <c r="B901" s="1" t="n">
        <v>45776.48275462963</v>
      </c>
      <c r="C901" s="1" t="n">
        <v>46041</v>
      </c>
      <c r="D901" t="inlineStr">
        <is>
          <t>UPPSALA LÄN</t>
        </is>
      </c>
      <c r="E901" t="inlineStr">
        <is>
          <t>UPPSALA</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20712-2025</t>
        </is>
      </c>
      <c r="B902" s="1" t="n">
        <v>45776</v>
      </c>
      <c r="C902" s="1" t="n">
        <v>46041</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20686-2025</t>
        </is>
      </c>
      <c r="B903" s="1" t="n">
        <v>45776.45263888889</v>
      </c>
      <c r="C903" s="1" t="n">
        <v>46041</v>
      </c>
      <c r="D903" t="inlineStr">
        <is>
          <t>UPPSALA LÄN</t>
        </is>
      </c>
      <c r="E903" t="inlineStr">
        <is>
          <t>UPPSALA</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29815-2023</t>
        </is>
      </c>
      <c r="B904" s="1" t="n">
        <v>45107.55574074074</v>
      </c>
      <c r="C904" s="1" t="n">
        <v>46041</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20797-2025</t>
        </is>
      </c>
      <c r="B905" s="1" t="n">
        <v>45776.6415162037</v>
      </c>
      <c r="C905" s="1" t="n">
        <v>46041</v>
      </c>
      <c r="D905" t="inlineStr">
        <is>
          <t>UPPSALA LÄN</t>
        </is>
      </c>
      <c r="E905" t="inlineStr">
        <is>
          <t>UPPSALA</t>
        </is>
      </c>
      <c r="F905" t="inlineStr">
        <is>
          <t>Kommuner</t>
        </is>
      </c>
      <c r="G905" t="n">
        <v>4.6</v>
      </c>
      <c r="H905" t="n">
        <v>0</v>
      </c>
      <c r="I905" t="n">
        <v>0</v>
      </c>
      <c r="J905" t="n">
        <v>0</v>
      </c>
      <c r="K905" t="n">
        <v>0</v>
      </c>
      <c r="L905" t="n">
        <v>0</v>
      </c>
      <c r="M905" t="n">
        <v>0</v>
      </c>
      <c r="N905" t="n">
        <v>0</v>
      </c>
      <c r="O905" t="n">
        <v>0</v>
      </c>
      <c r="P905" t="n">
        <v>0</v>
      </c>
      <c r="Q905" t="n">
        <v>0</v>
      </c>
      <c r="R905" s="2" t="inlineStr"/>
    </row>
    <row r="906" ht="15" customHeight="1">
      <c r="A906" t="inlineStr">
        <is>
          <t>A 20888-2025</t>
        </is>
      </c>
      <c r="B906" s="1" t="n">
        <v>45777.37119212963</v>
      </c>
      <c r="C906" s="1" t="n">
        <v>46041</v>
      </c>
      <c r="D906" t="inlineStr">
        <is>
          <t>UPPSALA LÄN</t>
        </is>
      </c>
      <c r="E906" t="inlineStr">
        <is>
          <t>UPPSALA</t>
        </is>
      </c>
      <c r="F906" t="inlineStr">
        <is>
          <t>Övriga statliga verk och myndigheter</t>
        </is>
      </c>
      <c r="G906" t="n">
        <v>5.1</v>
      </c>
      <c r="H906" t="n">
        <v>0</v>
      </c>
      <c r="I906" t="n">
        <v>0</v>
      </c>
      <c r="J906" t="n">
        <v>0</v>
      </c>
      <c r="K906" t="n">
        <v>0</v>
      </c>
      <c r="L906" t="n">
        <v>0</v>
      </c>
      <c r="M906" t="n">
        <v>0</v>
      </c>
      <c r="N906" t="n">
        <v>0</v>
      </c>
      <c r="O906" t="n">
        <v>0</v>
      </c>
      <c r="P906" t="n">
        <v>0</v>
      </c>
      <c r="Q906" t="n">
        <v>0</v>
      </c>
      <c r="R906" s="2" t="inlineStr"/>
    </row>
    <row r="907" ht="15" customHeight="1">
      <c r="A907" t="inlineStr">
        <is>
          <t>A 20874-2025</t>
        </is>
      </c>
      <c r="B907" s="1" t="n">
        <v>45777.34894675926</v>
      </c>
      <c r="C907" s="1" t="n">
        <v>46041</v>
      </c>
      <c r="D907" t="inlineStr">
        <is>
          <t>UPPSALA LÄN</t>
        </is>
      </c>
      <c r="E907" t="inlineStr">
        <is>
          <t>UPPSALA</t>
        </is>
      </c>
      <c r="F907" t="inlineStr">
        <is>
          <t>Övriga Aktiebolag</t>
        </is>
      </c>
      <c r="G907" t="n">
        <v>3.9</v>
      </c>
      <c r="H907" t="n">
        <v>0</v>
      </c>
      <c r="I907" t="n">
        <v>0</v>
      </c>
      <c r="J907" t="n">
        <v>0</v>
      </c>
      <c r="K907" t="n">
        <v>0</v>
      </c>
      <c r="L907" t="n">
        <v>0</v>
      </c>
      <c r="M907" t="n">
        <v>0</v>
      </c>
      <c r="N907" t="n">
        <v>0</v>
      </c>
      <c r="O907" t="n">
        <v>0</v>
      </c>
      <c r="P907" t="n">
        <v>0</v>
      </c>
      <c r="Q907" t="n">
        <v>0</v>
      </c>
      <c r="R907" s="2" t="inlineStr"/>
    </row>
    <row r="908" ht="15" customHeight="1">
      <c r="A908" t="inlineStr">
        <is>
          <t>A 20858-2025</t>
        </is>
      </c>
      <c r="B908" s="1" t="n">
        <v>45777.32731481481</v>
      </c>
      <c r="C908" s="1" t="n">
        <v>46041</v>
      </c>
      <c r="D908" t="inlineStr">
        <is>
          <t>UPPSALA LÄN</t>
        </is>
      </c>
      <c r="E908" t="inlineStr">
        <is>
          <t>UPPSALA</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21033-2025</t>
        </is>
      </c>
      <c r="B909" s="1" t="n">
        <v>45777.52655092593</v>
      </c>
      <c r="C909" s="1" t="n">
        <v>46041</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20928-2025</t>
        </is>
      </c>
      <c r="B910" s="1" t="n">
        <v>45777</v>
      </c>
      <c r="C910" s="1" t="n">
        <v>46041</v>
      </c>
      <c r="D910" t="inlineStr">
        <is>
          <t>UPPSALA LÄN</t>
        </is>
      </c>
      <c r="E910" t="inlineStr">
        <is>
          <t>UPPSALA</t>
        </is>
      </c>
      <c r="G910" t="n">
        <v>11.9</v>
      </c>
      <c r="H910" t="n">
        <v>0</v>
      </c>
      <c r="I910" t="n">
        <v>0</v>
      </c>
      <c r="J910" t="n">
        <v>0</v>
      </c>
      <c r="K910" t="n">
        <v>0</v>
      </c>
      <c r="L910" t="n">
        <v>0</v>
      </c>
      <c r="M910" t="n">
        <v>0</v>
      </c>
      <c r="N910" t="n">
        <v>0</v>
      </c>
      <c r="O910" t="n">
        <v>0</v>
      </c>
      <c r="P910" t="n">
        <v>0</v>
      </c>
      <c r="Q910" t="n">
        <v>0</v>
      </c>
      <c r="R910" s="2" t="inlineStr"/>
    </row>
    <row r="911" ht="15" customHeight="1">
      <c r="A911" t="inlineStr">
        <is>
          <t>A 33667-2024</t>
        </is>
      </c>
      <c r="B911" s="1" t="n">
        <v>45520</v>
      </c>
      <c r="C911" s="1" t="n">
        <v>46041</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44847-2024</t>
        </is>
      </c>
      <c r="B912" s="1" t="n">
        <v>45574</v>
      </c>
      <c r="C912" s="1" t="n">
        <v>46041</v>
      </c>
      <c r="D912" t="inlineStr">
        <is>
          <t>UPPSALA LÄN</t>
        </is>
      </c>
      <c r="E912" t="inlineStr">
        <is>
          <t>UPPSALA</t>
        </is>
      </c>
      <c r="G912" t="n">
        <v>6.3</v>
      </c>
      <c r="H912" t="n">
        <v>0</v>
      </c>
      <c r="I912" t="n">
        <v>0</v>
      </c>
      <c r="J912" t="n">
        <v>0</v>
      </c>
      <c r="K912" t="n">
        <v>0</v>
      </c>
      <c r="L912" t="n">
        <v>0</v>
      </c>
      <c r="M912" t="n">
        <v>0</v>
      </c>
      <c r="N912" t="n">
        <v>0</v>
      </c>
      <c r="O912" t="n">
        <v>0</v>
      </c>
      <c r="P912" t="n">
        <v>0</v>
      </c>
      <c r="Q912" t="n">
        <v>0</v>
      </c>
      <c r="R912" s="2" t="inlineStr"/>
    </row>
    <row r="913" ht="15" customHeight="1">
      <c r="A913" t="inlineStr">
        <is>
          <t>A 21281-2025</t>
        </is>
      </c>
      <c r="B913" s="1" t="n">
        <v>45779.6665162037</v>
      </c>
      <c r="C913" s="1" t="n">
        <v>46041</v>
      </c>
      <c r="D913" t="inlineStr">
        <is>
          <t>UPPSALA LÄN</t>
        </is>
      </c>
      <c r="E913" t="inlineStr">
        <is>
          <t>UPPSALA</t>
        </is>
      </c>
      <c r="F913" t="inlineStr">
        <is>
          <t>Övriga Aktiebolag</t>
        </is>
      </c>
      <c r="G913" t="n">
        <v>5.9</v>
      </c>
      <c r="H913" t="n">
        <v>0</v>
      </c>
      <c r="I913" t="n">
        <v>0</v>
      </c>
      <c r="J913" t="n">
        <v>0</v>
      </c>
      <c r="K913" t="n">
        <v>0</v>
      </c>
      <c r="L913" t="n">
        <v>0</v>
      </c>
      <c r="M913" t="n">
        <v>0</v>
      </c>
      <c r="N913" t="n">
        <v>0</v>
      </c>
      <c r="O913" t="n">
        <v>0</v>
      </c>
      <c r="P913" t="n">
        <v>0</v>
      </c>
      <c r="Q913" t="n">
        <v>0</v>
      </c>
      <c r="R913" s="2" t="inlineStr"/>
    </row>
    <row r="914" ht="15" customHeight="1">
      <c r="A914" t="inlineStr">
        <is>
          <t>A 21279-2025</t>
        </is>
      </c>
      <c r="B914" s="1" t="n">
        <v>45779.65787037037</v>
      </c>
      <c r="C914" s="1" t="n">
        <v>46041</v>
      </c>
      <c r="D914" t="inlineStr">
        <is>
          <t>UPPSALA LÄN</t>
        </is>
      </c>
      <c r="E914" t="inlineStr">
        <is>
          <t>UPPSALA</t>
        </is>
      </c>
      <c r="F914" t="inlineStr">
        <is>
          <t>Övriga Aktiebolag</t>
        </is>
      </c>
      <c r="G914" t="n">
        <v>0.8</v>
      </c>
      <c r="H914" t="n">
        <v>0</v>
      </c>
      <c r="I914" t="n">
        <v>0</v>
      </c>
      <c r="J914" t="n">
        <v>0</v>
      </c>
      <c r="K914" t="n">
        <v>0</v>
      </c>
      <c r="L914" t="n">
        <v>0</v>
      </c>
      <c r="M914" t="n">
        <v>0</v>
      </c>
      <c r="N914" t="n">
        <v>0</v>
      </c>
      <c r="O914" t="n">
        <v>0</v>
      </c>
      <c r="P914" t="n">
        <v>0</v>
      </c>
      <c r="Q914" t="n">
        <v>0</v>
      </c>
      <c r="R914" s="2" t="inlineStr"/>
    </row>
    <row r="915" ht="15" customHeight="1">
      <c r="A915" t="inlineStr">
        <is>
          <t>A 21217-2025</t>
        </is>
      </c>
      <c r="B915" s="1" t="n">
        <v>45779.49085648148</v>
      </c>
      <c r="C915" s="1" t="n">
        <v>46041</v>
      </c>
      <c r="D915" t="inlineStr">
        <is>
          <t>UPPSALA LÄN</t>
        </is>
      </c>
      <c r="E915" t="inlineStr">
        <is>
          <t>UPPSALA</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21748-2025</t>
        </is>
      </c>
      <c r="B916" s="1" t="n">
        <v>45783.61053240741</v>
      </c>
      <c r="C916" s="1" t="n">
        <v>46041</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21936-2025</t>
        </is>
      </c>
      <c r="B917" s="1" t="n">
        <v>45784.57266203704</v>
      </c>
      <c r="C917" s="1" t="n">
        <v>46041</v>
      </c>
      <c r="D917" t="inlineStr">
        <is>
          <t>UPPSALA LÄN</t>
        </is>
      </c>
      <c r="E917" t="inlineStr">
        <is>
          <t>UPPSALA</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750-2022</t>
        </is>
      </c>
      <c r="B918" s="1" t="n">
        <v>44569.49344907407</v>
      </c>
      <c r="C918" s="1" t="n">
        <v>46041</v>
      </c>
      <c r="D918" t="inlineStr">
        <is>
          <t>UPPSALA LÄN</t>
        </is>
      </c>
      <c r="E918" t="inlineStr">
        <is>
          <t>UPPSALA</t>
        </is>
      </c>
      <c r="F918" t="inlineStr">
        <is>
          <t>Holmen skog AB</t>
        </is>
      </c>
      <c r="G918" t="n">
        <v>6</v>
      </c>
      <c r="H918" t="n">
        <v>0</v>
      </c>
      <c r="I918" t="n">
        <v>0</v>
      </c>
      <c r="J918" t="n">
        <v>0</v>
      </c>
      <c r="K918" t="n">
        <v>0</v>
      </c>
      <c r="L918" t="n">
        <v>0</v>
      </c>
      <c r="M918" t="n">
        <v>0</v>
      </c>
      <c r="N918" t="n">
        <v>0</v>
      </c>
      <c r="O918" t="n">
        <v>0</v>
      </c>
      <c r="P918" t="n">
        <v>0</v>
      </c>
      <c r="Q918" t="n">
        <v>0</v>
      </c>
      <c r="R918" s="2" t="inlineStr"/>
    </row>
    <row r="919" ht="15" customHeight="1">
      <c r="A919" t="inlineStr">
        <is>
          <t>A 16324-2024</t>
        </is>
      </c>
      <c r="B919" s="1" t="n">
        <v>45407.49721064815</v>
      </c>
      <c r="C919" s="1" t="n">
        <v>46041</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22018-2025</t>
        </is>
      </c>
      <c r="B920" s="1" t="n">
        <v>45784.80497685185</v>
      </c>
      <c r="C920" s="1" t="n">
        <v>46041</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4980-2024</t>
        </is>
      </c>
      <c r="B921" s="1" t="n">
        <v>45329</v>
      </c>
      <c r="C921" s="1" t="n">
        <v>46041</v>
      </c>
      <c r="D921" t="inlineStr">
        <is>
          <t>UPPSALA LÄN</t>
        </is>
      </c>
      <c r="E921" t="inlineStr">
        <is>
          <t>UPPSALA</t>
        </is>
      </c>
      <c r="G921" t="n">
        <v>10.8</v>
      </c>
      <c r="H921" t="n">
        <v>0</v>
      </c>
      <c r="I921" t="n">
        <v>0</v>
      </c>
      <c r="J921" t="n">
        <v>0</v>
      </c>
      <c r="K921" t="n">
        <v>0</v>
      </c>
      <c r="L921" t="n">
        <v>0</v>
      </c>
      <c r="M921" t="n">
        <v>0</v>
      </c>
      <c r="N921" t="n">
        <v>0</v>
      </c>
      <c r="O921" t="n">
        <v>0</v>
      </c>
      <c r="P921" t="n">
        <v>0</v>
      </c>
      <c r="Q921" t="n">
        <v>0</v>
      </c>
      <c r="R921" s="2" t="inlineStr"/>
    </row>
    <row r="922" ht="15" customHeight="1">
      <c r="A922" t="inlineStr">
        <is>
          <t>A 42131-2023</t>
        </is>
      </c>
      <c r="B922" s="1" t="n">
        <v>45177.79766203704</v>
      </c>
      <c r="C922" s="1" t="n">
        <v>46041</v>
      </c>
      <c r="D922" t="inlineStr">
        <is>
          <t>UPPSALA LÄN</t>
        </is>
      </c>
      <c r="E922" t="inlineStr">
        <is>
          <t>UPPSALA</t>
        </is>
      </c>
      <c r="F922" t="inlineStr">
        <is>
          <t>Allmännings- och besparingsskogar</t>
        </is>
      </c>
      <c r="G922" t="n">
        <v>6.3</v>
      </c>
      <c r="H922" t="n">
        <v>0</v>
      </c>
      <c r="I922" t="n">
        <v>0</v>
      </c>
      <c r="J922" t="n">
        <v>0</v>
      </c>
      <c r="K922" t="n">
        <v>0</v>
      </c>
      <c r="L922" t="n">
        <v>0</v>
      </c>
      <c r="M922" t="n">
        <v>0</v>
      </c>
      <c r="N922" t="n">
        <v>0</v>
      </c>
      <c r="O922" t="n">
        <v>0</v>
      </c>
      <c r="P922" t="n">
        <v>0</v>
      </c>
      <c r="Q922" t="n">
        <v>0</v>
      </c>
      <c r="R922" s="2" t="inlineStr"/>
    </row>
    <row r="923" ht="15" customHeight="1">
      <c r="A923" t="inlineStr">
        <is>
          <t>A 40701-2024</t>
        </is>
      </c>
      <c r="B923" s="1" t="n">
        <v>45558.42498842593</v>
      </c>
      <c r="C923" s="1" t="n">
        <v>46041</v>
      </c>
      <c r="D923" t="inlineStr">
        <is>
          <t>UPPSALA LÄN</t>
        </is>
      </c>
      <c r="E923" t="inlineStr">
        <is>
          <t>UPPSALA</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42276-2024</t>
        </is>
      </c>
      <c r="B924" s="1" t="n">
        <v>45562</v>
      </c>
      <c r="C924" s="1" t="n">
        <v>46041</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10650-2024</t>
        </is>
      </c>
      <c r="B925" s="1" t="n">
        <v>45368.64787037037</v>
      </c>
      <c r="C925" s="1" t="n">
        <v>46041</v>
      </c>
      <c r="D925" t="inlineStr">
        <is>
          <t>UPPSALA LÄN</t>
        </is>
      </c>
      <c r="E925" t="inlineStr">
        <is>
          <t>UPPSALA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758-2022</t>
        </is>
      </c>
      <c r="B926" s="1" t="n">
        <v>44569.69358796296</v>
      </c>
      <c r="C926" s="1" t="n">
        <v>46041</v>
      </c>
      <c r="D926" t="inlineStr">
        <is>
          <t>UPPSALA LÄN</t>
        </is>
      </c>
      <c r="E926" t="inlineStr">
        <is>
          <t>UPPSALA</t>
        </is>
      </c>
      <c r="F926" t="inlineStr">
        <is>
          <t>Holmen skog AB</t>
        </is>
      </c>
      <c r="G926" t="n">
        <v>5.2</v>
      </c>
      <c r="H926" t="n">
        <v>0</v>
      </c>
      <c r="I926" t="n">
        <v>0</v>
      </c>
      <c r="J926" t="n">
        <v>0</v>
      </c>
      <c r="K926" t="n">
        <v>0</v>
      </c>
      <c r="L926" t="n">
        <v>0</v>
      </c>
      <c r="M926" t="n">
        <v>0</v>
      </c>
      <c r="N926" t="n">
        <v>0</v>
      </c>
      <c r="O926" t="n">
        <v>0</v>
      </c>
      <c r="P926" t="n">
        <v>0</v>
      </c>
      <c r="Q926" t="n">
        <v>0</v>
      </c>
      <c r="R926" s="2" t="inlineStr"/>
    </row>
    <row r="927" ht="15" customHeight="1">
      <c r="A927" t="inlineStr">
        <is>
          <t>A 3973-2025</t>
        </is>
      </c>
      <c r="B927" s="1" t="n">
        <v>45684</v>
      </c>
      <c r="C927" s="1" t="n">
        <v>46041</v>
      </c>
      <c r="D927" t="inlineStr">
        <is>
          <t>UPPSALA LÄN</t>
        </is>
      </c>
      <c r="E927" t="inlineStr">
        <is>
          <t>UPPSALA</t>
        </is>
      </c>
      <c r="G927" t="n">
        <v>8</v>
      </c>
      <c r="H927" t="n">
        <v>0</v>
      </c>
      <c r="I927" t="n">
        <v>0</v>
      </c>
      <c r="J927" t="n">
        <v>0</v>
      </c>
      <c r="K927" t="n">
        <v>0</v>
      </c>
      <c r="L927" t="n">
        <v>0</v>
      </c>
      <c r="M927" t="n">
        <v>0</v>
      </c>
      <c r="N927" t="n">
        <v>0</v>
      </c>
      <c r="O927" t="n">
        <v>0</v>
      </c>
      <c r="P927" t="n">
        <v>0</v>
      </c>
      <c r="Q927" t="n">
        <v>0</v>
      </c>
      <c r="R927" s="2" t="inlineStr"/>
    </row>
    <row r="928" ht="15" customHeight="1">
      <c r="A928" t="inlineStr">
        <is>
          <t>A 59570-2023</t>
        </is>
      </c>
      <c r="B928" s="1" t="n">
        <v>45254</v>
      </c>
      <c r="C928" s="1" t="n">
        <v>46041</v>
      </c>
      <c r="D928" t="inlineStr">
        <is>
          <t>UPPSALA LÄN</t>
        </is>
      </c>
      <c r="E928" t="inlineStr">
        <is>
          <t>UPPSALA</t>
        </is>
      </c>
      <c r="G928" t="n">
        <v>6.7</v>
      </c>
      <c r="H928" t="n">
        <v>0</v>
      </c>
      <c r="I928" t="n">
        <v>0</v>
      </c>
      <c r="J928" t="n">
        <v>0</v>
      </c>
      <c r="K928" t="n">
        <v>0</v>
      </c>
      <c r="L928" t="n">
        <v>0</v>
      </c>
      <c r="M928" t="n">
        <v>0</v>
      </c>
      <c r="N928" t="n">
        <v>0</v>
      </c>
      <c r="O928" t="n">
        <v>0</v>
      </c>
      <c r="P928" t="n">
        <v>0</v>
      </c>
      <c r="Q928" t="n">
        <v>0</v>
      </c>
      <c r="R928" s="2" t="inlineStr"/>
    </row>
    <row r="929" ht="15" customHeight="1">
      <c r="A929" t="inlineStr">
        <is>
          <t>A 11339-2025</t>
        </is>
      </c>
      <c r="B929" s="1" t="n">
        <v>45726</v>
      </c>
      <c r="C929" s="1" t="n">
        <v>46041</v>
      </c>
      <c r="D929" t="inlineStr">
        <is>
          <t>UPPSALA LÄN</t>
        </is>
      </c>
      <c r="E929" t="inlineStr">
        <is>
          <t>UPPSALA</t>
        </is>
      </c>
      <c r="G929" t="n">
        <v>13.4</v>
      </c>
      <c r="H929" t="n">
        <v>0</v>
      </c>
      <c r="I929" t="n">
        <v>0</v>
      </c>
      <c r="J929" t="n">
        <v>0</v>
      </c>
      <c r="K929" t="n">
        <v>0</v>
      </c>
      <c r="L929" t="n">
        <v>0</v>
      </c>
      <c r="M929" t="n">
        <v>0</v>
      </c>
      <c r="N929" t="n">
        <v>0</v>
      </c>
      <c r="O929" t="n">
        <v>0</v>
      </c>
      <c r="P929" t="n">
        <v>0</v>
      </c>
      <c r="Q929" t="n">
        <v>0</v>
      </c>
      <c r="R929" s="2" t="inlineStr"/>
    </row>
    <row r="930" ht="15" customHeight="1">
      <c r="A930" t="inlineStr">
        <is>
          <t>A 11260-2024</t>
        </is>
      </c>
      <c r="B930" s="1" t="n">
        <v>45371.67368055556</v>
      </c>
      <c r="C930" s="1" t="n">
        <v>46041</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22951-2025</t>
        </is>
      </c>
      <c r="B931" s="1" t="n">
        <v>45790.51040509259</v>
      </c>
      <c r="C931" s="1" t="n">
        <v>46041</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26208-2023</t>
        </is>
      </c>
      <c r="B932" s="1" t="n">
        <v>45091</v>
      </c>
      <c r="C932" s="1" t="n">
        <v>46041</v>
      </c>
      <c r="D932" t="inlineStr">
        <is>
          <t>UPPSALA LÄN</t>
        </is>
      </c>
      <c r="E932" t="inlineStr">
        <is>
          <t>UPPSALA</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22930-2025</t>
        </is>
      </c>
      <c r="B933" s="1" t="n">
        <v>45790.44972222222</v>
      </c>
      <c r="C933" s="1" t="n">
        <v>46041</v>
      </c>
      <c r="D933" t="inlineStr">
        <is>
          <t>UPPSALA LÄN</t>
        </is>
      </c>
      <c r="E933" t="inlineStr">
        <is>
          <t>UPPSALA</t>
        </is>
      </c>
      <c r="G933" t="n">
        <v>7.7</v>
      </c>
      <c r="H933" t="n">
        <v>0</v>
      </c>
      <c r="I933" t="n">
        <v>0</v>
      </c>
      <c r="J933" t="n">
        <v>0</v>
      </c>
      <c r="K933" t="n">
        <v>0</v>
      </c>
      <c r="L933" t="n">
        <v>0</v>
      </c>
      <c r="M933" t="n">
        <v>0</v>
      </c>
      <c r="N933" t="n">
        <v>0</v>
      </c>
      <c r="O933" t="n">
        <v>0</v>
      </c>
      <c r="P933" t="n">
        <v>0</v>
      </c>
      <c r="Q933" t="n">
        <v>0</v>
      </c>
      <c r="R933" s="2" t="inlineStr"/>
    </row>
    <row r="934" ht="15" customHeight="1">
      <c r="A934" t="inlineStr">
        <is>
          <t>A 46751-2024</t>
        </is>
      </c>
      <c r="B934" s="1" t="n">
        <v>45583.48449074074</v>
      </c>
      <c r="C934" s="1" t="n">
        <v>46041</v>
      </c>
      <c r="D934" t="inlineStr">
        <is>
          <t>UPPSALA LÄN</t>
        </is>
      </c>
      <c r="E934" t="inlineStr">
        <is>
          <t>UPPSALA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46925-2024</t>
        </is>
      </c>
      <c r="B935" s="1" t="n">
        <v>45584.60038194444</v>
      </c>
      <c r="C935" s="1" t="n">
        <v>46041</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56564-2024</t>
        </is>
      </c>
      <c r="B936" s="1" t="n">
        <v>45625.58501157408</v>
      </c>
      <c r="C936" s="1" t="n">
        <v>46041</v>
      </c>
      <c r="D936" t="inlineStr">
        <is>
          <t>UPPSALA LÄN</t>
        </is>
      </c>
      <c r="E936" t="inlineStr">
        <is>
          <t>UPPSALA</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34520-2024</t>
        </is>
      </c>
      <c r="B937" s="1" t="n">
        <v>45525</v>
      </c>
      <c r="C937" s="1" t="n">
        <v>46041</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5876-2024</t>
        </is>
      </c>
      <c r="B938" s="1" t="n">
        <v>45335.66331018518</v>
      </c>
      <c r="C938" s="1" t="n">
        <v>46041</v>
      </c>
      <c r="D938" t="inlineStr">
        <is>
          <t>UPPSALA LÄN</t>
        </is>
      </c>
      <c r="E938" t="inlineStr">
        <is>
          <t>UPPSALA</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45885-2023</t>
        </is>
      </c>
      <c r="B939" s="1" t="n">
        <v>45195.64807870371</v>
      </c>
      <c r="C939" s="1" t="n">
        <v>46041</v>
      </c>
      <c r="D939" t="inlineStr">
        <is>
          <t>UPPSALA LÄN</t>
        </is>
      </c>
      <c r="E939" t="inlineStr">
        <is>
          <t>UPPSALA</t>
        </is>
      </c>
      <c r="G939" t="n">
        <v>6.5</v>
      </c>
      <c r="H939" t="n">
        <v>0</v>
      </c>
      <c r="I939" t="n">
        <v>0</v>
      </c>
      <c r="J939" t="n">
        <v>0</v>
      </c>
      <c r="K939" t="n">
        <v>0</v>
      </c>
      <c r="L939" t="n">
        <v>0</v>
      </c>
      <c r="M939" t="n">
        <v>0</v>
      </c>
      <c r="N939" t="n">
        <v>0</v>
      </c>
      <c r="O939" t="n">
        <v>0</v>
      </c>
      <c r="P939" t="n">
        <v>0</v>
      </c>
      <c r="Q939" t="n">
        <v>0</v>
      </c>
      <c r="R939" s="2" t="inlineStr"/>
    </row>
    <row r="940" ht="15" customHeight="1">
      <c r="A940" t="inlineStr">
        <is>
          <t>A 59098-2024</t>
        </is>
      </c>
      <c r="B940" s="1" t="n">
        <v>45636</v>
      </c>
      <c r="C940" s="1" t="n">
        <v>46041</v>
      </c>
      <c r="D940" t="inlineStr">
        <is>
          <t>UPPSALA LÄN</t>
        </is>
      </c>
      <c r="E940" t="inlineStr">
        <is>
          <t>UPPSALA</t>
        </is>
      </c>
      <c r="G940" t="n">
        <v>2.2</v>
      </c>
      <c r="H940" t="n">
        <v>0</v>
      </c>
      <c r="I940" t="n">
        <v>0</v>
      </c>
      <c r="J940" t="n">
        <v>0</v>
      </c>
      <c r="K940" t="n">
        <v>0</v>
      </c>
      <c r="L940" t="n">
        <v>0</v>
      </c>
      <c r="M940" t="n">
        <v>0</v>
      </c>
      <c r="N940" t="n">
        <v>0</v>
      </c>
      <c r="O940" t="n">
        <v>0</v>
      </c>
      <c r="P940" t="n">
        <v>0</v>
      </c>
      <c r="Q940" t="n">
        <v>0</v>
      </c>
      <c r="R940" s="2" t="inlineStr"/>
    </row>
    <row r="941" ht="15" customHeight="1">
      <c r="A941" t="inlineStr">
        <is>
          <t>A 14026-2021</t>
        </is>
      </c>
      <c r="B941" s="1" t="n">
        <v>44277.65650462963</v>
      </c>
      <c r="C941" s="1" t="n">
        <v>46041</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30319-2024</t>
        </is>
      </c>
      <c r="B942" s="1" t="n">
        <v>45490</v>
      </c>
      <c r="C942" s="1" t="n">
        <v>46041</v>
      </c>
      <c r="D942" t="inlineStr">
        <is>
          <t>UPPSALA LÄN</t>
        </is>
      </c>
      <c r="E942" t="inlineStr">
        <is>
          <t>UPPSALA</t>
        </is>
      </c>
      <c r="G942" t="n">
        <v>2.3</v>
      </c>
      <c r="H942" t="n">
        <v>0</v>
      </c>
      <c r="I942" t="n">
        <v>0</v>
      </c>
      <c r="J942" t="n">
        <v>0</v>
      </c>
      <c r="K942" t="n">
        <v>0</v>
      </c>
      <c r="L942" t="n">
        <v>0</v>
      </c>
      <c r="M942" t="n">
        <v>0</v>
      </c>
      <c r="N942" t="n">
        <v>0</v>
      </c>
      <c r="O942" t="n">
        <v>0</v>
      </c>
      <c r="P942" t="n">
        <v>0</v>
      </c>
      <c r="Q942" t="n">
        <v>0</v>
      </c>
      <c r="R942" s="2" t="inlineStr"/>
    </row>
    <row r="943" ht="15" customHeight="1">
      <c r="A943" t="inlineStr">
        <is>
          <t>A 20903-2024</t>
        </is>
      </c>
      <c r="B943" s="1" t="n">
        <v>45439</v>
      </c>
      <c r="C943" s="1" t="n">
        <v>46041</v>
      </c>
      <c r="D943" t="inlineStr">
        <is>
          <t>UPPSALA LÄN</t>
        </is>
      </c>
      <c r="E943" t="inlineStr">
        <is>
          <t>UPPSALA</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19539-2024</t>
        </is>
      </c>
      <c r="B944" s="1" t="n">
        <v>45429</v>
      </c>
      <c r="C944" s="1" t="n">
        <v>46041</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24284-2025</t>
        </is>
      </c>
      <c r="B945" s="1" t="n">
        <v>45797.45900462963</v>
      </c>
      <c r="C945" s="1" t="n">
        <v>46041</v>
      </c>
      <c r="D945" t="inlineStr">
        <is>
          <t>UPPSALA LÄN</t>
        </is>
      </c>
      <c r="E945" t="inlineStr">
        <is>
          <t>UPPSALA</t>
        </is>
      </c>
      <c r="F945" t="inlineStr">
        <is>
          <t>Holmen skog AB</t>
        </is>
      </c>
      <c r="G945" t="n">
        <v>12.7</v>
      </c>
      <c r="H945" t="n">
        <v>0</v>
      </c>
      <c r="I945" t="n">
        <v>0</v>
      </c>
      <c r="J945" t="n">
        <v>0</v>
      </c>
      <c r="K945" t="n">
        <v>0</v>
      </c>
      <c r="L945" t="n">
        <v>0</v>
      </c>
      <c r="M945" t="n">
        <v>0</v>
      </c>
      <c r="N945" t="n">
        <v>0</v>
      </c>
      <c r="O945" t="n">
        <v>0</v>
      </c>
      <c r="P945" t="n">
        <v>0</v>
      </c>
      <c r="Q945" t="n">
        <v>0</v>
      </c>
      <c r="R945" s="2" t="inlineStr"/>
    </row>
    <row r="946" ht="15" customHeight="1">
      <c r="A946" t="inlineStr">
        <is>
          <t>A 24525-2025</t>
        </is>
      </c>
      <c r="B946" s="1" t="n">
        <v>45798.42252314815</v>
      </c>
      <c r="C946" s="1" t="n">
        <v>46041</v>
      </c>
      <c r="D946" t="inlineStr">
        <is>
          <t>UPPSALA LÄN</t>
        </is>
      </c>
      <c r="E946" t="inlineStr">
        <is>
          <t>UPPSALA</t>
        </is>
      </c>
      <c r="G946" t="n">
        <v>3.2</v>
      </c>
      <c r="H946" t="n">
        <v>0</v>
      </c>
      <c r="I946" t="n">
        <v>0</v>
      </c>
      <c r="J946" t="n">
        <v>0</v>
      </c>
      <c r="K946" t="n">
        <v>0</v>
      </c>
      <c r="L946" t="n">
        <v>0</v>
      </c>
      <c r="M946" t="n">
        <v>0</v>
      </c>
      <c r="N946" t="n">
        <v>0</v>
      </c>
      <c r="O946" t="n">
        <v>0</v>
      </c>
      <c r="P946" t="n">
        <v>0</v>
      </c>
      <c r="Q946" t="n">
        <v>0</v>
      </c>
      <c r="R946" s="2" t="inlineStr"/>
    </row>
    <row r="947" ht="15" customHeight="1">
      <c r="A947" t="inlineStr">
        <is>
          <t>A 24268-2025</t>
        </is>
      </c>
      <c r="B947" s="1" t="n">
        <v>45797.42777777778</v>
      </c>
      <c r="C947" s="1" t="n">
        <v>46041</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6988-2025</t>
        </is>
      </c>
      <c r="B948" s="1" t="n">
        <v>45693</v>
      </c>
      <c r="C948" s="1" t="n">
        <v>46041</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24912-2025</t>
        </is>
      </c>
      <c r="B949" s="1" t="n">
        <v>45799.53803240741</v>
      </c>
      <c r="C949" s="1" t="n">
        <v>46041</v>
      </c>
      <c r="D949" t="inlineStr">
        <is>
          <t>UPPSALA LÄN</t>
        </is>
      </c>
      <c r="E949" t="inlineStr">
        <is>
          <t>UPPSALA</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24916-2025</t>
        </is>
      </c>
      <c r="B950" s="1" t="n">
        <v>45799.5421875</v>
      </c>
      <c r="C950" s="1" t="n">
        <v>46041</v>
      </c>
      <c r="D950" t="inlineStr">
        <is>
          <t>UPPSALA LÄN</t>
        </is>
      </c>
      <c r="E950" t="inlineStr">
        <is>
          <t>UPPSALA</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24961-2025</t>
        </is>
      </c>
      <c r="B951" s="1" t="n">
        <v>45799.57714120371</v>
      </c>
      <c r="C951" s="1" t="n">
        <v>46041</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25025-2025</t>
        </is>
      </c>
      <c r="B952" s="1" t="n">
        <v>45799.64877314815</v>
      </c>
      <c r="C952" s="1" t="n">
        <v>46041</v>
      </c>
      <c r="D952" t="inlineStr">
        <is>
          <t>UPPSALA LÄN</t>
        </is>
      </c>
      <c r="E952" t="inlineStr">
        <is>
          <t>UPPSALA</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12828-2025</t>
        </is>
      </c>
      <c r="B953" s="1" t="n">
        <v>45733.62903935185</v>
      </c>
      <c r="C953" s="1" t="n">
        <v>46041</v>
      </c>
      <c r="D953" t="inlineStr">
        <is>
          <t>UPPSALA LÄN</t>
        </is>
      </c>
      <c r="E953" t="inlineStr">
        <is>
          <t>UPPSALA</t>
        </is>
      </c>
      <c r="G953" t="n">
        <v>5.3</v>
      </c>
      <c r="H953" t="n">
        <v>0</v>
      </c>
      <c r="I953" t="n">
        <v>0</v>
      </c>
      <c r="J953" t="n">
        <v>0</v>
      </c>
      <c r="K953" t="n">
        <v>0</v>
      </c>
      <c r="L953" t="n">
        <v>0</v>
      </c>
      <c r="M953" t="n">
        <v>0</v>
      </c>
      <c r="N953" t="n">
        <v>0</v>
      </c>
      <c r="O953" t="n">
        <v>0</v>
      </c>
      <c r="P953" t="n">
        <v>0</v>
      </c>
      <c r="Q953" t="n">
        <v>0</v>
      </c>
      <c r="R953" s="2" t="inlineStr"/>
    </row>
    <row r="954" ht="15" customHeight="1">
      <c r="A954" t="inlineStr">
        <is>
          <t>A 24913-2025</t>
        </is>
      </c>
      <c r="B954" s="1" t="n">
        <v>45799.53947916667</v>
      </c>
      <c r="C954" s="1" t="n">
        <v>46041</v>
      </c>
      <c r="D954" t="inlineStr">
        <is>
          <t>UPPSALA LÄN</t>
        </is>
      </c>
      <c r="E954" t="inlineStr">
        <is>
          <t>UPPSALA</t>
        </is>
      </c>
      <c r="F954" t="inlineStr">
        <is>
          <t>Sveaskog</t>
        </is>
      </c>
      <c r="G954" t="n">
        <v>4.9</v>
      </c>
      <c r="H954" t="n">
        <v>0</v>
      </c>
      <c r="I954" t="n">
        <v>0</v>
      </c>
      <c r="J954" t="n">
        <v>0</v>
      </c>
      <c r="K954" t="n">
        <v>0</v>
      </c>
      <c r="L954" t="n">
        <v>0</v>
      </c>
      <c r="M954" t="n">
        <v>0</v>
      </c>
      <c r="N954" t="n">
        <v>0</v>
      </c>
      <c r="O954" t="n">
        <v>0</v>
      </c>
      <c r="P954" t="n">
        <v>0</v>
      </c>
      <c r="Q954" t="n">
        <v>0</v>
      </c>
      <c r="R954" s="2" t="inlineStr"/>
    </row>
    <row r="955" ht="15" customHeight="1">
      <c r="A955" t="inlineStr">
        <is>
          <t>A 24915-2025</t>
        </is>
      </c>
      <c r="B955" s="1" t="n">
        <v>45799.54104166666</v>
      </c>
      <c r="C955" s="1" t="n">
        <v>46041</v>
      </c>
      <c r="D955" t="inlineStr">
        <is>
          <t>UPPSALA LÄN</t>
        </is>
      </c>
      <c r="E955" t="inlineStr">
        <is>
          <t>UPPSALA</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13742-2025</t>
        </is>
      </c>
      <c r="B956" s="1" t="n">
        <v>45737.40503472222</v>
      </c>
      <c r="C956" s="1" t="n">
        <v>46041</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25026-2025</t>
        </is>
      </c>
      <c r="B957" s="1" t="n">
        <v>45799.65021990741</v>
      </c>
      <c r="C957" s="1" t="n">
        <v>46041</v>
      </c>
      <c r="D957" t="inlineStr">
        <is>
          <t>UPPSALA LÄN</t>
        </is>
      </c>
      <c r="E957" t="inlineStr">
        <is>
          <t>UPPSALA</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25030-2025</t>
        </is>
      </c>
      <c r="B958" s="1" t="n">
        <v>45799.6527199074</v>
      </c>
      <c r="C958" s="1" t="n">
        <v>46041</v>
      </c>
      <c r="D958" t="inlineStr">
        <is>
          <t>UPPSALA LÄN</t>
        </is>
      </c>
      <c r="E958" t="inlineStr">
        <is>
          <t>UPPSALA</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24794-2025</t>
        </is>
      </c>
      <c r="B959" s="1" t="n">
        <v>45799.43496527777</v>
      </c>
      <c r="C959" s="1" t="n">
        <v>46041</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25280-2023</t>
        </is>
      </c>
      <c r="B960" s="1" t="n">
        <v>45086.7037037037</v>
      </c>
      <c r="C960" s="1" t="n">
        <v>46041</v>
      </c>
      <c r="D960" t="inlineStr">
        <is>
          <t>UPPSALA LÄN</t>
        </is>
      </c>
      <c r="E960" t="inlineStr">
        <is>
          <t>UPPSALA</t>
        </is>
      </c>
      <c r="F960" t="inlineStr">
        <is>
          <t>Holmen skog AB</t>
        </is>
      </c>
      <c r="G960" t="n">
        <v>3.2</v>
      </c>
      <c r="H960" t="n">
        <v>0</v>
      </c>
      <c r="I960" t="n">
        <v>0</v>
      </c>
      <c r="J960" t="n">
        <v>0</v>
      </c>
      <c r="K960" t="n">
        <v>0</v>
      </c>
      <c r="L960" t="n">
        <v>0</v>
      </c>
      <c r="M960" t="n">
        <v>0</v>
      </c>
      <c r="N960" t="n">
        <v>0</v>
      </c>
      <c r="O960" t="n">
        <v>0</v>
      </c>
      <c r="P960" t="n">
        <v>0</v>
      </c>
      <c r="Q960" t="n">
        <v>0</v>
      </c>
      <c r="R960" s="2" t="inlineStr"/>
    </row>
    <row r="961" ht="15" customHeight="1">
      <c r="A961" t="inlineStr">
        <is>
          <t>A 15264-2025</t>
        </is>
      </c>
      <c r="B961" s="1" t="n">
        <v>45744</v>
      </c>
      <c r="C961" s="1" t="n">
        <v>46041</v>
      </c>
      <c r="D961" t="inlineStr">
        <is>
          <t>UPPSALA LÄN</t>
        </is>
      </c>
      <c r="E961" t="inlineStr">
        <is>
          <t>UPPSALA</t>
        </is>
      </c>
      <c r="G961" t="n">
        <v>3.5</v>
      </c>
      <c r="H961" t="n">
        <v>0</v>
      </c>
      <c r="I961" t="n">
        <v>0</v>
      </c>
      <c r="J961" t="n">
        <v>0</v>
      </c>
      <c r="K961" t="n">
        <v>0</v>
      </c>
      <c r="L961" t="n">
        <v>0</v>
      </c>
      <c r="M961" t="n">
        <v>0</v>
      </c>
      <c r="N961" t="n">
        <v>0</v>
      </c>
      <c r="O961" t="n">
        <v>0</v>
      </c>
      <c r="P961" t="n">
        <v>0</v>
      </c>
      <c r="Q961" t="n">
        <v>0</v>
      </c>
      <c r="R961" s="2" t="inlineStr"/>
    </row>
    <row r="962" ht="15" customHeight="1">
      <c r="A962" t="inlineStr">
        <is>
          <t>A 6628-2024</t>
        </is>
      </c>
      <c r="B962" s="1" t="n">
        <v>45341</v>
      </c>
      <c r="C962" s="1" t="n">
        <v>46041</v>
      </c>
      <c r="D962" t="inlineStr">
        <is>
          <t>UPPSALA LÄN</t>
        </is>
      </c>
      <c r="E962" t="inlineStr">
        <is>
          <t>UPPSALA</t>
        </is>
      </c>
      <c r="G962" t="n">
        <v>4.3</v>
      </c>
      <c r="H962" t="n">
        <v>0</v>
      </c>
      <c r="I962" t="n">
        <v>0</v>
      </c>
      <c r="J962" t="n">
        <v>0</v>
      </c>
      <c r="K962" t="n">
        <v>0</v>
      </c>
      <c r="L962" t="n">
        <v>0</v>
      </c>
      <c r="M962" t="n">
        <v>0</v>
      </c>
      <c r="N962" t="n">
        <v>0</v>
      </c>
      <c r="O962" t="n">
        <v>0</v>
      </c>
      <c r="P962" t="n">
        <v>0</v>
      </c>
      <c r="Q962" t="n">
        <v>0</v>
      </c>
      <c r="R962" s="2" t="inlineStr"/>
    </row>
    <row r="963" ht="15" customHeight="1">
      <c r="A963" t="inlineStr">
        <is>
          <t>A 52197-2024</t>
        </is>
      </c>
      <c r="B963" s="1" t="n">
        <v>45608</v>
      </c>
      <c r="C963" s="1" t="n">
        <v>46041</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25513-2025</t>
        </is>
      </c>
      <c r="B964" s="1" t="n">
        <v>45803.36384259259</v>
      </c>
      <c r="C964" s="1" t="n">
        <v>46041</v>
      </c>
      <c r="D964" t="inlineStr">
        <is>
          <t>UPPSALA LÄN</t>
        </is>
      </c>
      <c r="E964" t="inlineStr">
        <is>
          <t>UPPSALA</t>
        </is>
      </c>
      <c r="F964" t="inlineStr">
        <is>
          <t>Bergvik skog öst AB</t>
        </is>
      </c>
      <c r="G964" t="n">
        <v>8.9</v>
      </c>
      <c r="H964" t="n">
        <v>0</v>
      </c>
      <c r="I964" t="n">
        <v>0</v>
      </c>
      <c r="J964" t="n">
        <v>0</v>
      </c>
      <c r="K964" t="n">
        <v>0</v>
      </c>
      <c r="L964" t="n">
        <v>0</v>
      </c>
      <c r="M964" t="n">
        <v>0</v>
      </c>
      <c r="N964" t="n">
        <v>0</v>
      </c>
      <c r="O964" t="n">
        <v>0</v>
      </c>
      <c r="P964" t="n">
        <v>0</v>
      </c>
      <c r="Q964" t="n">
        <v>0</v>
      </c>
      <c r="R964" s="2" t="inlineStr"/>
    </row>
    <row r="965" ht="15" customHeight="1">
      <c r="A965" t="inlineStr">
        <is>
          <t>A 25674-2025</t>
        </is>
      </c>
      <c r="B965" s="1" t="n">
        <v>45803.63395833333</v>
      </c>
      <c r="C965" s="1" t="n">
        <v>46041</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26130-2025</t>
        </is>
      </c>
      <c r="B966" s="1" t="n">
        <v>45805.4094675926</v>
      </c>
      <c r="C966" s="1" t="n">
        <v>46041</v>
      </c>
      <c r="D966" t="inlineStr">
        <is>
          <t>UPPSALA LÄN</t>
        </is>
      </c>
      <c r="E966" t="inlineStr">
        <is>
          <t>UPPSALA</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26131-2025</t>
        </is>
      </c>
      <c r="B967" s="1" t="n">
        <v>45805.41010416667</v>
      </c>
      <c r="C967" s="1" t="n">
        <v>46041</v>
      </c>
      <c r="D967" t="inlineStr">
        <is>
          <t>UPPSALA LÄN</t>
        </is>
      </c>
      <c r="E967" t="inlineStr">
        <is>
          <t>UPPSALA</t>
        </is>
      </c>
      <c r="F967" t="inlineStr">
        <is>
          <t>Bergvik skog öst AB</t>
        </is>
      </c>
      <c r="G967" t="n">
        <v>3.8</v>
      </c>
      <c r="H967" t="n">
        <v>0</v>
      </c>
      <c r="I967" t="n">
        <v>0</v>
      </c>
      <c r="J967" t="n">
        <v>0</v>
      </c>
      <c r="K967" t="n">
        <v>0</v>
      </c>
      <c r="L967" t="n">
        <v>0</v>
      </c>
      <c r="M967" t="n">
        <v>0</v>
      </c>
      <c r="N967" t="n">
        <v>0</v>
      </c>
      <c r="O967" t="n">
        <v>0</v>
      </c>
      <c r="P967" t="n">
        <v>0</v>
      </c>
      <c r="Q967" t="n">
        <v>0</v>
      </c>
      <c r="R967" s="2" t="inlineStr"/>
    </row>
    <row r="968" ht="15" customHeight="1">
      <c r="A968" t="inlineStr">
        <is>
          <t>A 26139-2025</t>
        </is>
      </c>
      <c r="B968" s="1" t="n">
        <v>45805.41813657407</v>
      </c>
      <c r="C968" s="1" t="n">
        <v>46041</v>
      </c>
      <c r="D968" t="inlineStr">
        <is>
          <t>UPPSALA LÄN</t>
        </is>
      </c>
      <c r="E968" t="inlineStr">
        <is>
          <t>UPPSALA</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26155-2025</t>
        </is>
      </c>
      <c r="B969" s="1" t="n">
        <v>45805.43402777778</v>
      </c>
      <c r="C969" s="1" t="n">
        <v>46041</v>
      </c>
      <c r="D969" t="inlineStr">
        <is>
          <t>UPPSALA LÄN</t>
        </is>
      </c>
      <c r="E969" t="inlineStr">
        <is>
          <t>UPPSALA</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26141-2025</t>
        </is>
      </c>
      <c r="B970" s="1" t="n">
        <v>45805.4255787037</v>
      </c>
      <c r="C970" s="1" t="n">
        <v>46041</v>
      </c>
      <c r="D970" t="inlineStr">
        <is>
          <t>UPPSALA LÄN</t>
        </is>
      </c>
      <c r="E970" t="inlineStr">
        <is>
          <t>UPPSALA</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32127-2024</t>
        </is>
      </c>
      <c r="B971" s="1" t="n">
        <v>45511</v>
      </c>
      <c r="C971" s="1" t="n">
        <v>46041</v>
      </c>
      <c r="D971" t="inlineStr">
        <is>
          <t>UPPSALA LÄN</t>
        </is>
      </c>
      <c r="E971" t="inlineStr">
        <is>
          <t>UPPSALA</t>
        </is>
      </c>
      <c r="G971" t="n">
        <v>3.7</v>
      </c>
      <c r="H971" t="n">
        <v>0</v>
      </c>
      <c r="I971" t="n">
        <v>0</v>
      </c>
      <c r="J971" t="n">
        <v>0</v>
      </c>
      <c r="K971" t="n">
        <v>0</v>
      </c>
      <c r="L971" t="n">
        <v>0</v>
      </c>
      <c r="M971" t="n">
        <v>0</v>
      </c>
      <c r="N971" t="n">
        <v>0</v>
      </c>
      <c r="O971" t="n">
        <v>0</v>
      </c>
      <c r="P971" t="n">
        <v>0</v>
      </c>
      <c r="Q971" t="n">
        <v>0</v>
      </c>
      <c r="R971" s="2" t="inlineStr"/>
    </row>
    <row r="972" ht="15" customHeight="1">
      <c r="A972" t="inlineStr">
        <is>
          <t>A 26697-2025</t>
        </is>
      </c>
      <c r="B972" s="1" t="n">
        <v>45810.44339120371</v>
      </c>
      <c r="C972" s="1" t="n">
        <v>46041</v>
      </c>
      <c r="D972" t="inlineStr">
        <is>
          <t>UPPSALA LÄN</t>
        </is>
      </c>
      <c r="E972" t="inlineStr">
        <is>
          <t>UPPSALA</t>
        </is>
      </c>
      <c r="F972" t="inlineStr">
        <is>
          <t>Bergvik skog öst AB</t>
        </is>
      </c>
      <c r="G972" t="n">
        <v>2.8</v>
      </c>
      <c r="H972" t="n">
        <v>0</v>
      </c>
      <c r="I972" t="n">
        <v>0</v>
      </c>
      <c r="J972" t="n">
        <v>0</v>
      </c>
      <c r="K972" t="n">
        <v>0</v>
      </c>
      <c r="L972" t="n">
        <v>0</v>
      </c>
      <c r="M972" t="n">
        <v>0</v>
      </c>
      <c r="N972" t="n">
        <v>0</v>
      </c>
      <c r="O972" t="n">
        <v>0</v>
      </c>
      <c r="P972" t="n">
        <v>0</v>
      </c>
      <c r="Q972" t="n">
        <v>0</v>
      </c>
      <c r="R972" s="2" t="inlineStr"/>
    </row>
    <row r="973" ht="15" customHeight="1">
      <c r="A973" t="inlineStr">
        <is>
          <t>A 49996-2023</t>
        </is>
      </c>
      <c r="B973" s="1" t="n">
        <v>45215.44233796297</v>
      </c>
      <c r="C973" s="1" t="n">
        <v>46041</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26740-2025</t>
        </is>
      </c>
      <c r="B974" s="1" t="n">
        <v>45809</v>
      </c>
      <c r="C974" s="1" t="n">
        <v>46041</v>
      </c>
      <c r="D974" t="inlineStr">
        <is>
          <t>UPPSALA LÄN</t>
        </is>
      </c>
      <c r="E974" t="inlineStr">
        <is>
          <t>UPPSALA</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23494-2024</t>
        </is>
      </c>
      <c r="B975" s="1" t="n">
        <v>45453.69339120371</v>
      </c>
      <c r="C975" s="1" t="n">
        <v>46041</v>
      </c>
      <c r="D975" t="inlineStr">
        <is>
          <t>UPPSALA LÄN</t>
        </is>
      </c>
      <c r="E975" t="inlineStr">
        <is>
          <t>UPPSALA</t>
        </is>
      </c>
      <c r="F975" t="inlineStr">
        <is>
          <t>Kyrkan</t>
        </is>
      </c>
      <c r="G975" t="n">
        <v>0.8</v>
      </c>
      <c r="H975" t="n">
        <v>0</v>
      </c>
      <c r="I975" t="n">
        <v>0</v>
      </c>
      <c r="J975" t="n">
        <v>0</v>
      </c>
      <c r="K975" t="n">
        <v>0</v>
      </c>
      <c r="L975" t="n">
        <v>0</v>
      </c>
      <c r="M975" t="n">
        <v>0</v>
      </c>
      <c r="N975" t="n">
        <v>0</v>
      </c>
      <c r="O975" t="n">
        <v>0</v>
      </c>
      <c r="P975" t="n">
        <v>0</v>
      </c>
      <c r="Q975" t="n">
        <v>0</v>
      </c>
      <c r="R975" s="2" t="inlineStr"/>
    </row>
    <row r="976" ht="15" customHeight="1">
      <c r="A976" t="inlineStr">
        <is>
          <t>A 26696-2025</t>
        </is>
      </c>
      <c r="B976" s="1" t="n">
        <v>45810.44299768518</v>
      </c>
      <c r="C976" s="1" t="n">
        <v>46041</v>
      </c>
      <c r="D976" t="inlineStr">
        <is>
          <t>UPPSALA LÄN</t>
        </is>
      </c>
      <c r="E976" t="inlineStr">
        <is>
          <t>UPPSALA</t>
        </is>
      </c>
      <c r="F976" t="inlineStr">
        <is>
          <t>Bergvik skog öst AB</t>
        </is>
      </c>
      <c r="G976" t="n">
        <v>7.1</v>
      </c>
      <c r="H976" t="n">
        <v>0</v>
      </c>
      <c r="I976" t="n">
        <v>0</v>
      </c>
      <c r="J976" t="n">
        <v>0</v>
      </c>
      <c r="K976" t="n">
        <v>0</v>
      </c>
      <c r="L976" t="n">
        <v>0</v>
      </c>
      <c r="M976" t="n">
        <v>0</v>
      </c>
      <c r="N976" t="n">
        <v>0</v>
      </c>
      <c r="O976" t="n">
        <v>0</v>
      </c>
      <c r="P976" t="n">
        <v>0</v>
      </c>
      <c r="Q976" t="n">
        <v>0</v>
      </c>
      <c r="R976" s="2" t="inlineStr"/>
    </row>
    <row r="977" ht="15" customHeight="1">
      <c r="A977" t="inlineStr">
        <is>
          <t>A 26713-2025</t>
        </is>
      </c>
      <c r="B977" s="1" t="n">
        <v>45809</v>
      </c>
      <c r="C977" s="1" t="n">
        <v>46041</v>
      </c>
      <c r="D977" t="inlineStr">
        <is>
          <t>UPPSALA LÄN</t>
        </is>
      </c>
      <c r="E977" t="inlineStr">
        <is>
          <t>UPPSALA</t>
        </is>
      </c>
      <c r="G977" t="n">
        <v>3.8</v>
      </c>
      <c r="H977" t="n">
        <v>0</v>
      </c>
      <c r="I977" t="n">
        <v>0</v>
      </c>
      <c r="J977" t="n">
        <v>0</v>
      </c>
      <c r="K977" t="n">
        <v>0</v>
      </c>
      <c r="L977" t="n">
        <v>0</v>
      </c>
      <c r="M977" t="n">
        <v>0</v>
      </c>
      <c r="N977" t="n">
        <v>0</v>
      </c>
      <c r="O977" t="n">
        <v>0</v>
      </c>
      <c r="P977" t="n">
        <v>0</v>
      </c>
      <c r="Q977" t="n">
        <v>0</v>
      </c>
      <c r="R977" s="2" t="inlineStr"/>
    </row>
    <row r="978" ht="15" customHeight="1">
      <c r="A978" t="inlineStr">
        <is>
          <t>A 27265-2025</t>
        </is>
      </c>
      <c r="B978" s="1" t="n">
        <v>45812.48032407407</v>
      </c>
      <c r="C978" s="1" t="n">
        <v>46041</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10489-2025</t>
        </is>
      </c>
      <c r="B979" s="1" t="n">
        <v>45721.34715277778</v>
      </c>
      <c r="C979" s="1" t="n">
        <v>46041</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27917-2025</t>
        </is>
      </c>
      <c r="B980" s="1" t="n">
        <v>45814</v>
      </c>
      <c r="C980" s="1" t="n">
        <v>46041</v>
      </c>
      <c r="D980" t="inlineStr">
        <is>
          <t>UPPSALA LÄN</t>
        </is>
      </c>
      <c r="E980" t="inlineStr">
        <is>
          <t>UPPSALA</t>
        </is>
      </c>
      <c r="G980" t="n">
        <v>4</v>
      </c>
      <c r="H980" t="n">
        <v>0</v>
      </c>
      <c r="I980" t="n">
        <v>0</v>
      </c>
      <c r="J980" t="n">
        <v>0</v>
      </c>
      <c r="K980" t="n">
        <v>0</v>
      </c>
      <c r="L980" t="n">
        <v>0</v>
      </c>
      <c r="M980" t="n">
        <v>0</v>
      </c>
      <c r="N980" t="n">
        <v>0</v>
      </c>
      <c r="O980" t="n">
        <v>0</v>
      </c>
      <c r="P980" t="n">
        <v>0</v>
      </c>
      <c r="Q980" t="n">
        <v>0</v>
      </c>
      <c r="R980" s="2" t="inlineStr"/>
    </row>
    <row r="981" ht="15" customHeight="1">
      <c r="A981" t="inlineStr">
        <is>
          <t>A 27538-2025</t>
        </is>
      </c>
      <c r="B981" s="1" t="n">
        <v>45813.46034722222</v>
      </c>
      <c r="C981" s="1" t="n">
        <v>46041</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28275-2025</t>
        </is>
      </c>
      <c r="B982" s="1" t="n">
        <v>45818.57910879629</v>
      </c>
      <c r="C982" s="1" t="n">
        <v>46041</v>
      </c>
      <c r="D982" t="inlineStr">
        <is>
          <t>UPPSALA LÄN</t>
        </is>
      </c>
      <c r="E982" t="inlineStr">
        <is>
          <t>UPPSALA</t>
        </is>
      </c>
      <c r="F982" t="inlineStr">
        <is>
          <t>Holmen skog AB</t>
        </is>
      </c>
      <c r="G982" t="n">
        <v>6.5</v>
      </c>
      <c r="H982" t="n">
        <v>0</v>
      </c>
      <c r="I982" t="n">
        <v>0</v>
      </c>
      <c r="J982" t="n">
        <v>0</v>
      </c>
      <c r="K982" t="n">
        <v>0</v>
      </c>
      <c r="L982" t="n">
        <v>0</v>
      </c>
      <c r="M982" t="n">
        <v>0</v>
      </c>
      <c r="N982" t="n">
        <v>0</v>
      </c>
      <c r="O982" t="n">
        <v>0</v>
      </c>
      <c r="P982" t="n">
        <v>0</v>
      </c>
      <c r="Q982" t="n">
        <v>0</v>
      </c>
      <c r="R982" s="2" t="inlineStr"/>
    </row>
    <row r="983" ht="15" customHeight="1">
      <c r="A983" t="inlineStr">
        <is>
          <t>A 28121-2025</t>
        </is>
      </c>
      <c r="B983" s="1" t="n">
        <v>45817</v>
      </c>
      <c r="C983" s="1" t="n">
        <v>46041</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28871-2025</t>
        </is>
      </c>
      <c r="B984" s="1" t="n">
        <v>45820</v>
      </c>
      <c r="C984" s="1" t="n">
        <v>46041</v>
      </c>
      <c r="D984" t="inlineStr">
        <is>
          <t>UPPSALA LÄN</t>
        </is>
      </c>
      <c r="E984" t="inlineStr">
        <is>
          <t>UPPSALA</t>
        </is>
      </c>
      <c r="G984" t="n">
        <v>6.5</v>
      </c>
      <c r="H984" t="n">
        <v>0</v>
      </c>
      <c r="I984" t="n">
        <v>0</v>
      </c>
      <c r="J984" t="n">
        <v>0</v>
      </c>
      <c r="K984" t="n">
        <v>0</v>
      </c>
      <c r="L984" t="n">
        <v>0</v>
      </c>
      <c r="M984" t="n">
        <v>0</v>
      </c>
      <c r="N984" t="n">
        <v>0</v>
      </c>
      <c r="O984" t="n">
        <v>0</v>
      </c>
      <c r="P984" t="n">
        <v>0</v>
      </c>
      <c r="Q984" t="n">
        <v>0</v>
      </c>
      <c r="R984" s="2" t="inlineStr"/>
    </row>
    <row r="985" ht="15" customHeight="1">
      <c r="A985" t="inlineStr">
        <is>
          <t>A 28878-2025</t>
        </is>
      </c>
      <c r="B985" s="1" t="n">
        <v>45820</v>
      </c>
      <c r="C985" s="1" t="n">
        <v>46041</v>
      </c>
      <c r="D985" t="inlineStr">
        <is>
          <t>UPPSALA LÄN</t>
        </is>
      </c>
      <c r="E985" t="inlineStr">
        <is>
          <t>UPPSALA</t>
        </is>
      </c>
      <c r="G985" t="n">
        <v>5.5</v>
      </c>
      <c r="H985" t="n">
        <v>0</v>
      </c>
      <c r="I985" t="n">
        <v>0</v>
      </c>
      <c r="J985" t="n">
        <v>0</v>
      </c>
      <c r="K985" t="n">
        <v>0</v>
      </c>
      <c r="L985" t="n">
        <v>0</v>
      </c>
      <c r="M985" t="n">
        <v>0</v>
      </c>
      <c r="N985" t="n">
        <v>0</v>
      </c>
      <c r="O985" t="n">
        <v>0</v>
      </c>
      <c r="P985" t="n">
        <v>0</v>
      </c>
      <c r="Q985" t="n">
        <v>0</v>
      </c>
      <c r="R985" s="2" t="inlineStr"/>
    </row>
    <row r="986" ht="15" customHeight="1">
      <c r="A986" t="inlineStr">
        <is>
          <t>A 27922-2025</t>
        </is>
      </c>
      <c r="B986" s="1" t="n">
        <v>45817</v>
      </c>
      <c r="C986" s="1" t="n">
        <v>46041</v>
      </c>
      <c r="D986" t="inlineStr">
        <is>
          <t>UPPSALA LÄN</t>
        </is>
      </c>
      <c r="E986" t="inlineStr">
        <is>
          <t>UPPSALA</t>
        </is>
      </c>
      <c r="F986" t="inlineStr">
        <is>
          <t>Övriga Aktiebolag</t>
        </is>
      </c>
      <c r="G986" t="n">
        <v>0.1</v>
      </c>
      <c r="H986" t="n">
        <v>0</v>
      </c>
      <c r="I986" t="n">
        <v>0</v>
      </c>
      <c r="J986" t="n">
        <v>0</v>
      </c>
      <c r="K986" t="n">
        <v>0</v>
      </c>
      <c r="L986" t="n">
        <v>0</v>
      </c>
      <c r="M986" t="n">
        <v>0</v>
      </c>
      <c r="N986" t="n">
        <v>0</v>
      </c>
      <c r="O986" t="n">
        <v>0</v>
      </c>
      <c r="P986" t="n">
        <v>0</v>
      </c>
      <c r="Q986" t="n">
        <v>0</v>
      </c>
      <c r="R986" s="2" t="inlineStr"/>
    </row>
    <row r="987" ht="15" customHeight="1">
      <c r="A987" t="inlineStr">
        <is>
          <t>A 28876-2025</t>
        </is>
      </c>
      <c r="B987" s="1" t="n">
        <v>45820</v>
      </c>
      <c r="C987" s="1" t="n">
        <v>46041</v>
      </c>
      <c r="D987" t="inlineStr">
        <is>
          <t>UPPSALA LÄN</t>
        </is>
      </c>
      <c r="E987" t="inlineStr">
        <is>
          <t>UPPSALA</t>
        </is>
      </c>
      <c r="G987" t="n">
        <v>4</v>
      </c>
      <c r="H987" t="n">
        <v>0</v>
      </c>
      <c r="I987" t="n">
        <v>0</v>
      </c>
      <c r="J987" t="n">
        <v>0</v>
      </c>
      <c r="K987" t="n">
        <v>0</v>
      </c>
      <c r="L987" t="n">
        <v>0</v>
      </c>
      <c r="M987" t="n">
        <v>0</v>
      </c>
      <c r="N987" t="n">
        <v>0</v>
      </c>
      <c r="O987" t="n">
        <v>0</v>
      </c>
      <c r="P987" t="n">
        <v>0</v>
      </c>
      <c r="Q987" t="n">
        <v>0</v>
      </c>
      <c r="R987" s="2" t="inlineStr"/>
    </row>
    <row r="988" ht="15" customHeight="1">
      <c r="A988" t="inlineStr">
        <is>
          <t>A 29047-2025</t>
        </is>
      </c>
      <c r="B988" s="1" t="n">
        <v>45821.45905092593</v>
      </c>
      <c r="C988" s="1" t="n">
        <v>46041</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29287-2025</t>
        </is>
      </c>
      <c r="B989" s="1" t="n">
        <v>45824.43798611111</v>
      </c>
      <c r="C989" s="1" t="n">
        <v>46041</v>
      </c>
      <c r="D989" t="inlineStr">
        <is>
          <t>UPPSALA LÄN</t>
        </is>
      </c>
      <c r="E989" t="inlineStr">
        <is>
          <t>UPPSALA</t>
        </is>
      </c>
      <c r="F989" t="inlineStr">
        <is>
          <t>Kyrkan</t>
        </is>
      </c>
      <c r="G989" t="n">
        <v>5.2</v>
      </c>
      <c r="H989" t="n">
        <v>0</v>
      </c>
      <c r="I989" t="n">
        <v>0</v>
      </c>
      <c r="J989" t="n">
        <v>0</v>
      </c>
      <c r="K989" t="n">
        <v>0</v>
      </c>
      <c r="L989" t="n">
        <v>0</v>
      </c>
      <c r="M989" t="n">
        <v>0</v>
      </c>
      <c r="N989" t="n">
        <v>0</v>
      </c>
      <c r="O989" t="n">
        <v>0</v>
      </c>
      <c r="P989" t="n">
        <v>0</v>
      </c>
      <c r="Q989" t="n">
        <v>0</v>
      </c>
      <c r="R989" s="2" t="inlineStr"/>
    </row>
    <row r="990" ht="15" customHeight="1">
      <c r="A990" t="inlineStr">
        <is>
          <t>A 29030-2025</t>
        </is>
      </c>
      <c r="B990" s="1" t="n">
        <v>45821.44101851852</v>
      </c>
      <c r="C990" s="1" t="n">
        <v>46041</v>
      </c>
      <c r="D990" t="inlineStr">
        <is>
          <t>UPPSALA LÄN</t>
        </is>
      </c>
      <c r="E990" t="inlineStr">
        <is>
          <t>UPPSALA</t>
        </is>
      </c>
      <c r="G990" t="n">
        <v>3.9</v>
      </c>
      <c r="H990" t="n">
        <v>0</v>
      </c>
      <c r="I990" t="n">
        <v>0</v>
      </c>
      <c r="J990" t="n">
        <v>0</v>
      </c>
      <c r="K990" t="n">
        <v>0</v>
      </c>
      <c r="L990" t="n">
        <v>0</v>
      </c>
      <c r="M990" t="n">
        <v>0</v>
      </c>
      <c r="N990" t="n">
        <v>0</v>
      </c>
      <c r="O990" t="n">
        <v>0</v>
      </c>
      <c r="P990" t="n">
        <v>0</v>
      </c>
      <c r="Q990" t="n">
        <v>0</v>
      </c>
      <c r="R990" s="2" t="inlineStr"/>
    </row>
    <row r="991" ht="15" customHeight="1">
      <c r="A991" t="inlineStr">
        <is>
          <t>A 29627-2025</t>
        </is>
      </c>
      <c r="B991" s="1" t="n">
        <v>45825.44482638889</v>
      </c>
      <c r="C991" s="1" t="n">
        <v>46041</v>
      </c>
      <c r="D991" t="inlineStr">
        <is>
          <t>UPPSALA LÄN</t>
        </is>
      </c>
      <c r="E991" t="inlineStr">
        <is>
          <t>UPPSALA</t>
        </is>
      </c>
      <c r="F991" t="inlineStr">
        <is>
          <t>Kommuner</t>
        </is>
      </c>
      <c r="G991" t="n">
        <v>1.6</v>
      </c>
      <c r="H991" t="n">
        <v>0</v>
      </c>
      <c r="I991" t="n">
        <v>0</v>
      </c>
      <c r="J991" t="n">
        <v>0</v>
      </c>
      <c r="K991" t="n">
        <v>0</v>
      </c>
      <c r="L991" t="n">
        <v>0</v>
      </c>
      <c r="M991" t="n">
        <v>0</v>
      </c>
      <c r="N991" t="n">
        <v>0</v>
      </c>
      <c r="O991" t="n">
        <v>0</v>
      </c>
      <c r="P991" t="n">
        <v>0</v>
      </c>
      <c r="Q991" t="n">
        <v>0</v>
      </c>
      <c r="R991" s="2" t="inlineStr"/>
    </row>
    <row r="992" ht="15" customHeight="1">
      <c r="A992" t="inlineStr">
        <is>
          <t>A 30429-2025</t>
        </is>
      </c>
      <c r="B992" s="1" t="n">
        <v>45827.62096064815</v>
      </c>
      <c r="C992" s="1" t="n">
        <v>46041</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30437-2025</t>
        </is>
      </c>
      <c r="B993" s="1" t="n">
        <v>45827.64092592592</v>
      </c>
      <c r="C993" s="1" t="n">
        <v>46041</v>
      </c>
      <c r="D993" t="inlineStr">
        <is>
          <t>UPPSALA LÄN</t>
        </is>
      </c>
      <c r="E993" t="inlineStr">
        <is>
          <t>UPPSALA</t>
        </is>
      </c>
      <c r="G993" t="n">
        <v>3.6</v>
      </c>
      <c r="H993" t="n">
        <v>0</v>
      </c>
      <c r="I993" t="n">
        <v>0</v>
      </c>
      <c r="J993" t="n">
        <v>0</v>
      </c>
      <c r="K993" t="n">
        <v>0</v>
      </c>
      <c r="L993" t="n">
        <v>0</v>
      </c>
      <c r="M993" t="n">
        <v>0</v>
      </c>
      <c r="N993" t="n">
        <v>0</v>
      </c>
      <c r="O993" t="n">
        <v>0</v>
      </c>
      <c r="P993" t="n">
        <v>0</v>
      </c>
      <c r="Q993" t="n">
        <v>0</v>
      </c>
      <c r="R993" s="2" t="inlineStr"/>
    </row>
    <row r="994" ht="15" customHeight="1">
      <c r="A994" t="inlineStr">
        <is>
          <t>A 30282-2025</t>
        </is>
      </c>
      <c r="B994" s="1" t="n">
        <v>45827.46288194445</v>
      </c>
      <c r="C994" s="1" t="n">
        <v>46041</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30585-2025</t>
        </is>
      </c>
      <c r="B995" s="1" t="n">
        <v>45831.42616898148</v>
      </c>
      <c r="C995" s="1" t="n">
        <v>46041</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30839-2025</t>
        </is>
      </c>
      <c r="B996" s="1" t="n">
        <v>45831.73</v>
      </c>
      <c r="C996" s="1" t="n">
        <v>46041</v>
      </c>
      <c r="D996" t="inlineStr">
        <is>
          <t>UPPSALA LÄN</t>
        </is>
      </c>
      <c r="E996" t="inlineStr">
        <is>
          <t>UPPSALA</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30898-2025</t>
        </is>
      </c>
      <c r="B997" s="1" t="n">
        <v>45832.35590277778</v>
      </c>
      <c r="C997" s="1" t="n">
        <v>46041</v>
      </c>
      <c r="D997" t="inlineStr">
        <is>
          <t>UPPSALA LÄN</t>
        </is>
      </c>
      <c r="E997" t="inlineStr">
        <is>
          <t>UPPSALA</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30567-2025</t>
        </is>
      </c>
      <c r="B998" s="1" t="n">
        <v>45831.40671296296</v>
      </c>
      <c r="C998" s="1" t="n">
        <v>46041</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30897-2025</t>
        </is>
      </c>
      <c r="B999" s="1" t="n">
        <v>45832.35545138889</v>
      </c>
      <c r="C999" s="1" t="n">
        <v>46041</v>
      </c>
      <c r="D999" t="inlineStr">
        <is>
          <t>UPPSALA LÄN</t>
        </is>
      </c>
      <c r="E999" t="inlineStr">
        <is>
          <t>UPPSALA</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30838-2025</t>
        </is>
      </c>
      <c r="B1000" s="1" t="n">
        <v>45831.72686342592</v>
      </c>
      <c r="C1000" s="1" t="n">
        <v>46041</v>
      </c>
      <c r="D1000" t="inlineStr">
        <is>
          <t>UPPSALA LÄN</t>
        </is>
      </c>
      <c r="E1000" t="inlineStr">
        <is>
          <t>UPPSALA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32252-2025</t>
        </is>
      </c>
      <c r="B1001" s="1" t="n">
        <v>45835.62752314815</v>
      </c>
      <c r="C1001" s="1" t="n">
        <v>46041</v>
      </c>
      <c r="D1001" t="inlineStr">
        <is>
          <t>UPPSALA LÄN</t>
        </is>
      </c>
      <c r="E1001" t="inlineStr">
        <is>
          <t>UPPSALA</t>
        </is>
      </c>
      <c r="F1001" t="inlineStr">
        <is>
          <t>Kyrkan</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32711-2025</t>
        </is>
      </c>
      <c r="B1002" s="1" t="n">
        <v>45839</v>
      </c>
      <c r="C1002" s="1" t="n">
        <v>46041</v>
      </c>
      <c r="D1002" t="inlineStr">
        <is>
          <t>UPPSALA LÄN</t>
        </is>
      </c>
      <c r="E1002" t="inlineStr">
        <is>
          <t>UPPSALA</t>
        </is>
      </c>
      <c r="G1002" t="n">
        <v>0.8</v>
      </c>
      <c r="H1002" t="n">
        <v>0</v>
      </c>
      <c r="I1002" t="n">
        <v>0</v>
      </c>
      <c r="J1002" t="n">
        <v>0</v>
      </c>
      <c r="K1002" t="n">
        <v>0</v>
      </c>
      <c r="L1002" t="n">
        <v>0</v>
      </c>
      <c r="M1002" t="n">
        <v>0</v>
      </c>
      <c r="N1002" t="n">
        <v>0</v>
      </c>
      <c r="O1002" t="n">
        <v>0</v>
      </c>
      <c r="P1002" t="n">
        <v>0</v>
      </c>
      <c r="Q1002" t="n">
        <v>0</v>
      </c>
      <c r="R1002" s="2" t="inlineStr"/>
      <c r="U1002">
        <f>HYPERLINK("https://klasma.github.io/Logging_0380/knärot/A 32711-2025 karta knärot.png", "A 32711-2025")</f>
        <v/>
      </c>
      <c r="V1002">
        <f>HYPERLINK("https://klasma.github.io/Logging_0380/klagomål/A 32711-2025 FSC-klagomål.docx", "A 32711-2025")</f>
        <v/>
      </c>
      <c r="W1002">
        <f>HYPERLINK("https://klasma.github.io/Logging_0380/klagomålsmail/A 32711-2025 FSC-klagomål mail.docx", "A 32711-2025")</f>
        <v/>
      </c>
      <c r="X1002">
        <f>HYPERLINK("https://klasma.github.io/Logging_0380/tillsyn/A 32711-2025 tillsynsbegäran.docx", "A 32711-2025")</f>
        <v/>
      </c>
      <c r="Y1002">
        <f>HYPERLINK("https://klasma.github.io/Logging_0380/tillsynsmail/A 32711-2025 tillsynsbegäran mail.docx", "A 32711-2025")</f>
        <v/>
      </c>
    </row>
    <row r="1003" ht="15" customHeight="1">
      <c r="A1003" t="inlineStr">
        <is>
          <t>A 32923-2025</t>
        </is>
      </c>
      <c r="B1003" s="1" t="n">
        <v>45839</v>
      </c>
      <c r="C1003" s="1" t="n">
        <v>46041</v>
      </c>
      <c r="D1003" t="inlineStr">
        <is>
          <t>UPPSALA LÄN</t>
        </is>
      </c>
      <c r="E1003" t="inlineStr">
        <is>
          <t>UPPSALA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28958-2025</t>
        </is>
      </c>
      <c r="B1004" s="1" t="n">
        <v>45821.31292824074</v>
      </c>
      <c r="C1004" s="1" t="n">
        <v>46041</v>
      </c>
      <c r="D1004" t="inlineStr">
        <is>
          <t>UPPSALA LÄN</t>
        </is>
      </c>
      <c r="E1004" t="inlineStr">
        <is>
          <t>UPPSALA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33261-2025</t>
        </is>
      </c>
      <c r="B1005" s="1" t="n">
        <v>45840</v>
      </c>
      <c r="C1005" s="1" t="n">
        <v>46041</v>
      </c>
      <c r="D1005" t="inlineStr">
        <is>
          <t>UPPSALA LÄN</t>
        </is>
      </c>
      <c r="E1005" t="inlineStr">
        <is>
          <t>UPPSALA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33571-2025</t>
        </is>
      </c>
      <c r="B1006" s="1" t="n">
        <v>45841.5847337963</v>
      </c>
      <c r="C1006" s="1" t="n">
        <v>46041</v>
      </c>
      <c r="D1006" t="inlineStr">
        <is>
          <t>UPPSALA LÄN</t>
        </is>
      </c>
      <c r="E1006" t="inlineStr">
        <is>
          <t>UPPSALA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33964-2025</t>
        </is>
      </c>
      <c r="B1007" s="1" t="n">
        <v>45842.74049768518</v>
      </c>
      <c r="C1007" s="1" t="n">
        <v>46041</v>
      </c>
      <c r="D1007" t="inlineStr">
        <is>
          <t>UPPSALA LÄN</t>
        </is>
      </c>
      <c r="E1007" t="inlineStr">
        <is>
          <t>UPPSALA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3314-2025</t>
        </is>
      </c>
      <c r="B1008" s="1" t="n">
        <v>45679</v>
      </c>
      <c r="C1008" s="1" t="n">
        <v>46041</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18625-2025</t>
        </is>
      </c>
      <c r="B1009" s="1" t="n">
        <v>45763.52744212963</v>
      </c>
      <c r="C1009" s="1" t="n">
        <v>46041</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36478-2023</t>
        </is>
      </c>
      <c r="B1010" s="1" t="n">
        <v>45152</v>
      </c>
      <c r="C1010" s="1" t="n">
        <v>46041</v>
      </c>
      <c r="D1010" t="inlineStr">
        <is>
          <t>UPPSALA LÄN</t>
        </is>
      </c>
      <c r="E1010" t="inlineStr">
        <is>
          <t>UPPSALA</t>
        </is>
      </c>
      <c r="F1010" t="inlineStr">
        <is>
          <t>Allmännings- och besparingsskogar</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34132-2025</t>
        </is>
      </c>
      <c r="B1011" s="1" t="n">
        <v>45845.53202546296</v>
      </c>
      <c r="C1011" s="1" t="n">
        <v>46041</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35014-2025</t>
        </is>
      </c>
      <c r="B1012" s="1" t="n">
        <v>45851.60097222222</v>
      </c>
      <c r="C1012" s="1" t="n">
        <v>46041</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35015-2025</t>
        </is>
      </c>
      <c r="B1013" s="1" t="n">
        <v>45851.62018518519</v>
      </c>
      <c r="C1013" s="1" t="n">
        <v>46041</v>
      </c>
      <c r="D1013" t="inlineStr">
        <is>
          <t>UPPSALA LÄN</t>
        </is>
      </c>
      <c r="E1013" t="inlineStr">
        <is>
          <t>UPPSALA</t>
        </is>
      </c>
      <c r="F1013" t="inlineStr">
        <is>
          <t>Bergvik skog öst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60820-2024</t>
        </is>
      </c>
      <c r="B1014" s="1" t="n">
        <v>45644.62677083333</v>
      </c>
      <c r="C1014" s="1" t="n">
        <v>46041</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18675-2024</t>
        </is>
      </c>
      <c r="B1015" s="1" t="n">
        <v>45426</v>
      </c>
      <c r="C1015" s="1" t="n">
        <v>46041</v>
      </c>
      <c r="D1015" t="inlineStr">
        <is>
          <t>UPPSALA LÄN</t>
        </is>
      </c>
      <c r="E1015" t="inlineStr">
        <is>
          <t>UPPSALA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34893-2025</t>
        </is>
      </c>
      <c r="B1016" s="1" t="n">
        <v>45849.49259259259</v>
      </c>
      <c r="C1016" s="1" t="n">
        <v>46041</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35148-2025</t>
        </is>
      </c>
      <c r="B1017" s="1" t="n">
        <v>45852.67366898148</v>
      </c>
      <c r="C1017" s="1" t="n">
        <v>46041</v>
      </c>
      <c r="D1017" t="inlineStr">
        <is>
          <t>UPPSALA LÄN</t>
        </is>
      </c>
      <c r="E1017" t="inlineStr">
        <is>
          <t>UPPSALA</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35056-2025</t>
        </is>
      </c>
      <c r="B1018" s="1" t="n">
        <v>45852.39642361111</v>
      </c>
      <c r="C1018" s="1" t="n">
        <v>46041</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35053-2025</t>
        </is>
      </c>
      <c r="B1019" s="1" t="n">
        <v>45852.36871527778</v>
      </c>
      <c r="C1019" s="1" t="n">
        <v>46041</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35155-2025</t>
        </is>
      </c>
      <c r="B1020" s="1" t="n">
        <v>45852.68978009259</v>
      </c>
      <c r="C1020" s="1" t="n">
        <v>46041</v>
      </c>
      <c r="D1020" t="inlineStr">
        <is>
          <t>UPPSALA LÄN</t>
        </is>
      </c>
      <c r="E1020" t="inlineStr">
        <is>
          <t>UPPSALA</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35150-2025</t>
        </is>
      </c>
      <c r="B1021" s="1" t="n">
        <v>45852</v>
      </c>
      <c r="C1021" s="1" t="n">
        <v>46041</v>
      </c>
      <c r="D1021" t="inlineStr">
        <is>
          <t>UPPSALA LÄN</t>
        </is>
      </c>
      <c r="E1021" t="inlineStr">
        <is>
          <t>UPPSALA</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35167-2025</t>
        </is>
      </c>
      <c r="B1022" s="1" t="n">
        <v>45852.72965277778</v>
      </c>
      <c r="C1022" s="1" t="n">
        <v>46041</v>
      </c>
      <c r="D1022" t="inlineStr">
        <is>
          <t>UPPSALA LÄN</t>
        </is>
      </c>
      <c r="E1022" t="inlineStr">
        <is>
          <t>UPPSALA</t>
        </is>
      </c>
      <c r="F1022" t="inlineStr">
        <is>
          <t>Holmen skog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35305-2025</t>
        </is>
      </c>
      <c r="B1023" s="1" t="n">
        <v>45854.44017361111</v>
      </c>
      <c r="C1023" s="1" t="n">
        <v>46041</v>
      </c>
      <c r="D1023" t="inlineStr">
        <is>
          <t>UPPSALA LÄN</t>
        </is>
      </c>
      <c r="E1023" t="inlineStr">
        <is>
          <t>UPPSALA</t>
        </is>
      </c>
      <c r="F1023" t="inlineStr">
        <is>
          <t>Holmen skog AB</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35509-2025</t>
        </is>
      </c>
      <c r="B1024" s="1" t="n">
        <v>45856.34959490741</v>
      </c>
      <c r="C1024" s="1" t="n">
        <v>46041</v>
      </c>
      <c r="D1024" t="inlineStr">
        <is>
          <t>UPPSALA LÄN</t>
        </is>
      </c>
      <c r="E1024" t="inlineStr">
        <is>
          <t>UPPSALA</t>
        </is>
      </c>
      <c r="F1024" t="inlineStr">
        <is>
          <t>Bergvik skog öst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35510-2025</t>
        </is>
      </c>
      <c r="B1025" s="1" t="n">
        <v>45856</v>
      </c>
      <c r="C1025" s="1" t="n">
        <v>46041</v>
      </c>
      <c r="D1025" t="inlineStr">
        <is>
          <t>UPPSALA LÄN</t>
        </is>
      </c>
      <c r="E1025" t="inlineStr">
        <is>
          <t>UPPSALA</t>
        </is>
      </c>
      <c r="F1025" t="inlineStr">
        <is>
          <t>Bergvik skog öst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35504-2025</t>
        </is>
      </c>
      <c r="B1026" s="1" t="n">
        <v>45856.34034722222</v>
      </c>
      <c r="C1026" s="1" t="n">
        <v>46041</v>
      </c>
      <c r="D1026" t="inlineStr">
        <is>
          <t>UPPSALA LÄN</t>
        </is>
      </c>
      <c r="E1026" t="inlineStr">
        <is>
          <t>UPPSALA</t>
        </is>
      </c>
      <c r="F1026" t="inlineStr">
        <is>
          <t>Bergvik skog öst AB</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35505-2025</t>
        </is>
      </c>
      <c r="B1027" s="1" t="n">
        <v>45856.34231481481</v>
      </c>
      <c r="C1027" s="1" t="n">
        <v>46041</v>
      </c>
      <c r="D1027" t="inlineStr">
        <is>
          <t>UPPSALA LÄN</t>
        </is>
      </c>
      <c r="E1027" t="inlineStr">
        <is>
          <t>UPPSALA</t>
        </is>
      </c>
      <c r="F1027" t="inlineStr">
        <is>
          <t>Bergvik skog öst AB</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32475-2025</t>
        </is>
      </c>
      <c r="B1028" s="1" t="n">
        <v>45838</v>
      </c>
      <c r="C1028" s="1" t="n">
        <v>46041</v>
      </c>
      <c r="D1028" t="inlineStr">
        <is>
          <t>UPPSALA LÄN</t>
        </is>
      </c>
      <c r="E1028" t="inlineStr">
        <is>
          <t>UPPSALA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32484-2025</t>
        </is>
      </c>
      <c r="B1029" s="1" t="n">
        <v>45838</v>
      </c>
      <c r="C1029" s="1" t="n">
        <v>46041</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7727-2024</t>
        </is>
      </c>
      <c r="B1030" s="1" t="n">
        <v>45349</v>
      </c>
      <c r="C1030" s="1" t="n">
        <v>46041</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35978-2025</t>
        </is>
      </c>
      <c r="B1031" s="1" t="n">
        <v>45863.44648148148</v>
      </c>
      <c r="C1031" s="1" t="n">
        <v>46041</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c r="A1032" t="inlineStr">
        <is>
          <t>A 35984-2025</t>
        </is>
      </c>
      <c r="B1032" s="1" t="n">
        <v>45863.45355324074</v>
      </c>
      <c r="C1032" s="1" t="n">
        <v>46041</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2026-01-19T11:02:17Z</dcterms:created>
  <dcterms:modified xmlns:dcterms="http://purl.org/dc/terms/" xmlns:xsi="http://www.w3.org/2001/XMLSchema-instance" xsi:type="dcterms:W3CDTF">2026-01-19T11:02:18Z</dcterms:modified>
</cp:coreProperties>
</file>