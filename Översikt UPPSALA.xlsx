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45640</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45640</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45640</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45640</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45640</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45640</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45640</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45640</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45640</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45640</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45640</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45640</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45640</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45640</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45640</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45640</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45640</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45640</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45640</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45640</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45640</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45640</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45640</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45640</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45640</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45640</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45640</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45640</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45640</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45640</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45640</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45640</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45640</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45640</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45640</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45640</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45640</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45640</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45640</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45640</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45640</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45640</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45640</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45640</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45640</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45640</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45640</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45640</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45640</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45640</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45640</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45640</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45640</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45640</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45640</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45640</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45640</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45640</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45640</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45640</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45640</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45640</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45640</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45640</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45640</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45640</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45640</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45640</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45640</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45640</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45640</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45640</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45640</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45640</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45640</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45640</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45640</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45640</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45640</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45640</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45640</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45640</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45640</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45640</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45640</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45640</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45640</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45640</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45640</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45640</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45640</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45640</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45640</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45640</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45640</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45640</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45640</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45640</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45640</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45640</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45640</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45640</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45640</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45640</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45640</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45640</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45640</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45640</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45640</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45640</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45640</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45640</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45640</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45640</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45640</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45640</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45640</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45640</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45640</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45640</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45640</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45640</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45640</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45640</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45640</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45640</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45640</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45640</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45640</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45640</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45640</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45640</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45640</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45640</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45640</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45640</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45640</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45640</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45640</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45640</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45640</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45640</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45640</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45640</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45640</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45640</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45640</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45640</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45640</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45640</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45640</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45640</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45640</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45640</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45640</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45640</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45640</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45640</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45640</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45640</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45640</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45640</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45640</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45640</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45640</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45640</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59588-2024</t>
        </is>
      </c>
      <c r="B181" s="1" t="n">
        <v>45638</v>
      </c>
      <c r="C181" s="1" t="n">
        <v>45640</v>
      </c>
      <c r="D181" t="inlineStr">
        <is>
          <t>UPPSALA LÄN</t>
        </is>
      </c>
      <c r="E181" t="inlineStr">
        <is>
          <t>UPPSALA</t>
        </is>
      </c>
      <c r="G181" t="n">
        <v>3.4</v>
      </c>
      <c r="H181" t="n">
        <v>1</v>
      </c>
      <c r="I181" t="n">
        <v>0</v>
      </c>
      <c r="J181" t="n">
        <v>0</v>
      </c>
      <c r="K181" t="n">
        <v>1</v>
      </c>
      <c r="L181" t="n">
        <v>0</v>
      </c>
      <c r="M181" t="n">
        <v>0</v>
      </c>
      <c r="N181" t="n">
        <v>0</v>
      </c>
      <c r="O181" t="n">
        <v>1</v>
      </c>
      <c r="P181" t="n">
        <v>1</v>
      </c>
      <c r="Q181" t="n">
        <v>1</v>
      </c>
      <c r="R181" s="2" t="inlineStr">
        <is>
          <t>Knärot</t>
        </is>
      </c>
      <c r="S181">
        <f>HYPERLINK("https://klasma.github.io/Logging_0380/artfynd/A 59588-2024 artfynd.xlsx", "A 59588-2024")</f>
        <v/>
      </c>
      <c r="T181">
        <f>HYPERLINK("https://klasma.github.io/Logging_0380/kartor/A 59588-2024 karta.png", "A 59588-2024")</f>
        <v/>
      </c>
      <c r="U181">
        <f>HYPERLINK("https://klasma.github.io/Logging_0380/knärot/A 59588-2024 karta knärot.png", "A 59588-2024")</f>
        <v/>
      </c>
      <c r="V181">
        <f>HYPERLINK("https://klasma.github.io/Logging_0380/klagomål/A 59588-2024 FSC-klagomål.docx", "A 59588-2024")</f>
        <v/>
      </c>
      <c r="W181">
        <f>HYPERLINK("https://klasma.github.io/Logging_0380/klagomålsmail/A 59588-2024 FSC-klagomål mail.docx", "A 59588-2024")</f>
        <v/>
      </c>
      <c r="X181">
        <f>HYPERLINK("https://klasma.github.io/Logging_0380/tillsyn/A 59588-2024 tillsynsbegäran.docx", "A 59588-2024")</f>
        <v/>
      </c>
      <c r="Y181">
        <f>HYPERLINK("https://klasma.github.io/Logging_0380/tillsynsmail/A 59588-2024 tillsynsbegäran mail.docx", "A 59588-2024")</f>
        <v/>
      </c>
    </row>
    <row r="182" ht="15" customHeight="1">
      <c r="A182" t="inlineStr">
        <is>
          <t>A 17828-2019</t>
        </is>
      </c>
      <c r="B182" s="1" t="n">
        <v>43556</v>
      </c>
      <c r="C182" s="1" t="n">
        <v>45640</v>
      </c>
      <c r="D182" t="inlineStr">
        <is>
          <t>UPPSALA LÄN</t>
        </is>
      </c>
      <c r="E182" t="inlineStr">
        <is>
          <t>UPPSALA</t>
        </is>
      </c>
      <c r="G182" t="n">
        <v>2.8</v>
      </c>
      <c r="H182" t="n">
        <v>0</v>
      </c>
      <c r="I182" t="n">
        <v>0</v>
      </c>
      <c r="J182" t="n">
        <v>0</v>
      </c>
      <c r="K182" t="n">
        <v>0</v>
      </c>
      <c r="L182" t="n">
        <v>0</v>
      </c>
      <c r="M182" t="n">
        <v>0</v>
      </c>
      <c r="N182" t="n">
        <v>0</v>
      </c>
      <c r="O182" t="n">
        <v>0</v>
      </c>
      <c r="P182" t="n">
        <v>0</v>
      </c>
      <c r="Q182" t="n">
        <v>0</v>
      </c>
      <c r="R182" s="2" t="inlineStr"/>
    </row>
    <row r="183" ht="15" customHeight="1">
      <c r="A183" t="inlineStr">
        <is>
          <t>A 18446-2019</t>
        </is>
      </c>
      <c r="B183" s="1" t="n">
        <v>43559</v>
      </c>
      <c r="C183" s="1" t="n">
        <v>45640</v>
      </c>
      <c r="D183" t="inlineStr">
        <is>
          <t>UPPSALA LÄN</t>
        </is>
      </c>
      <c r="E183" t="inlineStr">
        <is>
          <t>UPPSALA</t>
        </is>
      </c>
      <c r="G183" t="n">
        <v>9.1</v>
      </c>
      <c r="H183" t="n">
        <v>0</v>
      </c>
      <c r="I183" t="n">
        <v>0</v>
      </c>
      <c r="J183" t="n">
        <v>0</v>
      </c>
      <c r="K183" t="n">
        <v>0</v>
      </c>
      <c r="L183" t="n">
        <v>0</v>
      </c>
      <c r="M183" t="n">
        <v>0</v>
      </c>
      <c r="N183" t="n">
        <v>0</v>
      </c>
      <c r="O183" t="n">
        <v>0</v>
      </c>
      <c r="P183" t="n">
        <v>0</v>
      </c>
      <c r="Q183" t="n">
        <v>0</v>
      </c>
      <c r="R183" s="2" t="inlineStr"/>
    </row>
    <row r="184" ht="15" customHeight="1">
      <c r="A184" t="inlineStr">
        <is>
          <t>A 18554-2019</t>
        </is>
      </c>
      <c r="B184" s="1" t="n">
        <v>43559</v>
      </c>
      <c r="C184" s="1" t="n">
        <v>45640</v>
      </c>
      <c r="D184" t="inlineStr">
        <is>
          <t>UPPSALA LÄN</t>
        </is>
      </c>
      <c r="E184" t="inlineStr">
        <is>
          <t>UPPSALA</t>
        </is>
      </c>
      <c r="G184" t="n">
        <v>5.6</v>
      </c>
      <c r="H184" t="n">
        <v>0</v>
      </c>
      <c r="I184" t="n">
        <v>0</v>
      </c>
      <c r="J184" t="n">
        <v>0</v>
      </c>
      <c r="K184" t="n">
        <v>0</v>
      </c>
      <c r="L184" t="n">
        <v>0</v>
      </c>
      <c r="M184" t="n">
        <v>0</v>
      </c>
      <c r="N184" t="n">
        <v>0</v>
      </c>
      <c r="O184" t="n">
        <v>0</v>
      </c>
      <c r="P184" t="n">
        <v>0</v>
      </c>
      <c r="Q184" t="n">
        <v>0</v>
      </c>
      <c r="R184" s="2" t="inlineStr"/>
    </row>
    <row r="185" ht="15" customHeight="1">
      <c r="A185" t="inlineStr">
        <is>
          <t>A 18810-2019</t>
        </is>
      </c>
      <c r="B185" s="1" t="n">
        <v>43560</v>
      </c>
      <c r="C185" s="1" t="n">
        <v>45640</v>
      </c>
      <c r="D185" t="inlineStr">
        <is>
          <t>UPPSALA LÄN</t>
        </is>
      </c>
      <c r="E185" t="inlineStr">
        <is>
          <t>UPPSALA</t>
        </is>
      </c>
      <c r="G185" t="n">
        <v>4</v>
      </c>
      <c r="H185" t="n">
        <v>0</v>
      </c>
      <c r="I185" t="n">
        <v>0</v>
      </c>
      <c r="J185" t="n">
        <v>0</v>
      </c>
      <c r="K185" t="n">
        <v>0</v>
      </c>
      <c r="L185" t="n">
        <v>0</v>
      </c>
      <c r="M185" t="n">
        <v>0</v>
      </c>
      <c r="N185" t="n">
        <v>0</v>
      </c>
      <c r="O185" t="n">
        <v>0</v>
      </c>
      <c r="P185" t="n">
        <v>0</v>
      </c>
      <c r="Q185" t="n">
        <v>0</v>
      </c>
      <c r="R185" s="2" t="inlineStr"/>
    </row>
    <row r="186" ht="15" customHeight="1">
      <c r="A186" t="inlineStr">
        <is>
          <t>A 20011-2019</t>
        </is>
      </c>
      <c r="B186" s="1" t="n">
        <v>43570</v>
      </c>
      <c r="C186" s="1" t="n">
        <v>45640</v>
      </c>
      <c r="D186" t="inlineStr">
        <is>
          <t>UPPSALA LÄN</t>
        </is>
      </c>
      <c r="E186" t="inlineStr">
        <is>
          <t>UPPSALA</t>
        </is>
      </c>
      <c r="G186" t="n">
        <v>6.3</v>
      </c>
      <c r="H186" t="n">
        <v>0</v>
      </c>
      <c r="I186" t="n">
        <v>0</v>
      </c>
      <c r="J186" t="n">
        <v>0</v>
      </c>
      <c r="K186" t="n">
        <v>0</v>
      </c>
      <c r="L186" t="n">
        <v>0</v>
      </c>
      <c r="M186" t="n">
        <v>0</v>
      </c>
      <c r="N186" t="n">
        <v>0</v>
      </c>
      <c r="O186" t="n">
        <v>0</v>
      </c>
      <c r="P186" t="n">
        <v>0</v>
      </c>
      <c r="Q186" t="n">
        <v>0</v>
      </c>
      <c r="R186" s="2" t="inlineStr"/>
    </row>
    <row r="187" ht="15" customHeight="1">
      <c r="A187" t="inlineStr">
        <is>
          <t>A 21087-2019</t>
        </is>
      </c>
      <c r="B187" s="1" t="n">
        <v>43578</v>
      </c>
      <c r="C187" s="1" t="n">
        <v>45640</v>
      </c>
      <c r="D187" t="inlineStr">
        <is>
          <t>UPPSALA LÄN</t>
        </is>
      </c>
      <c r="E187" t="inlineStr">
        <is>
          <t>UPPSALA</t>
        </is>
      </c>
      <c r="G187" t="n">
        <v>1.8</v>
      </c>
      <c r="H187" t="n">
        <v>0</v>
      </c>
      <c r="I187" t="n">
        <v>0</v>
      </c>
      <c r="J187" t="n">
        <v>0</v>
      </c>
      <c r="K187" t="n">
        <v>0</v>
      </c>
      <c r="L187" t="n">
        <v>0</v>
      </c>
      <c r="M187" t="n">
        <v>0</v>
      </c>
      <c r="N187" t="n">
        <v>0</v>
      </c>
      <c r="O187" t="n">
        <v>0</v>
      </c>
      <c r="P187" t="n">
        <v>0</v>
      </c>
      <c r="Q187" t="n">
        <v>0</v>
      </c>
      <c r="R187" s="2" t="inlineStr"/>
    </row>
    <row r="188" ht="15" customHeight="1">
      <c r="A188" t="inlineStr">
        <is>
          <t>A 21082-2019</t>
        </is>
      </c>
      <c r="B188" s="1" t="n">
        <v>43578</v>
      </c>
      <c r="C188" s="1" t="n">
        <v>45640</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21862-2019</t>
        </is>
      </c>
      <c r="B189" s="1" t="n">
        <v>43583</v>
      </c>
      <c r="C189" s="1" t="n">
        <v>45640</v>
      </c>
      <c r="D189" t="inlineStr">
        <is>
          <t>UPPSALA LÄN</t>
        </is>
      </c>
      <c r="E189" t="inlineStr">
        <is>
          <t>UPPSALA</t>
        </is>
      </c>
      <c r="G189" t="n">
        <v>9.5</v>
      </c>
      <c r="H189" t="n">
        <v>0</v>
      </c>
      <c r="I189" t="n">
        <v>0</v>
      </c>
      <c r="J189" t="n">
        <v>0</v>
      </c>
      <c r="K189" t="n">
        <v>0</v>
      </c>
      <c r="L189" t="n">
        <v>0</v>
      </c>
      <c r="M189" t="n">
        <v>0</v>
      </c>
      <c r="N189" t="n">
        <v>0</v>
      </c>
      <c r="O189" t="n">
        <v>0</v>
      </c>
      <c r="P189" t="n">
        <v>0</v>
      </c>
      <c r="Q189" t="n">
        <v>0</v>
      </c>
      <c r="R189" s="2" t="inlineStr"/>
    </row>
    <row r="190" ht="15" customHeight="1">
      <c r="A190" t="inlineStr">
        <is>
          <t>A 22153-2019</t>
        </is>
      </c>
      <c r="B190" s="1" t="n">
        <v>43585</v>
      </c>
      <c r="C190" s="1" t="n">
        <v>45640</v>
      </c>
      <c r="D190" t="inlineStr">
        <is>
          <t>UPPSALA LÄN</t>
        </is>
      </c>
      <c r="E190" t="inlineStr">
        <is>
          <t>UPPSALA</t>
        </is>
      </c>
      <c r="F190" t="inlineStr">
        <is>
          <t>Holmen skog AB</t>
        </is>
      </c>
      <c r="G190" t="n">
        <v>0.7</v>
      </c>
      <c r="H190" t="n">
        <v>0</v>
      </c>
      <c r="I190" t="n">
        <v>0</v>
      </c>
      <c r="J190" t="n">
        <v>0</v>
      </c>
      <c r="K190" t="n">
        <v>0</v>
      </c>
      <c r="L190" t="n">
        <v>0</v>
      </c>
      <c r="M190" t="n">
        <v>0</v>
      </c>
      <c r="N190" t="n">
        <v>0</v>
      </c>
      <c r="O190" t="n">
        <v>0</v>
      </c>
      <c r="P190" t="n">
        <v>0</v>
      </c>
      <c r="Q190" t="n">
        <v>0</v>
      </c>
      <c r="R190" s="2" t="inlineStr"/>
    </row>
    <row r="191" ht="15" customHeight="1">
      <c r="A191" t="inlineStr">
        <is>
          <t>A 23042-2019</t>
        </is>
      </c>
      <c r="B191" s="1" t="n">
        <v>43591</v>
      </c>
      <c r="C191" s="1" t="n">
        <v>45640</v>
      </c>
      <c r="D191" t="inlineStr">
        <is>
          <t>UPPSALA LÄN</t>
        </is>
      </c>
      <c r="E191" t="inlineStr">
        <is>
          <t>UPPSALA</t>
        </is>
      </c>
      <c r="G191" t="n">
        <v>2.7</v>
      </c>
      <c r="H191" t="n">
        <v>0</v>
      </c>
      <c r="I191" t="n">
        <v>0</v>
      </c>
      <c r="J191" t="n">
        <v>0</v>
      </c>
      <c r="K191" t="n">
        <v>0</v>
      </c>
      <c r="L191" t="n">
        <v>0</v>
      </c>
      <c r="M191" t="n">
        <v>0</v>
      </c>
      <c r="N191" t="n">
        <v>0</v>
      </c>
      <c r="O191" t="n">
        <v>0</v>
      </c>
      <c r="P191" t="n">
        <v>0</v>
      </c>
      <c r="Q191" t="n">
        <v>0</v>
      </c>
      <c r="R191" s="2" t="inlineStr"/>
    </row>
    <row r="192" ht="15" customHeight="1">
      <c r="A192" t="inlineStr">
        <is>
          <t>A 23262-2019</t>
        </is>
      </c>
      <c r="B192" s="1" t="n">
        <v>43592</v>
      </c>
      <c r="C192" s="1" t="n">
        <v>45640</v>
      </c>
      <c r="D192" t="inlineStr">
        <is>
          <t>UPPSALA LÄN</t>
        </is>
      </c>
      <c r="E192" t="inlineStr">
        <is>
          <t>UPPSALA</t>
        </is>
      </c>
      <c r="F192" t="inlineStr">
        <is>
          <t>Kyrkan</t>
        </is>
      </c>
      <c r="G192" t="n">
        <v>7.6</v>
      </c>
      <c r="H192" t="n">
        <v>0</v>
      </c>
      <c r="I192" t="n">
        <v>0</v>
      </c>
      <c r="J192" t="n">
        <v>0</v>
      </c>
      <c r="K192" t="n">
        <v>0</v>
      </c>
      <c r="L192" t="n">
        <v>0</v>
      </c>
      <c r="M192" t="n">
        <v>0</v>
      </c>
      <c r="N192" t="n">
        <v>0</v>
      </c>
      <c r="O192" t="n">
        <v>0</v>
      </c>
      <c r="P192" t="n">
        <v>0</v>
      </c>
      <c r="Q192" t="n">
        <v>0</v>
      </c>
      <c r="R192" s="2" t="inlineStr"/>
    </row>
    <row r="193" ht="15" customHeight="1">
      <c r="A193" t="inlineStr">
        <is>
          <t>A 24998-2019</t>
        </is>
      </c>
      <c r="B193" s="1" t="n">
        <v>43600</v>
      </c>
      <c r="C193" s="1" t="n">
        <v>45640</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25164-2019</t>
        </is>
      </c>
      <c r="B194" s="1" t="n">
        <v>43605</v>
      </c>
      <c r="C194" s="1" t="n">
        <v>45640</v>
      </c>
      <c r="D194" t="inlineStr">
        <is>
          <t>UPPSALA LÄN</t>
        </is>
      </c>
      <c r="E194" t="inlineStr">
        <is>
          <t>UPPSALA</t>
        </is>
      </c>
      <c r="G194" t="n">
        <v>1.6</v>
      </c>
      <c r="H194" t="n">
        <v>0</v>
      </c>
      <c r="I194" t="n">
        <v>0</v>
      </c>
      <c r="J194" t="n">
        <v>0</v>
      </c>
      <c r="K194" t="n">
        <v>0</v>
      </c>
      <c r="L194" t="n">
        <v>0</v>
      </c>
      <c r="M194" t="n">
        <v>0</v>
      </c>
      <c r="N194" t="n">
        <v>0</v>
      </c>
      <c r="O194" t="n">
        <v>0</v>
      </c>
      <c r="P194" t="n">
        <v>0</v>
      </c>
      <c r="Q194" t="n">
        <v>0</v>
      </c>
      <c r="R194" s="2" t="inlineStr"/>
    </row>
    <row r="195" ht="15" customHeight="1">
      <c r="A195" t="inlineStr">
        <is>
          <t>A 25157-2019</t>
        </is>
      </c>
      <c r="B195" s="1" t="n">
        <v>43605</v>
      </c>
      <c r="C195" s="1" t="n">
        <v>45640</v>
      </c>
      <c r="D195" t="inlineStr">
        <is>
          <t>UPPSALA LÄN</t>
        </is>
      </c>
      <c r="E195" t="inlineStr">
        <is>
          <t>UPPSALA</t>
        </is>
      </c>
      <c r="G195" t="n">
        <v>3</v>
      </c>
      <c r="H195" t="n">
        <v>0</v>
      </c>
      <c r="I195" t="n">
        <v>0</v>
      </c>
      <c r="J195" t="n">
        <v>0</v>
      </c>
      <c r="K195" t="n">
        <v>0</v>
      </c>
      <c r="L195" t="n">
        <v>0</v>
      </c>
      <c r="M195" t="n">
        <v>0</v>
      </c>
      <c r="N195" t="n">
        <v>0</v>
      </c>
      <c r="O195" t="n">
        <v>0</v>
      </c>
      <c r="P195" t="n">
        <v>0</v>
      </c>
      <c r="Q195" t="n">
        <v>0</v>
      </c>
      <c r="R195" s="2" t="inlineStr"/>
    </row>
    <row r="196" ht="15" customHeight="1">
      <c r="A196" t="inlineStr">
        <is>
          <t>A 25667-2019</t>
        </is>
      </c>
      <c r="B196" s="1" t="n">
        <v>43607</v>
      </c>
      <c r="C196" s="1" t="n">
        <v>45640</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29105-2019</t>
        </is>
      </c>
      <c r="B197" s="1" t="n">
        <v>43628</v>
      </c>
      <c r="C197" s="1" t="n">
        <v>45640</v>
      </c>
      <c r="D197" t="inlineStr">
        <is>
          <t>UPPSALA LÄN</t>
        </is>
      </c>
      <c r="E197" t="inlineStr">
        <is>
          <t>UPPSALA</t>
        </is>
      </c>
      <c r="G197" t="n">
        <v>2.1</v>
      </c>
      <c r="H197" t="n">
        <v>0</v>
      </c>
      <c r="I197" t="n">
        <v>0</v>
      </c>
      <c r="J197" t="n">
        <v>0</v>
      </c>
      <c r="K197" t="n">
        <v>0</v>
      </c>
      <c r="L197" t="n">
        <v>0</v>
      </c>
      <c r="M197" t="n">
        <v>0</v>
      </c>
      <c r="N197" t="n">
        <v>0</v>
      </c>
      <c r="O197" t="n">
        <v>0</v>
      </c>
      <c r="P197" t="n">
        <v>0</v>
      </c>
      <c r="Q197" t="n">
        <v>0</v>
      </c>
      <c r="R197" s="2" t="inlineStr"/>
    </row>
    <row r="198" ht="15" customHeight="1">
      <c r="A198" t="inlineStr">
        <is>
          <t>A 29183-2019</t>
        </is>
      </c>
      <c r="B198" s="1" t="n">
        <v>43628</v>
      </c>
      <c r="C198" s="1" t="n">
        <v>45640</v>
      </c>
      <c r="D198" t="inlineStr">
        <is>
          <t>UPPSALA LÄN</t>
        </is>
      </c>
      <c r="E198" t="inlineStr">
        <is>
          <t>UPPSALA</t>
        </is>
      </c>
      <c r="F198" t="inlineStr">
        <is>
          <t>Allmännings- och besparingsskogar</t>
        </is>
      </c>
      <c r="G198" t="n">
        <v>6.3</v>
      </c>
      <c r="H198" t="n">
        <v>0</v>
      </c>
      <c r="I198" t="n">
        <v>0</v>
      </c>
      <c r="J198" t="n">
        <v>0</v>
      </c>
      <c r="K198" t="n">
        <v>0</v>
      </c>
      <c r="L198" t="n">
        <v>0</v>
      </c>
      <c r="M198" t="n">
        <v>0</v>
      </c>
      <c r="N198" t="n">
        <v>0</v>
      </c>
      <c r="O198" t="n">
        <v>0</v>
      </c>
      <c r="P198" t="n">
        <v>0</v>
      </c>
      <c r="Q198" t="n">
        <v>0</v>
      </c>
      <c r="R198" s="2" t="inlineStr"/>
    </row>
    <row r="199" ht="15" customHeight="1">
      <c r="A199" t="inlineStr">
        <is>
          <t>A 29081-2019</t>
        </is>
      </c>
      <c r="B199" s="1" t="n">
        <v>43628</v>
      </c>
      <c r="C199" s="1" t="n">
        <v>45640</v>
      </c>
      <c r="D199" t="inlineStr">
        <is>
          <t>UPPSALA LÄN</t>
        </is>
      </c>
      <c r="E199" t="inlineStr">
        <is>
          <t>UPPSALA</t>
        </is>
      </c>
      <c r="G199" t="n">
        <v>8.4</v>
      </c>
      <c r="H199" t="n">
        <v>0</v>
      </c>
      <c r="I199" t="n">
        <v>0</v>
      </c>
      <c r="J199" t="n">
        <v>0</v>
      </c>
      <c r="K199" t="n">
        <v>0</v>
      </c>
      <c r="L199" t="n">
        <v>0</v>
      </c>
      <c r="M199" t="n">
        <v>0</v>
      </c>
      <c r="N199" t="n">
        <v>0</v>
      </c>
      <c r="O199" t="n">
        <v>0</v>
      </c>
      <c r="P199" t="n">
        <v>0</v>
      </c>
      <c r="Q199" t="n">
        <v>0</v>
      </c>
      <c r="R199" s="2" t="inlineStr"/>
    </row>
    <row r="200" ht="15" customHeight="1">
      <c r="A200" t="inlineStr">
        <is>
          <t>A 29719-2019</t>
        </is>
      </c>
      <c r="B200" s="1" t="n">
        <v>43630</v>
      </c>
      <c r="C200" s="1" t="n">
        <v>45640</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29713-2019</t>
        </is>
      </c>
      <c r="B201" s="1" t="n">
        <v>43630</v>
      </c>
      <c r="C201" s="1" t="n">
        <v>45640</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32558-2019</t>
        </is>
      </c>
      <c r="B202" s="1" t="n">
        <v>43647</v>
      </c>
      <c r="C202" s="1" t="n">
        <v>45640</v>
      </c>
      <c r="D202" t="inlineStr">
        <is>
          <t>UPPSALA LÄN</t>
        </is>
      </c>
      <c r="E202" t="inlineStr">
        <is>
          <t>UPPSALA</t>
        </is>
      </c>
      <c r="G202" t="n">
        <v>4.2</v>
      </c>
      <c r="H202" t="n">
        <v>0</v>
      </c>
      <c r="I202" t="n">
        <v>0</v>
      </c>
      <c r="J202" t="n">
        <v>0</v>
      </c>
      <c r="K202" t="n">
        <v>0</v>
      </c>
      <c r="L202" t="n">
        <v>0</v>
      </c>
      <c r="M202" t="n">
        <v>0</v>
      </c>
      <c r="N202" t="n">
        <v>0</v>
      </c>
      <c r="O202" t="n">
        <v>0</v>
      </c>
      <c r="P202" t="n">
        <v>0</v>
      </c>
      <c r="Q202" t="n">
        <v>0</v>
      </c>
      <c r="R202" s="2" t="inlineStr"/>
    </row>
    <row r="203" ht="15" customHeight="1">
      <c r="A203" t="inlineStr">
        <is>
          <t>A 34560-2019</t>
        </is>
      </c>
      <c r="B203" s="1" t="n">
        <v>43647</v>
      </c>
      <c r="C203" s="1" t="n">
        <v>45640</v>
      </c>
      <c r="D203" t="inlineStr">
        <is>
          <t>UPPSALA LÄN</t>
        </is>
      </c>
      <c r="E203" t="inlineStr">
        <is>
          <t>UPPSALA</t>
        </is>
      </c>
      <c r="G203" t="n">
        <v>8.6</v>
      </c>
      <c r="H203" t="n">
        <v>0</v>
      </c>
      <c r="I203" t="n">
        <v>0</v>
      </c>
      <c r="J203" t="n">
        <v>0</v>
      </c>
      <c r="K203" t="n">
        <v>0</v>
      </c>
      <c r="L203" t="n">
        <v>0</v>
      </c>
      <c r="M203" t="n">
        <v>0</v>
      </c>
      <c r="N203" t="n">
        <v>0</v>
      </c>
      <c r="O203" t="n">
        <v>0</v>
      </c>
      <c r="P203" t="n">
        <v>0</v>
      </c>
      <c r="Q203" t="n">
        <v>0</v>
      </c>
      <c r="R203" s="2" t="inlineStr"/>
    </row>
    <row r="204" ht="15" customHeight="1">
      <c r="A204" t="inlineStr">
        <is>
          <t>A 32830-2019</t>
        </is>
      </c>
      <c r="B204" s="1" t="n">
        <v>43648</v>
      </c>
      <c r="C204" s="1" t="n">
        <v>45640</v>
      </c>
      <c r="D204" t="inlineStr">
        <is>
          <t>UPPSALA LÄN</t>
        </is>
      </c>
      <c r="E204" t="inlineStr">
        <is>
          <t>UPPSALA</t>
        </is>
      </c>
      <c r="G204" t="n">
        <v>13.6</v>
      </c>
      <c r="H204" t="n">
        <v>0</v>
      </c>
      <c r="I204" t="n">
        <v>0</v>
      </c>
      <c r="J204" t="n">
        <v>0</v>
      </c>
      <c r="K204" t="n">
        <v>0</v>
      </c>
      <c r="L204" t="n">
        <v>0</v>
      </c>
      <c r="M204" t="n">
        <v>0</v>
      </c>
      <c r="N204" t="n">
        <v>0</v>
      </c>
      <c r="O204" t="n">
        <v>0</v>
      </c>
      <c r="P204" t="n">
        <v>0</v>
      </c>
      <c r="Q204" t="n">
        <v>0</v>
      </c>
      <c r="R204" s="2" t="inlineStr"/>
    </row>
    <row r="205" ht="15" customHeight="1">
      <c r="A205" t="inlineStr">
        <is>
          <t>A 33602-2019</t>
        </is>
      </c>
      <c r="B205" s="1" t="n">
        <v>43651</v>
      </c>
      <c r="C205" s="1" t="n">
        <v>45640</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33614-2019</t>
        </is>
      </c>
      <c r="B206" s="1" t="n">
        <v>43651</v>
      </c>
      <c r="C206" s="1" t="n">
        <v>45640</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33615-2019</t>
        </is>
      </c>
      <c r="B207" s="1" t="n">
        <v>43651</v>
      </c>
      <c r="C207" s="1" t="n">
        <v>45640</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33596-2019</t>
        </is>
      </c>
      <c r="B208" s="1" t="n">
        <v>43651</v>
      </c>
      <c r="C208" s="1" t="n">
        <v>45640</v>
      </c>
      <c r="D208" t="inlineStr">
        <is>
          <t>UPPSALA LÄN</t>
        </is>
      </c>
      <c r="E208" t="inlineStr">
        <is>
          <t>UPPSALA</t>
        </is>
      </c>
      <c r="G208" t="n">
        <v>1.3</v>
      </c>
      <c r="H208" t="n">
        <v>0</v>
      </c>
      <c r="I208" t="n">
        <v>0</v>
      </c>
      <c r="J208" t="n">
        <v>0</v>
      </c>
      <c r="K208" t="n">
        <v>0</v>
      </c>
      <c r="L208" t="n">
        <v>0</v>
      </c>
      <c r="M208" t="n">
        <v>0</v>
      </c>
      <c r="N208" t="n">
        <v>0</v>
      </c>
      <c r="O208" t="n">
        <v>0</v>
      </c>
      <c r="P208" t="n">
        <v>0</v>
      </c>
      <c r="Q208" t="n">
        <v>0</v>
      </c>
      <c r="R208" s="2" t="inlineStr"/>
    </row>
    <row r="209" ht="15" customHeight="1">
      <c r="A209" t="inlineStr">
        <is>
          <t>A 34007-2019</t>
        </is>
      </c>
      <c r="B209" s="1" t="n">
        <v>43654</v>
      </c>
      <c r="C209" s="1" t="n">
        <v>45640</v>
      </c>
      <c r="D209" t="inlineStr">
        <is>
          <t>UPPSALA LÄN</t>
        </is>
      </c>
      <c r="E209" t="inlineStr">
        <is>
          <t>UPPSALA</t>
        </is>
      </c>
      <c r="G209" t="n">
        <v>2</v>
      </c>
      <c r="H209" t="n">
        <v>0</v>
      </c>
      <c r="I209" t="n">
        <v>0</v>
      </c>
      <c r="J209" t="n">
        <v>0</v>
      </c>
      <c r="K209" t="n">
        <v>0</v>
      </c>
      <c r="L209" t="n">
        <v>0</v>
      </c>
      <c r="M209" t="n">
        <v>0</v>
      </c>
      <c r="N209" t="n">
        <v>0</v>
      </c>
      <c r="O209" t="n">
        <v>0</v>
      </c>
      <c r="P209" t="n">
        <v>0</v>
      </c>
      <c r="Q209" t="n">
        <v>0</v>
      </c>
      <c r="R209" s="2" t="inlineStr"/>
    </row>
    <row r="210" ht="15" customHeight="1">
      <c r="A210" t="inlineStr">
        <is>
          <t>A 34063-2019</t>
        </is>
      </c>
      <c r="B210" s="1" t="n">
        <v>43654</v>
      </c>
      <c r="C210" s="1" t="n">
        <v>45640</v>
      </c>
      <c r="D210" t="inlineStr">
        <is>
          <t>UPPSALA LÄN</t>
        </is>
      </c>
      <c r="E210" t="inlineStr">
        <is>
          <t>UPPSALA</t>
        </is>
      </c>
      <c r="G210" t="n">
        <v>1.5</v>
      </c>
      <c r="H210" t="n">
        <v>0</v>
      </c>
      <c r="I210" t="n">
        <v>0</v>
      </c>
      <c r="J210" t="n">
        <v>0</v>
      </c>
      <c r="K210" t="n">
        <v>0</v>
      </c>
      <c r="L210" t="n">
        <v>0</v>
      </c>
      <c r="M210" t="n">
        <v>0</v>
      </c>
      <c r="N210" t="n">
        <v>0</v>
      </c>
      <c r="O210" t="n">
        <v>0</v>
      </c>
      <c r="P210" t="n">
        <v>0</v>
      </c>
      <c r="Q210" t="n">
        <v>0</v>
      </c>
      <c r="R210" s="2" t="inlineStr"/>
    </row>
    <row r="211" ht="15" customHeight="1">
      <c r="A211" t="inlineStr">
        <is>
          <t>A 34331-2019</t>
        </is>
      </c>
      <c r="B211" s="1" t="n">
        <v>43656</v>
      </c>
      <c r="C211" s="1" t="n">
        <v>45640</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36345-2019</t>
        </is>
      </c>
      <c r="B212" s="1" t="n">
        <v>43661</v>
      </c>
      <c r="C212" s="1" t="n">
        <v>45640</v>
      </c>
      <c r="D212" t="inlineStr">
        <is>
          <t>UPPSALA LÄN</t>
        </is>
      </c>
      <c r="E212" t="inlineStr">
        <is>
          <t>UPPSALA</t>
        </is>
      </c>
      <c r="G212" t="n">
        <v>5.3</v>
      </c>
      <c r="H212" t="n">
        <v>0</v>
      </c>
      <c r="I212" t="n">
        <v>0</v>
      </c>
      <c r="J212" t="n">
        <v>0</v>
      </c>
      <c r="K212" t="n">
        <v>0</v>
      </c>
      <c r="L212" t="n">
        <v>0</v>
      </c>
      <c r="M212" t="n">
        <v>0</v>
      </c>
      <c r="N212" t="n">
        <v>0</v>
      </c>
      <c r="O212" t="n">
        <v>0</v>
      </c>
      <c r="P212" t="n">
        <v>0</v>
      </c>
      <c r="Q212" t="n">
        <v>0</v>
      </c>
      <c r="R212" s="2" t="inlineStr"/>
    </row>
    <row r="213" ht="15" customHeight="1">
      <c r="A213" t="inlineStr">
        <is>
          <t>A 36394-2019</t>
        </is>
      </c>
      <c r="B213" s="1" t="n">
        <v>43663</v>
      </c>
      <c r="C213" s="1" t="n">
        <v>45640</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37234-2019</t>
        </is>
      </c>
      <c r="B214" s="1" t="n">
        <v>43677</v>
      </c>
      <c r="C214" s="1" t="n">
        <v>45640</v>
      </c>
      <c r="D214" t="inlineStr">
        <is>
          <t>UPPSALA LÄN</t>
        </is>
      </c>
      <c r="E214" t="inlineStr">
        <is>
          <t>UPPSALA</t>
        </is>
      </c>
      <c r="G214" t="n">
        <v>3.2</v>
      </c>
      <c r="H214" t="n">
        <v>0</v>
      </c>
      <c r="I214" t="n">
        <v>0</v>
      </c>
      <c r="J214" t="n">
        <v>0</v>
      </c>
      <c r="K214" t="n">
        <v>0</v>
      </c>
      <c r="L214" t="n">
        <v>0</v>
      </c>
      <c r="M214" t="n">
        <v>0</v>
      </c>
      <c r="N214" t="n">
        <v>0</v>
      </c>
      <c r="O214" t="n">
        <v>0</v>
      </c>
      <c r="P214" t="n">
        <v>0</v>
      </c>
      <c r="Q214" t="n">
        <v>0</v>
      </c>
      <c r="R214" s="2" t="inlineStr"/>
    </row>
    <row r="215" ht="15" customHeight="1">
      <c r="A215" t="inlineStr">
        <is>
          <t>A 37711-2019</t>
        </is>
      </c>
      <c r="B215" s="1" t="n">
        <v>43682</v>
      </c>
      <c r="C215" s="1" t="n">
        <v>45640</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38684-2019</t>
        </is>
      </c>
      <c r="B216" s="1" t="n">
        <v>43686</v>
      </c>
      <c r="C216" s="1" t="n">
        <v>45640</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40151-2019</t>
        </is>
      </c>
      <c r="B217" s="1" t="n">
        <v>43693</v>
      </c>
      <c r="C217" s="1" t="n">
        <v>45640</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41609-2019</t>
        </is>
      </c>
      <c r="B218" s="1" t="n">
        <v>43696</v>
      </c>
      <c r="C218" s="1" t="n">
        <v>45640</v>
      </c>
      <c r="D218" t="inlineStr">
        <is>
          <t>UPPSALA LÄN</t>
        </is>
      </c>
      <c r="E218" t="inlineStr">
        <is>
          <t>UPPSALA</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41653-2019</t>
        </is>
      </c>
      <c r="B219" s="1" t="n">
        <v>43696</v>
      </c>
      <c r="C219" s="1" t="n">
        <v>45640</v>
      </c>
      <c r="D219" t="inlineStr">
        <is>
          <t>UPPSALA LÄN</t>
        </is>
      </c>
      <c r="E219" t="inlineStr">
        <is>
          <t>UPPSALA</t>
        </is>
      </c>
      <c r="G219" t="n">
        <v>5.2</v>
      </c>
      <c r="H219" t="n">
        <v>0</v>
      </c>
      <c r="I219" t="n">
        <v>0</v>
      </c>
      <c r="J219" t="n">
        <v>0</v>
      </c>
      <c r="K219" t="n">
        <v>0</v>
      </c>
      <c r="L219" t="n">
        <v>0</v>
      </c>
      <c r="M219" t="n">
        <v>0</v>
      </c>
      <c r="N219" t="n">
        <v>0</v>
      </c>
      <c r="O219" t="n">
        <v>0</v>
      </c>
      <c r="P219" t="n">
        <v>0</v>
      </c>
      <c r="Q219" t="n">
        <v>0</v>
      </c>
      <c r="R219" s="2" t="inlineStr"/>
    </row>
    <row r="220" ht="15" customHeight="1">
      <c r="A220" t="inlineStr">
        <is>
          <t>A 41524-2019</t>
        </is>
      </c>
      <c r="B220" s="1" t="n">
        <v>43699</v>
      </c>
      <c r="C220" s="1" t="n">
        <v>45640</v>
      </c>
      <c r="D220" t="inlineStr">
        <is>
          <t>UPPSALA LÄN</t>
        </is>
      </c>
      <c r="E220" t="inlineStr">
        <is>
          <t>UPPSALA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41535-2019</t>
        </is>
      </c>
      <c r="B221" s="1" t="n">
        <v>43699</v>
      </c>
      <c r="C221" s="1" t="n">
        <v>45640</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41695-2019</t>
        </is>
      </c>
      <c r="B222" s="1" t="n">
        <v>43699</v>
      </c>
      <c r="C222" s="1" t="n">
        <v>45640</v>
      </c>
      <c r="D222" t="inlineStr">
        <is>
          <t>UPPSALA LÄN</t>
        </is>
      </c>
      <c r="E222" t="inlineStr">
        <is>
          <t>UPPSALA</t>
        </is>
      </c>
      <c r="G222" t="n">
        <v>3.1</v>
      </c>
      <c r="H222" t="n">
        <v>0</v>
      </c>
      <c r="I222" t="n">
        <v>0</v>
      </c>
      <c r="J222" t="n">
        <v>0</v>
      </c>
      <c r="K222" t="n">
        <v>0</v>
      </c>
      <c r="L222" t="n">
        <v>0</v>
      </c>
      <c r="M222" t="n">
        <v>0</v>
      </c>
      <c r="N222" t="n">
        <v>0</v>
      </c>
      <c r="O222" t="n">
        <v>0</v>
      </c>
      <c r="P222" t="n">
        <v>0</v>
      </c>
      <c r="Q222" t="n">
        <v>0</v>
      </c>
      <c r="R222" s="2" t="inlineStr"/>
    </row>
    <row r="223" ht="15" customHeight="1">
      <c r="A223" t="inlineStr">
        <is>
          <t>A 42111-2019</t>
        </is>
      </c>
      <c r="B223" s="1" t="n">
        <v>43703</v>
      </c>
      <c r="C223" s="1" t="n">
        <v>45640</v>
      </c>
      <c r="D223" t="inlineStr">
        <is>
          <t>UPPSALA LÄN</t>
        </is>
      </c>
      <c r="E223" t="inlineStr">
        <is>
          <t>UPPSALA</t>
        </is>
      </c>
      <c r="G223" t="n">
        <v>2.7</v>
      </c>
      <c r="H223" t="n">
        <v>0</v>
      </c>
      <c r="I223" t="n">
        <v>0</v>
      </c>
      <c r="J223" t="n">
        <v>0</v>
      </c>
      <c r="K223" t="n">
        <v>0</v>
      </c>
      <c r="L223" t="n">
        <v>0</v>
      </c>
      <c r="M223" t="n">
        <v>0</v>
      </c>
      <c r="N223" t="n">
        <v>0</v>
      </c>
      <c r="O223" t="n">
        <v>0</v>
      </c>
      <c r="P223" t="n">
        <v>0</v>
      </c>
      <c r="Q223" t="n">
        <v>0</v>
      </c>
      <c r="R223" s="2" t="inlineStr"/>
    </row>
    <row r="224" ht="15" customHeight="1">
      <c r="A224" t="inlineStr">
        <is>
          <t>A 42986-2019</t>
        </is>
      </c>
      <c r="B224" s="1" t="n">
        <v>43705</v>
      </c>
      <c r="C224" s="1" t="n">
        <v>45640</v>
      </c>
      <c r="D224" t="inlineStr">
        <is>
          <t>UPPSALA LÄN</t>
        </is>
      </c>
      <c r="E224" t="inlineStr">
        <is>
          <t>UPPSALA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43222-2019</t>
        </is>
      </c>
      <c r="B225" s="1" t="n">
        <v>43706</v>
      </c>
      <c r="C225" s="1" t="n">
        <v>45640</v>
      </c>
      <c r="D225" t="inlineStr">
        <is>
          <t>UPPSALA LÄN</t>
        </is>
      </c>
      <c r="E225" t="inlineStr">
        <is>
          <t>UPPSALA</t>
        </is>
      </c>
      <c r="F225" t="inlineStr">
        <is>
          <t>Bergvik skog öst AB</t>
        </is>
      </c>
      <c r="G225" t="n">
        <v>3.6</v>
      </c>
      <c r="H225" t="n">
        <v>0</v>
      </c>
      <c r="I225" t="n">
        <v>0</v>
      </c>
      <c r="J225" t="n">
        <v>0</v>
      </c>
      <c r="K225" t="n">
        <v>0</v>
      </c>
      <c r="L225" t="n">
        <v>0</v>
      </c>
      <c r="M225" t="n">
        <v>0</v>
      </c>
      <c r="N225" t="n">
        <v>0</v>
      </c>
      <c r="O225" t="n">
        <v>0</v>
      </c>
      <c r="P225" t="n">
        <v>0</v>
      </c>
      <c r="Q225" t="n">
        <v>0</v>
      </c>
      <c r="R225" s="2" t="inlineStr"/>
    </row>
    <row r="226" ht="15" customHeight="1">
      <c r="A226" t="inlineStr">
        <is>
          <t>A 43410-2019</t>
        </is>
      </c>
      <c r="B226" s="1" t="n">
        <v>43706</v>
      </c>
      <c r="C226" s="1" t="n">
        <v>45640</v>
      </c>
      <c r="D226" t="inlineStr">
        <is>
          <t>UPPSALA LÄN</t>
        </is>
      </c>
      <c r="E226" t="inlineStr">
        <is>
          <t>UPPSALA</t>
        </is>
      </c>
      <c r="F226" t="inlineStr">
        <is>
          <t>Övriga statliga verk och myndigheter</t>
        </is>
      </c>
      <c r="G226" t="n">
        <v>8.6</v>
      </c>
      <c r="H226" t="n">
        <v>0</v>
      </c>
      <c r="I226" t="n">
        <v>0</v>
      </c>
      <c r="J226" t="n">
        <v>0</v>
      </c>
      <c r="K226" t="n">
        <v>0</v>
      </c>
      <c r="L226" t="n">
        <v>0</v>
      </c>
      <c r="M226" t="n">
        <v>0</v>
      </c>
      <c r="N226" t="n">
        <v>0</v>
      </c>
      <c r="O226" t="n">
        <v>0</v>
      </c>
      <c r="P226" t="n">
        <v>0</v>
      </c>
      <c r="Q226" t="n">
        <v>0</v>
      </c>
      <c r="R226" s="2" t="inlineStr"/>
    </row>
    <row r="227" ht="15" customHeight="1">
      <c r="A227" t="inlineStr">
        <is>
          <t>A 43715-2019</t>
        </is>
      </c>
      <c r="B227" s="1" t="n">
        <v>43706</v>
      </c>
      <c r="C227" s="1" t="n">
        <v>45640</v>
      </c>
      <c r="D227" t="inlineStr">
        <is>
          <t>UPPSALA LÄN</t>
        </is>
      </c>
      <c r="E227" t="inlineStr">
        <is>
          <t>UPPSALA</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43224-2019</t>
        </is>
      </c>
      <c r="B228" s="1" t="n">
        <v>43706</v>
      </c>
      <c r="C228" s="1" t="n">
        <v>45640</v>
      </c>
      <c r="D228" t="inlineStr">
        <is>
          <t>UPPSALA LÄN</t>
        </is>
      </c>
      <c r="E228" t="inlineStr">
        <is>
          <t>UPPSALA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43435-2019</t>
        </is>
      </c>
      <c r="B229" s="1" t="n">
        <v>43706</v>
      </c>
      <c r="C229" s="1" t="n">
        <v>45640</v>
      </c>
      <c r="D229" t="inlineStr">
        <is>
          <t>UPPSALA LÄN</t>
        </is>
      </c>
      <c r="E229" t="inlineStr">
        <is>
          <t>UPPSALA</t>
        </is>
      </c>
      <c r="G229" t="n">
        <v>5.4</v>
      </c>
      <c r="H229" t="n">
        <v>0</v>
      </c>
      <c r="I229" t="n">
        <v>0</v>
      </c>
      <c r="J229" t="n">
        <v>0</v>
      </c>
      <c r="K229" t="n">
        <v>0</v>
      </c>
      <c r="L229" t="n">
        <v>0</v>
      </c>
      <c r="M229" t="n">
        <v>0</v>
      </c>
      <c r="N229" t="n">
        <v>0</v>
      </c>
      <c r="O229" t="n">
        <v>0</v>
      </c>
      <c r="P229" t="n">
        <v>0</v>
      </c>
      <c r="Q229" t="n">
        <v>0</v>
      </c>
      <c r="R229" s="2" t="inlineStr"/>
    </row>
    <row r="230" ht="15" customHeight="1">
      <c r="A230" t="inlineStr">
        <is>
          <t>A 43722-2019</t>
        </is>
      </c>
      <c r="B230" s="1" t="n">
        <v>43706</v>
      </c>
      <c r="C230" s="1" t="n">
        <v>45640</v>
      </c>
      <c r="D230" t="inlineStr">
        <is>
          <t>UPPSALA LÄN</t>
        </is>
      </c>
      <c r="E230" t="inlineStr">
        <is>
          <t>UPPSALA</t>
        </is>
      </c>
      <c r="F230" t="inlineStr">
        <is>
          <t>Övriga statliga verk och myndigheter</t>
        </is>
      </c>
      <c r="G230" t="n">
        <v>0.6</v>
      </c>
      <c r="H230" t="n">
        <v>0</v>
      </c>
      <c r="I230" t="n">
        <v>0</v>
      </c>
      <c r="J230" t="n">
        <v>0</v>
      </c>
      <c r="K230" t="n">
        <v>0</v>
      </c>
      <c r="L230" t="n">
        <v>0</v>
      </c>
      <c r="M230" t="n">
        <v>0</v>
      </c>
      <c r="N230" t="n">
        <v>0</v>
      </c>
      <c r="O230" t="n">
        <v>0</v>
      </c>
      <c r="P230" t="n">
        <v>0</v>
      </c>
      <c r="Q230" t="n">
        <v>0</v>
      </c>
      <c r="R230" s="2" t="inlineStr"/>
    </row>
    <row r="231" ht="15" customHeight="1">
      <c r="A231" t="inlineStr">
        <is>
          <t>A 43704-2019</t>
        </is>
      </c>
      <c r="B231" s="1" t="n">
        <v>43707</v>
      </c>
      <c r="C231" s="1" t="n">
        <v>45640</v>
      </c>
      <c r="D231" t="inlineStr">
        <is>
          <t>UPPSALA LÄN</t>
        </is>
      </c>
      <c r="E231" t="inlineStr">
        <is>
          <t>UPPSALA</t>
        </is>
      </c>
      <c r="F231" t="inlineStr">
        <is>
          <t>Bergvik skog öst AB</t>
        </is>
      </c>
      <c r="G231" t="n">
        <v>2.7</v>
      </c>
      <c r="H231" t="n">
        <v>0</v>
      </c>
      <c r="I231" t="n">
        <v>0</v>
      </c>
      <c r="J231" t="n">
        <v>0</v>
      </c>
      <c r="K231" t="n">
        <v>0</v>
      </c>
      <c r="L231" t="n">
        <v>0</v>
      </c>
      <c r="M231" t="n">
        <v>0</v>
      </c>
      <c r="N231" t="n">
        <v>0</v>
      </c>
      <c r="O231" t="n">
        <v>0</v>
      </c>
      <c r="P231" t="n">
        <v>0</v>
      </c>
      <c r="Q231" t="n">
        <v>0</v>
      </c>
      <c r="R231" s="2" t="inlineStr"/>
    </row>
    <row r="232" ht="15" customHeight="1">
      <c r="A232" t="inlineStr">
        <is>
          <t>A 43725-2019</t>
        </is>
      </c>
      <c r="B232" s="1" t="n">
        <v>43707</v>
      </c>
      <c r="C232" s="1" t="n">
        <v>45640</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44109-2019</t>
        </is>
      </c>
      <c r="B233" s="1" t="n">
        <v>43707</v>
      </c>
      <c r="C233" s="1" t="n">
        <v>45640</v>
      </c>
      <c r="D233" t="inlineStr">
        <is>
          <t>UPPSALA LÄN</t>
        </is>
      </c>
      <c r="E233" t="inlineStr">
        <is>
          <t>UPPSALA</t>
        </is>
      </c>
      <c r="F233" t="inlineStr">
        <is>
          <t>Allmännings- och besparingsskogar</t>
        </is>
      </c>
      <c r="G233" t="n">
        <v>81.3</v>
      </c>
      <c r="H233" t="n">
        <v>0</v>
      </c>
      <c r="I233" t="n">
        <v>0</v>
      </c>
      <c r="J233" t="n">
        <v>0</v>
      </c>
      <c r="K233" t="n">
        <v>0</v>
      </c>
      <c r="L233" t="n">
        <v>0</v>
      </c>
      <c r="M233" t="n">
        <v>0</v>
      </c>
      <c r="N233" t="n">
        <v>0</v>
      </c>
      <c r="O233" t="n">
        <v>0</v>
      </c>
      <c r="P233" t="n">
        <v>0</v>
      </c>
      <c r="Q233" t="n">
        <v>0</v>
      </c>
      <c r="R233" s="2" t="inlineStr"/>
    </row>
    <row r="234" ht="15" customHeight="1">
      <c r="A234" t="inlineStr">
        <is>
          <t>A 43713-2019</t>
        </is>
      </c>
      <c r="B234" s="1" t="n">
        <v>43707</v>
      </c>
      <c r="C234" s="1" t="n">
        <v>45640</v>
      </c>
      <c r="D234" t="inlineStr">
        <is>
          <t>UPPSALA LÄN</t>
        </is>
      </c>
      <c r="E234" t="inlineStr">
        <is>
          <t>UPPSALA</t>
        </is>
      </c>
      <c r="F234" t="inlineStr">
        <is>
          <t>Bergvik skog öst AB</t>
        </is>
      </c>
      <c r="G234" t="n">
        <v>7.9</v>
      </c>
      <c r="H234" t="n">
        <v>0</v>
      </c>
      <c r="I234" t="n">
        <v>0</v>
      </c>
      <c r="J234" t="n">
        <v>0</v>
      </c>
      <c r="K234" t="n">
        <v>0</v>
      </c>
      <c r="L234" t="n">
        <v>0</v>
      </c>
      <c r="M234" t="n">
        <v>0</v>
      </c>
      <c r="N234" t="n">
        <v>0</v>
      </c>
      <c r="O234" t="n">
        <v>0</v>
      </c>
      <c r="P234" t="n">
        <v>0</v>
      </c>
      <c r="Q234" t="n">
        <v>0</v>
      </c>
      <c r="R234" s="2" t="inlineStr"/>
    </row>
    <row r="235" ht="15" customHeight="1">
      <c r="A235" t="inlineStr">
        <is>
          <t>A 43853-2019</t>
        </is>
      </c>
      <c r="B235" s="1" t="n">
        <v>43707</v>
      </c>
      <c r="C235" s="1" t="n">
        <v>45640</v>
      </c>
      <c r="D235" t="inlineStr">
        <is>
          <t>UPPSALA LÄN</t>
        </is>
      </c>
      <c r="E235" t="inlineStr">
        <is>
          <t>UPPSALA</t>
        </is>
      </c>
      <c r="F235" t="inlineStr">
        <is>
          <t>Övriga statliga verk och myndigheter</t>
        </is>
      </c>
      <c r="G235" t="n">
        <v>1.8</v>
      </c>
      <c r="H235" t="n">
        <v>0</v>
      </c>
      <c r="I235" t="n">
        <v>0</v>
      </c>
      <c r="J235" t="n">
        <v>0</v>
      </c>
      <c r="K235" t="n">
        <v>0</v>
      </c>
      <c r="L235" t="n">
        <v>0</v>
      </c>
      <c r="M235" t="n">
        <v>0</v>
      </c>
      <c r="N235" t="n">
        <v>0</v>
      </c>
      <c r="O235" t="n">
        <v>0</v>
      </c>
      <c r="P235" t="n">
        <v>0</v>
      </c>
      <c r="Q235" t="n">
        <v>0</v>
      </c>
      <c r="R235" s="2" t="inlineStr"/>
    </row>
    <row r="236" ht="15" customHeight="1">
      <c r="A236" t="inlineStr">
        <is>
          <t>A 44141-2019</t>
        </is>
      </c>
      <c r="B236" s="1" t="n">
        <v>43710</v>
      </c>
      <c r="C236" s="1" t="n">
        <v>45640</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44701-2019</t>
        </is>
      </c>
      <c r="B237" s="1" t="n">
        <v>43712</v>
      </c>
      <c r="C237" s="1" t="n">
        <v>45640</v>
      </c>
      <c r="D237" t="inlineStr">
        <is>
          <t>UPPSALA LÄN</t>
        </is>
      </c>
      <c r="E237" t="inlineStr">
        <is>
          <t>UPPSALA</t>
        </is>
      </c>
      <c r="G237" t="n">
        <v>3.4</v>
      </c>
      <c r="H237" t="n">
        <v>0</v>
      </c>
      <c r="I237" t="n">
        <v>0</v>
      </c>
      <c r="J237" t="n">
        <v>0</v>
      </c>
      <c r="K237" t="n">
        <v>0</v>
      </c>
      <c r="L237" t="n">
        <v>0</v>
      </c>
      <c r="M237" t="n">
        <v>0</v>
      </c>
      <c r="N237" t="n">
        <v>0</v>
      </c>
      <c r="O237" t="n">
        <v>0</v>
      </c>
      <c r="P237" t="n">
        <v>0</v>
      </c>
      <c r="Q237" t="n">
        <v>0</v>
      </c>
      <c r="R237" s="2" t="inlineStr"/>
    </row>
    <row r="238" ht="15" customHeight="1">
      <c r="A238" t="inlineStr">
        <is>
          <t>A 44687-2019</t>
        </is>
      </c>
      <c r="B238" s="1" t="n">
        <v>43712</v>
      </c>
      <c r="C238" s="1" t="n">
        <v>45640</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45010-2019</t>
        </is>
      </c>
      <c r="B239" s="1" t="n">
        <v>43713</v>
      </c>
      <c r="C239" s="1" t="n">
        <v>45640</v>
      </c>
      <c r="D239" t="inlineStr">
        <is>
          <t>UPPSALA LÄN</t>
        </is>
      </c>
      <c r="E239" t="inlineStr">
        <is>
          <t>UPPSALA</t>
        </is>
      </c>
      <c r="G239" t="n">
        <v>1</v>
      </c>
      <c r="H239" t="n">
        <v>0</v>
      </c>
      <c r="I239" t="n">
        <v>0</v>
      </c>
      <c r="J239" t="n">
        <v>0</v>
      </c>
      <c r="K239" t="n">
        <v>0</v>
      </c>
      <c r="L239" t="n">
        <v>0</v>
      </c>
      <c r="M239" t="n">
        <v>0</v>
      </c>
      <c r="N239" t="n">
        <v>0</v>
      </c>
      <c r="O239" t="n">
        <v>0</v>
      </c>
      <c r="P239" t="n">
        <v>0</v>
      </c>
      <c r="Q239" t="n">
        <v>0</v>
      </c>
      <c r="R239" s="2" t="inlineStr"/>
    </row>
    <row r="240" ht="15" customHeight="1">
      <c r="A240" t="inlineStr">
        <is>
          <t>A 45574-2019</t>
        </is>
      </c>
      <c r="B240" s="1" t="n">
        <v>43716</v>
      </c>
      <c r="C240" s="1" t="n">
        <v>45640</v>
      </c>
      <c r="D240" t="inlineStr">
        <is>
          <t>UPPSALA LÄN</t>
        </is>
      </c>
      <c r="E240" t="inlineStr">
        <is>
          <t>UPPSALA</t>
        </is>
      </c>
      <c r="G240" t="n">
        <v>0.8</v>
      </c>
      <c r="H240" t="n">
        <v>0</v>
      </c>
      <c r="I240" t="n">
        <v>0</v>
      </c>
      <c r="J240" t="n">
        <v>0</v>
      </c>
      <c r="K240" t="n">
        <v>0</v>
      </c>
      <c r="L240" t="n">
        <v>0</v>
      </c>
      <c r="M240" t="n">
        <v>0</v>
      </c>
      <c r="N240" t="n">
        <v>0</v>
      </c>
      <c r="O240" t="n">
        <v>0</v>
      </c>
      <c r="P240" t="n">
        <v>0</v>
      </c>
      <c r="Q240" t="n">
        <v>0</v>
      </c>
      <c r="R240" s="2" t="inlineStr"/>
    </row>
    <row r="241" ht="15" customHeight="1">
      <c r="A241" t="inlineStr">
        <is>
          <t>A 46311-2019</t>
        </is>
      </c>
      <c r="B241" s="1" t="n">
        <v>43718</v>
      </c>
      <c r="C241" s="1" t="n">
        <v>45640</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46307-2019</t>
        </is>
      </c>
      <c r="B242" s="1" t="n">
        <v>43718</v>
      </c>
      <c r="C242" s="1" t="n">
        <v>45640</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46151-2019</t>
        </is>
      </c>
      <c r="B243" s="1" t="n">
        <v>43718</v>
      </c>
      <c r="C243" s="1" t="n">
        <v>45640</v>
      </c>
      <c r="D243" t="inlineStr">
        <is>
          <t>UPPSALA LÄN</t>
        </is>
      </c>
      <c r="E243" t="inlineStr">
        <is>
          <t>UPPSALA</t>
        </is>
      </c>
      <c r="F243" t="inlineStr">
        <is>
          <t>Övriga Aktiebolag</t>
        </is>
      </c>
      <c r="G243" t="n">
        <v>0.5</v>
      </c>
      <c r="H243" t="n">
        <v>0</v>
      </c>
      <c r="I243" t="n">
        <v>0</v>
      </c>
      <c r="J243" t="n">
        <v>0</v>
      </c>
      <c r="K243" t="n">
        <v>0</v>
      </c>
      <c r="L243" t="n">
        <v>0</v>
      </c>
      <c r="M243" t="n">
        <v>0</v>
      </c>
      <c r="N243" t="n">
        <v>0</v>
      </c>
      <c r="O243" t="n">
        <v>0</v>
      </c>
      <c r="P243" t="n">
        <v>0</v>
      </c>
      <c r="Q243" t="n">
        <v>0</v>
      </c>
      <c r="R243" s="2" t="inlineStr"/>
    </row>
    <row r="244" ht="15" customHeight="1">
      <c r="A244" t="inlineStr">
        <is>
          <t>A 46157-2019</t>
        </is>
      </c>
      <c r="B244" s="1" t="n">
        <v>43718</v>
      </c>
      <c r="C244" s="1" t="n">
        <v>45640</v>
      </c>
      <c r="D244" t="inlineStr">
        <is>
          <t>UPPSALA LÄN</t>
        </is>
      </c>
      <c r="E244" t="inlineStr">
        <is>
          <t>UPPSALA</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46310-2019</t>
        </is>
      </c>
      <c r="B245" s="1" t="n">
        <v>43718</v>
      </c>
      <c r="C245" s="1" t="n">
        <v>45640</v>
      </c>
      <c r="D245" t="inlineStr">
        <is>
          <t>UPPSALA LÄN</t>
        </is>
      </c>
      <c r="E245" t="inlineStr">
        <is>
          <t>UPPSALA</t>
        </is>
      </c>
      <c r="G245" t="n">
        <v>7</v>
      </c>
      <c r="H245" t="n">
        <v>0</v>
      </c>
      <c r="I245" t="n">
        <v>0</v>
      </c>
      <c r="J245" t="n">
        <v>0</v>
      </c>
      <c r="K245" t="n">
        <v>0</v>
      </c>
      <c r="L245" t="n">
        <v>0</v>
      </c>
      <c r="M245" t="n">
        <v>0</v>
      </c>
      <c r="N245" t="n">
        <v>0</v>
      </c>
      <c r="O245" t="n">
        <v>0</v>
      </c>
      <c r="P245" t="n">
        <v>0</v>
      </c>
      <c r="Q245" t="n">
        <v>0</v>
      </c>
      <c r="R245" s="2" t="inlineStr"/>
    </row>
    <row r="246" ht="15" customHeight="1">
      <c r="A246" t="inlineStr">
        <is>
          <t>A 46147-2019</t>
        </is>
      </c>
      <c r="B246" s="1" t="n">
        <v>43718</v>
      </c>
      <c r="C246" s="1" t="n">
        <v>45640</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46877-2019</t>
        </is>
      </c>
      <c r="B247" s="1" t="n">
        <v>43720</v>
      </c>
      <c r="C247" s="1" t="n">
        <v>45640</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46896-2019</t>
        </is>
      </c>
      <c r="B248" s="1" t="n">
        <v>43720</v>
      </c>
      <c r="C248" s="1" t="n">
        <v>45640</v>
      </c>
      <c r="D248" t="inlineStr">
        <is>
          <t>UPPSALA LÄN</t>
        </is>
      </c>
      <c r="E248" t="inlineStr">
        <is>
          <t>UPPSALA</t>
        </is>
      </c>
      <c r="G248" t="n">
        <v>0.8</v>
      </c>
      <c r="H248" t="n">
        <v>0</v>
      </c>
      <c r="I248" t="n">
        <v>0</v>
      </c>
      <c r="J248" t="n">
        <v>0</v>
      </c>
      <c r="K248" t="n">
        <v>0</v>
      </c>
      <c r="L248" t="n">
        <v>0</v>
      </c>
      <c r="M248" t="n">
        <v>0</v>
      </c>
      <c r="N248" t="n">
        <v>0</v>
      </c>
      <c r="O248" t="n">
        <v>0</v>
      </c>
      <c r="P248" t="n">
        <v>0</v>
      </c>
      <c r="Q248" t="n">
        <v>0</v>
      </c>
      <c r="R248" s="2" t="inlineStr"/>
    </row>
    <row r="249" ht="15" customHeight="1">
      <c r="A249" t="inlineStr">
        <is>
          <t>A 48485-2019</t>
        </is>
      </c>
      <c r="B249" s="1" t="n">
        <v>43727</v>
      </c>
      <c r="C249" s="1" t="n">
        <v>45640</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49567-2019</t>
        </is>
      </c>
      <c r="B250" s="1" t="n">
        <v>43730</v>
      </c>
      <c r="C250" s="1" t="n">
        <v>45640</v>
      </c>
      <c r="D250" t="inlineStr">
        <is>
          <t>UPPSALA LÄN</t>
        </is>
      </c>
      <c r="E250" t="inlineStr">
        <is>
          <t>UPPSALA</t>
        </is>
      </c>
      <c r="G250" t="n">
        <v>6</v>
      </c>
      <c r="H250" t="n">
        <v>0</v>
      </c>
      <c r="I250" t="n">
        <v>0</v>
      </c>
      <c r="J250" t="n">
        <v>0</v>
      </c>
      <c r="K250" t="n">
        <v>0</v>
      </c>
      <c r="L250" t="n">
        <v>0</v>
      </c>
      <c r="M250" t="n">
        <v>0</v>
      </c>
      <c r="N250" t="n">
        <v>0</v>
      </c>
      <c r="O250" t="n">
        <v>0</v>
      </c>
      <c r="P250" t="n">
        <v>0</v>
      </c>
      <c r="Q250" t="n">
        <v>0</v>
      </c>
      <c r="R250" s="2" t="inlineStr"/>
    </row>
    <row r="251" ht="15" customHeight="1">
      <c r="A251" t="inlineStr">
        <is>
          <t>A 50180-2019</t>
        </is>
      </c>
      <c r="B251" s="1" t="n">
        <v>43733</v>
      </c>
      <c r="C251" s="1" t="n">
        <v>45640</v>
      </c>
      <c r="D251" t="inlineStr">
        <is>
          <t>UPPSALA LÄN</t>
        </is>
      </c>
      <c r="E251" t="inlineStr">
        <is>
          <t>UPPSALA</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50387-2019</t>
        </is>
      </c>
      <c r="B252" s="1" t="n">
        <v>43735</v>
      </c>
      <c r="C252" s="1" t="n">
        <v>45640</v>
      </c>
      <c r="D252" t="inlineStr">
        <is>
          <t>UPPSALA LÄN</t>
        </is>
      </c>
      <c r="E252" t="inlineStr">
        <is>
          <t>UPPSALA</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50415-2019</t>
        </is>
      </c>
      <c r="B253" s="1" t="n">
        <v>43735</v>
      </c>
      <c r="C253" s="1" t="n">
        <v>45640</v>
      </c>
      <c r="D253" t="inlineStr">
        <is>
          <t>UPPSALA LÄN</t>
        </is>
      </c>
      <c r="E253" t="inlineStr">
        <is>
          <t>UPPSALA</t>
        </is>
      </c>
      <c r="F253" t="inlineStr">
        <is>
          <t>Kyrkan</t>
        </is>
      </c>
      <c r="G253" t="n">
        <v>13.6</v>
      </c>
      <c r="H253" t="n">
        <v>0</v>
      </c>
      <c r="I253" t="n">
        <v>0</v>
      </c>
      <c r="J253" t="n">
        <v>0</v>
      </c>
      <c r="K253" t="n">
        <v>0</v>
      </c>
      <c r="L253" t="n">
        <v>0</v>
      </c>
      <c r="M253" t="n">
        <v>0</v>
      </c>
      <c r="N253" t="n">
        <v>0</v>
      </c>
      <c r="O253" t="n">
        <v>0</v>
      </c>
      <c r="P253" t="n">
        <v>0</v>
      </c>
      <c r="Q253" t="n">
        <v>0</v>
      </c>
      <c r="R253" s="2" t="inlineStr"/>
    </row>
    <row r="254" ht="15" customHeight="1">
      <c r="A254" t="inlineStr">
        <is>
          <t>A 50616-2019</t>
        </is>
      </c>
      <c r="B254" s="1" t="n">
        <v>43736</v>
      </c>
      <c r="C254" s="1" t="n">
        <v>45640</v>
      </c>
      <c r="D254" t="inlineStr">
        <is>
          <t>UPPSALA LÄN</t>
        </is>
      </c>
      <c r="E254" t="inlineStr">
        <is>
          <t>UPPSALA</t>
        </is>
      </c>
      <c r="G254" t="n">
        <v>4.8</v>
      </c>
      <c r="H254" t="n">
        <v>0</v>
      </c>
      <c r="I254" t="n">
        <v>0</v>
      </c>
      <c r="J254" t="n">
        <v>0</v>
      </c>
      <c r="K254" t="n">
        <v>0</v>
      </c>
      <c r="L254" t="n">
        <v>0</v>
      </c>
      <c r="M254" t="n">
        <v>0</v>
      </c>
      <c r="N254" t="n">
        <v>0</v>
      </c>
      <c r="O254" t="n">
        <v>0</v>
      </c>
      <c r="P254" t="n">
        <v>0</v>
      </c>
      <c r="Q254" t="n">
        <v>0</v>
      </c>
      <c r="R254" s="2" t="inlineStr"/>
    </row>
    <row r="255" ht="15" customHeight="1">
      <c r="A255" t="inlineStr">
        <is>
          <t>A 52386-2019</t>
        </is>
      </c>
      <c r="B255" s="1" t="n">
        <v>43745</v>
      </c>
      <c r="C255" s="1" t="n">
        <v>45640</v>
      </c>
      <c r="D255" t="inlineStr">
        <is>
          <t>UPPSALA LÄN</t>
        </is>
      </c>
      <c r="E255" t="inlineStr">
        <is>
          <t>UPPSALA</t>
        </is>
      </c>
      <c r="G255" t="n">
        <v>15.7</v>
      </c>
      <c r="H255" t="n">
        <v>0</v>
      </c>
      <c r="I255" t="n">
        <v>0</v>
      </c>
      <c r="J255" t="n">
        <v>0</v>
      </c>
      <c r="K255" t="n">
        <v>0</v>
      </c>
      <c r="L255" t="n">
        <v>0</v>
      </c>
      <c r="M255" t="n">
        <v>0</v>
      </c>
      <c r="N255" t="n">
        <v>0</v>
      </c>
      <c r="O255" t="n">
        <v>0</v>
      </c>
      <c r="P255" t="n">
        <v>0</v>
      </c>
      <c r="Q255" t="n">
        <v>0</v>
      </c>
      <c r="R255" s="2" t="inlineStr"/>
    </row>
    <row r="256" ht="15" customHeight="1">
      <c r="A256" t="inlineStr">
        <is>
          <t>A 52419-2019</t>
        </is>
      </c>
      <c r="B256" s="1" t="n">
        <v>43745</v>
      </c>
      <c r="C256" s="1" t="n">
        <v>45640</v>
      </c>
      <c r="D256" t="inlineStr">
        <is>
          <t>UPPSALA LÄN</t>
        </is>
      </c>
      <c r="E256" t="inlineStr">
        <is>
          <t>UPPSALA</t>
        </is>
      </c>
      <c r="F256" t="inlineStr">
        <is>
          <t>Allmännings- och besparingsskogar</t>
        </is>
      </c>
      <c r="G256" t="n">
        <v>5.3</v>
      </c>
      <c r="H256" t="n">
        <v>0</v>
      </c>
      <c r="I256" t="n">
        <v>0</v>
      </c>
      <c r="J256" t="n">
        <v>0</v>
      </c>
      <c r="K256" t="n">
        <v>0</v>
      </c>
      <c r="L256" t="n">
        <v>0</v>
      </c>
      <c r="M256" t="n">
        <v>0</v>
      </c>
      <c r="N256" t="n">
        <v>0</v>
      </c>
      <c r="O256" t="n">
        <v>0</v>
      </c>
      <c r="P256" t="n">
        <v>0</v>
      </c>
      <c r="Q256" t="n">
        <v>0</v>
      </c>
      <c r="R256" s="2" t="inlineStr"/>
    </row>
    <row r="257" ht="15" customHeight="1">
      <c r="A257" t="inlineStr">
        <is>
          <t>A 52950-2019</t>
        </is>
      </c>
      <c r="B257" s="1" t="n">
        <v>43747</v>
      </c>
      <c r="C257" s="1" t="n">
        <v>45640</v>
      </c>
      <c r="D257" t="inlineStr">
        <is>
          <t>UPPSALA LÄN</t>
        </is>
      </c>
      <c r="E257" t="inlineStr">
        <is>
          <t>UPPSALA</t>
        </is>
      </c>
      <c r="G257" t="n">
        <v>0.2</v>
      </c>
      <c r="H257" t="n">
        <v>0</v>
      </c>
      <c r="I257" t="n">
        <v>0</v>
      </c>
      <c r="J257" t="n">
        <v>0</v>
      </c>
      <c r="K257" t="n">
        <v>0</v>
      </c>
      <c r="L257" t="n">
        <v>0</v>
      </c>
      <c r="M257" t="n">
        <v>0</v>
      </c>
      <c r="N257" t="n">
        <v>0</v>
      </c>
      <c r="O257" t="n">
        <v>0</v>
      </c>
      <c r="P257" t="n">
        <v>0</v>
      </c>
      <c r="Q257" t="n">
        <v>0</v>
      </c>
      <c r="R257" s="2" t="inlineStr"/>
    </row>
    <row r="258" ht="15" customHeight="1">
      <c r="A258" t="inlineStr">
        <is>
          <t>A 53303-2019</t>
        </is>
      </c>
      <c r="B258" s="1" t="n">
        <v>43747</v>
      </c>
      <c r="C258" s="1" t="n">
        <v>45640</v>
      </c>
      <c r="D258" t="inlineStr">
        <is>
          <t>UPPSALA LÄN</t>
        </is>
      </c>
      <c r="E258" t="inlineStr">
        <is>
          <t>UPPSALA</t>
        </is>
      </c>
      <c r="F258" t="inlineStr">
        <is>
          <t>Allmännings- och besparingsskogar</t>
        </is>
      </c>
      <c r="G258" t="n">
        <v>17.5</v>
      </c>
      <c r="H258" t="n">
        <v>0</v>
      </c>
      <c r="I258" t="n">
        <v>0</v>
      </c>
      <c r="J258" t="n">
        <v>0</v>
      </c>
      <c r="K258" t="n">
        <v>0</v>
      </c>
      <c r="L258" t="n">
        <v>0</v>
      </c>
      <c r="M258" t="n">
        <v>0</v>
      </c>
      <c r="N258" t="n">
        <v>0</v>
      </c>
      <c r="O258" t="n">
        <v>0</v>
      </c>
      <c r="P258" t="n">
        <v>0</v>
      </c>
      <c r="Q258" t="n">
        <v>0</v>
      </c>
      <c r="R258" s="2" t="inlineStr"/>
    </row>
    <row r="259" ht="15" customHeight="1">
      <c r="A259" t="inlineStr">
        <is>
          <t>A 53316-2019</t>
        </is>
      </c>
      <c r="B259" s="1" t="n">
        <v>43748</v>
      </c>
      <c r="C259" s="1" t="n">
        <v>45640</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54757-2019</t>
        </is>
      </c>
      <c r="B260" s="1" t="n">
        <v>43755</v>
      </c>
      <c r="C260" s="1" t="n">
        <v>45640</v>
      </c>
      <c r="D260" t="inlineStr">
        <is>
          <t>UPPSALA LÄN</t>
        </is>
      </c>
      <c r="E260" t="inlineStr">
        <is>
          <t>UPPSALA</t>
        </is>
      </c>
      <c r="F260" t="inlineStr">
        <is>
          <t>Övriga statliga verk och myndigheter</t>
        </is>
      </c>
      <c r="G260" t="n">
        <v>1.5</v>
      </c>
      <c r="H260" t="n">
        <v>0</v>
      </c>
      <c r="I260" t="n">
        <v>0</v>
      </c>
      <c r="J260" t="n">
        <v>0</v>
      </c>
      <c r="K260" t="n">
        <v>0</v>
      </c>
      <c r="L260" t="n">
        <v>0</v>
      </c>
      <c r="M260" t="n">
        <v>0</v>
      </c>
      <c r="N260" t="n">
        <v>0</v>
      </c>
      <c r="O260" t="n">
        <v>0</v>
      </c>
      <c r="P260" t="n">
        <v>0</v>
      </c>
      <c r="Q260" t="n">
        <v>0</v>
      </c>
      <c r="R260" s="2" t="inlineStr"/>
    </row>
    <row r="261" ht="15" customHeight="1">
      <c r="A261" t="inlineStr">
        <is>
          <t>A 56041-2019</t>
        </is>
      </c>
      <c r="B261" s="1" t="n">
        <v>43759</v>
      </c>
      <c r="C261" s="1" t="n">
        <v>45640</v>
      </c>
      <c r="D261" t="inlineStr">
        <is>
          <t>UPPSALA LÄN</t>
        </is>
      </c>
      <c r="E261" t="inlineStr">
        <is>
          <t>UPPSALA</t>
        </is>
      </c>
      <c r="G261" t="n">
        <v>0.7</v>
      </c>
      <c r="H261" t="n">
        <v>0</v>
      </c>
      <c r="I261" t="n">
        <v>0</v>
      </c>
      <c r="J261" t="n">
        <v>0</v>
      </c>
      <c r="K261" t="n">
        <v>0</v>
      </c>
      <c r="L261" t="n">
        <v>0</v>
      </c>
      <c r="M261" t="n">
        <v>0</v>
      </c>
      <c r="N261" t="n">
        <v>0</v>
      </c>
      <c r="O261" t="n">
        <v>0</v>
      </c>
      <c r="P261" t="n">
        <v>0</v>
      </c>
      <c r="Q261" t="n">
        <v>0</v>
      </c>
      <c r="R261" s="2" t="inlineStr"/>
    </row>
    <row r="262" ht="15" customHeight="1">
      <c r="A262" t="inlineStr">
        <is>
          <t>A 56634-2019</t>
        </is>
      </c>
      <c r="B262" s="1" t="n">
        <v>43763</v>
      </c>
      <c r="C262" s="1" t="n">
        <v>45640</v>
      </c>
      <c r="D262" t="inlineStr">
        <is>
          <t>UPPSALA LÄN</t>
        </is>
      </c>
      <c r="E262" t="inlineStr">
        <is>
          <t>UPPSALA</t>
        </is>
      </c>
      <c r="F262" t="inlineStr">
        <is>
          <t>Övriga Aktiebolag</t>
        </is>
      </c>
      <c r="G262" t="n">
        <v>0.6</v>
      </c>
      <c r="H262" t="n">
        <v>0</v>
      </c>
      <c r="I262" t="n">
        <v>0</v>
      </c>
      <c r="J262" t="n">
        <v>0</v>
      </c>
      <c r="K262" t="n">
        <v>0</v>
      </c>
      <c r="L262" t="n">
        <v>0</v>
      </c>
      <c r="M262" t="n">
        <v>0</v>
      </c>
      <c r="N262" t="n">
        <v>0</v>
      </c>
      <c r="O262" t="n">
        <v>0</v>
      </c>
      <c r="P262" t="n">
        <v>0</v>
      </c>
      <c r="Q262" t="n">
        <v>0</v>
      </c>
      <c r="R262" s="2" t="inlineStr"/>
    </row>
    <row r="263" ht="15" customHeight="1">
      <c r="A263" t="inlineStr">
        <is>
          <t>A 58445-2019</t>
        </is>
      </c>
      <c r="B263" s="1" t="n">
        <v>43773</v>
      </c>
      <c r="C263" s="1" t="n">
        <v>45640</v>
      </c>
      <c r="D263" t="inlineStr">
        <is>
          <t>UPPSALA LÄN</t>
        </is>
      </c>
      <c r="E263" t="inlineStr">
        <is>
          <t>UPPSALA</t>
        </is>
      </c>
      <c r="G263" t="n">
        <v>5</v>
      </c>
      <c r="H263" t="n">
        <v>0</v>
      </c>
      <c r="I263" t="n">
        <v>0</v>
      </c>
      <c r="J263" t="n">
        <v>0</v>
      </c>
      <c r="K263" t="n">
        <v>0</v>
      </c>
      <c r="L263" t="n">
        <v>0</v>
      </c>
      <c r="M263" t="n">
        <v>0</v>
      </c>
      <c r="N263" t="n">
        <v>0</v>
      </c>
      <c r="O263" t="n">
        <v>0</v>
      </c>
      <c r="P263" t="n">
        <v>0</v>
      </c>
      <c r="Q263" t="n">
        <v>0</v>
      </c>
      <c r="R263" s="2" t="inlineStr"/>
    </row>
    <row r="264" ht="15" customHeight="1">
      <c r="A264" t="inlineStr">
        <is>
          <t>A 58527-2019</t>
        </is>
      </c>
      <c r="B264" s="1" t="n">
        <v>43773</v>
      </c>
      <c r="C264" s="1" t="n">
        <v>45640</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58903-2019</t>
        </is>
      </c>
      <c r="B265" s="1" t="n">
        <v>43773</v>
      </c>
      <c r="C265" s="1" t="n">
        <v>45640</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60011-2019</t>
        </is>
      </c>
      <c r="B266" s="1" t="n">
        <v>43777</v>
      </c>
      <c r="C266" s="1" t="n">
        <v>45640</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60159-2019</t>
        </is>
      </c>
      <c r="B267" s="1" t="n">
        <v>43777</v>
      </c>
      <c r="C267" s="1" t="n">
        <v>45640</v>
      </c>
      <c r="D267" t="inlineStr">
        <is>
          <t>UPPSALA LÄN</t>
        </is>
      </c>
      <c r="E267" t="inlineStr">
        <is>
          <t>UPPSALA</t>
        </is>
      </c>
      <c r="F267" t="inlineStr">
        <is>
          <t>Övriga Aktiebolag</t>
        </is>
      </c>
      <c r="G267" t="n">
        <v>1.5</v>
      </c>
      <c r="H267" t="n">
        <v>0</v>
      </c>
      <c r="I267" t="n">
        <v>0</v>
      </c>
      <c r="J267" t="n">
        <v>0</v>
      </c>
      <c r="K267" t="n">
        <v>0</v>
      </c>
      <c r="L267" t="n">
        <v>0</v>
      </c>
      <c r="M267" t="n">
        <v>0</v>
      </c>
      <c r="N267" t="n">
        <v>0</v>
      </c>
      <c r="O267" t="n">
        <v>0</v>
      </c>
      <c r="P267" t="n">
        <v>0</v>
      </c>
      <c r="Q267" t="n">
        <v>0</v>
      </c>
      <c r="R267" s="2" t="inlineStr"/>
    </row>
    <row r="268" ht="15" customHeight="1">
      <c r="A268" t="inlineStr">
        <is>
          <t>A 60163-2019</t>
        </is>
      </c>
      <c r="B268" s="1" t="n">
        <v>43780</v>
      </c>
      <c r="C268" s="1" t="n">
        <v>45640</v>
      </c>
      <c r="D268" t="inlineStr">
        <is>
          <t>UPPSALA LÄN</t>
        </is>
      </c>
      <c r="E268" t="inlineStr">
        <is>
          <t>UPPSALA</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60579-2019</t>
        </is>
      </c>
      <c r="B269" s="1" t="n">
        <v>43780</v>
      </c>
      <c r="C269" s="1" t="n">
        <v>45640</v>
      </c>
      <c r="D269" t="inlineStr">
        <is>
          <t>UPPSALA LÄN</t>
        </is>
      </c>
      <c r="E269" t="inlineStr">
        <is>
          <t>UPPSALA</t>
        </is>
      </c>
      <c r="F269" t="inlineStr">
        <is>
          <t>Övriga Aktiebolag</t>
        </is>
      </c>
      <c r="G269" t="n">
        <v>3.8</v>
      </c>
      <c r="H269" t="n">
        <v>0</v>
      </c>
      <c r="I269" t="n">
        <v>0</v>
      </c>
      <c r="J269" t="n">
        <v>0</v>
      </c>
      <c r="K269" t="n">
        <v>0</v>
      </c>
      <c r="L269" t="n">
        <v>0</v>
      </c>
      <c r="M269" t="n">
        <v>0</v>
      </c>
      <c r="N269" t="n">
        <v>0</v>
      </c>
      <c r="O269" t="n">
        <v>0</v>
      </c>
      <c r="P269" t="n">
        <v>0</v>
      </c>
      <c r="Q269" t="n">
        <v>0</v>
      </c>
      <c r="R269" s="2" t="inlineStr"/>
    </row>
    <row r="270" ht="15" customHeight="1">
      <c r="A270" t="inlineStr">
        <is>
          <t>A 62308-2019</t>
        </is>
      </c>
      <c r="B270" s="1" t="n">
        <v>43782</v>
      </c>
      <c r="C270" s="1" t="n">
        <v>45640</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61667-2019</t>
        </is>
      </c>
      <c r="B271" s="1" t="n">
        <v>43784</v>
      </c>
      <c r="C271" s="1" t="n">
        <v>45640</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63145-2019</t>
        </is>
      </c>
      <c r="B272" s="1" t="n">
        <v>43791</v>
      </c>
      <c r="C272" s="1" t="n">
        <v>45640</v>
      </c>
      <c r="D272" t="inlineStr">
        <is>
          <t>UPPSALA LÄN</t>
        </is>
      </c>
      <c r="E272" t="inlineStr">
        <is>
          <t>UPPSALA</t>
        </is>
      </c>
      <c r="G272" t="n">
        <v>1.8</v>
      </c>
      <c r="H272" t="n">
        <v>0</v>
      </c>
      <c r="I272" t="n">
        <v>0</v>
      </c>
      <c r="J272" t="n">
        <v>0</v>
      </c>
      <c r="K272" t="n">
        <v>0</v>
      </c>
      <c r="L272" t="n">
        <v>0</v>
      </c>
      <c r="M272" t="n">
        <v>0</v>
      </c>
      <c r="N272" t="n">
        <v>0</v>
      </c>
      <c r="O272" t="n">
        <v>0</v>
      </c>
      <c r="P272" t="n">
        <v>0</v>
      </c>
      <c r="Q272" t="n">
        <v>0</v>
      </c>
      <c r="R272" s="2" t="inlineStr"/>
    </row>
    <row r="273" ht="15" customHeight="1">
      <c r="A273" t="inlineStr">
        <is>
          <t>A 63091-2019</t>
        </is>
      </c>
      <c r="B273" s="1" t="n">
        <v>43791</v>
      </c>
      <c r="C273" s="1" t="n">
        <v>45640</v>
      </c>
      <c r="D273" t="inlineStr">
        <is>
          <t>UPPSALA LÄN</t>
        </is>
      </c>
      <c r="E273" t="inlineStr">
        <is>
          <t>UPPSALA</t>
        </is>
      </c>
      <c r="G273" t="n">
        <v>1.7</v>
      </c>
      <c r="H273" t="n">
        <v>0</v>
      </c>
      <c r="I273" t="n">
        <v>0</v>
      </c>
      <c r="J273" t="n">
        <v>0</v>
      </c>
      <c r="K273" t="n">
        <v>0</v>
      </c>
      <c r="L273" t="n">
        <v>0</v>
      </c>
      <c r="M273" t="n">
        <v>0</v>
      </c>
      <c r="N273" t="n">
        <v>0</v>
      </c>
      <c r="O273" t="n">
        <v>0</v>
      </c>
      <c r="P273" t="n">
        <v>0</v>
      </c>
      <c r="Q273" t="n">
        <v>0</v>
      </c>
      <c r="R273" s="2" t="inlineStr"/>
    </row>
    <row r="274" ht="15" customHeight="1">
      <c r="A274" t="inlineStr">
        <is>
          <t>A 63099-2019</t>
        </is>
      </c>
      <c r="B274" s="1" t="n">
        <v>43791</v>
      </c>
      <c r="C274" s="1" t="n">
        <v>45640</v>
      </c>
      <c r="D274" t="inlineStr">
        <is>
          <t>UPPSALA LÄN</t>
        </is>
      </c>
      <c r="E274" t="inlineStr">
        <is>
          <t>UPPSALA</t>
        </is>
      </c>
      <c r="G274" t="n">
        <v>4.4</v>
      </c>
      <c r="H274" t="n">
        <v>0</v>
      </c>
      <c r="I274" t="n">
        <v>0</v>
      </c>
      <c r="J274" t="n">
        <v>0</v>
      </c>
      <c r="K274" t="n">
        <v>0</v>
      </c>
      <c r="L274" t="n">
        <v>0</v>
      </c>
      <c r="M274" t="n">
        <v>0</v>
      </c>
      <c r="N274" t="n">
        <v>0</v>
      </c>
      <c r="O274" t="n">
        <v>0</v>
      </c>
      <c r="P274" t="n">
        <v>0</v>
      </c>
      <c r="Q274" t="n">
        <v>0</v>
      </c>
      <c r="R274" s="2" t="inlineStr"/>
    </row>
    <row r="275" ht="15" customHeight="1">
      <c r="A275" t="inlineStr">
        <is>
          <t>A 63118-2019</t>
        </is>
      </c>
      <c r="B275" s="1" t="n">
        <v>43791</v>
      </c>
      <c r="C275" s="1" t="n">
        <v>45640</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63589-2019</t>
        </is>
      </c>
      <c r="B276" s="1" t="n">
        <v>43795</v>
      </c>
      <c r="C276" s="1" t="n">
        <v>45640</v>
      </c>
      <c r="D276" t="inlineStr">
        <is>
          <t>UPPSALA LÄN</t>
        </is>
      </c>
      <c r="E276" t="inlineStr">
        <is>
          <t>UPPSALA</t>
        </is>
      </c>
      <c r="G276" t="n">
        <v>3.8</v>
      </c>
      <c r="H276" t="n">
        <v>0</v>
      </c>
      <c r="I276" t="n">
        <v>0</v>
      </c>
      <c r="J276" t="n">
        <v>0</v>
      </c>
      <c r="K276" t="n">
        <v>0</v>
      </c>
      <c r="L276" t="n">
        <v>0</v>
      </c>
      <c r="M276" t="n">
        <v>0</v>
      </c>
      <c r="N276" t="n">
        <v>0</v>
      </c>
      <c r="O276" t="n">
        <v>0</v>
      </c>
      <c r="P276" t="n">
        <v>0</v>
      </c>
      <c r="Q276" t="n">
        <v>0</v>
      </c>
      <c r="R276" s="2" t="inlineStr"/>
    </row>
    <row r="277" ht="15" customHeight="1">
      <c r="A277" t="inlineStr">
        <is>
          <t>A 63757-2019</t>
        </is>
      </c>
      <c r="B277" s="1" t="n">
        <v>43795</v>
      </c>
      <c r="C277" s="1" t="n">
        <v>45640</v>
      </c>
      <c r="D277" t="inlineStr">
        <is>
          <t>UPPSALA LÄN</t>
        </is>
      </c>
      <c r="E277" t="inlineStr">
        <is>
          <t>UPPSALA</t>
        </is>
      </c>
      <c r="G277" t="n">
        <v>6.9</v>
      </c>
      <c r="H277" t="n">
        <v>0</v>
      </c>
      <c r="I277" t="n">
        <v>0</v>
      </c>
      <c r="J277" t="n">
        <v>0</v>
      </c>
      <c r="K277" t="n">
        <v>0</v>
      </c>
      <c r="L277" t="n">
        <v>0</v>
      </c>
      <c r="M277" t="n">
        <v>0</v>
      </c>
      <c r="N277" t="n">
        <v>0</v>
      </c>
      <c r="O277" t="n">
        <v>0</v>
      </c>
      <c r="P277" t="n">
        <v>0</v>
      </c>
      <c r="Q277" t="n">
        <v>0</v>
      </c>
      <c r="R277" s="2" t="inlineStr"/>
    </row>
    <row r="278" ht="15" customHeight="1">
      <c r="A278" t="inlineStr">
        <is>
          <t>A 63756-2019</t>
        </is>
      </c>
      <c r="B278" s="1" t="n">
        <v>43795</v>
      </c>
      <c r="C278" s="1" t="n">
        <v>45640</v>
      </c>
      <c r="D278" t="inlineStr">
        <is>
          <t>UPPSALA LÄN</t>
        </is>
      </c>
      <c r="E278" t="inlineStr">
        <is>
          <t>UPPSALA</t>
        </is>
      </c>
      <c r="G278" t="n">
        <v>6.5</v>
      </c>
      <c r="H278" t="n">
        <v>0</v>
      </c>
      <c r="I278" t="n">
        <v>0</v>
      </c>
      <c r="J278" t="n">
        <v>0</v>
      </c>
      <c r="K278" t="n">
        <v>0</v>
      </c>
      <c r="L278" t="n">
        <v>0</v>
      </c>
      <c r="M278" t="n">
        <v>0</v>
      </c>
      <c r="N278" t="n">
        <v>0</v>
      </c>
      <c r="O278" t="n">
        <v>0</v>
      </c>
      <c r="P278" t="n">
        <v>0</v>
      </c>
      <c r="Q278" t="n">
        <v>0</v>
      </c>
      <c r="R278" s="2" t="inlineStr"/>
    </row>
    <row r="279" ht="15" customHeight="1">
      <c r="A279" t="inlineStr">
        <is>
          <t>A 64836-2019</t>
        </is>
      </c>
      <c r="B279" s="1" t="n">
        <v>43801</v>
      </c>
      <c r="C279" s="1" t="n">
        <v>45640</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64834-2019</t>
        </is>
      </c>
      <c r="B280" s="1" t="n">
        <v>43801</v>
      </c>
      <c r="C280" s="1" t="n">
        <v>45640</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65527-2019</t>
        </is>
      </c>
      <c r="B281" s="1" t="n">
        <v>43803</v>
      </c>
      <c r="C281" s="1" t="n">
        <v>45640</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65668-2019</t>
        </is>
      </c>
      <c r="B282" s="1" t="n">
        <v>43804</v>
      </c>
      <c r="C282" s="1" t="n">
        <v>45640</v>
      </c>
      <c r="D282" t="inlineStr">
        <is>
          <t>UPPSALA LÄN</t>
        </is>
      </c>
      <c r="E282" t="inlineStr">
        <is>
          <t>UPPSALA</t>
        </is>
      </c>
      <c r="G282" t="n">
        <v>7.6</v>
      </c>
      <c r="H282" t="n">
        <v>0</v>
      </c>
      <c r="I282" t="n">
        <v>0</v>
      </c>
      <c r="J282" t="n">
        <v>0</v>
      </c>
      <c r="K282" t="n">
        <v>0</v>
      </c>
      <c r="L282" t="n">
        <v>0</v>
      </c>
      <c r="M282" t="n">
        <v>0</v>
      </c>
      <c r="N282" t="n">
        <v>0</v>
      </c>
      <c r="O282" t="n">
        <v>0</v>
      </c>
      <c r="P282" t="n">
        <v>0</v>
      </c>
      <c r="Q282" t="n">
        <v>0</v>
      </c>
      <c r="R282" s="2" t="inlineStr"/>
    </row>
    <row r="283" ht="15" customHeight="1">
      <c r="A283" t="inlineStr">
        <is>
          <t>A 66167-2019</t>
        </is>
      </c>
      <c r="B283" s="1" t="n">
        <v>43808</v>
      </c>
      <c r="C283" s="1" t="n">
        <v>45640</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66270-2019</t>
        </is>
      </c>
      <c r="B284" s="1" t="n">
        <v>43808</v>
      </c>
      <c r="C284" s="1" t="n">
        <v>45640</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67108-2019</t>
        </is>
      </c>
      <c r="B285" s="1" t="n">
        <v>43811</v>
      </c>
      <c r="C285" s="1" t="n">
        <v>45640</v>
      </c>
      <c r="D285" t="inlineStr">
        <is>
          <t>UPPSALA LÄN</t>
        </is>
      </c>
      <c r="E285" t="inlineStr">
        <is>
          <t>UPPSALA</t>
        </is>
      </c>
      <c r="G285" t="n">
        <v>2.7</v>
      </c>
      <c r="H285" t="n">
        <v>0</v>
      </c>
      <c r="I285" t="n">
        <v>0</v>
      </c>
      <c r="J285" t="n">
        <v>0</v>
      </c>
      <c r="K285" t="n">
        <v>0</v>
      </c>
      <c r="L285" t="n">
        <v>0</v>
      </c>
      <c r="M285" t="n">
        <v>0</v>
      </c>
      <c r="N285" t="n">
        <v>0</v>
      </c>
      <c r="O285" t="n">
        <v>0</v>
      </c>
      <c r="P285" t="n">
        <v>0</v>
      </c>
      <c r="Q285" t="n">
        <v>0</v>
      </c>
      <c r="R285" s="2" t="inlineStr"/>
    </row>
    <row r="286" ht="15" customHeight="1">
      <c r="A286" t="inlineStr">
        <is>
          <t>A 67281-2019</t>
        </is>
      </c>
      <c r="B286" s="1" t="n">
        <v>43812</v>
      </c>
      <c r="C286" s="1" t="n">
        <v>45640</v>
      </c>
      <c r="D286" t="inlineStr">
        <is>
          <t>UPPSALA LÄN</t>
        </is>
      </c>
      <c r="E286" t="inlineStr">
        <is>
          <t>UPPSALA</t>
        </is>
      </c>
      <c r="F286" t="inlineStr">
        <is>
          <t>Allmännings- och besparingsskogar</t>
        </is>
      </c>
      <c r="G286" t="n">
        <v>1.2</v>
      </c>
      <c r="H286" t="n">
        <v>0</v>
      </c>
      <c r="I286" t="n">
        <v>0</v>
      </c>
      <c r="J286" t="n">
        <v>0</v>
      </c>
      <c r="K286" t="n">
        <v>0</v>
      </c>
      <c r="L286" t="n">
        <v>0</v>
      </c>
      <c r="M286" t="n">
        <v>0</v>
      </c>
      <c r="N286" t="n">
        <v>0</v>
      </c>
      <c r="O286" t="n">
        <v>0</v>
      </c>
      <c r="P286" t="n">
        <v>0</v>
      </c>
      <c r="Q286" t="n">
        <v>0</v>
      </c>
      <c r="R286" s="2" t="inlineStr"/>
    </row>
    <row r="287" ht="15" customHeight="1">
      <c r="A287" t="inlineStr">
        <is>
          <t>A 67508-2019</t>
        </is>
      </c>
      <c r="B287" s="1" t="n">
        <v>43814</v>
      </c>
      <c r="C287" s="1" t="n">
        <v>45640</v>
      </c>
      <c r="D287" t="inlineStr">
        <is>
          <t>UPPSALA LÄN</t>
        </is>
      </c>
      <c r="E287" t="inlineStr">
        <is>
          <t>UPPSALA</t>
        </is>
      </c>
      <c r="F287" t="inlineStr">
        <is>
          <t>Allmännings- och besparingsskogar</t>
        </is>
      </c>
      <c r="G287" t="n">
        <v>4.9</v>
      </c>
      <c r="H287" t="n">
        <v>0</v>
      </c>
      <c r="I287" t="n">
        <v>0</v>
      </c>
      <c r="J287" t="n">
        <v>0</v>
      </c>
      <c r="K287" t="n">
        <v>0</v>
      </c>
      <c r="L287" t="n">
        <v>0</v>
      </c>
      <c r="M287" t="n">
        <v>0</v>
      </c>
      <c r="N287" t="n">
        <v>0</v>
      </c>
      <c r="O287" t="n">
        <v>0</v>
      </c>
      <c r="P287" t="n">
        <v>0</v>
      </c>
      <c r="Q287" t="n">
        <v>0</v>
      </c>
      <c r="R287" s="2" t="inlineStr"/>
    </row>
    <row r="288" ht="15" customHeight="1">
      <c r="A288" t="inlineStr">
        <is>
          <t>A 67504-2019</t>
        </is>
      </c>
      <c r="B288" s="1" t="n">
        <v>43814</v>
      </c>
      <c r="C288" s="1" t="n">
        <v>45640</v>
      </c>
      <c r="D288" t="inlineStr">
        <is>
          <t>UPPSALA LÄN</t>
        </is>
      </c>
      <c r="E288" t="inlineStr">
        <is>
          <t>UPPSALA</t>
        </is>
      </c>
      <c r="F288" t="inlineStr">
        <is>
          <t>Allmännings- och besparingsskogar</t>
        </is>
      </c>
      <c r="G288" t="n">
        <v>21.9</v>
      </c>
      <c r="H288" t="n">
        <v>0</v>
      </c>
      <c r="I288" t="n">
        <v>0</v>
      </c>
      <c r="J288" t="n">
        <v>0</v>
      </c>
      <c r="K288" t="n">
        <v>0</v>
      </c>
      <c r="L288" t="n">
        <v>0</v>
      </c>
      <c r="M288" t="n">
        <v>0</v>
      </c>
      <c r="N288" t="n">
        <v>0</v>
      </c>
      <c r="O288" t="n">
        <v>0</v>
      </c>
      <c r="P288" t="n">
        <v>0</v>
      </c>
      <c r="Q288" t="n">
        <v>0</v>
      </c>
      <c r="R288" s="2" t="inlineStr"/>
    </row>
    <row r="289" ht="15" customHeight="1">
      <c r="A289" t="inlineStr">
        <is>
          <t>A 67720-2019</t>
        </is>
      </c>
      <c r="B289" s="1" t="n">
        <v>43815</v>
      </c>
      <c r="C289" s="1" t="n">
        <v>45640</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67592-2019</t>
        </is>
      </c>
      <c r="B290" s="1" t="n">
        <v>43815</v>
      </c>
      <c r="C290" s="1" t="n">
        <v>45640</v>
      </c>
      <c r="D290" t="inlineStr">
        <is>
          <t>UPPSALA LÄN</t>
        </is>
      </c>
      <c r="E290" t="inlineStr">
        <is>
          <t>UPPSALA</t>
        </is>
      </c>
      <c r="F290" t="inlineStr">
        <is>
          <t>Övriga statliga verk och myndigheter</t>
        </is>
      </c>
      <c r="G290" t="n">
        <v>0.8</v>
      </c>
      <c r="H290" t="n">
        <v>0</v>
      </c>
      <c r="I290" t="n">
        <v>0</v>
      </c>
      <c r="J290" t="n">
        <v>0</v>
      </c>
      <c r="K290" t="n">
        <v>0</v>
      </c>
      <c r="L290" t="n">
        <v>0</v>
      </c>
      <c r="M290" t="n">
        <v>0</v>
      </c>
      <c r="N290" t="n">
        <v>0</v>
      </c>
      <c r="O290" t="n">
        <v>0</v>
      </c>
      <c r="P290" t="n">
        <v>0</v>
      </c>
      <c r="Q290" t="n">
        <v>0</v>
      </c>
      <c r="R290" s="2" t="inlineStr"/>
    </row>
    <row r="291" ht="15" customHeight="1">
      <c r="A291" t="inlineStr">
        <is>
          <t>A 68264-2019</t>
        </is>
      </c>
      <c r="B291" s="1" t="n">
        <v>43817</v>
      </c>
      <c r="C291" s="1" t="n">
        <v>45640</v>
      </c>
      <c r="D291" t="inlineStr">
        <is>
          <t>UPPSALA LÄN</t>
        </is>
      </c>
      <c r="E291" t="inlineStr">
        <is>
          <t>UPPSALA</t>
        </is>
      </c>
      <c r="G291" t="n">
        <v>2.9</v>
      </c>
      <c r="H291" t="n">
        <v>0</v>
      </c>
      <c r="I291" t="n">
        <v>0</v>
      </c>
      <c r="J291" t="n">
        <v>0</v>
      </c>
      <c r="K291" t="n">
        <v>0</v>
      </c>
      <c r="L291" t="n">
        <v>0</v>
      </c>
      <c r="M291" t="n">
        <v>0</v>
      </c>
      <c r="N291" t="n">
        <v>0</v>
      </c>
      <c r="O291" t="n">
        <v>0</v>
      </c>
      <c r="P291" t="n">
        <v>0</v>
      </c>
      <c r="Q291" t="n">
        <v>0</v>
      </c>
      <c r="R291" s="2" t="inlineStr"/>
    </row>
    <row r="292" ht="15" customHeight="1">
      <c r="A292" t="inlineStr">
        <is>
          <t>A 68265-2019</t>
        </is>
      </c>
      <c r="B292" s="1" t="n">
        <v>43817</v>
      </c>
      <c r="C292" s="1" t="n">
        <v>45640</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68317-2019</t>
        </is>
      </c>
      <c r="B293" s="1" t="n">
        <v>43818</v>
      </c>
      <c r="C293" s="1" t="n">
        <v>45640</v>
      </c>
      <c r="D293" t="inlineStr">
        <is>
          <t>UPPSALA LÄN</t>
        </is>
      </c>
      <c r="E293" t="inlineStr">
        <is>
          <t>UPPSALA</t>
        </is>
      </c>
      <c r="G293" t="n">
        <v>1.1</v>
      </c>
      <c r="H293" t="n">
        <v>0</v>
      </c>
      <c r="I293" t="n">
        <v>0</v>
      </c>
      <c r="J293" t="n">
        <v>0</v>
      </c>
      <c r="K293" t="n">
        <v>0</v>
      </c>
      <c r="L293" t="n">
        <v>0</v>
      </c>
      <c r="M293" t="n">
        <v>0</v>
      </c>
      <c r="N293" t="n">
        <v>0</v>
      </c>
      <c r="O293" t="n">
        <v>0</v>
      </c>
      <c r="P293" t="n">
        <v>0</v>
      </c>
      <c r="Q293" t="n">
        <v>0</v>
      </c>
      <c r="R293" s="2" t="inlineStr"/>
    </row>
    <row r="294" ht="15" customHeight="1">
      <c r="A294" t="inlineStr">
        <is>
          <t>A 68316-2019</t>
        </is>
      </c>
      <c r="B294" s="1" t="n">
        <v>43818</v>
      </c>
      <c r="C294" s="1" t="n">
        <v>45640</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68908-2019</t>
        </is>
      </c>
      <c r="B295" s="1" t="n">
        <v>43822</v>
      </c>
      <c r="C295" s="1" t="n">
        <v>45640</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529-2020</t>
        </is>
      </c>
      <c r="B296" s="1" t="n">
        <v>43837</v>
      </c>
      <c r="C296" s="1" t="n">
        <v>45640</v>
      </c>
      <c r="D296" t="inlineStr">
        <is>
          <t>UPPSALA LÄN</t>
        </is>
      </c>
      <c r="E296" t="inlineStr">
        <is>
          <t>UPPSALA</t>
        </is>
      </c>
      <c r="G296" t="n">
        <v>1.6</v>
      </c>
      <c r="H296" t="n">
        <v>0</v>
      </c>
      <c r="I296" t="n">
        <v>0</v>
      </c>
      <c r="J296" t="n">
        <v>0</v>
      </c>
      <c r="K296" t="n">
        <v>0</v>
      </c>
      <c r="L296" t="n">
        <v>0</v>
      </c>
      <c r="M296" t="n">
        <v>0</v>
      </c>
      <c r="N296" t="n">
        <v>0</v>
      </c>
      <c r="O296" t="n">
        <v>0</v>
      </c>
      <c r="P296" t="n">
        <v>0</v>
      </c>
      <c r="Q296" t="n">
        <v>0</v>
      </c>
      <c r="R296" s="2" t="inlineStr"/>
    </row>
    <row r="297" ht="15" customHeight="1">
      <c r="A297" t="inlineStr">
        <is>
          <t>A 1891-2020</t>
        </is>
      </c>
      <c r="B297" s="1" t="n">
        <v>43837</v>
      </c>
      <c r="C297" s="1" t="n">
        <v>45640</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701-2020</t>
        </is>
      </c>
      <c r="B298" s="1" t="n">
        <v>43838</v>
      </c>
      <c r="C298" s="1" t="n">
        <v>45640</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1171-2020</t>
        </is>
      </c>
      <c r="B299" s="1" t="n">
        <v>43840</v>
      </c>
      <c r="C299" s="1" t="n">
        <v>45640</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1688-2020</t>
        </is>
      </c>
      <c r="B300" s="1" t="n">
        <v>43844</v>
      </c>
      <c r="C300" s="1" t="n">
        <v>45640</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2162-2020</t>
        </is>
      </c>
      <c r="B301" s="1" t="n">
        <v>43846</v>
      </c>
      <c r="C301" s="1" t="n">
        <v>45640</v>
      </c>
      <c r="D301" t="inlineStr">
        <is>
          <t>UPPSALA LÄN</t>
        </is>
      </c>
      <c r="E301" t="inlineStr">
        <is>
          <t>UPPSALA</t>
        </is>
      </c>
      <c r="G301" t="n">
        <v>2.5</v>
      </c>
      <c r="H301" t="n">
        <v>0</v>
      </c>
      <c r="I301" t="n">
        <v>0</v>
      </c>
      <c r="J301" t="n">
        <v>0</v>
      </c>
      <c r="K301" t="n">
        <v>0</v>
      </c>
      <c r="L301" t="n">
        <v>0</v>
      </c>
      <c r="M301" t="n">
        <v>0</v>
      </c>
      <c r="N301" t="n">
        <v>0</v>
      </c>
      <c r="O301" t="n">
        <v>0</v>
      </c>
      <c r="P301" t="n">
        <v>0</v>
      </c>
      <c r="Q301" t="n">
        <v>0</v>
      </c>
      <c r="R301" s="2" t="inlineStr"/>
    </row>
    <row r="302" ht="15" customHeight="1">
      <c r="A302" t="inlineStr">
        <is>
          <t>A 2895-2020</t>
        </is>
      </c>
      <c r="B302" s="1" t="n">
        <v>43850</v>
      </c>
      <c r="C302" s="1" t="n">
        <v>45640</v>
      </c>
      <c r="D302" t="inlineStr">
        <is>
          <t>UPPSALA LÄN</t>
        </is>
      </c>
      <c r="E302" t="inlineStr">
        <is>
          <t>UPPSALA</t>
        </is>
      </c>
      <c r="G302" t="n">
        <v>3.8</v>
      </c>
      <c r="H302" t="n">
        <v>0</v>
      </c>
      <c r="I302" t="n">
        <v>0</v>
      </c>
      <c r="J302" t="n">
        <v>0</v>
      </c>
      <c r="K302" t="n">
        <v>0</v>
      </c>
      <c r="L302" t="n">
        <v>0</v>
      </c>
      <c r="M302" t="n">
        <v>0</v>
      </c>
      <c r="N302" t="n">
        <v>0</v>
      </c>
      <c r="O302" t="n">
        <v>0</v>
      </c>
      <c r="P302" t="n">
        <v>0</v>
      </c>
      <c r="Q302" t="n">
        <v>0</v>
      </c>
      <c r="R302" s="2" t="inlineStr"/>
    </row>
    <row r="303" ht="15" customHeight="1">
      <c r="A303" t="inlineStr">
        <is>
          <t>A 3693-2020</t>
        </is>
      </c>
      <c r="B303" s="1" t="n">
        <v>43853</v>
      </c>
      <c r="C303" s="1" t="n">
        <v>45640</v>
      </c>
      <c r="D303" t="inlineStr">
        <is>
          <t>UPPSALA LÄN</t>
        </is>
      </c>
      <c r="E303" t="inlineStr">
        <is>
          <t>UPPSALA</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3516-2020</t>
        </is>
      </c>
      <c r="B304" s="1" t="n">
        <v>43853</v>
      </c>
      <c r="C304" s="1" t="n">
        <v>45640</v>
      </c>
      <c r="D304" t="inlineStr">
        <is>
          <t>UPPSALA LÄN</t>
        </is>
      </c>
      <c r="E304" t="inlineStr">
        <is>
          <t>UPPSALA</t>
        </is>
      </c>
      <c r="G304" t="n">
        <v>9.4</v>
      </c>
      <c r="H304" t="n">
        <v>0</v>
      </c>
      <c r="I304" t="n">
        <v>0</v>
      </c>
      <c r="J304" t="n">
        <v>0</v>
      </c>
      <c r="K304" t="n">
        <v>0</v>
      </c>
      <c r="L304" t="n">
        <v>0</v>
      </c>
      <c r="M304" t="n">
        <v>0</v>
      </c>
      <c r="N304" t="n">
        <v>0</v>
      </c>
      <c r="O304" t="n">
        <v>0</v>
      </c>
      <c r="P304" t="n">
        <v>0</v>
      </c>
      <c r="Q304" t="n">
        <v>0</v>
      </c>
      <c r="R304" s="2" t="inlineStr"/>
    </row>
    <row r="305" ht="15" customHeight="1">
      <c r="A305" t="inlineStr">
        <is>
          <t>A 6313-2020</t>
        </is>
      </c>
      <c r="B305" s="1" t="n">
        <v>43866</v>
      </c>
      <c r="C305" s="1" t="n">
        <v>45640</v>
      </c>
      <c r="D305" t="inlineStr">
        <is>
          <t>UPPSALA LÄN</t>
        </is>
      </c>
      <c r="E305" t="inlineStr">
        <is>
          <t>UPPSALA</t>
        </is>
      </c>
      <c r="F305" t="inlineStr">
        <is>
          <t>Övriga statliga verk och myndigheter</t>
        </is>
      </c>
      <c r="G305" t="n">
        <v>3.4</v>
      </c>
      <c r="H305" t="n">
        <v>0</v>
      </c>
      <c r="I305" t="n">
        <v>0</v>
      </c>
      <c r="J305" t="n">
        <v>0</v>
      </c>
      <c r="K305" t="n">
        <v>0</v>
      </c>
      <c r="L305" t="n">
        <v>0</v>
      </c>
      <c r="M305" t="n">
        <v>0</v>
      </c>
      <c r="N305" t="n">
        <v>0</v>
      </c>
      <c r="O305" t="n">
        <v>0</v>
      </c>
      <c r="P305" t="n">
        <v>0</v>
      </c>
      <c r="Q305" t="n">
        <v>0</v>
      </c>
      <c r="R305" s="2" t="inlineStr"/>
    </row>
    <row r="306" ht="15" customHeight="1">
      <c r="A306" t="inlineStr">
        <is>
          <t>A 6315-2020</t>
        </is>
      </c>
      <c r="B306" s="1" t="n">
        <v>43866</v>
      </c>
      <c r="C306" s="1" t="n">
        <v>45640</v>
      </c>
      <c r="D306" t="inlineStr">
        <is>
          <t>UPPSALA LÄN</t>
        </is>
      </c>
      <c r="E306" t="inlineStr">
        <is>
          <t>UPPSALA</t>
        </is>
      </c>
      <c r="F306" t="inlineStr">
        <is>
          <t>Övriga statliga verk och myndigheter</t>
        </is>
      </c>
      <c r="G306" t="n">
        <v>1.9</v>
      </c>
      <c r="H306" t="n">
        <v>0</v>
      </c>
      <c r="I306" t="n">
        <v>0</v>
      </c>
      <c r="J306" t="n">
        <v>0</v>
      </c>
      <c r="K306" t="n">
        <v>0</v>
      </c>
      <c r="L306" t="n">
        <v>0</v>
      </c>
      <c r="M306" t="n">
        <v>0</v>
      </c>
      <c r="N306" t="n">
        <v>0</v>
      </c>
      <c r="O306" t="n">
        <v>0</v>
      </c>
      <c r="P306" t="n">
        <v>0</v>
      </c>
      <c r="Q306" t="n">
        <v>0</v>
      </c>
      <c r="R306" s="2" t="inlineStr"/>
    </row>
    <row r="307" ht="15" customHeight="1">
      <c r="A307" t="inlineStr">
        <is>
          <t>A 6655-2020</t>
        </is>
      </c>
      <c r="B307" s="1" t="n">
        <v>43867</v>
      </c>
      <c r="C307" s="1" t="n">
        <v>45640</v>
      </c>
      <c r="D307" t="inlineStr">
        <is>
          <t>UPPSALA LÄN</t>
        </is>
      </c>
      <c r="E307" t="inlineStr">
        <is>
          <t>UPPSALA</t>
        </is>
      </c>
      <c r="G307" t="n">
        <v>7.3</v>
      </c>
      <c r="H307" t="n">
        <v>0</v>
      </c>
      <c r="I307" t="n">
        <v>0</v>
      </c>
      <c r="J307" t="n">
        <v>0</v>
      </c>
      <c r="K307" t="n">
        <v>0</v>
      </c>
      <c r="L307" t="n">
        <v>0</v>
      </c>
      <c r="M307" t="n">
        <v>0</v>
      </c>
      <c r="N307" t="n">
        <v>0</v>
      </c>
      <c r="O307" t="n">
        <v>0</v>
      </c>
      <c r="P307" t="n">
        <v>0</v>
      </c>
      <c r="Q307" t="n">
        <v>0</v>
      </c>
      <c r="R307" s="2" t="inlineStr"/>
    </row>
    <row r="308" ht="15" customHeight="1">
      <c r="A308" t="inlineStr">
        <is>
          <t>A 8261-2020</t>
        </is>
      </c>
      <c r="B308" s="1" t="n">
        <v>43874</v>
      </c>
      <c r="C308" s="1" t="n">
        <v>45640</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8646-2020</t>
        </is>
      </c>
      <c r="B309" s="1" t="n">
        <v>43878</v>
      </c>
      <c r="C309" s="1" t="n">
        <v>45640</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8902-2020</t>
        </is>
      </c>
      <c r="B310" s="1" t="n">
        <v>43878</v>
      </c>
      <c r="C310" s="1" t="n">
        <v>45640</v>
      </c>
      <c r="D310" t="inlineStr">
        <is>
          <t>UPPSALA LÄN</t>
        </is>
      </c>
      <c r="E310" t="inlineStr">
        <is>
          <t>UPPSALA</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9011-2020</t>
        </is>
      </c>
      <c r="B311" s="1" t="n">
        <v>43879</v>
      </c>
      <c r="C311" s="1" t="n">
        <v>45640</v>
      </c>
      <c r="D311" t="inlineStr">
        <is>
          <t>UPPSALA LÄN</t>
        </is>
      </c>
      <c r="E311" t="inlineStr">
        <is>
          <t>UPPSALA</t>
        </is>
      </c>
      <c r="F311" t="inlineStr">
        <is>
          <t>Övriga statliga verk och myndigheter</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9084-2020</t>
        </is>
      </c>
      <c r="B312" s="1" t="n">
        <v>43879</v>
      </c>
      <c r="C312" s="1" t="n">
        <v>45640</v>
      </c>
      <c r="D312" t="inlineStr">
        <is>
          <t>UPPSALA LÄN</t>
        </is>
      </c>
      <c r="E312" t="inlineStr">
        <is>
          <t>UPPSALA</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9257-2020</t>
        </is>
      </c>
      <c r="B313" s="1" t="n">
        <v>43879</v>
      </c>
      <c r="C313" s="1" t="n">
        <v>45640</v>
      </c>
      <c r="D313" t="inlineStr">
        <is>
          <t>UPPSALA LÄN</t>
        </is>
      </c>
      <c r="E313" t="inlineStr">
        <is>
          <t>UPPSALA</t>
        </is>
      </c>
      <c r="F313" t="inlineStr">
        <is>
          <t>Bergvik skog öst AB</t>
        </is>
      </c>
      <c r="G313" t="n">
        <v>5.8</v>
      </c>
      <c r="H313" t="n">
        <v>0</v>
      </c>
      <c r="I313" t="n">
        <v>0</v>
      </c>
      <c r="J313" t="n">
        <v>0</v>
      </c>
      <c r="K313" t="n">
        <v>0</v>
      </c>
      <c r="L313" t="n">
        <v>0</v>
      </c>
      <c r="M313" t="n">
        <v>0</v>
      </c>
      <c r="N313" t="n">
        <v>0</v>
      </c>
      <c r="O313" t="n">
        <v>0</v>
      </c>
      <c r="P313" t="n">
        <v>0</v>
      </c>
      <c r="Q313" t="n">
        <v>0</v>
      </c>
      <c r="R313" s="2" t="inlineStr"/>
    </row>
    <row r="314" ht="15" customHeight="1">
      <c r="A314" t="inlineStr">
        <is>
          <t>A 9658-2020</t>
        </is>
      </c>
      <c r="B314" s="1" t="n">
        <v>43881</v>
      </c>
      <c r="C314" s="1" t="n">
        <v>45640</v>
      </c>
      <c r="D314" t="inlineStr">
        <is>
          <t>UPPSALA LÄN</t>
        </is>
      </c>
      <c r="E314" t="inlineStr">
        <is>
          <t>UPPSALA</t>
        </is>
      </c>
      <c r="G314" t="n">
        <v>3.6</v>
      </c>
      <c r="H314" t="n">
        <v>0</v>
      </c>
      <c r="I314" t="n">
        <v>0</v>
      </c>
      <c r="J314" t="n">
        <v>0</v>
      </c>
      <c r="K314" t="n">
        <v>0</v>
      </c>
      <c r="L314" t="n">
        <v>0</v>
      </c>
      <c r="M314" t="n">
        <v>0</v>
      </c>
      <c r="N314" t="n">
        <v>0</v>
      </c>
      <c r="O314" t="n">
        <v>0</v>
      </c>
      <c r="P314" t="n">
        <v>0</v>
      </c>
      <c r="Q314" t="n">
        <v>0</v>
      </c>
      <c r="R314" s="2" t="inlineStr"/>
    </row>
    <row r="315" ht="15" customHeight="1">
      <c r="A315" t="inlineStr">
        <is>
          <t>A 10003-2020</t>
        </is>
      </c>
      <c r="B315" s="1" t="n">
        <v>43882</v>
      </c>
      <c r="C315" s="1" t="n">
        <v>45640</v>
      </c>
      <c r="D315" t="inlineStr">
        <is>
          <t>UPPSALA LÄN</t>
        </is>
      </c>
      <c r="E315" t="inlineStr">
        <is>
          <t>UPPSALA</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9949-2020</t>
        </is>
      </c>
      <c r="B316" s="1" t="n">
        <v>43882</v>
      </c>
      <c r="C316" s="1" t="n">
        <v>45640</v>
      </c>
      <c r="D316" t="inlineStr">
        <is>
          <t>UPPSALA LÄN</t>
        </is>
      </c>
      <c r="E316" t="inlineStr">
        <is>
          <t>UPPSALA</t>
        </is>
      </c>
      <c r="F316" t="inlineStr">
        <is>
          <t>Kyrkan</t>
        </is>
      </c>
      <c r="G316" t="n">
        <v>2.2</v>
      </c>
      <c r="H316" t="n">
        <v>0</v>
      </c>
      <c r="I316" t="n">
        <v>0</v>
      </c>
      <c r="J316" t="n">
        <v>0</v>
      </c>
      <c r="K316" t="n">
        <v>0</v>
      </c>
      <c r="L316" t="n">
        <v>0</v>
      </c>
      <c r="M316" t="n">
        <v>0</v>
      </c>
      <c r="N316" t="n">
        <v>0</v>
      </c>
      <c r="O316" t="n">
        <v>0</v>
      </c>
      <c r="P316" t="n">
        <v>0</v>
      </c>
      <c r="Q316" t="n">
        <v>0</v>
      </c>
      <c r="R316" s="2" t="inlineStr"/>
    </row>
    <row r="317" ht="15" customHeight="1">
      <c r="A317" t="inlineStr">
        <is>
          <t>A 10033-2020</t>
        </is>
      </c>
      <c r="B317" s="1" t="n">
        <v>43882</v>
      </c>
      <c r="C317" s="1" t="n">
        <v>45640</v>
      </c>
      <c r="D317" t="inlineStr">
        <is>
          <t>UPPSALA LÄN</t>
        </is>
      </c>
      <c r="E317" t="inlineStr">
        <is>
          <t>UPPSALA</t>
        </is>
      </c>
      <c r="G317" t="n">
        <v>4.6</v>
      </c>
      <c r="H317" t="n">
        <v>0</v>
      </c>
      <c r="I317" t="n">
        <v>0</v>
      </c>
      <c r="J317" t="n">
        <v>0</v>
      </c>
      <c r="K317" t="n">
        <v>0</v>
      </c>
      <c r="L317" t="n">
        <v>0</v>
      </c>
      <c r="M317" t="n">
        <v>0</v>
      </c>
      <c r="N317" t="n">
        <v>0</v>
      </c>
      <c r="O317" t="n">
        <v>0</v>
      </c>
      <c r="P317" t="n">
        <v>0</v>
      </c>
      <c r="Q317" t="n">
        <v>0</v>
      </c>
      <c r="R317" s="2" t="inlineStr"/>
    </row>
    <row r="318" ht="15" customHeight="1">
      <c r="A318" t="inlineStr">
        <is>
          <t>A 10478-2020</t>
        </is>
      </c>
      <c r="B318" s="1" t="n">
        <v>43886</v>
      </c>
      <c r="C318" s="1" t="n">
        <v>45640</v>
      </c>
      <c r="D318" t="inlineStr">
        <is>
          <t>UPPSALA LÄN</t>
        </is>
      </c>
      <c r="E318" t="inlineStr">
        <is>
          <t>UPPSALA</t>
        </is>
      </c>
      <c r="G318" t="n">
        <v>1.1</v>
      </c>
      <c r="H318" t="n">
        <v>0</v>
      </c>
      <c r="I318" t="n">
        <v>0</v>
      </c>
      <c r="J318" t="n">
        <v>0</v>
      </c>
      <c r="K318" t="n">
        <v>0</v>
      </c>
      <c r="L318" t="n">
        <v>0</v>
      </c>
      <c r="M318" t="n">
        <v>0</v>
      </c>
      <c r="N318" t="n">
        <v>0</v>
      </c>
      <c r="O318" t="n">
        <v>0</v>
      </c>
      <c r="P318" t="n">
        <v>0</v>
      </c>
      <c r="Q318" t="n">
        <v>0</v>
      </c>
      <c r="R318" s="2" t="inlineStr"/>
    </row>
    <row r="319" ht="15" customHeight="1">
      <c r="A319" t="inlineStr">
        <is>
          <t>A 11540-2020</t>
        </is>
      </c>
      <c r="B319" s="1" t="n">
        <v>43887</v>
      </c>
      <c r="C319" s="1" t="n">
        <v>45640</v>
      </c>
      <c r="D319" t="inlineStr">
        <is>
          <t>UPPSALA LÄN</t>
        </is>
      </c>
      <c r="E319" t="inlineStr">
        <is>
          <t>UPPSALA</t>
        </is>
      </c>
      <c r="G319" t="n">
        <v>2.1</v>
      </c>
      <c r="H319" t="n">
        <v>0</v>
      </c>
      <c r="I319" t="n">
        <v>0</v>
      </c>
      <c r="J319" t="n">
        <v>0</v>
      </c>
      <c r="K319" t="n">
        <v>0</v>
      </c>
      <c r="L319" t="n">
        <v>0</v>
      </c>
      <c r="M319" t="n">
        <v>0</v>
      </c>
      <c r="N319" t="n">
        <v>0</v>
      </c>
      <c r="O319" t="n">
        <v>0</v>
      </c>
      <c r="P319" t="n">
        <v>0</v>
      </c>
      <c r="Q319" t="n">
        <v>0</v>
      </c>
      <c r="R319" s="2" t="inlineStr"/>
    </row>
    <row r="320" ht="15" customHeight="1">
      <c r="A320" t="inlineStr">
        <is>
          <t>A 11174-2020</t>
        </is>
      </c>
      <c r="B320" s="1" t="n">
        <v>43891</v>
      </c>
      <c r="C320" s="1" t="n">
        <v>45640</v>
      </c>
      <c r="D320" t="inlineStr">
        <is>
          <t>UPPSALA LÄN</t>
        </is>
      </c>
      <c r="E320" t="inlineStr">
        <is>
          <t>UPPSALA</t>
        </is>
      </c>
      <c r="F320" t="inlineStr">
        <is>
          <t>Övriga statliga verk och myndigheter</t>
        </is>
      </c>
      <c r="G320" t="n">
        <v>2.8</v>
      </c>
      <c r="H320" t="n">
        <v>0</v>
      </c>
      <c r="I320" t="n">
        <v>0</v>
      </c>
      <c r="J320" t="n">
        <v>0</v>
      </c>
      <c r="K320" t="n">
        <v>0</v>
      </c>
      <c r="L320" t="n">
        <v>0</v>
      </c>
      <c r="M320" t="n">
        <v>0</v>
      </c>
      <c r="N320" t="n">
        <v>0</v>
      </c>
      <c r="O320" t="n">
        <v>0</v>
      </c>
      <c r="P320" t="n">
        <v>0</v>
      </c>
      <c r="Q320" t="n">
        <v>0</v>
      </c>
      <c r="R320" s="2" t="inlineStr"/>
    </row>
    <row r="321" ht="15" customHeight="1">
      <c r="A321" t="inlineStr">
        <is>
          <t>A 12626-2020</t>
        </is>
      </c>
      <c r="B321" s="1" t="n">
        <v>43892</v>
      </c>
      <c r="C321" s="1" t="n">
        <v>45640</v>
      </c>
      <c r="D321" t="inlineStr">
        <is>
          <t>UPPSALA LÄN</t>
        </is>
      </c>
      <c r="E321" t="inlineStr">
        <is>
          <t>UPPSALA</t>
        </is>
      </c>
      <c r="G321" t="n">
        <v>11.4</v>
      </c>
      <c r="H321" t="n">
        <v>0</v>
      </c>
      <c r="I321" t="n">
        <v>0</v>
      </c>
      <c r="J321" t="n">
        <v>0</v>
      </c>
      <c r="K321" t="n">
        <v>0</v>
      </c>
      <c r="L321" t="n">
        <v>0</v>
      </c>
      <c r="M321" t="n">
        <v>0</v>
      </c>
      <c r="N321" t="n">
        <v>0</v>
      </c>
      <c r="O321" t="n">
        <v>0</v>
      </c>
      <c r="P321" t="n">
        <v>0</v>
      </c>
      <c r="Q321" t="n">
        <v>0</v>
      </c>
      <c r="R321" s="2" t="inlineStr"/>
    </row>
    <row r="322" ht="15" customHeight="1">
      <c r="A322" t="inlineStr">
        <is>
          <t>A 11336-2020</t>
        </is>
      </c>
      <c r="B322" s="1" t="n">
        <v>43892</v>
      </c>
      <c r="C322" s="1" t="n">
        <v>45640</v>
      </c>
      <c r="D322" t="inlineStr">
        <is>
          <t>UPPSALA LÄN</t>
        </is>
      </c>
      <c r="E322" t="inlineStr">
        <is>
          <t>UPPSALA</t>
        </is>
      </c>
      <c r="F322" t="inlineStr">
        <is>
          <t>Kyrkan</t>
        </is>
      </c>
      <c r="G322" t="n">
        <v>3.2</v>
      </c>
      <c r="H322" t="n">
        <v>0</v>
      </c>
      <c r="I322" t="n">
        <v>0</v>
      </c>
      <c r="J322" t="n">
        <v>0</v>
      </c>
      <c r="K322" t="n">
        <v>0</v>
      </c>
      <c r="L322" t="n">
        <v>0</v>
      </c>
      <c r="M322" t="n">
        <v>0</v>
      </c>
      <c r="N322" t="n">
        <v>0</v>
      </c>
      <c r="O322" t="n">
        <v>0</v>
      </c>
      <c r="P322" t="n">
        <v>0</v>
      </c>
      <c r="Q322" t="n">
        <v>0</v>
      </c>
      <c r="R322" s="2" t="inlineStr"/>
    </row>
    <row r="323" ht="15" customHeight="1">
      <c r="A323" t="inlineStr">
        <is>
          <t>A 11320-2020</t>
        </is>
      </c>
      <c r="B323" s="1" t="n">
        <v>43892</v>
      </c>
      <c r="C323" s="1" t="n">
        <v>45640</v>
      </c>
      <c r="D323" t="inlineStr">
        <is>
          <t>UPPSALA LÄN</t>
        </is>
      </c>
      <c r="E323" t="inlineStr">
        <is>
          <t>UPPSALA</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12028-2020</t>
        </is>
      </c>
      <c r="B324" s="1" t="n">
        <v>43894</v>
      </c>
      <c r="C324" s="1" t="n">
        <v>45640</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12055-2020</t>
        </is>
      </c>
      <c r="B325" s="1" t="n">
        <v>43894</v>
      </c>
      <c r="C325" s="1" t="n">
        <v>45640</v>
      </c>
      <c r="D325" t="inlineStr">
        <is>
          <t>UPPSALA LÄN</t>
        </is>
      </c>
      <c r="E325" t="inlineStr">
        <is>
          <t>UPPSALA</t>
        </is>
      </c>
      <c r="G325" t="n">
        <v>6.2</v>
      </c>
      <c r="H325" t="n">
        <v>0</v>
      </c>
      <c r="I325" t="n">
        <v>0</v>
      </c>
      <c r="J325" t="n">
        <v>0</v>
      </c>
      <c r="K325" t="n">
        <v>0</v>
      </c>
      <c r="L325" t="n">
        <v>0</v>
      </c>
      <c r="M325" t="n">
        <v>0</v>
      </c>
      <c r="N325" t="n">
        <v>0</v>
      </c>
      <c r="O325" t="n">
        <v>0</v>
      </c>
      <c r="P325" t="n">
        <v>0</v>
      </c>
      <c r="Q325" t="n">
        <v>0</v>
      </c>
      <c r="R325" s="2" t="inlineStr"/>
    </row>
    <row r="326" ht="15" customHeight="1">
      <c r="A326" t="inlineStr">
        <is>
          <t>A 12848-2020</t>
        </is>
      </c>
      <c r="B326" s="1" t="n">
        <v>43899</v>
      </c>
      <c r="C326" s="1" t="n">
        <v>45640</v>
      </c>
      <c r="D326" t="inlineStr">
        <is>
          <t>UPPSALA LÄN</t>
        </is>
      </c>
      <c r="E326" t="inlineStr">
        <is>
          <t>UPPSALA</t>
        </is>
      </c>
      <c r="G326" t="n">
        <v>10.3</v>
      </c>
      <c r="H326" t="n">
        <v>0</v>
      </c>
      <c r="I326" t="n">
        <v>0</v>
      </c>
      <c r="J326" t="n">
        <v>0</v>
      </c>
      <c r="K326" t="n">
        <v>0</v>
      </c>
      <c r="L326" t="n">
        <v>0</v>
      </c>
      <c r="M326" t="n">
        <v>0</v>
      </c>
      <c r="N326" t="n">
        <v>0</v>
      </c>
      <c r="O326" t="n">
        <v>0</v>
      </c>
      <c r="P326" t="n">
        <v>0</v>
      </c>
      <c r="Q326" t="n">
        <v>0</v>
      </c>
      <c r="R326" s="2" t="inlineStr"/>
    </row>
    <row r="327" ht="15" customHeight="1">
      <c r="A327" t="inlineStr">
        <is>
          <t>A 12781-2020</t>
        </is>
      </c>
      <c r="B327" s="1" t="n">
        <v>43899</v>
      </c>
      <c r="C327" s="1" t="n">
        <v>45640</v>
      </c>
      <c r="D327" t="inlineStr">
        <is>
          <t>UPPSALA LÄN</t>
        </is>
      </c>
      <c r="E327" t="inlineStr">
        <is>
          <t>UPPSALA</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13636-2020</t>
        </is>
      </c>
      <c r="B328" s="1" t="n">
        <v>43903</v>
      </c>
      <c r="C328" s="1" t="n">
        <v>45640</v>
      </c>
      <c r="D328" t="inlineStr">
        <is>
          <t>UPPSALA LÄN</t>
        </is>
      </c>
      <c r="E328" t="inlineStr">
        <is>
          <t>UPPSALA</t>
        </is>
      </c>
      <c r="G328" t="n">
        <v>2.7</v>
      </c>
      <c r="H328" t="n">
        <v>0</v>
      </c>
      <c r="I328" t="n">
        <v>0</v>
      </c>
      <c r="J328" t="n">
        <v>0</v>
      </c>
      <c r="K328" t="n">
        <v>0</v>
      </c>
      <c r="L328" t="n">
        <v>0</v>
      </c>
      <c r="M328" t="n">
        <v>0</v>
      </c>
      <c r="N328" t="n">
        <v>0</v>
      </c>
      <c r="O328" t="n">
        <v>0</v>
      </c>
      <c r="P328" t="n">
        <v>0</v>
      </c>
      <c r="Q328" t="n">
        <v>0</v>
      </c>
      <c r="R328" s="2" t="inlineStr"/>
    </row>
    <row r="329" ht="15" customHeight="1">
      <c r="A329" t="inlineStr">
        <is>
          <t>A 14469-2020</t>
        </is>
      </c>
      <c r="B329" s="1" t="n">
        <v>43908</v>
      </c>
      <c r="C329" s="1" t="n">
        <v>45640</v>
      </c>
      <c r="D329" t="inlineStr">
        <is>
          <t>UPPSALA LÄN</t>
        </is>
      </c>
      <c r="E329" t="inlineStr">
        <is>
          <t>UPPSALA</t>
        </is>
      </c>
      <c r="G329" t="n">
        <v>0.6</v>
      </c>
      <c r="H329" t="n">
        <v>0</v>
      </c>
      <c r="I329" t="n">
        <v>0</v>
      </c>
      <c r="J329" t="n">
        <v>0</v>
      </c>
      <c r="K329" t="n">
        <v>0</v>
      </c>
      <c r="L329" t="n">
        <v>0</v>
      </c>
      <c r="M329" t="n">
        <v>0</v>
      </c>
      <c r="N329" t="n">
        <v>0</v>
      </c>
      <c r="O329" t="n">
        <v>0</v>
      </c>
      <c r="P329" t="n">
        <v>0</v>
      </c>
      <c r="Q329" t="n">
        <v>0</v>
      </c>
      <c r="R329" s="2" t="inlineStr"/>
    </row>
    <row r="330" ht="15" customHeight="1">
      <c r="A330" t="inlineStr">
        <is>
          <t>A 14423-2020</t>
        </is>
      </c>
      <c r="B330" s="1" t="n">
        <v>43908</v>
      </c>
      <c r="C330" s="1" t="n">
        <v>45640</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14472-2020</t>
        </is>
      </c>
      <c r="B331" s="1" t="n">
        <v>43908</v>
      </c>
      <c r="C331" s="1" t="n">
        <v>45640</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14427-2020</t>
        </is>
      </c>
      <c r="B332" s="1" t="n">
        <v>43908</v>
      </c>
      <c r="C332" s="1" t="n">
        <v>45640</v>
      </c>
      <c r="D332" t="inlineStr">
        <is>
          <t>UPPSALA LÄN</t>
        </is>
      </c>
      <c r="E332" t="inlineStr">
        <is>
          <t>UPPSALA</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15344-2020</t>
        </is>
      </c>
      <c r="B333" s="1" t="n">
        <v>43913</v>
      </c>
      <c r="C333" s="1" t="n">
        <v>45640</v>
      </c>
      <c r="D333" t="inlineStr">
        <is>
          <t>UPPSALA LÄN</t>
        </is>
      </c>
      <c r="E333" t="inlineStr">
        <is>
          <t>UPPSALA</t>
        </is>
      </c>
      <c r="F333" t="inlineStr">
        <is>
          <t>Holmen skog AB</t>
        </is>
      </c>
      <c r="G333" t="n">
        <v>3.4</v>
      </c>
      <c r="H333" t="n">
        <v>0</v>
      </c>
      <c r="I333" t="n">
        <v>0</v>
      </c>
      <c r="J333" t="n">
        <v>0</v>
      </c>
      <c r="K333" t="n">
        <v>0</v>
      </c>
      <c r="L333" t="n">
        <v>0</v>
      </c>
      <c r="M333" t="n">
        <v>0</v>
      </c>
      <c r="N333" t="n">
        <v>0</v>
      </c>
      <c r="O333" t="n">
        <v>0</v>
      </c>
      <c r="P333" t="n">
        <v>0</v>
      </c>
      <c r="Q333" t="n">
        <v>0</v>
      </c>
      <c r="R333" s="2" t="inlineStr"/>
    </row>
    <row r="334" ht="15" customHeight="1">
      <c r="A334" t="inlineStr">
        <is>
          <t>A 18106-2020</t>
        </is>
      </c>
      <c r="B334" s="1" t="n">
        <v>43927</v>
      </c>
      <c r="C334" s="1" t="n">
        <v>45640</v>
      </c>
      <c r="D334" t="inlineStr">
        <is>
          <t>UPPSALA LÄN</t>
        </is>
      </c>
      <c r="E334" t="inlineStr">
        <is>
          <t>UPPSALA</t>
        </is>
      </c>
      <c r="G334" t="n">
        <v>0.7</v>
      </c>
      <c r="H334" t="n">
        <v>0</v>
      </c>
      <c r="I334" t="n">
        <v>0</v>
      </c>
      <c r="J334" t="n">
        <v>0</v>
      </c>
      <c r="K334" t="n">
        <v>0</v>
      </c>
      <c r="L334" t="n">
        <v>0</v>
      </c>
      <c r="M334" t="n">
        <v>0</v>
      </c>
      <c r="N334" t="n">
        <v>0</v>
      </c>
      <c r="O334" t="n">
        <v>0</v>
      </c>
      <c r="P334" t="n">
        <v>0</v>
      </c>
      <c r="Q334" t="n">
        <v>0</v>
      </c>
      <c r="R334" s="2" t="inlineStr"/>
    </row>
    <row r="335" ht="15" customHeight="1">
      <c r="A335" t="inlineStr">
        <is>
          <t>A 18114-2020</t>
        </is>
      </c>
      <c r="B335" s="1" t="n">
        <v>43927</v>
      </c>
      <c r="C335" s="1" t="n">
        <v>45640</v>
      </c>
      <c r="D335" t="inlineStr">
        <is>
          <t>UPPSALA LÄN</t>
        </is>
      </c>
      <c r="E335" t="inlineStr">
        <is>
          <t>UPPSALA</t>
        </is>
      </c>
      <c r="G335" t="n">
        <v>1.6</v>
      </c>
      <c r="H335" t="n">
        <v>0</v>
      </c>
      <c r="I335" t="n">
        <v>0</v>
      </c>
      <c r="J335" t="n">
        <v>0</v>
      </c>
      <c r="K335" t="n">
        <v>0</v>
      </c>
      <c r="L335" t="n">
        <v>0</v>
      </c>
      <c r="M335" t="n">
        <v>0</v>
      </c>
      <c r="N335" t="n">
        <v>0</v>
      </c>
      <c r="O335" t="n">
        <v>0</v>
      </c>
      <c r="P335" t="n">
        <v>0</v>
      </c>
      <c r="Q335" t="n">
        <v>0</v>
      </c>
      <c r="R335" s="2" t="inlineStr"/>
    </row>
    <row r="336" ht="15" customHeight="1">
      <c r="A336" t="inlineStr">
        <is>
          <t>A 18469-2020</t>
        </is>
      </c>
      <c r="B336" s="1" t="n">
        <v>43929</v>
      </c>
      <c r="C336" s="1" t="n">
        <v>45640</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19210-2020</t>
        </is>
      </c>
      <c r="B337" s="1" t="n">
        <v>43937</v>
      </c>
      <c r="C337" s="1" t="n">
        <v>45640</v>
      </c>
      <c r="D337" t="inlineStr">
        <is>
          <t>UPPSALA LÄN</t>
        </is>
      </c>
      <c r="E337" t="inlineStr">
        <is>
          <t>UPPSALA</t>
        </is>
      </c>
      <c r="G337" t="n">
        <v>3.7</v>
      </c>
      <c r="H337" t="n">
        <v>0</v>
      </c>
      <c r="I337" t="n">
        <v>0</v>
      </c>
      <c r="J337" t="n">
        <v>0</v>
      </c>
      <c r="K337" t="n">
        <v>0</v>
      </c>
      <c r="L337" t="n">
        <v>0</v>
      </c>
      <c r="M337" t="n">
        <v>0</v>
      </c>
      <c r="N337" t="n">
        <v>0</v>
      </c>
      <c r="O337" t="n">
        <v>0</v>
      </c>
      <c r="P337" t="n">
        <v>0</v>
      </c>
      <c r="Q337" t="n">
        <v>0</v>
      </c>
      <c r="R337" s="2" t="inlineStr"/>
    </row>
    <row r="338" ht="15" customHeight="1">
      <c r="A338" t="inlineStr">
        <is>
          <t>A 20218-2020</t>
        </is>
      </c>
      <c r="B338" s="1" t="n">
        <v>43944</v>
      </c>
      <c r="C338" s="1" t="n">
        <v>45640</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20506-2020</t>
        </is>
      </c>
      <c r="B339" s="1" t="n">
        <v>43948</v>
      </c>
      <c r="C339" s="1" t="n">
        <v>45640</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20490-2020</t>
        </is>
      </c>
      <c r="B340" s="1" t="n">
        <v>43948</v>
      </c>
      <c r="C340" s="1" t="n">
        <v>45640</v>
      </c>
      <c r="D340" t="inlineStr">
        <is>
          <t>UPPSALA LÄN</t>
        </is>
      </c>
      <c r="E340" t="inlineStr">
        <is>
          <t>UPPSALA</t>
        </is>
      </c>
      <c r="G340" t="n">
        <v>2.8</v>
      </c>
      <c r="H340" t="n">
        <v>0</v>
      </c>
      <c r="I340" t="n">
        <v>0</v>
      </c>
      <c r="J340" t="n">
        <v>0</v>
      </c>
      <c r="K340" t="n">
        <v>0</v>
      </c>
      <c r="L340" t="n">
        <v>0</v>
      </c>
      <c r="M340" t="n">
        <v>0</v>
      </c>
      <c r="N340" t="n">
        <v>0</v>
      </c>
      <c r="O340" t="n">
        <v>0</v>
      </c>
      <c r="P340" t="n">
        <v>0</v>
      </c>
      <c r="Q340" t="n">
        <v>0</v>
      </c>
      <c r="R340" s="2" t="inlineStr"/>
    </row>
    <row r="341" ht="15" customHeight="1">
      <c r="A341" t="inlineStr">
        <is>
          <t>A 20960-2020</t>
        </is>
      </c>
      <c r="B341" s="1" t="n">
        <v>43950</v>
      </c>
      <c r="C341" s="1" t="n">
        <v>45640</v>
      </c>
      <c r="D341" t="inlineStr">
        <is>
          <t>UPPSALA LÄN</t>
        </is>
      </c>
      <c r="E341" t="inlineStr">
        <is>
          <t>UPPSALA</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24300-2020</t>
        </is>
      </c>
      <c r="B342" s="1" t="n">
        <v>43973</v>
      </c>
      <c r="C342" s="1" t="n">
        <v>45640</v>
      </c>
      <c r="D342" t="inlineStr">
        <is>
          <t>UPPSALA LÄN</t>
        </is>
      </c>
      <c r="E342" t="inlineStr">
        <is>
          <t>UPPSALA</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24287-2020</t>
        </is>
      </c>
      <c r="B343" s="1" t="n">
        <v>43976</v>
      </c>
      <c r="C343" s="1" t="n">
        <v>45640</v>
      </c>
      <c r="D343" t="inlineStr">
        <is>
          <t>UPPSALA LÄN</t>
        </is>
      </c>
      <c r="E343" t="inlineStr">
        <is>
          <t>UPPSALA</t>
        </is>
      </c>
      <c r="G343" t="n">
        <v>1</v>
      </c>
      <c r="H343" t="n">
        <v>0</v>
      </c>
      <c r="I343" t="n">
        <v>0</v>
      </c>
      <c r="J343" t="n">
        <v>0</v>
      </c>
      <c r="K343" t="n">
        <v>0</v>
      </c>
      <c r="L343" t="n">
        <v>0</v>
      </c>
      <c r="M343" t="n">
        <v>0</v>
      </c>
      <c r="N343" t="n">
        <v>0</v>
      </c>
      <c r="O343" t="n">
        <v>0</v>
      </c>
      <c r="P343" t="n">
        <v>0</v>
      </c>
      <c r="Q343" t="n">
        <v>0</v>
      </c>
      <c r="R343" s="2" t="inlineStr"/>
    </row>
    <row r="344" ht="15" customHeight="1">
      <c r="A344" t="inlineStr">
        <is>
          <t>A 25798-2020</t>
        </is>
      </c>
      <c r="B344" s="1" t="n">
        <v>43984</v>
      </c>
      <c r="C344" s="1" t="n">
        <v>45640</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26488-2020</t>
        </is>
      </c>
      <c r="B345" s="1" t="n">
        <v>43987</v>
      </c>
      <c r="C345" s="1" t="n">
        <v>45640</v>
      </c>
      <c r="D345" t="inlineStr">
        <is>
          <t>UPPSALA LÄN</t>
        </is>
      </c>
      <c r="E345" t="inlineStr">
        <is>
          <t>UPPSALA</t>
        </is>
      </c>
      <c r="G345" t="n">
        <v>2.9</v>
      </c>
      <c r="H345" t="n">
        <v>0</v>
      </c>
      <c r="I345" t="n">
        <v>0</v>
      </c>
      <c r="J345" t="n">
        <v>0</v>
      </c>
      <c r="K345" t="n">
        <v>0</v>
      </c>
      <c r="L345" t="n">
        <v>0</v>
      </c>
      <c r="M345" t="n">
        <v>0</v>
      </c>
      <c r="N345" t="n">
        <v>0</v>
      </c>
      <c r="O345" t="n">
        <v>0</v>
      </c>
      <c r="P345" t="n">
        <v>0</v>
      </c>
      <c r="Q345" t="n">
        <v>0</v>
      </c>
      <c r="R345" s="2" t="inlineStr"/>
    </row>
    <row r="346" ht="15" customHeight="1">
      <c r="A346" t="inlineStr">
        <is>
          <t>A 26492-2020</t>
        </is>
      </c>
      <c r="B346" s="1" t="n">
        <v>43987</v>
      </c>
      <c r="C346" s="1" t="n">
        <v>45640</v>
      </c>
      <c r="D346" t="inlineStr">
        <is>
          <t>UPPSALA LÄN</t>
        </is>
      </c>
      <c r="E346" t="inlineStr">
        <is>
          <t>UPPSALA</t>
        </is>
      </c>
      <c r="G346" t="n">
        <v>9.5</v>
      </c>
      <c r="H346" t="n">
        <v>0</v>
      </c>
      <c r="I346" t="n">
        <v>0</v>
      </c>
      <c r="J346" t="n">
        <v>0</v>
      </c>
      <c r="K346" t="n">
        <v>0</v>
      </c>
      <c r="L346" t="n">
        <v>0</v>
      </c>
      <c r="M346" t="n">
        <v>0</v>
      </c>
      <c r="N346" t="n">
        <v>0</v>
      </c>
      <c r="O346" t="n">
        <v>0</v>
      </c>
      <c r="P346" t="n">
        <v>0</v>
      </c>
      <c r="Q346" t="n">
        <v>0</v>
      </c>
      <c r="R346" s="2" t="inlineStr"/>
    </row>
    <row r="347" ht="15" customHeight="1">
      <c r="A347" t="inlineStr">
        <is>
          <t>A 26856-2020</t>
        </is>
      </c>
      <c r="B347" s="1" t="n">
        <v>43990</v>
      </c>
      <c r="C347" s="1" t="n">
        <v>45640</v>
      </c>
      <c r="D347" t="inlineStr">
        <is>
          <t>UPPSALA LÄN</t>
        </is>
      </c>
      <c r="E347" t="inlineStr">
        <is>
          <t>UPPSALA</t>
        </is>
      </c>
      <c r="G347" t="n">
        <v>1.5</v>
      </c>
      <c r="H347" t="n">
        <v>0</v>
      </c>
      <c r="I347" t="n">
        <v>0</v>
      </c>
      <c r="J347" t="n">
        <v>0</v>
      </c>
      <c r="K347" t="n">
        <v>0</v>
      </c>
      <c r="L347" t="n">
        <v>0</v>
      </c>
      <c r="M347" t="n">
        <v>0</v>
      </c>
      <c r="N347" t="n">
        <v>0</v>
      </c>
      <c r="O347" t="n">
        <v>0</v>
      </c>
      <c r="P347" t="n">
        <v>0</v>
      </c>
      <c r="Q347" t="n">
        <v>0</v>
      </c>
      <c r="R347" s="2" t="inlineStr"/>
    </row>
    <row r="348" ht="15" customHeight="1">
      <c r="A348" t="inlineStr">
        <is>
          <t>A 28565-2020</t>
        </is>
      </c>
      <c r="B348" s="1" t="n">
        <v>43999</v>
      </c>
      <c r="C348" s="1" t="n">
        <v>45640</v>
      </c>
      <c r="D348" t="inlineStr">
        <is>
          <t>UPPSALA LÄN</t>
        </is>
      </c>
      <c r="E348" t="inlineStr">
        <is>
          <t>UPPSALA</t>
        </is>
      </c>
      <c r="G348" t="n">
        <v>2.7</v>
      </c>
      <c r="H348" t="n">
        <v>0</v>
      </c>
      <c r="I348" t="n">
        <v>0</v>
      </c>
      <c r="J348" t="n">
        <v>0</v>
      </c>
      <c r="K348" t="n">
        <v>0</v>
      </c>
      <c r="L348" t="n">
        <v>0</v>
      </c>
      <c r="M348" t="n">
        <v>0</v>
      </c>
      <c r="N348" t="n">
        <v>0</v>
      </c>
      <c r="O348" t="n">
        <v>0</v>
      </c>
      <c r="P348" t="n">
        <v>0</v>
      </c>
      <c r="Q348" t="n">
        <v>0</v>
      </c>
      <c r="R348" s="2" t="inlineStr"/>
    </row>
    <row r="349" ht="15" customHeight="1">
      <c r="A349" t="inlineStr">
        <is>
          <t>A 28514-2020</t>
        </is>
      </c>
      <c r="B349" s="1" t="n">
        <v>43999</v>
      </c>
      <c r="C349" s="1" t="n">
        <v>45640</v>
      </c>
      <c r="D349" t="inlineStr">
        <is>
          <t>UPPSALA LÄN</t>
        </is>
      </c>
      <c r="E349" t="inlineStr">
        <is>
          <t>UPPSALA</t>
        </is>
      </c>
      <c r="G349" t="n">
        <v>3.6</v>
      </c>
      <c r="H349" t="n">
        <v>0</v>
      </c>
      <c r="I349" t="n">
        <v>0</v>
      </c>
      <c r="J349" t="n">
        <v>0</v>
      </c>
      <c r="K349" t="n">
        <v>0</v>
      </c>
      <c r="L349" t="n">
        <v>0</v>
      </c>
      <c r="M349" t="n">
        <v>0</v>
      </c>
      <c r="N349" t="n">
        <v>0</v>
      </c>
      <c r="O349" t="n">
        <v>0</v>
      </c>
      <c r="P349" t="n">
        <v>0</v>
      </c>
      <c r="Q349" t="n">
        <v>0</v>
      </c>
      <c r="R349" s="2" t="inlineStr"/>
    </row>
    <row r="350" ht="15" customHeight="1">
      <c r="A350" t="inlineStr">
        <is>
          <t>A 28993-2020</t>
        </is>
      </c>
      <c r="B350" s="1" t="n">
        <v>44000</v>
      </c>
      <c r="C350" s="1" t="n">
        <v>45640</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29034-2020</t>
        </is>
      </c>
      <c r="B351" s="1" t="n">
        <v>44000</v>
      </c>
      <c r="C351" s="1" t="n">
        <v>45640</v>
      </c>
      <c r="D351" t="inlineStr">
        <is>
          <t>UPPSALA LÄN</t>
        </is>
      </c>
      <c r="E351" t="inlineStr">
        <is>
          <t>UPPSALA</t>
        </is>
      </c>
      <c r="G351" t="n">
        <v>2</v>
      </c>
      <c r="H351" t="n">
        <v>0</v>
      </c>
      <c r="I351" t="n">
        <v>0</v>
      </c>
      <c r="J351" t="n">
        <v>0</v>
      </c>
      <c r="K351" t="n">
        <v>0</v>
      </c>
      <c r="L351" t="n">
        <v>0</v>
      </c>
      <c r="M351" t="n">
        <v>0</v>
      </c>
      <c r="N351" t="n">
        <v>0</v>
      </c>
      <c r="O351" t="n">
        <v>0</v>
      </c>
      <c r="P351" t="n">
        <v>0</v>
      </c>
      <c r="Q351" t="n">
        <v>0</v>
      </c>
      <c r="R351" s="2" t="inlineStr"/>
    </row>
    <row r="352" ht="15" customHeight="1">
      <c r="A352" t="inlineStr">
        <is>
          <t>A 30196-2020</t>
        </is>
      </c>
      <c r="B352" s="1" t="n">
        <v>44007</v>
      </c>
      <c r="C352" s="1" t="n">
        <v>45640</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30208-2020</t>
        </is>
      </c>
      <c r="B353" s="1" t="n">
        <v>44007</v>
      </c>
      <c r="C353" s="1" t="n">
        <v>45640</v>
      </c>
      <c r="D353" t="inlineStr">
        <is>
          <t>UPPSALA LÄN</t>
        </is>
      </c>
      <c r="E353" t="inlineStr">
        <is>
          <t>UPPSALA</t>
        </is>
      </c>
      <c r="G353" t="n">
        <v>1.2</v>
      </c>
      <c r="H353" t="n">
        <v>0</v>
      </c>
      <c r="I353" t="n">
        <v>0</v>
      </c>
      <c r="J353" t="n">
        <v>0</v>
      </c>
      <c r="K353" t="n">
        <v>0</v>
      </c>
      <c r="L353" t="n">
        <v>0</v>
      </c>
      <c r="M353" t="n">
        <v>0</v>
      </c>
      <c r="N353" t="n">
        <v>0</v>
      </c>
      <c r="O353" t="n">
        <v>0</v>
      </c>
      <c r="P353" t="n">
        <v>0</v>
      </c>
      <c r="Q353" t="n">
        <v>0</v>
      </c>
      <c r="R353" s="2" t="inlineStr"/>
    </row>
    <row r="354" ht="15" customHeight="1">
      <c r="A354" t="inlineStr">
        <is>
          <t>A 31219-2020</t>
        </is>
      </c>
      <c r="B354" s="1" t="n">
        <v>44012</v>
      </c>
      <c r="C354" s="1" t="n">
        <v>45640</v>
      </c>
      <c r="D354" t="inlineStr">
        <is>
          <t>UPPSALA LÄN</t>
        </is>
      </c>
      <c r="E354" t="inlineStr">
        <is>
          <t>UPPSALA</t>
        </is>
      </c>
      <c r="F354" t="inlineStr">
        <is>
          <t>Bergvik skog öst AB</t>
        </is>
      </c>
      <c r="G354" t="n">
        <v>7.4</v>
      </c>
      <c r="H354" t="n">
        <v>0</v>
      </c>
      <c r="I354" t="n">
        <v>0</v>
      </c>
      <c r="J354" t="n">
        <v>0</v>
      </c>
      <c r="K354" t="n">
        <v>0</v>
      </c>
      <c r="L354" t="n">
        <v>0</v>
      </c>
      <c r="M354" t="n">
        <v>0</v>
      </c>
      <c r="N354" t="n">
        <v>0</v>
      </c>
      <c r="O354" t="n">
        <v>0</v>
      </c>
      <c r="P354" t="n">
        <v>0</v>
      </c>
      <c r="Q354" t="n">
        <v>0</v>
      </c>
      <c r="R354" s="2" t="inlineStr"/>
    </row>
    <row r="355" ht="15" customHeight="1">
      <c r="A355" t="inlineStr">
        <is>
          <t>A 31430-2020</t>
        </is>
      </c>
      <c r="B355" s="1" t="n">
        <v>44013</v>
      </c>
      <c r="C355" s="1" t="n">
        <v>45640</v>
      </c>
      <c r="D355" t="inlineStr">
        <is>
          <t>UPPSALA LÄN</t>
        </is>
      </c>
      <c r="E355" t="inlineStr">
        <is>
          <t>UPPSALA</t>
        </is>
      </c>
      <c r="G355" t="n">
        <v>3.4</v>
      </c>
      <c r="H355" t="n">
        <v>0</v>
      </c>
      <c r="I355" t="n">
        <v>0</v>
      </c>
      <c r="J355" t="n">
        <v>0</v>
      </c>
      <c r="K355" t="n">
        <v>0</v>
      </c>
      <c r="L355" t="n">
        <v>0</v>
      </c>
      <c r="M355" t="n">
        <v>0</v>
      </c>
      <c r="N355" t="n">
        <v>0</v>
      </c>
      <c r="O355" t="n">
        <v>0</v>
      </c>
      <c r="P355" t="n">
        <v>0</v>
      </c>
      <c r="Q355" t="n">
        <v>0</v>
      </c>
      <c r="R355" s="2" t="inlineStr"/>
    </row>
    <row r="356" ht="15" customHeight="1">
      <c r="A356" t="inlineStr">
        <is>
          <t>A 31932-2020</t>
        </is>
      </c>
      <c r="B356" s="1" t="n">
        <v>44014</v>
      </c>
      <c r="C356" s="1" t="n">
        <v>45640</v>
      </c>
      <c r="D356" t="inlineStr">
        <is>
          <t>UPPSALA LÄN</t>
        </is>
      </c>
      <c r="E356" t="inlineStr">
        <is>
          <t>UPPSALA</t>
        </is>
      </c>
      <c r="G356" t="n">
        <v>5.6</v>
      </c>
      <c r="H356" t="n">
        <v>0</v>
      </c>
      <c r="I356" t="n">
        <v>0</v>
      </c>
      <c r="J356" t="n">
        <v>0</v>
      </c>
      <c r="K356" t="n">
        <v>0</v>
      </c>
      <c r="L356" t="n">
        <v>0</v>
      </c>
      <c r="M356" t="n">
        <v>0</v>
      </c>
      <c r="N356" t="n">
        <v>0</v>
      </c>
      <c r="O356" t="n">
        <v>0</v>
      </c>
      <c r="P356" t="n">
        <v>0</v>
      </c>
      <c r="Q356" t="n">
        <v>0</v>
      </c>
      <c r="R356" s="2" t="inlineStr"/>
    </row>
    <row r="357" ht="15" customHeight="1">
      <c r="A357" t="inlineStr">
        <is>
          <t>A 32235-2020</t>
        </is>
      </c>
      <c r="B357" s="1" t="n">
        <v>44015</v>
      </c>
      <c r="C357" s="1" t="n">
        <v>45640</v>
      </c>
      <c r="D357" t="inlineStr">
        <is>
          <t>UPPSALA LÄN</t>
        </is>
      </c>
      <c r="E357" t="inlineStr">
        <is>
          <t>UPPSALA</t>
        </is>
      </c>
      <c r="F357" t="inlineStr">
        <is>
          <t>Bergvik skog öst AB</t>
        </is>
      </c>
      <c r="G357" t="n">
        <v>0.5</v>
      </c>
      <c r="H357" t="n">
        <v>0</v>
      </c>
      <c r="I357" t="n">
        <v>0</v>
      </c>
      <c r="J357" t="n">
        <v>0</v>
      </c>
      <c r="K357" t="n">
        <v>0</v>
      </c>
      <c r="L357" t="n">
        <v>0</v>
      </c>
      <c r="M357" t="n">
        <v>0</v>
      </c>
      <c r="N357" t="n">
        <v>0</v>
      </c>
      <c r="O357" t="n">
        <v>0</v>
      </c>
      <c r="P357" t="n">
        <v>0</v>
      </c>
      <c r="Q357" t="n">
        <v>0</v>
      </c>
      <c r="R357" s="2" t="inlineStr"/>
    </row>
    <row r="358" ht="15" customHeight="1">
      <c r="A358" t="inlineStr">
        <is>
          <t>A 32340-2020</t>
        </is>
      </c>
      <c r="B358" s="1" t="n">
        <v>44016</v>
      </c>
      <c r="C358" s="1" t="n">
        <v>45640</v>
      </c>
      <c r="D358" t="inlineStr">
        <is>
          <t>UPPSALA LÄN</t>
        </is>
      </c>
      <c r="E358" t="inlineStr">
        <is>
          <t>UPPSALA</t>
        </is>
      </c>
      <c r="F358" t="inlineStr">
        <is>
          <t>Bergvik skog öst AB</t>
        </is>
      </c>
      <c r="G358" t="n">
        <v>1.2</v>
      </c>
      <c r="H358" t="n">
        <v>0</v>
      </c>
      <c r="I358" t="n">
        <v>0</v>
      </c>
      <c r="J358" t="n">
        <v>0</v>
      </c>
      <c r="K358" t="n">
        <v>0</v>
      </c>
      <c r="L358" t="n">
        <v>0</v>
      </c>
      <c r="M358" t="n">
        <v>0</v>
      </c>
      <c r="N358" t="n">
        <v>0</v>
      </c>
      <c r="O358" t="n">
        <v>0</v>
      </c>
      <c r="P358" t="n">
        <v>0</v>
      </c>
      <c r="Q358" t="n">
        <v>0</v>
      </c>
      <c r="R358" s="2" t="inlineStr"/>
    </row>
    <row r="359" ht="15" customHeight="1">
      <c r="A359" t="inlineStr">
        <is>
          <t>A 32608-2020</t>
        </is>
      </c>
      <c r="B359" s="1" t="n">
        <v>44019</v>
      </c>
      <c r="C359" s="1" t="n">
        <v>45640</v>
      </c>
      <c r="D359" t="inlineStr">
        <is>
          <t>UPPSALA LÄN</t>
        </is>
      </c>
      <c r="E359" t="inlineStr">
        <is>
          <t>UPPSALA</t>
        </is>
      </c>
      <c r="F359" t="inlineStr">
        <is>
          <t>Bergvik skog öst AB</t>
        </is>
      </c>
      <c r="G359" t="n">
        <v>5.7</v>
      </c>
      <c r="H359" t="n">
        <v>0</v>
      </c>
      <c r="I359" t="n">
        <v>0</v>
      </c>
      <c r="J359" t="n">
        <v>0</v>
      </c>
      <c r="K359" t="n">
        <v>0</v>
      </c>
      <c r="L359" t="n">
        <v>0</v>
      </c>
      <c r="M359" t="n">
        <v>0</v>
      </c>
      <c r="N359" t="n">
        <v>0</v>
      </c>
      <c r="O359" t="n">
        <v>0</v>
      </c>
      <c r="P359" t="n">
        <v>0</v>
      </c>
      <c r="Q359" t="n">
        <v>0</v>
      </c>
      <c r="R359" s="2" t="inlineStr"/>
    </row>
    <row r="360" ht="15" customHeight="1">
      <c r="A360" t="inlineStr">
        <is>
          <t>A 33658-2020</t>
        </is>
      </c>
      <c r="B360" s="1" t="n">
        <v>44026</v>
      </c>
      <c r="C360" s="1" t="n">
        <v>45640</v>
      </c>
      <c r="D360" t="inlineStr">
        <is>
          <t>UPPSALA LÄN</t>
        </is>
      </c>
      <c r="E360" t="inlineStr">
        <is>
          <t>UPPSALA</t>
        </is>
      </c>
      <c r="G360" t="n">
        <v>2.2</v>
      </c>
      <c r="H360" t="n">
        <v>0</v>
      </c>
      <c r="I360" t="n">
        <v>0</v>
      </c>
      <c r="J360" t="n">
        <v>0</v>
      </c>
      <c r="K360" t="n">
        <v>0</v>
      </c>
      <c r="L360" t="n">
        <v>0</v>
      </c>
      <c r="M360" t="n">
        <v>0</v>
      </c>
      <c r="N360" t="n">
        <v>0</v>
      </c>
      <c r="O360" t="n">
        <v>0</v>
      </c>
      <c r="P360" t="n">
        <v>0</v>
      </c>
      <c r="Q360" t="n">
        <v>0</v>
      </c>
      <c r="R360" s="2" t="inlineStr"/>
    </row>
    <row r="361" ht="15" customHeight="1">
      <c r="A361" t="inlineStr">
        <is>
          <t>A 34205-2020</t>
        </is>
      </c>
      <c r="B361" s="1" t="n">
        <v>44029</v>
      </c>
      <c r="C361" s="1" t="n">
        <v>45640</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34565-2020</t>
        </is>
      </c>
      <c r="B362" s="1" t="n">
        <v>44033</v>
      </c>
      <c r="C362" s="1" t="n">
        <v>45640</v>
      </c>
      <c r="D362" t="inlineStr">
        <is>
          <t>UPPSALA LÄN</t>
        </is>
      </c>
      <c r="E362" t="inlineStr">
        <is>
          <t>UPPSALA</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34753-2020</t>
        </is>
      </c>
      <c r="B363" s="1" t="n">
        <v>44035</v>
      </c>
      <c r="C363" s="1" t="n">
        <v>45640</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34749-2020</t>
        </is>
      </c>
      <c r="B364" s="1" t="n">
        <v>44035</v>
      </c>
      <c r="C364" s="1" t="n">
        <v>45640</v>
      </c>
      <c r="D364" t="inlineStr">
        <is>
          <t>UPPSALA LÄN</t>
        </is>
      </c>
      <c r="E364" t="inlineStr">
        <is>
          <t>UPPSALA</t>
        </is>
      </c>
      <c r="G364" t="n">
        <v>5.5</v>
      </c>
      <c r="H364" t="n">
        <v>0</v>
      </c>
      <c r="I364" t="n">
        <v>0</v>
      </c>
      <c r="J364" t="n">
        <v>0</v>
      </c>
      <c r="K364" t="n">
        <v>0</v>
      </c>
      <c r="L364" t="n">
        <v>0</v>
      </c>
      <c r="M364" t="n">
        <v>0</v>
      </c>
      <c r="N364" t="n">
        <v>0</v>
      </c>
      <c r="O364" t="n">
        <v>0</v>
      </c>
      <c r="P364" t="n">
        <v>0</v>
      </c>
      <c r="Q364" t="n">
        <v>0</v>
      </c>
      <c r="R364" s="2" t="inlineStr"/>
    </row>
    <row r="365" ht="15" customHeight="1">
      <c r="A365" t="inlineStr">
        <is>
          <t>A 35281-2020</t>
        </is>
      </c>
      <c r="B365" s="1" t="n">
        <v>44041</v>
      </c>
      <c r="C365" s="1" t="n">
        <v>45640</v>
      </c>
      <c r="D365" t="inlineStr">
        <is>
          <t>UPPSALA LÄN</t>
        </is>
      </c>
      <c r="E365" t="inlineStr">
        <is>
          <t>UPPSALA</t>
        </is>
      </c>
      <c r="F365" t="inlineStr">
        <is>
          <t>Bergvik skog öst AB</t>
        </is>
      </c>
      <c r="G365" t="n">
        <v>3.1</v>
      </c>
      <c r="H365" t="n">
        <v>0</v>
      </c>
      <c r="I365" t="n">
        <v>0</v>
      </c>
      <c r="J365" t="n">
        <v>0</v>
      </c>
      <c r="K365" t="n">
        <v>0</v>
      </c>
      <c r="L365" t="n">
        <v>0</v>
      </c>
      <c r="M365" t="n">
        <v>0</v>
      </c>
      <c r="N365" t="n">
        <v>0</v>
      </c>
      <c r="O365" t="n">
        <v>0</v>
      </c>
      <c r="P365" t="n">
        <v>0</v>
      </c>
      <c r="Q365" t="n">
        <v>0</v>
      </c>
      <c r="R365" s="2" t="inlineStr"/>
    </row>
    <row r="366" ht="15" customHeight="1">
      <c r="A366" t="inlineStr">
        <is>
          <t>A 36035-2020</t>
        </is>
      </c>
      <c r="B366" s="1" t="n">
        <v>44048</v>
      </c>
      <c r="C366" s="1" t="n">
        <v>45640</v>
      </c>
      <c r="D366" t="inlineStr">
        <is>
          <t>UPPSALA LÄN</t>
        </is>
      </c>
      <c r="E366" t="inlineStr">
        <is>
          <t>UPPSALA</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36202-2020</t>
        </is>
      </c>
      <c r="B367" s="1" t="n">
        <v>44048</v>
      </c>
      <c r="C367" s="1" t="n">
        <v>45640</v>
      </c>
      <c r="D367" t="inlineStr">
        <is>
          <t>UPPSALA LÄN</t>
        </is>
      </c>
      <c r="E367" t="inlineStr">
        <is>
          <t>UPPSALA</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36198-2020</t>
        </is>
      </c>
      <c r="B368" s="1" t="n">
        <v>44048</v>
      </c>
      <c r="C368" s="1" t="n">
        <v>45640</v>
      </c>
      <c r="D368" t="inlineStr">
        <is>
          <t>UPPSALA LÄN</t>
        </is>
      </c>
      <c r="E368" t="inlineStr">
        <is>
          <t>UPPSALA</t>
        </is>
      </c>
      <c r="F368" t="inlineStr">
        <is>
          <t>Bergvik skog öst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36350-2020</t>
        </is>
      </c>
      <c r="B369" s="1" t="n">
        <v>44049</v>
      </c>
      <c r="C369" s="1" t="n">
        <v>45640</v>
      </c>
      <c r="D369" t="inlineStr">
        <is>
          <t>UPPSALA LÄN</t>
        </is>
      </c>
      <c r="E369" t="inlineStr">
        <is>
          <t>UPPSALA</t>
        </is>
      </c>
      <c r="G369" t="n">
        <v>1.9</v>
      </c>
      <c r="H369" t="n">
        <v>0</v>
      </c>
      <c r="I369" t="n">
        <v>0</v>
      </c>
      <c r="J369" t="n">
        <v>0</v>
      </c>
      <c r="K369" t="n">
        <v>0</v>
      </c>
      <c r="L369" t="n">
        <v>0</v>
      </c>
      <c r="M369" t="n">
        <v>0</v>
      </c>
      <c r="N369" t="n">
        <v>0</v>
      </c>
      <c r="O369" t="n">
        <v>0</v>
      </c>
      <c r="P369" t="n">
        <v>0</v>
      </c>
      <c r="Q369" t="n">
        <v>0</v>
      </c>
      <c r="R369" s="2" t="inlineStr"/>
    </row>
    <row r="370" ht="15" customHeight="1">
      <c r="A370" t="inlineStr">
        <is>
          <t>A 36512-2020</t>
        </is>
      </c>
      <c r="B370" s="1" t="n">
        <v>44050</v>
      </c>
      <c r="C370" s="1" t="n">
        <v>45640</v>
      </c>
      <c r="D370" t="inlineStr">
        <is>
          <t>UPPSALA LÄN</t>
        </is>
      </c>
      <c r="E370" t="inlineStr">
        <is>
          <t>UPPSALA</t>
        </is>
      </c>
      <c r="G370" t="n">
        <v>5.8</v>
      </c>
      <c r="H370" t="n">
        <v>0</v>
      </c>
      <c r="I370" t="n">
        <v>0</v>
      </c>
      <c r="J370" t="n">
        <v>0</v>
      </c>
      <c r="K370" t="n">
        <v>0</v>
      </c>
      <c r="L370" t="n">
        <v>0</v>
      </c>
      <c r="M370" t="n">
        <v>0</v>
      </c>
      <c r="N370" t="n">
        <v>0</v>
      </c>
      <c r="O370" t="n">
        <v>0</v>
      </c>
      <c r="P370" t="n">
        <v>0</v>
      </c>
      <c r="Q370" t="n">
        <v>0</v>
      </c>
      <c r="R370" s="2" t="inlineStr"/>
    </row>
    <row r="371" ht="15" customHeight="1">
      <c r="A371" t="inlineStr">
        <is>
          <t>A 37276-2020</t>
        </is>
      </c>
      <c r="B371" s="1" t="n">
        <v>44055</v>
      </c>
      <c r="C371" s="1" t="n">
        <v>45640</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37669-2020</t>
        </is>
      </c>
      <c r="B372" s="1" t="n">
        <v>44056</v>
      </c>
      <c r="C372" s="1" t="n">
        <v>45640</v>
      </c>
      <c r="D372" t="inlineStr">
        <is>
          <t>UPPSALA LÄN</t>
        </is>
      </c>
      <c r="E372" t="inlineStr">
        <is>
          <t>UPPSALA</t>
        </is>
      </c>
      <c r="G372" t="n">
        <v>5.1</v>
      </c>
      <c r="H372" t="n">
        <v>0</v>
      </c>
      <c r="I372" t="n">
        <v>0</v>
      </c>
      <c r="J372" t="n">
        <v>0</v>
      </c>
      <c r="K372" t="n">
        <v>0</v>
      </c>
      <c r="L372" t="n">
        <v>0</v>
      </c>
      <c r="M372" t="n">
        <v>0</v>
      </c>
      <c r="N372" t="n">
        <v>0</v>
      </c>
      <c r="O372" t="n">
        <v>0</v>
      </c>
      <c r="P372" t="n">
        <v>0</v>
      </c>
      <c r="Q372" t="n">
        <v>0</v>
      </c>
      <c r="R372" s="2" t="inlineStr"/>
    </row>
    <row r="373" ht="15" customHeight="1">
      <c r="A373" t="inlineStr">
        <is>
          <t>A 39233-2020</t>
        </is>
      </c>
      <c r="B373" s="1" t="n">
        <v>44063</v>
      </c>
      <c r="C373" s="1" t="n">
        <v>45640</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39178-2020</t>
        </is>
      </c>
      <c r="B374" s="1" t="n">
        <v>44063</v>
      </c>
      <c r="C374" s="1" t="n">
        <v>45640</v>
      </c>
      <c r="D374" t="inlineStr">
        <is>
          <t>UPPSALA LÄN</t>
        </is>
      </c>
      <c r="E374" t="inlineStr">
        <is>
          <t>UPPSALA</t>
        </is>
      </c>
      <c r="F374" t="inlineStr">
        <is>
          <t>Bergvik skog öst AB</t>
        </is>
      </c>
      <c r="G374" t="n">
        <v>2.6</v>
      </c>
      <c r="H374" t="n">
        <v>0</v>
      </c>
      <c r="I374" t="n">
        <v>0</v>
      </c>
      <c r="J374" t="n">
        <v>0</v>
      </c>
      <c r="K374" t="n">
        <v>0</v>
      </c>
      <c r="L374" t="n">
        <v>0</v>
      </c>
      <c r="M374" t="n">
        <v>0</v>
      </c>
      <c r="N374" t="n">
        <v>0</v>
      </c>
      <c r="O374" t="n">
        <v>0</v>
      </c>
      <c r="P374" t="n">
        <v>0</v>
      </c>
      <c r="Q374" t="n">
        <v>0</v>
      </c>
      <c r="R374" s="2" t="inlineStr"/>
    </row>
    <row r="375" ht="15" customHeight="1">
      <c r="A375" t="inlineStr">
        <is>
          <t>A 39236-2020</t>
        </is>
      </c>
      <c r="B375" s="1" t="n">
        <v>44063</v>
      </c>
      <c r="C375" s="1" t="n">
        <v>45640</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39272-2020</t>
        </is>
      </c>
      <c r="B376" s="1" t="n">
        <v>44063</v>
      </c>
      <c r="C376" s="1" t="n">
        <v>45640</v>
      </c>
      <c r="D376" t="inlineStr">
        <is>
          <t>UPPSALA LÄN</t>
        </is>
      </c>
      <c r="E376" t="inlineStr">
        <is>
          <t>UPPSALA</t>
        </is>
      </c>
      <c r="G376" t="n">
        <v>2.3</v>
      </c>
      <c r="H376" t="n">
        <v>0</v>
      </c>
      <c r="I376" t="n">
        <v>0</v>
      </c>
      <c r="J376" t="n">
        <v>0</v>
      </c>
      <c r="K376" t="n">
        <v>0</v>
      </c>
      <c r="L376" t="n">
        <v>0</v>
      </c>
      <c r="M376" t="n">
        <v>0</v>
      </c>
      <c r="N376" t="n">
        <v>0</v>
      </c>
      <c r="O376" t="n">
        <v>0</v>
      </c>
      <c r="P376" t="n">
        <v>0</v>
      </c>
      <c r="Q376" t="n">
        <v>0</v>
      </c>
      <c r="R376" s="2" t="inlineStr"/>
    </row>
    <row r="377" ht="15" customHeight="1">
      <c r="A377" t="inlineStr">
        <is>
          <t>A 40894-2020</t>
        </is>
      </c>
      <c r="B377" s="1" t="n">
        <v>44070</v>
      </c>
      <c r="C377" s="1" t="n">
        <v>45640</v>
      </c>
      <c r="D377" t="inlineStr">
        <is>
          <t>UPPSALA LÄN</t>
        </is>
      </c>
      <c r="E377" t="inlineStr">
        <is>
          <t>UPPSALA</t>
        </is>
      </c>
      <c r="G377" t="n">
        <v>7.1</v>
      </c>
      <c r="H377" t="n">
        <v>0</v>
      </c>
      <c r="I377" t="n">
        <v>0</v>
      </c>
      <c r="J377" t="n">
        <v>0</v>
      </c>
      <c r="K377" t="n">
        <v>0</v>
      </c>
      <c r="L377" t="n">
        <v>0</v>
      </c>
      <c r="M377" t="n">
        <v>0</v>
      </c>
      <c r="N377" t="n">
        <v>0</v>
      </c>
      <c r="O377" t="n">
        <v>0</v>
      </c>
      <c r="P377" t="n">
        <v>0</v>
      </c>
      <c r="Q377" t="n">
        <v>0</v>
      </c>
      <c r="R377" s="2" t="inlineStr"/>
    </row>
    <row r="378" ht="15" customHeight="1">
      <c r="A378" t="inlineStr">
        <is>
          <t>A 42341-2020</t>
        </is>
      </c>
      <c r="B378" s="1" t="n">
        <v>44076</v>
      </c>
      <c r="C378" s="1" t="n">
        <v>45640</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43968-2020</t>
        </is>
      </c>
      <c r="B379" s="1" t="n">
        <v>44083</v>
      </c>
      <c r="C379" s="1" t="n">
        <v>45640</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45930-2020</t>
        </is>
      </c>
      <c r="B380" s="1" t="n">
        <v>44091</v>
      </c>
      <c r="C380" s="1" t="n">
        <v>45640</v>
      </c>
      <c r="D380" t="inlineStr">
        <is>
          <t>UPPSALA LÄN</t>
        </is>
      </c>
      <c r="E380" t="inlineStr">
        <is>
          <t>UPPSALA</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46633-2020</t>
        </is>
      </c>
      <c r="B381" s="1" t="n">
        <v>44095</v>
      </c>
      <c r="C381" s="1" t="n">
        <v>45640</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46647-2020</t>
        </is>
      </c>
      <c r="B382" s="1" t="n">
        <v>44095</v>
      </c>
      <c r="C382" s="1" t="n">
        <v>45640</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48786-2020</t>
        </is>
      </c>
      <c r="B383" s="1" t="n">
        <v>44103</v>
      </c>
      <c r="C383" s="1" t="n">
        <v>45640</v>
      </c>
      <c r="D383" t="inlineStr">
        <is>
          <t>UPPSALA LÄN</t>
        </is>
      </c>
      <c r="E383" t="inlineStr">
        <is>
          <t>UPPSALA</t>
        </is>
      </c>
      <c r="G383" t="n">
        <v>0.4</v>
      </c>
      <c r="H383" t="n">
        <v>0</v>
      </c>
      <c r="I383" t="n">
        <v>0</v>
      </c>
      <c r="J383" t="n">
        <v>0</v>
      </c>
      <c r="K383" t="n">
        <v>0</v>
      </c>
      <c r="L383" t="n">
        <v>0</v>
      </c>
      <c r="M383" t="n">
        <v>0</v>
      </c>
      <c r="N383" t="n">
        <v>0</v>
      </c>
      <c r="O383" t="n">
        <v>0</v>
      </c>
      <c r="P383" t="n">
        <v>0</v>
      </c>
      <c r="Q383" t="n">
        <v>0</v>
      </c>
      <c r="R383" s="2" t="inlineStr"/>
    </row>
    <row r="384" ht="15" customHeight="1">
      <c r="A384" t="inlineStr">
        <is>
          <t>A 49363-2020</t>
        </is>
      </c>
      <c r="B384" s="1" t="n">
        <v>44105</v>
      </c>
      <c r="C384" s="1" t="n">
        <v>45640</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49409-2020</t>
        </is>
      </c>
      <c r="B385" s="1" t="n">
        <v>44105</v>
      </c>
      <c r="C385" s="1" t="n">
        <v>45640</v>
      </c>
      <c r="D385" t="inlineStr">
        <is>
          <t>UPPSALA LÄN</t>
        </is>
      </c>
      <c r="E385" t="inlineStr">
        <is>
          <t>UPPSALA</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49404-2020</t>
        </is>
      </c>
      <c r="B386" s="1" t="n">
        <v>44105</v>
      </c>
      <c r="C386" s="1" t="n">
        <v>45640</v>
      </c>
      <c r="D386" t="inlineStr">
        <is>
          <t>UPPSALA LÄN</t>
        </is>
      </c>
      <c r="E386" t="inlineStr">
        <is>
          <t>UPPSALA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49821-2020</t>
        </is>
      </c>
      <c r="B387" s="1" t="n">
        <v>44106</v>
      </c>
      <c r="C387" s="1" t="n">
        <v>45640</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49931-2020</t>
        </is>
      </c>
      <c r="B388" s="1" t="n">
        <v>44109</v>
      </c>
      <c r="C388" s="1" t="n">
        <v>45640</v>
      </c>
      <c r="D388" t="inlineStr">
        <is>
          <t>UPPSALA LÄN</t>
        </is>
      </c>
      <c r="E388" t="inlineStr">
        <is>
          <t>UPPSALA</t>
        </is>
      </c>
      <c r="G388" t="n">
        <v>3.4</v>
      </c>
      <c r="H388" t="n">
        <v>0</v>
      </c>
      <c r="I388" t="n">
        <v>0</v>
      </c>
      <c r="J388" t="n">
        <v>0</v>
      </c>
      <c r="K388" t="n">
        <v>0</v>
      </c>
      <c r="L388" t="n">
        <v>0</v>
      </c>
      <c r="M388" t="n">
        <v>0</v>
      </c>
      <c r="N388" t="n">
        <v>0</v>
      </c>
      <c r="O388" t="n">
        <v>0</v>
      </c>
      <c r="P388" t="n">
        <v>0</v>
      </c>
      <c r="Q388" t="n">
        <v>0</v>
      </c>
      <c r="R388" s="2" t="inlineStr"/>
    </row>
    <row r="389" ht="15" customHeight="1">
      <c r="A389" t="inlineStr">
        <is>
          <t>A 52717-2020</t>
        </is>
      </c>
      <c r="B389" s="1" t="n">
        <v>44119</v>
      </c>
      <c r="C389" s="1" t="n">
        <v>45640</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53346-2020</t>
        </is>
      </c>
      <c r="B390" s="1" t="n">
        <v>44123</v>
      </c>
      <c r="C390" s="1" t="n">
        <v>45640</v>
      </c>
      <c r="D390" t="inlineStr">
        <is>
          <t>UPPSALA LÄN</t>
        </is>
      </c>
      <c r="E390" t="inlineStr">
        <is>
          <t>UPPSALA</t>
        </is>
      </c>
      <c r="G390" t="n">
        <v>1.4</v>
      </c>
      <c r="H390" t="n">
        <v>0</v>
      </c>
      <c r="I390" t="n">
        <v>0</v>
      </c>
      <c r="J390" t="n">
        <v>0</v>
      </c>
      <c r="K390" t="n">
        <v>0</v>
      </c>
      <c r="L390" t="n">
        <v>0</v>
      </c>
      <c r="M390" t="n">
        <v>0</v>
      </c>
      <c r="N390" t="n">
        <v>0</v>
      </c>
      <c r="O390" t="n">
        <v>0</v>
      </c>
      <c r="P390" t="n">
        <v>0</v>
      </c>
      <c r="Q390" t="n">
        <v>0</v>
      </c>
      <c r="R390" s="2" t="inlineStr"/>
    </row>
    <row r="391" ht="15" customHeight="1">
      <c r="A391" t="inlineStr">
        <is>
          <t>A 53379-2020</t>
        </is>
      </c>
      <c r="B391" s="1" t="n">
        <v>44123</v>
      </c>
      <c r="C391" s="1" t="n">
        <v>45640</v>
      </c>
      <c r="D391" t="inlineStr">
        <is>
          <t>UPPSALA LÄN</t>
        </is>
      </c>
      <c r="E391" t="inlineStr">
        <is>
          <t>UPPSALA</t>
        </is>
      </c>
      <c r="G391" t="n">
        <v>2.6</v>
      </c>
      <c r="H391" t="n">
        <v>0</v>
      </c>
      <c r="I391" t="n">
        <v>0</v>
      </c>
      <c r="J391" t="n">
        <v>0</v>
      </c>
      <c r="K391" t="n">
        <v>0</v>
      </c>
      <c r="L391" t="n">
        <v>0</v>
      </c>
      <c r="M391" t="n">
        <v>0</v>
      </c>
      <c r="N391" t="n">
        <v>0</v>
      </c>
      <c r="O391" t="n">
        <v>0</v>
      </c>
      <c r="P391" t="n">
        <v>0</v>
      </c>
      <c r="Q391" t="n">
        <v>0</v>
      </c>
      <c r="R391" s="2" t="inlineStr"/>
    </row>
    <row r="392" ht="15" customHeight="1">
      <c r="A392" t="inlineStr">
        <is>
          <t>A 54742-2020</t>
        </is>
      </c>
      <c r="B392" s="1" t="n">
        <v>44126</v>
      </c>
      <c r="C392" s="1" t="n">
        <v>45640</v>
      </c>
      <c r="D392" t="inlineStr">
        <is>
          <t>UPPSALA LÄN</t>
        </is>
      </c>
      <c r="E392" t="inlineStr">
        <is>
          <t>UPPSALA</t>
        </is>
      </c>
      <c r="G392" t="n">
        <v>3.6</v>
      </c>
      <c r="H392" t="n">
        <v>0</v>
      </c>
      <c r="I392" t="n">
        <v>0</v>
      </c>
      <c r="J392" t="n">
        <v>0</v>
      </c>
      <c r="K392" t="n">
        <v>0</v>
      </c>
      <c r="L392" t="n">
        <v>0</v>
      </c>
      <c r="M392" t="n">
        <v>0</v>
      </c>
      <c r="N392" t="n">
        <v>0</v>
      </c>
      <c r="O392" t="n">
        <v>0</v>
      </c>
      <c r="P392" t="n">
        <v>0</v>
      </c>
      <c r="Q392" t="n">
        <v>0</v>
      </c>
      <c r="R392" s="2" t="inlineStr"/>
    </row>
    <row r="393" ht="15" customHeight="1">
      <c r="A393" t="inlineStr">
        <is>
          <t>A 55220-2020</t>
        </is>
      </c>
      <c r="B393" s="1" t="n">
        <v>44130</v>
      </c>
      <c r="C393" s="1" t="n">
        <v>45640</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55953-2020</t>
        </is>
      </c>
      <c r="B394" s="1" t="n">
        <v>44131</v>
      </c>
      <c r="C394" s="1" t="n">
        <v>45640</v>
      </c>
      <c r="D394" t="inlineStr">
        <is>
          <t>UPPSALA LÄN</t>
        </is>
      </c>
      <c r="E394" t="inlineStr">
        <is>
          <t>UPPSALA</t>
        </is>
      </c>
      <c r="F394" t="inlineStr">
        <is>
          <t>Allmännings- och besparingsskogar</t>
        </is>
      </c>
      <c r="G394" t="n">
        <v>74.40000000000001</v>
      </c>
      <c r="H394" t="n">
        <v>0</v>
      </c>
      <c r="I394" t="n">
        <v>0</v>
      </c>
      <c r="J394" t="n">
        <v>0</v>
      </c>
      <c r="K394" t="n">
        <v>0</v>
      </c>
      <c r="L394" t="n">
        <v>0</v>
      </c>
      <c r="M394" t="n">
        <v>0</v>
      </c>
      <c r="N394" t="n">
        <v>0</v>
      </c>
      <c r="O394" t="n">
        <v>0</v>
      </c>
      <c r="P394" t="n">
        <v>0</v>
      </c>
      <c r="Q394" t="n">
        <v>0</v>
      </c>
      <c r="R394" s="2" t="inlineStr"/>
    </row>
    <row r="395" ht="15" customHeight="1">
      <c r="A395" t="inlineStr">
        <is>
          <t>A 56097-2020</t>
        </is>
      </c>
      <c r="B395" s="1" t="n">
        <v>44131</v>
      </c>
      <c r="C395" s="1" t="n">
        <v>45640</v>
      </c>
      <c r="D395" t="inlineStr">
        <is>
          <t>UPPSALA LÄN</t>
        </is>
      </c>
      <c r="E395" t="inlineStr">
        <is>
          <t>UPPSALA</t>
        </is>
      </c>
      <c r="F395" t="inlineStr">
        <is>
          <t>Allmännings- och besparingsskogar</t>
        </is>
      </c>
      <c r="G395" t="n">
        <v>10.6</v>
      </c>
      <c r="H395" t="n">
        <v>0</v>
      </c>
      <c r="I395" t="n">
        <v>0</v>
      </c>
      <c r="J395" t="n">
        <v>0</v>
      </c>
      <c r="K395" t="n">
        <v>0</v>
      </c>
      <c r="L395" t="n">
        <v>0</v>
      </c>
      <c r="M395" t="n">
        <v>0</v>
      </c>
      <c r="N395" t="n">
        <v>0</v>
      </c>
      <c r="O395" t="n">
        <v>0</v>
      </c>
      <c r="P395" t="n">
        <v>0</v>
      </c>
      <c r="Q395" t="n">
        <v>0</v>
      </c>
      <c r="R395" s="2" t="inlineStr"/>
    </row>
    <row r="396" ht="15" customHeight="1">
      <c r="A396" t="inlineStr">
        <is>
          <t>A 56466-2020</t>
        </is>
      </c>
      <c r="B396" s="1" t="n">
        <v>44134</v>
      </c>
      <c r="C396" s="1" t="n">
        <v>45640</v>
      </c>
      <c r="D396" t="inlineStr">
        <is>
          <t>UPPSALA LÄN</t>
        </is>
      </c>
      <c r="E396" t="inlineStr">
        <is>
          <t>UPPSALA</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57041-2020</t>
        </is>
      </c>
      <c r="B397" s="1" t="n">
        <v>44137</v>
      </c>
      <c r="C397" s="1" t="n">
        <v>45640</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57271-2020</t>
        </is>
      </c>
      <c r="B398" s="1" t="n">
        <v>44139</v>
      </c>
      <c r="C398" s="1" t="n">
        <v>45640</v>
      </c>
      <c r="D398" t="inlineStr">
        <is>
          <t>UPPSALA LÄN</t>
        </is>
      </c>
      <c r="E398" t="inlineStr">
        <is>
          <t>UPPSALA</t>
        </is>
      </c>
      <c r="G398" t="n">
        <v>3.8</v>
      </c>
      <c r="H398" t="n">
        <v>0</v>
      </c>
      <c r="I398" t="n">
        <v>0</v>
      </c>
      <c r="J398" t="n">
        <v>0</v>
      </c>
      <c r="K398" t="n">
        <v>0</v>
      </c>
      <c r="L398" t="n">
        <v>0</v>
      </c>
      <c r="M398" t="n">
        <v>0</v>
      </c>
      <c r="N398" t="n">
        <v>0</v>
      </c>
      <c r="O398" t="n">
        <v>0</v>
      </c>
      <c r="P398" t="n">
        <v>0</v>
      </c>
      <c r="Q398" t="n">
        <v>0</v>
      </c>
      <c r="R398" s="2" t="inlineStr"/>
    </row>
    <row r="399" ht="15" customHeight="1">
      <c r="A399" t="inlineStr">
        <is>
          <t>A 57451-2020</t>
        </is>
      </c>
      <c r="B399" s="1" t="n">
        <v>44139</v>
      </c>
      <c r="C399" s="1" t="n">
        <v>45640</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57466-2020</t>
        </is>
      </c>
      <c r="B400" s="1" t="n">
        <v>44139</v>
      </c>
      <c r="C400" s="1" t="n">
        <v>45640</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58070-2020</t>
        </is>
      </c>
      <c r="B401" s="1" t="n">
        <v>44140</v>
      </c>
      <c r="C401" s="1" t="n">
        <v>45640</v>
      </c>
      <c r="D401" t="inlineStr">
        <is>
          <t>UPPSALA LÄN</t>
        </is>
      </c>
      <c r="E401" t="inlineStr">
        <is>
          <t>UPPSALA</t>
        </is>
      </c>
      <c r="G401" t="n">
        <v>4</v>
      </c>
      <c r="H401" t="n">
        <v>0</v>
      </c>
      <c r="I401" t="n">
        <v>0</v>
      </c>
      <c r="J401" t="n">
        <v>0</v>
      </c>
      <c r="K401" t="n">
        <v>0</v>
      </c>
      <c r="L401" t="n">
        <v>0</v>
      </c>
      <c r="M401" t="n">
        <v>0</v>
      </c>
      <c r="N401" t="n">
        <v>0</v>
      </c>
      <c r="O401" t="n">
        <v>0</v>
      </c>
      <c r="P401" t="n">
        <v>0</v>
      </c>
      <c r="Q401" t="n">
        <v>0</v>
      </c>
      <c r="R401" s="2" t="inlineStr"/>
    </row>
    <row r="402" ht="15" customHeight="1">
      <c r="A402" t="inlineStr">
        <is>
          <t>A 58058-2020</t>
        </is>
      </c>
      <c r="B402" s="1" t="n">
        <v>44144</v>
      </c>
      <c r="C402" s="1" t="n">
        <v>45640</v>
      </c>
      <c r="D402" t="inlineStr">
        <is>
          <t>UPPSALA LÄN</t>
        </is>
      </c>
      <c r="E402" t="inlineStr">
        <is>
          <t>UPPSALA</t>
        </is>
      </c>
      <c r="G402" t="n">
        <v>4.4</v>
      </c>
      <c r="H402" t="n">
        <v>0</v>
      </c>
      <c r="I402" t="n">
        <v>0</v>
      </c>
      <c r="J402" t="n">
        <v>0</v>
      </c>
      <c r="K402" t="n">
        <v>0</v>
      </c>
      <c r="L402" t="n">
        <v>0</v>
      </c>
      <c r="M402" t="n">
        <v>0</v>
      </c>
      <c r="N402" t="n">
        <v>0</v>
      </c>
      <c r="O402" t="n">
        <v>0</v>
      </c>
      <c r="P402" t="n">
        <v>0</v>
      </c>
      <c r="Q402" t="n">
        <v>0</v>
      </c>
      <c r="R402" s="2" t="inlineStr"/>
    </row>
    <row r="403" ht="15" customHeight="1">
      <c r="A403" t="inlineStr">
        <is>
          <t>A 58056-2020</t>
        </is>
      </c>
      <c r="B403" s="1" t="n">
        <v>44144</v>
      </c>
      <c r="C403" s="1" t="n">
        <v>45640</v>
      </c>
      <c r="D403" t="inlineStr">
        <is>
          <t>UPPSALA LÄN</t>
        </is>
      </c>
      <c r="E403" t="inlineStr">
        <is>
          <t>UPPSALA</t>
        </is>
      </c>
      <c r="G403" t="n">
        <v>5.5</v>
      </c>
      <c r="H403" t="n">
        <v>0</v>
      </c>
      <c r="I403" t="n">
        <v>0</v>
      </c>
      <c r="J403" t="n">
        <v>0</v>
      </c>
      <c r="K403" t="n">
        <v>0</v>
      </c>
      <c r="L403" t="n">
        <v>0</v>
      </c>
      <c r="M403" t="n">
        <v>0</v>
      </c>
      <c r="N403" t="n">
        <v>0</v>
      </c>
      <c r="O403" t="n">
        <v>0</v>
      </c>
      <c r="P403" t="n">
        <v>0</v>
      </c>
      <c r="Q403" t="n">
        <v>0</v>
      </c>
      <c r="R403" s="2" t="inlineStr"/>
    </row>
    <row r="404" ht="15" customHeight="1">
      <c r="A404" t="inlineStr">
        <is>
          <t>A 58288-2020</t>
        </is>
      </c>
      <c r="B404" s="1" t="n">
        <v>44144</v>
      </c>
      <c r="C404" s="1" t="n">
        <v>45640</v>
      </c>
      <c r="D404" t="inlineStr">
        <is>
          <t>UPPSALA LÄN</t>
        </is>
      </c>
      <c r="E404" t="inlineStr">
        <is>
          <t>UPPSALA</t>
        </is>
      </c>
      <c r="G404" t="n">
        <v>0.3</v>
      </c>
      <c r="H404" t="n">
        <v>0</v>
      </c>
      <c r="I404" t="n">
        <v>0</v>
      </c>
      <c r="J404" t="n">
        <v>0</v>
      </c>
      <c r="K404" t="n">
        <v>0</v>
      </c>
      <c r="L404" t="n">
        <v>0</v>
      </c>
      <c r="M404" t="n">
        <v>0</v>
      </c>
      <c r="N404" t="n">
        <v>0</v>
      </c>
      <c r="O404" t="n">
        <v>0</v>
      </c>
      <c r="P404" t="n">
        <v>0</v>
      </c>
      <c r="Q404" t="n">
        <v>0</v>
      </c>
      <c r="R404" s="2" t="inlineStr"/>
    </row>
    <row r="405" ht="15" customHeight="1">
      <c r="A405" t="inlineStr">
        <is>
          <t>A 58928-2020</t>
        </is>
      </c>
      <c r="B405" s="1" t="n">
        <v>44146</v>
      </c>
      <c r="C405" s="1" t="n">
        <v>45640</v>
      </c>
      <c r="D405" t="inlineStr">
        <is>
          <t>UPPSALA LÄN</t>
        </is>
      </c>
      <c r="E405" t="inlineStr">
        <is>
          <t>UPPSALA</t>
        </is>
      </c>
      <c r="G405" t="n">
        <v>10.6</v>
      </c>
      <c r="H405" t="n">
        <v>0</v>
      </c>
      <c r="I405" t="n">
        <v>0</v>
      </c>
      <c r="J405" t="n">
        <v>0</v>
      </c>
      <c r="K405" t="n">
        <v>0</v>
      </c>
      <c r="L405" t="n">
        <v>0</v>
      </c>
      <c r="M405" t="n">
        <v>0</v>
      </c>
      <c r="N405" t="n">
        <v>0</v>
      </c>
      <c r="O405" t="n">
        <v>0</v>
      </c>
      <c r="P405" t="n">
        <v>0</v>
      </c>
      <c r="Q405" t="n">
        <v>0</v>
      </c>
      <c r="R405" s="2" t="inlineStr"/>
    </row>
    <row r="406" ht="15" customHeight="1">
      <c r="A406" t="inlineStr">
        <is>
          <t>A 59952-2020</t>
        </is>
      </c>
      <c r="B406" s="1" t="n">
        <v>44151</v>
      </c>
      <c r="C406" s="1" t="n">
        <v>45640</v>
      </c>
      <c r="D406" t="inlineStr">
        <is>
          <t>UPPSALA LÄN</t>
        </is>
      </c>
      <c r="E406" t="inlineStr">
        <is>
          <t>UPPSALA</t>
        </is>
      </c>
      <c r="G406" t="n">
        <v>25.8</v>
      </c>
      <c r="H406" t="n">
        <v>0</v>
      </c>
      <c r="I406" t="n">
        <v>0</v>
      </c>
      <c r="J406" t="n">
        <v>0</v>
      </c>
      <c r="K406" t="n">
        <v>0</v>
      </c>
      <c r="L406" t="n">
        <v>0</v>
      </c>
      <c r="M406" t="n">
        <v>0</v>
      </c>
      <c r="N406" t="n">
        <v>0</v>
      </c>
      <c r="O406" t="n">
        <v>0</v>
      </c>
      <c r="P406" t="n">
        <v>0</v>
      </c>
      <c r="Q406" t="n">
        <v>0</v>
      </c>
      <c r="R406" s="2" t="inlineStr"/>
    </row>
    <row r="407" ht="15" customHeight="1">
      <c r="A407" t="inlineStr">
        <is>
          <t>A 60702-2020</t>
        </is>
      </c>
      <c r="B407" s="1" t="n">
        <v>44153</v>
      </c>
      <c r="C407" s="1" t="n">
        <v>45640</v>
      </c>
      <c r="D407" t="inlineStr">
        <is>
          <t>UPPSALA LÄN</t>
        </is>
      </c>
      <c r="E407" t="inlineStr">
        <is>
          <t>UPPSALA</t>
        </is>
      </c>
      <c r="F407" t="inlineStr">
        <is>
          <t>Övriga statliga verk och myndigheter</t>
        </is>
      </c>
      <c r="G407" t="n">
        <v>1.4</v>
      </c>
      <c r="H407" t="n">
        <v>0</v>
      </c>
      <c r="I407" t="n">
        <v>0</v>
      </c>
      <c r="J407" t="n">
        <v>0</v>
      </c>
      <c r="K407" t="n">
        <v>0</v>
      </c>
      <c r="L407" t="n">
        <v>0</v>
      </c>
      <c r="M407" t="n">
        <v>0</v>
      </c>
      <c r="N407" t="n">
        <v>0</v>
      </c>
      <c r="O407" t="n">
        <v>0</v>
      </c>
      <c r="P407" t="n">
        <v>0</v>
      </c>
      <c r="Q407" t="n">
        <v>0</v>
      </c>
      <c r="R407" s="2" t="inlineStr"/>
    </row>
    <row r="408" ht="15" customHeight="1">
      <c r="A408" t="inlineStr">
        <is>
          <t>A 61265-2020</t>
        </is>
      </c>
      <c r="B408" s="1" t="n">
        <v>44155</v>
      </c>
      <c r="C408" s="1" t="n">
        <v>45640</v>
      </c>
      <c r="D408" t="inlineStr">
        <is>
          <t>UPPSALA LÄN</t>
        </is>
      </c>
      <c r="E408" t="inlineStr">
        <is>
          <t>UPPSALA</t>
        </is>
      </c>
      <c r="G408" t="n">
        <v>4.7</v>
      </c>
      <c r="H408" t="n">
        <v>0</v>
      </c>
      <c r="I408" t="n">
        <v>0</v>
      </c>
      <c r="J408" t="n">
        <v>0</v>
      </c>
      <c r="K408" t="n">
        <v>0</v>
      </c>
      <c r="L408" t="n">
        <v>0</v>
      </c>
      <c r="M408" t="n">
        <v>0</v>
      </c>
      <c r="N408" t="n">
        <v>0</v>
      </c>
      <c r="O408" t="n">
        <v>0</v>
      </c>
      <c r="P408" t="n">
        <v>0</v>
      </c>
      <c r="Q408" t="n">
        <v>0</v>
      </c>
      <c r="R408" s="2" t="inlineStr"/>
    </row>
    <row r="409" ht="15" customHeight="1">
      <c r="A409" t="inlineStr">
        <is>
          <t>A 61271-2020</t>
        </is>
      </c>
      <c r="B409" s="1" t="n">
        <v>44155</v>
      </c>
      <c r="C409" s="1" t="n">
        <v>45640</v>
      </c>
      <c r="D409" t="inlineStr">
        <is>
          <t>UPPSALA LÄN</t>
        </is>
      </c>
      <c r="E409" t="inlineStr">
        <is>
          <t>UPPSALA</t>
        </is>
      </c>
      <c r="G409" t="n">
        <v>3.5</v>
      </c>
      <c r="H409" t="n">
        <v>0</v>
      </c>
      <c r="I409" t="n">
        <v>0</v>
      </c>
      <c r="J409" t="n">
        <v>0</v>
      </c>
      <c r="K409" t="n">
        <v>0</v>
      </c>
      <c r="L409" t="n">
        <v>0</v>
      </c>
      <c r="M409" t="n">
        <v>0</v>
      </c>
      <c r="N409" t="n">
        <v>0</v>
      </c>
      <c r="O409" t="n">
        <v>0</v>
      </c>
      <c r="P409" t="n">
        <v>0</v>
      </c>
      <c r="Q409" t="n">
        <v>0</v>
      </c>
      <c r="R409" s="2" t="inlineStr"/>
    </row>
    <row r="410" ht="15" customHeight="1">
      <c r="A410" t="inlineStr">
        <is>
          <t>A 62094-2020</t>
        </is>
      </c>
      <c r="B410" s="1" t="n">
        <v>44159</v>
      </c>
      <c r="C410" s="1" t="n">
        <v>45640</v>
      </c>
      <c r="D410" t="inlineStr">
        <is>
          <t>UPPSALA LÄN</t>
        </is>
      </c>
      <c r="E410" t="inlineStr">
        <is>
          <t>UPPSALA</t>
        </is>
      </c>
      <c r="F410" t="inlineStr">
        <is>
          <t>Bergvik skog öst AB</t>
        </is>
      </c>
      <c r="G410" t="n">
        <v>3.4</v>
      </c>
      <c r="H410" t="n">
        <v>0</v>
      </c>
      <c r="I410" t="n">
        <v>0</v>
      </c>
      <c r="J410" t="n">
        <v>0</v>
      </c>
      <c r="K410" t="n">
        <v>0</v>
      </c>
      <c r="L410" t="n">
        <v>0</v>
      </c>
      <c r="M410" t="n">
        <v>0</v>
      </c>
      <c r="N410" t="n">
        <v>0</v>
      </c>
      <c r="O410" t="n">
        <v>0</v>
      </c>
      <c r="P410" t="n">
        <v>0</v>
      </c>
      <c r="Q410" t="n">
        <v>0</v>
      </c>
      <c r="R410" s="2" t="inlineStr"/>
    </row>
    <row r="411" ht="15" customHeight="1">
      <c r="A411" t="inlineStr">
        <is>
          <t>A 62352-2020</t>
        </is>
      </c>
      <c r="B411" s="1" t="n">
        <v>44159</v>
      </c>
      <c r="C411" s="1" t="n">
        <v>45640</v>
      </c>
      <c r="D411" t="inlineStr">
        <is>
          <t>UPPSALA LÄN</t>
        </is>
      </c>
      <c r="E411" t="inlineStr">
        <is>
          <t>UPPSALA</t>
        </is>
      </c>
      <c r="F411" t="inlineStr">
        <is>
          <t>Allmännings- och besparingsskogar</t>
        </is>
      </c>
      <c r="G411" t="n">
        <v>12.9</v>
      </c>
      <c r="H411" t="n">
        <v>0</v>
      </c>
      <c r="I411" t="n">
        <v>0</v>
      </c>
      <c r="J411" t="n">
        <v>0</v>
      </c>
      <c r="K411" t="n">
        <v>0</v>
      </c>
      <c r="L411" t="n">
        <v>0</v>
      </c>
      <c r="M411" t="n">
        <v>0</v>
      </c>
      <c r="N411" t="n">
        <v>0</v>
      </c>
      <c r="O411" t="n">
        <v>0</v>
      </c>
      <c r="P411" t="n">
        <v>0</v>
      </c>
      <c r="Q411" t="n">
        <v>0</v>
      </c>
      <c r="R411" s="2" t="inlineStr"/>
    </row>
    <row r="412" ht="15" customHeight="1">
      <c r="A412" t="inlineStr">
        <is>
          <t>A 62504-2020</t>
        </is>
      </c>
      <c r="B412" s="1" t="n">
        <v>44160</v>
      </c>
      <c r="C412" s="1" t="n">
        <v>45640</v>
      </c>
      <c r="D412" t="inlineStr">
        <is>
          <t>UPPSALA LÄN</t>
        </is>
      </c>
      <c r="E412" t="inlineStr">
        <is>
          <t>UPPSALA</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62729-2020</t>
        </is>
      </c>
      <c r="B413" s="1" t="n">
        <v>44161</v>
      </c>
      <c r="C413" s="1" t="n">
        <v>45640</v>
      </c>
      <c r="D413" t="inlineStr">
        <is>
          <t>UPPSALA LÄN</t>
        </is>
      </c>
      <c r="E413" t="inlineStr">
        <is>
          <t>UPPSALA</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62655-2020</t>
        </is>
      </c>
      <c r="B414" s="1" t="n">
        <v>44161</v>
      </c>
      <c r="C414" s="1" t="n">
        <v>45640</v>
      </c>
      <c r="D414" t="inlineStr">
        <is>
          <t>UPPSALA LÄN</t>
        </is>
      </c>
      <c r="E414" t="inlineStr">
        <is>
          <t>UPPSALA</t>
        </is>
      </c>
      <c r="F414" t="inlineStr">
        <is>
          <t>Holmen skog AB</t>
        </is>
      </c>
      <c r="G414" t="n">
        <v>2.7</v>
      </c>
      <c r="H414" t="n">
        <v>0</v>
      </c>
      <c r="I414" t="n">
        <v>0</v>
      </c>
      <c r="J414" t="n">
        <v>0</v>
      </c>
      <c r="K414" t="n">
        <v>0</v>
      </c>
      <c r="L414" t="n">
        <v>0</v>
      </c>
      <c r="M414" t="n">
        <v>0</v>
      </c>
      <c r="N414" t="n">
        <v>0</v>
      </c>
      <c r="O414" t="n">
        <v>0</v>
      </c>
      <c r="P414" t="n">
        <v>0</v>
      </c>
      <c r="Q414" t="n">
        <v>0</v>
      </c>
      <c r="R414" s="2" t="inlineStr"/>
    </row>
    <row r="415" ht="15" customHeight="1">
      <c r="A415" t="inlineStr">
        <is>
          <t>A 63145-2020</t>
        </is>
      </c>
      <c r="B415" s="1" t="n">
        <v>44162</v>
      </c>
      <c r="C415" s="1" t="n">
        <v>45640</v>
      </c>
      <c r="D415" t="inlineStr">
        <is>
          <t>UPPSALA LÄN</t>
        </is>
      </c>
      <c r="E415" t="inlineStr">
        <is>
          <t>UPPSALA</t>
        </is>
      </c>
      <c r="G415" t="n">
        <v>2.6</v>
      </c>
      <c r="H415" t="n">
        <v>0</v>
      </c>
      <c r="I415" t="n">
        <v>0</v>
      </c>
      <c r="J415" t="n">
        <v>0</v>
      </c>
      <c r="K415" t="n">
        <v>0</v>
      </c>
      <c r="L415" t="n">
        <v>0</v>
      </c>
      <c r="M415" t="n">
        <v>0</v>
      </c>
      <c r="N415" t="n">
        <v>0</v>
      </c>
      <c r="O415" t="n">
        <v>0</v>
      </c>
      <c r="P415" t="n">
        <v>0</v>
      </c>
      <c r="Q415" t="n">
        <v>0</v>
      </c>
      <c r="R415" s="2" t="inlineStr"/>
    </row>
    <row r="416" ht="15" customHeight="1">
      <c r="A416" t="inlineStr">
        <is>
          <t>A 63529-2020</t>
        </is>
      </c>
      <c r="B416" s="1" t="n">
        <v>44165</v>
      </c>
      <c r="C416" s="1" t="n">
        <v>45640</v>
      </c>
      <c r="D416" t="inlineStr">
        <is>
          <t>UPPSALA LÄN</t>
        </is>
      </c>
      <c r="E416" t="inlineStr">
        <is>
          <t>UPPSALA</t>
        </is>
      </c>
      <c r="F416" t="inlineStr">
        <is>
          <t>Övriga statliga verk och myndigheter</t>
        </is>
      </c>
      <c r="G416" t="n">
        <v>2.4</v>
      </c>
      <c r="H416" t="n">
        <v>0</v>
      </c>
      <c r="I416" t="n">
        <v>0</v>
      </c>
      <c r="J416" t="n">
        <v>0</v>
      </c>
      <c r="K416" t="n">
        <v>0</v>
      </c>
      <c r="L416" t="n">
        <v>0</v>
      </c>
      <c r="M416" t="n">
        <v>0</v>
      </c>
      <c r="N416" t="n">
        <v>0</v>
      </c>
      <c r="O416" t="n">
        <v>0</v>
      </c>
      <c r="P416" t="n">
        <v>0</v>
      </c>
      <c r="Q416" t="n">
        <v>0</v>
      </c>
      <c r="R416" s="2" t="inlineStr"/>
    </row>
    <row r="417" ht="15" customHeight="1">
      <c r="A417" t="inlineStr">
        <is>
          <t>A 63749-2020</t>
        </is>
      </c>
      <c r="B417" s="1" t="n">
        <v>44166</v>
      </c>
      <c r="C417" s="1" t="n">
        <v>45640</v>
      </c>
      <c r="D417" t="inlineStr">
        <is>
          <t>UPPSALA LÄN</t>
        </is>
      </c>
      <c r="E417" t="inlineStr">
        <is>
          <t>UPPSALA</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64128-2020</t>
        </is>
      </c>
      <c r="B418" s="1" t="n">
        <v>44167</v>
      </c>
      <c r="C418" s="1" t="n">
        <v>45640</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64353-2020</t>
        </is>
      </c>
      <c r="B419" s="1" t="n">
        <v>44168</v>
      </c>
      <c r="C419" s="1" t="n">
        <v>45640</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64333-2020</t>
        </is>
      </c>
      <c r="B420" s="1" t="n">
        <v>44168</v>
      </c>
      <c r="C420" s="1" t="n">
        <v>45640</v>
      </c>
      <c r="D420" t="inlineStr">
        <is>
          <t>UPPSALA LÄN</t>
        </is>
      </c>
      <c r="E420" t="inlineStr">
        <is>
          <t>UPPSALA</t>
        </is>
      </c>
      <c r="G420" t="n">
        <v>7.1</v>
      </c>
      <c r="H420" t="n">
        <v>0</v>
      </c>
      <c r="I420" t="n">
        <v>0</v>
      </c>
      <c r="J420" t="n">
        <v>0</v>
      </c>
      <c r="K420" t="n">
        <v>0</v>
      </c>
      <c r="L420" t="n">
        <v>0</v>
      </c>
      <c r="M420" t="n">
        <v>0</v>
      </c>
      <c r="N420" t="n">
        <v>0</v>
      </c>
      <c r="O420" t="n">
        <v>0</v>
      </c>
      <c r="P420" t="n">
        <v>0</v>
      </c>
      <c r="Q420" t="n">
        <v>0</v>
      </c>
      <c r="R420" s="2" t="inlineStr"/>
    </row>
    <row r="421" ht="15" customHeight="1">
      <c r="A421" t="inlineStr">
        <is>
          <t>A 66984-2020</t>
        </is>
      </c>
      <c r="B421" s="1" t="n">
        <v>44180</v>
      </c>
      <c r="C421" s="1" t="n">
        <v>45640</v>
      </c>
      <c r="D421" t="inlineStr">
        <is>
          <t>UPPSALA LÄN</t>
        </is>
      </c>
      <c r="E421" t="inlineStr">
        <is>
          <t>UPPSALA</t>
        </is>
      </c>
      <c r="F421" t="inlineStr">
        <is>
          <t>Övriga statliga verk och myndigheter</t>
        </is>
      </c>
      <c r="G421" t="n">
        <v>2.1</v>
      </c>
      <c r="H421" t="n">
        <v>0</v>
      </c>
      <c r="I421" t="n">
        <v>0</v>
      </c>
      <c r="J421" t="n">
        <v>0</v>
      </c>
      <c r="K421" t="n">
        <v>0</v>
      </c>
      <c r="L421" t="n">
        <v>0</v>
      </c>
      <c r="M421" t="n">
        <v>0</v>
      </c>
      <c r="N421" t="n">
        <v>0</v>
      </c>
      <c r="O421" t="n">
        <v>0</v>
      </c>
      <c r="P421" t="n">
        <v>0</v>
      </c>
      <c r="Q421" t="n">
        <v>0</v>
      </c>
      <c r="R421" s="2" t="inlineStr"/>
    </row>
    <row r="422" ht="15" customHeight="1">
      <c r="A422" t="inlineStr">
        <is>
          <t>A 265-2021</t>
        </is>
      </c>
      <c r="B422" s="1" t="n">
        <v>44200</v>
      </c>
      <c r="C422" s="1" t="n">
        <v>45640</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1020-2021</t>
        </is>
      </c>
      <c r="B423" s="1" t="n">
        <v>44207</v>
      </c>
      <c r="C423" s="1" t="n">
        <v>45640</v>
      </c>
      <c r="D423" t="inlineStr">
        <is>
          <t>UPPSALA LÄN</t>
        </is>
      </c>
      <c r="E423" t="inlineStr">
        <is>
          <t>UPPSALA</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1573-2021</t>
        </is>
      </c>
      <c r="B424" s="1" t="n">
        <v>44209</v>
      </c>
      <c r="C424" s="1" t="n">
        <v>45640</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1617-2021</t>
        </is>
      </c>
      <c r="B425" s="1" t="n">
        <v>44209</v>
      </c>
      <c r="C425" s="1" t="n">
        <v>45640</v>
      </c>
      <c r="D425" t="inlineStr">
        <is>
          <t>UPPSALA LÄN</t>
        </is>
      </c>
      <c r="E425" t="inlineStr">
        <is>
          <t>UPPSALA</t>
        </is>
      </c>
      <c r="G425" t="n">
        <v>2.5</v>
      </c>
      <c r="H425" t="n">
        <v>0</v>
      </c>
      <c r="I425" t="n">
        <v>0</v>
      </c>
      <c r="J425" t="n">
        <v>0</v>
      </c>
      <c r="K425" t="n">
        <v>0</v>
      </c>
      <c r="L425" t="n">
        <v>0</v>
      </c>
      <c r="M425" t="n">
        <v>0</v>
      </c>
      <c r="N425" t="n">
        <v>0</v>
      </c>
      <c r="O425" t="n">
        <v>0</v>
      </c>
      <c r="P425" t="n">
        <v>0</v>
      </c>
      <c r="Q425" t="n">
        <v>0</v>
      </c>
      <c r="R425" s="2" t="inlineStr"/>
    </row>
    <row r="426" ht="15" customHeight="1">
      <c r="A426" t="inlineStr">
        <is>
          <t>A 1855-2021</t>
        </is>
      </c>
      <c r="B426" s="1" t="n">
        <v>44210</v>
      </c>
      <c r="C426" s="1" t="n">
        <v>45640</v>
      </c>
      <c r="D426" t="inlineStr">
        <is>
          <t>UPPSALA LÄN</t>
        </is>
      </c>
      <c r="E426" t="inlineStr">
        <is>
          <t>UPPSALA</t>
        </is>
      </c>
      <c r="G426" t="n">
        <v>0.9</v>
      </c>
      <c r="H426" t="n">
        <v>0</v>
      </c>
      <c r="I426" t="n">
        <v>0</v>
      </c>
      <c r="J426" t="n">
        <v>0</v>
      </c>
      <c r="K426" t="n">
        <v>0</v>
      </c>
      <c r="L426" t="n">
        <v>0</v>
      </c>
      <c r="M426" t="n">
        <v>0</v>
      </c>
      <c r="N426" t="n">
        <v>0</v>
      </c>
      <c r="O426" t="n">
        <v>0</v>
      </c>
      <c r="P426" t="n">
        <v>0</v>
      </c>
      <c r="Q426" t="n">
        <v>0</v>
      </c>
      <c r="R426" s="2" t="inlineStr"/>
    </row>
    <row r="427" ht="15" customHeight="1">
      <c r="A427" t="inlineStr">
        <is>
          <t>A 2169-2021</t>
        </is>
      </c>
      <c r="B427" s="1" t="n">
        <v>44211</v>
      </c>
      <c r="C427" s="1" t="n">
        <v>45640</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3864-2021</t>
        </is>
      </c>
      <c r="B428" s="1" t="n">
        <v>44216</v>
      </c>
      <c r="C428" s="1" t="n">
        <v>45640</v>
      </c>
      <c r="D428" t="inlineStr">
        <is>
          <t>UPPSALA LÄN</t>
        </is>
      </c>
      <c r="E428" t="inlineStr">
        <is>
          <t>UPPSALA</t>
        </is>
      </c>
      <c r="G428" t="n">
        <v>2.9</v>
      </c>
      <c r="H428" t="n">
        <v>0</v>
      </c>
      <c r="I428" t="n">
        <v>0</v>
      </c>
      <c r="J428" t="n">
        <v>0</v>
      </c>
      <c r="K428" t="n">
        <v>0</v>
      </c>
      <c r="L428" t="n">
        <v>0</v>
      </c>
      <c r="M428" t="n">
        <v>0</v>
      </c>
      <c r="N428" t="n">
        <v>0</v>
      </c>
      <c r="O428" t="n">
        <v>0</v>
      </c>
      <c r="P428" t="n">
        <v>0</v>
      </c>
      <c r="Q428" t="n">
        <v>0</v>
      </c>
      <c r="R428" s="2" t="inlineStr"/>
    </row>
    <row r="429" ht="15" customHeight="1">
      <c r="A429" t="inlineStr">
        <is>
          <t>A 3874-2021</t>
        </is>
      </c>
      <c r="B429" s="1" t="n">
        <v>44216</v>
      </c>
      <c r="C429" s="1" t="n">
        <v>45640</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3955-2021</t>
        </is>
      </c>
      <c r="B430" s="1" t="n">
        <v>44222</v>
      </c>
      <c r="C430" s="1" t="n">
        <v>45640</v>
      </c>
      <c r="D430" t="inlineStr">
        <is>
          <t>UPPSALA LÄN</t>
        </is>
      </c>
      <c r="E430" t="inlineStr">
        <is>
          <t>UPPSALA</t>
        </is>
      </c>
      <c r="G430" t="n">
        <v>2.3</v>
      </c>
      <c r="H430" t="n">
        <v>0</v>
      </c>
      <c r="I430" t="n">
        <v>0</v>
      </c>
      <c r="J430" t="n">
        <v>0</v>
      </c>
      <c r="K430" t="n">
        <v>0</v>
      </c>
      <c r="L430" t="n">
        <v>0</v>
      </c>
      <c r="M430" t="n">
        <v>0</v>
      </c>
      <c r="N430" t="n">
        <v>0</v>
      </c>
      <c r="O430" t="n">
        <v>0</v>
      </c>
      <c r="P430" t="n">
        <v>0</v>
      </c>
      <c r="Q430" t="n">
        <v>0</v>
      </c>
      <c r="R430" s="2" t="inlineStr"/>
    </row>
    <row r="431" ht="15" customHeight="1">
      <c r="A431" t="inlineStr">
        <is>
          <t>A 4875-2021</t>
        </is>
      </c>
      <c r="B431" s="1" t="n">
        <v>44223</v>
      </c>
      <c r="C431" s="1" t="n">
        <v>45640</v>
      </c>
      <c r="D431" t="inlineStr">
        <is>
          <t>UPPSALA LÄN</t>
        </is>
      </c>
      <c r="E431" t="inlineStr">
        <is>
          <t>UPPSALA</t>
        </is>
      </c>
      <c r="G431" t="n">
        <v>0.4</v>
      </c>
      <c r="H431" t="n">
        <v>0</v>
      </c>
      <c r="I431" t="n">
        <v>0</v>
      </c>
      <c r="J431" t="n">
        <v>0</v>
      </c>
      <c r="K431" t="n">
        <v>0</v>
      </c>
      <c r="L431" t="n">
        <v>0</v>
      </c>
      <c r="M431" t="n">
        <v>0</v>
      </c>
      <c r="N431" t="n">
        <v>0</v>
      </c>
      <c r="O431" t="n">
        <v>0</v>
      </c>
      <c r="P431" t="n">
        <v>0</v>
      </c>
      <c r="Q431" t="n">
        <v>0</v>
      </c>
      <c r="R431" s="2" t="inlineStr"/>
    </row>
    <row r="432" ht="15" customHeight="1">
      <c r="A432" t="inlineStr">
        <is>
          <t>A 5663-2021</t>
        </is>
      </c>
      <c r="B432" s="1" t="n">
        <v>44230</v>
      </c>
      <c r="C432" s="1" t="n">
        <v>45640</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8114-2021</t>
        </is>
      </c>
      <c r="B433" s="1" t="n">
        <v>44243</v>
      </c>
      <c r="C433" s="1" t="n">
        <v>45640</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8494-2021</t>
        </is>
      </c>
      <c r="B434" s="1" t="n">
        <v>44245</v>
      </c>
      <c r="C434" s="1" t="n">
        <v>45640</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9700-2021</t>
        </is>
      </c>
      <c r="B435" s="1" t="n">
        <v>44252</v>
      </c>
      <c r="C435" s="1" t="n">
        <v>45640</v>
      </c>
      <c r="D435" t="inlineStr">
        <is>
          <t>UPPSALA LÄN</t>
        </is>
      </c>
      <c r="E435" t="inlineStr">
        <is>
          <t>UPPSALA</t>
        </is>
      </c>
      <c r="G435" t="n">
        <v>3.3</v>
      </c>
      <c r="H435" t="n">
        <v>0</v>
      </c>
      <c r="I435" t="n">
        <v>0</v>
      </c>
      <c r="J435" t="n">
        <v>0</v>
      </c>
      <c r="K435" t="n">
        <v>0</v>
      </c>
      <c r="L435" t="n">
        <v>0</v>
      </c>
      <c r="M435" t="n">
        <v>0</v>
      </c>
      <c r="N435" t="n">
        <v>0</v>
      </c>
      <c r="O435" t="n">
        <v>0</v>
      </c>
      <c r="P435" t="n">
        <v>0</v>
      </c>
      <c r="Q435" t="n">
        <v>0</v>
      </c>
      <c r="R435" s="2" t="inlineStr"/>
    </row>
    <row r="436" ht="15" customHeight="1">
      <c r="A436" t="inlineStr">
        <is>
          <t>A 9712-2021</t>
        </is>
      </c>
      <c r="B436" s="1" t="n">
        <v>44252</v>
      </c>
      <c r="C436" s="1" t="n">
        <v>45640</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12225-2021</t>
        </is>
      </c>
      <c r="B437" s="1" t="n">
        <v>44266</v>
      </c>
      <c r="C437" s="1" t="n">
        <v>45640</v>
      </c>
      <c r="D437" t="inlineStr">
        <is>
          <t>UPPSALA LÄN</t>
        </is>
      </c>
      <c r="E437" t="inlineStr">
        <is>
          <t>UPPSALA</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12152-2021</t>
        </is>
      </c>
      <c r="B438" s="1" t="n">
        <v>44266</v>
      </c>
      <c r="C438" s="1" t="n">
        <v>45640</v>
      </c>
      <c r="D438" t="inlineStr">
        <is>
          <t>UPPSALA LÄN</t>
        </is>
      </c>
      <c r="E438" t="inlineStr">
        <is>
          <t>UPPSALA</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12172-2021</t>
        </is>
      </c>
      <c r="B439" s="1" t="n">
        <v>44266</v>
      </c>
      <c r="C439" s="1" t="n">
        <v>45640</v>
      </c>
      <c r="D439" t="inlineStr">
        <is>
          <t>UPPSALA LÄN</t>
        </is>
      </c>
      <c r="E439" t="inlineStr">
        <is>
          <t>UPPSALA</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12194-2021</t>
        </is>
      </c>
      <c r="B440" s="1" t="n">
        <v>44266</v>
      </c>
      <c r="C440" s="1" t="n">
        <v>45640</v>
      </c>
      <c r="D440" t="inlineStr">
        <is>
          <t>UPPSALA LÄN</t>
        </is>
      </c>
      <c r="E440" t="inlineStr">
        <is>
          <t>UPPSALA</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12313-2021</t>
        </is>
      </c>
      <c r="B441" s="1" t="n">
        <v>44266</v>
      </c>
      <c r="C441" s="1" t="n">
        <v>45640</v>
      </c>
      <c r="D441" t="inlineStr">
        <is>
          <t>UPPSALA LÄN</t>
        </is>
      </c>
      <c r="E441" t="inlineStr">
        <is>
          <t>UPPSALA</t>
        </is>
      </c>
      <c r="G441" t="n">
        <v>23.6</v>
      </c>
      <c r="H441" t="n">
        <v>0</v>
      </c>
      <c r="I441" t="n">
        <v>0</v>
      </c>
      <c r="J441" t="n">
        <v>0</v>
      </c>
      <c r="K441" t="n">
        <v>0</v>
      </c>
      <c r="L441" t="n">
        <v>0</v>
      </c>
      <c r="M441" t="n">
        <v>0</v>
      </c>
      <c r="N441" t="n">
        <v>0</v>
      </c>
      <c r="O441" t="n">
        <v>0</v>
      </c>
      <c r="P441" t="n">
        <v>0</v>
      </c>
      <c r="Q441" t="n">
        <v>0</v>
      </c>
      <c r="R441" s="2" t="inlineStr"/>
    </row>
    <row r="442" ht="15" customHeight="1">
      <c r="A442" t="inlineStr">
        <is>
          <t>A 13010-2021</t>
        </is>
      </c>
      <c r="B442" s="1" t="n">
        <v>44271</v>
      </c>
      <c r="C442" s="1" t="n">
        <v>45640</v>
      </c>
      <c r="D442" t="inlineStr">
        <is>
          <t>UPPSALA LÄN</t>
        </is>
      </c>
      <c r="E442" t="inlineStr">
        <is>
          <t>UPPSALA</t>
        </is>
      </c>
      <c r="F442" t="inlineStr">
        <is>
          <t>Bergvik skog öst AB</t>
        </is>
      </c>
      <c r="G442" t="n">
        <v>2</v>
      </c>
      <c r="H442" t="n">
        <v>0</v>
      </c>
      <c r="I442" t="n">
        <v>0</v>
      </c>
      <c r="J442" t="n">
        <v>0</v>
      </c>
      <c r="K442" t="n">
        <v>0</v>
      </c>
      <c r="L442" t="n">
        <v>0</v>
      </c>
      <c r="M442" t="n">
        <v>0</v>
      </c>
      <c r="N442" t="n">
        <v>0</v>
      </c>
      <c r="O442" t="n">
        <v>0</v>
      </c>
      <c r="P442" t="n">
        <v>0</v>
      </c>
      <c r="Q442" t="n">
        <v>0</v>
      </c>
      <c r="R442" s="2" t="inlineStr"/>
    </row>
    <row r="443" ht="15" customHeight="1">
      <c r="A443" t="inlineStr">
        <is>
          <t>A 13420-2021</t>
        </is>
      </c>
      <c r="B443" s="1" t="n">
        <v>44273</v>
      </c>
      <c r="C443" s="1" t="n">
        <v>45640</v>
      </c>
      <c r="D443" t="inlineStr">
        <is>
          <t>UPPSALA LÄN</t>
        </is>
      </c>
      <c r="E443" t="inlineStr">
        <is>
          <t>UPPSALA</t>
        </is>
      </c>
      <c r="G443" t="n">
        <v>1.9</v>
      </c>
      <c r="H443" t="n">
        <v>0</v>
      </c>
      <c r="I443" t="n">
        <v>0</v>
      </c>
      <c r="J443" t="n">
        <v>0</v>
      </c>
      <c r="K443" t="n">
        <v>0</v>
      </c>
      <c r="L443" t="n">
        <v>0</v>
      </c>
      <c r="M443" t="n">
        <v>0</v>
      </c>
      <c r="N443" t="n">
        <v>0</v>
      </c>
      <c r="O443" t="n">
        <v>0</v>
      </c>
      <c r="P443" t="n">
        <v>0</v>
      </c>
      <c r="Q443" t="n">
        <v>0</v>
      </c>
      <c r="R443" s="2" t="inlineStr"/>
    </row>
    <row r="444" ht="15" customHeight="1">
      <c r="A444" t="inlineStr">
        <is>
          <t>A 14026-2021</t>
        </is>
      </c>
      <c r="B444" s="1" t="n">
        <v>44277</v>
      </c>
      <c r="C444" s="1" t="n">
        <v>45640</v>
      </c>
      <c r="D444" t="inlineStr">
        <is>
          <t>UPPSALA LÄN</t>
        </is>
      </c>
      <c r="E444" t="inlineStr">
        <is>
          <t>UPPSALA</t>
        </is>
      </c>
      <c r="G444" t="n">
        <v>3.5</v>
      </c>
      <c r="H444" t="n">
        <v>0</v>
      </c>
      <c r="I444" t="n">
        <v>0</v>
      </c>
      <c r="J444" t="n">
        <v>0</v>
      </c>
      <c r="K444" t="n">
        <v>0</v>
      </c>
      <c r="L444" t="n">
        <v>0</v>
      </c>
      <c r="M444" t="n">
        <v>0</v>
      </c>
      <c r="N444" t="n">
        <v>0</v>
      </c>
      <c r="O444" t="n">
        <v>0</v>
      </c>
      <c r="P444" t="n">
        <v>0</v>
      </c>
      <c r="Q444" t="n">
        <v>0</v>
      </c>
      <c r="R444" s="2" t="inlineStr"/>
    </row>
    <row r="445" ht="15" customHeight="1">
      <c r="A445" t="inlineStr">
        <is>
          <t>A 14022-2021</t>
        </is>
      </c>
      <c r="B445" s="1" t="n">
        <v>44277</v>
      </c>
      <c r="C445" s="1" t="n">
        <v>45640</v>
      </c>
      <c r="D445" t="inlineStr">
        <is>
          <t>UPPSALA LÄN</t>
        </is>
      </c>
      <c r="E445" t="inlineStr">
        <is>
          <t>UPPSALA</t>
        </is>
      </c>
      <c r="G445" t="n">
        <v>11.1</v>
      </c>
      <c r="H445" t="n">
        <v>0</v>
      </c>
      <c r="I445" t="n">
        <v>0</v>
      </c>
      <c r="J445" t="n">
        <v>0</v>
      </c>
      <c r="K445" t="n">
        <v>0</v>
      </c>
      <c r="L445" t="n">
        <v>0</v>
      </c>
      <c r="M445" t="n">
        <v>0</v>
      </c>
      <c r="N445" t="n">
        <v>0</v>
      </c>
      <c r="O445" t="n">
        <v>0</v>
      </c>
      <c r="P445" t="n">
        <v>0</v>
      </c>
      <c r="Q445" t="n">
        <v>0</v>
      </c>
      <c r="R445" s="2" t="inlineStr"/>
    </row>
    <row r="446" ht="15" customHeight="1">
      <c r="A446" t="inlineStr">
        <is>
          <t>A 14341-2021</t>
        </is>
      </c>
      <c r="B446" s="1" t="n">
        <v>44279</v>
      </c>
      <c r="C446" s="1" t="n">
        <v>45640</v>
      </c>
      <c r="D446" t="inlineStr">
        <is>
          <t>UPPSALA LÄN</t>
        </is>
      </c>
      <c r="E446" t="inlineStr">
        <is>
          <t>UPPSALA</t>
        </is>
      </c>
      <c r="G446" t="n">
        <v>8.9</v>
      </c>
      <c r="H446" t="n">
        <v>0</v>
      </c>
      <c r="I446" t="n">
        <v>0</v>
      </c>
      <c r="J446" t="n">
        <v>0</v>
      </c>
      <c r="K446" t="n">
        <v>0</v>
      </c>
      <c r="L446" t="n">
        <v>0</v>
      </c>
      <c r="M446" t="n">
        <v>0</v>
      </c>
      <c r="N446" t="n">
        <v>0</v>
      </c>
      <c r="O446" t="n">
        <v>0</v>
      </c>
      <c r="P446" t="n">
        <v>0</v>
      </c>
      <c r="Q446" t="n">
        <v>0</v>
      </c>
      <c r="R446" s="2" t="inlineStr"/>
    </row>
    <row r="447" ht="15" customHeight="1">
      <c r="A447" t="inlineStr">
        <is>
          <t>A 14941-2021</t>
        </is>
      </c>
      <c r="B447" s="1" t="n">
        <v>44281</v>
      </c>
      <c r="C447" s="1" t="n">
        <v>45640</v>
      </c>
      <c r="D447" t="inlineStr">
        <is>
          <t>UPPSALA LÄN</t>
        </is>
      </c>
      <c r="E447" t="inlineStr">
        <is>
          <t>UPPSALA</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15816-2021</t>
        </is>
      </c>
      <c r="B448" s="1" t="n">
        <v>44286</v>
      </c>
      <c r="C448" s="1" t="n">
        <v>45640</v>
      </c>
      <c r="D448" t="inlineStr">
        <is>
          <t>UPPSALA LÄN</t>
        </is>
      </c>
      <c r="E448" t="inlineStr">
        <is>
          <t>UPPSALA</t>
        </is>
      </c>
      <c r="G448" t="n">
        <v>2.9</v>
      </c>
      <c r="H448" t="n">
        <v>0</v>
      </c>
      <c r="I448" t="n">
        <v>0</v>
      </c>
      <c r="J448" t="n">
        <v>0</v>
      </c>
      <c r="K448" t="n">
        <v>0</v>
      </c>
      <c r="L448" t="n">
        <v>0</v>
      </c>
      <c r="M448" t="n">
        <v>0</v>
      </c>
      <c r="N448" t="n">
        <v>0</v>
      </c>
      <c r="O448" t="n">
        <v>0</v>
      </c>
      <c r="P448" t="n">
        <v>0</v>
      </c>
      <c r="Q448" t="n">
        <v>0</v>
      </c>
      <c r="R448" s="2" t="inlineStr"/>
    </row>
    <row r="449" ht="15" customHeight="1">
      <c r="A449" t="inlineStr">
        <is>
          <t>A 15820-2021</t>
        </is>
      </c>
      <c r="B449" s="1" t="n">
        <v>44286</v>
      </c>
      <c r="C449" s="1" t="n">
        <v>45640</v>
      </c>
      <c r="D449" t="inlineStr">
        <is>
          <t>UPPSALA LÄN</t>
        </is>
      </c>
      <c r="E449" t="inlineStr">
        <is>
          <t>UPPSALA</t>
        </is>
      </c>
      <c r="G449" t="n">
        <v>2.1</v>
      </c>
      <c r="H449" t="n">
        <v>0</v>
      </c>
      <c r="I449" t="n">
        <v>0</v>
      </c>
      <c r="J449" t="n">
        <v>0</v>
      </c>
      <c r="K449" t="n">
        <v>0</v>
      </c>
      <c r="L449" t="n">
        <v>0</v>
      </c>
      <c r="M449" t="n">
        <v>0</v>
      </c>
      <c r="N449" t="n">
        <v>0</v>
      </c>
      <c r="O449" t="n">
        <v>0</v>
      </c>
      <c r="P449" t="n">
        <v>0</v>
      </c>
      <c r="Q449" t="n">
        <v>0</v>
      </c>
      <c r="R449" s="2" t="inlineStr"/>
    </row>
    <row r="450" ht="15" customHeight="1">
      <c r="A450" t="inlineStr">
        <is>
          <t>A 16592-2021</t>
        </is>
      </c>
      <c r="B450" s="1" t="n">
        <v>44294</v>
      </c>
      <c r="C450" s="1" t="n">
        <v>45640</v>
      </c>
      <c r="D450" t="inlineStr">
        <is>
          <t>UPPSALA LÄN</t>
        </is>
      </c>
      <c r="E450" t="inlineStr">
        <is>
          <t>UPPSALA</t>
        </is>
      </c>
      <c r="F450" t="inlineStr">
        <is>
          <t>Övriga Aktiebolag</t>
        </is>
      </c>
      <c r="G450" t="n">
        <v>1.6</v>
      </c>
      <c r="H450" t="n">
        <v>0</v>
      </c>
      <c r="I450" t="n">
        <v>0</v>
      </c>
      <c r="J450" t="n">
        <v>0</v>
      </c>
      <c r="K450" t="n">
        <v>0</v>
      </c>
      <c r="L450" t="n">
        <v>0</v>
      </c>
      <c r="M450" t="n">
        <v>0</v>
      </c>
      <c r="N450" t="n">
        <v>0</v>
      </c>
      <c r="O450" t="n">
        <v>0</v>
      </c>
      <c r="P450" t="n">
        <v>0</v>
      </c>
      <c r="Q450" t="n">
        <v>0</v>
      </c>
      <c r="R450" s="2" t="inlineStr"/>
    </row>
    <row r="451" ht="15" customHeight="1">
      <c r="A451" t="inlineStr">
        <is>
          <t>A 16615-2021</t>
        </is>
      </c>
      <c r="B451" s="1" t="n">
        <v>44294</v>
      </c>
      <c r="C451" s="1" t="n">
        <v>45640</v>
      </c>
      <c r="D451" t="inlineStr">
        <is>
          <t>UPPSALA LÄN</t>
        </is>
      </c>
      <c r="E451" t="inlineStr">
        <is>
          <t>UPPSALA</t>
        </is>
      </c>
      <c r="F451" t="inlineStr">
        <is>
          <t>Övriga Aktiebolag</t>
        </is>
      </c>
      <c r="G451" t="n">
        <v>1.5</v>
      </c>
      <c r="H451" t="n">
        <v>0</v>
      </c>
      <c r="I451" t="n">
        <v>0</v>
      </c>
      <c r="J451" t="n">
        <v>0</v>
      </c>
      <c r="K451" t="n">
        <v>0</v>
      </c>
      <c r="L451" t="n">
        <v>0</v>
      </c>
      <c r="M451" t="n">
        <v>0</v>
      </c>
      <c r="N451" t="n">
        <v>0</v>
      </c>
      <c r="O451" t="n">
        <v>0</v>
      </c>
      <c r="P451" t="n">
        <v>0</v>
      </c>
      <c r="Q451" t="n">
        <v>0</v>
      </c>
      <c r="R451" s="2" t="inlineStr"/>
    </row>
    <row r="452" ht="15" customHeight="1">
      <c r="A452" t="inlineStr">
        <is>
          <t>A 16684-2021</t>
        </is>
      </c>
      <c r="B452" s="1" t="n">
        <v>44294</v>
      </c>
      <c r="C452" s="1" t="n">
        <v>45640</v>
      </c>
      <c r="D452" t="inlineStr">
        <is>
          <t>UPPSALA LÄN</t>
        </is>
      </c>
      <c r="E452" t="inlineStr">
        <is>
          <t>UPPSALA</t>
        </is>
      </c>
      <c r="F452" t="inlineStr">
        <is>
          <t>Övriga Aktiebolag</t>
        </is>
      </c>
      <c r="G452" t="n">
        <v>1.3</v>
      </c>
      <c r="H452" t="n">
        <v>0</v>
      </c>
      <c r="I452" t="n">
        <v>0</v>
      </c>
      <c r="J452" t="n">
        <v>0</v>
      </c>
      <c r="K452" t="n">
        <v>0</v>
      </c>
      <c r="L452" t="n">
        <v>0</v>
      </c>
      <c r="M452" t="n">
        <v>0</v>
      </c>
      <c r="N452" t="n">
        <v>0</v>
      </c>
      <c r="O452" t="n">
        <v>0</v>
      </c>
      <c r="P452" t="n">
        <v>0</v>
      </c>
      <c r="Q452" t="n">
        <v>0</v>
      </c>
      <c r="R452" s="2" t="inlineStr"/>
    </row>
    <row r="453" ht="15" customHeight="1">
      <c r="A453" t="inlineStr">
        <is>
          <t>A 17262-2021</t>
        </is>
      </c>
      <c r="B453" s="1" t="n">
        <v>44297</v>
      </c>
      <c r="C453" s="1" t="n">
        <v>45640</v>
      </c>
      <c r="D453" t="inlineStr">
        <is>
          <t>UPPSALA LÄN</t>
        </is>
      </c>
      <c r="E453" t="inlineStr">
        <is>
          <t>UPPSALA</t>
        </is>
      </c>
      <c r="F453" t="inlineStr">
        <is>
          <t>Allmännings- och besparingsskogar</t>
        </is>
      </c>
      <c r="G453" t="n">
        <v>1</v>
      </c>
      <c r="H453" t="n">
        <v>0</v>
      </c>
      <c r="I453" t="n">
        <v>0</v>
      </c>
      <c r="J453" t="n">
        <v>0</v>
      </c>
      <c r="K453" t="n">
        <v>0</v>
      </c>
      <c r="L453" t="n">
        <v>0</v>
      </c>
      <c r="M453" t="n">
        <v>0</v>
      </c>
      <c r="N453" t="n">
        <v>0</v>
      </c>
      <c r="O453" t="n">
        <v>0</v>
      </c>
      <c r="P453" t="n">
        <v>0</v>
      </c>
      <c r="Q453" t="n">
        <v>0</v>
      </c>
      <c r="R453" s="2" t="inlineStr"/>
    </row>
    <row r="454" ht="15" customHeight="1">
      <c r="A454" t="inlineStr">
        <is>
          <t>A 17250-2021</t>
        </is>
      </c>
      <c r="B454" s="1" t="n">
        <v>44297</v>
      </c>
      <c r="C454" s="1" t="n">
        <v>45640</v>
      </c>
      <c r="D454" t="inlineStr">
        <is>
          <t>UPPSALA LÄN</t>
        </is>
      </c>
      <c r="E454" t="inlineStr">
        <is>
          <t>UPPSALA</t>
        </is>
      </c>
      <c r="G454" t="n">
        <v>3.6</v>
      </c>
      <c r="H454" t="n">
        <v>0</v>
      </c>
      <c r="I454" t="n">
        <v>0</v>
      </c>
      <c r="J454" t="n">
        <v>0</v>
      </c>
      <c r="K454" t="n">
        <v>0</v>
      </c>
      <c r="L454" t="n">
        <v>0</v>
      </c>
      <c r="M454" t="n">
        <v>0</v>
      </c>
      <c r="N454" t="n">
        <v>0</v>
      </c>
      <c r="O454" t="n">
        <v>0</v>
      </c>
      <c r="P454" t="n">
        <v>0</v>
      </c>
      <c r="Q454" t="n">
        <v>0</v>
      </c>
      <c r="R454" s="2" t="inlineStr"/>
    </row>
    <row r="455" ht="15" customHeight="1">
      <c r="A455" t="inlineStr">
        <is>
          <t>A 17536-2021</t>
        </is>
      </c>
      <c r="B455" s="1" t="n">
        <v>44299</v>
      </c>
      <c r="C455" s="1" t="n">
        <v>45640</v>
      </c>
      <c r="D455" t="inlineStr">
        <is>
          <t>UPPSALA LÄN</t>
        </is>
      </c>
      <c r="E455" t="inlineStr">
        <is>
          <t>UPPSALA</t>
        </is>
      </c>
      <c r="F455" t="inlineStr">
        <is>
          <t>Holmen skog AB</t>
        </is>
      </c>
      <c r="G455" t="n">
        <v>7.6</v>
      </c>
      <c r="H455" t="n">
        <v>0</v>
      </c>
      <c r="I455" t="n">
        <v>0</v>
      </c>
      <c r="J455" t="n">
        <v>0</v>
      </c>
      <c r="K455" t="n">
        <v>0</v>
      </c>
      <c r="L455" t="n">
        <v>0</v>
      </c>
      <c r="M455" t="n">
        <v>0</v>
      </c>
      <c r="N455" t="n">
        <v>0</v>
      </c>
      <c r="O455" t="n">
        <v>0</v>
      </c>
      <c r="P455" t="n">
        <v>0</v>
      </c>
      <c r="Q455" t="n">
        <v>0</v>
      </c>
      <c r="R455" s="2" t="inlineStr"/>
    </row>
    <row r="456" ht="15" customHeight="1">
      <c r="A456" t="inlineStr">
        <is>
          <t>A 18906-2021</t>
        </is>
      </c>
      <c r="B456" s="1" t="n">
        <v>44308</v>
      </c>
      <c r="C456" s="1" t="n">
        <v>45640</v>
      </c>
      <c r="D456" t="inlineStr">
        <is>
          <t>UPPSALA LÄN</t>
        </is>
      </c>
      <c r="E456" t="inlineStr">
        <is>
          <t>UPPSALA</t>
        </is>
      </c>
      <c r="G456" t="n">
        <v>1.8</v>
      </c>
      <c r="H456" t="n">
        <v>0</v>
      </c>
      <c r="I456" t="n">
        <v>0</v>
      </c>
      <c r="J456" t="n">
        <v>0</v>
      </c>
      <c r="K456" t="n">
        <v>0</v>
      </c>
      <c r="L456" t="n">
        <v>0</v>
      </c>
      <c r="M456" t="n">
        <v>0</v>
      </c>
      <c r="N456" t="n">
        <v>0</v>
      </c>
      <c r="O456" t="n">
        <v>0</v>
      </c>
      <c r="P456" t="n">
        <v>0</v>
      </c>
      <c r="Q456" t="n">
        <v>0</v>
      </c>
      <c r="R456" s="2" t="inlineStr"/>
    </row>
    <row r="457" ht="15" customHeight="1">
      <c r="A457" t="inlineStr">
        <is>
          <t>A 19927-2021</t>
        </is>
      </c>
      <c r="B457" s="1" t="n">
        <v>44313</v>
      </c>
      <c r="C457" s="1" t="n">
        <v>45640</v>
      </c>
      <c r="D457" t="inlineStr">
        <is>
          <t>UPPSALA LÄN</t>
        </is>
      </c>
      <c r="E457" t="inlineStr">
        <is>
          <t>UPPSALA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19947-2021</t>
        </is>
      </c>
      <c r="B458" s="1" t="n">
        <v>44313</v>
      </c>
      <c r="C458" s="1" t="n">
        <v>45640</v>
      </c>
      <c r="D458" t="inlineStr">
        <is>
          <t>UPPSALA LÄN</t>
        </is>
      </c>
      <c r="E458" t="inlineStr">
        <is>
          <t>UPPSALA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20276-2021</t>
        </is>
      </c>
      <c r="B459" s="1" t="n">
        <v>44314</v>
      </c>
      <c r="C459" s="1" t="n">
        <v>45640</v>
      </c>
      <c r="D459" t="inlineStr">
        <is>
          <t>UPPSALA LÄN</t>
        </is>
      </c>
      <c r="E459" t="inlineStr">
        <is>
          <t>UPPSALA</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20271-2021</t>
        </is>
      </c>
      <c r="B460" s="1" t="n">
        <v>44314</v>
      </c>
      <c r="C460" s="1" t="n">
        <v>45640</v>
      </c>
      <c r="D460" t="inlineStr">
        <is>
          <t>UPPSALA LÄN</t>
        </is>
      </c>
      <c r="E460" t="inlineStr">
        <is>
          <t>UPPSALA</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20609-2021</t>
        </is>
      </c>
      <c r="B461" s="1" t="n">
        <v>44316</v>
      </c>
      <c r="C461" s="1" t="n">
        <v>45640</v>
      </c>
      <c r="D461" t="inlineStr">
        <is>
          <t>UPPSALA LÄN</t>
        </is>
      </c>
      <c r="E461" t="inlineStr">
        <is>
          <t>UPPSALA</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22070-2021</t>
        </is>
      </c>
      <c r="B462" s="1" t="n">
        <v>44323</v>
      </c>
      <c r="C462" s="1" t="n">
        <v>45640</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22946-2021</t>
        </is>
      </c>
      <c r="B463" s="1" t="n">
        <v>44328</v>
      </c>
      <c r="C463" s="1" t="n">
        <v>45640</v>
      </c>
      <c r="D463" t="inlineStr">
        <is>
          <t>UPPSALA LÄN</t>
        </is>
      </c>
      <c r="E463" t="inlineStr">
        <is>
          <t>UPPSALA</t>
        </is>
      </c>
      <c r="G463" t="n">
        <v>2.3</v>
      </c>
      <c r="H463" t="n">
        <v>0</v>
      </c>
      <c r="I463" t="n">
        <v>0</v>
      </c>
      <c r="J463" t="n">
        <v>0</v>
      </c>
      <c r="K463" t="n">
        <v>0</v>
      </c>
      <c r="L463" t="n">
        <v>0</v>
      </c>
      <c r="M463" t="n">
        <v>0</v>
      </c>
      <c r="N463" t="n">
        <v>0</v>
      </c>
      <c r="O463" t="n">
        <v>0</v>
      </c>
      <c r="P463" t="n">
        <v>0</v>
      </c>
      <c r="Q463" t="n">
        <v>0</v>
      </c>
      <c r="R463" s="2" t="inlineStr"/>
    </row>
    <row r="464" ht="15" customHeight="1">
      <c r="A464" t="inlineStr">
        <is>
          <t>A 23877-2021</t>
        </is>
      </c>
      <c r="B464" s="1" t="n">
        <v>44335</v>
      </c>
      <c r="C464" s="1" t="n">
        <v>45640</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25613-2021</t>
        </is>
      </c>
      <c r="B465" s="1" t="n">
        <v>44343</v>
      </c>
      <c r="C465" s="1" t="n">
        <v>45640</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26785-2021</t>
        </is>
      </c>
      <c r="B466" s="1" t="n">
        <v>44349</v>
      </c>
      <c r="C466" s="1" t="n">
        <v>45640</v>
      </c>
      <c r="D466" t="inlineStr">
        <is>
          <t>UPPSALA LÄN</t>
        </is>
      </c>
      <c r="E466" t="inlineStr">
        <is>
          <t>UPPSALA</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27365-2021</t>
        </is>
      </c>
      <c r="B467" s="1" t="n">
        <v>44351</v>
      </c>
      <c r="C467" s="1" t="n">
        <v>45640</v>
      </c>
      <c r="D467" t="inlineStr">
        <is>
          <t>UPPSALA LÄN</t>
        </is>
      </c>
      <c r="E467" t="inlineStr">
        <is>
          <t>UPPSALA</t>
        </is>
      </c>
      <c r="F467" t="inlineStr">
        <is>
          <t>Allmännings- och besparingsskogar</t>
        </is>
      </c>
      <c r="G467" t="n">
        <v>20.5</v>
      </c>
      <c r="H467" t="n">
        <v>0</v>
      </c>
      <c r="I467" t="n">
        <v>0</v>
      </c>
      <c r="J467" t="n">
        <v>0</v>
      </c>
      <c r="K467" t="n">
        <v>0</v>
      </c>
      <c r="L467" t="n">
        <v>0</v>
      </c>
      <c r="M467" t="n">
        <v>0</v>
      </c>
      <c r="N467" t="n">
        <v>0</v>
      </c>
      <c r="O467" t="n">
        <v>0</v>
      </c>
      <c r="P467" t="n">
        <v>0</v>
      </c>
      <c r="Q467" t="n">
        <v>0</v>
      </c>
      <c r="R467" s="2" t="inlineStr"/>
    </row>
    <row r="468" ht="15" customHeight="1">
      <c r="A468" t="inlineStr">
        <is>
          <t>A 28694-2021</t>
        </is>
      </c>
      <c r="B468" s="1" t="n">
        <v>44357</v>
      </c>
      <c r="C468" s="1" t="n">
        <v>45640</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29145-2021</t>
        </is>
      </c>
      <c r="B469" s="1" t="n">
        <v>44358</v>
      </c>
      <c r="C469" s="1" t="n">
        <v>45640</v>
      </c>
      <c r="D469" t="inlineStr">
        <is>
          <t>UPPSALA LÄN</t>
        </is>
      </c>
      <c r="E469" t="inlineStr">
        <is>
          <t>UPPSALA</t>
        </is>
      </c>
      <c r="G469" t="n">
        <v>2.4</v>
      </c>
      <c r="H469" t="n">
        <v>0</v>
      </c>
      <c r="I469" t="n">
        <v>0</v>
      </c>
      <c r="J469" t="n">
        <v>0</v>
      </c>
      <c r="K469" t="n">
        <v>0</v>
      </c>
      <c r="L469" t="n">
        <v>0</v>
      </c>
      <c r="M469" t="n">
        <v>0</v>
      </c>
      <c r="N469" t="n">
        <v>0</v>
      </c>
      <c r="O469" t="n">
        <v>0</v>
      </c>
      <c r="P469" t="n">
        <v>0</v>
      </c>
      <c r="Q469" t="n">
        <v>0</v>
      </c>
      <c r="R469" s="2" t="inlineStr"/>
    </row>
    <row r="470" ht="15" customHeight="1">
      <c r="A470" t="inlineStr">
        <is>
          <t>A 30655-2021</t>
        </is>
      </c>
      <c r="B470" s="1" t="n">
        <v>44365</v>
      </c>
      <c r="C470" s="1" t="n">
        <v>45640</v>
      </c>
      <c r="D470" t="inlineStr">
        <is>
          <t>UPPSALA LÄN</t>
        </is>
      </c>
      <c r="E470" t="inlineStr">
        <is>
          <t>UPPSALA</t>
        </is>
      </c>
      <c r="F470" t="inlineStr">
        <is>
          <t>Holmen skog AB</t>
        </is>
      </c>
      <c r="G470" t="n">
        <v>5.8</v>
      </c>
      <c r="H470" t="n">
        <v>0</v>
      </c>
      <c r="I470" t="n">
        <v>0</v>
      </c>
      <c r="J470" t="n">
        <v>0</v>
      </c>
      <c r="K470" t="n">
        <v>0</v>
      </c>
      <c r="L470" t="n">
        <v>0</v>
      </c>
      <c r="M470" t="n">
        <v>0</v>
      </c>
      <c r="N470" t="n">
        <v>0</v>
      </c>
      <c r="O470" t="n">
        <v>0</v>
      </c>
      <c r="P470" t="n">
        <v>0</v>
      </c>
      <c r="Q470" t="n">
        <v>0</v>
      </c>
      <c r="R470" s="2" t="inlineStr"/>
    </row>
    <row r="471" ht="15" customHeight="1">
      <c r="A471" t="inlineStr">
        <is>
          <t>A 30656-2021</t>
        </is>
      </c>
      <c r="B471" s="1" t="n">
        <v>44365</v>
      </c>
      <c r="C471" s="1" t="n">
        <v>45640</v>
      </c>
      <c r="D471" t="inlineStr">
        <is>
          <t>UPPSALA LÄN</t>
        </is>
      </c>
      <c r="E471" t="inlineStr">
        <is>
          <t>UPPSALA</t>
        </is>
      </c>
      <c r="G471" t="n">
        <v>6.7</v>
      </c>
      <c r="H471" t="n">
        <v>0</v>
      </c>
      <c r="I471" t="n">
        <v>0</v>
      </c>
      <c r="J471" t="n">
        <v>0</v>
      </c>
      <c r="K471" t="n">
        <v>0</v>
      </c>
      <c r="L471" t="n">
        <v>0</v>
      </c>
      <c r="M471" t="n">
        <v>0</v>
      </c>
      <c r="N471" t="n">
        <v>0</v>
      </c>
      <c r="O471" t="n">
        <v>0</v>
      </c>
      <c r="P471" t="n">
        <v>0</v>
      </c>
      <c r="Q471" t="n">
        <v>0</v>
      </c>
      <c r="R471" s="2" t="inlineStr"/>
    </row>
    <row r="472" ht="15" customHeight="1">
      <c r="A472" t="inlineStr">
        <is>
          <t>A 31646-2021</t>
        </is>
      </c>
      <c r="B472" s="1" t="n">
        <v>44369</v>
      </c>
      <c r="C472" s="1" t="n">
        <v>45640</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31662-2021</t>
        </is>
      </c>
      <c r="B473" s="1" t="n">
        <v>44369</v>
      </c>
      <c r="C473" s="1" t="n">
        <v>45640</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31829-2021</t>
        </is>
      </c>
      <c r="B474" s="1" t="n">
        <v>44370</v>
      </c>
      <c r="C474" s="1" t="n">
        <v>45640</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32276-2021</t>
        </is>
      </c>
      <c r="B475" s="1" t="n">
        <v>44371</v>
      </c>
      <c r="C475" s="1" t="n">
        <v>45640</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32428-2021</t>
        </is>
      </c>
      <c r="B476" s="1" t="n">
        <v>44371</v>
      </c>
      <c r="C476" s="1" t="n">
        <v>45640</v>
      </c>
      <c r="D476" t="inlineStr">
        <is>
          <t>UPPSALA LÄN</t>
        </is>
      </c>
      <c r="E476" t="inlineStr">
        <is>
          <t>UPPSALA</t>
        </is>
      </c>
      <c r="F476" t="inlineStr">
        <is>
          <t>Bergvik skog öst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32955-2021</t>
        </is>
      </c>
      <c r="B477" s="1" t="n">
        <v>44376</v>
      </c>
      <c r="C477" s="1" t="n">
        <v>45640</v>
      </c>
      <c r="D477" t="inlineStr">
        <is>
          <t>UPPSALA LÄN</t>
        </is>
      </c>
      <c r="E477" t="inlineStr">
        <is>
          <t>UPPSALA</t>
        </is>
      </c>
      <c r="F477" t="inlineStr">
        <is>
          <t>Bergvik skog öst AB</t>
        </is>
      </c>
      <c r="G477" t="n">
        <v>10</v>
      </c>
      <c r="H477" t="n">
        <v>0</v>
      </c>
      <c r="I477" t="n">
        <v>0</v>
      </c>
      <c r="J477" t="n">
        <v>0</v>
      </c>
      <c r="K477" t="n">
        <v>0</v>
      </c>
      <c r="L477" t="n">
        <v>0</v>
      </c>
      <c r="M477" t="n">
        <v>0</v>
      </c>
      <c r="N477" t="n">
        <v>0</v>
      </c>
      <c r="O477" t="n">
        <v>0</v>
      </c>
      <c r="P477" t="n">
        <v>0</v>
      </c>
      <c r="Q477" t="n">
        <v>0</v>
      </c>
      <c r="R477" s="2" t="inlineStr"/>
    </row>
    <row r="478" ht="15" customHeight="1">
      <c r="A478" t="inlineStr">
        <is>
          <t>A 33797-2021</t>
        </is>
      </c>
      <c r="B478" s="1" t="n">
        <v>44378</v>
      </c>
      <c r="C478" s="1" t="n">
        <v>45640</v>
      </c>
      <c r="D478" t="inlineStr">
        <is>
          <t>UPPSALA LÄN</t>
        </is>
      </c>
      <c r="E478" t="inlineStr">
        <is>
          <t>UPPSALA</t>
        </is>
      </c>
      <c r="G478" t="n">
        <v>1</v>
      </c>
      <c r="H478" t="n">
        <v>0</v>
      </c>
      <c r="I478" t="n">
        <v>0</v>
      </c>
      <c r="J478" t="n">
        <v>0</v>
      </c>
      <c r="K478" t="n">
        <v>0</v>
      </c>
      <c r="L478" t="n">
        <v>0</v>
      </c>
      <c r="M478" t="n">
        <v>0</v>
      </c>
      <c r="N478" t="n">
        <v>0</v>
      </c>
      <c r="O478" t="n">
        <v>0</v>
      </c>
      <c r="P478" t="n">
        <v>0</v>
      </c>
      <c r="Q478" t="n">
        <v>0</v>
      </c>
      <c r="R478" s="2" t="inlineStr"/>
    </row>
    <row r="479" ht="15" customHeight="1">
      <c r="A479" t="inlineStr">
        <is>
          <t>A 33920-2021</t>
        </is>
      </c>
      <c r="B479" s="1" t="n">
        <v>44378</v>
      </c>
      <c r="C479" s="1" t="n">
        <v>45640</v>
      </c>
      <c r="D479" t="inlineStr">
        <is>
          <t>UPPSALA LÄN</t>
        </is>
      </c>
      <c r="E479" t="inlineStr">
        <is>
          <t>UPPSALA</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34020-2021</t>
        </is>
      </c>
      <c r="B480" s="1" t="n">
        <v>44379</v>
      </c>
      <c r="C480" s="1" t="n">
        <v>45640</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34039-2021</t>
        </is>
      </c>
      <c r="B481" s="1" t="n">
        <v>44379</v>
      </c>
      <c r="C481" s="1" t="n">
        <v>45640</v>
      </c>
      <c r="D481" t="inlineStr">
        <is>
          <t>UPPSALA LÄN</t>
        </is>
      </c>
      <c r="E481" t="inlineStr">
        <is>
          <t>UPPSALA</t>
        </is>
      </c>
      <c r="G481" t="n">
        <v>0.7</v>
      </c>
      <c r="H481" t="n">
        <v>0</v>
      </c>
      <c r="I481" t="n">
        <v>0</v>
      </c>
      <c r="J481" t="n">
        <v>0</v>
      </c>
      <c r="K481" t="n">
        <v>0</v>
      </c>
      <c r="L481" t="n">
        <v>0</v>
      </c>
      <c r="M481" t="n">
        <v>0</v>
      </c>
      <c r="N481" t="n">
        <v>0</v>
      </c>
      <c r="O481" t="n">
        <v>0</v>
      </c>
      <c r="P481" t="n">
        <v>0</v>
      </c>
      <c r="Q481" t="n">
        <v>0</v>
      </c>
      <c r="R481" s="2" t="inlineStr"/>
    </row>
    <row r="482" ht="15" customHeight="1">
      <c r="A482" t="inlineStr">
        <is>
          <t>A 34043-2021</t>
        </is>
      </c>
      <c r="B482" s="1" t="n">
        <v>44379</v>
      </c>
      <c r="C482" s="1" t="n">
        <v>45640</v>
      </c>
      <c r="D482" t="inlineStr">
        <is>
          <t>UPPSALA LÄN</t>
        </is>
      </c>
      <c r="E482" t="inlineStr">
        <is>
          <t>UPPSALA</t>
        </is>
      </c>
      <c r="G482" t="n">
        <v>2.2</v>
      </c>
      <c r="H482" t="n">
        <v>0</v>
      </c>
      <c r="I482" t="n">
        <v>0</v>
      </c>
      <c r="J482" t="n">
        <v>0</v>
      </c>
      <c r="K482" t="n">
        <v>0</v>
      </c>
      <c r="L482" t="n">
        <v>0</v>
      </c>
      <c r="M482" t="n">
        <v>0</v>
      </c>
      <c r="N482" t="n">
        <v>0</v>
      </c>
      <c r="O482" t="n">
        <v>0</v>
      </c>
      <c r="P482" t="n">
        <v>0</v>
      </c>
      <c r="Q482" t="n">
        <v>0</v>
      </c>
      <c r="R482" s="2" t="inlineStr"/>
    </row>
    <row r="483" ht="15" customHeight="1">
      <c r="A483" t="inlineStr">
        <is>
          <t>A 34265-2021</t>
        </is>
      </c>
      <c r="B483" s="1" t="n">
        <v>44379</v>
      </c>
      <c r="C483" s="1" t="n">
        <v>45640</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34249-2021</t>
        </is>
      </c>
      <c r="B484" s="1" t="n">
        <v>44379</v>
      </c>
      <c r="C484" s="1" t="n">
        <v>45640</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34243-2021</t>
        </is>
      </c>
      <c r="B485" s="1" t="n">
        <v>44379</v>
      </c>
      <c r="C485" s="1" t="n">
        <v>45640</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34263-2021</t>
        </is>
      </c>
      <c r="B486" s="1" t="n">
        <v>44379</v>
      </c>
      <c r="C486" s="1" t="n">
        <v>45640</v>
      </c>
      <c r="D486" t="inlineStr">
        <is>
          <t>UPPSALA LÄN</t>
        </is>
      </c>
      <c r="E486" t="inlineStr">
        <is>
          <t>UPPSALA</t>
        </is>
      </c>
      <c r="G486" t="n">
        <v>5.8</v>
      </c>
      <c r="H486" t="n">
        <v>0</v>
      </c>
      <c r="I486" t="n">
        <v>0</v>
      </c>
      <c r="J486" t="n">
        <v>0</v>
      </c>
      <c r="K486" t="n">
        <v>0</v>
      </c>
      <c r="L486" t="n">
        <v>0</v>
      </c>
      <c r="M486" t="n">
        <v>0</v>
      </c>
      <c r="N486" t="n">
        <v>0</v>
      </c>
      <c r="O486" t="n">
        <v>0</v>
      </c>
      <c r="P486" t="n">
        <v>0</v>
      </c>
      <c r="Q486" t="n">
        <v>0</v>
      </c>
      <c r="R486" s="2" t="inlineStr"/>
    </row>
    <row r="487" ht="15" customHeight="1">
      <c r="A487" t="inlineStr">
        <is>
          <t>A 34838-2021</t>
        </is>
      </c>
      <c r="B487" s="1" t="n">
        <v>44383</v>
      </c>
      <c r="C487" s="1" t="n">
        <v>45640</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34825-2021</t>
        </is>
      </c>
      <c r="B488" s="1" t="n">
        <v>44383</v>
      </c>
      <c r="C488" s="1" t="n">
        <v>45640</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35630-2021</t>
        </is>
      </c>
      <c r="B489" s="1" t="n">
        <v>44386</v>
      </c>
      <c r="C489" s="1" t="n">
        <v>45640</v>
      </c>
      <c r="D489" t="inlineStr">
        <is>
          <t>UPPSALA LÄN</t>
        </is>
      </c>
      <c r="E489" t="inlineStr">
        <is>
          <t>UPPSALA</t>
        </is>
      </c>
      <c r="G489" t="n">
        <v>6</v>
      </c>
      <c r="H489" t="n">
        <v>0</v>
      </c>
      <c r="I489" t="n">
        <v>0</v>
      </c>
      <c r="J489" t="n">
        <v>0</v>
      </c>
      <c r="K489" t="n">
        <v>0</v>
      </c>
      <c r="L489" t="n">
        <v>0</v>
      </c>
      <c r="M489" t="n">
        <v>0</v>
      </c>
      <c r="N489" t="n">
        <v>0</v>
      </c>
      <c r="O489" t="n">
        <v>0</v>
      </c>
      <c r="P489" t="n">
        <v>0</v>
      </c>
      <c r="Q489" t="n">
        <v>0</v>
      </c>
      <c r="R489" s="2" t="inlineStr"/>
    </row>
    <row r="490" ht="15" customHeight="1">
      <c r="A490" t="inlineStr">
        <is>
          <t>A 36304-2021</t>
        </is>
      </c>
      <c r="B490" s="1" t="n">
        <v>44390</v>
      </c>
      <c r="C490" s="1" t="n">
        <v>45640</v>
      </c>
      <c r="D490" t="inlineStr">
        <is>
          <t>UPPSALA LÄN</t>
        </is>
      </c>
      <c r="E490" t="inlineStr">
        <is>
          <t>UPPSALA</t>
        </is>
      </c>
      <c r="G490" t="n">
        <v>7.4</v>
      </c>
      <c r="H490" t="n">
        <v>0</v>
      </c>
      <c r="I490" t="n">
        <v>0</v>
      </c>
      <c r="J490" t="n">
        <v>0</v>
      </c>
      <c r="K490" t="n">
        <v>0</v>
      </c>
      <c r="L490" t="n">
        <v>0</v>
      </c>
      <c r="M490" t="n">
        <v>0</v>
      </c>
      <c r="N490" t="n">
        <v>0</v>
      </c>
      <c r="O490" t="n">
        <v>0</v>
      </c>
      <c r="P490" t="n">
        <v>0</v>
      </c>
      <c r="Q490" t="n">
        <v>0</v>
      </c>
      <c r="R490" s="2" t="inlineStr"/>
    </row>
    <row r="491" ht="15" customHeight="1">
      <c r="A491" t="inlineStr">
        <is>
          <t>A 36721-2021</t>
        </is>
      </c>
      <c r="B491" s="1" t="n">
        <v>44392</v>
      </c>
      <c r="C491" s="1" t="n">
        <v>45640</v>
      </c>
      <c r="D491" t="inlineStr">
        <is>
          <t>UPPSALA LÄN</t>
        </is>
      </c>
      <c r="E491" t="inlineStr">
        <is>
          <t>UPPSALA</t>
        </is>
      </c>
      <c r="F491" t="inlineStr">
        <is>
          <t>Bergvik skog öst AB</t>
        </is>
      </c>
      <c r="G491" t="n">
        <v>5.8</v>
      </c>
      <c r="H491" t="n">
        <v>0</v>
      </c>
      <c r="I491" t="n">
        <v>0</v>
      </c>
      <c r="J491" t="n">
        <v>0</v>
      </c>
      <c r="K491" t="n">
        <v>0</v>
      </c>
      <c r="L491" t="n">
        <v>0</v>
      </c>
      <c r="M491" t="n">
        <v>0</v>
      </c>
      <c r="N491" t="n">
        <v>0</v>
      </c>
      <c r="O491" t="n">
        <v>0</v>
      </c>
      <c r="P491" t="n">
        <v>0</v>
      </c>
      <c r="Q491" t="n">
        <v>0</v>
      </c>
      <c r="R491" s="2" t="inlineStr"/>
    </row>
    <row r="492" ht="15" customHeight="1">
      <c r="A492" t="inlineStr">
        <is>
          <t>A 36998-2021</t>
        </is>
      </c>
      <c r="B492" s="1" t="n">
        <v>44393</v>
      </c>
      <c r="C492" s="1" t="n">
        <v>45640</v>
      </c>
      <c r="D492" t="inlineStr">
        <is>
          <t>UPPSALA LÄN</t>
        </is>
      </c>
      <c r="E492" t="inlineStr">
        <is>
          <t>UPPSALA</t>
        </is>
      </c>
      <c r="F492" t="inlineStr">
        <is>
          <t>Bergvik skog öst AB</t>
        </is>
      </c>
      <c r="G492" t="n">
        <v>3.5</v>
      </c>
      <c r="H492" t="n">
        <v>0</v>
      </c>
      <c r="I492" t="n">
        <v>0</v>
      </c>
      <c r="J492" t="n">
        <v>0</v>
      </c>
      <c r="K492" t="n">
        <v>0</v>
      </c>
      <c r="L492" t="n">
        <v>0</v>
      </c>
      <c r="M492" t="n">
        <v>0</v>
      </c>
      <c r="N492" t="n">
        <v>0</v>
      </c>
      <c r="O492" t="n">
        <v>0</v>
      </c>
      <c r="P492" t="n">
        <v>0</v>
      </c>
      <c r="Q492" t="n">
        <v>0</v>
      </c>
      <c r="R492" s="2" t="inlineStr"/>
    </row>
    <row r="493" ht="15" customHeight="1">
      <c r="A493" t="inlineStr">
        <is>
          <t>A 37162-2021</t>
        </is>
      </c>
      <c r="B493" s="1" t="n">
        <v>44395</v>
      </c>
      <c r="C493" s="1" t="n">
        <v>45640</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37763-2021</t>
        </is>
      </c>
      <c r="B494" s="1" t="n">
        <v>44400</v>
      </c>
      <c r="C494" s="1" t="n">
        <v>45640</v>
      </c>
      <c r="D494" t="inlineStr">
        <is>
          <t>UPPSALA LÄN</t>
        </is>
      </c>
      <c r="E494" t="inlineStr">
        <is>
          <t>UPPSALA</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37819-2021</t>
        </is>
      </c>
      <c r="B495" s="1" t="n">
        <v>44403</v>
      </c>
      <c r="C495" s="1" t="n">
        <v>45640</v>
      </c>
      <c r="D495" t="inlineStr">
        <is>
          <t>UPPSALA LÄN</t>
        </is>
      </c>
      <c r="E495" t="inlineStr">
        <is>
          <t>UPPSALA</t>
        </is>
      </c>
      <c r="F495" t="inlineStr">
        <is>
          <t>Bergvik skog öst AB</t>
        </is>
      </c>
      <c r="G495" t="n">
        <v>1.1</v>
      </c>
      <c r="H495" t="n">
        <v>0</v>
      </c>
      <c r="I495" t="n">
        <v>0</v>
      </c>
      <c r="J495" t="n">
        <v>0</v>
      </c>
      <c r="K495" t="n">
        <v>0</v>
      </c>
      <c r="L495" t="n">
        <v>0</v>
      </c>
      <c r="M495" t="n">
        <v>0</v>
      </c>
      <c r="N495" t="n">
        <v>0</v>
      </c>
      <c r="O495" t="n">
        <v>0</v>
      </c>
      <c r="P495" t="n">
        <v>0</v>
      </c>
      <c r="Q495" t="n">
        <v>0</v>
      </c>
      <c r="R495" s="2" t="inlineStr"/>
    </row>
    <row r="496" ht="15" customHeight="1">
      <c r="A496" t="inlineStr">
        <is>
          <t>A 37820-2021</t>
        </is>
      </c>
      <c r="B496" s="1" t="n">
        <v>44403</v>
      </c>
      <c r="C496" s="1" t="n">
        <v>45640</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38469-2021</t>
        </is>
      </c>
      <c r="B497" s="1" t="n">
        <v>44407</v>
      </c>
      <c r="C497" s="1" t="n">
        <v>45640</v>
      </c>
      <c r="D497" t="inlineStr">
        <is>
          <t>UPPSALA LÄN</t>
        </is>
      </c>
      <c r="E497" t="inlineStr">
        <is>
          <t>UPPSALA</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38463-2021</t>
        </is>
      </c>
      <c r="B498" s="1" t="n">
        <v>44407</v>
      </c>
      <c r="C498" s="1" t="n">
        <v>45640</v>
      </c>
      <c r="D498" t="inlineStr">
        <is>
          <t>UPPSALA LÄN</t>
        </is>
      </c>
      <c r="E498" t="inlineStr">
        <is>
          <t>UPPSALA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40500-2021</t>
        </is>
      </c>
      <c r="B499" s="1" t="n">
        <v>44420</v>
      </c>
      <c r="C499" s="1" t="n">
        <v>45640</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40507-2021</t>
        </is>
      </c>
      <c r="B500" s="1" t="n">
        <v>44420</v>
      </c>
      <c r="C500" s="1" t="n">
        <v>45640</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42124-2021</t>
        </is>
      </c>
      <c r="B501" s="1" t="n">
        <v>44426</v>
      </c>
      <c r="C501" s="1" t="n">
        <v>45640</v>
      </c>
      <c r="D501" t="inlineStr">
        <is>
          <t>UPPSALA LÄN</t>
        </is>
      </c>
      <c r="E501" t="inlineStr">
        <is>
          <t>UPPSALA</t>
        </is>
      </c>
      <c r="G501" t="n">
        <v>6.3</v>
      </c>
      <c r="H501" t="n">
        <v>0</v>
      </c>
      <c r="I501" t="n">
        <v>0</v>
      </c>
      <c r="J501" t="n">
        <v>0</v>
      </c>
      <c r="K501" t="n">
        <v>0</v>
      </c>
      <c r="L501" t="n">
        <v>0</v>
      </c>
      <c r="M501" t="n">
        <v>0</v>
      </c>
      <c r="N501" t="n">
        <v>0</v>
      </c>
      <c r="O501" t="n">
        <v>0</v>
      </c>
      <c r="P501" t="n">
        <v>0</v>
      </c>
      <c r="Q501" t="n">
        <v>0</v>
      </c>
      <c r="R501" s="2" t="inlineStr"/>
    </row>
    <row r="502" ht="15" customHeight="1">
      <c r="A502" t="inlineStr">
        <is>
          <t>A 42294-2021</t>
        </is>
      </c>
      <c r="B502" s="1" t="n">
        <v>44427</v>
      </c>
      <c r="C502" s="1" t="n">
        <v>45640</v>
      </c>
      <c r="D502" t="inlineStr">
        <is>
          <t>UPPSALA LÄN</t>
        </is>
      </c>
      <c r="E502" t="inlineStr">
        <is>
          <t>UPPSALA</t>
        </is>
      </c>
      <c r="G502" t="n">
        <v>1.6</v>
      </c>
      <c r="H502" t="n">
        <v>0</v>
      </c>
      <c r="I502" t="n">
        <v>0</v>
      </c>
      <c r="J502" t="n">
        <v>0</v>
      </c>
      <c r="K502" t="n">
        <v>0</v>
      </c>
      <c r="L502" t="n">
        <v>0</v>
      </c>
      <c r="M502" t="n">
        <v>0</v>
      </c>
      <c r="N502" t="n">
        <v>0</v>
      </c>
      <c r="O502" t="n">
        <v>0</v>
      </c>
      <c r="P502" t="n">
        <v>0</v>
      </c>
      <c r="Q502" t="n">
        <v>0</v>
      </c>
      <c r="R502" s="2" t="inlineStr"/>
    </row>
    <row r="503" ht="15" customHeight="1">
      <c r="A503" t="inlineStr">
        <is>
          <t>A 44315-2021</t>
        </is>
      </c>
      <c r="B503" s="1" t="n">
        <v>44435</v>
      </c>
      <c r="C503" s="1" t="n">
        <v>45640</v>
      </c>
      <c r="D503" t="inlineStr">
        <is>
          <t>UPPSALA LÄN</t>
        </is>
      </c>
      <c r="E503" t="inlineStr">
        <is>
          <t>UPPSALA</t>
        </is>
      </c>
      <c r="G503" t="n">
        <v>5.2</v>
      </c>
      <c r="H503" t="n">
        <v>0</v>
      </c>
      <c r="I503" t="n">
        <v>0</v>
      </c>
      <c r="J503" t="n">
        <v>0</v>
      </c>
      <c r="K503" t="n">
        <v>0</v>
      </c>
      <c r="L503" t="n">
        <v>0</v>
      </c>
      <c r="M503" t="n">
        <v>0</v>
      </c>
      <c r="N503" t="n">
        <v>0</v>
      </c>
      <c r="O503" t="n">
        <v>0</v>
      </c>
      <c r="P503" t="n">
        <v>0</v>
      </c>
      <c r="Q503" t="n">
        <v>0</v>
      </c>
      <c r="R503" s="2" t="inlineStr"/>
    </row>
    <row r="504" ht="15" customHeight="1">
      <c r="A504" t="inlineStr">
        <is>
          <t>A 44781-2021</t>
        </is>
      </c>
      <c r="B504" s="1" t="n">
        <v>44438</v>
      </c>
      <c r="C504" s="1" t="n">
        <v>45640</v>
      </c>
      <c r="D504" t="inlineStr">
        <is>
          <t>UPPSALA LÄN</t>
        </is>
      </c>
      <c r="E504" t="inlineStr">
        <is>
          <t>UPPSALA</t>
        </is>
      </c>
      <c r="F504" t="inlineStr">
        <is>
          <t>Sveaskog</t>
        </is>
      </c>
      <c r="G504" t="n">
        <v>0.1</v>
      </c>
      <c r="H504" t="n">
        <v>0</v>
      </c>
      <c r="I504" t="n">
        <v>0</v>
      </c>
      <c r="J504" t="n">
        <v>0</v>
      </c>
      <c r="K504" t="n">
        <v>0</v>
      </c>
      <c r="L504" t="n">
        <v>0</v>
      </c>
      <c r="M504" t="n">
        <v>0</v>
      </c>
      <c r="N504" t="n">
        <v>0</v>
      </c>
      <c r="O504" t="n">
        <v>0</v>
      </c>
      <c r="P504" t="n">
        <v>0</v>
      </c>
      <c r="Q504" t="n">
        <v>0</v>
      </c>
      <c r="R504" s="2" t="inlineStr"/>
    </row>
    <row r="505" ht="15" customHeight="1">
      <c r="A505" t="inlineStr">
        <is>
          <t>A 46097-2021</t>
        </is>
      </c>
      <c r="B505" s="1" t="n">
        <v>44442</v>
      </c>
      <c r="C505" s="1" t="n">
        <v>45640</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46099-2021</t>
        </is>
      </c>
      <c r="B506" s="1" t="n">
        <v>44442</v>
      </c>
      <c r="C506" s="1" t="n">
        <v>45640</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46553-2021</t>
        </is>
      </c>
      <c r="B507" s="1" t="n">
        <v>44445</v>
      </c>
      <c r="C507" s="1" t="n">
        <v>45640</v>
      </c>
      <c r="D507" t="inlineStr">
        <is>
          <t>UPPSALA LÄN</t>
        </is>
      </c>
      <c r="E507" t="inlineStr">
        <is>
          <t>UPPSALA</t>
        </is>
      </c>
      <c r="G507" t="n">
        <v>0.8</v>
      </c>
      <c r="H507" t="n">
        <v>0</v>
      </c>
      <c r="I507" t="n">
        <v>0</v>
      </c>
      <c r="J507" t="n">
        <v>0</v>
      </c>
      <c r="K507" t="n">
        <v>0</v>
      </c>
      <c r="L507" t="n">
        <v>0</v>
      </c>
      <c r="M507" t="n">
        <v>0</v>
      </c>
      <c r="N507" t="n">
        <v>0</v>
      </c>
      <c r="O507" t="n">
        <v>0</v>
      </c>
      <c r="P507" t="n">
        <v>0</v>
      </c>
      <c r="Q507" t="n">
        <v>0</v>
      </c>
      <c r="R507" s="2" t="inlineStr"/>
    </row>
    <row r="508" ht="15" customHeight="1">
      <c r="A508" t="inlineStr">
        <is>
          <t>A 46920-2021</t>
        </is>
      </c>
      <c r="B508" s="1" t="n">
        <v>44446</v>
      </c>
      <c r="C508" s="1" t="n">
        <v>45640</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46916-2021</t>
        </is>
      </c>
      <c r="B509" s="1" t="n">
        <v>44446</v>
      </c>
      <c r="C509" s="1" t="n">
        <v>45640</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47367-2021</t>
        </is>
      </c>
      <c r="B510" s="1" t="n">
        <v>44447</v>
      </c>
      <c r="C510" s="1" t="n">
        <v>45640</v>
      </c>
      <c r="D510" t="inlineStr">
        <is>
          <t>UPPSALA LÄN</t>
        </is>
      </c>
      <c r="E510" t="inlineStr">
        <is>
          <t>UPPSALA</t>
        </is>
      </c>
      <c r="G510" t="n">
        <v>3.8</v>
      </c>
      <c r="H510" t="n">
        <v>0</v>
      </c>
      <c r="I510" t="n">
        <v>0</v>
      </c>
      <c r="J510" t="n">
        <v>0</v>
      </c>
      <c r="K510" t="n">
        <v>0</v>
      </c>
      <c r="L510" t="n">
        <v>0</v>
      </c>
      <c r="M510" t="n">
        <v>0</v>
      </c>
      <c r="N510" t="n">
        <v>0</v>
      </c>
      <c r="O510" t="n">
        <v>0</v>
      </c>
      <c r="P510" t="n">
        <v>0</v>
      </c>
      <c r="Q510" t="n">
        <v>0</v>
      </c>
      <c r="R510" s="2" t="inlineStr"/>
    </row>
    <row r="511" ht="15" customHeight="1">
      <c r="A511" t="inlineStr">
        <is>
          <t>A 48918-2021</t>
        </is>
      </c>
      <c r="B511" s="1" t="n">
        <v>44453</v>
      </c>
      <c r="C511" s="1" t="n">
        <v>45640</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49274-2021</t>
        </is>
      </c>
      <c r="B512" s="1" t="n">
        <v>44454</v>
      </c>
      <c r="C512" s="1" t="n">
        <v>45640</v>
      </c>
      <c r="D512" t="inlineStr">
        <is>
          <t>UPPSALA LÄN</t>
        </is>
      </c>
      <c r="E512" t="inlineStr">
        <is>
          <t>UPPSALA</t>
        </is>
      </c>
      <c r="G512" t="n">
        <v>8.5</v>
      </c>
      <c r="H512" t="n">
        <v>0</v>
      </c>
      <c r="I512" t="n">
        <v>0</v>
      </c>
      <c r="J512" t="n">
        <v>0</v>
      </c>
      <c r="K512" t="n">
        <v>0</v>
      </c>
      <c r="L512" t="n">
        <v>0</v>
      </c>
      <c r="M512" t="n">
        <v>0</v>
      </c>
      <c r="N512" t="n">
        <v>0</v>
      </c>
      <c r="O512" t="n">
        <v>0</v>
      </c>
      <c r="P512" t="n">
        <v>0</v>
      </c>
      <c r="Q512" t="n">
        <v>0</v>
      </c>
      <c r="R512" s="2" t="inlineStr"/>
    </row>
    <row r="513" ht="15" customHeight="1">
      <c r="A513" t="inlineStr">
        <is>
          <t>A 51050-2021</t>
        </is>
      </c>
      <c r="B513" s="1" t="n">
        <v>44459</v>
      </c>
      <c r="C513" s="1" t="n">
        <v>45640</v>
      </c>
      <c r="D513" t="inlineStr">
        <is>
          <t>UPPSALA LÄN</t>
        </is>
      </c>
      <c r="E513" t="inlineStr">
        <is>
          <t>UPPSALA</t>
        </is>
      </c>
      <c r="F513" t="inlineStr">
        <is>
          <t>Övriga Aktiebolag</t>
        </is>
      </c>
      <c r="G513" t="n">
        <v>7.5</v>
      </c>
      <c r="H513" t="n">
        <v>0</v>
      </c>
      <c r="I513" t="n">
        <v>0</v>
      </c>
      <c r="J513" t="n">
        <v>0</v>
      </c>
      <c r="K513" t="n">
        <v>0</v>
      </c>
      <c r="L513" t="n">
        <v>0</v>
      </c>
      <c r="M513" t="n">
        <v>0</v>
      </c>
      <c r="N513" t="n">
        <v>0</v>
      </c>
      <c r="O513" t="n">
        <v>0</v>
      </c>
      <c r="P513" t="n">
        <v>0</v>
      </c>
      <c r="Q513" t="n">
        <v>0</v>
      </c>
      <c r="R513" s="2" t="inlineStr"/>
    </row>
    <row r="514" ht="15" customHeight="1">
      <c r="A514" t="inlineStr">
        <is>
          <t>A 51821-2021</t>
        </is>
      </c>
      <c r="B514" s="1" t="n">
        <v>44461</v>
      </c>
      <c r="C514" s="1" t="n">
        <v>45640</v>
      </c>
      <c r="D514" t="inlineStr">
        <is>
          <t>UPPSALA LÄN</t>
        </is>
      </c>
      <c r="E514" t="inlineStr">
        <is>
          <t>UPPSALA</t>
        </is>
      </c>
      <c r="F514" t="inlineStr">
        <is>
          <t>Övriga Aktiebolag</t>
        </is>
      </c>
      <c r="G514" t="n">
        <v>5.3</v>
      </c>
      <c r="H514" t="n">
        <v>0</v>
      </c>
      <c r="I514" t="n">
        <v>0</v>
      </c>
      <c r="J514" t="n">
        <v>0</v>
      </c>
      <c r="K514" t="n">
        <v>0</v>
      </c>
      <c r="L514" t="n">
        <v>0</v>
      </c>
      <c r="M514" t="n">
        <v>0</v>
      </c>
      <c r="N514" t="n">
        <v>0</v>
      </c>
      <c r="O514" t="n">
        <v>0</v>
      </c>
      <c r="P514" t="n">
        <v>0</v>
      </c>
      <c r="Q514" t="n">
        <v>0</v>
      </c>
      <c r="R514" s="2" t="inlineStr"/>
    </row>
    <row r="515" ht="15" customHeight="1">
      <c r="A515" t="inlineStr">
        <is>
          <t>A 51396-2021</t>
        </is>
      </c>
      <c r="B515" s="1" t="n">
        <v>44461</v>
      </c>
      <c r="C515" s="1" t="n">
        <v>45640</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52083-2021</t>
        </is>
      </c>
      <c r="B516" s="1" t="n">
        <v>44463</v>
      </c>
      <c r="C516" s="1" t="n">
        <v>45640</v>
      </c>
      <c r="D516" t="inlineStr">
        <is>
          <t>UPPSALA LÄN</t>
        </is>
      </c>
      <c r="E516" t="inlineStr">
        <is>
          <t>UPPSALA</t>
        </is>
      </c>
      <c r="G516" t="n">
        <v>3.6</v>
      </c>
      <c r="H516" t="n">
        <v>0</v>
      </c>
      <c r="I516" t="n">
        <v>0</v>
      </c>
      <c r="J516" t="n">
        <v>0</v>
      </c>
      <c r="K516" t="n">
        <v>0</v>
      </c>
      <c r="L516" t="n">
        <v>0</v>
      </c>
      <c r="M516" t="n">
        <v>0</v>
      </c>
      <c r="N516" t="n">
        <v>0</v>
      </c>
      <c r="O516" t="n">
        <v>0</v>
      </c>
      <c r="P516" t="n">
        <v>0</v>
      </c>
      <c r="Q516" t="n">
        <v>0</v>
      </c>
      <c r="R516" s="2" t="inlineStr"/>
    </row>
    <row r="517" ht="15" customHeight="1">
      <c r="A517" t="inlineStr">
        <is>
          <t>A 54168-2021</t>
        </is>
      </c>
      <c r="B517" s="1" t="n">
        <v>44470</v>
      </c>
      <c r="C517" s="1" t="n">
        <v>45640</v>
      </c>
      <c r="D517" t="inlineStr">
        <is>
          <t>UPPSALA LÄN</t>
        </is>
      </c>
      <c r="E517" t="inlineStr">
        <is>
          <t>UPPSALA</t>
        </is>
      </c>
      <c r="G517" t="n">
        <v>7.5</v>
      </c>
      <c r="H517" t="n">
        <v>0</v>
      </c>
      <c r="I517" t="n">
        <v>0</v>
      </c>
      <c r="J517" t="n">
        <v>0</v>
      </c>
      <c r="K517" t="n">
        <v>0</v>
      </c>
      <c r="L517" t="n">
        <v>0</v>
      </c>
      <c r="M517" t="n">
        <v>0</v>
      </c>
      <c r="N517" t="n">
        <v>0</v>
      </c>
      <c r="O517" t="n">
        <v>0</v>
      </c>
      <c r="P517" t="n">
        <v>0</v>
      </c>
      <c r="Q517" t="n">
        <v>0</v>
      </c>
      <c r="R517" s="2" t="inlineStr"/>
    </row>
    <row r="518" ht="15" customHeight="1">
      <c r="A518" t="inlineStr">
        <is>
          <t>A 55823-2021</t>
        </is>
      </c>
      <c r="B518" s="1" t="n">
        <v>44476</v>
      </c>
      <c r="C518" s="1" t="n">
        <v>45640</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56042-2021</t>
        </is>
      </c>
      <c r="B519" s="1" t="n">
        <v>44477</v>
      </c>
      <c r="C519" s="1" t="n">
        <v>45640</v>
      </c>
      <c r="D519" t="inlineStr">
        <is>
          <t>UPPSALA LÄN</t>
        </is>
      </c>
      <c r="E519" t="inlineStr">
        <is>
          <t>UPPSALA</t>
        </is>
      </c>
      <c r="G519" t="n">
        <v>1.1</v>
      </c>
      <c r="H519" t="n">
        <v>0</v>
      </c>
      <c r="I519" t="n">
        <v>0</v>
      </c>
      <c r="J519" t="n">
        <v>0</v>
      </c>
      <c r="K519" t="n">
        <v>0</v>
      </c>
      <c r="L519" t="n">
        <v>0</v>
      </c>
      <c r="M519" t="n">
        <v>0</v>
      </c>
      <c r="N519" t="n">
        <v>0</v>
      </c>
      <c r="O519" t="n">
        <v>0</v>
      </c>
      <c r="P519" t="n">
        <v>0</v>
      </c>
      <c r="Q519" t="n">
        <v>0</v>
      </c>
      <c r="R519" s="2" t="inlineStr"/>
    </row>
    <row r="520" ht="15" customHeight="1">
      <c r="A520" t="inlineStr">
        <is>
          <t>A 56049-2021</t>
        </is>
      </c>
      <c r="B520" s="1" t="n">
        <v>44477</v>
      </c>
      <c r="C520" s="1" t="n">
        <v>45640</v>
      </c>
      <c r="D520" t="inlineStr">
        <is>
          <t>UPPSALA LÄN</t>
        </is>
      </c>
      <c r="E520" t="inlineStr">
        <is>
          <t>UPPSALA</t>
        </is>
      </c>
      <c r="G520" t="n">
        <v>1.4</v>
      </c>
      <c r="H520" t="n">
        <v>0</v>
      </c>
      <c r="I520" t="n">
        <v>0</v>
      </c>
      <c r="J520" t="n">
        <v>0</v>
      </c>
      <c r="K520" t="n">
        <v>0</v>
      </c>
      <c r="L520" t="n">
        <v>0</v>
      </c>
      <c r="M520" t="n">
        <v>0</v>
      </c>
      <c r="N520" t="n">
        <v>0</v>
      </c>
      <c r="O520" t="n">
        <v>0</v>
      </c>
      <c r="P520" t="n">
        <v>0</v>
      </c>
      <c r="Q520" t="n">
        <v>0</v>
      </c>
      <c r="R520" s="2" t="inlineStr"/>
    </row>
    <row r="521" ht="15" customHeight="1">
      <c r="A521" t="inlineStr">
        <is>
          <t>A 56463-2021</t>
        </is>
      </c>
      <c r="B521" s="1" t="n">
        <v>44479</v>
      </c>
      <c r="C521" s="1" t="n">
        <v>45640</v>
      </c>
      <c r="D521" t="inlineStr">
        <is>
          <t>UPPSALA LÄN</t>
        </is>
      </c>
      <c r="E521" t="inlineStr">
        <is>
          <t>UPPSALA</t>
        </is>
      </c>
      <c r="G521" t="n">
        <v>6.4</v>
      </c>
      <c r="H521" t="n">
        <v>0</v>
      </c>
      <c r="I521" t="n">
        <v>0</v>
      </c>
      <c r="J521" t="n">
        <v>0</v>
      </c>
      <c r="K521" t="n">
        <v>0</v>
      </c>
      <c r="L521" t="n">
        <v>0</v>
      </c>
      <c r="M521" t="n">
        <v>0</v>
      </c>
      <c r="N521" t="n">
        <v>0</v>
      </c>
      <c r="O521" t="n">
        <v>0</v>
      </c>
      <c r="P521" t="n">
        <v>0</v>
      </c>
      <c r="Q521" t="n">
        <v>0</v>
      </c>
      <c r="R521" s="2" t="inlineStr"/>
    </row>
    <row r="522" ht="15" customHeight="1">
      <c r="A522" t="inlineStr">
        <is>
          <t>A 56769-2021</t>
        </is>
      </c>
      <c r="B522" s="1" t="n">
        <v>44481</v>
      </c>
      <c r="C522" s="1" t="n">
        <v>45640</v>
      </c>
      <c r="D522" t="inlineStr">
        <is>
          <t>UPPSALA LÄN</t>
        </is>
      </c>
      <c r="E522" t="inlineStr">
        <is>
          <t>UPPSALA</t>
        </is>
      </c>
      <c r="G522" t="n">
        <v>3.8</v>
      </c>
      <c r="H522" t="n">
        <v>0</v>
      </c>
      <c r="I522" t="n">
        <v>0</v>
      </c>
      <c r="J522" t="n">
        <v>0</v>
      </c>
      <c r="K522" t="n">
        <v>0</v>
      </c>
      <c r="L522" t="n">
        <v>0</v>
      </c>
      <c r="M522" t="n">
        <v>0</v>
      </c>
      <c r="N522" t="n">
        <v>0</v>
      </c>
      <c r="O522" t="n">
        <v>0</v>
      </c>
      <c r="P522" t="n">
        <v>0</v>
      </c>
      <c r="Q522" t="n">
        <v>0</v>
      </c>
      <c r="R522" s="2" t="inlineStr"/>
    </row>
    <row r="523" ht="15" customHeight="1">
      <c r="A523" t="inlineStr">
        <is>
          <t>A 57647-2021</t>
        </is>
      </c>
      <c r="B523" s="1" t="n">
        <v>44484</v>
      </c>
      <c r="C523" s="1" t="n">
        <v>45640</v>
      </c>
      <c r="D523" t="inlineStr">
        <is>
          <t>UPPSALA LÄN</t>
        </is>
      </c>
      <c r="E523" t="inlineStr">
        <is>
          <t>UPPSALA</t>
        </is>
      </c>
      <c r="G523" t="n">
        <v>2.3</v>
      </c>
      <c r="H523" t="n">
        <v>0</v>
      </c>
      <c r="I523" t="n">
        <v>0</v>
      </c>
      <c r="J523" t="n">
        <v>0</v>
      </c>
      <c r="K523" t="n">
        <v>0</v>
      </c>
      <c r="L523" t="n">
        <v>0</v>
      </c>
      <c r="M523" t="n">
        <v>0</v>
      </c>
      <c r="N523" t="n">
        <v>0</v>
      </c>
      <c r="O523" t="n">
        <v>0</v>
      </c>
      <c r="P523" t="n">
        <v>0</v>
      </c>
      <c r="Q523" t="n">
        <v>0</v>
      </c>
      <c r="R523" s="2" t="inlineStr"/>
    </row>
    <row r="524" ht="15" customHeight="1">
      <c r="A524" t="inlineStr">
        <is>
          <t>A 57890-2021</t>
        </is>
      </c>
      <c r="B524" s="1" t="n">
        <v>44486</v>
      </c>
      <c r="C524" s="1" t="n">
        <v>45640</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58767-2021</t>
        </is>
      </c>
      <c r="B525" s="1" t="n">
        <v>44489</v>
      </c>
      <c r="C525" s="1" t="n">
        <v>45640</v>
      </c>
      <c r="D525" t="inlineStr">
        <is>
          <t>UPPSALA LÄN</t>
        </is>
      </c>
      <c r="E525" t="inlineStr">
        <is>
          <t>UPPSALA</t>
        </is>
      </c>
      <c r="G525" t="n">
        <v>4.8</v>
      </c>
      <c r="H525" t="n">
        <v>0</v>
      </c>
      <c r="I525" t="n">
        <v>0</v>
      </c>
      <c r="J525" t="n">
        <v>0</v>
      </c>
      <c r="K525" t="n">
        <v>0</v>
      </c>
      <c r="L525" t="n">
        <v>0</v>
      </c>
      <c r="M525" t="n">
        <v>0</v>
      </c>
      <c r="N525" t="n">
        <v>0</v>
      </c>
      <c r="O525" t="n">
        <v>0</v>
      </c>
      <c r="P525" t="n">
        <v>0</v>
      </c>
      <c r="Q525" t="n">
        <v>0</v>
      </c>
      <c r="R525" s="2" t="inlineStr"/>
    </row>
    <row r="526" ht="15" customHeight="1">
      <c r="A526" t="inlineStr">
        <is>
          <t>A 58897-2021</t>
        </is>
      </c>
      <c r="B526" s="1" t="n">
        <v>44489</v>
      </c>
      <c r="C526" s="1" t="n">
        <v>45640</v>
      </c>
      <c r="D526" t="inlineStr">
        <is>
          <t>UPPSALA LÄN</t>
        </is>
      </c>
      <c r="E526" t="inlineStr">
        <is>
          <t>UPPSALA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59241-2021</t>
        </is>
      </c>
      <c r="B527" s="1" t="n">
        <v>44490</v>
      </c>
      <c r="C527" s="1" t="n">
        <v>45640</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59484-2021</t>
        </is>
      </c>
      <c r="B528" s="1" t="n">
        <v>44491</v>
      </c>
      <c r="C528" s="1" t="n">
        <v>45640</v>
      </c>
      <c r="D528" t="inlineStr">
        <is>
          <t>UPPSALA LÄN</t>
        </is>
      </c>
      <c r="E528" t="inlineStr">
        <is>
          <t>UPPSALA</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59500-2021</t>
        </is>
      </c>
      <c r="B529" s="1" t="n">
        <v>44491</v>
      </c>
      <c r="C529" s="1" t="n">
        <v>45640</v>
      </c>
      <c r="D529" t="inlineStr">
        <is>
          <t>UPPSALA LÄN</t>
        </is>
      </c>
      <c r="E529" t="inlineStr">
        <is>
          <t>UPPSALA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59479-2021</t>
        </is>
      </c>
      <c r="B530" s="1" t="n">
        <v>44491</v>
      </c>
      <c r="C530" s="1" t="n">
        <v>45640</v>
      </c>
      <c r="D530" t="inlineStr">
        <is>
          <t>UPPSALA LÄN</t>
        </is>
      </c>
      <c r="E530" t="inlineStr">
        <is>
          <t>UPPSALA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45640</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60032-2021</t>
        </is>
      </c>
      <c r="B532" s="1" t="n">
        <v>44495</v>
      </c>
      <c r="C532" s="1" t="n">
        <v>45640</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61008-2021</t>
        </is>
      </c>
      <c r="B533" s="1" t="n">
        <v>44497</v>
      </c>
      <c r="C533" s="1" t="n">
        <v>45640</v>
      </c>
      <c r="D533" t="inlineStr">
        <is>
          <t>UPPSALA LÄN</t>
        </is>
      </c>
      <c r="E533" t="inlineStr">
        <is>
          <t>UPPSALA</t>
        </is>
      </c>
      <c r="G533" t="n">
        <v>6.3</v>
      </c>
      <c r="H533" t="n">
        <v>0</v>
      </c>
      <c r="I533" t="n">
        <v>0</v>
      </c>
      <c r="J533" t="n">
        <v>0</v>
      </c>
      <c r="K533" t="n">
        <v>0</v>
      </c>
      <c r="L533" t="n">
        <v>0</v>
      </c>
      <c r="M533" t="n">
        <v>0</v>
      </c>
      <c r="N533" t="n">
        <v>0</v>
      </c>
      <c r="O533" t="n">
        <v>0</v>
      </c>
      <c r="P533" t="n">
        <v>0</v>
      </c>
      <c r="Q533" t="n">
        <v>0</v>
      </c>
      <c r="R533" s="2" t="inlineStr"/>
    </row>
    <row r="534" ht="15" customHeight="1">
      <c r="A534" t="inlineStr">
        <is>
          <t>A 60917-2021</t>
        </is>
      </c>
      <c r="B534" s="1" t="n">
        <v>44497</v>
      </c>
      <c r="C534" s="1" t="n">
        <v>45640</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60925-2021</t>
        </is>
      </c>
      <c r="B535" s="1" t="n">
        <v>44497</v>
      </c>
      <c r="C535" s="1" t="n">
        <v>45640</v>
      </c>
      <c r="D535" t="inlineStr">
        <is>
          <t>UPPSALA LÄN</t>
        </is>
      </c>
      <c r="E535" t="inlineStr">
        <is>
          <t>UPPSALA</t>
        </is>
      </c>
      <c r="G535" t="n">
        <v>3.7</v>
      </c>
      <c r="H535" t="n">
        <v>0</v>
      </c>
      <c r="I535" t="n">
        <v>0</v>
      </c>
      <c r="J535" t="n">
        <v>0</v>
      </c>
      <c r="K535" t="n">
        <v>0</v>
      </c>
      <c r="L535" t="n">
        <v>0</v>
      </c>
      <c r="M535" t="n">
        <v>0</v>
      </c>
      <c r="N535" t="n">
        <v>0</v>
      </c>
      <c r="O535" t="n">
        <v>0</v>
      </c>
      <c r="P535" t="n">
        <v>0</v>
      </c>
      <c r="Q535" t="n">
        <v>0</v>
      </c>
      <c r="R535" s="2" t="inlineStr"/>
    </row>
    <row r="536" ht="15" customHeight="1">
      <c r="A536" t="inlineStr">
        <is>
          <t>A 61805-2021</t>
        </is>
      </c>
      <c r="B536" s="1" t="n">
        <v>44501</v>
      </c>
      <c r="C536" s="1" t="n">
        <v>45640</v>
      </c>
      <c r="D536" t="inlineStr">
        <is>
          <t>UPPSALA LÄN</t>
        </is>
      </c>
      <c r="E536" t="inlineStr">
        <is>
          <t>UPPSALA</t>
        </is>
      </c>
      <c r="F536" t="inlineStr">
        <is>
          <t>Bergvik skog öst AB</t>
        </is>
      </c>
      <c r="G536" t="n">
        <v>3.8</v>
      </c>
      <c r="H536" t="n">
        <v>0</v>
      </c>
      <c r="I536" t="n">
        <v>0</v>
      </c>
      <c r="J536" t="n">
        <v>0</v>
      </c>
      <c r="K536" t="n">
        <v>0</v>
      </c>
      <c r="L536" t="n">
        <v>0</v>
      </c>
      <c r="M536" t="n">
        <v>0</v>
      </c>
      <c r="N536" t="n">
        <v>0</v>
      </c>
      <c r="O536" t="n">
        <v>0</v>
      </c>
      <c r="P536" t="n">
        <v>0</v>
      </c>
      <c r="Q536" t="n">
        <v>0</v>
      </c>
      <c r="R536" s="2" t="inlineStr"/>
    </row>
    <row r="537" ht="15" customHeight="1">
      <c r="A537" t="inlineStr">
        <is>
          <t>A 62471-2021</t>
        </is>
      </c>
      <c r="B537" s="1" t="n">
        <v>44503</v>
      </c>
      <c r="C537" s="1" t="n">
        <v>45640</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62865-2021</t>
        </is>
      </c>
      <c r="B538" s="1" t="n">
        <v>44504</v>
      </c>
      <c r="C538" s="1" t="n">
        <v>45640</v>
      </c>
      <c r="D538" t="inlineStr">
        <is>
          <t>UPPSALA LÄN</t>
        </is>
      </c>
      <c r="E538" t="inlineStr">
        <is>
          <t>UPPSALA</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63011-2021</t>
        </is>
      </c>
      <c r="B539" s="1" t="n">
        <v>44504</v>
      </c>
      <c r="C539" s="1" t="n">
        <v>45640</v>
      </c>
      <c r="D539" t="inlineStr">
        <is>
          <t>UPPSALA LÄN</t>
        </is>
      </c>
      <c r="E539" t="inlineStr">
        <is>
          <t>UPPSALA</t>
        </is>
      </c>
      <c r="G539" t="n">
        <v>11.2</v>
      </c>
      <c r="H539" t="n">
        <v>0</v>
      </c>
      <c r="I539" t="n">
        <v>0</v>
      </c>
      <c r="J539" t="n">
        <v>0</v>
      </c>
      <c r="K539" t="n">
        <v>0</v>
      </c>
      <c r="L539" t="n">
        <v>0</v>
      </c>
      <c r="M539" t="n">
        <v>0</v>
      </c>
      <c r="N539" t="n">
        <v>0</v>
      </c>
      <c r="O539" t="n">
        <v>0</v>
      </c>
      <c r="P539" t="n">
        <v>0</v>
      </c>
      <c r="Q539" t="n">
        <v>0</v>
      </c>
      <c r="R539" s="2" t="inlineStr"/>
    </row>
    <row r="540" ht="15" customHeight="1">
      <c r="A540" t="inlineStr">
        <is>
          <t>A 63307-2021</t>
        </is>
      </c>
      <c r="B540" s="1" t="n">
        <v>44508</v>
      </c>
      <c r="C540" s="1" t="n">
        <v>45640</v>
      </c>
      <c r="D540" t="inlineStr">
        <is>
          <t>UPPSALA LÄN</t>
        </is>
      </c>
      <c r="E540" t="inlineStr">
        <is>
          <t>UPPSALA</t>
        </is>
      </c>
      <c r="F540" t="inlineStr">
        <is>
          <t>Bergvik skog öst AB</t>
        </is>
      </c>
      <c r="G540" t="n">
        <v>2.8</v>
      </c>
      <c r="H540" t="n">
        <v>0</v>
      </c>
      <c r="I540" t="n">
        <v>0</v>
      </c>
      <c r="J540" t="n">
        <v>0</v>
      </c>
      <c r="K540" t="n">
        <v>0</v>
      </c>
      <c r="L540" t="n">
        <v>0</v>
      </c>
      <c r="M540" t="n">
        <v>0</v>
      </c>
      <c r="N540" t="n">
        <v>0</v>
      </c>
      <c r="O540" t="n">
        <v>0</v>
      </c>
      <c r="P540" t="n">
        <v>0</v>
      </c>
      <c r="Q540" t="n">
        <v>0</v>
      </c>
      <c r="R540" s="2" t="inlineStr"/>
    </row>
    <row r="541" ht="15" customHeight="1">
      <c r="A541" t="inlineStr">
        <is>
          <t>A 64016-2021</t>
        </is>
      </c>
      <c r="B541" s="1" t="n">
        <v>44510</v>
      </c>
      <c r="C541" s="1" t="n">
        <v>45640</v>
      </c>
      <c r="D541" t="inlineStr">
        <is>
          <t>UPPSALA LÄN</t>
        </is>
      </c>
      <c r="E541" t="inlineStr">
        <is>
          <t>UPPSALA</t>
        </is>
      </c>
      <c r="G541" t="n">
        <v>2.1</v>
      </c>
      <c r="H541" t="n">
        <v>0</v>
      </c>
      <c r="I541" t="n">
        <v>0</v>
      </c>
      <c r="J541" t="n">
        <v>0</v>
      </c>
      <c r="K541" t="n">
        <v>0</v>
      </c>
      <c r="L541" t="n">
        <v>0</v>
      </c>
      <c r="M541" t="n">
        <v>0</v>
      </c>
      <c r="N541" t="n">
        <v>0</v>
      </c>
      <c r="O541" t="n">
        <v>0</v>
      </c>
      <c r="P541" t="n">
        <v>0</v>
      </c>
      <c r="Q541" t="n">
        <v>0</v>
      </c>
      <c r="R541" s="2" t="inlineStr"/>
    </row>
    <row r="542" ht="15" customHeight="1">
      <c r="A542" t="inlineStr">
        <is>
          <t>A 64857-2021</t>
        </is>
      </c>
      <c r="B542" s="1" t="n">
        <v>44512</v>
      </c>
      <c r="C542" s="1" t="n">
        <v>45640</v>
      </c>
      <c r="D542" t="inlineStr">
        <is>
          <t>UPPSALA LÄN</t>
        </is>
      </c>
      <c r="E542" t="inlineStr">
        <is>
          <t>UPPSALA</t>
        </is>
      </c>
      <c r="G542" t="n">
        <v>2</v>
      </c>
      <c r="H542" t="n">
        <v>0</v>
      </c>
      <c r="I542" t="n">
        <v>0</v>
      </c>
      <c r="J542" t="n">
        <v>0</v>
      </c>
      <c r="K542" t="n">
        <v>0</v>
      </c>
      <c r="L542" t="n">
        <v>0</v>
      </c>
      <c r="M542" t="n">
        <v>0</v>
      </c>
      <c r="N542" t="n">
        <v>0</v>
      </c>
      <c r="O542" t="n">
        <v>0</v>
      </c>
      <c r="P542" t="n">
        <v>0</v>
      </c>
      <c r="Q542" t="n">
        <v>0</v>
      </c>
      <c r="R542" s="2" t="inlineStr"/>
    </row>
    <row r="543" ht="15" customHeight="1">
      <c r="A543" t="inlineStr">
        <is>
          <t>A 64856-2021</t>
        </is>
      </c>
      <c r="B543" s="1" t="n">
        <v>44512</v>
      </c>
      <c r="C543" s="1" t="n">
        <v>45640</v>
      </c>
      <c r="D543" t="inlineStr">
        <is>
          <t>UPPSALA LÄN</t>
        </is>
      </c>
      <c r="E543" t="inlineStr">
        <is>
          <t>UPPSALA</t>
        </is>
      </c>
      <c r="G543" t="n">
        <v>4.1</v>
      </c>
      <c r="H543" t="n">
        <v>0</v>
      </c>
      <c r="I543" t="n">
        <v>0</v>
      </c>
      <c r="J543" t="n">
        <v>0</v>
      </c>
      <c r="K543" t="n">
        <v>0</v>
      </c>
      <c r="L543" t="n">
        <v>0</v>
      </c>
      <c r="M543" t="n">
        <v>0</v>
      </c>
      <c r="N543" t="n">
        <v>0</v>
      </c>
      <c r="O543" t="n">
        <v>0</v>
      </c>
      <c r="P543" t="n">
        <v>0</v>
      </c>
      <c r="Q543" t="n">
        <v>0</v>
      </c>
      <c r="R543" s="2" t="inlineStr"/>
    </row>
    <row r="544" ht="15" customHeight="1">
      <c r="A544" t="inlineStr">
        <is>
          <t>A 64858-2021</t>
        </is>
      </c>
      <c r="B544" s="1" t="n">
        <v>44512</v>
      </c>
      <c r="C544" s="1" t="n">
        <v>45640</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64855-2021</t>
        </is>
      </c>
      <c r="B545" s="1" t="n">
        <v>44512</v>
      </c>
      <c r="C545" s="1" t="n">
        <v>45640</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65132-2021</t>
        </is>
      </c>
      <c r="B546" s="1" t="n">
        <v>44515</v>
      </c>
      <c r="C546" s="1" t="n">
        <v>45640</v>
      </c>
      <c r="D546" t="inlineStr">
        <is>
          <t>UPPSALA LÄN</t>
        </is>
      </c>
      <c r="E546" t="inlineStr">
        <is>
          <t>UPPSALA</t>
        </is>
      </c>
      <c r="G546" t="n">
        <v>1.9</v>
      </c>
      <c r="H546" t="n">
        <v>0</v>
      </c>
      <c r="I546" t="n">
        <v>0</v>
      </c>
      <c r="J546" t="n">
        <v>0</v>
      </c>
      <c r="K546" t="n">
        <v>0</v>
      </c>
      <c r="L546" t="n">
        <v>0</v>
      </c>
      <c r="M546" t="n">
        <v>0</v>
      </c>
      <c r="N546" t="n">
        <v>0</v>
      </c>
      <c r="O546" t="n">
        <v>0</v>
      </c>
      <c r="P546" t="n">
        <v>0</v>
      </c>
      <c r="Q546" t="n">
        <v>0</v>
      </c>
      <c r="R546" s="2" t="inlineStr"/>
    </row>
    <row r="547" ht="15" customHeight="1">
      <c r="A547" t="inlineStr">
        <is>
          <t>A 65659-2021</t>
        </is>
      </c>
      <c r="B547" s="1" t="n">
        <v>44516</v>
      </c>
      <c r="C547" s="1" t="n">
        <v>45640</v>
      </c>
      <c r="D547" t="inlineStr">
        <is>
          <t>UPPSALA LÄN</t>
        </is>
      </c>
      <c r="E547" t="inlineStr">
        <is>
          <t>UPPSALA</t>
        </is>
      </c>
      <c r="G547" t="n">
        <v>2.2</v>
      </c>
      <c r="H547" t="n">
        <v>0</v>
      </c>
      <c r="I547" t="n">
        <v>0</v>
      </c>
      <c r="J547" t="n">
        <v>0</v>
      </c>
      <c r="K547" t="n">
        <v>0</v>
      </c>
      <c r="L547" t="n">
        <v>0</v>
      </c>
      <c r="M547" t="n">
        <v>0</v>
      </c>
      <c r="N547" t="n">
        <v>0</v>
      </c>
      <c r="O547" t="n">
        <v>0</v>
      </c>
      <c r="P547" t="n">
        <v>0</v>
      </c>
      <c r="Q547" t="n">
        <v>0</v>
      </c>
      <c r="R547" s="2" t="inlineStr"/>
    </row>
    <row r="548" ht="15" customHeight="1">
      <c r="A548" t="inlineStr">
        <is>
          <t>A 65695-2021</t>
        </is>
      </c>
      <c r="B548" s="1" t="n">
        <v>44516</v>
      </c>
      <c r="C548" s="1" t="n">
        <v>45640</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65809-2021</t>
        </is>
      </c>
      <c r="B549" s="1" t="n">
        <v>44517</v>
      </c>
      <c r="C549" s="1" t="n">
        <v>45640</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65811-2021</t>
        </is>
      </c>
      <c r="B550" s="1" t="n">
        <v>44517</v>
      </c>
      <c r="C550" s="1" t="n">
        <v>45640</v>
      </c>
      <c r="D550" t="inlineStr">
        <is>
          <t>UPPSALA LÄN</t>
        </is>
      </c>
      <c r="E550" t="inlineStr">
        <is>
          <t>UPPSALA</t>
        </is>
      </c>
      <c r="G550" t="n">
        <v>0.3</v>
      </c>
      <c r="H550" t="n">
        <v>0</v>
      </c>
      <c r="I550" t="n">
        <v>0</v>
      </c>
      <c r="J550" t="n">
        <v>0</v>
      </c>
      <c r="K550" t="n">
        <v>0</v>
      </c>
      <c r="L550" t="n">
        <v>0</v>
      </c>
      <c r="M550" t="n">
        <v>0</v>
      </c>
      <c r="N550" t="n">
        <v>0</v>
      </c>
      <c r="O550" t="n">
        <v>0</v>
      </c>
      <c r="P550" t="n">
        <v>0</v>
      </c>
      <c r="Q550" t="n">
        <v>0</v>
      </c>
      <c r="R550" s="2" t="inlineStr"/>
    </row>
    <row r="551" ht="15" customHeight="1">
      <c r="A551" t="inlineStr">
        <is>
          <t>A 65964-2021</t>
        </is>
      </c>
      <c r="B551" s="1" t="n">
        <v>44517</v>
      </c>
      <c r="C551" s="1" t="n">
        <v>45640</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66239-2021</t>
        </is>
      </c>
      <c r="B552" s="1" t="n">
        <v>44518</v>
      </c>
      <c r="C552" s="1" t="n">
        <v>45640</v>
      </c>
      <c r="D552" t="inlineStr">
        <is>
          <t>UPPSALA LÄN</t>
        </is>
      </c>
      <c r="E552" t="inlineStr">
        <is>
          <t>UPPSALA</t>
        </is>
      </c>
      <c r="G552" t="n">
        <v>4.2</v>
      </c>
      <c r="H552" t="n">
        <v>0</v>
      </c>
      <c r="I552" t="n">
        <v>0</v>
      </c>
      <c r="J552" t="n">
        <v>0</v>
      </c>
      <c r="K552" t="n">
        <v>0</v>
      </c>
      <c r="L552" t="n">
        <v>0</v>
      </c>
      <c r="M552" t="n">
        <v>0</v>
      </c>
      <c r="N552" t="n">
        <v>0</v>
      </c>
      <c r="O552" t="n">
        <v>0</v>
      </c>
      <c r="P552" t="n">
        <v>0</v>
      </c>
      <c r="Q552" t="n">
        <v>0</v>
      </c>
      <c r="R552" s="2" t="inlineStr"/>
    </row>
    <row r="553" ht="15" customHeight="1">
      <c r="A553" t="inlineStr">
        <is>
          <t>A 66690-2021</t>
        </is>
      </c>
      <c r="B553" s="1" t="n">
        <v>44519</v>
      </c>
      <c r="C553" s="1" t="n">
        <v>45640</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66686-2021</t>
        </is>
      </c>
      <c r="B554" s="1" t="n">
        <v>44519</v>
      </c>
      <c r="C554" s="1" t="n">
        <v>45640</v>
      </c>
      <c r="D554" t="inlineStr">
        <is>
          <t>UPPSALA LÄN</t>
        </is>
      </c>
      <c r="E554" t="inlineStr">
        <is>
          <t>UPPSALA</t>
        </is>
      </c>
      <c r="G554" t="n">
        <v>6.4</v>
      </c>
      <c r="H554" t="n">
        <v>0</v>
      </c>
      <c r="I554" t="n">
        <v>0</v>
      </c>
      <c r="J554" t="n">
        <v>0</v>
      </c>
      <c r="K554" t="n">
        <v>0</v>
      </c>
      <c r="L554" t="n">
        <v>0</v>
      </c>
      <c r="M554" t="n">
        <v>0</v>
      </c>
      <c r="N554" t="n">
        <v>0</v>
      </c>
      <c r="O554" t="n">
        <v>0</v>
      </c>
      <c r="P554" t="n">
        <v>0</v>
      </c>
      <c r="Q554" t="n">
        <v>0</v>
      </c>
      <c r="R554" s="2" t="inlineStr"/>
    </row>
    <row r="555" ht="15" customHeight="1">
      <c r="A555" t="inlineStr">
        <is>
          <t>A 66794-2021</t>
        </is>
      </c>
      <c r="B555" s="1" t="n">
        <v>44522</v>
      </c>
      <c r="C555" s="1" t="n">
        <v>45640</v>
      </c>
      <c r="D555" t="inlineStr">
        <is>
          <t>UPPSALA LÄN</t>
        </is>
      </c>
      <c r="E555" t="inlineStr">
        <is>
          <t>UPPSALA</t>
        </is>
      </c>
      <c r="G555" t="n">
        <v>4.9</v>
      </c>
      <c r="H555" t="n">
        <v>0</v>
      </c>
      <c r="I555" t="n">
        <v>0</v>
      </c>
      <c r="J555" t="n">
        <v>0</v>
      </c>
      <c r="K555" t="n">
        <v>0</v>
      </c>
      <c r="L555" t="n">
        <v>0</v>
      </c>
      <c r="M555" t="n">
        <v>0</v>
      </c>
      <c r="N555" t="n">
        <v>0</v>
      </c>
      <c r="O555" t="n">
        <v>0</v>
      </c>
      <c r="P555" t="n">
        <v>0</v>
      </c>
      <c r="Q555" t="n">
        <v>0</v>
      </c>
      <c r="R555" s="2" t="inlineStr"/>
    </row>
    <row r="556" ht="15" customHeight="1">
      <c r="A556" t="inlineStr">
        <is>
          <t>A 66927-2021</t>
        </is>
      </c>
      <c r="B556" s="1" t="n">
        <v>44522</v>
      </c>
      <c r="C556" s="1" t="n">
        <v>45640</v>
      </c>
      <c r="D556" t="inlineStr">
        <is>
          <t>UPPSALA LÄN</t>
        </is>
      </c>
      <c r="E556" t="inlineStr">
        <is>
          <t>UPPSALA</t>
        </is>
      </c>
      <c r="G556" t="n">
        <v>2.9</v>
      </c>
      <c r="H556" t="n">
        <v>0</v>
      </c>
      <c r="I556" t="n">
        <v>0</v>
      </c>
      <c r="J556" t="n">
        <v>0</v>
      </c>
      <c r="K556" t="n">
        <v>0</v>
      </c>
      <c r="L556" t="n">
        <v>0</v>
      </c>
      <c r="M556" t="n">
        <v>0</v>
      </c>
      <c r="N556" t="n">
        <v>0</v>
      </c>
      <c r="O556" t="n">
        <v>0</v>
      </c>
      <c r="P556" t="n">
        <v>0</v>
      </c>
      <c r="Q556" t="n">
        <v>0</v>
      </c>
      <c r="R556" s="2" t="inlineStr"/>
    </row>
    <row r="557" ht="15" customHeight="1">
      <c r="A557" t="inlineStr">
        <is>
          <t>A 66983-2021</t>
        </is>
      </c>
      <c r="B557" s="1" t="n">
        <v>44522</v>
      </c>
      <c r="C557" s="1" t="n">
        <v>45640</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67991-2021</t>
        </is>
      </c>
      <c r="B558" s="1" t="n">
        <v>44525</v>
      </c>
      <c r="C558" s="1" t="n">
        <v>45640</v>
      </c>
      <c r="D558" t="inlineStr">
        <is>
          <t>UPPSALA LÄN</t>
        </is>
      </c>
      <c r="E558" t="inlineStr">
        <is>
          <t>UPPSALA</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68696-2021</t>
        </is>
      </c>
      <c r="B559" s="1" t="n">
        <v>44526</v>
      </c>
      <c r="C559" s="1" t="n">
        <v>45640</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45640</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68296-2021</t>
        </is>
      </c>
      <c r="B561" s="1" t="n">
        <v>44526</v>
      </c>
      <c r="C561" s="1" t="n">
        <v>45640</v>
      </c>
      <c r="D561" t="inlineStr">
        <is>
          <t>UPPSALA LÄN</t>
        </is>
      </c>
      <c r="E561" t="inlineStr">
        <is>
          <t>UPPSALA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69067-2021</t>
        </is>
      </c>
      <c r="B562" s="1" t="n">
        <v>44530</v>
      </c>
      <c r="C562" s="1" t="n">
        <v>45640</v>
      </c>
      <c r="D562" t="inlineStr">
        <is>
          <t>UPPSALA LÄN</t>
        </is>
      </c>
      <c r="E562" t="inlineStr">
        <is>
          <t>UPPSALA</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69432-2021</t>
        </is>
      </c>
      <c r="B563" s="1" t="n">
        <v>44531</v>
      </c>
      <c r="C563" s="1" t="n">
        <v>45640</v>
      </c>
      <c r="D563" t="inlineStr">
        <is>
          <t>UPPSALA LÄN</t>
        </is>
      </c>
      <c r="E563" t="inlineStr">
        <is>
          <t>UPPSALA</t>
        </is>
      </c>
      <c r="G563" t="n">
        <v>1.7</v>
      </c>
      <c r="H563" t="n">
        <v>0</v>
      </c>
      <c r="I563" t="n">
        <v>0</v>
      </c>
      <c r="J563" t="n">
        <v>0</v>
      </c>
      <c r="K563" t="n">
        <v>0</v>
      </c>
      <c r="L563" t="n">
        <v>0</v>
      </c>
      <c r="M563" t="n">
        <v>0</v>
      </c>
      <c r="N563" t="n">
        <v>0</v>
      </c>
      <c r="O563" t="n">
        <v>0</v>
      </c>
      <c r="P563" t="n">
        <v>0</v>
      </c>
      <c r="Q563" t="n">
        <v>0</v>
      </c>
      <c r="R563" s="2" t="inlineStr"/>
    </row>
    <row r="564" ht="15" customHeight="1">
      <c r="A564" t="inlineStr">
        <is>
          <t>A 69214-2021</t>
        </is>
      </c>
      <c r="B564" s="1" t="n">
        <v>44531</v>
      </c>
      <c r="C564" s="1" t="n">
        <v>45640</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69397-2021</t>
        </is>
      </c>
      <c r="B565" s="1" t="n">
        <v>44531</v>
      </c>
      <c r="C565" s="1" t="n">
        <v>45640</v>
      </c>
      <c r="D565" t="inlineStr">
        <is>
          <t>UPPSALA LÄN</t>
        </is>
      </c>
      <c r="E565" t="inlineStr">
        <is>
          <t>UPPSALA</t>
        </is>
      </c>
      <c r="F565" t="inlineStr">
        <is>
          <t>Bergvik skog öst AB</t>
        </is>
      </c>
      <c r="G565" t="n">
        <v>3.3</v>
      </c>
      <c r="H565" t="n">
        <v>0</v>
      </c>
      <c r="I565" t="n">
        <v>0</v>
      </c>
      <c r="J565" t="n">
        <v>0</v>
      </c>
      <c r="K565" t="n">
        <v>0</v>
      </c>
      <c r="L565" t="n">
        <v>0</v>
      </c>
      <c r="M565" t="n">
        <v>0</v>
      </c>
      <c r="N565" t="n">
        <v>0</v>
      </c>
      <c r="O565" t="n">
        <v>0</v>
      </c>
      <c r="P565" t="n">
        <v>0</v>
      </c>
      <c r="Q565" t="n">
        <v>0</v>
      </c>
      <c r="R565" s="2" t="inlineStr"/>
    </row>
    <row r="566" ht="15" customHeight="1">
      <c r="A566" t="inlineStr">
        <is>
          <t>A 69436-2021</t>
        </is>
      </c>
      <c r="B566" s="1" t="n">
        <v>44531</v>
      </c>
      <c r="C566" s="1" t="n">
        <v>45640</v>
      </c>
      <c r="D566" t="inlineStr">
        <is>
          <t>UPPSALA LÄN</t>
        </is>
      </c>
      <c r="E566" t="inlineStr">
        <is>
          <t>UPPSALA</t>
        </is>
      </c>
      <c r="G566" t="n">
        <v>1.1</v>
      </c>
      <c r="H566" t="n">
        <v>0</v>
      </c>
      <c r="I566" t="n">
        <v>0</v>
      </c>
      <c r="J566" t="n">
        <v>0</v>
      </c>
      <c r="K566" t="n">
        <v>0</v>
      </c>
      <c r="L566" t="n">
        <v>0</v>
      </c>
      <c r="M566" t="n">
        <v>0</v>
      </c>
      <c r="N566" t="n">
        <v>0</v>
      </c>
      <c r="O566" t="n">
        <v>0</v>
      </c>
      <c r="P566" t="n">
        <v>0</v>
      </c>
      <c r="Q566" t="n">
        <v>0</v>
      </c>
      <c r="R566" s="2" t="inlineStr"/>
    </row>
    <row r="567" ht="15" customHeight="1">
      <c r="A567" t="inlineStr">
        <is>
          <t>A 69439-2021</t>
        </is>
      </c>
      <c r="B567" s="1" t="n">
        <v>44531</v>
      </c>
      <c r="C567" s="1" t="n">
        <v>45640</v>
      </c>
      <c r="D567" t="inlineStr">
        <is>
          <t>UPPSALA LÄN</t>
        </is>
      </c>
      <c r="E567" t="inlineStr">
        <is>
          <t>UPPSALA</t>
        </is>
      </c>
      <c r="G567" t="n">
        <v>2</v>
      </c>
      <c r="H567" t="n">
        <v>0</v>
      </c>
      <c r="I567" t="n">
        <v>0</v>
      </c>
      <c r="J567" t="n">
        <v>0</v>
      </c>
      <c r="K567" t="n">
        <v>0</v>
      </c>
      <c r="L567" t="n">
        <v>0</v>
      </c>
      <c r="M567" t="n">
        <v>0</v>
      </c>
      <c r="N567" t="n">
        <v>0</v>
      </c>
      <c r="O567" t="n">
        <v>0</v>
      </c>
      <c r="P567" t="n">
        <v>0</v>
      </c>
      <c r="Q567" t="n">
        <v>0</v>
      </c>
      <c r="R567" s="2" t="inlineStr"/>
    </row>
    <row r="568" ht="15" customHeight="1">
      <c r="A568" t="inlineStr">
        <is>
          <t>A 69711-2021</t>
        </is>
      </c>
      <c r="B568" s="1" t="n">
        <v>44532</v>
      </c>
      <c r="C568" s="1" t="n">
        <v>45640</v>
      </c>
      <c r="D568" t="inlineStr">
        <is>
          <t>UPPSALA LÄN</t>
        </is>
      </c>
      <c r="E568" t="inlineStr">
        <is>
          <t>UPPSALA</t>
        </is>
      </c>
      <c r="G568" t="n">
        <v>10.2</v>
      </c>
      <c r="H568" t="n">
        <v>0</v>
      </c>
      <c r="I568" t="n">
        <v>0</v>
      </c>
      <c r="J568" t="n">
        <v>0</v>
      </c>
      <c r="K568" t="n">
        <v>0</v>
      </c>
      <c r="L568" t="n">
        <v>0</v>
      </c>
      <c r="M568" t="n">
        <v>0</v>
      </c>
      <c r="N568" t="n">
        <v>0</v>
      </c>
      <c r="O568" t="n">
        <v>0</v>
      </c>
      <c r="P568" t="n">
        <v>0</v>
      </c>
      <c r="Q568" t="n">
        <v>0</v>
      </c>
      <c r="R568" s="2" t="inlineStr"/>
    </row>
    <row r="569" ht="15" customHeight="1">
      <c r="A569" t="inlineStr">
        <is>
          <t>A 69595-2021</t>
        </is>
      </c>
      <c r="B569" s="1" t="n">
        <v>44532</v>
      </c>
      <c r="C569" s="1" t="n">
        <v>45640</v>
      </c>
      <c r="D569" t="inlineStr">
        <is>
          <t>UPPSALA LÄN</t>
        </is>
      </c>
      <c r="E569" t="inlineStr">
        <is>
          <t>UPPSALA</t>
        </is>
      </c>
      <c r="G569" t="n">
        <v>3.9</v>
      </c>
      <c r="H569" t="n">
        <v>0</v>
      </c>
      <c r="I569" t="n">
        <v>0</v>
      </c>
      <c r="J569" t="n">
        <v>0</v>
      </c>
      <c r="K569" t="n">
        <v>0</v>
      </c>
      <c r="L569" t="n">
        <v>0</v>
      </c>
      <c r="M569" t="n">
        <v>0</v>
      </c>
      <c r="N569" t="n">
        <v>0</v>
      </c>
      <c r="O569" t="n">
        <v>0</v>
      </c>
      <c r="P569" t="n">
        <v>0</v>
      </c>
      <c r="Q569" t="n">
        <v>0</v>
      </c>
      <c r="R569" s="2" t="inlineStr"/>
    </row>
    <row r="570" ht="15" customHeight="1">
      <c r="A570" t="inlineStr">
        <is>
          <t>A 69698-2021</t>
        </is>
      </c>
      <c r="B570" s="1" t="n">
        <v>44532</v>
      </c>
      <c r="C570" s="1" t="n">
        <v>45640</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69691-2021</t>
        </is>
      </c>
      <c r="B571" s="1" t="n">
        <v>44532</v>
      </c>
      <c r="C571" s="1" t="n">
        <v>45640</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70032-2021</t>
        </is>
      </c>
      <c r="B572" s="1" t="n">
        <v>44533</v>
      </c>
      <c r="C572" s="1" t="n">
        <v>45640</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70031-2021</t>
        </is>
      </c>
      <c r="B573" s="1" t="n">
        <v>44533</v>
      </c>
      <c r="C573" s="1" t="n">
        <v>45640</v>
      </c>
      <c r="D573" t="inlineStr">
        <is>
          <t>UPPSALA LÄN</t>
        </is>
      </c>
      <c r="E573" t="inlineStr">
        <is>
          <t>UPPSALA</t>
        </is>
      </c>
      <c r="G573" t="n">
        <v>1.4</v>
      </c>
      <c r="H573" t="n">
        <v>0</v>
      </c>
      <c r="I573" t="n">
        <v>0</v>
      </c>
      <c r="J573" t="n">
        <v>0</v>
      </c>
      <c r="K573" t="n">
        <v>0</v>
      </c>
      <c r="L573" t="n">
        <v>0</v>
      </c>
      <c r="M573" t="n">
        <v>0</v>
      </c>
      <c r="N573" t="n">
        <v>0</v>
      </c>
      <c r="O573" t="n">
        <v>0</v>
      </c>
      <c r="P573" t="n">
        <v>0</v>
      </c>
      <c r="Q573" t="n">
        <v>0</v>
      </c>
      <c r="R573" s="2" t="inlineStr"/>
    </row>
    <row r="574" ht="15" customHeight="1">
      <c r="A574" t="inlineStr">
        <is>
          <t>A 70359-2021</t>
        </is>
      </c>
      <c r="B574" s="1" t="n">
        <v>44535</v>
      </c>
      <c r="C574" s="1" t="n">
        <v>45640</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70228-2021</t>
        </is>
      </c>
      <c r="B575" s="1" t="n">
        <v>44535</v>
      </c>
      <c r="C575" s="1" t="n">
        <v>45640</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70996-2021</t>
        </is>
      </c>
      <c r="B576" s="1" t="n">
        <v>44538</v>
      </c>
      <c r="C576" s="1" t="n">
        <v>45640</v>
      </c>
      <c r="D576" t="inlineStr">
        <is>
          <t>UPPSALA LÄN</t>
        </is>
      </c>
      <c r="E576" t="inlineStr">
        <is>
          <t>UPPSALA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71563-2021</t>
        </is>
      </c>
      <c r="B577" s="1" t="n">
        <v>44540</v>
      </c>
      <c r="C577" s="1" t="n">
        <v>45640</v>
      </c>
      <c r="D577" t="inlineStr">
        <is>
          <t>UPPSALA LÄN</t>
        </is>
      </c>
      <c r="E577" t="inlineStr">
        <is>
          <t>UPPSALA</t>
        </is>
      </c>
      <c r="F577" t="inlineStr">
        <is>
          <t>Allmännings- och besparingsskogar</t>
        </is>
      </c>
      <c r="G577" t="n">
        <v>7.7</v>
      </c>
      <c r="H577" t="n">
        <v>0</v>
      </c>
      <c r="I577" t="n">
        <v>0</v>
      </c>
      <c r="J577" t="n">
        <v>0</v>
      </c>
      <c r="K577" t="n">
        <v>0</v>
      </c>
      <c r="L577" t="n">
        <v>0</v>
      </c>
      <c r="M577" t="n">
        <v>0</v>
      </c>
      <c r="N577" t="n">
        <v>0</v>
      </c>
      <c r="O577" t="n">
        <v>0</v>
      </c>
      <c r="P577" t="n">
        <v>0</v>
      </c>
      <c r="Q577" t="n">
        <v>0</v>
      </c>
      <c r="R577" s="2" t="inlineStr"/>
    </row>
    <row r="578" ht="15" customHeight="1">
      <c r="A578" t="inlineStr">
        <is>
          <t>A 71675-2021</t>
        </is>
      </c>
      <c r="B578" s="1" t="n">
        <v>44543</v>
      </c>
      <c r="C578" s="1" t="n">
        <v>45640</v>
      </c>
      <c r="D578" t="inlineStr">
        <is>
          <t>UPPSALA LÄN</t>
        </is>
      </c>
      <c r="E578" t="inlineStr">
        <is>
          <t>UPPSALA</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71643-2021</t>
        </is>
      </c>
      <c r="B579" s="1" t="n">
        <v>44543</v>
      </c>
      <c r="C579" s="1" t="n">
        <v>45640</v>
      </c>
      <c r="D579" t="inlineStr">
        <is>
          <t>UPPSALA LÄN</t>
        </is>
      </c>
      <c r="E579" t="inlineStr">
        <is>
          <t>UPPSALA</t>
        </is>
      </c>
      <c r="G579" t="n">
        <v>3</v>
      </c>
      <c r="H579" t="n">
        <v>0</v>
      </c>
      <c r="I579" t="n">
        <v>0</v>
      </c>
      <c r="J579" t="n">
        <v>0</v>
      </c>
      <c r="K579" t="n">
        <v>0</v>
      </c>
      <c r="L579" t="n">
        <v>0</v>
      </c>
      <c r="M579" t="n">
        <v>0</v>
      </c>
      <c r="N579" t="n">
        <v>0</v>
      </c>
      <c r="O579" t="n">
        <v>0</v>
      </c>
      <c r="P579" t="n">
        <v>0</v>
      </c>
      <c r="Q579" t="n">
        <v>0</v>
      </c>
      <c r="R579" s="2" t="inlineStr"/>
    </row>
    <row r="580" ht="15" customHeight="1">
      <c r="A580" t="inlineStr">
        <is>
          <t>A 71671-2021</t>
        </is>
      </c>
      <c r="B580" s="1" t="n">
        <v>44543</v>
      </c>
      <c r="C580" s="1" t="n">
        <v>45640</v>
      </c>
      <c r="D580" t="inlineStr">
        <is>
          <t>UPPSALA LÄN</t>
        </is>
      </c>
      <c r="E580" t="inlineStr">
        <is>
          <t>UPPSALA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72225-2021</t>
        </is>
      </c>
      <c r="B581" s="1" t="n">
        <v>44544</v>
      </c>
      <c r="C581" s="1" t="n">
        <v>45640</v>
      </c>
      <c r="D581" t="inlineStr">
        <is>
          <t>UPPSALA LÄN</t>
        </is>
      </c>
      <c r="E581" t="inlineStr">
        <is>
          <t>UPPSALA</t>
        </is>
      </c>
      <c r="G581" t="n">
        <v>6.2</v>
      </c>
      <c r="H581" t="n">
        <v>0</v>
      </c>
      <c r="I581" t="n">
        <v>0</v>
      </c>
      <c r="J581" t="n">
        <v>0</v>
      </c>
      <c r="K581" t="n">
        <v>0</v>
      </c>
      <c r="L581" t="n">
        <v>0</v>
      </c>
      <c r="M581" t="n">
        <v>0</v>
      </c>
      <c r="N581" t="n">
        <v>0</v>
      </c>
      <c r="O581" t="n">
        <v>0</v>
      </c>
      <c r="P581" t="n">
        <v>0</v>
      </c>
      <c r="Q581" t="n">
        <v>0</v>
      </c>
      <c r="R581" s="2" t="inlineStr"/>
    </row>
    <row r="582" ht="15" customHeight="1">
      <c r="A582" t="inlineStr">
        <is>
          <t>A 72224-2021</t>
        </is>
      </c>
      <c r="B582" s="1" t="n">
        <v>44544</v>
      </c>
      <c r="C582" s="1" t="n">
        <v>45640</v>
      </c>
      <c r="D582" t="inlineStr">
        <is>
          <t>UPPSALA LÄN</t>
        </is>
      </c>
      <c r="E582" t="inlineStr">
        <is>
          <t>UPPSALA</t>
        </is>
      </c>
      <c r="G582" t="n">
        <v>2.5</v>
      </c>
      <c r="H582" t="n">
        <v>0</v>
      </c>
      <c r="I582" t="n">
        <v>0</v>
      </c>
      <c r="J582" t="n">
        <v>0</v>
      </c>
      <c r="K582" t="n">
        <v>0</v>
      </c>
      <c r="L582" t="n">
        <v>0</v>
      </c>
      <c r="M582" t="n">
        <v>0</v>
      </c>
      <c r="N582" t="n">
        <v>0</v>
      </c>
      <c r="O582" t="n">
        <v>0</v>
      </c>
      <c r="P582" t="n">
        <v>0</v>
      </c>
      <c r="Q582" t="n">
        <v>0</v>
      </c>
      <c r="R582" s="2" t="inlineStr"/>
    </row>
    <row r="583" ht="15" customHeight="1">
      <c r="A583" t="inlineStr">
        <is>
          <t>A 72973-2021</t>
        </is>
      </c>
      <c r="B583" s="1" t="n">
        <v>44548</v>
      </c>
      <c r="C583" s="1" t="n">
        <v>45640</v>
      </c>
      <c r="D583" t="inlineStr">
        <is>
          <t>UPPSALA LÄN</t>
        </is>
      </c>
      <c r="E583" t="inlineStr">
        <is>
          <t>UPPSALA</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73326-2021</t>
        </is>
      </c>
      <c r="B584" s="1" t="n">
        <v>44548</v>
      </c>
      <c r="C584" s="1" t="n">
        <v>45640</v>
      </c>
      <c r="D584" t="inlineStr">
        <is>
          <t>UPPSALA LÄN</t>
        </is>
      </c>
      <c r="E584" t="inlineStr">
        <is>
          <t>UPPSALA</t>
        </is>
      </c>
      <c r="G584" t="n">
        <v>4</v>
      </c>
      <c r="H584" t="n">
        <v>0</v>
      </c>
      <c r="I584" t="n">
        <v>0</v>
      </c>
      <c r="J584" t="n">
        <v>0</v>
      </c>
      <c r="K584" t="n">
        <v>0</v>
      </c>
      <c r="L584" t="n">
        <v>0</v>
      </c>
      <c r="M584" t="n">
        <v>0</v>
      </c>
      <c r="N584" t="n">
        <v>0</v>
      </c>
      <c r="O584" t="n">
        <v>0</v>
      </c>
      <c r="P584" t="n">
        <v>0</v>
      </c>
      <c r="Q584" t="n">
        <v>0</v>
      </c>
      <c r="R584" s="2" t="inlineStr"/>
    </row>
    <row r="585" ht="15" customHeight="1">
      <c r="A585" t="inlineStr">
        <is>
          <t>A 73044-2021</t>
        </is>
      </c>
      <c r="B585" s="1" t="n">
        <v>44550</v>
      </c>
      <c r="C585" s="1" t="n">
        <v>45640</v>
      </c>
      <c r="D585" t="inlineStr">
        <is>
          <t>UPPSALA LÄN</t>
        </is>
      </c>
      <c r="E585" t="inlineStr">
        <is>
          <t>UPPSALA</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73468-2021</t>
        </is>
      </c>
      <c r="B586" s="1" t="n">
        <v>44551</v>
      </c>
      <c r="C586" s="1" t="n">
        <v>45640</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73518-2021</t>
        </is>
      </c>
      <c r="B587" s="1" t="n">
        <v>44551</v>
      </c>
      <c r="C587" s="1" t="n">
        <v>45640</v>
      </c>
      <c r="D587" t="inlineStr">
        <is>
          <t>UPPSALA LÄN</t>
        </is>
      </c>
      <c r="E587" t="inlineStr">
        <is>
          <t>UPPSALA</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73531-2021</t>
        </is>
      </c>
      <c r="B588" s="1" t="n">
        <v>44551</v>
      </c>
      <c r="C588" s="1" t="n">
        <v>45640</v>
      </c>
      <c r="D588" t="inlineStr">
        <is>
          <t>UPPSALA LÄN</t>
        </is>
      </c>
      <c r="E588" t="inlineStr">
        <is>
          <t>UPPSALA</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74019-2021</t>
        </is>
      </c>
      <c r="B589" s="1" t="n">
        <v>44553</v>
      </c>
      <c r="C589" s="1" t="n">
        <v>45640</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74023-2021</t>
        </is>
      </c>
      <c r="B590" s="1" t="n">
        <v>44553</v>
      </c>
      <c r="C590" s="1" t="n">
        <v>45640</v>
      </c>
      <c r="D590" t="inlineStr">
        <is>
          <t>UPPSALA LÄN</t>
        </is>
      </c>
      <c r="E590" t="inlineStr">
        <is>
          <t>UPPSALA</t>
        </is>
      </c>
      <c r="G590" t="n">
        <v>5.4</v>
      </c>
      <c r="H590" t="n">
        <v>0</v>
      </c>
      <c r="I590" t="n">
        <v>0</v>
      </c>
      <c r="J590" t="n">
        <v>0</v>
      </c>
      <c r="K590" t="n">
        <v>0</v>
      </c>
      <c r="L590" t="n">
        <v>0</v>
      </c>
      <c r="M590" t="n">
        <v>0</v>
      </c>
      <c r="N590" t="n">
        <v>0</v>
      </c>
      <c r="O590" t="n">
        <v>0</v>
      </c>
      <c r="P590" t="n">
        <v>0</v>
      </c>
      <c r="Q590" t="n">
        <v>0</v>
      </c>
      <c r="R590" s="2" t="inlineStr"/>
    </row>
    <row r="591" ht="15" customHeight="1">
      <c r="A591" t="inlineStr">
        <is>
          <t>A 74493-2021</t>
        </is>
      </c>
      <c r="B591" s="1" t="n">
        <v>44560</v>
      </c>
      <c r="C591" s="1" t="n">
        <v>45640</v>
      </c>
      <c r="D591" t="inlineStr">
        <is>
          <t>UPPSALA LÄN</t>
        </is>
      </c>
      <c r="E591" t="inlineStr">
        <is>
          <t>UPPSALA</t>
        </is>
      </c>
      <c r="G591" t="n">
        <v>1.2</v>
      </c>
      <c r="H591" t="n">
        <v>0</v>
      </c>
      <c r="I591" t="n">
        <v>0</v>
      </c>
      <c r="J591" t="n">
        <v>0</v>
      </c>
      <c r="K591" t="n">
        <v>0</v>
      </c>
      <c r="L591" t="n">
        <v>0</v>
      </c>
      <c r="M591" t="n">
        <v>0</v>
      </c>
      <c r="N591" t="n">
        <v>0</v>
      </c>
      <c r="O591" t="n">
        <v>0</v>
      </c>
      <c r="P591" t="n">
        <v>0</v>
      </c>
      <c r="Q591" t="n">
        <v>0</v>
      </c>
      <c r="R591" s="2" t="inlineStr"/>
    </row>
    <row r="592" ht="15" customHeight="1">
      <c r="A592" t="inlineStr">
        <is>
          <t>A 74495-2021</t>
        </is>
      </c>
      <c r="B592" s="1" t="n">
        <v>44560</v>
      </c>
      <c r="C592" s="1" t="n">
        <v>45640</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612-2022</t>
        </is>
      </c>
      <c r="B593" s="1" t="n">
        <v>44567</v>
      </c>
      <c r="C593" s="1" t="n">
        <v>45640</v>
      </c>
      <c r="D593" t="inlineStr">
        <is>
          <t>UPPSALA LÄN</t>
        </is>
      </c>
      <c r="E593" t="inlineStr">
        <is>
          <t>UPPSALA</t>
        </is>
      </c>
      <c r="F593" t="inlineStr">
        <is>
          <t>Holmen skog AB</t>
        </is>
      </c>
      <c r="G593" t="n">
        <v>6.6</v>
      </c>
      <c r="H593" t="n">
        <v>0</v>
      </c>
      <c r="I593" t="n">
        <v>0</v>
      </c>
      <c r="J593" t="n">
        <v>0</v>
      </c>
      <c r="K593" t="n">
        <v>0</v>
      </c>
      <c r="L593" t="n">
        <v>0</v>
      </c>
      <c r="M593" t="n">
        <v>0</v>
      </c>
      <c r="N593" t="n">
        <v>0</v>
      </c>
      <c r="O593" t="n">
        <v>0</v>
      </c>
      <c r="P593" t="n">
        <v>0</v>
      </c>
      <c r="Q593" t="n">
        <v>0</v>
      </c>
      <c r="R593" s="2" t="inlineStr"/>
    </row>
    <row r="594" ht="15" customHeight="1">
      <c r="A594" t="inlineStr">
        <is>
          <t>A 733-2022</t>
        </is>
      </c>
      <c r="B594" s="1" t="n">
        <v>44568</v>
      </c>
      <c r="C594" s="1" t="n">
        <v>45640</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v>
      </c>
      <c r="C595" s="1" t="n">
        <v>45640</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750-2022</t>
        </is>
      </c>
      <c r="B596" s="1" t="n">
        <v>44569</v>
      </c>
      <c r="C596" s="1" t="n">
        <v>45640</v>
      </c>
      <c r="D596" t="inlineStr">
        <is>
          <t>UPPSALA LÄN</t>
        </is>
      </c>
      <c r="E596" t="inlineStr">
        <is>
          <t>UPPSALA</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759-2022</t>
        </is>
      </c>
      <c r="B597" s="1" t="n">
        <v>44569</v>
      </c>
      <c r="C597" s="1" t="n">
        <v>45640</v>
      </c>
      <c r="D597" t="inlineStr">
        <is>
          <t>UPPSALA LÄN</t>
        </is>
      </c>
      <c r="E597" t="inlineStr">
        <is>
          <t>UPPSALA</t>
        </is>
      </c>
      <c r="F597" t="inlineStr">
        <is>
          <t>Holmen skog AB</t>
        </is>
      </c>
      <c r="G597" t="n">
        <v>3.6</v>
      </c>
      <c r="H597" t="n">
        <v>0</v>
      </c>
      <c r="I597" t="n">
        <v>0</v>
      </c>
      <c r="J597" t="n">
        <v>0</v>
      </c>
      <c r="K597" t="n">
        <v>0</v>
      </c>
      <c r="L597" t="n">
        <v>0</v>
      </c>
      <c r="M597" t="n">
        <v>0</v>
      </c>
      <c r="N597" t="n">
        <v>0</v>
      </c>
      <c r="O597" t="n">
        <v>0</v>
      </c>
      <c r="P597" t="n">
        <v>0</v>
      </c>
      <c r="Q597" t="n">
        <v>0</v>
      </c>
      <c r="R597" s="2" t="inlineStr"/>
    </row>
    <row r="598" ht="15" customHeight="1">
      <c r="A598" t="inlineStr">
        <is>
          <t>A 758-2022</t>
        </is>
      </c>
      <c r="B598" s="1" t="n">
        <v>44569</v>
      </c>
      <c r="C598" s="1" t="n">
        <v>45640</v>
      </c>
      <c r="D598" t="inlineStr">
        <is>
          <t>UPPSALA LÄN</t>
        </is>
      </c>
      <c r="E598" t="inlineStr">
        <is>
          <t>UPPSALA</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917-2022</t>
        </is>
      </c>
      <c r="B599" s="1" t="n">
        <v>44571</v>
      </c>
      <c r="C599" s="1" t="n">
        <v>45640</v>
      </c>
      <c r="D599" t="inlineStr">
        <is>
          <t>UPPSALA LÄN</t>
        </is>
      </c>
      <c r="E599" t="inlineStr">
        <is>
          <t>UPPSALA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874-2022</t>
        </is>
      </c>
      <c r="B600" s="1" t="n">
        <v>44571</v>
      </c>
      <c r="C600" s="1" t="n">
        <v>45640</v>
      </c>
      <c r="D600" t="inlineStr">
        <is>
          <t>UPPSALA LÄN</t>
        </is>
      </c>
      <c r="E600" t="inlineStr">
        <is>
          <t>UPPSALA</t>
        </is>
      </c>
      <c r="G600" t="n">
        <v>7.2</v>
      </c>
      <c r="H600" t="n">
        <v>0</v>
      </c>
      <c r="I600" t="n">
        <v>0</v>
      </c>
      <c r="J600" t="n">
        <v>0</v>
      </c>
      <c r="K600" t="n">
        <v>0</v>
      </c>
      <c r="L600" t="n">
        <v>0</v>
      </c>
      <c r="M600" t="n">
        <v>0</v>
      </c>
      <c r="N600" t="n">
        <v>0</v>
      </c>
      <c r="O600" t="n">
        <v>0</v>
      </c>
      <c r="P600" t="n">
        <v>0</v>
      </c>
      <c r="Q600" t="n">
        <v>0</v>
      </c>
      <c r="R600" s="2" t="inlineStr"/>
    </row>
    <row r="601" ht="15" customHeight="1">
      <c r="A601" t="inlineStr">
        <is>
          <t>A 1037-2022</t>
        </is>
      </c>
      <c r="B601" s="1" t="n">
        <v>44571</v>
      </c>
      <c r="C601" s="1" t="n">
        <v>45640</v>
      </c>
      <c r="D601" t="inlineStr">
        <is>
          <t>UPPSALA LÄN</t>
        </is>
      </c>
      <c r="E601" t="inlineStr">
        <is>
          <t>UPPSALA</t>
        </is>
      </c>
      <c r="F601" t="inlineStr">
        <is>
          <t>Holmen skog AB</t>
        </is>
      </c>
      <c r="G601" t="n">
        <v>2.7</v>
      </c>
      <c r="H601" t="n">
        <v>0</v>
      </c>
      <c r="I601" t="n">
        <v>0</v>
      </c>
      <c r="J601" t="n">
        <v>0</v>
      </c>
      <c r="K601" t="n">
        <v>0</v>
      </c>
      <c r="L601" t="n">
        <v>0</v>
      </c>
      <c r="M601" t="n">
        <v>0</v>
      </c>
      <c r="N601" t="n">
        <v>0</v>
      </c>
      <c r="O601" t="n">
        <v>0</v>
      </c>
      <c r="P601" t="n">
        <v>0</v>
      </c>
      <c r="Q601" t="n">
        <v>0</v>
      </c>
      <c r="R601" s="2" t="inlineStr"/>
    </row>
    <row r="602" ht="15" customHeight="1">
      <c r="A602" t="inlineStr">
        <is>
          <t>A 1148-2022</t>
        </is>
      </c>
      <c r="B602" s="1" t="n">
        <v>44572</v>
      </c>
      <c r="C602" s="1" t="n">
        <v>45640</v>
      </c>
      <c r="D602" t="inlineStr">
        <is>
          <t>UPPSALA LÄN</t>
        </is>
      </c>
      <c r="E602" t="inlineStr">
        <is>
          <t>UPPSALA</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1298-2022</t>
        </is>
      </c>
      <c r="B603" s="1" t="n">
        <v>44572</v>
      </c>
      <c r="C603" s="1" t="n">
        <v>45640</v>
      </c>
      <c r="D603" t="inlineStr">
        <is>
          <t>UPPSALA LÄN</t>
        </is>
      </c>
      <c r="E603" t="inlineStr">
        <is>
          <t>UPPSALA</t>
        </is>
      </c>
      <c r="F603" t="inlineStr">
        <is>
          <t>Holmen skog AB</t>
        </is>
      </c>
      <c r="G603" t="n">
        <v>5.3</v>
      </c>
      <c r="H603" t="n">
        <v>0</v>
      </c>
      <c r="I603" t="n">
        <v>0</v>
      </c>
      <c r="J603" t="n">
        <v>0</v>
      </c>
      <c r="K603" t="n">
        <v>0</v>
      </c>
      <c r="L603" t="n">
        <v>0</v>
      </c>
      <c r="M603" t="n">
        <v>0</v>
      </c>
      <c r="N603" t="n">
        <v>0</v>
      </c>
      <c r="O603" t="n">
        <v>0</v>
      </c>
      <c r="P603" t="n">
        <v>0</v>
      </c>
      <c r="Q603" t="n">
        <v>0</v>
      </c>
      <c r="R603" s="2" t="inlineStr"/>
    </row>
    <row r="604" ht="15" customHeight="1">
      <c r="A604" t="inlineStr">
        <is>
          <t>A 1731-2022</t>
        </is>
      </c>
      <c r="B604" s="1" t="n">
        <v>44574</v>
      </c>
      <c r="C604" s="1" t="n">
        <v>45640</v>
      </c>
      <c r="D604" t="inlineStr">
        <is>
          <t>UPPSALA LÄN</t>
        </is>
      </c>
      <c r="E604" t="inlineStr">
        <is>
          <t>UPPSALA</t>
        </is>
      </c>
      <c r="G604" t="n">
        <v>10.1</v>
      </c>
      <c r="H604" t="n">
        <v>0</v>
      </c>
      <c r="I604" t="n">
        <v>0</v>
      </c>
      <c r="J604" t="n">
        <v>0</v>
      </c>
      <c r="K604" t="n">
        <v>0</v>
      </c>
      <c r="L604" t="n">
        <v>0</v>
      </c>
      <c r="M604" t="n">
        <v>0</v>
      </c>
      <c r="N604" t="n">
        <v>0</v>
      </c>
      <c r="O604" t="n">
        <v>0</v>
      </c>
      <c r="P604" t="n">
        <v>0</v>
      </c>
      <c r="Q604" t="n">
        <v>0</v>
      </c>
      <c r="R604" s="2" t="inlineStr"/>
    </row>
    <row r="605" ht="15" customHeight="1">
      <c r="A605" t="inlineStr">
        <is>
          <t>A 1963-2022</t>
        </is>
      </c>
      <c r="B605" s="1" t="n">
        <v>44575</v>
      </c>
      <c r="C605" s="1" t="n">
        <v>45640</v>
      </c>
      <c r="D605" t="inlineStr">
        <is>
          <t>UPPSALA LÄN</t>
        </is>
      </c>
      <c r="E605" t="inlineStr">
        <is>
          <t>UPPSALA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1975-2022</t>
        </is>
      </c>
      <c r="B606" s="1" t="n">
        <v>44575</v>
      </c>
      <c r="C606" s="1" t="n">
        <v>45640</v>
      </c>
      <c r="D606" t="inlineStr">
        <is>
          <t>UPPSALA LÄN</t>
        </is>
      </c>
      <c r="E606" t="inlineStr">
        <is>
          <t>UPPSALA</t>
        </is>
      </c>
      <c r="G606" t="n">
        <v>3.9</v>
      </c>
      <c r="H606" t="n">
        <v>0</v>
      </c>
      <c r="I606" t="n">
        <v>0</v>
      </c>
      <c r="J606" t="n">
        <v>0</v>
      </c>
      <c r="K606" t="n">
        <v>0</v>
      </c>
      <c r="L606" t="n">
        <v>0</v>
      </c>
      <c r="M606" t="n">
        <v>0</v>
      </c>
      <c r="N606" t="n">
        <v>0</v>
      </c>
      <c r="O606" t="n">
        <v>0</v>
      </c>
      <c r="P606" t="n">
        <v>0</v>
      </c>
      <c r="Q606" t="n">
        <v>0</v>
      </c>
      <c r="R606" s="2" t="inlineStr"/>
    </row>
    <row r="607" ht="15" customHeight="1">
      <c r="A607" t="inlineStr">
        <is>
          <t>A 1936-2022</t>
        </is>
      </c>
      <c r="B607" s="1" t="n">
        <v>44575</v>
      </c>
      <c r="C607" s="1" t="n">
        <v>45640</v>
      </c>
      <c r="D607" t="inlineStr">
        <is>
          <t>UPPSALA LÄN</t>
        </is>
      </c>
      <c r="E607" t="inlineStr">
        <is>
          <t>UPPSALA</t>
        </is>
      </c>
      <c r="F607" t="inlineStr">
        <is>
          <t>Bergvik skog öst AB</t>
        </is>
      </c>
      <c r="G607" t="n">
        <v>0.8</v>
      </c>
      <c r="H607" t="n">
        <v>0</v>
      </c>
      <c r="I607" t="n">
        <v>0</v>
      </c>
      <c r="J607" t="n">
        <v>0</v>
      </c>
      <c r="K607" t="n">
        <v>0</v>
      </c>
      <c r="L607" t="n">
        <v>0</v>
      </c>
      <c r="M607" t="n">
        <v>0</v>
      </c>
      <c r="N607" t="n">
        <v>0</v>
      </c>
      <c r="O607" t="n">
        <v>0</v>
      </c>
      <c r="P607" t="n">
        <v>0</v>
      </c>
      <c r="Q607" t="n">
        <v>0</v>
      </c>
      <c r="R607" s="2" t="inlineStr"/>
    </row>
    <row r="608" ht="15" customHeight="1">
      <c r="A608" t="inlineStr">
        <is>
          <t>A 1978-2022</t>
        </is>
      </c>
      <c r="B608" s="1" t="n">
        <v>44575</v>
      </c>
      <c r="C608" s="1" t="n">
        <v>45640</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2017-2022</t>
        </is>
      </c>
      <c r="B609" s="1" t="n">
        <v>44575</v>
      </c>
      <c r="C609" s="1" t="n">
        <v>45640</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2228-2022</t>
        </is>
      </c>
      <c r="B610" s="1" t="n">
        <v>44578</v>
      </c>
      <c r="C610" s="1" t="n">
        <v>45640</v>
      </c>
      <c r="D610" t="inlineStr">
        <is>
          <t>UPPSALA LÄN</t>
        </is>
      </c>
      <c r="E610" t="inlineStr">
        <is>
          <t>UPPSALA</t>
        </is>
      </c>
      <c r="F610" t="inlineStr">
        <is>
          <t>Bergvik skog öst AB</t>
        </is>
      </c>
      <c r="G610" t="n">
        <v>3.9</v>
      </c>
      <c r="H610" t="n">
        <v>0</v>
      </c>
      <c r="I610" t="n">
        <v>0</v>
      </c>
      <c r="J610" t="n">
        <v>0</v>
      </c>
      <c r="K610" t="n">
        <v>0</v>
      </c>
      <c r="L610" t="n">
        <v>0</v>
      </c>
      <c r="M610" t="n">
        <v>0</v>
      </c>
      <c r="N610" t="n">
        <v>0</v>
      </c>
      <c r="O610" t="n">
        <v>0</v>
      </c>
      <c r="P610" t="n">
        <v>0</v>
      </c>
      <c r="Q610" t="n">
        <v>0</v>
      </c>
      <c r="R610" s="2" t="inlineStr"/>
    </row>
    <row r="611" ht="15" customHeight="1">
      <c r="A611" t="inlineStr">
        <is>
          <t>A 2927-2022</t>
        </is>
      </c>
      <c r="B611" s="1" t="n">
        <v>44581</v>
      </c>
      <c r="C611" s="1" t="n">
        <v>45640</v>
      </c>
      <c r="D611" t="inlineStr">
        <is>
          <t>UPPSALA LÄN</t>
        </is>
      </c>
      <c r="E611" t="inlineStr">
        <is>
          <t>UPPSALA</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3259-2022</t>
        </is>
      </c>
      <c r="B612" s="1" t="n">
        <v>44583</v>
      </c>
      <c r="C612" s="1" t="n">
        <v>45640</v>
      </c>
      <c r="D612" t="inlineStr">
        <is>
          <t>UPPSALA LÄN</t>
        </is>
      </c>
      <c r="E612" t="inlineStr">
        <is>
          <t>UPPSALA</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3261-2022</t>
        </is>
      </c>
      <c r="B613" s="1" t="n">
        <v>44583</v>
      </c>
      <c r="C613" s="1" t="n">
        <v>45640</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3252-2022</t>
        </is>
      </c>
      <c r="B614" s="1" t="n">
        <v>44583</v>
      </c>
      <c r="C614" s="1" t="n">
        <v>45640</v>
      </c>
      <c r="D614" t="inlineStr">
        <is>
          <t>UPPSALA LÄN</t>
        </is>
      </c>
      <c r="E614" t="inlineStr">
        <is>
          <t>UPPSALA</t>
        </is>
      </c>
      <c r="F614" t="inlineStr">
        <is>
          <t>Holmen skog AB</t>
        </is>
      </c>
      <c r="G614" t="n">
        <v>3.7</v>
      </c>
      <c r="H614" t="n">
        <v>0</v>
      </c>
      <c r="I614" t="n">
        <v>0</v>
      </c>
      <c r="J614" t="n">
        <v>0</v>
      </c>
      <c r="K614" t="n">
        <v>0</v>
      </c>
      <c r="L614" t="n">
        <v>0</v>
      </c>
      <c r="M614" t="n">
        <v>0</v>
      </c>
      <c r="N614" t="n">
        <v>0</v>
      </c>
      <c r="O614" t="n">
        <v>0</v>
      </c>
      <c r="P614" t="n">
        <v>0</v>
      </c>
      <c r="Q614" t="n">
        <v>0</v>
      </c>
      <c r="R614" s="2" t="inlineStr"/>
    </row>
    <row r="615" ht="15" customHeight="1">
      <c r="A615" t="inlineStr">
        <is>
          <t>A 3258-2022</t>
        </is>
      </c>
      <c r="B615" s="1" t="n">
        <v>44583</v>
      </c>
      <c r="C615" s="1" t="n">
        <v>45640</v>
      </c>
      <c r="D615" t="inlineStr">
        <is>
          <t>UPPSALA LÄN</t>
        </is>
      </c>
      <c r="E615" t="inlineStr">
        <is>
          <t>UPPSALA</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3262-2022</t>
        </is>
      </c>
      <c r="B616" s="1" t="n">
        <v>44583</v>
      </c>
      <c r="C616" s="1" t="n">
        <v>45640</v>
      </c>
      <c r="D616" t="inlineStr">
        <is>
          <t>UPPSALA LÄN</t>
        </is>
      </c>
      <c r="E616" t="inlineStr">
        <is>
          <t>UPPSALA</t>
        </is>
      </c>
      <c r="F616" t="inlineStr">
        <is>
          <t>Holmen skog AB</t>
        </is>
      </c>
      <c r="G616" t="n">
        <v>5.4</v>
      </c>
      <c r="H616" t="n">
        <v>0</v>
      </c>
      <c r="I616" t="n">
        <v>0</v>
      </c>
      <c r="J616" t="n">
        <v>0</v>
      </c>
      <c r="K616" t="n">
        <v>0</v>
      </c>
      <c r="L616" t="n">
        <v>0</v>
      </c>
      <c r="M616" t="n">
        <v>0</v>
      </c>
      <c r="N616" t="n">
        <v>0</v>
      </c>
      <c r="O616" t="n">
        <v>0</v>
      </c>
      <c r="P616" t="n">
        <v>0</v>
      </c>
      <c r="Q616" t="n">
        <v>0</v>
      </c>
      <c r="R616" s="2" t="inlineStr"/>
    </row>
    <row r="617" ht="15" customHeight="1">
      <c r="A617" t="inlineStr">
        <is>
          <t>A 3255-2022</t>
        </is>
      </c>
      <c r="B617" s="1" t="n">
        <v>44583</v>
      </c>
      <c r="C617" s="1" t="n">
        <v>45640</v>
      </c>
      <c r="D617" t="inlineStr">
        <is>
          <t>UPPSALA LÄN</t>
        </is>
      </c>
      <c r="E617" t="inlineStr">
        <is>
          <t>UPPSALA</t>
        </is>
      </c>
      <c r="F617" t="inlineStr">
        <is>
          <t>Holmen skog AB</t>
        </is>
      </c>
      <c r="G617" t="n">
        <v>5.6</v>
      </c>
      <c r="H617" t="n">
        <v>0</v>
      </c>
      <c r="I617" t="n">
        <v>0</v>
      </c>
      <c r="J617" t="n">
        <v>0</v>
      </c>
      <c r="K617" t="n">
        <v>0</v>
      </c>
      <c r="L617" t="n">
        <v>0</v>
      </c>
      <c r="M617" t="n">
        <v>0</v>
      </c>
      <c r="N617" t="n">
        <v>0</v>
      </c>
      <c r="O617" t="n">
        <v>0</v>
      </c>
      <c r="P617" t="n">
        <v>0</v>
      </c>
      <c r="Q617" t="n">
        <v>0</v>
      </c>
      <c r="R617" s="2" t="inlineStr"/>
    </row>
    <row r="618" ht="15" customHeight="1">
      <c r="A618" t="inlineStr">
        <is>
          <t>A 3260-2022</t>
        </is>
      </c>
      <c r="B618" s="1" t="n">
        <v>44583</v>
      </c>
      <c r="C618" s="1" t="n">
        <v>45640</v>
      </c>
      <c r="D618" t="inlineStr">
        <is>
          <t>UPPSALA LÄN</t>
        </is>
      </c>
      <c r="E618" t="inlineStr">
        <is>
          <t>UPPSALA</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3284-2022</t>
        </is>
      </c>
      <c r="B619" s="1" t="n">
        <v>44584</v>
      </c>
      <c r="C619" s="1" t="n">
        <v>45640</v>
      </c>
      <c r="D619" t="inlineStr">
        <is>
          <t>UPPSALA LÄN</t>
        </is>
      </c>
      <c r="E619" t="inlineStr">
        <is>
          <t>UPPSALA</t>
        </is>
      </c>
      <c r="F619" t="inlineStr">
        <is>
          <t>Holmen skog AB</t>
        </is>
      </c>
      <c r="G619" t="n">
        <v>3</v>
      </c>
      <c r="H619" t="n">
        <v>0</v>
      </c>
      <c r="I619" t="n">
        <v>0</v>
      </c>
      <c r="J619" t="n">
        <v>0</v>
      </c>
      <c r="K619" t="n">
        <v>0</v>
      </c>
      <c r="L619" t="n">
        <v>0</v>
      </c>
      <c r="M619" t="n">
        <v>0</v>
      </c>
      <c r="N619" t="n">
        <v>0</v>
      </c>
      <c r="O619" t="n">
        <v>0</v>
      </c>
      <c r="P619" t="n">
        <v>0</v>
      </c>
      <c r="Q619" t="n">
        <v>0</v>
      </c>
      <c r="R619" s="2" t="inlineStr"/>
    </row>
    <row r="620" ht="15" customHeight="1">
      <c r="A620" t="inlineStr">
        <is>
          <t>A 3287-2022</t>
        </is>
      </c>
      <c r="B620" s="1" t="n">
        <v>44584</v>
      </c>
      <c r="C620" s="1" t="n">
        <v>45640</v>
      </c>
      <c r="D620" t="inlineStr">
        <is>
          <t>UPPSALA LÄN</t>
        </is>
      </c>
      <c r="E620" t="inlineStr">
        <is>
          <t>UPPSALA</t>
        </is>
      </c>
      <c r="F620" t="inlineStr">
        <is>
          <t>Holmen skog AB</t>
        </is>
      </c>
      <c r="G620" t="n">
        <v>1.4</v>
      </c>
      <c r="H620" t="n">
        <v>0</v>
      </c>
      <c r="I620" t="n">
        <v>0</v>
      </c>
      <c r="J620" t="n">
        <v>0</v>
      </c>
      <c r="K620" t="n">
        <v>0</v>
      </c>
      <c r="L620" t="n">
        <v>0</v>
      </c>
      <c r="M620" t="n">
        <v>0</v>
      </c>
      <c r="N620" t="n">
        <v>0</v>
      </c>
      <c r="O620" t="n">
        <v>0</v>
      </c>
      <c r="P620" t="n">
        <v>0</v>
      </c>
      <c r="Q620" t="n">
        <v>0</v>
      </c>
      <c r="R620" s="2" t="inlineStr"/>
    </row>
    <row r="621" ht="15" customHeight="1">
      <c r="A621" t="inlineStr">
        <is>
          <t>A 4059-2022</t>
        </is>
      </c>
      <c r="B621" s="1" t="n">
        <v>44588</v>
      </c>
      <c r="C621" s="1" t="n">
        <v>45640</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4312-2022</t>
        </is>
      </c>
      <c r="B622" s="1" t="n">
        <v>44588</v>
      </c>
      <c r="C622" s="1" t="n">
        <v>45640</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4444-2022</t>
        </is>
      </c>
      <c r="B623" s="1" t="n">
        <v>44589</v>
      </c>
      <c r="C623" s="1" t="n">
        <v>45640</v>
      </c>
      <c r="D623" t="inlineStr">
        <is>
          <t>UPPSALA LÄN</t>
        </is>
      </c>
      <c r="E623" t="inlineStr">
        <is>
          <t>UPPSALA</t>
        </is>
      </c>
      <c r="G623" t="n">
        <v>3.2</v>
      </c>
      <c r="H623" t="n">
        <v>0</v>
      </c>
      <c r="I623" t="n">
        <v>0</v>
      </c>
      <c r="J623" t="n">
        <v>0</v>
      </c>
      <c r="K623" t="n">
        <v>0</v>
      </c>
      <c r="L623" t="n">
        <v>0</v>
      </c>
      <c r="M623" t="n">
        <v>0</v>
      </c>
      <c r="N623" t="n">
        <v>0</v>
      </c>
      <c r="O623" t="n">
        <v>0</v>
      </c>
      <c r="P623" t="n">
        <v>0</v>
      </c>
      <c r="Q623" t="n">
        <v>0</v>
      </c>
      <c r="R623" s="2" t="inlineStr"/>
    </row>
    <row r="624" ht="15" customHeight="1">
      <c r="A624" t="inlineStr">
        <is>
          <t>A 4929-2022</t>
        </is>
      </c>
      <c r="B624" s="1" t="n">
        <v>44593</v>
      </c>
      <c r="C624" s="1" t="n">
        <v>45640</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5027-2022</t>
        </is>
      </c>
      <c r="B625" s="1" t="n">
        <v>44593</v>
      </c>
      <c r="C625" s="1" t="n">
        <v>45640</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5081-2022</t>
        </is>
      </c>
      <c r="B626" s="1" t="n">
        <v>44593</v>
      </c>
      <c r="C626" s="1" t="n">
        <v>45640</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5007-2022</t>
        </is>
      </c>
      <c r="B627" s="1" t="n">
        <v>44593</v>
      </c>
      <c r="C627" s="1" t="n">
        <v>45640</v>
      </c>
      <c r="D627" t="inlineStr">
        <is>
          <t>UPPSALA LÄN</t>
        </is>
      </c>
      <c r="E627" t="inlineStr">
        <is>
          <t>UPPSALA</t>
        </is>
      </c>
      <c r="F627" t="inlineStr">
        <is>
          <t>BillerudKorsnäs AB</t>
        </is>
      </c>
      <c r="G627" t="n">
        <v>3.6</v>
      </c>
      <c r="H627" t="n">
        <v>0</v>
      </c>
      <c r="I627" t="n">
        <v>0</v>
      </c>
      <c r="J627" t="n">
        <v>0</v>
      </c>
      <c r="K627" t="n">
        <v>0</v>
      </c>
      <c r="L627" t="n">
        <v>0</v>
      </c>
      <c r="M627" t="n">
        <v>0</v>
      </c>
      <c r="N627" t="n">
        <v>0</v>
      </c>
      <c r="O627" t="n">
        <v>0</v>
      </c>
      <c r="P627" t="n">
        <v>0</v>
      </c>
      <c r="Q627" t="n">
        <v>0</v>
      </c>
      <c r="R627" s="2" t="inlineStr"/>
    </row>
    <row r="628" ht="15" customHeight="1">
      <c r="A628" t="inlineStr">
        <is>
          <t>A 5006-2022</t>
        </is>
      </c>
      <c r="B628" s="1" t="n">
        <v>44593</v>
      </c>
      <c r="C628" s="1" t="n">
        <v>45640</v>
      </c>
      <c r="D628" t="inlineStr">
        <is>
          <t>UPPSALA LÄN</t>
        </is>
      </c>
      <c r="E628" t="inlineStr">
        <is>
          <t>UPPSALA</t>
        </is>
      </c>
      <c r="F628" t="inlineStr">
        <is>
          <t>BillerudKorsnäs AB</t>
        </is>
      </c>
      <c r="G628" t="n">
        <v>1.4</v>
      </c>
      <c r="H628" t="n">
        <v>0</v>
      </c>
      <c r="I628" t="n">
        <v>0</v>
      </c>
      <c r="J628" t="n">
        <v>0</v>
      </c>
      <c r="K628" t="n">
        <v>0</v>
      </c>
      <c r="L628" t="n">
        <v>0</v>
      </c>
      <c r="M628" t="n">
        <v>0</v>
      </c>
      <c r="N628" t="n">
        <v>0</v>
      </c>
      <c r="O628" t="n">
        <v>0</v>
      </c>
      <c r="P628" t="n">
        <v>0</v>
      </c>
      <c r="Q628" t="n">
        <v>0</v>
      </c>
      <c r="R628" s="2" t="inlineStr"/>
    </row>
    <row r="629" ht="15" customHeight="1">
      <c r="A629" t="inlineStr">
        <is>
          <t>A 5028-2022</t>
        </is>
      </c>
      <c r="B629" s="1" t="n">
        <v>44593</v>
      </c>
      <c r="C629" s="1" t="n">
        <v>45640</v>
      </c>
      <c r="D629" t="inlineStr">
        <is>
          <t>UPPSALA LÄN</t>
        </is>
      </c>
      <c r="E629" t="inlineStr">
        <is>
          <t>UPPSALA</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5309-2022</t>
        </is>
      </c>
      <c r="B630" s="1" t="n">
        <v>44594</v>
      </c>
      <c r="C630" s="1" t="n">
        <v>45640</v>
      </c>
      <c r="D630" t="inlineStr">
        <is>
          <t>UPPSALA LÄN</t>
        </is>
      </c>
      <c r="E630" t="inlineStr">
        <is>
          <t>UPPSALA</t>
        </is>
      </c>
      <c r="G630" t="n">
        <v>4.8</v>
      </c>
      <c r="H630" t="n">
        <v>0</v>
      </c>
      <c r="I630" t="n">
        <v>0</v>
      </c>
      <c r="J630" t="n">
        <v>0</v>
      </c>
      <c r="K630" t="n">
        <v>0</v>
      </c>
      <c r="L630" t="n">
        <v>0</v>
      </c>
      <c r="M630" t="n">
        <v>0</v>
      </c>
      <c r="N630" t="n">
        <v>0</v>
      </c>
      <c r="O630" t="n">
        <v>0</v>
      </c>
      <c r="P630" t="n">
        <v>0</v>
      </c>
      <c r="Q630" t="n">
        <v>0</v>
      </c>
      <c r="R630" s="2" t="inlineStr"/>
    </row>
    <row r="631" ht="15" customHeight="1">
      <c r="A631" t="inlineStr">
        <is>
          <t>A 5189-2022</t>
        </is>
      </c>
      <c r="B631" s="1" t="n">
        <v>44594</v>
      </c>
      <c r="C631" s="1" t="n">
        <v>45640</v>
      </c>
      <c r="D631" t="inlineStr">
        <is>
          <t>UPPSALA LÄN</t>
        </is>
      </c>
      <c r="E631" t="inlineStr">
        <is>
          <t>UPPSALA</t>
        </is>
      </c>
      <c r="G631" t="n">
        <v>5.9</v>
      </c>
      <c r="H631" t="n">
        <v>0</v>
      </c>
      <c r="I631" t="n">
        <v>0</v>
      </c>
      <c r="J631" t="n">
        <v>0</v>
      </c>
      <c r="K631" t="n">
        <v>0</v>
      </c>
      <c r="L631" t="n">
        <v>0</v>
      </c>
      <c r="M631" t="n">
        <v>0</v>
      </c>
      <c r="N631" t="n">
        <v>0</v>
      </c>
      <c r="O631" t="n">
        <v>0</v>
      </c>
      <c r="P631" t="n">
        <v>0</v>
      </c>
      <c r="Q631" t="n">
        <v>0</v>
      </c>
      <c r="R631" s="2" t="inlineStr"/>
    </row>
    <row r="632" ht="15" customHeight="1">
      <c r="A632" t="inlineStr">
        <is>
          <t>A 5924-2022</t>
        </is>
      </c>
      <c r="B632" s="1" t="n">
        <v>44598</v>
      </c>
      <c r="C632" s="1" t="n">
        <v>45640</v>
      </c>
      <c r="D632" t="inlineStr">
        <is>
          <t>UPPSALA LÄN</t>
        </is>
      </c>
      <c r="E632" t="inlineStr">
        <is>
          <t>UPPSALA</t>
        </is>
      </c>
      <c r="G632" t="n">
        <v>6.8</v>
      </c>
      <c r="H632" t="n">
        <v>0</v>
      </c>
      <c r="I632" t="n">
        <v>0</v>
      </c>
      <c r="J632" t="n">
        <v>0</v>
      </c>
      <c r="K632" t="n">
        <v>0</v>
      </c>
      <c r="L632" t="n">
        <v>0</v>
      </c>
      <c r="M632" t="n">
        <v>0</v>
      </c>
      <c r="N632" t="n">
        <v>0</v>
      </c>
      <c r="O632" t="n">
        <v>0</v>
      </c>
      <c r="P632" t="n">
        <v>0</v>
      </c>
      <c r="Q632" t="n">
        <v>0</v>
      </c>
      <c r="R632" s="2" t="inlineStr"/>
    </row>
    <row r="633" ht="15" customHeight="1">
      <c r="A633" t="inlineStr">
        <is>
          <t>A 5989-2022</t>
        </is>
      </c>
      <c r="B633" s="1" t="n">
        <v>44599</v>
      </c>
      <c r="C633" s="1" t="n">
        <v>45640</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6009-2022</t>
        </is>
      </c>
      <c r="B634" s="1" t="n">
        <v>44599</v>
      </c>
      <c r="C634" s="1" t="n">
        <v>45640</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5996-2022</t>
        </is>
      </c>
      <c r="B635" s="1" t="n">
        <v>44599</v>
      </c>
      <c r="C635" s="1" t="n">
        <v>45640</v>
      </c>
      <c r="D635" t="inlineStr">
        <is>
          <t>UPPSALA LÄN</t>
        </is>
      </c>
      <c r="E635" t="inlineStr">
        <is>
          <t>UPPSALA</t>
        </is>
      </c>
      <c r="G635" t="n">
        <v>0.6</v>
      </c>
      <c r="H635" t="n">
        <v>0</v>
      </c>
      <c r="I635" t="n">
        <v>0</v>
      </c>
      <c r="J635" t="n">
        <v>0</v>
      </c>
      <c r="K635" t="n">
        <v>0</v>
      </c>
      <c r="L635" t="n">
        <v>0</v>
      </c>
      <c r="M635" t="n">
        <v>0</v>
      </c>
      <c r="N635" t="n">
        <v>0</v>
      </c>
      <c r="O635" t="n">
        <v>0</v>
      </c>
      <c r="P635" t="n">
        <v>0</v>
      </c>
      <c r="Q635" t="n">
        <v>0</v>
      </c>
      <c r="R635" s="2" t="inlineStr"/>
    </row>
    <row r="636" ht="15" customHeight="1">
      <c r="A636" t="inlineStr">
        <is>
          <t>A 6339-2022</t>
        </is>
      </c>
      <c r="B636" s="1" t="n">
        <v>44600</v>
      </c>
      <c r="C636" s="1" t="n">
        <v>45640</v>
      </c>
      <c r="D636" t="inlineStr">
        <is>
          <t>UPPSALA LÄN</t>
        </is>
      </c>
      <c r="E636" t="inlineStr">
        <is>
          <t>UPPSALA</t>
        </is>
      </c>
      <c r="G636" t="n">
        <v>18.7</v>
      </c>
      <c r="H636" t="n">
        <v>0</v>
      </c>
      <c r="I636" t="n">
        <v>0</v>
      </c>
      <c r="J636" t="n">
        <v>0</v>
      </c>
      <c r="K636" t="n">
        <v>0</v>
      </c>
      <c r="L636" t="n">
        <v>0</v>
      </c>
      <c r="M636" t="n">
        <v>0</v>
      </c>
      <c r="N636" t="n">
        <v>0</v>
      </c>
      <c r="O636" t="n">
        <v>0</v>
      </c>
      <c r="P636" t="n">
        <v>0</v>
      </c>
      <c r="Q636" t="n">
        <v>0</v>
      </c>
      <c r="R636" s="2" t="inlineStr"/>
    </row>
    <row r="637" ht="15" customHeight="1">
      <c r="A637" t="inlineStr">
        <is>
          <t>A 6408-2022</t>
        </is>
      </c>
      <c r="B637" s="1" t="n">
        <v>44600</v>
      </c>
      <c r="C637" s="1" t="n">
        <v>45640</v>
      </c>
      <c r="D637" t="inlineStr">
        <is>
          <t>UPPSALA LÄN</t>
        </is>
      </c>
      <c r="E637" t="inlineStr">
        <is>
          <t>UPPSALA</t>
        </is>
      </c>
      <c r="F637" t="inlineStr">
        <is>
          <t>Bergvik skog öst AB</t>
        </is>
      </c>
      <c r="G637" t="n">
        <v>1.8</v>
      </c>
      <c r="H637" t="n">
        <v>0</v>
      </c>
      <c r="I637" t="n">
        <v>0</v>
      </c>
      <c r="J637" t="n">
        <v>0</v>
      </c>
      <c r="K637" t="n">
        <v>0</v>
      </c>
      <c r="L637" t="n">
        <v>0</v>
      </c>
      <c r="M637" t="n">
        <v>0</v>
      </c>
      <c r="N637" t="n">
        <v>0</v>
      </c>
      <c r="O637" t="n">
        <v>0</v>
      </c>
      <c r="P637" t="n">
        <v>0</v>
      </c>
      <c r="Q637" t="n">
        <v>0</v>
      </c>
      <c r="R637" s="2" t="inlineStr"/>
    </row>
    <row r="638" ht="15" customHeight="1">
      <c r="A638" t="inlineStr">
        <is>
          <t>A 6717-2022</t>
        </is>
      </c>
      <c r="B638" s="1" t="n">
        <v>44602</v>
      </c>
      <c r="C638" s="1" t="n">
        <v>45640</v>
      </c>
      <c r="D638" t="inlineStr">
        <is>
          <t>UPPSALA LÄN</t>
        </is>
      </c>
      <c r="E638" t="inlineStr">
        <is>
          <t>UPPSALA</t>
        </is>
      </c>
      <c r="F638" t="inlineStr">
        <is>
          <t>Övriga Aktiebolag</t>
        </is>
      </c>
      <c r="G638" t="n">
        <v>6.7</v>
      </c>
      <c r="H638" t="n">
        <v>0</v>
      </c>
      <c r="I638" t="n">
        <v>0</v>
      </c>
      <c r="J638" t="n">
        <v>0</v>
      </c>
      <c r="K638" t="n">
        <v>0</v>
      </c>
      <c r="L638" t="n">
        <v>0</v>
      </c>
      <c r="M638" t="n">
        <v>0</v>
      </c>
      <c r="N638" t="n">
        <v>0</v>
      </c>
      <c r="O638" t="n">
        <v>0</v>
      </c>
      <c r="P638" t="n">
        <v>0</v>
      </c>
      <c r="Q638" t="n">
        <v>0</v>
      </c>
      <c r="R638" s="2" t="inlineStr"/>
    </row>
    <row r="639" ht="15" customHeight="1">
      <c r="A639" t="inlineStr">
        <is>
          <t>A 6853-2022</t>
        </is>
      </c>
      <c r="B639" s="1" t="n">
        <v>44602</v>
      </c>
      <c r="C639" s="1" t="n">
        <v>45640</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6863-2022</t>
        </is>
      </c>
      <c r="B640" s="1" t="n">
        <v>44602</v>
      </c>
      <c r="C640" s="1" t="n">
        <v>45640</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6850-2022</t>
        </is>
      </c>
      <c r="B641" s="1" t="n">
        <v>44602</v>
      </c>
      <c r="C641" s="1" t="n">
        <v>45640</v>
      </c>
      <c r="D641" t="inlineStr">
        <is>
          <t>UPPSALA LÄN</t>
        </is>
      </c>
      <c r="E641" t="inlineStr">
        <is>
          <t>UPPSALA</t>
        </is>
      </c>
      <c r="G641" t="n">
        <v>3.7</v>
      </c>
      <c r="H641" t="n">
        <v>0</v>
      </c>
      <c r="I641" t="n">
        <v>0</v>
      </c>
      <c r="J641" t="n">
        <v>0</v>
      </c>
      <c r="K641" t="n">
        <v>0</v>
      </c>
      <c r="L641" t="n">
        <v>0</v>
      </c>
      <c r="M641" t="n">
        <v>0</v>
      </c>
      <c r="N641" t="n">
        <v>0</v>
      </c>
      <c r="O641" t="n">
        <v>0</v>
      </c>
      <c r="P641" t="n">
        <v>0</v>
      </c>
      <c r="Q641" t="n">
        <v>0</v>
      </c>
      <c r="R641" s="2" t="inlineStr"/>
    </row>
    <row r="642" ht="15" customHeight="1">
      <c r="A642" t="inlineStr">
        <is>
          <t>A 6851-2022</t>
        </is>
      </c>
      <c r="B642" s="1" t="n">
        <v>44602</v>
      </c>
      <c r="C642" s="1" t="n">
        <v>45640</v>
      </c>
      <c r="D642" t="inlineStr">
        <is>
          <t>UPPSALA LÄN</t>
        </is>
      </c>
      <c r="E642" t="inlineStr">
        <is>
          <t>UPPSALA</t>
        </is>
      </c>
      <c r="G642" t="n">
        <v>1.1</v>
      </c>
      <c r="H642" t="n">
        <v>0</v>
      </c>
      <c r="I642" t="n">
        <v>0</v>
      </c>
      <c r="J642" t="n">
        <v>0</v>
      </c>
      <c r="K642" t="n">
        <v>0</v>
      </c>
      <c r="L642" t="n">
        <v>0</v>
      </c>
      <c r="M642" t="n">
        <v>0</v>
      </c>
      <c r="N642" t="n">
        <v>0</v>
      </c>
      <c r="O642" t="n">
        <v>0</v>
      </c>
      <c r="P642" t="n">
        <v>0</v>
      </c>
      <c r="Q642" t="n">
        <v>0</v>
      </c>
      <c r="R642" s="2" t="inlineStr"/>
    </row>
    <row r="643" ht="15" customHeight="1">
      <c r="A643" t="inlineStr">
        <is>
          <t>A 6855-2022</t>
        </is>
      </c>
      <c r="B643" s="1" t="n">
        <v>44602</v>
      </c>
      <c r="C643" s="1" t="n">
        <v>45640</v>
      </c>
      <c r="D643" t="inlineStr">
        <is>
          <t>UPPSALA LÄN</t>
        </is>
      </c>
      <c r="E643" t="inlineStr">
        <is>
          <t>UPPSALA</t>
        </is>
      </c>
      <c r="G643" t="n">
        <v>4.6</v>
      </c>
      <c r="H643" t="n">
        <v>0</v>
      </c>
      <c r="I643" t="n">
        <v>0</v>
      </c>
      <c r="J643" t="n">
        <v>0</v>
      </c>
      <c r="K643" t="n">
        <v>0</v>
      </c>
      <c r="L643" t="n">
        <v>0</v>
      </c>
      <c r="M643" t="n">
        <v>0</v>
      </c>
      <c r="N643" t="n">
        <v>0</v>
      </c>
      <c r="O643" t="n">
        <v>0</v>
      </c>
      <c r="P643" t="n">
        <v>0</v>
      </c>
      <c r="Q643" t="n">
        <v>0</v>
      </c>
      <c r="R643" s="2" t="inlineStr"/>
    </row>
    <row r="644" ht="15" customHeight="1">
      <c r="A644" t="inlineStr">
        <is>
          <t>A 6860-2022</t>
        </is>
      </c>
      <c r="B644" s="1" t="n">
        <v>44602</v>
      </c>
      <c r="C644" s="1" t="n">
        <v>45640</v>
      </c>
      <c r="D644" t="inlineStr">
        <is>
          <t>UPPSALA LÄN</t>
        </is>
      </c>
      <c r="E644" t="inlineStr">
        <is>
          <t>UPPSALA</t>
        </is>
      </c>
      <c r="G644" t="n">
        <v>14.8</v>
      </c>
      <c r="H644" t="n">
        <v>0</v>
      </c>
      <c r="I644" t="n">
        <v>0</v>
      </c>
      <c r="J644" t="n">
        <v>0</v>
      </c>
      <c r="K644" t="n">
        <v>0</v>
      </c>
      <c r="L644" t="n">
        <v>0</v>
      </c>
      <c r="M644" t="n">
        <v>0</v>
      </c>
      <c r="N644" t="n">
        <v>0</v>
      </c>
      <c r="O644" t="n">
        <v>0</v>
      </c>
      <c r="P644" t="n">
        <v>0</v>
      </c>
      <c r="Q644" t="n">
        <v>0</v>
      </c>
      <c r="R644" s="2" t="inlineStr"/>
    </row>
    <row r="645" ht="15" customHeight="1">
      <c r="A645" t="inlineStr">
        <is>
          <t>A 6989-2022</t>
        </is>
      </c>
      <c r="B645" s="1" t="n">
        <v>44603</v>
      </c>
      <c r="C645" s="1" t="n">
        <v>45640</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7040-2022</t>
        </is>
      </c>
      <c r="B646" s="1" t="n">
        <v>44603</v>
      </c>
      <c r="C646" s="1" t="n">
        <v>45640</v>
      </c>
      <c r="D646" t="inlineStr">
        <is>
          <t>UPPSALA LÄN</t>
        </is>
      </c>
      <c r="E646" t="inlineStr">
        <is>
          <t>UPPSALA</t>
        </is>
      </c>
      <c r="G646" t="n">
        <v>3.9</v>
      </c>
      <c r="H646" t="n">
        <v>0</v>
      </c>
      <c r="I646" t="n">
        <v>0</v>
      </c>
      <c r="J646" t="n">
        <v>0</v>
      </c>
      <c r="K646" t="n">
        <v>0</v>
      </c>
      <c r="L646" t="n">
        <v>0</v>
      </c>
      <c r="M646" t="n">
        <v>0</v>
      </c>
      <c r="N646" t="n">
        <v>0</v>
      </c>
      <c r="O646" t="n">
        <v>0</v>
      </c>
      <c r="P646" t="n">
        <v>0</v>
      </c>
      <c r="Q646" t="n">
        <v>0</v>
      </c>
      <c r="R646" s="2" t="inlineStr"/>
    </row>
    <row r="647" ht="15" customHeight="1">
      <c r="A647" t="inlineStr">
        <is>
          <t>A 7124-2022</t>
        </is>
      </c>
      <c r="B647" s="1" t="n">
        <v>44603</v>
      </c>
      <c r="C647" s="1" t="n">
        <v>45640</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7409-2022</t>
        </is>
      </c>
      <c r="B648" s="1" t="n">
        <v>44606</v>
      </c>
      <c r="C648" s="1" t="n">
        <v>45640</v>
      </c>
      <c r="D648" t="inlineStr">
        <is>
          <t>UPPSALA LÄN</t>
        </is>
      </c>
      <c r="E648" t="inlineStr">
        <is>
          <t>UPPSALA</t>
        </is>
      </c>
      <c r="G648" t="n">
        <v>4.3</v>
      </c>
      <c r="H648" t="n">
        <v>0</v>
      </c>
      <c r="I648" t="n">
        <v>0</v>
      </c>
      <c r="J648" t="n">
        <v>0</v>
      </c>
      <c r="K648" t="n">
        <v>0</v>
      </c>
      <c r="L648" t="n">
        <v>0</v>
      </c>
      <c r="M648" t="n">
        <v>0</v>
      </c>
      <c r="N648" t="n">
        <v>0</v>
      </c>
      <c r="O648" t="n">
        <v>0</v>
      </c>
      <c r="P648" t="n">
        <v>0</v>
      </c>
      <c r="Q648" t="n">
        <v>0</v>
      </c>
      <c r="R648" s="2" t="inlineStr"/>
    </row>
    <row r="649" ht="15" customHeight="1">
      <c r="A649" t="inlineStr">
        <is>
          <t>A 7899-2022</t>
        </is>
      </c>
      <c r="B649" s="1" t="n">
        <v>44608</v>
      </c>
      <c r="C649" s="1" t="n">
        <v>45640</v>
      </c>
      <c r="D649" t="inlineStr">
        <is>
          <t>UPPSALA LÄN</t>
        </is>
      </c>
      <c r="E649" t="inlineStr">
        <is>
          <t>UPPSALA</t>
        </is>
      </c>
      <c r="F649" t="inlineStr">
        <is>
          <t>Övriga Aktiebolag</t>
        </is>
      </c>
      <c r="G649" t="n">
        <v>7.1</v>
      </c>
      <c r="H649" t="n">
        <v>0</v>
      </c>
      <c r="I649" t="n">
        <v>0</v>
      </c>
      <c r="J649" t="n">
        <v>0</v>
      </c>
      <c r="K649" t="n">
        <v>0</v>
      </c>
      <c r="L649" t="n">
        <v>0</v>
      </c>
      <c r="M649" t="n">
        <v>0</v>
      </c>
      <c r="N649" t="n">
        <v>0</v>
      </c>
      <c r="O649" t="n">
        <v>0</v>
      </c>
      <c r="P649" t="n">
        <v>0</v>
      </c>
      <c r="Q649" t="n">
        <v>0</v>
      </c>
      <c r="R649" s="2" t="inlineStr"/>
    </row>
    <row r="650" ht="15" customHeight="1">
      <c r="A650" t="inlineStr">
        <is>
          <t>A 8090-2022</t>
        </is>
      </c>
      <c r="B650" s="1" t="n">
        <v>44608</v>
      </c>
      <c r="C650" s="1" t="n">
        <v>45640</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45640</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8007-2022</t>
        </is>
      </c>
      <c r="B652" s="1" t="n">
        <v>44609</v>
      </c>
      <c r="C652" s="1" t="n">
        <v>45640</v>
      </c>
      <c r="D652" t="inlineStr">
        <is>
          <t>UPPSALA LÄN</t>
        </is>
      </c>
      <c r="E652" t="inlineStr">
        <is>
          <t>UPPSALA</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8132-2022</t>
        </is>
      </c>
      <c r="B653" s="1" t="n">
        <v>44609</v>
      </c>
      <c r="C653" s="1" t="n">
        <v>45640</v>
      </c>
      <c r="D653" t="inlineStr">
        <is>
          <t>UPPSALA LÄN</t>
        </is>
      </c>
      <c r="E653" t="inlineStr">
        <is>
          <t>UPPSALA</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8139-2022</t>
        </is>
      </c>
      <c r="B654" s="1" t="n">
        <v>44609</v>
      </c>
      <c r="C654" s="1" t="n">
        <v>45640</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8404-2022</t>
        </is>
      </c>
      <c r="B655" s="1" t="n">
        <v>44610</v>
      </c>
      <c r="C655" s="1" t="n">
        <v>45640</v>
      </c>
      <c r="D655" t="inlineStr">
        <is>
          <t>UPPSALA LÄN</t>
        </is>
      </c>
      <c r="E655" t="inlineStr">
        <is>
          <t>UPPSALA</t>
        </is>
      </c>
      <c r="F655" t="inlineStr">
        <is>
          <t>Allmännings- och besparingsskogar</t>
        </is>
      </c>
      <c r="G655" t="n">
        <v>5.4</v>
      </c>
      <c r="H655" t="n">
        <v>0</v>
      </c>
      <c r="I655" t="n">
        <v>0</v>
      </c>
      <c r="J655" t="n">
        <v>0</v>
      </c>
      <c r="K655" t="n">
        <v>0</v>
      </c>
      <c r="L655" t="n">
        <v>0</v>
      </c>
      <c r="M655" t="n">
        <v>0</v>
      </c>
      <c r="N655" t="n">
        <v>0</v>
      </c>
      <c r="O655" t="n">
        <v>0</v>
      </c>
      <c r="P655" t="n">
        <v>0</v>
      </c>
      <c r="Q655" t="n">
        <v>0</v>
      </c>
      <c r="R655" s="2" t="inlineStr"/>
    </row>
    <row r="656" ht="15" customHeight="1">
      <c r="A656" t="inlineStr">
        <is>
          <t>A 8475-2022</t>
        </is>
      </c>
      <c r="B656" s="1" t="n">
        <v>44610</v>
      </c>
      <c r="C656" s="1" t="n">
        <v>45640</v>
      </c>
      <c r="D656" t="inlineStr">
        <is>
          <t>UPPSALA LÄN</t>
        </is>
      </c>
      <c r="E656" t="inlineStr">
        <is>
          <t>UPPSALA</t>
        </is>
      </c>
      <c r="F656" t="inlineStr">
        <is>
          <t>Allmännings- och besparingsskogar</t>
        </is>
      </c>
      <c r="G656" t="n">
        <v>32.7</v>
      </c>
      <c r="H656" t="n">
        <v>0</v>
      </c>
      <c r="I656" t="n">
        <v>0</v>
      </c>
      <c r="J656" t="n">
        <v>0</v>
      </c>
      <c r="K656" t="n">
        <v>0</v>
      </c>
      <c r="L656" t="n">
        <v>0</v>
      </c>
      <c r="M656" t="n">
        <v>0</v>
      </c>
      <c r="N656" t="n">
        <v>0</v>
      </c>
      <c r="O656" t="n">
        <v>0</v>
      </c>
      <c r="P656" t="n">
        <v>0</v>
      </c>
      <c r="Q656" t="n">
        <v>0</v>
      </c>
      <c r="R656" s="2" t="inlineStr"/>
    </row>
    <row r="657" ht="15" customHeight="1">
      <c r="A657" t="inlineStr">
        <is>
          <t>A 8465-2022</t>
        </is>
      </c>
      <c r="B657" s="1" t="n">
        <v>44610</v>
      </c>
      <c r="C657" s="1" t="n">
        <v>45640</v>
      </c>
      <c r="D657" t="inlineStr">
        <is>
          <t>UPPSALA LÄN</t>
        </is>
      </c>
      <c r="E657" t="inlineStr">
        <is>
          <t>UPPSALA</t>
        </is>
      </c>
      <c r="F657" t="inlineStr">
        <is>
          <t>Allmännings- och besparingsskogar</t>
        </is>
      </c>
      <c r="G657" t="n">
        <v>1.1</v>
      </c>
      <c r="H657" t="n">
        <v>0</v>
      </c>
      <c r="I657" t="n">
        <v>0</v>
      </c>
      <c r="J657" t="n">
        <v>0</v>
      </c>
      <c r="K657" t="n">
        <v>0</v>
      </c>
      <c r="L657" t="n">
        <v>0</v>
      </c>
      <c r="M657" t="n">
        <v>0</v>
      </c>
      <c r="N657" t="n">
        <v>0</v>
      </c>
      <c r="O657" t="n">
        <v>0</v>
      </c>
      <c r="P657" t="n">
        <v>0</v>
      </c>
      <c r="Q657" t="n">
        <v>0</v>
      </c>
      <c r="R657" s="2" t="inlineStr"/>
    </row>
    <row r="658" ht="15" customHeight="1">
      <c r="A658" t="inlineStr">
        <is>
          <t>A 8451-2022</t>
        </is>
      </c>
      <c r="B658" s="1" t="n">
        <v>44612</v>
      </c>
      <c r="C658" s="1" t="n">
        <v>45640</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8877-2022</t>
        </is>
      </c>
      <c r="B659" s="1" t="n">
        <v>44614</v>
      </c>
      <c r="C659" s="1" t="n">
        <v>45640</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8933-2022</t>
        </is>
      </c>
      <c r="B660" s="1" t="n">
        <v>44614</v>
      </c>
      <c r="C660" s="1" t="n">
        <v>45640</v>
      </c>
      <c r="D660" t="inlineStr">
        <is>
          <t>UPPSALA LÄN</t>
        </is>
      </c>
      <c r="E660" t="inlineStr">
        <is>
          <t>UPPSALA</t>
        </is>
      </c>
      <c r="F660" t="inlineStr">
        <is>
          <t>Holmen skog AB</t>
        </is>
      </c>
      <c r="G660" t="n">
        <v>3.6</v>
      </c>
      <c r="H660" t="n">
        <v>0</v>
      </c>
      <c r="I660" t="n">
        <v>0</v>
      </c>
      <c r="J660" t="n">
        <v>0</v>
      </c>
      <c r="K660" t="n">
        <v>0</v>
      </c>
      <c r="L660" t="n">
        <v>0</v>
      </c>
      <c r="M660" t="n">
        <v>0</v>
      </c>
      <c r="N660" t="n">
        <v>0</v>
      </c>
      <c r="O660" t="n">
        <v>0</v>
      </c>
      <c r="P660" t="n">
        <v>0</v>
      </c>
      <c r="Q660" t="n">
        <v>0</v>
      </c>
      <c r="R660" s="2" t="inlineStr"/>
    </row>
    <row r="661" ht="15" customHeight="1">
      <c r="A661" t="inlineStr">
        <is>
          <t>A 9206-2022</t>
        </is>
      </c>
      <c r="B661" s="1" t="n">
        <v>44616</v>
      </c>
      <c r="C661" s="1" t="n">
        <v>45640</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9242-2022</t>
        </is>
      </c>
      <c r="B662" s="1" t="n">
        <v>44616</v>
      </c>
      <c r="C662" s="1" t="n">
        <v>45640</v>
      </c>
      <c r="D662" t="inlineStr">
        <is>
          <t>UPPSALA LÄN</t>
        </is>
      </c>
      <c r="E662" t="inlineStr">
        <is>
          <t>UPPSALA</t>
        </is>
      </c>
      <c r="F662" t="inlineStr">
        <is>
          <t>Övriga Aktiebolag</t>
        </is>
      </c>
      <c r="G662" t="n">
        <v>5.9</v>
      </c>
      <c r="H662" t="n">
        <v>0</v>
      </c>
      <c r="I662" t="n">
        <v>0</v>
      </c>
      <c r="J662" t="n">
        <v>0</v>
      </c>
      <c r="K662" t="n">
        <v>0</v>
      </c>
      <c r="L662" t="n">
        <v>0</v>
      </c>
      <c r="M662" t="n">
        <v>0</v>
      </c>
      <c r="N662" t="n">
        <v>0</v>
      </c>
      <c r="O662" t="n">
        <v>0</v>
      </c>
      <c r="P662" t="n">
        <v>0</v>
      </c>
      <c r="Q662" t="n">
        <v>0</v>
      </c>
      <c r="R662" s="2" t="inlineStr"/>
    </row>
    <row r="663" ht="15" customHeight="1">
      <c r="A663" t="inlineStr">
        <is>
          <t>A 9592-2022</t>
        </is>
      </c>
      <c r="B663" s="1" t="n">
        <v>44617</v>
      </c>
      <c r="C663" s="1" t="n">
        <v>45640</v>
      </c>
      <c r="D663" t="inlineStr">
        <is>
          <t>UPPSALA LÄN</t>
        </is>
      </c>
      <c r="E663" t="inlineStr">
        <is>
          <t>UPPSALA</t>
        </is>
      </c>
      <c r="G663" t="n">
        <v>7.5</v>
      </c>
      <c r="H663" t="n">
        <v>0</v>
      </c>
      <c r="I663" t="n">
        <v>0</v>
      </c>
      <c r="J663" t="n">
        <v>0</v>
      </c>
      <c r="K663" t="n">
        <v>0</v>
      </c>
      <c r="L663" t="n">
        <v>0</v>
      </c>
      <c r="M663" t="n">
        <v>0</v>
      </c>
      <c r="N663" t="n">
        <v>0</v>
      </c>
      <c r="O663" t="n">
        <v>0</v>
      </c>
      <c r="P663" t="n">
        <v>0</v>
      </c>
      <c r="Q663" t="n">
        <v>0</v>
      </c>
      <c r="R663" s="2" t="inlineStr"/>
    </row>
    <row r="664" ht="15" customHeight="1">
      <c r="A664" t="inlineStr">
        <is>
          <t>A 10411-2022</t>
        </is>
      </c>
      <c r="B664" s="1" t="n">
        <v>44623</v>
      </c>
      <c r="C664" s="1" t="n">
        <v>45640</v>
      </c>
      <c r="D664" t="inlineStr">
        <is>
          <t>UPPSALA LÄN</t>
        </is>
      </c>
      <c r="E664" t="inlineStr">
        <is>
          <t>UPPSALA</t>
        </is>
      </c>
      <c r="F664" t="inlineStr">
        <is>
          <t>Övriga Aktiebolag</t>
        </is>
      </c>
      <c r="G664" t="n">
        <v>4.2</v>
      </c>
      <c r="H664" t="n">
        <v>0</v>
      </c>
      <c r="I664" t="n">
        <v>0</v>
      </c>
      <c r="J664" t="n">
        <v>0</v>
      </c>
      <c r="K664" t="n">
        <v>0</v>
      </c>
      <c r="L664" t="n">
        <v>0</v>
      </c>
      <c r="M664" t="n">
        <v>0</v>
      </c>
      <c r="N664" t="n">
        <v>0</v>
      </c>
      <c r="O664" t="n">
        <v>0</v>
      </c>
      <c r="P664" t="n">
        <v>0</v>
      </c>
      <c r="Q664" t="n">
        <v>0</v>
      </c>
      <c r="R664" s="2" t="inlineStr"/>
    </row>
    <row r="665" ht="15" customHeight="1">
      <c r="A665" t="inlineStr">
        <is>
          <t>A 10383-2022</t>
        </is>
      </c>
      <c r="B665" s="1" t="n">
        <v>44623</v>
      </c>
      <c r="C665" s="1" t="n">
        <v>45640</v>
      </c>
      <c r="D665" t="inlineStr">
        <is>
          <t>UPPSALA LÄN</t>
        </is>
      </c>
      <c r="E665" t="inlineStr">
        <is>
          <t>UPPSALA</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10456-2022</t>
        </is>
      </c>
      <c r="B666" s="1" t="n">
        <v>44623</v>
      </c>
      <c r="C666" s="1" t="n">
        <v>45640</v>
      </c>
      <c r="D666" t="inlineStr">
        <is>
          <t>UPPSALA LÄN</t>
        </is>
      </c>
      <c r="E666" t="inlineStr">
        <is>
          <t>UPPSALA</t>
        </is>
      </c>
      <c r="F666" t="inlineStr">
        <is>
          <t>Övriga Aktiebolag</t>
        </is>
      </c>
      <c r="G666" t="n">
        <v>12.6</v>
      </c>
      <c r="H666" t="n">
        <v>0</v>
      </c>
      <c r="I666" t="n">
        <v>0</v>
      </c>
      <c r="J666" t="n">
        <v>0</v>
      </c>
      <c r="K666" t="n">
        <v>0</v>
      </c>
      <c r="L666" t="n">
        <v>0</v>
      </c>
      <c r="M666" t="n">
        <v>0</v>
      </c>
      <c r="N666" t="n">
        <v>0</v>
      </c>
      <c r="O666" t="n">
        <v>0</v>
      </c>
      <c r="P666" t="n">
        <v>0</v>
      </c>
      <c r="Q666" t="n">
        <v>0</v>
      </c>
      <c r="R666" s="2" t="inlineStr"/>
    </row>
    <row r="667" ht="15" customHeight="1">
      <c r="A667" t="inlineStr">
        <is>
          <t>A 10464-2022</t>
        </is>
      </c>
      <c r="B667" s="1" t="n">
        <v>44623</v>
      </c>
      <c r="C667" s="1" t="n">
        <v>45640</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10565-2022</t>
        </is>
      </c>
      <c r="B668" s="1" t="n">
        <v>44624</v>
      </c>
      <c r="C668" s="1" t="n">
        <v>45640</v>
      </c>
      <c r="D668" t="inlineStr">
        <is>
          <t>UPPSALA LÄN</t>
        </is>
      </c>
      <c r="E668" t="inlineStr">
        <is>
          <t>UPPSALA</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10674-2022</t>
        </is>
      </c>
      <c r="B669" s="1" t="n">
        <v>44624</v>
      </c>
      <c r="C669" s="1" t="n">
        <v>45640</v>
      </c>
      <c r="D669" t="inlineStr">
        <is>
          <t>UPPSALA LÄN</t>
        </is>
      </c>
      <c r="E669" t="inlineStr">
        <is>
          <t>UPPSALA</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11162-2022</t>
        </is>
      </c>
      <c r="B670" s="1" t="n">
        <v>44629</v>
      </c>
      <c r="C670" s="1" t="n">
        <v>45640</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11224-2022</t>
        </is>
      </c>
      <c r="B671" s="1" t="n">
        <v>44629</v>
      </c>
      <c r="C671" s="1" t="n">
        <v>45640</v>
      </c>
      <c r="D671" t="inlineStr">
        <is>
          <t>UPPSALA LÄN</t>
        </is>
      </c>
      <c r="E671" t="inlineStr">
        <is>
          <t>UPPSALA</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11787-2022</t>
        </is>
      </c>
      <c r="B672" s="1" t="n">
        <v>44634</v>
      </c>
      <c r="C672" s="1" t="n">
        <v>45640</v>
      </c>
      <c r="D672" t="inlineStr">
        <is>
          <t>UPPSALA LÄN</t>
        </is>
      </c>
      <c r="E672" t="inlineStr">
        <is>
          <t>UPPSALA</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11693-2022</t>
        </is>
      </c>
      <c r="B673" s="1" t="n">
        <v>44634</v>
      </c>
      <c r="C673" s="1" t="n">
        <v>45640</v>
      </c>
      <c r="D673" t="inlineStr">
        <is>
          <t>UPPSALA LÄN</t>
        </is>
      </c>
      <c r="E673" t="inlineStr">
        <is>
          <t>UPPSALA</t>
        </is>
      </c>
      <c r="G673" t="n">
        <v>4</v>
      </c>
      <c r="H673" t="n">
        <v>0</v>
      </c>
      <c r="I673" t="n">
        <v>0</v>
      </c>
      <c r="J673" t="n">
        <v>0</v>
      </c>
      <c r="K673" t="n">
        <v>0</v>
      </c>
      <c r="L673" t="n">
        <v>0</v>
      </c>
      <c r="M673" t="n">
        <v>0</v>
      </c>
      <c r="N673" t="n">
        <v>0</v>
      </c>
      <c r="O673" t="n">
        <v>0</v>
      </c>
      <c r="P673" t="n">
        <v>0</v>
      </c>
      <c r="Q673" t="n">
        <v>0</v>
      </c>
      <c r="R673" s="2" t="inlineStr"/>
    </row>
    <row r="674" ht="15" customHeight="1">
      <c r="A674" t="inlineStr">
        <is>
          <t>A 12221-2022</t>
        </is>
      </c>
      <c r="B674" s="1" t="n">
        <v>44637</v>
      </c>
      <c r="C674" s="1" t="n">
        <v>45640</v>
      </c>
      <c r="D674" t="inlineStr">
        <is>
          <t>UPPSALA LÄN</t>
        </is>
      </c>
      <c r="E674" t="inlineStr">
        <is>
          <t>UPPSALA</t>
        </is>
      </c>
      <c r="G674" t="n">
        <v>1.4</v>
      </c>
      <c r="H674" t="n">
        <v>0</v>
      </c>
      <c r="I674" t="n">
        <v>0</v>
      </c>
      <c r="J674" t="n">
        <v>0</v>
      </c>
      <c r="K674" t="n">
        <v>0</v>
      </c>
      <c r="L674" t="n">
        <v>0</v>
      </c>
      <c r="M674" t="n">
        <v>0</v>
      </c>
      <c r="N674" t="n">
        <v>0</v>
      </c>
      <c r="O674" t="n">
        <v>0</v>
      </c>
      <c r="P674" t="n">
        <v>0</v>
      </c>
      <c r="Q674" t="n">
        <v>0</v>
      </c>
      <c r="R674" s="2" t="inlineStr"/>
    </row>
    <row r="675" ht="15" customHeight="1">
      <c r="A675" t="inlineStr">
        <is>
          <t>A 12293-2022</t>
        </is>
      </c>
      <c r="B675" s="1" t="n">
        <v>44637</v>
      </c>
      <c r="C675" s="1" t="n">
        <v>45640</v>
      </c>
      <c r="D675" t="inlineStr">
        <is>
          <t>UPPSALA LÄN</t>
        </is>
      </c>
      <c r="E675" t="inlineStr">
        <is>
          <t>UPPSALA</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13009-2022</t>
        </is>
      </c>
      <c r="B676" s="1" t="n">
        <v>44643</v>
      </c>
      <c r="C676" s="1" t="n">
        <v>45640</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13134-2022</t>
        </is>
      </c>
      <c r="B677" s="1" t="n">
        <v>44644</v>
      </c>
      <c r="C677" s="1" t="n">
        <v>45640</v>
      </c>
      <c r="D677" t="inlineStr">
        <is>
          <t>UPPSALA LÄN</t>
        </is>
      </c>
      <c r="E677" t="inlineStr">
        <is>
          <t>UPPSALA</t>
        </is>
      </c>
      <c r="F677" t="inlineStr">
        <is>
          <t>Övriga Aktiebolag</t>
        </is>
      </c>
      <c r="G677" t="n">
        <v>3.2</v>
      </c>
      <c r="H677" t="n">
        <v>0</v>
      </c>
      <c r="I677" t="n">
        <v>0</v>
      </c>
      <c r="J677" t="n">
        <v>0</v>
      </c>
      <c r="K677" t="n">
        <v>0</v>
      </c>
      <c r="L677" t="n">
        <v>0</v>
      </c>
      <c r="M677" t="n">
        <v>0</v>
      </c>
      <c r="N677" t="n">
        <v>0</v>
      </c>
      <c r="O677" t="n">
        <v>0</v>
      </c>
      <c r="P677" t="n">
        <v>0</v>
      </c>
      <c r="Q677" t="n">
        <v>0</v>
      </c>
      <c r="R677" s="2" t="inlineStr"/>
    </row>
    <row r="678" ht="15" customHeight="1">
      <c r="A678" t="inlineStr">
        <is>
          <t>A 13128-2022</t>
        </is>
      </c>
      <c r="B678" s="1" t="n">
        <v>44644</v>
      </c>
      <c r="C678" s="1" t="n">
        <v>45640</v>
      </c>
      <c r="D678" t="inlineStr">
        <is>
          <t>UPPSALA LÄN</t>
        </is>
      </c>
      <c r="E678" t="inlineStr">
        <is>
          <t>UPPSALA</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13386-2022</t>
        </is>
      </c>
      <c r="B679" s="1" t="n">
        <v>44645</v>
      </c>
      <c r="C679" s="1" t="n">
        <v>45640</v>
      </c>
      <c r="D679" t="inlineStr">
        <is>
          <t>UPPSALA LÄN</t>
        </is>
      </c>
      <c r="E679" t="inlineStr">
        <is>
          <t>UPPSALA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13343-2022</t>
        </is>
      </c>
      <c r="B680" s="1" t="n">
        <v>44645</v>
      </c>
      <c r="C680" s="1" t="n">
        <v>45640</v>
      </c>
      <c r="D680" t="inlineStr">
        <is>
          <t>UPPSALA LÄN</t>
        </is>
      </c>
      <c r="E680" t="inlineStr">
        <is>
          <t>UPPSALA</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13892-2022</t>
        </is>
      </c>
      <c r="B681" s="1" t="n">
        <v>44649</v>
      </c>
      <c r="C681" s="1" t="n">
        <v>45640</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13901-2022</t>
        </is>
      </c>
      <c r="B682" s="1" t="n">
        <v>44649</v>
      </c>
      <c r="C682" s="1" t="n">
        <v>45640</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14337-2022</t>
        </is>
      </c>
      <c r="B683" s="1" t="n">
        <v>44652</v>
      </c>
      <c r="C683" s="1" t="n">
        <v>45640</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14355-2022</t>
        </is>
      </c>
      <c r="B684" s="1" t="n">
        <v>44652</v>
      </c>
      <c r="C684" s="1" t="n">
        <v>45640</v>
      </c>
      <c r="D684" t="inlineStr">
        <is>
          <t>UPPSALA LÄN</t>
        </is>
      </c>
      <c r="E684" t="inlineStr">
        <is>
          <t>UPPSALA</t>
        </is>
      </c>
      <c r="F684" t="inlineStr">
        <is>
          <t>Bergvik skog öst AB</t>
        </is>
      </c>
      <c r="G684" t="n">
        <v>7.8</v>
      </c>
      <c r="H684" t="n">
        <v>0</v>
      </c>
      <c r="I684" t="n">
        <v>0</v>
      </c>
      <c r="J684" t="n">
        <v>0</v>
      </c>
      <c r="K684" t="n">
        <v>0</v>
      </c>
      <c r="L684" t="n">
        <v>0</v>
      </c>
      <c r="M684" t="n">
        <v>0</v>
      </c>
      <c r="N684" t="n">
        <v>0</v>
      </c>
      <c r="O684" t="n">
        <v>0</v>
      </c>
      <c r="P684" t="n">
        <v>0</v>
      </c>
      <c r="Q684" t="n">
        <v>0</v>
      </c>
      <c r="R684" s="2" t="inlineStr"/>
    </row>
    <row r="685" ht="15" customHeight="1">
      <c r="A685" t="inlineStr">
        <is>
          <t>A 14340-2022</t>
        </is>
      </c>
      <c r="B685" s="1" t="n">
        <v>44652</v>
      </c>
      <c r="C685" s="1" t="n">
        <v>45640</v>
      </c>
      <c r="D685" t="inlineStr">
        <is>
          <t>UPPSALA LÄN</t>
        </is>
      </c>
      <c r="E685" t="inlineStr">
        <is>
          <t>UPPSALA</t>
        </is>
      </c>
      <c r="F685" t="inlineStr">
        <is>
          <t>Bergvik skog öst AB</t>
        </is>
      </c>
      <c r="G685" t="n">
        <v>4</v>
      </c>
      <c r="H685" t="n">
        <v>0</v>
      </c>
      <c r="I685" t="n">
        <v>0</v>
      </c>
      <c r="J685" t="n">
        <v>0</v>
      </c>
      <c r="K685" t="n">
        <v>0</v>
      </c>
      <c r="L685" t="n">
        <v>0</v>
      </c>
      <c r="M685" t="n">
        <v>0</v>
      </c>
      <c r="N685" t="n">
        <v>0</v>
      </c>
      <c r="O685" t="n">
        <v>0</v>
      </c>
      <c r="P685" t="n">
        <v>0</v>
      </c>
      <c r="Q685" t="n">
        <v>0</v>
      </c>
      <c r="R685" s="2" t="inlineStr"/>
    </row>
    <row r="686" ht="15" customHeight="1">
      <c r="A686" t="inlineStr">
        <is>
          <t>A 14622-2022</t>
        </is>
      </c>
      <c r="B686" s="1" t="n">
        <v>44655</v>
      </c>
      <c r="C686" s="1" t="n">
        <v>45640</v>
      </c>
      <c r="D686" t="inlineStr">
        <is>
          <t>UPPSALA LÄN</t>
        </is>
      </c>
      <c r="E686" t="inlineStr">
        <is>
          <t>UPPSALA</t>
        </is>
      </c>
      <c r="F686" t="inlineStr">
        <is>
          <t>Övriga Aktiebolag</t>
        </is>
      </c>
      <c r="G686" t="n">
        <v>2.7</v>
      </c>
      <c r="H686" t="n">
        <v>0</v>
      </c>
      <c r="I686" t="n">
        <v>0</v>
      </c>
      <c r="J686" t="n">
        <v>0</v>
      </c>
      <c r="K686" t="n">
        <v>0</v>
      </c>
      <c r="L686" t="n">
        <v>0</v>
      </c>
      <c r="M686" t="n">
        <v>0</v>
      </c>
      <c r="N686" t="n">
        <v>0</v>
      </c>
      <c r="O686" t="n">
        <v>0</v>
      </c>
      <c r="P686" t="n">
        <v>0</v>
      </c>
      <c r="Q686" t="n">
        <v>0</v>
      </c>
      <c r="R686" s="2" t="inlineStr"/>
    </row>
    <row r="687" ht="15" customHeight="1">
      <c r="A687" t="inlineStr">
        <is>
          <t>A 15436-2022</t>
        </is>
      </c>
      <c r="B687" s="1" t="n">
        <v>44659</v>
      </c>
      <c r="C687" s="1" t="n">
        <v>45640</v>
      </c>
      <c r="D687" t="inlineStr">
        <is>
          <t>UPPSALA LÄN</t>
        </is>
      </c>
      <c r="E687" t="inlineStr">
        <is>
          <t>UPPSALA</t>
        </is>
      </c>
      <c r="G687" t="n">
        <v>14.4</v>
      </c>
      <c r="H687" t="n">
        <v>0</v>
      </c>
      <c r="I687" t="n">
        <v>0</v>
      </c>
      <c r="J687" t="n">
        <v>0</v>
      </c>
      <c r="K687" t="n">
        <v>0</v>
      </c>
      <c r="L687" t="n">
        <v>0</v>
      </c>
      <c r="M687" t="n">
        <v>0</v>
      </c>
      <c r="N687" t="n">
        <v>0</v>
      </c>
      <c r="O687" t="n">
        <v>0</v>
      </c>
      <c r="P687" t="n">
        <v>0</v>
      </c>
      <c r="Q687" t="n">
        <v>0</v>
      </c>
      <c r="R687" s="2" t="inlineStr"/>
    </row>
    <row r="688" ht="15" customHeight="1">
      <c r="A688" t="inlineStr">
        <is>
          <t>A 15377-2022</t>
        </is>
      </c>
      <c r="B688" s="1" t="n">
        <v>44659</v>
      </c>
      <c r="C688" s="1" t="n">
        <v>45640</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15310-2022</t>
        </is>
      </c>
      <c r="B689" s="1" t="n">
        <v>44659</v>
      </c>
      <c r="C689" s="1" t="n">
        <v>45640</v>
      </c>
      <c r="D689" t="inlineStr">
        <is>
          <t>UPPSALA LÄN</t>
        </is>
      </c>
      <c r="E689" t="inlineStr">
        <is>
          <t>UPPSALA</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15297-2022</t>
        </is>
      </c>
      <c r="B690" s="1" t="n">
        <v>44659</v>
      </c>
      <c r="C690" s="1" t="n">
        <v>45640</v>
      </c>
      <c r="D690" t="inlineStr">
        <is>
          <t>UPPSALA LÄN</t>
        </is>
      </c>
      <c r="E690" t="inlineStr">
        <is>
          <t>UPPSALA</t>
        </is>
      </c>
      <c r="F690" t="inlineStr">
        <is>
          <t>Övriga Aktiebolag</t>
        </is>
      </c>
      <c r="G690" t="n">
        <v>6.6</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45640</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45640</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45640</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45640</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45640</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45640</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45640</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45640</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45640</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45640</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45640</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45640</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45640</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45640</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45640</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45640</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45640</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45640</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45640</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45640</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45640</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45640</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45640</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45640</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45640</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45640</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45640</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45640</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45640</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45640</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45640</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45640</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45640</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45640</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45640</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45640</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45640</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45640</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45640</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45640</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45640</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45640</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45640</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45640</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45640</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45640</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45640</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45640</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45640</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45640</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45640</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45640</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45640</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45640</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45640</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45640</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45640</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45640</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45640</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45640</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45640</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45640</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45640</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45640</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45640</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45640</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45640</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45640</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45640</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45640</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45640</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45640</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45640</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45640</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45640</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45640</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45640</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45640</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45640</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45640</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45640</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45640</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45640</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45640</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45640</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45640</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45640</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45640</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45640</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45640</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45640</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45640</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45640</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45640</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45640</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45640</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45640</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45640</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45640</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45640</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45640</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45640</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45640</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45640</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45640</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45640</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45640</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45640</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45640</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45640</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45640</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45640</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45640</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45640</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45640</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45640</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45640</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45640</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45640</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45640</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45640</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45640</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45640</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45640</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45640</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45640</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45640</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45640</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45640</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45640</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45640</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45640</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45640</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45640</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45640</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45640</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45640</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45640</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45640</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45640</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45640</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45640</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45640</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45640</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45640</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45640</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45640</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45640</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45640</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45640</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45640</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45640</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45640</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45640</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45640</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45640</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45640</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45640</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45640</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45640</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45640</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45640</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45640</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45640</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45640</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45640</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45640</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45640</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45640</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45640</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45640</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45640</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45640</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45640</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45640</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45640</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45640</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45640</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45640</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45640</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45640</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45640</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45640</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45640</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45640</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45640</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45640</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45640</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45640</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45640</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45640</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45640</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45640</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45640</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45640</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45640</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45640</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45640</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45640</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45640</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45640</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45640</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45640</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45640</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45640</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45640</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45640</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45640</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45640</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45640</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45640</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45640</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45640</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45640</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45640</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45640</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45640</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45640</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45640</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45640</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45640</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45640</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45640</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45640</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45640</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45640</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45640</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45640</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45640</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45640</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45640</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45640</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45640</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45640</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45640</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45640</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45640</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45640</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45640</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45640</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45640</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45640</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45640</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45640</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45640</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45640</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45640</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45640</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45640</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45640</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45640</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45640</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45640</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45640</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45640</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45640</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45640</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45640</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45640</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45640</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45640</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45640</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45640</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45640</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45640</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45640</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45640</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45640</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45640</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45640</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45640</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45640</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45640</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45640</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45640</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45640</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45640</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45640</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45640</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45640</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45640</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45640</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45640</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45640</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45640</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45640</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45640</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45640</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45640</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45640</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45640</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45640</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45640</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45640</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45640</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45640</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45640</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45640</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45640</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45640</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45640</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45640</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45640</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45640</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45640</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45640</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45640</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45640</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45640</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45640</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45640</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45640</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45640</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45640</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45640</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45640</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45640</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45640</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45640</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45640</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45640</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45640</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45640</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45640</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45640</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45640</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45640</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45640</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45640</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45640</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45640</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45640</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45640</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45640</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45640</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45640</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45640</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45640</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45640</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45640</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45640</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45640</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45640</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45640</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45640</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45640</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45640</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45640</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45640</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45640</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45640</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45640</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45640</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45640</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45640</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45640</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45640</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45640</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45640</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45640</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45640</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45640</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45640</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45640</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45640</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45640</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45640</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45640</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45640</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45640</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45640</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45640</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45640</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45640</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45640</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45640</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45640</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45640</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45640</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45640</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45640</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45640</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45640</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45640</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45640</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45640</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45640</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45640</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45640</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45640</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45640</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45640</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45640</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45640</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45640</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45640</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45640</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45640</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45640</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45640</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45640</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45640</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45640</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45640</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45640</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45640</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45640</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45640</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45640</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45640</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45640</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45640</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45640</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45640</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45640</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45640</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45640</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45640</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45640</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45640</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45640</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45640</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45640</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45640</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45640</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45640</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45640</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45640</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45640</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45640</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45640</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45640</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45640</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45640</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45640</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45640</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45640</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45640</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45640</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45640</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45640</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45640</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45640</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45640</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45640</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45640</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45640</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45640</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45640</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45640</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45640</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45640</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45640</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45640</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45640</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45640</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45640</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45640</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45640</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45640</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45640</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45640</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45640</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45640</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45640</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45640</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45640</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45640</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45640</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45640</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45640</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45640</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45640</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45640</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45640</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45640</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45640</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45640</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45640</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45640</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45640</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45640</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45640</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45640</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45640</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45640</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45640</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45640</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45640</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45640</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45640</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45640</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45640</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45640</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45640</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45640</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45640</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45640</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45640</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45640</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45640</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45640</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45640</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45640</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45640</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45640</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45640</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45640</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45640</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45640</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45640</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45640</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45640</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45640</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45640</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45640</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45640</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45640</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45640</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45640</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45640</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45640</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45640</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45640</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45640</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45640</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45640</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45640</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45640</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45640</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45640</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45640</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45640</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45640</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45640</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45640</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45640</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45640</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45640</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45640</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45640</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45640</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45640</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45640</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45640</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45640</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45640</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45640</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45640</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45640</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45640</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45640</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45640</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45640</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45640</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45640</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45640</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45640</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45640</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45640</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45640</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45640</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45640</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45640</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45640</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45640</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45640</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45640</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45640</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45640</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45640</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45640</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45640</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45640</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45640</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45640</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45640</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45640</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45640</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45640</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45640</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45640</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45640</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45640</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45640</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45640</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45640</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45640</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45640</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45640</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45640</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45640</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45640</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45640</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45640</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45640</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45640</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45640</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45640</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45640</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45640</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45640</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45640</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45640</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45640</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45640</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45640</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45640</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45640</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45640</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45640</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45640</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45640</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45640</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45640</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45640</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45640</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45640</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45640</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45640</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45640</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45640</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45640</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45640</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45640</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45640</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45640</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45640</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45640</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45640</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45640</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45640</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45640</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45640</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45640</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45640</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45640</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45640</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45640</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45640</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45640</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45640</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45640</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45640</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45640</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45640</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45640</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45640</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45640</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45640</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45640</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45640</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45640</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45640</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45640</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45640</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45640</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45640</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45640</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45640</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45640</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45640</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45640</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45640</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45640</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45640</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45640</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45640</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45640</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45640</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45640</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45640</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45640</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45640</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45640</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45640</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45640</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45640</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45640</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45640</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45640</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45640</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45640</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45640</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45640</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45640</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45640</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45640</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45640</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45640</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45640</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45640</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45640</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45640</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45640</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45640</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45640</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45640</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45640</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45640</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45640</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45640</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45640</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45640</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45640</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45640</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45640</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45640</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45640</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45640</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45640</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45640</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45640</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45640</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45640</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45640</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45640</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45640</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45640</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45640</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45640</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45640</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45640</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45640</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45640</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45640</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45640</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45640</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45640</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45640</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45640</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45640</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45640</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45640</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45640</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45640</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45640</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45640</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45640</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45640</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45640</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45640</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45640</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45640</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45640</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45640</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45640</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45640</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45640</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45640</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45640</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45640</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45640</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45640</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45640</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45640</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45640</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45640</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45640</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45640</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45640</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45640</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45640</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45640</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45640</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45640</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45640</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45640</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45640</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45640</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45640</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45640</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45640</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45640</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45640</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45640</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45640</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45640</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45640</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45640</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45640</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45640</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45640</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45640</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45640</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45640</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45640</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45640</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45640</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45640</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45640</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45640</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45640</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45640</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45640</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45640</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45640</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45640</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45640</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45640</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45640</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45640</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45640</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45640</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45640</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45640</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45640</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45640</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45640</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45640</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45640</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45640</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45640</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45640</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45640</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45640</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45640</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45640</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45640</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45640</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45640</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45640</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45640</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45640</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45640</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45640</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45640</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45640</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45640</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45640</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45640</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45640</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45640</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45640</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45640</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45640</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45640</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45640</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45640</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45640</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45640</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45640</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45640</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45640</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45640</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45640</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45640</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45640</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45640</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45640</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45640</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45640</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45640</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45640</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45640</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45640</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45640</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45640</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45640</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45640</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45640</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45640</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45640</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45640</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45640</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45640</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45640</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45640</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45640</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45640</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45640</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45640</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45640</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45640</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45640</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45640</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45640</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45640</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45640</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45640</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45640</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45640</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45640</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45640</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45640</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45640</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45640</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45640</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45640</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45640</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45640</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45640</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45640</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45640</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45640</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45640</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45640</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45640</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45640</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45640</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45640</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45640</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45640</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45640</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45640</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45640</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45640</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53058-2024</t>
        </is>
      </c>
      <c r="B1600" s="1" t="n">
        <v>45611</v>
      </c>
      <c r="C1600" s="1" t="n">
        <v>45640</v>
      </c>
      <c r="D1600" t="inlineStr">
        <is>
          <t>UPPSALA LÄN</t>
        </is>
      </c>
      <c r="E1600" t="inlineStr">
        <is>
          <t>UPPSALA</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45640</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45640</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45640</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45640</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53569-2024</t>
        </is>
      </c>
      <c r="B1605" s="1" t="n">
        <v>45614</v>
      </c>
      <c r="C1605" s="1" t="n">
        <v>45640</v>
      </c>
      <c r="D1605" t="inlineStr">
        <is>
          <t>UPPSALA LÄN</t>
        </is>
      </c>
      <c r="E1605" t="inlineStr">
        <is>
          <t>UPPSALA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45640</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53384-2024</t>
        </is>
      </c>
      <c r="B1607" s="1" t="n">
        <v>45614</v>
      </c>
      <c r="C1607" s="1" t="n">
        <v>45640</v>
      </c>
      <c r="D1607" t="inlineStr">
        <is>
          <t>UPPSALA LÄN</t>
        </is>
      </c>
      <c r="E1607" t="inlineStr">
        <is>
          <t>UPPSALA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53588-2024</t>
        </is>
      </c>
      <c r="B1608" s="1" t="n">
        <v>45614</v>
      </c>
      <c r="C1608" s="1" t="n">
        <v>45640</v>
      </c>
      <c r="D1608" t="inlineStr">
        <is>
          <t>UPPSALA LÄN</t>
        </is>
      </c>
      <c r="E1608" t="inlineStr">
        <is>
          <t>UPPSALA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45640</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45640</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45640</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45640</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45640</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45640</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45640</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45640</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45640</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45640</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45640</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45640</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45640</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45640</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59158-2024</t>
        </is>
      </c>
      <c r="B1623" s="1" t="n">
        <v>45637</v>
      </c>
      <c r="C1623" s="1" t="n">
        <v>45640</v>
      </c>
      <c r="D1623" t="inlineStr">
        <is>
          <t>UPPSALA LÄN</t>
        </is>
      </c>
      <c r="E1623" t="inlineStr">
        <is>
          <t>UPPSALA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45640</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45640</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59358-2024</t>
        </is>
      </c>
      <c r="B1626" s="1" t="n">
        <v>45638</v>
      </c>
      <c r="C1626" s="1" t="n">
        <v>45640</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59562-2024</t>
        </is>
      </c>
      <c r="B1627" s="1" t="n">
        <v>45638</v>
      </c>
      <c r="C1627" s="1" t="n">
        <v>45640</v>
      </c>
      <c r="D1627" t="inlineStr">
        <is>
          <t>UPPSALA LÄN</t>
        </is>
      </c>
      <c r="E1627" t="inlineStr">
        <is>
          <t>UPPSALA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59587-2024</t>
        </is>
      </c>
      <c r="B1628" s="1" t="n">
        <v>45638</v>
      </c>
      <c r="C1628" s="1" t="n">
        <v>45640</v>
      </c>
      <c r="D1628" t="inlineStr">
        <is>
          <t>UPPSALA LÄN</t>
        </is>
      </c>
      <c r="E1628" t="inlineStr">
        <is>
          <t>UPPSALA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45640</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c r="A1630" t="inlineStr">
        <is>
          <t>A 59547-2024</t>
        </is>
      </c>
      <c r="B1630" s="1" t="n">
        <v>45638</v>
      </c>
      <c r="C1630" s="1" t="n">
        <v>45640</v>
      </c>
      <c r="D1630" t="inlineStr">
        <is>
          <t>UPPSALA LÄN</t>
        </is>
      </c>
      <c r="E1630" t="inlineStr">
        <is>
          <t>UPPSALA</t>
        </is>
      </c>
      <c r="G1630" t="n">
        <v>2.2</v>
      </c>
      <c r="H1630" t="n">
        <v>0</v>
      </c>
      <c r="I1630" t="n">
        <v>0</v>
      </c>
      <c r="J1630" t="n">
        <v>0</v>
      </c>
      <c r="K1630" t="n">
        <v>0</v>
      </c>
      <c r="L1630" t="n">
        <v>0</v>
      </c>
      <c r="M1630" t="n">
        <v>0</v>
      </c>
      <c r="N1630" t="n">
        <v>0</v>
      </c>
      <c r="O1630" t="n">
        <v>0</v>
      </c>
      <c r="P1630" t="n">
        <v>0</v>
      </c>
      <c r="Q1630" t="n">
        <v>0</v>
      </c>
      <c r="R1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2024-12-14T15:50:46Z</dcterms:created>
  <dcterms:modified xmlns:dcterms="http://purl.org/dc/terms/" xmlns:xsi="http://www.w3.org/2001/XMLSchema-instance" xsi:type="dcterms:W3CDTF">2024-12-14T15:50:47Z</dcterms:modified>
</cp:coreProperties>
</file>