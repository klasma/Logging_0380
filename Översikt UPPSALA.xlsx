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45353</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45353</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45353</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45353</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45353</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45353</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45353</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45353</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45353</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45353</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45353</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45353</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45353</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45353</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45353</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45353</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45353</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45353</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45353</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45353</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45353</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45353</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45353</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45353</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45353</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45353</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45353</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45353</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45353</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45353</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45353</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45353</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45353</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45353</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45353</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45353</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45353</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45353</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45353</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45353</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45353</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45353</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45353</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45353</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45353</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45353</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45353</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45353</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45353</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45353</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45353</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45353</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45353</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45353</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45353</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45353</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45353</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45353</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45353</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45353</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45353</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45353</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45353</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45353</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45353</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45353</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45353</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45353</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45353</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45353</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45353</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45353</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45353</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45353</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45353</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45353</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45353</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45353</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45353</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45353</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45353</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45353</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45353</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45353</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45353</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45353</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45353</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45353</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45353</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45353</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45353</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45353</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45353</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45353</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45353</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45353</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45353</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45353</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45353</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45353</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45353</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45353</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45353</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45353</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45353</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45353</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45353</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45353</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45353</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45353</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45353</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45353</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45353</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45353</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45353</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45353</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45353</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45353</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45353</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45353</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45353</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45353</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45353</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45353</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45353</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45353</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45353</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45353</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45353</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45353</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45353</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45353</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45353</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45353</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45353</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45353</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7395-2024</t>
        </is>
      </c>
      <c r="B145" s="1" t="n">
        <v>45345</v>
      </c>
      <c r="C145" s="1" t="n">
        <v>45353</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Knärot</t>
        </is>
      </c>
      <c r="S145">
        <f>HYPERLINK("https://klasma.github.io/Logging_0380/artfynd/A 7395-2024 artfynd.xlsx", "A 7395-2024")</f>
        <v/>
      </c>
      <c r="T145">
        <f>HYPERLINK("https://klasma.github.io/Logging_0380/kartor/A 7395-2024 karta.png", "A 7395-2024")</f>
        <v/>
      </c>
      <c r="U145">
        <f>HYPERLINK("https://klasma.github.io/Logging_0380/knärot/A 7395-2024 karta knärot.png", "A 7395-2024")</f>
        <v/>
      </c>
      <c r="V145">
        <f>HYPERLINK("https://klasma.github.io/Logging_0380/klagomål/A 7395-2024 FSC-klagomål.docx", "A 7395-2024")</f>
        <v/>
      </c>
      <c r="W145">
        <f>HYPERLINK("https://klasma.github.io/Logging_0380/klagomålsmail/A 7395-2024 FSC-klagomål mail.docx", "A 7395-2024")</f>
        <v/>
      </c>
      <c r="X145">
        <f>HYPERLINK("https://klasma.github.io/Logging_0380/tillsyn/A 7395-2024 tillsynsbegäran.docx", "A 7395-2024")</f>
        <v/>
      </c>
      <c r="Y145">
        <f>HYPERLINK("https://klasma.github.io/Logging_0380/tillsynsmail/A 7395-2024 tillsynsbegäran mail.docx", "A 7395-2024")</f>
        <v/>
      </c>
    </row>
    <row r="146" ht="15" customHeight="1">
      <c r="A146" t="inlineStr">
        <is>
          <t>A 7397-2024</t>
        </is>
      </c>
      <c r="B146" s="1" t="n">
        <v>45345</v>
      </c>
      <c r="C146" s="1" t="n">
        <v>45353</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34956-2018</t>
        </is>
      </c>
      <c r="B147" s="1" t="n">
        <v>43321</v>
      </c>
      <c r="C147" s="1" t="n">
        <v>45353</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45353</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45353</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45353</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45353</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45353</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45353</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45353</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45353</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45353</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45353</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45353</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45353</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45353</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45353</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45353</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45353</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45353</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45353</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45353</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45353</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45353</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45353</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45353</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45353</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45353</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45353</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45353</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45353</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45353</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45353</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45353</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45353</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45353</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45353</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45353</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45353</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45353</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45353</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45353</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45353</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45353</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45353</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45353</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45353</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45353</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45353</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45353</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45353</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45353</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45353</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45353</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45353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45353</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45353</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45353</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45353</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45353</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45353</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45353</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45353</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45353</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45353</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45353</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45353</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45353</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45353</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45353</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45353</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45353</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45353</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45353</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45353</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45353</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45353</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45353</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45353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45353</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45353</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45353</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45353</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45353</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45353</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45353</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45353</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45353</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45353</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45353</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45353</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45353</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45353</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45353</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45353</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45353</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45353</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45353</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45353</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45353</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45353</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45353</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45353</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45353</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45353</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45353</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45353</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45353</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45353</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45353</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45353</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45353</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45353</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45353</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45353</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45353</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45353</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45353</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45353</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45353</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45353</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45353</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45353</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45353</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45353</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45353</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45353</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45353</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45353</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45353</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45353</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45353</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45353</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45353</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45353</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45353</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45353</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45353</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45353</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45353</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45353</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45353</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45353</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45353</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45353</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45353</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45353</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45353</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45353</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45353</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45353</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45353</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45353</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45353</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45353</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45353</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45353</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45353</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45353</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45353</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45353</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45353</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45353</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45353</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45353</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45353</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45353</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45353</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45353</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45353</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45353</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45353</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45353</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45353</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45353</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45353</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45353</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45353</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45353</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45353</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45353</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45353</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45353</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45353</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45353</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45353</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45353</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45353</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45353</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45353</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45353</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45353</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45353</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45353</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45353</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45353</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45353</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45353</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45353</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45353</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45353</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45353</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45353</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45353</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45353</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45353</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45353</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45353</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45353</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45353</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45353</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45353</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45353</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45353</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45353</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45353</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45353</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45353</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45353</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45353</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45353</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45353</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45353</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45353</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45353</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45353</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45353</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45353</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45353</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45353</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45353</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45353</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45353</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45353</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45353</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45353</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45353</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45353</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45353</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45353</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45353</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45353</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45353</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45353</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45353</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45353</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45353</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45353</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45353</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45353</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45353</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45353</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45353</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45353</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45353</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45353</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45353</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45353</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45353</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45353</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45353</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45353</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45353</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45353</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45353</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45353</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45353</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45353</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45353</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45353</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45353</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45353</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45353</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45353</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45353</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45353</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45353</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45353</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45353</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45353</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45353</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45353</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45353</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45353</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45353</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45353</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45353</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45353</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45353</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45353</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45353</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45353</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45353</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45353</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45353</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45353</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45353</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45353</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45353</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45353</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45353</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45353</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45353</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45353</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45353</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45353</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45353</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45353</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45353</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45353</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45353</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45353</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45353</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45353</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45353</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45353</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45353</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45353</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45353</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45353</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45353</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45353</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45353</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45353</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45353</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45353</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45353</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45353</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45353</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45353</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45353</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45353</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45353</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45353</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45353</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45353</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45353</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45353</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45353</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45353</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45353</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45353</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45353</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45353</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45353</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45353</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45353</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45353</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45353</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45353</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45353</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45353</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45353</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45353</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45353</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45353</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45353</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45353</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45353</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45353</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45353</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45353</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45353</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45353</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45353</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45353</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45353</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45353</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45353</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45353</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45353</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45353</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45353</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45353</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45353</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45353</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45353</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45353</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45353</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45353</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45353</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45353</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45353</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45353</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45353</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45353</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45353</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45353</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45353</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45353</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45353</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45353</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45353</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45353</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45353</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45353</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45353</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45353</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45353</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45353</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45353</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45353</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45353</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45353</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45353</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45353</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45353</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45353</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45353</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45353</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45353</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45353</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45353</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45353</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45353</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45353</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45353</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45353</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45353</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45353</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45353</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45353</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45353</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45353</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45353</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45353</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45353</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45353</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45353</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45353</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45353</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45353</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45353</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45353</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45353</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45353</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45353</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45353</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45353</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45353</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45353</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45353</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45353</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45353</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45353</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45353</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45353</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45353</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45353</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45353</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45353</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45353</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45353</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45353</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45353</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45353</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45353</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45353</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45353</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45353</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45353</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45353</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45353</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45353</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45353</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45353</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45353</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45353</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45353</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45353</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45353</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45353</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45353</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45353</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45353</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45353</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45353</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45353</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45353</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45353</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45353</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45353</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45353</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45353</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45353</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45353</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45353</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45353</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45353</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45353</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45353</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45353</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45353</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45353</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45353</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45353</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45353</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45353</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45353</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45353</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45353</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45353</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45353</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45353</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45353</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45353</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45353</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45353</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45353</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45353</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45353</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45353</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45353</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45353</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45353</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45353</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45353</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45353</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45353</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45353</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45353</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45353</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45353</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45353</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45353</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45353</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45353</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45353</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45353</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45353</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45353</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45353</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45353</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45353</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45353</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45353</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45353</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45353</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45353</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45353</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45353</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45353</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45353</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45353</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45353</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45353</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45353</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45353</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45353</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45353</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45353</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45353</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45353</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45353</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45353</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45353</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45353</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45353</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45353</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45353</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45353</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45353</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45353</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45353</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45353</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45353</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45353</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45353</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45353</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45353</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45353</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45353</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45353</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45353</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45353</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45353</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45353</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45353</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45353</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45353</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45353</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45353</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45353</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45353</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45353</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45353</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45353</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45353</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45353</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45353</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45353</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45353</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45353</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45353</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45353</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45353</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45353</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45353</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45353</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45353</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45353</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45353</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45353</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45353</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45353</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45353</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45353</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45353</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45353</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45353</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45353</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45353</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45353</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45353</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45353</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45353</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45353</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45353</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45353</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45353</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45353</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45353</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45353</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45353</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45353</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45353</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45353</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45353</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45353</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45353</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45353</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45353</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45353</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45353</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45353</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45353</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45353</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45353</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45353</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45353</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45353</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45353</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45353</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45353</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45353</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45353</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45353</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45353</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45353</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45353</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45353</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45353</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45353</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45353</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45353</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45353</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45353</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45353</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45353</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45353</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45353</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45353</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45353</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45353</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45353</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45353</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45353</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45353</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45353</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45353</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45353</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45353</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45353</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45353</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45353</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45353</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45353</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45353</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45353</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45353</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45353</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45353</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45353</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45353</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45353</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45353</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45353</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45353</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45353</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45353</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45353</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45353</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45353</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45353</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45353</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45353</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45353</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45353</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45353</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45353</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45353</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45353</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45353</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45353</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45353</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45353</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45353</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45353</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45353</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45353</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45353</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45353</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45353</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45353</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45353</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45353</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45353</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45353</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45353</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45353</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45353</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45353</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45353</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45353</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45353</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45353</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45353</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45353</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45353</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45353</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45353</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45353</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45353</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45353</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45353</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45353</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45353</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45353</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45353</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45353</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45353</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45353</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45353</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45353</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45353</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45353</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45353</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45353</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45353</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45353</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45353</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45353</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45353</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45353</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45353</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45353</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45353</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45353</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45353</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45353</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45353</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45353</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45353</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45353</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45353</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45353</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45353</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45353</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45353</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45353</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45353</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45353</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45353</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45353</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45353</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45353</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45353</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45353</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45353</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45353</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45353</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45353</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45353</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45353</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45353</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45353</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45353</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45353</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45353</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45353</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45353</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45353</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45353</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45353</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45353</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45353</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45353</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45353</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45353</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45353</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45353</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45353</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45353</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45353</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45353</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45353</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45353</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45353</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45353</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45353</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45353</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45353</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45353</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45353</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45353</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45353</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45353</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45353</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45353</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45353</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45353</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45353</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45353</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45353</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45353</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45353</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45353</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45353</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45353</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45353</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45353</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45353</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45353</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45353</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45353</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45353</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45353</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45353</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45353</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45353</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45353</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45353</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45353</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45353</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45353</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45353</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45353</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45353</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45353</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45353</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45353</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45353</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45353</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45353</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45353</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45353</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45353</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45353</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45353</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45353</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45353</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45353</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45353</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45353</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45353</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45353</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45353</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45353</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45353</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45353</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45353</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45353</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45353</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45353</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45353</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45353</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45353</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45353</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45353</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45353</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45353</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45353</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45353</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45353</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45353</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45353</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45353</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45353</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45353</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45353</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45353</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45353</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45353</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45353</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45353</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45353</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45353</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45353</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45353</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45353</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45353</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45353</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45353</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45353</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45353</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45353</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45353</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45353</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45353</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45353</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45353</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45353</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45353</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45353</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45353</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45353</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45353</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45353</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45353</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45353</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45353</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45353</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45353</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45353</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45353</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45353</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45353</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45353</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45353</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45353</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45353</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45353</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45353</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45353</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45353</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45353</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45353</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45353</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45353</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45353</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45353</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45353</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45353</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45353</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45353</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45353</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45353</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45353</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45353</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45353</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45353</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45353</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45353</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45353</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45353</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45353</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45353</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45353</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45353</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45353</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45353</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45353</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45353</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45353</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45353</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45353</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45353</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45353</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45353</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45353</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45353</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45353</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45353</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45353</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45353</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45353</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45353</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45353</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45353</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45353</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45353</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45353</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45353</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45353</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45353</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45353</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45353</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45353</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45353</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45353</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45353</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45353</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45353</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45353</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45353</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45353</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45353</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45353</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45353</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45353</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45353</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45353</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45353</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45353</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45353</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45353</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45353</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45353</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45353</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45353</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45353</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45353</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45353</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45353</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45353</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45353</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45353</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45353</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45353</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45353</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45353</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45353</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45353</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45353</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45353</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45353</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45353</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45353</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45353</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45353</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45353</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45353</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45353</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45353</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45353</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45353</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45353</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45353</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45353</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45353</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45353</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45353</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45353</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45353</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45353</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45353</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45353</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45353</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45353</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45353</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45353</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45353</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45353</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45353</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45353</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45353</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45353</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45353</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45353</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45353</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45353</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45353</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45353</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45353</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45353</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45353</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45353</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45353</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45353</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45353</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45353</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45353</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45353</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45353</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45353</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45353</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45353</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45353</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45353</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45353</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45353</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45353</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45353</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45353</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45353</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45353</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45353</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45353</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45353</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45353</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45353</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45353</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45353</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45353</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45353</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45353</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45353</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45353</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45353</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45353</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45353</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45353</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45353</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45353</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45353</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45353</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45353</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45353</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45353</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45353</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45353</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45353</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45353</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45353</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45353</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45353</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45353</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45353</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45353</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45353</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45353</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45353</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45353</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45353</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45353</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45353</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45353</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45353</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45353</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45353</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45353</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45353</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45353</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45353</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45353</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45353</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45353</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45353</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45353</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45353</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45353</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45353</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45353</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45353</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45353</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45353</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45353</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45353</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45353</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45353</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45353</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45353</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45353</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45353</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45353</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45353</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45353</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45353</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45353</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45353</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45353</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45353</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45353</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45353</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45353</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45353</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45353</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45353</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45353</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45353</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45353</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45353</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45353</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45353</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45353</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45353</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45353</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45353</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45353</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45353</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45353</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45353</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45353</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45353</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45353</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45353</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45353</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45353</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45353</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45353</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45353</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45353</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45353</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45353</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45353</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45353</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45353</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45353</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45353</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45353</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45353</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45353</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45353</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45353</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45353</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45353</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45353</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45353</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45353</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45353</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45353</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45353</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45353</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45353</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45353</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45353</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45353</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45353</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45353</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45353</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45353</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45353</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45353</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45353</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45353</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45353</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45353</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45353</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45353</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45353</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45353</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45353</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45353</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45353</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45353</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45353</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45353</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45353</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45353</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45353</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45353</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45353</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45353</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45353</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45353</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45353</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45353</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45353</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45353</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45353</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45353</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45353</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45353</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45353</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45353</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45353</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45353</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45353</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45353</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45353</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45353</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45353</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45353</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45353</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45353</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45353</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45353</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45353</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45353</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45353</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45353</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45353</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45353</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45353</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45353</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45353</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45353</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45353</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45353</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45353</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45353</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45353</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45353</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45353</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45353</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45353</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45353</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45353</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45353</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45353</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45353</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45353</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45353</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45353</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45353</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45353</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45353</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45353</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45353</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45353</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45353</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4503-2024</t>
        </is>
      </c>
      <c r="B1447" s="1" t="n">
        <v>45327</v>
      </c>
      <c r="C1447" s="1" t="n">
        <v>45353</v>
      </c>
      <c r="D1447" t="inlineStr">
        <is>
          <t>UPPSALA LÄN</t>
        </is>
      </c>
      <c r="E1447" t="inlineStr">
        <is>
          <t>UPPSALA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4509-2024</t>
        </is>
      </c>
      <c r="B1448" s="1" t="n">
        <v>45327</v>
      </c>
      <c r="C1448" s="1" t="n">
        <v>45353</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45353</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45353</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45353</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45353</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5899-2024</t>
        </is>
      </c>
      <c r="B1453" s="1" t="n">
        <v>45335</v>
      </c>
      <c r="C1453" s="1" t="n">
        <v>45353</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45353</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45353</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5972-2024</t>
        </is>
      </c>
      <c r="B1456" s="1" t="n">
        <v>45336</v>
      </c>
      <c r="C1456" s="1" t="n">
        <v>45353</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5974-2024</t>
        </is>
      </c>
      <c r="B1457" s="1" t="n">
        <v>45336</v>
      </c>
      <c r="C1457" s="1" t="n">
        <v>45353</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5975-2024</t>
        </is>
      </c>
      <c r="B1458" s="1" t="n">
        <v>45336</v>
      </c>
      <c r="C1458" s="1" t="n">
        <v>45353</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6024-2024</t>
        </is>
      </c>
      <c r="B1459" s="1" t="n">
        <v>45336</v>
      </c>
      <c r="C1459" s="1" t="n">
        <v>45353</v>
      </c>
      <c r="D1459" t="inlineStr">
        <is>
          <t>UPPSALA LÄN</t>
        </is>
      </c>
      <c r="E1459" t="inlineStr">
        <is>
          <t>UPPSALA</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45353</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6199-2024</t>
        </is>
      </c>
      <c r="B1461" s="1" t="n">
        <v>45337</v>
      </c>
      <c r="C1461" s="1" t="n">
        <v>45353</v>
      </c>
      <c r="D1461" t="inlineStr">
        <is>
          <t>UPPSALA LÄN</t>
        </is>
      </c>
      <c r="E1461" t="inlineStr">
        <is>
          <t>UPPSALA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45353</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45353</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45353</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6500-2024</t>
        </is>
      </c>
      <c r="B1465" s="1" t="n">
        <v>45339</v>
      </c>
      <c r="C1465" s="1" t="n">
        <v>45353</v>
      </c>
      <c r="D1465" t="inlineStr">
        <is>
          <t>UPPSALA LÄN</t>
        </is>
      </c>
      <c r="E1465" t="inlineStr">
        <is>
          <t>UPPSALA</t>
        </is>
      </c>
      <c r="F1465" t="inlineStr">
        <is>
          <t>Bergvik skog öst AB</t>
        </is>
      </c>
      <c r="G1465" t="n">
        <v>23.7</v>
      </c>
      <c r="H1465" t="n">
        <v>0</v>
      </c>
      <c r="I1465" t="n">
        <v>0</v>
      </c>
      <c r="J1465" t="n">
        <v>0</v>
      </c>
      <c r="K1465" t="n">
        <v>0</v>
      </c>
      <c r="L1465" t="n">
        <v>0</v>
      </c>
      <c r="M1465" t="n">
        <v>0</v>
      </c>
      <c r="N1465" t="n">
        <v>0</v>
      </c>
      <c r="O1465" t="n">
        <v>0</v>
      </c>
      <c r="P1465" t="n">
        <v>0</v>
      </c>
      <c r="Q1465" t="n">
        <v>0</v>
      </c>
      <c r="R1465" s="2" t="inlineStr"/>
    </row>
    <row r="1466" ht="15" customHeight="1">
      <c r="A1466" t="inlineStr">
        <is>
          <t>A 6504-2024</t>
        </is>
      </c>
      <c r="B1466" s="1" t="n">
        <v>45339</v>
      </c>
      <c r="C1466" s="1" t="n">
        <v>45353</v>
      </c>
      <c r="D1466" t="inlineStr">
        <is>
          <t>UPPSALA LÄN</t>
        </is>
      </c>
      <c r="E1466" t="inlineStr">
        <is>
          <t>UPPSALA</t>
        </is>
      </c>
      <c r="F1466" t="inlineStr">
        <is>
          <t>Bergvik skog öst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6503-2024</t>
        </is>
      </c>
      <c r="B1467" s="1" t="n">
        <v>45339</v>
      </c>
      <c r="C1467" s="1" t="n">
        <v>45353</v>
      </c>
      <c r="D1467" t="inlineStr">
        <is>
          <t>UPPSALA LÄN</t>
        </is>
      </c>
      <c r="E1467" t="inlineStr">
        <is>
          <t>UPPSALA</t>
        </is>
      </c>
      <c r="F1467" t="inlineStr">
        <is>
          <t>Bergvik skog öst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6501-2024</t>
        </is>
      </c>
      <c r="B1468" s="1" t="n">
        <v>45339</v>
      </c>
      <c r="C1468" s="1" t="n">
        <v>45353</v>
      </c>
      <c r="D1468" t="inlineStr">
        <is>
          <t>UPPSALA LÄN</t>
        </is>
      </c>
      <c r="E1468" t="inlineStr">
        <is>
          <t>UPPSALA</t>
        </is>
      </c>
      <c r="F1468" t="inlineStr">
        <is>
          <t>Bergvik skog öst AB</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6507-2024</t>
        </is>
      </c>
      <c r="B1469" s="1" t="n">
        <v>45339</v>
      </c>
      <c r="C1469" s="1" t="n">
        <v>45353</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6505-2024</t>
        </is>
      </c>
      <c r="B1470" s="1" t="n">
        <v>45339</v>
      </c>
      <c r="C1470" s="1" t="n">
        <v>45353</v>
      </c>
      <c r="D1470" t="inlineStr">
        <is>
          <t>UPPSALA LÄN</t>
        </is>
      </c>
      <c r="E1470" t="inlineStr">
        <is>
          <t>UPPSALA</t>
        </is>
      </c>
      <c r="F1470" t="inlineStr">
        <is>
          <t>Bergvik skog öst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45353</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6678-2024</t>
        </is>
      </c>
      <c r="B1472" s="1" t="n">
        <v>45341</v>
      </c>
      <c r="C1472" s="1" t="n">
        <v>45353</v>
      </c>
      <c r="D1472" t="inlineStr">
        <is>
          <t>UPPSALA LÄN</t>
        </is>
      </c>
      <c r="E1472" t="inlineStr">
        <is>
          <t>UPPSALA</t>
        </is>
      </c>
      <c r="F1472" t="inlineStr">
        <is>
          <t>Bergvik skog öst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6676-2024</t>
        </is>
      </c>
      <c r="B1473" s="1" t="n">
        <v>45341</v>
      </c>
      <c r="C1473" s="1" t="n">
        <v>45353</v>
      </c>
      <c r="D1473" t="inlineStr">
        <is>
          <t>UPPSALA LÄN</t>
        </is>
      </c>
      <c r="E1473" t="inlineStr">
        <is>
          <t>UPPSALA</t>
        </is>
      </c>
      <c r="F1473" t="inlineStr">
        <is>
          <t>Bergvik skog öst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6630-2024</t>
        </is>
      </c>
      <c r="B1474" s="1" t="n">
        <v>45341</v>
      </c>
      <c r="C1474" s="1" t="n">
        <v>45353</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6628-2024</t>
        </is>
      </c>
      <c r="B1475" s="1" t="n">
        <v>45341</v>
      </c>
      <c r="C1475" s="1" t="n">
        <v>45353</v>
      </c>
      <c r="D1475" t="inlineStr">
        <is>
          <t>UPPSALA LÄN</t>
        </is>
      </c>
      <c r="E1475" t="inlineStr">
        <is>
          <t>UPPSALA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6677-2024</t>
        </is>
      </c>
      <c r="B1476" s="1" t="n">
        <v>45341</v>
      </c>
      <c r="C1476" s="1" t="n">
        <v>45353</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6650-2024</t>
        </is>
      </c>
      <c r="B1477" s="1" t="n">
        <v>45341</v>
      </c>
      <c r="C1477" s="1" t="n">
        <v>45353</v>
      </c>
      <c r="D1477" t="inlineStr">
        <is>
          <t>UPPSALA LÄN</t>
        </is>
      </c>
      <c r="E1477" t="inlineStr">
        <is>
          <t>UPPSALA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6679-2024</t>
        </is>
      </c>
      <c r="B1478" s="1" t="n">
        <v>45341</v>
      </c>
      <c r="C1478" s="1" t="n">
        <v>45353</v>
      </c>
      <c r="D1478" t="inlineStr">
        <is>
          <t>UPPSALA LÄN</t>
        </is>
      </c>
      <c r="E1478" t="inlineStr">
        <is>
          <t>UPPSALA</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45353</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7253-2024</t>
        </is>
      </c>
      <c r="B1480" s="1" t="n">
        <v>45344</v>
      </c>
      <c r="C1480" s="1" t="n">
        <v>45353</v>
      </c>
      <c r="D1480" t="inlineStr">
        <is>
          <t>UPPSALA LÄN</t>
        </is>
      </c>
      <c r="E1480" t="inlineStr">
        <is>
          <t>UPPSALA</t>
        </is>
      </c>
      <c r="F1480" t="inlineStr">
        <is>
          <t>Kyrkan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7175-2024</t>
        </is>
      </c>
      <c r="B1481" s="1" t="n">
        <v>45344</v>
      </c>
      <c r="C1481" s="1" t="n">
        <v>45353</v>
      </c>
      <c r="D1481" t="inlineStr">
        <is>
          <t>UPPSALA LÄN</t>
        </is>
      </c>
      <c r="E1481" t="inlineStr">
        <is>
          <t>UPPSALA</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7158-2024</t>
        </is>
      </c>
      <c r="B1482" s="1" t="n">
        <v>45344</v>
      </c>
      <c r="C1482" s="1" t="n">
        <v>45353</v>
      </c>
      <c r="D1482" t="inlineStr">
        <is>
          <t>UPPSALA LÄN</t>
        </is>
      </c>
      <c r="E1482" t="inlineStr">
        <is>
          <t>UPPSALA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7226-2024</t>
        </is>
      </c>
      <c r="B1483" s="1" t="n">
        <v>45344</v>
      </c>
      <c r="C1483" s="1" t="n">
        <v>45353</v>
      </c>
      <c r="D1483" t="inlineStr">
        <is>
          <t>UPPSALA LÄN</t>
        </is>
      </c>
      <c r="E1483" t="inlineStr">
        <is>
          <t>UPPSALA</t>
        </is>
      </c>
      <c r="F1483" t="inlineStr">
        <is>
          <t>Kyrkan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7275-2024</t>
        </is>
      </c>
      <c r="B1484" s="1" t="n">
        <v>45344</v>
      </c>
      <c r="C1484" s="1" t="n">
        <v>45353</v>
      </c>
      <c r="D1484" t="inlineStr">
        <is>
          <t>UPPSALA LÄN</t>
        </is>
      </c>
      <c r="E1484" t="inlineStr">
        <is>
          <t>UPPSALA</t>
        </is>
      </c>
      <c r="F1484" t="inlineStr">
        <is>
          <t>Bergvik skog öst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45353</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7278-2024</t>
        </is>
      </c>
      <c r="B1486" s="1" t="n">
        <v>45344</v>
      </c>
      <c r="C1486" s="1" t="n">
        <v>45353</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7276-2024</t>
        </is>
      </c>
      <c r="B1487" s="1" t="n">
        <v>45344</v>
      </c>
      <c r="C1487" s="1" t="n">
        <v>45353</v>
      </c>
      <c r="D1487" t="inlineStr">
        <is>
          <t>UPPSALA LÄN</t>
        </is>
      </c>
      <c r="E1487" t="inlineStr">
        <is>
          <t>UPPSALA</t>
        </is>
      </c>
      <c r="F1487" t="inlineStr">
        <is>
          <t>Bergvik skog öst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7403-2024</t>
        </is>
      </c>
      <c r="B1488" s="1" t="n">
        <v>45345</v>
      </c>
      <c r="C1488" s="1" t="n">
        <v>45353</v>
      </c>
      <c r="D1488" t="inlineStr">
        <is>
          <t>UPPSALA LÄN</t>
        </is>
      </c>
      <c r="E1488" t="inlineStr">
        <is>
          <t>UPPSALA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7407-2024</t>
        </is>
      </c>
      <c r="B1489" s="1" t="n">
        <v>45345</v>
      </c>
      <c r="C1489" s="1" t="n">
        <v>45353</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7388-2024</t>
        </is>
      </c>
      <c r="B1490" s="1" t="n">
        <v>45345</v>
      </c>
      <c r="C1490" s="1" t="n">
        <v>45353</v>
      </c>
      <c r="D1490" t="inlineStr">
        <is>
          <t>UPPSALA LÄN</t>
        </is>
      </c>
      <c r="E1490" t="inlineStr">
        <is>
          <t>UPPSALA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7400-2024</t>
        </is>
      </c>
      <c r="B1491" s="1" t="n">
        <v>45345</v>
      </c>
      <c r="C1491" s="1" t="n">
        <v>45353</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7390-2024</t>
        </is>
      </c>
      <c r="B1492" s="1" t="n">
        <v>45345</v>
      </c>
      <c r="C1492" s="1" t="n">
        <v>45353</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7389-2024</t>
        </is>
      </c>
      <c r="B1493" s="1" t="n">
        <v>45345</v>
      </c>
      <c r="C1493" s="1" t="n">
        <v>45353</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7649-2024</t>
        </is>
      </c>
      <c r="B1494" s="1" t="n">
        <v>45348</v>
      </c>
      <c r="C1494" s="1" t="n">
        <v>45353</v>
      </c>
      <c r="D1494" t="inlineStr">
        <is>
          <t>UPPSALA LÄN</t>
        </is>
      </c>
      <c r="E1494" t="inlineStr">
        <is>
          <t>UPPSALA</t>
        </is>
      </c>
      <c r="F1494" t="inlineStr">
        <is>
          <t>Kyrkan</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7654-2024</t>
        </is>
      </c>
      <c r="B1495" s="1" t="n">
        <v>45348</v>
      </c>
      <c r="C1495" s="1" t="n">
        <v>45353</v>
      </c>
      <c r="D1495" t="inlineStr">
        <is>
          <t>UPPSALA LÄN</t>
        </is>
      </c>
      <c r="E1495" t="inlineStr">
        <is>
          <t>UPPSALA</t>
        </is>
      </c>
      <c r="F1495" t="inlineStr">
        <is>
          <t>Kyrkan</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7727-2024</t>
        </is>
      </c>
      <c r="B1496" s="1" t="n">
        <v>45349</v>
      </c>
      <c r="C1496" s="1" t="n">
        <v>45353</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7732-2024</t>
        </is>
      </c>
      <c r="B1497" s="1" t="n">
        <v>45349</v>
      </c>
      <c r="C1497" s="1" t="n">
        <v>45353</v>
      </c>
      <c r="D1497" t="inlineStr">
        <is>
          <t>UPPSALA LÄN</t>
        </is>
      </c>
      <c r="E1497" t="inlineStr">
        <is>
          <t>UPPSALA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7750-2024</t>
        </is>
      </c>
      <c r="B1498" s="1" t="n">
        <v>45349</v>
      </c>
      <c r="C1498" s="1" t="n">
        <v>45353</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7974-2024</t>
        </is>
      </c>
      <c r="B1499" s="1" t="n">
        <v>45350</v>
      </c>
      <c r="C1499" s="1" t="n">
        <v>45353</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8109-2024</t>
        </is>
      </c>
      <c r="B1500" s="1" t="n">
        <v>45351</v>
      </c>
      <c r="C1500" s="1" t="n">
        <v>45353</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8132-2024</t>
        </is>
      </c>
      <c r="B1501" s="1" t="n">
        <v>45351</v>
      </c>
      <c r="C1501" s="1" t="n">
        <v>45353</v>
      </c>
      <c r="D1501" t="inlineStr">
        <is>
          <t>UPPSALA LÄN</t>
        </is>
      </c>
      <c r="E1501" t="inlineStr">
        <is>
          <t>UPPSALA</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c r="A1502" t="inlineStr">
        <is>
          <t>A 8338-2024</t>
        </is>
      </c>
      <c r="B1502" s="1" t="n">
        <v>45352</v>
      </c>
      <c r="C1502" s="1" t="n">
        <v>45353</v>
      </c>
      <c r="D1502" t="inlineStr">
        <is>
          <t>UPPSALA LÄN</t>
        </is>
      </c>
      <c r="E1502" t="inlineStr">
        <is>
          <t>UPPSALA</t>
        </is>
      </c>
      <c r="F1502" t="inlineStr">
        <is>
          <t>Kyrkan</t>
        </is>
      </c>
      <c r="G1502" t="n">
        <v>5.7</v>
      </c>
      <c r="H1502" t="n">
        <v>0</v>
      </c>
      <c r="I1502" t="n">
        <v>0</v>
      </c>
      <c r="J1502" t="n">
        <v>0</v>
      </c>
      <c r="K1502" t="n">
        <v>0</v>
      </c>
      <c r="L1502" t="n">
        <v>0</v>
      </c>
      <c r="M1502" t="n">
        <v>0</v>
      </c>
      <c r="N1502" t="n">
        <v>0</v>
      </c>
      <c r="O1502" t="n">
        <v>0</v>
      </c>
      <c r="P1502" t="n">
        <v>0</v>
      </c>
      <c r="Q1502" t="n">
        <v>0</v>
      </c>
      <c r="R15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2024-03-02T13:05:30Z</dcterms:created>
  <dcterms:modified xmlns:dcterms="http://purl.org/dc/terms/" xmlns:xsi="http://www.w3.org/2001/XMLSchema-instance" xsi:type="dcterms:W3CDTF">2024-03-02T13:05:32Z</dcterms:modified>
</cp:coreProperties>
</file>