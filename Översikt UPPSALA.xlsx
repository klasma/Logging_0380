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45664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45664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45664</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45664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45664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45664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45664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45664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45664</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45664</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45664</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45664</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45664</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45664</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45664</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45664</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45664</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45664</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45664</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45664</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45664</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45664</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45664</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45664</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45664</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45664</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45664</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45664</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45664</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45664</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45664</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45664</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45664</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45664</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45664</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45664</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45664</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45664</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45664</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45664</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45664</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45664</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45664</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45664</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45664</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45664</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45664</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45664</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45664</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45664</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45664</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45664</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45664</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45664</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45664</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45664</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45664</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45664</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45664</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45664</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45664</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45664</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45664</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45664</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45664</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45664</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45664</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45664</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45664</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45664</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45664</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45664</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45664</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45664</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45664</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45664</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45664</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45664</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45664</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45664</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45664</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45664</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45664</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45664</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45664</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45664</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45664</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45664</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45664</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45664</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45664</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45664</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45664</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45664</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45664</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45664</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45664</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45664</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45664</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45664</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45664</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45664</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45664</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45664</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45664</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45664</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45664</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61511-2024</t>
        </is>
      </c>
      <c r="B109" s="1" t="n">
        <v>45646</v>
      </c>
      <c r="C109" s="1" t="n">
        <v>45664</v>
      </c>
      <c r="D109" t="inlineStr">
        <is>
          <t>UPPSALA LÄN</t>
        </is>
      </c>
      <c r="E109" t="inlineStr">
        <is>
          <t>UPPSALA</t>
        </is>
      </c>
      <c r="F109" t="inlineStr">
        <is>
          <t>Bergvik skog väst AB</t>
        </is>
      </c>
      <c r="G109" t="n">
        <v>25.1</v>
      </c>
      <c r="H109" t="n">
        <v>0</v>
      </c>
      <c r="I109" t="n">
        <v>1</v>
      </c>
      <c r="J109" t="n">
        <v>0</v>
      </c>
      <c r="K109" t="n">
        <v>1</v>
      </c>
      <c r="L109" t="n">
        <v>0</v>
      </c>
      <c r="M109" t="n">
        <v>0</v>
      </c>
      <c r="N109" t="n">
        <v>0</v>
      </c>
      <c r="O109" t="n">
        <v>1</v>
      </c>
      <c r="P109" t="n">
        <v>1</v>
      </c>
      <c r="Q109" t="n">
        <v>2</v>
      </c>
      <c r="R109" s="2" t="inlineStr">
        <is>
          <t>Doftfjällskivling
Kamjordstjärna</t>
        </is>
      </c>
      <c r="S109">
        <f>HYPERLINK("https://klasma.github.io/Logging_0380/artfynd/A 61511-2024 artfynd.xlsx", "A 61511-2024")</f>
        <v/>
      </c>
      <c r="T109">
        <f>HYPERLINK("https://klasma.github.io/Logging_0380/kartor/A 61511-2024 karta.png", "A 61511-2024")</f>
        <v/>
      </c>
      <c r="V109">
        <f>HYPERLINK("https://klasma.github.io/Logging_0380/klagomål/A 61511-2024 FSC-klagomål.docx", "A 61511-2024")</f>
        <v/>
      </c>
      <c r="W109">
        <f>HYPERLINK("https://klasma.github.io/Logging_0380/klagomålsmail/A 61511-2024 FSC-klagomål mail.docx", "A 61511-2024")</f>
        <v/>
      </c>
      <c r="X109">
        <f>HYPERLINK("https://klasma.github.io/Logging_0380/tillsyn/A 61511-2024 tillsynsbegäran.docx", "A 61511-2024")</f>
        <v/>
      </c>
      <c r="Y109">
        <f>HYPERLINK("https://klasma.github.io/Logging_0380/tillsynsmail/A 61511-2024 tillsynsbegäran mail.docx", "A 61511-2024")</f>
        <v/>
      </c>
    </row>
    <row r="110" ht="15" customHeight="1">
      <c r="A110" t="inlineStr">
        <is>
          <t>A 20671-2019</t>
        </is>
      </c>
      <c r="B110" s="1" t="n">
        <v>43572</v>
      </c>
      <c r="C110" s="1" t="n">
        <v>45664</v>
      </c>
      <c r="D110" t="inlineStr">
        <is>
          <t>UPPSALA LÄN</t>
        </is>
      </c>
      <c r="E110" t="inlineStr">
        <is>
          <t>UPPSALA</t>
        </is>
      </c>
      <c r="G110" t="n">
        <v>14.8</v>
      </c>
      <c r="H110" t="n">
        <v>0</v>
      </c>
      <c r="I110" t="n">
        <v>0</v>
      </c>
      <c r="J110" t="n">
        <v>1</v>
      </c>
      <c r="K110" t="n">
        <v>0</v>
      </c>
      <c r="L110" t="n">
        <v>0</v>
      </c>
      <c r="M110" t="n">
        <v>0</v>
      </c>
      <c r="N110" t="n">
        <v>0</v>
      </c>
      <c r="O110" t="n">
        <v>1</v>
      </c>
      <c r="P110" t="n">
        <v>0</v>
      </c>
      <c r="Q110" t="n">
        <v>1</v>
      </c>
      <c r="R110" s="2" t="inlineStr">
        <is>
          <t>Svartöra</t>
        </is>
      </c>
      <c r="S110">
        <f>HYPERLINK("https://klasma.github.io/Logging_0380/artfynd/A 20671-2019 artfynd.xlsx", "A 20671-2019")</f>
        <v/>
      </c>
      <c r="T110">
        <f>HYPERLINK("https://klasma.github.io/Logging_0380/kartor/A 20671-2019 karta.png", "A 20671-2019")</f>
        <v/>
      </c>
      <c r="V110">
        <f>HYPERLINK("https://klasma.github.io/Logging_0380/klagomål/A 20671-2019 FSC-klagomål.docx", "A 20671-2019")</f>
        <v/>
      </c>
      <c r="W110">
        <f>HYPERLINK("https://klasma.github.io/Logging_0380/klagomålsmail/A 20671-2019 FSC-klagomål mail.docx", "A 20671-2019")</f>
        <v/>
      </c>
      <c r="X110">
        <f>HYPERLINK("https://klasma.github.io/Logging_0380/tillsyn/A 20671-2019 tillsynsbegäran.docx", "A 20671-2019")</f>
        <v/>
      </c>
      <c r="Y110">
        <f>HYPERLINK("https://klasma.github.io/Logging_0380/tillsynsmail/A 20671-2019 tillsynsbegäran mail.docx", "A 20671-2019")</f>
        <v/>
      </c>
    </row>
    <row r="111" ht="15" customHeight="1">
      <c r="A111" t="inlineStr">
        <is>
          <t>A 36346-2019</t>
        </is>
      </c>
      <c r="B111" s="1" t="n">
        <v>43661</v>
      </c>
      <c r="C111" s="1" t="n">
        <v>45664</v>
      </c>
      <c r="D111" t="inlineStr">
        <is>
          <t>UPPSALA LÄN</t>
        </is>
      </c>
      <c r="E111" t="inlineStr">
        <is>
          <t>UPPSALA</t>
        </is>
      </c>
      <c r="G111" t="n">
        <v>15.8</v>
      </c>
      <c r="H111" t="n">
        <v>0</v>
      </c>
      <c r="I111" t="n">
        <v>0</v>
      </c>
      <c r="J111" t="n">
        <v>1</v>
      </c>
      <c r="K111" t="n">
        <v>0</v>
      </c>
      <c r="L111" t="n">
        <v>0</v>
      </c>
      <c r="M111" t="n">
        <v>0</v>
      </c>
      <c r="N111" t="n">
        <v>0</v>
      </c>
      <c r="O111" t="n">
        <v>1</v>
      </c>
      <c r="P111" t="n">
        <v>0</v>
      </c>
      <c r="Q111" t="n">
        <v>1</v>
      </c>
      <c r="R111" s="2" t="inlineStr">
        <is>
          <t>Rosenticka</t>
        </is>
      </c>
      <c r="S111">
        <f>HYPERLINK("https://klasma.github.io/Logging_0380/artfynd/A 36346-2019 artfynd.xlsx", "A 36346-2019")</f>
        <v/>
      </c>
      <c r="T111">
        <f>HYPERLINK("https://klasma.github.io/Logging_0380/kartor/A 36346-2019 karta.png", "A 36346-2019")</f>
        <v/>
      </c>
      <c r="V111">
        <f>HYPERLINK("https://klasma.github.io/Logging_0380/klagomål/A 36346-2019 FSC-klagomål.docx", "A 36346-2019")</f>
        <v/>
      </c>
      <c r="W111">
        <f>HYPERLINK("https://klasma.github.io/Logging_0380/klagomålsmail/A 36346-2019 FSC-klagomål mail.docx", "A 36346-2019")</f>
        <v/>
      </c>
      <c r="X111">
        <f>HYPERLINK("https://klasma.github.io/Logging_0380/tillsyn/A 36346-2019 tillsynsbegäran.docx", "A 36346-2019")</f>
        <v/>
      </c>
      <c r="Y111">
        <f>HYPERLINK("https://klasma.github.io/Logging_0380/tillsynsmail/A 36346-2019 tillsynsbegäran mail.docx", "A 36346-2019")</f>
        <v/>
      </c>
    </row>
    <row r="112" ht="15" customHeight="1">
      <c r="A112" t="inlineStr">
        <is>
          <t>A 40104-2019</t>
        </is>
      </c>
      <c r="B112" s="1" t="n">
        <v>43693</v>
      </c>
      <c r="C112" s="1" t="n">
        <v>45664</v>
      </c>
      <c r="D112" t="inlineStr">
        <is>
          <t>UPPSALA LÄN</t>
        </is>
      </c>
      <c r="E112" t="inlineStr">
        <is>
          <t>UPPSALA</t>
        </is>
      </c>
      <c r="G112" t="n">
        <v>1.8</v>
      </c>
      <c r="H112" t="n">
        <v>1</v>
      </c>
      <c r="I112" t="n">
        <v>0</v>
      </c>
      <c r="J112" t="n">
        <v>0</v>
      </c>
      <c r="K112" t="n">
        <v>0</v>
      </c>
      <c r="L112" t="n">
        <v>0</v>
      </c>
      <c r="M112" t="n">
        <v>0</v>
      </c>
      <c r="N112" t="n">
        <v>0</v>
      </c>
      <c r="O112" t="n">
        <v>0</v>
      </c>
      <c r="P112" t="n">
        <v>0</v>
      </c>
      <c r="Q112" t="n">
        <v>1</v>
      </c>
      <c r="R112" s="2" t="inlineStr">
        <is>
          <t>Huggorm</t>
        </is>
      </c>
      <c r="S112">
        <f>HYPERLINK("https://klasma.github.io/Logging_0380/artfynd/A 40104-2019 artfynd.xlsx", "A 40104-2019")</f>
        <v/>
      </c>
      <c r="T112">
        <f>HYPERLINK("https://klasma.github.io/Logging_0380/kartor/A 40104-2019 karta.png", "A 40104-2019")</f>
        <v/>
      </c>
      <c r="V112">
        <f>HYPERLINK("https://klasma.github.io/Logging_0380/klagomål/A 40104-2019 FSC-klagomål.docx", "A 40104-2019")</f>
        <v/>
      </c>
      <c r="W112">
        <f>HYPERLINK("https://klasma.github.io/Logging_0380/klagomålsmail/A 40104-2019 FSC-klagomål mail.docx", "A 40104-2019")</f>
        <v/>
      </c>
      <c r="X112">
        <f>HYPERLINK("https://klasma.github.io/Logging_0380/tillsyn/A 40104-2019 tillsynsbegäran.docx", "A 40104-2019")</f>
        <v/>
      </c>
      <c r="Y112">
        <f>HYPERLINK("https://klasma.github.io/Logging_0380/tillsynsmail/A 40104-2019 tillsynsbegäran mail.docx", "A 40104-2019")</f>
        <v/>
      </c>
    </row>
    <row r="113" ht="15" customHeight="1">
      <c r="A113" t="inlineStr">
        <is>
          <t>A 40111-2019</t>
        </is>
      </c>
      <c r="B113" s="1" t="n">
        <v>43693</v>
      </c>
      <c r="C113" s="1" t="n">
        <v>45664</v>
      </c>
      <c r="D113" t="inlineStr">
        <is>
          <t>UPPSALA LÄN</t>
        </is>
      </c>
      <c r="E113" t="inlineStr">
        <is>
          <t>UPPSALA</t>
        </is>
      </c>
      <c r="G113" t="n">
        <v>1.9</v>
      </c>
      <c r="H113" t="n">
        <v>1</v>
      </c>
      <c r="I113" t="n">
        <v>0</v>
      </c>
      <c r="J113" t="n">
        <v>0</v>
      </c>
      <c r="K113" t="n">
        <v>0</v>
      </c>
      <c r="L113" t="n">
        <v>0</v>
      </c>
      <c r="M113" t="n">
        <v>0</v>
      </c>
      <c r="N113" t="n">
        <v>0</v>
      </c>
      <c r="O113" t="n">
        <v>0</v>
      </c>
      <c r="P113" t="n">
        <v>0</v>
      </c>
      <c r="Q113" t="n">
        <v>1</v>
      </c>
      <c r="R113" s="2" t="inlineStr">
        <is>
          <t>Blåsippa</t>
        </is>
      </c>
      <c r="S113">
        <f>HYPERLINK("https://klasma.github.io/Logging_0380/artfynd/A 40111-2019 artfynd.xlsx", "A 40111-2019")</f>
        <v/>
      </c>
      <c r="T113">
        <f>HYPERLINK("https://klasma.github.io/Logging_0380/kartor/A 40111-2019 karta.png", "A 40111-2019")</f>
        <v/>
      </c>
      <c r="V113">
        <f>HYPERLINK("https://klasma.github.io/Logging_0380/klagomål/A 40111-2019 FSC-klagomål.docx", "A 40111-2019")</f>
        <v/>
      </c>
      <c r="W113">
        <f>HYPERLINK("https://klasma.github.io/Logging_0380/klagomålsmail/A 40111-2019 FSC-klagomål mail.docx", "A 40111-2019")</f>
        <v/>
      </c>
      <c r="X113">
        <f>HYPERLINK("https://klasma.github.io/Logging_0380/tillsyn/A 40111-2019 tillsynsbegäran.docx", "A 40111-2019")</f>
        <v/>
      </c>
      <c r="Y113">
        <f>HYPERLINK("https://klasma.github.io/Logging_0380/tillsynsmail/A 40111-2019 tillsynsbegäran mail.docx", "A 40111-2019")</f>
        <v/>
      </c>
    </row>
    <row r="114" ht="15" customHeight="1">
      <c r="A114" t="inlineStr">
        <is>
          <t>A 49081-2019</t>
        </is>
      </c>
      <c r="B114" s="1" t="n">
        <v>43731</v>
      </c>
      <c r="C114" s="1" t="n">
        <v>45664</v>
      </c>
      <c r="D114" t="inlineStr">
        <is>
          <t>UPPSALA LÄN</t>
        </is>
      </c>
      <c r="E114" t="inlineStr">
        <is>
          <t>UPPSALA</t>
        </is>
      </c>
      <c r="G114" t="n">
        <v>14.4</v>
      </c>
      <c r="H114" t="n">
        <v>1</v>
      </c>
      <c r="I114" t="n">
        <v>0</v>
      </c>
      <c r="J114" t="n">
        <v>0</v>
      </c>
      <c r="K114" t="n">
        <v>0</v>
      </c>
      <c r="L114" t="n">
        <v>0</v>
      </c>
      <c r="M114" t="n">
        <v>0</v>
      </c>
      <c r="N114" t="n">
        <v>0</v>
      </c>
      <c r="O114" t="n">
        <v>0</v>
      </c>
      <c r="P114" t="n">
        <v>0</v>
      </c>
      <c r="Q114" t="n">
        <v>1</v>
      </c>
      <c r="R114" s="2" t="inlineStr">
        <is>
          <t>Vanlig padda</t>
        </is>
      </c>
      <c r="S114">
        <f>HYPERLINK("https://klasma.github.io/Logging_0380/artfynd/A 49081-2019 artfynd.xlsx", "A 49081-2019")</f>
        <v/>
      </c>
      <c r="T114">
        <f>HYPERLINK("https://klasma.github.io/Logging_0380/kartor/A 49081-2019 karta.png", "A 49081-2019")</f>
        <v/>
      </c>
      <c r="V114">
        <f>HYPERLINK("https://klasma.github.io/Logging_0380/klagomål/A 49081-2019 FSC-klagomål.docx", "A 49081-2019")</f>
        <v/>
      </c>
      <c r="W114">
        <f>HYPERLINK("https://klasma.github.io/Logging_0380/klagomålsmail/A 49081-2019 FSC-klagomål mail.docx", "A 49081-2019")</f>
        <v/>
      </c>
      <c r="X114">
        <f>HYPERLINK("https://klasma.github.io/Logging_0380/tillsyn/A 49081-2019 tillsynsbegäran.docx", "A 49081-2019")</f>
        <v/>
      </c>
      <c r="Y114">
        <f>HYPERLINK("https://klasma.github.io/Logging_0380/tillsynsmail/A 49081-2019 tillsynsbegäran mail.docx", "A 49081-2019")</f>
        <v/>
      </c>
    </row>
    <row r="115" ht="15" customHeight="1">
      <c r="A115" t="inlineStr">
        <is>
          <t>A 54859-2019</t>
        </is>
      </c>
      <c r="B115" s="1" t="n">
        <v>43755</v>
      </c>
      <c r="C115" s="1" t="n">
        <v>45664</v>
      </c>
      <c r="D115" t="inlineStr">
        <is>
          <t>UPPSALA LÄN</t>
        </is>
      </c>
      <c r="E115" t="inlineStr">
        <is>
          <t>UPPSALA</t>
        </is>
      </c>
      <c r="G115" t="n">
        <v>2.4</v>
      </c>
      <c r="H115" t="n">
        <v>1</v>
      </c>
      <c r="I115" t="n">
        <v>0</v>
      </c>
      <c r="J115" t="n">
        <v>1</v>
      </c>
      <c r="K115" t="n">
        <v>0</v>
      </c>
      <c r="L115" t="n">
        <v>0</v>
      </c>
      <c r="M115" t="n">
        <v>0</v>
      </c>
      <c r="N115" t="n">
        <v>0</v>
      </c>
      <c r="O115" t="n">
        <v>1</v>
      </c>
      <c r="P115" t="n">
        <v>0</v>
      </c>
      <c r="Q115" t="n">
        <v>1</v>
      </c>
      <c r="R115" s="2" t="inlineStr">
        <is>
          <t>Slaguggla</t>
        </is>
      </c>
      <c r="S115">
        <f>HYPERLINK("https://klasma.github.io/Logging_0380/artfynd/A 54859-2019 artfynd.xlsx", "A 54859-2019")</f>
        <v/>
      </c>
      <c r="T115">
        <f>HYPERLINK("https://klasma.github.io/Logging_0380/kartor/A 54859-2019 karta.png", "A 54859-2019")</f>
        <v/>
      </c>
      <c r="V115">
        <f>HYPERLINK("https://klasma.github.io/Logging_0380/klagomål/A 54859-2019 FSC-klagomål.docx", "A 54859-2019")</f>
        <v/>
      </c>
      <c r="W115">
        <f>HYPERLINK("https://klasma.github.io/Logging_0380/klagomålsmail/A 54859-2019 FSC-klagomål mail.docx", "A 54859-2019")</f>
        <v/>
      </c>
      <c r="X115">
        <f>HYPERLINK("https://klasma.github.io/Logging_0380/tillsyn/A 54859-2019 tillsynsbegäran.docx", "A 54859-2019")</f>
        <v/>
      </c>
      <c r="Y115">
        <f>HYPERLINK("https://klasma.github.io/Logging_0380/tillsynsmail/A 54859-2019 tillsynsbegäran mail.docx", "A 54859-2019")</f>
        <v/>
      </c>
      <c r="Z115">
        <f>HYPERLINK("https://klasma.github.io/Logging_0380/fåglar/A 54859-2019 prioriterade fågelarter.docx", "A 54859-2019")</f>
        <v/>
      </c>
    </row>
    <row r="116" ht="15" customHeight="1">
      <c r="A116" t="inlineStr">
        <is>
          <t>A 6659-2020</t>
        </is>
      </c>
      <c r="B116" s="1" t="n">
        <v>43867</v>
      </c>
      <c r="C116" s="1" t="n">
        <v>45664</v>
      </c>
      <c r="D116" t="inlineStr">
        <is>
          <t>UPPSALA LÄN</t>
        </is>
      </c>
      <c r="E116" t="inlineStr">
        <is>
          <t>UPPSALA</t>
        </is>
      </c>
      <c r="G116" t="n">
        <v>3.4</v>
      </c>
      <c r="H116" t="n">
        <v>1</v>
      </c>
      <c r="I116" t="n">
        <v>0</v>
      </c>
      <c r="J116" t="n">
        <v>0</v>
      </c>
      <c r="K116" t="n">
        <v>0</v>
      </c>
      <c r="L116" t="n">
        <v>0</v>
      </c>
      <c r="M116" t="n">
        <v>0</v>
      </c>
      <c r="N116" t="n">
        <v>0</v>
      </c>
      <c r="O116" t="n">
        <v>0</v>
      </c>
      <c r="P116" t="n">
        <v>0</v>
      </c>
      <c r="Q116" t="n">
        <v>1</v>
      </c>
      <c r="R116" s="2" t="inlineStr">
        <is>
          <t>Mindre vattensalamander</t>
        </is>
      </c>
      <c r="S116">
        <f>HYPERLINK("https://klasma.github.io/Logging_0380/artfynd/A 6659-2020 artfynd.xlsx", "A 6659-2020")</f>
        <v/>
      </c>
      <c r="T116">
        <f>HYPERLINK("https://klasma.github.io/Logging_0380/kartor/A 6659-2020 karta.png", "A 6659-2020")</f>
        <v/>
      </c>
      <c r="V116">
        <f>HYPERLINK("https://klasma.github.io/Logging_0380/klagomål/A 6659-2020 FSC-klagomål.docx", "A 6659-2020")</f>
        <v/>
      </c>
      <c r="W116">
        <f>HYPERLINK("https://klasma.github.io/Logging_0380/klagomålsmail/A 6659-2020 FSC-klagomål mail.docx", "A 6659-2020")</f>
        <v/>
      </c>
      <c r="X116">
        <f>HYPERLINK("https://klasma.github.io/Logging_0380/tillsyn/A 6659-2020 tillsynsbegäran.docx", "A 6659-2020")</f>
        <v/>
      </c>
      <c r="Y116">
        <f>HYPERLINK("https://klasma.github.io/Logging_0380/tillsynsmail/A 6659-2020 tillsynsbegäran mail.docx", "A 6659-2020")</f>
        <v/>
      </c>
    </row>
    <row r="117" ht="15" customHeight="1">
      <c r="A117" t="inlineStr">
        <is>
          <t>A 12786-2020</t>
        </is>
      </c>
      <c r="B117" s="1" t="n">
        <v>43893</v>
      </c>
      <c r="C117" s="1" t="n">
        <v>45664</v>
      </c>
      <c r="D117" t="inlineStr">
        <is>
          <t>UPPSALA LÄN</t>
        </is>
      </c>
      <c r="E117" t="inlineStr">
        <is>
          <t>UPPSALA</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HYPERLINK("https://klasma.github.io/Logging_0380/artfynd/A 12786-2020 artfynd.xlsx", "A 12786-2020")</f>
        <v/>
      </c>
      <c r="T117">
        <f>HYPERLINK("https://klasma.github.io/Logging_0380/kartor/A 12786-2020 karta.png", "A 12786-2020")</f>
        <v/>
      </c>
      <c r="V117">
        <f>HYPERLINK("https://klasma.github.io/Logging_0380/klagomål/A 12786-2020 FSC-klagomål.docx", "A 12786-2020")</f>
        <v/>
      </c>
      <c r="W117">
        <f>HYPERLINK("https://klasma.github.io/Logging_0380/klagomålsmail/A 12786-2020 FSC-klagomål mail.docx", "A 12786-2020")</f>
        <v/>
      </c>
      <c r="X117">
        <f>HYPERLINK("https://klasma.github.io/Logging_0380/tillsyn/A 12786-2020 tillsynsbegäran.docx", "A 12786-2020")</f>
        <v/>
      </c>
      <c r="Y117">
        <f>HYPERLINK("https://klasma.github.io/Logging_0380/tillsynsmail/A 12786-2020 tillsynsbegäran mail.docx", "A 12786-2020")</f>
        <v/>
      </c>
    </row>
    <row r="118" ht="15" customHeight="1">
      <c r="A118" t="inlineStr">
        <is>
          <t>A 25299-2020</t>
        </is>
      </c>
      <c r="B118" s="1" t="n">
        <v>43980</v>
      </c>
      <c r="C118" s="1" t="n">
        <v>45664</v>
      </c>
      <c r="D118" t="inlineStr">
        <is>
          <t>UPPSALA LÄN</t>
        </is>
      </c>
      <c r="E118" t="inlineStr">
        <is>
          <t>UPPSALA</t>
        </is>
      </c>
      <c r="F118" t="inlineStr">
        <is>
          <t>Bergvik skog öst AB</t>
        </is>
      </c>
      <c r="G118" t="n">
        <v>2.5</v>
      </c>
      <c r="H118" t="n">
        <v>0</v>
      </c>
      <c r="I118" t="n">
        <v>1</v>
      </c>
      <c r="J118" t="n">
        <v>0</v>
      </c>
      <c r="K118" t="n">
        <v>0</v>
      </c>
      <c r="L118" t="n">
        <v>0</v>
      </c>
      <c r="M118" t="n">
        <v>0</v>
      </c>
      <c r="N118" t="n">
        <v>0</v>
      </c>
      <c r="O118" t="n">
        <v>0</v>
      </c>
      <c r="P118" t="n">
        <v>0</v>
      </c>
      <c r="Q118" t="n">
        <v>1</v>
      </c>
      <c r="R118" s="2" t="inlineStr">
        <is>
          <t>Scharlakansskål</t>
        </is>
      </c>
      <c r="S118">
        <f>HYPERLINK("https://klasma.github.io/Logging_0380/artfynd/A 25299-2020 artfynd.xlsx", "A 25299-2020")</f>
        <v/>
      </c>
      <c r="T118">
        <f>HYPERLINK("https://klasma.github.io/Logging_0380/kartor/A 25299-2020 karta.png", "A 25299-2020")</f>
        <v/>
      </c>
      <c r="V118">
        <f>HYPERLINK("https://klasma.github.io/Logging_0380/klagomål/A 25299-2020 FSC-klagomål.docx", "A 25299-2020")</f>
        <v/>
      </c>
      <c r="W118">
        <f>HYPERLINK("https://klasma.github.io/Logging_0380/klagomålsmail/A 25299-2020 FSC-klagomål mail.docx", "A 25299-2020")</f>
        <v/>
      </c>
      <c r="X118">
        <f>HYPERLINK("https://klasma.github.io/Logging_0380/tillsyn/A 25299-2020 tillsynsbegäran.docx", "A 25299-2020")</f>
        <v/>
      </c>
      <c r="Y118">
        <f>HYPERLINK("https://klasma.github.io/Logging_0380/tillsynsmail/A 25299-2020 tillsynsbegäran mail.docx", "A 25299-2020")</f>
        <v/>
      </c>
    </row>
    <row r="119" ht="15" customHeight="1">
      <c r="A119" t="inlineStr">
        <is>
          <t>A 35478-2020</t>
        </is>
      </c>
      <c r="B119" s="1" t="n">
        <v>44042</v>
      </c>
      <c r="C119" s="1" t="n">
        <v>45664</v>
      </c>
      <c r="D119" t="inlineStr">
        <is>
          <t>UPPSALA LÄN</t>
        </is>
      </c>
      <c r="E119" t="inlineStr">
        <is>
          <t>UPPSALA</t>
        </is>
      </c>
      <c r="G119" t="n">
        <v>2.5</v>
      </c>
      <c r="H119" t="n">
        <v>0</v>
      </c>
      <c r="I119" t="n">
        <v>1</v>
      </c>
      <c r="J119" t="n">
        <v>0</v>
      </c>
      <c r="K119" t="n">
        <v>0</v>
      </c>
      <c r="L119" t="n">
        <v>0</v>
      </c>
      <c r="M119" t="n">
        <v>0</v>
      </c>
      <c r="N119" t="n">
        <v>0</v>
      </c>
      <c r="O119" t="n">
        <v>0</v>
      </c>
      <c r="P119" t="n">
        <v>0</v>
      </c>
      <c r="Q119" t="n">
        <v>1</v>
      </c>
      <c r="R119" s="2" t="inlineStr">
        <is>
          <t>Stor aspticka</t>
        </is>
      </c>
      <c r="S119">
        <f>HYPERLINK("https://klasma.github.io/Logging_0380/artfynd/A 35478-2020 artfynd.xlsx", "A 35478-2020")</f>
        <v/>
      </c>
      <c r="T119">
        <f>HYPERLINK("https://klasma.github.io/Logging_0380/kartor/A 35478-2020 karta.png", "A 35478-2020")</f>
        <v/>
      </c>
      <c r="V119">
        <f>HYPERLINK("https://klasma.github.io/Logging_0380/klagomål/A 35478-2020 FSC-klagomål.docx", "A 35478-2020")</f>
        <v/>
      </c>
      <c r="W119">
        <f>HYPERLINK("https://klasma.github.io/Logging_0380/klagomålsmail/A 35478-2020 FSC-klagomål mail.docx", "A 35478-2020")</f>
        <v/>
      </c>
      <c r="X119">
        <f>HYPERLINK("https://klasma.github.io/Logging_0380/tillsyn/A 35478-2020 tillsynsbegäran.docx", "A 35478-2020")</f>
        <v/>
      </c>
      <c r="Y119">
        <f>HYPERLINK("https://klasma.github.io/Logging_0380/tillsynsmail/A 35478-2020 tillsynsbegäran mail.docx", "A 35478-2020")</f>
        <v/>
      </c>
    </row>
    <row r="120" ht="15" customHeight="1">
      <c r="A120" t="inlineStr">
        <is>
          <t>A 43192-2020</t>
        </is>
      </c>
      <c r="B120" s="1" t="n">
        <v>44081</v>
      </c>
      <c r="C120" s="1" t="n">
        <v>45664</v>
      </c>
      <c r="D120" t="inlineStr">
        <is>
          <t>UPPSALA LÄN</t>
        </is>
      </c>
      <c r="E120" t="inlineStr">
        <is>
          <t>UPPSALA</t>
        </is>
      </c>
      <c r="G120" t="n">
        <v>16.5</v>
      </c>
      <c r="H120" t="n">
        <v>0</v>
      </c>
      <c r="I120" t="n">
        <v>0</v>
      </c>
      <c r="J120" t="n">
        <v>1</v>
      </c>
      <c r="K120" t="n">
        <v>0</v>
      </c>
      <c r="L120" t="n">
        <v>0</v>
      </c>
      <c r="M120" t="n">
        <v>0</v>
      </c>
      <c r="N120" t="n">
        <v>0</v>
      </c>
      <c r="O120" t="n">
        <v>1</v>
      </c>
      <c r="P120" t="n">
        <v>0</v>
      </c>
      <c r="Q120" t="n">
        <v>1</v>
      </c>
      <c r="R120" s="2" t="inlineStr">
        <is>
          <t>Lunglav</t>
        </is>
      </c>
      <c r="S120">
        <f>HYPERLINK("https://klasma.github.io/Logging_0380/artfynd/A 43192-2020 artfynd.xlsx", "A 43192-2020")</f>
        <v/>
      </c>
      <c r="T120">
        <f>HYPERLINK("https://klasma.github.io/Logging_0380/kartor/A 43192-2020 karta.png", "A 43192-2020")</f>
        <v/>
      </c>
      <c r="V120">
        <f>HYPERLINK("https://klasma.github.io/Logging_0380/klagomål/A 43192-2020 FSC-klagomål.docx", "A 43192-2020")</f>
        <v/>
      </c>
      <c r="W120">
        <f>HYPERLINK("https://klasma.github.io/Logging_0380/klagomålsmail/A 43192-2020 FSC-klagomål mail.docx", "A 43192-2020")</f>
        <v/>
      </c>
      <c r="X120">
        <f>HYPERLINK("https://klasma.github.io/Logging_0380/tillsyn/A 43192-2020 tillsynsbegäran.docx", "A 43192-2020")</f>
        <v/>
      </c>
      <c r="Y120">
        <f>HYPERLINK("https://klasma.github.io/Logging_0380/tillsynsmail/A 43192-2020 tillsynsbegäran mail.docx", "A 43192-2020")</f>
        <v/>
      </c>
    </row>
    <row r="121" ht="15" customHeight="1">
      <c r="A121" t="inlineStr">
        <is>
          <t>A 12255-2021</t>
        </is>
      </c>
      <c r="B121" s="1" t="n">
        <v>44266</v>
      </c>
      <c r="C121" s="1" t="n">
        <v>45664</v>
      </c>
      <c r="D121" t="inlineStr">
        <is>
          <t>UPPSALA LÄN</t>
        </is>
      </c>
      <c r="E121" t="inlineStr">
        <is>
          <t>UPPSALA</t>
        </is>
      </c>
      <c r="F121" t="inlineStr">
        <is>
          <t>Bergvik skog öst AB</t>
        </is>
      </c>
      <c r="G121" t="n">
        <v>19.1</v>
      </c>
      <c r="H121" t="n">
        <v>0</v>
      </c>
      <c r="I121" t="n">
        <v>0</v>
      </c>
      <c r="J121" t="n">
        <v>1</v>
      </c>
      <c r="K121" t="n">
        <v>0</v>
      </c>
      <c r="L121" t="n">
        <v>0</v>
      </c>
      <c r="M121" t="n">
        <v>0</v>
      </c>
      <c r="N121" t="n">
        <v>0</v>
      </c>
      <c r="O121" t="n">
        <v>1</v>
      </c>
      <c r="P121" t="n">
        <v>0</v>
      </c>
      <c r="Q121" t="n">
        <v>1</v>
      </c>
      <c r="R121" s="2" t="inlineStr">
        <is>
          <t>Sexfläckig bastardsvärmare</t>
        </is>
      </c>
      <c r="S121">
        <f>HYPERLINK("https://klasma.github.io/Logging_0380/artfynd/A 12255-2021 artfynd.xlsx", "A 12255-2021")</f>
        <v/>
      </c>
      <c r="T121">
        <f>HYPERLINK("https://klasma.github.io/Logging_0380/kartor/A 12255-2021 karta.png", "A 12255-2021")</f>
        <v/>
      </c>
      <c r="V121">
        <f>HYPERLINK("https://klasma.github.io/Logging_0380/klagomål/A 12255-2021 FSC-klagomål.docx", "A 12255-2021")</f>
        <v/>
      </c>
      <c r="W121">
        <f>HYPERLINK("https://klasma.github.io/Logging_0380/klagomålsmail/A 12255-2021 FSC-klagomål mail.docx", "A 12255-2021")</f>
        <v/>
      </c>
      <c r="X121">
        <f>HYPERLINK("https://klasma.github.io/Logging_0380/tillsyn/A 12255-2021 tillsynsbegäran.docx", "A 12255-2021")</f>
        <v/>
      </c>
      <c r="Y121">
        <f>HYPERLINK("https://klasma.github.io/Logging_0380/tillsynsmail/A 12255-2021 tillsynsbegäran mail.docx", "A 12255-2021")</f>
        <v/>
      </c>
    </row>
    <row r="122" ht="15" customHeight="1">
      <c r="A122" t="inlineStr">
        <is>
          <t>A 52849-2021</t>
        </is>
      </c>
      <c r="B122" s="1" t="n">
        <v>44467</v>
      </c>
      <c r="C122" s="1" t="n">
        <v>45664</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58050-2021</t>
        </is>
      </c>
      <c r="B123" s="1" t="n">
        <v>44487</v>
      </c>
      <c r="C123" s="1" t="n">
        <v>45664</v>
      </c>
      <c r="D123" t="inlineStr">
        <is>
          <t>UPPSALA LÄN</t>
        </is>
      </c>
      <c r="E123" t="inlineStr">
        <is>
          <t>UPPSALA</t>
        </is>
      </c>
      <c r="G123" t="n">
        <v>4.4</v>
      </c>
      <c r="H123" t="n">
        <v>0</v>
      </c>
      <c r="I123" t="n">
        <v>0</v>
      </c>
      <c r="J123" t="n">
        <v>1</v>
      </c>
      <c r="K123" t="n">
        <v>0</v>
      </c>
      <c r="L123" t="n">
        <v>0</v>
      </c>
      <c r="M123" t="n">
        <v>0</v>
      </c>
      <c r="N123" t="n">
        <v>0</v>
      </c>
      <c r="O123" t="n">
        <v>1</v>
      </c>
      <c r="P123" t="n">
        <v>0</v>
      </c>
      <c r="Q123" t="n">
        <v>1</v>
      </c>
      <c r="R123" s="2" t="inlineStr">
        <is>
          <t>Ullticka</t>
        </is>
      </c>
      <c r="S123">
        <f>HYPERLINK("https://klasma.github.io/Logging_0380/artfynd/A 58050-2021 artfynd.xlsx", "A 58050-2021")</f>
        <v/>
      </c>
      <c r="T123">
        <f>HYPERLINK("https://klasma.github.io/Logging_0380/kartor/A 58050-2021 karta.png", "A 58050-2021")</f>
        <v/>
      </c>
      <c r="V123">
        <f>HYPERLINK("https://klasma.github.io/Logging_0380/klagomål/A 58050-2021 FSC-klagomål.docx", "A 58050-2021")</f>
        <v/>
      </c>
      <c r="W123">
        <f>HYPERLINK("https://klasma.github.io/Logging_0380/klagomålsmail/A 58050-2021 FSC-klagomål mail.docx", "A 58050-2021")</f>
        <v/>
      </c>
      <c r="X123">
        <f>HYPERLINK("https://klasma.github.io/Logging_0380/tillsyn/A 58050-2021 tillsynsbegäran.docx", "A 58050-2021")</f>
        <v/>
      </c>
      <c r="Y123">
        <f>HYPERLINK("https://klasma.github.io/Logging_0380/tillsynsmail/A 58050-2021 tillsynsbegäran mail.docx", "A 58050-2021")</f>
        <v/>
      </c>
    </row>
    <row r="124" ht="15" customHeight="1">
      <c r="A124" t="inlineStr">
        <is>
          <t>A 58906-2021</t>
        </is>
      </c>
      <c r="B124" s="1" t="n">
        <v>44489</v>
      </c>
      <c r="C124" s="1" t="n">
        <v>45664</v>
      </c>
      <c r="D124" t="inlineStr">
        <is>
          <t>UPPSALA LÄN</t>
        </is>
      </c>
      <c r="E124" t="inlineStr">
        <is>
          <t>UPPSALA</t>
        </is>
      </c>
      <c r="G124" t="n">
        <v>8.6</v>
      </c>
      <c r="H124" t="n">
        <v>0</v>
      </c>
      <c r="I124" t="n">
        <v>0</v>
      </c>
      <c r="J124" t="n">
        <v>1</v>
      </c>
      <c r="K124" t="n">
        <v>0</v>
      </c>
      <c r="L124" t="n">
        <v>0</v>
      </c>
      <c r="M124" t="n">
        <v>0</v>
      </c>
      <c r="N124" t="n">
        <v>0</v>
      </c>
      <c r="O124" t="n">
        <v>1</v>
      </c>
      <c r="P124" t="n">
        <v>0</v>
      </c>
      <c r="Q124" t="n">
        <v>1</v>
      </c>
      <c r="R124" s="2" t="inlineStr">
        <is>
          <t>Ullticka</t>
        </is>
      </c>
      <c r="S124">
        <f>HYPERLINK("https://klasma.github.io/Logging_0380/artfynd/A 58906-2021 artfynd.xlsx", "A 58906-2021")</f>
        <v/>
      </c>
      <c r="T124">
        <f>HYPERLINK("https://klasma.github.io/Logging_0380/kartor/A 58906-2021 karta.png", "A 58906-2021")</f>
        <v/>
      </c>
      <c r="V124">
        <f>HYPERLINK("https://klasma.github.io/Logging_0380/klagomål/A 58906-2021 FSC-klagomål.docx", "A 58906-2021")</f>
        <v/>
      </c>
      <c r="W124">
        <f>HYPERLINK("https://klasma.github.io/Logging_0380/klagomålsmail/A 58906-2021 FSC-klagomål mail.docx", "A 58906-2021")</f>
        <v/>
      </c>
      <c r="X124">
        <f>HYPERLINK("https://klasma.github.io/Logging_0380/tillsyn/A 58906-2021 tillsynsbegäran.docx", "A 58906-2021")</f>
        <v/>
      </c>
      <c r="Y124">
        <f>HYPERLINK("https://klasma.github.io/Logging_0380/tillsynsmail/A 58906-2021 tillsynsbegäran mail.docx", "A 58906-2021")</f>
        <v/>
      </c>
    </row>
    <row r="125" ht="15" customHeight="1">
      <c r="A125" t="inlineStr">
        <is>
          <t>A 3257-2022</t>
        </is>
      </c>
      <c r="B125" s="1" t="n">
        <v>44583</v>
      </c>
      <c r="C125" s="1" t="n">
        <v>45664</v>
      </c>
      <c r="D125" t="inlineStr">
        <is>
          <t>UPPSALA LÄN</t>
        </is>
      </c>
      <c r="E125" t="inlineStr">
        <is>
          <t>UPPSALA</t>
        </is>
      </c>
      <c r="F125" t="inlineStr">
        <is>
          <t>Holmen skog AB</t>
        </is>
      </c>
      <c r="G125" t="n">
        <v>1.9</v>
      </c>
      <c r="H125" t="n">
        <v>0</v>
      </c>
      <c r="I125" t="n">
        <v>1</v>
      </c>
      <c r="J125" t="n">
        <v>0</v>
      </c>
      <c r="K125" t="n">
        <v>0</v>
      </c>
      <c r="L125" t="n">
        <v>0</v>
      </c>
      <c r="M125" t="n">
        <v>0</v>
      </c>
      <c r="N125" t="n">
        <v>0</v>
      </c>
      <c r="O125" t="n">
        <v>0</v>
      </c>
      <c r="P125" t="n">
        <v>0</v>
      </c>
      <c r="Q125" t="n">
        <v>1</v>
      </c>
      <c r="R125" s="2" t="inlineStr">
        <is>
          <t>Gulpudrad spiklav</t>
        </is>
      </c>
      <c r="S125">
        <f>HYPERLINK("https://klasma.github.io/Logging_0380/artfynd/A 3257-2022 artfynd.xlsx", "A 3257-2022")</f>
        <v/>
      </c>
      <c r="T125">
        <f>HYPERLINK("https://klasma.github.io/Logging_0380/kartor/A 3257-2022 karta.png", "A 3257-2022")</f>
        <v/>
      </c>
      <c r="V125">
        <f>HYPERLINK("https://klasma.github.io/Logging_0380/klagomål/A 3257-2022 FSC-klagomål.docx", "A 3257-2022")</f>
        <v/>
      </c>
      <c r="W125">
        <f>HYPERLINK("https://klasma.github.io/Logging_0380/klagomålsmail/A 3257-2022 FSC-klagomål mail.docx", "A 3257-2022")</f>
        <v/>
      </c>
      <c r="X125">
        <f>HYPERLINK("https://klasma.github.io/Logging_0380/tillsyn/A 3257-2022 tillsynsbegäran.docx", "A 3257-2022")</f>
        <v/>
      </c>
      <c r="Y125">
        <f>HYPERLINK("https://klasma.github.io/Logging_0380/tillsynsmail/A 3257-2022 tillsynsbegäran mail.docx", "A 3257-2022")</f>
        <v/>
      </c>
    </row>
    <row r="126" ht="15" customHeight="1">
      <c r="A126" t="inlineStr">
        <is>
          <t>A 4449-2022</t>
        </is>
      </c>
      <c r="B126" s="1" t="n">
        <v>44589</v>
      </c>
      <c r="C126" s="1" t="n">
        <v>45664</v>
      </c>
      <c r="D126" t="inlineStr">
        <is>
          <t>UPPSALA LÄN</t>
        </is>
      </c>
      <c r="E126" t="inlineStr">
        <is>
          <t>UPPSALA</t>
        </is>
      </c>
      <c r="G126" t="n">
        <v>8.9</v>
      </c>
      <c r="H126" t="n">
        <v>0</v>
      </c>
      <c r="I126" t="n">
        <v>0</v>
      </c>
      <c r="J126" t="n">
        <v>1</v>
      </c>
      <c r="K126" t="n">
        <v>0</v>
      </c>
      <c r="L126" t="n">
        <v>0</v>
      </c>
      <c r="M126" t="n">
        <v>0</v>
      </c>
      <c r="N126" t="n">
        <v>0</v>
      </c>
      <c r="O126" t="n">
        <v>1</v>
      </c>
      <c r="P126" t="n">
        <v>0</v>
      </c>
      <c r="Q126" t="n">
        <v>1</v>
      </c>
      <c r="R126" s="2" t="inlineStr">
        <is>
          <t>Gul taggsvamp</t>
        </is>
      </c>
      <c r="S126">
        <f>HYPERLINK("https://klasma.github.io/Logging_0380/artfynd/A 4449-2022 artfynd.xlsx", "A 4449-2022")</f>
        <v/>
      </c>
      <c r="T126">
        <f>HYPERLINK("https://klasma.github.io/Logging_0380/kartor/A 4449-2022 karta.png", "A 4449-2022")</f>
        <v/>
      </c>
      <c r="V126">
        <f>HYPERLINK("https://klasma.github.io/Logging_0380/klagomål/A 4449-2022 FSC-klagomål.docx", "A 4449-2022")</f>
        <v/>
      </c>
      <c r="W126">
        <f>HYPERLINK("https://klasma.github.io/Logging_0380/klagomålsmail/A 4449-2022 FSC-klagomål mail.docx", "A 4449-2022")</f>
        <v/>
      </c>
      <c r="X126">
        <f>HYPERLINK("https://klasma.github.io/Logging_0380/tillsyn/A 4449-2022 tillsynsbegäran.docx", "A 4449-2022")</f>
        <v/>
      </c>
      <c r="Y126">
        <f>HYPERLINK("https://klasma.github.io/Logging_0380/tillsynsmail/A 4449-2022 tillsynsbegäran mail.docx", "A 4449-2022")</f>
        <v/>
      </c>
    </row>
    <row r="127" ht="15" customHeight="1">
      <c r="A127" t="inlineStr">
        <is>
          <t>A 8865-2022</t>
        </is>
      </c>
      <c r="B127" s="1" t="n">
        <v>44614</v>
      </c>
      <c r="C127" s="1" t="n">
        <v>45664</v>
      </c>
      <c r="D127" t="inlineStr">
        <is>
          <t>UPPSALA LÄN</t>
        </is>
      </c>
      <c r="E127" t="inlineStr">
        <is>
          <t>UPPSALA</t>
        </is>
      </c>
      <c r="G127" t="n">
        <v>1.1</v>
      </c>
      <c r="H127" t="n">
        <v>0</v>
      </c>
      <c r="I127" t="n">
        <v>1</v>
      </c>
      <c r="J127" t="n">
        <v>0</v>
      </c>
      <c r="K127" t="n">
        <v>0</v>
      </c>
      <c r="L127" t="n">
        <v>0</v>
      </c>
      <c r="M127" t="n">
        <v>0</v>
      </c>
      <c r="N127" t="n">
        <v>0</v>
      </c>
      <c r="O127" t="n">
        <v>0</v>
      </c>
      <c r="P127" t="n">
        <v>0</v>
      </c>
      <c r="Q127" t="n">
        <v>1</v>
      </c>
      <c r="R127" s="2" t="inlineStr">
        <is>
          <t>Narrtagging</t>
        </is>
      </c>
      <c r="S127">
        <f>HYPERLINK("https://klasma.github.io/Logging_0380/artfynd/A 8865-2022 artfynd.xlsx", "A 8865-2022")</f>
        <v/>
      </c>
      <c r="T127">
        <f>HYPERLINK("https://klasma.github.io/Logging_0380/kartor/A 8865-2022 karta.png", "A 8865-2022")</f>
        <v/>
      </c>
      <c r="V127">
        <f>HYPERLINK("https://klasma.github.io/Logging_0380/klagomål/A 8865-2022 FSC-klagomål.docx", "A 8865-2022")</f>
        <v/>
      </c>
      <c r="W127">
        <f>HYPERLINK("https://klasma.github.io/Logging_0380/klagomålsmail/A 8865-2022 FSC-klagomål mail.docx", "A 8865-2022")</f>
        <v/>
      </c>
      <c r="X127">
        <f>HYPERLINK("https://klasma.github.io/Logging_0380/tillsyn/A 8865-2022 tillsynsbegäran.docx", "A 8865-2022")</f>
        <v/>
      </c>
      <c r="Y127">
        <f>HYPERLINK("https://klasma.github.io/Logging_0380/tillsynsmail/A 8865-2022 tillsynsbegäran mail.docx", "A 8865-2022")</f>
        <v/>
      </c>
    </row>
    <row r="128" ht="15" customHeight="1">
      <c r="A128" t="inlineStr">
        <is>
          <t>A 13363-2022</t>
        </is>
      </c>
      <c r="B128" s="1" t="n">
        <v>44645</v>
      </c>
      <c r="C128" s="1" t="n">
        <v>45664</v>
      </c>
      <c r="D128" t="inlineStr">
        <is>
          <t>UPPSALA LÄN</t>
        </is>
      </c>
      <c r="E128" t="inlineStr">
        <is>
          <t>UPPSALA</t>
        </is>
      </c>
      <c r="F128" t="inlineStr">
        <is>
          <t>Övriga Aktiebolag</t>
        </is>
      </c>
      <c r="G128" t="n">
        <v>9.4</v>
      </c>
      <c r="H128" t="n">
        <v>1</v>
      </c>
      <c r="I128" t="n">
        <v>0</v>
      </c>
      <c r="J128" t="n">
        <v>0</v>
      </c>
      <c r="K128" t="n">
        <v>0</v>
      </c>
      <c r="L128" t="n">
        <v>0</v>
      </c>
      <c r="M128" t="n">
        <v>0</v>
      </c>
      <c r="N128" t="n">
        <v>0</v>
      </c>
      <c r="O128" t="n">
        <v>0</v>
      </c>
      <c r="P128" t="n">
        <v>0</v>
      </c>
      <c r="Q128" t="n">
        <v>1</v>
      </c>
      <c r="R128" s="2" t="inlineStr">
        <is>
          <t>Huggorm</t>
        </is>
      </c>
      <c r="S128">
        <f>HYPERLINK("https://klasma.github.io/Logging_0380/artfynd/A 13363-2022 artfynd.xlsx", "A 13363-2022")</f>
        <v/>
      </c>
      <c r="T128">
        <f>HYPERLINK("https://klasma.github.io/Logging_0380/kartor/A 13363-2022 karta.png", "A 13363-2022")</f>
        <v/>
      </c>
      <c r="V128">
        <f>HYPERLINK("https://klasma.github.io/Logging_0380/klagomål/A 13363-2022 FSC-klagomål.docx", "A 13363-2022")</f>
        <v/>
      </c>
      <c r="W128">
        <f>HYPERLINK("https://klasma.github.io/Logging_0380/klagomålsmail/A 13363-2022 FSC-klagomål mail.docx", "A 13363-2022")</f>
        <v/>
      </c>
      <c r="X128">
        <f>HYPERLINK("https://klasma.github.io/Logging_0380/tillsyn/A 13363-2022 tillsynsbegäran.docx", "A 13363-2022")</f>
        <v/>
      </c>
      <c r="Y128">
        <f>HYPERLINK("https://klasma.github.io/Logging_0380/tillsynsmail/A 13363-2022 tillsynsbegäran mail.docx", "A 13363-2022")</f>
        <v/>
      </c>
    </row>
    <row r="129" ht="15" customHeight="1">
      <c r="A129" t="inlineStr">
        <is>
          <t>A 15297-2022</t>
        </is>
      </c>
      <c r="B129" s="1" t="n">
        <v>44659</v>
      </c>
      <c r="C129" s="1" t="n">
        <v>45664</v>
      </c>
      <c r="D129" t="inlineStr">
        <is>
          <t>UPPSALA LÄN</t>
        </is>
      </c>
      <c r="E129" t="inlineStr">
        <is>
          <t>UPPSALA</t>
        </is>
      </c>
      <c r="F129" t="inlineStr">
        <is>
          <t>Övriga Aktiebolag</t>
        </is>
      </c>
      <c r="G129" t="n">
        <v>6.6</v>
      </c>
      <c r="H129" t="n">
        <v>0</v>
      </c>
      <c r="I129" t="n">
        <v>1</v>
      </c>
      <c r="J129" t="n">
        <v>0</v>
      </c>
      <c r="K129" t="n">
        <v>0</v>
      </c>
      <c r="L129" t="n">
        <v>0</v>
      </c>
      <c r="M129" t="n">
        <v>0</v>
      </c>
      <c r="N129" t="n">
        <v>0</v>
      </c>
      <c r="O129" t="n">
        <v>0</v>
      </c>
      <c r="P129" t="n">
        <v>0</v>
      </c>
      <c r="Q129" t="n">
        <v>1</v>
      </c>
      <c r="R129" s="2" t="inlineStr">
        <is>
          <t>Stor aspticka</t>
        </is>
      </c>
      <c r="S129">
        <f>HYPERLINK("https://klasma.github.io/Logging_0380/artfynd/A 15297-2022 artfynd.xlsx", "A 15297-2022")</f>
        <v/>
      </c>
      <c r="T129">
        <f>HYPERLINK("https://klasma.github.io/Logging_0380/kartor/A 15297-2022 karta.png", "A 15297-2022")</f>
        <v/>
      </c>
      <c r="V129">
        <f>HYPERLINK("https://klasma.github.io/Logging_0380/klagomål/A 15297-2022 FSC-klagomål.docx", "A 15297-2022")</f>
        <v/>
      </c>
      <c r="W129">
        <f>HYPERLINK("https://klasma.github.io/Logging_0380/klagomålsmail/A 15297-2022 FSC-klagomål mail.docx", "A 15297-2022")</f>
        <v/>
      </c>
      <c r="X129">
        <f>HYPERLINK("https://klasma.github.io/Logging_0380/tillsyn/A 15297-2022 tillsynsbegäran.docx", "A 15297-2022")</f>
        <v/>
      </c>
      <c r="Y129">
        <f>HYPERLINK("https://klasma.github.io/Logging_0380/tillsynsmail/A 15297-2022 tillsynsbegäran mail.docx", "A 15297-2022")</f>
        <v/>
      </c>
    </row>
    <row r="130" ht="15" customHeight="1">
      <c r="A130" t="inlineStr">
        <is>
          <t>A 19376-2022</t>
        </is>
      </c>
      <c r="B130" s="1" t="n">
        <v>44692</v>
      </c>
      <c r="C130" s="1" t="n">
        <v>45664</v>
      </c>
      <c r="D130" t="inlineStr">
        <is>
          <t>UPPSALA LÄN</t>
        </is>
      </c>
      <c r="E130" t="inlineStr">
        <is>
          <t>UPPSALA</t>
        </is>
      </c>
      <c r="F130" t="inlineStr">
        <is>
          <t>Bergvik skog öst AB</t>
        </is>
      </c>
      <c r="G130" t="n">
        <v>6.8</v>
      </c>
      <c r="H130" t="n">
        <v>0</v>
      </c>
      <c r="I130" t="n">
        <v>1</v>
      </c>
      <c r="J130" t="n">
        <v>0</v>
      </c>
      <c r="K130" t="n">
        <v>0</v>
      </c>
      <c r="L130" t="n">
        <v>0</v>
      </c>
      <c r="M130" t="n">
        <v>0</v>
      </c>
      <c r="N130" t="n">
        <v>0</v>
      </c>
      <c r="O130" t="n">
        <v>0</v>
      </c>
      <c r="P130" t="n">
        <v>0</v>
      </c>
      <c r="Q130" t="n">
        <v>1</v>
      </c>
      <c r="R130" s="2" t="inlineStr">
        <is>
          <t>Vårärt</t>
        </is>
      </c>
      <c r="S130">
        <f>HYPERLINK("https://klasma.github.io/Logging_0380/artfynd/A 19376-2022 artfynd.xlsx", "A 19376-2022")</f>
        <v/>
      </c>
      <c r="T130">
        <f>HYPERLINK("https://klasma.github.io/Logging_0380/kartor/A 19376-2022 karta.png", "A 19376-2022")</f>
        <v/>
      </c>
      <c r="V130">
        <f>HYPERLINK("https://klasma.github.io/Logging_0380/klagomål/A 19376-2022 FSC-klagomål.docx", "A 19376-2022")</f>
        <v/>
      </c>
      <c r="W130">
        <f>HYPERLINK("https://klasma.github.io/Logging_0380/klagomålsmail/A 19376-2022 FSC-klagomål mail.docx", "A 19376-2022")</f>
        <v/>
      </c>
      <c r="X130">
        <f>HYPERLINK("https://klasma.github.io/Logging_0380/tillsyn/A 19376-2022 tillsynsbegäran.docx", "A 19376-2022")</f>
        <v/>
      </c>
      <c r="Y130">
        <f>HYPERLINK("https://klasma.github.io/Logging_0380/tillsynsmail/A 19376-2022 tillsynsbegäran mail.docx", "A 19376-2022")</f>
        <v/>
      </c>
    </row>
    <row r="131" ht="15" customHeight="1">
      <c r="A131" t="inlineStr">
        <is>
          <t>A 23141-2022</t>
        </is>
      </c>
      <c r="B131" s="1" t="n">
        <v>44719</v>
      </c>
      <c r="C131" s="1" t="n">
        <v>45664</v>
      </c>
      <c r="D131" t="inlineStr">
        <is>
          <t>UPPSALA LÄN</t>
        </is>
      </c>
      <c r="E131" t="inlineStr">
        <is>
          <t>UPPSALA</t>
        </is>
      </c>
      <c r="G131" t="n">
        <v>3.1</v>
      </c>
      <c r="H131" t="n">
        <v>1</v>
      </c>
      <c r="I131" t="n">
        <v>0</v>
      </c>
      <c r="J131" t="n">
        <v>0</v>
      </c>
      <c r="K131" t="n">
        <v>0</v>
      </c>
      <c r="L131" t="n">
        <v>0</v>
      </c>
      <c r="M131" t="n">
        <v>0</v>
      </c>
      <c r="N131" t="n">
        <v>0</v>
      </c>
      <c r="O131" t="n">
        <v>0</v>
      </c>
      <c r="P131" t="n">
        <v>0</v>
      </c>
      <c r="Q131" t="n">
        <v>1</v>
      </c>
      <c r="R131" s="2" t="inlineStr">
        <is>
          <t>Enkelbeckasin</t>
        </is>
      </c>
      <c r="S131">
        <f>HYPERLINK("https://klasma.github.io/Logging_0380/artfynd/A 23141-2022 artfynd.xlsx", "A 23141-2022")</f>
        <v/>
      </c>
      <c r="T131">
        <f>HYPERLINK("https://klasma.github.io/Logging_0380/kartor/A 23141-2022 karta.png", "A 23141-2022")</f>
        <v/>
      </c>
      <c r="V131">
        <f>HYPERLINK("https://klasma.github.io/Logging_0380/klagomål/A 23141-2022 FSC-klagomål.docx", "A 23141-2022")</f>
        <v/>
      </c>
      <c r="W131">
        <f>HYPERLINK("https://klasma.github.io/Logging_0380/klagomålsmail/A 23141-2022 FSC-klagomål mail.docx", "A 23141-2022")</f>
        <v/>
      </c>
      <c r="X131">
        <f>HYPERLINK("https://klasma.github.io/Logging_0380/tillsyn/A 23141-2022 tillsynsbegäran.docx", "A 23141-2022")</f>
        <v/>
      </c>
      <c r="Y131">
        <f>HYPERLINK("https://klasma.github.io/Logging_0380/tillsynsmail/A 23141-2022 tillsynsbegäran mail.docx", "A 23141-2022")</f>
        <v/>
      </c>
      <c r="Z131">
        <f>HYPERLINK("https://klasma.github.io/Logging_0380/fåglar/A 23141-2022 prioriterade fågelarter.docx", "A 23141-2022")</f>
        <v/>
      </c>
    </row>
    <row r="132" ht="15" customHeight="1">
      <c r="A132" t="inlineStr">
        <is>
          <t>A 25119-2022</t>
        </is>
      </c>
      <c r="B132" s="1" t="n">
        <v>44729</v>
      </c>
      <c r="C132" s="1" t="n">
        <v>45664</v>
      </c>
      <c r="D132" t="inlineStr">
        <is>
          <t>UPPSALA LÄN</t>
        </is>
      </c>
      <c r="E132" t="inlineStr">
        <is>
          <t>UPPSALA</t>
        </is>
      </c>
      <c r="F132" t="inlineStr">
        <is>
          <t>Kommuner</t>
        </is>
      </c>
      <c r="G132" t="n">
        <v>0.9</v>
      </c>
      <c r="H132" t="n">
        <v>0</v>
      </c>
      <c r="I132" t="n">
        <v>1</v>
      </c>
      <c r="J132" t="n">
        <v>0</v>
      </c>
      <c r="K132" t="n">
        <v>0</v>
      </c>
      <c r="L132" t="n">
        <v>0</v>
      </c>
      <c r="M132" t="n">
        <v>0</v>
      </c>
      <c r="N132" t="n">
        <v>0</v>
      </c>
      <c r="O132" t="n">
        <v>0</v>
      </c>
      <c r="P132" t="n">
        <v>0</v>
      </c>
      <c r="Q132" t="n">
        <v>1</v>
      </c>
      <c r="R132" s="2" t="inlineStr">
        <is>
          <t>Stor aspticka</t>
        </is>
      </c>
      <c r="S132">
        <f>HYPERLINK("https://klasma.github.io/Logging_0380/artfynd/A 25119-2022 artfynd.xlsx", "A 25119-2022")</f>
        <v/>
      </c>
      <c r="T132">
        <f>HYPERLINK("https://klasma.github.io/Logging_0380/kartor/A 25119-2022 karta.png", "A 25119-2022")</f>
        <v/>
      </c>
      <c r="V132">
        <f>HYPERLINK("https://klasma.github.io/Logging_0380/klagomål/A 25119-2022 FSC-klagomål.docx", "A 25119-2022")</f>
        <v/>
      </c>
      <c r="W132">
        <f>HYPERLINK("https://klasma.github.io/Logging_0380/klagomålsmail/A 25119-2022 FSC-klagomål mail.docx", "A 25119-2022")</f>
        <v/>
      </c>
      <c r="X132">
        <f>HYPERLINK("https://klasma.github.io/Logging_0380/tillsyn/A 25119-2022 tillsynsbegäran.docx", "A 25119-2022")</f>
        <v/>
      </c>
      <c r="Y132">
        <f>HYPERLINK("https://klasma.github.io/Logging_0380/tillsynsmail/A 25119-2022 tillsynsbegäran mail.docx", "A 25119-2022")</f>
        <v/>
      </c>
    </row>
    <row r="133" ht="15" customHeight="1">
      <c r="A133" t="inlineStr">
        <is>
          <t>A 46634-2022</t>
        </is>
      </c>
      <c r="B133" s="1" t="n">
        <v>44849</v>
      </c>
      <c r="C133" s="1" t="n">
        <v>45664</v>
      </c>
      <c r="D133" t="inlineStr">
        <is>
          <t>UPPSALA LÄN</t>
        </is>
      </c>
      <c r="E133" t="inlineStr">
        <is>
          <t>UPPSALA</t>
        </is>
      </c>
      <c r="G133" t="n">
        <v>2.9</v>
      </c>
      <c r="H133" t="n">
        <v>0</v>
      </c>
      <c r="I133" t="n">
        <v>1</v>
      </c>
      <c r="J133" t="n">
        <v>0</v>
      </c>
      <c r="K133" t="n">
        <v>0</v>
      </c>
      <c r="L133" t="n">
        <v>0</v>
      </c>
      <c r="M133" t="n">
        <v>0</v>
      </c>
      <c r="N133" t="n">
        <v>0</v>
      </c>
      <c r="O133" t="n">
        <v>0</v>
      </c>
      <c r="P133" t="n">
        <v>0</v>
      </c>
      <c r="Q133" t="n">
        <v>1</v>
      </c>
      <c r="R133" s="2" t="inlineStr">
        <is>
          <t>Fjällig taggsvamp s.str.</t>
        </is>
      </c>
      <c r="S133">
        <f>HYPERLINK("https://klasma.github.io/Logging_0380/artfynd/A 46634-2022 artfynd.xlsx", "A 46634-2022")</f>
        <v/>
      </c>
      <c r="T133">
        <f>HYPERLINK("https://klasma.github.io/Logging_0380/kartor/A 46634-2022 karta.png", "A 46634-2022")</f>
        <v/>
      </c>
      <c r="V133">
        <f>HYPERLINK("https://klasma.github.io/Logging_0380/klagomål/A 46634-2022 FSC-klagomål.docx", "A 46634-2022")</f>
        <v/>
      </c>
      <c r="W133">
        <f>HYPERLINK("https://klasma.github.io/Logging_0380/klagomålsmail/A 46634-2022 FSC-klagomål mail.docx", "A 46634-2022")</f>
        <v/>
      </c>
      <c r="X133">
        <f>HYPERLINK("https://klasma.github.io/Logging_0380/tillsyn/A 46634-2022 tillsynsbegäran.docx", "A 46634-2022")</f>
        <v/>
      </c>
      <c r="Y133">
        <f>HYPERLINK("https://klasma.github.io/Logging_0380/tillsynsmail/A 46634-2022 tillsynsbegäran mail.docx", "A 46634-2022")</f>
        <v/>
      </c>
    </row>
    <row r="134" ht="15" customHeight="1">
      <c r="A134" t="inlineStr">
        <is>
          <t>A 49015-2022</t>
        </is>
      </c>
      <c r="B134" s="1" t="n">
        <v>44855</v>
      </c>
      <c r="C134" s="1" t="n">
        <v>45664</v>
      </c>
      <c r="D134" t="inlineStr">
        <is>
          <t>UPPSALA LÄN</t>
        </is>
      </c>
      <c r="E134" t="inlineStr">
        <is>
          <t>UPPSALA</t>
        </is>
      </c>
      <c r="F134" t="inlineStr">
        <is>
          <t>Kommuner</t>
        </is>
      </c>
      <c r="G134" t="n">
        <v>4.5</v>
      </c>
      <c r="H134" t="n">
        <v>0</v>
      </c>
      <c r="I134" t="n">
        <v>0</v>
      </c>
      <c r="J134" t="n">
        <v>1</v>
      </c>
      <c r="K134" t="n">
        <v>0</v>
      </c>
      <c r="L134" t="n">
        <v>0</v>
      </c>
      <c r="M134" t="n">
        <v>0</v>
      </c>
      <c r="N134" t="n">
        <v>0</v>
      </c>
      <c r="O134" t="n">
        <v>1</v>
      </c>
      <c r="P134" t="n">
        <v>0</v>
      </c>
      <c r="Q134" t="n">
        <v>1</v>
      </c>
      <c r="R134" s="2" t="inlineStr">
        <is>
          <t>Harticka</t>
        </is>
      </c>
      <c r="S134">
        <f>HYPERLINK("https://klasma.github.io/Logging_0380/artfynd/A 49015-2022 artfynd.xlsx", "A 49015-2022")</f>
        <v/>
      </c>
      <c r="T134">
        <f>HYPERLINK("https://klasma.github.io/Logging_0380/kartor/A 49015-2022 karta.png", "A 49015-2022")</f>
        <v/>
      </c>
      <c r="V134">
        <f>HYPERLINK("https://klasma.github.io/Logging_0380/klagomål/A 49015-2022 FSC-klagomål.docx", "A 49015-2022")</f>
        <v/>
      </c>
      <c r="W134">
        <f>HYPERLINK("https://klasma.github.io/Logging_0380/klagomålsmail/A 49015-2022 FSC-klagomål mail.docx", "A 49015-2022")</f>
        <v/>
      </c>
      <c r="X134">
        <f>HYPERLINK("https://klasma.github.io/Logging_0380/tillsyn/A 49015-2022 tillsynsbegäran.docx", "A 49015-2022")</f>
        <v/>
      </c>
      <c r="Y134">
        <f>HYPERLINK("https://klasma.github.io/Logging_0380/tillsynsmail/A 49015-2022 tillsynsbegäran mail.docx", "A 49015-2022")</f>
        <v/>
      </c>
    </row>
    <row r="135" ht="15" customHeight="1">
      <c r="A135" t="inlineStr">
        <is>
          <t>A 57793-2022</t>
        </is>
      </c>
      <c r="B135" s="1" t="n">
        <v>44897</v>
      </c>
      <c r="C135" s="1" t="n">
        <v>45664</v>
      </c>
      <c r="D135" t="inlineStr">
        <is>
          <t>UPPSALA LÄN</t>
        </is>
      </c>
      <c r="E135" t="inlineStr">
        <is>
          <t>UPPSALA</t>
        </is>
      </c>
      <c r="G135" t="n">
        <v>2.9</v>
      </c>
      <c r="H135" t="n">
        <v>1</v>
      </c>
      <c r="I135" t="n">
        <v>0</v>
      </c>
      <c r="J135" t="n">
        <v>1</v>
      </c>
      <c r="K135" t="n">
        <v>0</v>
      </c>
      <c r="L135" t="n">
        <v>0</v>
      </c>
      <c r="M135" t="n">
        <v>0</v>
      </c>
      <c r="N135" t="n">
        <v>0</v>
      </c>
      <c r="O135" t="n">
        <v>1</v>
      </c>
      <c r="P135" t="n">
        <v>0</v>
      </c>
      <c r="Q135" t="n">
        <v>1</v>
      </c>
      <c r="R135" s="2" t="inlineStr">
        <is>
          <t>Talltita</t>
        </is>
      </c>
      <c r="S135">
        <f>HYPERLINK("https://klasma.github.io/Logging_0380/artfynd/A 57793-2022 artfynd.xlsx", "A 57793-2022")</f>
        <v/>
      </c>
      <c r="T135">
        <f>HYPERLINK("https://klasma.github.io/Logging_0380/kartor/A 57793-2022 karta.png", "A 57793-2022")</f>
        <v/>
      </c>
      <c r="V135">
        <f>HYPERLINK("https://klasma.github.io/Logging_0380/klagomål/A 57793-2022 FSC-klagomål.docx", "A 57793-2022")</f>
        <v/>
      </c>
      <c r="W135">
        <f>HYPERLINK("https://klasma.github.io/Logging_0380/klagomålsmail/A 57793-2022 FSC-klagomål mail.docx", "A 57793-2022")</f>
        <v/>
      </c>
      <c r="X135">
        <f>HYPERLINK("https://klasma.github.io/Logging_0380/tillsyn/A 57793-2022 tillsynsbegäran.docx", "A 57793-2022")</f>
        <v/>
      </c>
      <c r="Y135">
        <f>HYPERLINK("https://klasma.github.io/Logging_0380/tillsynsmail/A 57793-2022 tillsynsbegäran mail.docx", "A 57793-2022")</f>
        <v/>
      </c>
      <c r="Z135">
        <f>HYPERLINK("https://klasma.github.io/Logging_0380/fåglar/A 57793-2022 prioriterade fågelarter.docx", "A 57793-2022")</f>
        <v/>
      </c>
    </row>
    <row r="136" ht="15" customHeight="1">
      <c r="A136" t="inlineStr">
        <is>
          <t>A 60055-2022</t>
        </is>
      </c>
      <c r="B136" s="1" t="n">
        <v>44909</v>
      </c>
      <c r="C136" s="1" t="n">
        <v>45664</v>
      </c>
      <c r="D136" t="inlineStr">
        <is>
          <t>UPPSALA LÄN</t>
        </is>
      </c>
      <c r="E136" t="inlineStr">
        <is>
          <t>UPPSALA</t>
        </is>
      </c>
      <c r="G136" t="n">
        <v>11.4</v>
      </c>
      <c r="H136" t="n">
        <v>1</v>
      </c>
      <c r="I136" t="n">
        <v>0</v>
      </c>
      <c r="J136" t="n">
        <v>0</v>
      </c>
      <c r="K136" t="n">
        <v>0</v>
      </c>
      <c r="L136" t="n">
        <v>0</v>
      </c>
      <c r="M136" t="n">
        <v>0</v>
      </c>
      <c r="N136" t="n">
        <v>0</v>
      </c>
      <c r="O136" t="n">
        <v>0</v>
      </c>
      <c r="P136" t="n">
        <v>0</v>
      </c>
      <c r="Q136" t="n">
        <v>1</v>
      </c>
      <c r="R136" s="2" t="inlineStr">
        <is>
          <t>Tjäder</t>
        </is>
      </c>
      <c r="S136">
        <f>HYPERLINK("https://klasma.github.io/Logging_0380/artfynd/A 60055-2022 artfynd.xlsx", "A 60055-2022")</f>
        <v/>
      </c>
      <c r="T136">
        <f>HYPERLINK("https://klasma.github.io/Logging_0380/kartor/A 60055-2022 karta.png", "A 60055-2022")</f>
        <v/>
      </c>
      <c r="V136">
        <f>HYPERLINK("https://klasma.github.io/Logging_0380/klagomål/A 60055-2022 FSC-klagomål.docx", "A 60055-2022")</f>
        <v/>
      </c>
      <c r="W136">
        <f>HYPERLINK("https://klasma.github.io/Logging_0380/klagomålsmail/A 60055-2022 FSC-klagomål mail.docx", "A 60055-2022")</f>
        <v/>
      </c>
      <c r="X136">
        <f>HYPERLINK("https://klasma.github.io/Logging_0380/tillsyn/A 60055-2022 tillsynsbegäran.docx", "A 60055-2022")</f>
        <v/>
      </c>
      <c r="Y136">
        <f>HYPERLINK("https://klasma.github.io/Logging_0380/tillsynsmail/A 60055-2022 tillsynsbegäran mail.docx", "A 60055-2022")</f>
        <v/>
      </c>
      <c r="Z136">
        <f>HYPERLINK("https://klasma.github.io/Logging_0380/fåglar/A 60055-2022 prioriterade fågelarter.docx", "A 60055-2022")</f>
        <v/>
      </c>
    </row>
    <row r="137" ht="15" customHeight="1">
      <c r="A137" t="inlineStr">
        <is>
          <t>A 61818-2022</t>
        </is>
      </c>
      <c r="B137" s="1" t="n">
        <v>44917</v>
      </c>
      <c r="C137" s="1" t="n">
        <v>45664</v>
      </c>
      <c r="D137" t="inlineStr">
        <is>
          <t>UPPSALA LÄN</t>
        </is>
      </c>
      <c r="E137" t="inlineStr">
        <is>
          <t>UPPSALA</t>
        </is>
      </c>
      <c r="F137" t="inlineStr">
        <is>
          <t>Holmen skog AB</t>
        </is>
      </c>
      <c r="G137" t="n">
        <v>0.8</v>
      </c>
      <c r="H137" t="n">
        <v>0</v>
      </c>
      <c r="I137" t="n">
        <v>0</v>
      </c>
      <c r="J137" t="n">
        <v>1</v>
      </c>
      <c r="K137" t="n">
        <v>0</v>
      </c>
      <c r="L137" t="n">
        <v>0</v>
      </c>
      <c r="M137" t="n">
        <v>0</v>
      </c>
      <c r="N137" t="n">
        <v>0</v>
      </c>
      <c r="O137" t="n">
        <v>1</v>
      </c>
      <c r="P137" t="n">
        <v>0</v>
      </c>
      <c r="Q137" t="n">
        <v>1</v>
      </c>
      <c r="R137" s="2" t="inlineStr">
        <is>
          <t>Blekticka</t>
        </is>
      </c>
      <c r="S137">
        <f>HYPERLINK("https://klasma.github.io/Logging_0380/artfynd/A 61818-2022 artfynd.xlsx", "A 61818-2022")</f>
        <v/>
      </c>
      <c r="T137">
        <f>HYPERLINK("https://klasma.github.io/Logging_0380/kartor/A 61818-2022 karta.png", "A 61818-2022")</f>
        <v/>
      </c>
      <c r="V137">
        <f>HYPERLINK("https://klasma.github.io/Logging_0380/klagomål/A 61818-2022 FSC-klagomål.docx", "A 61818-2022")</f>
        <v/>
      </c>
      <c r="W137">
        <f>HYPERLINK("https://klasma.github.io/Logging_0380/klagomålsmail/A 61818-2022 FSC-klagomål mail.docx", "A 61818-2022")</f>
        <v/>
      </c>
      <c r="X137">
        <f>HYPERLINK("https://klasma.github.io/Logging_0380/tillsyn/A 61818-2022 tillsynsbegäran.docx", "A 61818-2022")</f>
        <v/>
      </c>
      <c r="Y137">
        <f>HYPERLINK("https://klasma.github.io/Logging_0380/tillsynsmail/A 61818-2022 tillsynsbegäran mail.docx", "A 61818-2022")</f>
        <v/>
      </c>
    </row>
    <row r="138" ht="15" customHeight="1">
      <c r="A138" t="inlineStr">
        <is>
          <t>A 61830-2022</t>
        </is>
      </c>
      <c r="B138" s="1" t="n">
        <v>44917</v>
      </c>
      <c r="C138" s="1" t="n">
        <v>45664</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5009-2023</t>
        </is>
      </c>
      <c r="B139" s="1" t="n">
        <v>44958</v>
      </c>
      <c r="C139" s="1" t="n">
        <v>45664</v>
      </c>
      <c r="D139" t="inlineStr">
        <is>
          <t>UPPSALA LÄN</t>
        </is>
      </c>
      <c r="E139" t="inlineStr">
        <is>
          <t>UPPSALA</t>
        </is>
      </c>
      <c r="G139" t="n">
        <v>4.7</v>
      </c>
      <c r="H139" t="n">
        <v>1</v>
      </c>
      <c r="I139" t="n">
        <v>0</v>
      </c>
      <c r="J139" t="n">
        <v>0</v>
      </c>
      <c r="K139" t="n">
        <v>0</v>
      </c>
      <c r="L139" t="n">
        <v>0</v>
      </c>
      <c r="M139" t="n">
        <v>0</v>
      </c>
      <c r="N139" t="n">
        <v>0</v>
      </c>
      <c r="O139" t="n">
        <v>0</v>
      </c>
      <c r="P139" t="n">
        <v>0</v>
      </c>
      <c r="Q139" t="n">
        <v>1</v>
      </c>
      <c r="R139" s="2" t="inlineStr">
        <is>
          <t>Blåsippa</t>
        </is>
      </c>
      <c r="S139">
        <f>HYPERLINK("https://klasma.github.io/Logging_0380/artfynd/A 5009-2023 artfynd.xlsx", "A 5009-2023")</f>
        <v/>
      </c>
      <c r="T139">
        <f>HYPERLINK("https://klasma.github.io/Logging_0380/kartor/A 5009-2023 karta.png", "A 5009-2023")</f>
        <v/>
      </c>
      <c r="V139">
        <f>HYPERLINK("https://klasma.github.io/Logging_0380/klagomål/A 5009-2023 FSC-klagomål.docx", "A 5009-2023")</f>
        <v/>
      </c>
      <c r="W139">
        <f>HYPERLINK("https://klasma.github.io/Logging_0380/klagomålsmail/A 5009-2023 FSC-klagomål mail.docx", "A 5009-2023")</f>
        <v/>
      </c>
      <c r="X139">
        <f>HYPERLINK("https://klasma.github.io/Logging_0380/tillsyn/A 5009-2023 tillsynsbegäran.docx", "A 5009-2023")</f>
        <v/>
      </c>
      <c r="Y139">
        <f>HYPERLINK("https://klasma.github.io/Logging_0380/tillsynsmail/A 5009-2023 tillsynsbegäran mail.docx", "A 5009-2023")</f>
        <v/>
      </c>
    </row>
    <row r="140" ht="15" customHeight="1">
      <c r="A140" t="inlineStr">
        <is>
          <t>A 5750-2023</t>
        </is>
      </c>
      <c r="B140" s="1" t="n">
        <v>44963</v>
      </c>
      <c r="C140" s="1" t="n">
        <v>45664</v>
      </c>
      <c r="D140" t="inlineStr">
        <is>
          <t>UPPSALA LÄN</t>
        </is>
      </c>
      <c r="E140" t="inlineStr">
        <is>
          <t>UPPSALA</t>
        </is>
      </c>
      <c r="G140" t="n">
        <v>13.8</v>
      </c>
      <c r="H140" t="n">
        <v>0</v>
      </c>
      <c r="I140" t="n">
        <v>0</v>
      </c>
      <c r="J140" t="n">
        <v>0</v>
      </c>
      <c r="K140" t="n">
        <v>1</v>
      </c>
      <c r="L140" t="n">
        <v>0</v>
      </c>
      <c r="M140" t="n">
        <v>0</v>
      </c>
      <c r="N140" t="n">
        <v>0</v>
      </c>
      <c r="O140" t="n">
        <v>1</v>
      </c>
      <c r="P140" t="n">
        <v>1</v>
      </c>
      <c r="Q140" t="n">
        <v>1</v>
      </c>
      <c r="R140" s="2" t="inlineStr">
        <is>
          <t>Raggbock</t>
        </is>
      </c>
      <c r="S140">
        <f>HYPERLINK("https://klasma.github.io/Logging_0380/artfynd/A 5750-2023 artfynd.xlsx", "A 5750-2023")</f>
        <v/>
      </c>
      <c r="T140">
        <f>HYPERLINK("https://klasma.github.io/Logging_0380/kartor/A 5750-2023 karta.png", "A 5750-2023")</f>
        <v/>
      </c>
      <c r="V140">
        <f>HYPERLINK("https://klasma.github.io/Logging_0380/klagomål/A 5750-2023 FSC-klagomål.docx", "A 5750-2023")</f>
        <v/>
      </c>
      <c r="W140">
        <f>HYPERLINK("https://klasma.github.io/Logging_0380/klagomålsmail/A 5750-2023 FSC-klagomål mail.docx", "A 5750-2023")</f>
        <v/>
      </c>
      <c r="X140">
        <f>HYPERLINK("https://klasma.github.io/Logging_0380/tillsyn/A 5750-2023 tillsynsbegäran.docx", "A 5750-2023")</f>
        <v/>
      </c>
      <c r="Y140">
        <f>HYPERLINK("https://klasma.github.io/Logging_0380/tillsynsmail/A 5750-2023 tillsynsbegäran mail.docx", "A 5750-2023")</f>
        <v/>
      </c>
    </row>
    <row r="141" ht="15" customHeight="1">
      <c r="A141" t="inlineStr">
        <is>
          <t>A 13154-2023</t>
        </is>
      </c>
      <c r="B141" s="1" t="n">
        <v>45002</v>
      </c>
      <c r="C141" s="1" t="n">
        <v>45664</v>
      </c>
      <c r="D141" t="inlineStr">
        <is>
          <t>UPPSALA LÄN</t>
        </is>
      </c>
      <c r="E141" t="inlineStr">
        <is>
          <t>UPPSALA</t>
        </is>
      </c>
      <c r="F141" t="inlineStr">
        <is>
          <t>Holmen skog AB</t>
        </is>
      </c>
      <c r="G141" t="n">
        <v>2.6</v>
      </c>
      <c r="H141" t="n">
        <v>0</v>
      </c>
      <c r="I141" t="n">
        <v>1</v>
      </c>
      <c r="J141" t="n">
        <v>0</v>
      </c>
      <c r="K141" t="n">
        <v>0</v>
      </c>
      <c r="L141" t="n">
        <v>0</v>
      </c>
      <c r="M141" t="n">
        <v>0</v>
      </c>
      <c r="N141" t="n">
        <v>0</v>
      </c>
      <c r="O141" t="n">
        <v>0</v>
      </c>
      <c r="P141" t="n">
        <v>0</v>
      </c>
      <c r="Q141" t="n">
        <v>1</v>
      </c>
      <c r="R141" s="2" t="inlineStr">
        <is>
          <t>Korallblylav</t>
        </is>
      </c>
      <c r="S141">
        <f>HYPERLINK("https://klasma.github.io/Logging_0380/artfynd/A 13154-2023 artfynd.xlsx", "A 13154-2023")</f>
        <v/>
      </c>
      <c r="T141">
        <f>HYPERLINK("https://klasma.github.io/Logging_0380/kartor/A 13154-2023 karta.png", "A 13154-2023")</f>
        <v/>
      </c>
      <c r="V141">
        <f>HYPERLINK("https://klasma.github.io/Logging_0380/klagomål/A 13154-2023 FSC-klagomål.docx", "A 13154-2023")</f>
        <v/>
      </c>
      <c r="W141">
        <f>HYPERLINK("https://klasma.github.io/Logging_0380/klagomålsmail/A 13154-2023 FSC-klagomål mail.docx", "A 13154-2023")</f>
        <v/>
      </c>
      <c r="X141">
        <f>HYPERLINK("https://klasma.github.io/Logging_0380/tillsyn/A 13154-2023 tillsynsbegäran.docx", "A 13154-2023")</f>
        <v/>
      </c>
      <c r="Y141">
        <f>HYPERLINK("https://klasma.github.io/Logging_0380/tillsynsmail/A 13154-2023 tillsynsbegäran mail.docx", "A 13154-2023")</f>
        <v/>
      </c>
    </row>
    <row r="142" ht="15" customHeight="1">
      <c r="A142" t="inlineStr">
        <is>
          <t>A 15722-2023</t>
        </is>
      </c>
      <c r="B142" s="1" t="n">
        <v>45021</v>
      </c>
      <c r="C142" s="1" t="n">
        <v>45664</v>
      </c>
      <c r="D142" t="inlineStr">
        <is>
          <t>UPPSALA LÄN</t>
        </is>
      </c>
      <c r="E142" t="inlineStr">
        <is>
          <t>UPPSALA</t>
        </is>
      </c>
      <c r="G142" t="n">
        <v>15.2</v>
      </c>
      <c r="H142" t="n">
        <v>0</v>
      </c>
      <c r="I142" t="n">
        <v>1</v>
      </c>
      <c r="J142" t="n">
        <v>0</v>
      </c>
      <c r="K142" t="n">
        <v>0</v>
      </c>
      <c r="L142" t="n">
        <v>0</v>
      </c>
      <c r="M142" t="n">
        <v>0</v>
      </c>
      <c r="N142" t="n">
        <v>0</v>
      </c>
      <c r="O142" t="n">
        <v>0</v>
      </c>
      <c r="P142" t="n">
        <v>0</v>
      </c>
      <c r="Q142" t="n">
        <v>1</v>
      </c>
      <c r="R142" s="2" t="inlineStr">
        <is>
          <t>Tibast</t>
        </is>
      </c>
      <c r="S142">
        <f>HYPERLINK("https://klasma.github.io/Logging_0380/artfynd/A 15722-2023 artfynd.xlsx", "A 15722-2023")</f>
        <v/>
      </c>
      <c r="T142">
        <f>HYPERLINK("https://klasma.github.io/Logging_0380/kartor/A 15722-2023 karta.png", "A 15722-2023")</f>
        <v/>
      </c>
      <c r="V142">
        <f>HYPERLINK("https://klasma.github.io/Logging_0380/klagomål/A 15722-2023 FSC-klagomål.docx", "A 15722-2023")</f>
        <v/>
      </c>
      <c r="W142">
        <f>HYPERLINK("https://klasma.github.io/Logging_0380/klagomålsmail/A 15722-2023 FSC-klagomål mail.docx", "A 15722-2023")</f>
        <v/>
      </c>
      <c r="X142">
        <f>HYPERLINK("https://klasma.github.io/Logging_0380/tillsyn/A 15722-2023 tillsynsbegäran.docx", "A 15722-2023")</f>
        <v/>
      </c>
      <c r="Y142">
        <f>HYPERLINK("https://klasma.github.io/Logging_0380/tillsynsmail/A 15722-2023 tillsynsbegäran mail.docx", "A 15722-2023")</f>
        <v/>
      </c>
    </row>
    <row r="143" ht="15" customHeight="1">
      <c r="A143" t="inlineStr">
        <is>
          <t>A 15919-2023</t>
        </is>
      </c>
      <c r="B143" s="1" t="n">
        <v>45022</v>
      </c>
      <c r="C143" s="1" t="n">
        <v>45664</v>
      </c>
      <c r="D143" t="inlineStr">
        <is>
          <t>UPPSALA LÄN</t>
        </is>
      </c>
      <c r="E143" t="inlineStr">
        <is>
          <t>UPPSALA</t>
        </is>
      </c>
      <c r="F143" t="inlineStr">
        <is>
          <t>Holmen skog AB</t>
        </is>
      </c>
      <c r="G143" t="n">
        <v>10</v>
      </c>
      <c r="H143" t="n">
        <v>1</v>
      </c>
      <c r="I143" t="n">
        <v>0</v>
      </c>
      <c r="J143" t="n">
        <v>0</v>
      </c>
      <c r="K143" t="n">
        <v>0</v>
      </c>
      <c r="L143" t="n">
        <v>0</v>
      </c>
      <c r="M143" t="n">
        <v>0</v>
      </c>
      <c r="N143" t="n">
        <v>0</v>
      </c>
      <c r="O143" t="n">
        <v>0</v>
      </c>
      <c r="P143" t="n">
        <v>0</v>
      </c>
      <c r="Q143" t="n">
        <v>1</v>
      </c>
      <c r="R143" s="2" t="inlineStr">
        <is>
          <t>Blåsippa</t>
        </is>
      </c>
      <c r="S143">
        <f>HYPERLINK("https://klasma.github.io/Logging_0380/artfynd/A 15919-2023 artfynd.xlsx", "A 15919-2023")</f>
        <v/>
      </c>
      <c r="T143">
        <f>HYPERLINK("https://klasma.github.io/Logging_0380/kartor/A 15919-2023 karta.png", "A 15919-2023")</f>
        <v/>
      </c>
      <c r="V143">
        <f>HYPERLINK("https://klasma.github.io/Logging_0380/klagomål/A 15919-2023 FSC-klagomål.docx", "A 15919-2023")</f>
        <v/>
      </c>
      <c r="W143">
        <f>HYPERLINK("https://klasma.github.io/Logging_0380/klagomålsmail/A 15919-2023 FSC-klagomål mail.docx", "A 15919-2023")</f>
        <v/>
      </c>
      <c r="X143">
        <f>HYPERLINK("https://klasma.github.io/Logging_0380/tillsyn/A 15919-2023 tillsynsbegäran.docx", "A 15919-2023")</f>
        <v/>
      </c>
      <c r="Y143">
        <f>HYPERLINK("https://klasma.github.io/Logging_0380/tillsynsmail/A 15919-2023 tillsynsbegäran mail.docx", "A 15919-2023")</f>
        <v/>
      </c>
    </row>
    <row r="144" ht="15" customHeight="1">
      <c r="A144" t="inlineStr">
        <is>
          <t>A 15918-2023</t>
        </is>
      </c>
      <c r="B144" s="1" t="n">
        <v>45022</v>
      </c>
      <c r="C144" s="1" t="n">
        <v>45664</v>
      </c>
      <c r="D144" t="inlineStr">
        <is>
          <t>UPPSALA LÄN</t>
        </is>
      </c>
      <c r="E144" t="inlineStr">
        <is>
          <t>UPPSALA</t>
        </is>
      </c>
      <c r="F144" t="inlineStr">
        <is>
          <t>Holmen skog AB</t>
        </is>
      </c>
      <c r="G144" t="n">
        <v>3.2</v>
      </c>
      <c r="H144" t="n">
        <v>1</v>
      </c>
      <c r="I144" t="n">
        <v>0</v>
      </c>
      <c r="J144" t="n">
        <v>0</v>
      </c>
      <c r="K144" t="n">
        <v>0</v>
      </c>
      <c r="L144" t="n">
        <v>0</v>
      </c>
      <c r="M144" t="n">
        <v>0</v>
      </c>
      <c r="N144" t="n">
        <v>0</v>
      </c>
      <c r="O144" t="n">
        <v>0</v>
      </c>
      <c r="P144" t="n">
        <v>0</v>
      </c>
      <c r="Q144" t="n">
        <v>1</v>
      </c>
      <c r="R144" s="2" t="inlineStr">
        <is>
          <t>Blåsippa</t>
        </is>
      </c>
      <c r="S144">
        <f>HYPERLINK("https://klasma.github.io/Logging_0380/artfynd/A 15918-2023 artfynd.xlsx", "A 15918-2023")</f>
        <v/>
      </c>
      <c r="T144">
        <f>HYPERLINK("https://klasma.github.io/Logging_0380/kartor/A 15918-2023 karta.png", "A 15918-2023")</f>
        <v/>
      </c>
      <c r="V144">
        <f>HYPERLINK("https://klasma.github.io/Logging_0380/klagomål/A 15918-2023 FSC-klagomål.docx", "A 15918-2023")</f>
        <v/>
      </c>
      <c r="W144">
        <f>HYPERLINK("https://klasma.github.io/Logging_0380/klagomålsmail/A 15918-2023 FSC-klagomål mail.docx", "A 15918-2023")</f>
        <v/>
      </c>
      <c r="X144">
        <f>HYPERLINK("https://klasma.github.io/Logging_0380/tillsyn/A 15918-2023 tillsynsbegäran.docx", "A 15918-2023")</f>
        <v/>
      </c>
      <c r="Y144">
        <f>HYPERLINK("https://klasma.github.io/Logging_0380/tillsynsmail/A 15918-2023 tillsynsbegäran mail.docx", "A 15918-2023")</f>
        <v/>
      </c>
    </row>
    <row r="145" ht="15" customHeight="1">
      <c r="A145" t="inlineStr">
        <is>
          <t>A 20172-2023</t>
        </is>
      </c>
      <c r="B145" s="1" t="n">
        <v>45055</v>
      </c>
      <c r="C145" s="1" t="n">
        <v>45664</v>
      </c>
      <c r="D145" t="inlineStr">
        <is>
          <t>UPPSALA LÄN</t>
        </is>
      </c>
      <c r="E145" t="inlineStr">
        <is>
          <t>UPPSALA</t>
        </is>
      </c>
      <c r="G145" t="n">
        <v>3.2</v>
      </c>
      <c r="H145" t="n">
        <v>0</v>
      </c>
      <c r="I145" t="n">
        <v>1</v>
      </c>
      <c r="J145" t="n">
        <v>0</v>
      </c>
      <c r="K145" t="n">
        <v>0</v>
      </c>
      <c r="L145" t="n">
        <v>0</v>
      </c>
      <c r="M145" t="n">
        <v>0</v>
      </c>
      <c r="N145" t="n">
        <v>0</v>
      </c>
      <c r="O145" t="n">
        <v>0</v>
      </c>
      <c r="P145" t="n">
        <v>0</v>
      </c>
      <c r="Q145" t="n">
        <v>1</v>
      </c>
      <c r="R145" s="2" t="inlineStr">
        <is>
          <t>Mörk husmossa</t>
        </is>
      </c>
      <c r="S145">
        <f>HYPERLINK("https://klasma.github.io/Logging_0380/artfynd/A 20172-2023 artfynd.xlsx", "A 20172-2023")</f>
        <v/>
      </c>
      <c r="T145">
        <f>HYPERLINK("https://klasma.github.io/Logging_0380/kartor/A 20172-2023 karta.png", "A 20172-2023")</f>
        <v/>
      </c>
      <c r="V145">
        <f>HYPERLINK("https://klasma.github.io/Logging_0380/klagomål/A 20172-2023 FSC-klagomål.docx", "A 20172-2023")</f>
        <v/>
      </c>
      <c r="W145">
        <f>HYPERLINK("https://klasma.github.io/Logging_0380/klagomålsmail/A 20172-2023 FSC-klagomål mail.docx", "A 20172-2023")</f>
        <v/>
      </c>
      <c r="X145">
        <f>HYPERLINK("https://klasma.github.io/Logging_0380/tillsyn/A 20172-2023 tillsynsbegäran.docx", "A 20172-2023")</f>
        <v/>
      </c>
      <c r="Y145">
        <f>HYPERLINK("https://klasma.github.io/Logging_0380/tillsynsmail/A 20172-2023 tillsynsbegäran mail.docx", "A 20172-2023")</f>
        <v/>
      </c>
    </row>
    <row r="146" ht="15" customHeight="1">
      <c r="A146" t="inlineStr">
        <is>
          <t>A 20930-2023</t>
        </is>
      </c>
      <c r="B146" s="1" t="n">
        <v>45061</v>
      </c>
      <c r="C146" s="1" t="n">
        <v>45664</v>
      </c>
      <c r="D146" t="inlineStr">
        <is>
          <t>UPPSALA LÄN</t>
        </is>
      </c>
      <c r="E146" t="inlineStr">
        <is>
          <t>UPPSALA</t>
        </is>
      </c>
      <c r="G146" t="n">
        <v>5.1</v>
      </c>
      <c r="H146" t="n">
        <v>0</v>
      </c>
      <c r="I146" t="n">
        <v>1</v>
      </c>
      <c r="J146" t="n">
        <v>0</v>
      </c>
      <c r="K146" t="n">
        <v>0</v>
      </c>
      <c r="L146" t="n">
        <v>0</v>
      </c>
      <c r="M146" t="n">
        <v>0</v>
      </c>
      <c r="N146" t="n">
        <v>0</v>
      </c>
      <c r="O146" t="n">
        <v>0</v>
      </c>
      <c r="P146" t="n">
        <v>0</v>
      </c>
      <c r="Q146" t="n">
        <v>1</v>
      </c>
      <c r="R146" s="2" t="inlineStr">
        <is>
          <t>Grönpyrola</t>
        </is>
      </c>
      <c r="S146">
        <f>HYPERLINK("https://klasma.github.io/Logging_0380/artfynd/A 20930-2023 artfynd.xlsx", "A 20930-2023")</f>
        <v/>
      </c>
      <c r="T146">
        <f>HYPERLINK("https://klasma.github.io/Logging_0380/kartor/A 20930-2023 karta.png", "A 20930-2023")</f>
        <v/>
      </c>
      <c r="V146">
        <f>HYPERLINK("https://klasma.github.io/Logging_0380/klagomål/A 20930-2023 FSC-klagomål.docx", "A 20930-2023")</f>
        <v/>
      </c>
      <c r="W146">
        <f>HYPERLINK("https://klasma.github.io/Logging_0380/klagomålsmail/A 20930-2023 FSC-klagomål mail.docx", "A 20930-2023")</f>
        <v/>
      </c>
      <c r="X146">
        <f>HYPERLINK("https://klasma.github.io/Logging_0380/tillsyn/A 20930-2023 tillsynsbegäran.docx", "A 20930-2023")</f>
        <v/>
      </c>
      <c r="Y146">
        <f>HYPERLINK("https://klasma.github.io/Logging_0380/tillsynsmail/A 20930-2023 tillsynsbegäran mail.docx", "A 20930-2023")</f>
        <v/>
      </c>
    </row>
    <row r="147" ht="15" customHeight="1">
      <c r="A147" t="inlineStr">
        <is>
          <t>A 20923-2023</t>
        </is>
      </c>
      <c r="B147" s="1" t="n">
        <v>45061</v>
      </c>
      <c r="C147" s="1" t="n">
        <v>45664</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Dvärghäxört</t>
        </is>
      </c>
      <c r="S147">
        <f>HYPERLINK("https://klasma.github.io/Logging_0380/artfynd/A 20923-2023 artfynd.xlsx", "A 20923-2023")</f>
        <v/>
      </c>
      <c r="T147">
        <f>HYPERLINK("https://klasma.github.io/Logging_0380/kartor/A 20923-2023 karta.png", "A 20923-2023")</f>
        <v/>
      </c>
      <c r="V147">
        <f>HYPERLINK("https://klasma.github.io/Logging_0380/klagomål/A 20923-2023 FSC-klagomål.docx", "A 20923-2023")</f>
        <v/>
      </c>
      <c r="W147">
        <f>HYPERLINK("https://klasma.github.io/Logging_0380/klagomålsmail/A 20923-2023 FSC-klagomål mail.docx", "A 20923-2023")</f>
        <v/>
      </c>
      <c r="X147">
        <f>HYPERLINK("https://klasma.github.io/Logging_0380/tillsyn/A 20923-2023 tillsynsbegäran.docx", "A 20923-2023")</f>
        <v/>
      </c>
      <c r="Y147">
        <f>HYPERLINK("https://klasma.github.io/Logging_0380/tillsynsmail/A 20923-2023 tillsynsbegäran mail.docx", "A 20923-2023")</f>
        <v/>
      </c>
    </row>
    <row r="148" ht="15" customHeight="1">
      <c r="A148" t="inlineStr">
        <is>
          <t>A 22958-2023</t>
        </is>
      </c>
      <c r="B148" s="1" t="n">
        <v>45072</v>
      </c>
      <c r="C148" s="1" t="n">
        <v>45664</v>
      </c>
      <c r="D148" t="inlineStr">
        <is>
          <t>UPPSALA LÄN</t>
        </is>
      </c>
      <c r="E148" t="inlineStr">
        <is>
          <t>UPPSALA</t>
        </is>
      </c>
      <c r="F148" t="inlineStr">
        <is>
          <t>Holmen skog AB</t>
        </is>
      </c>
      <c r="G148" t="n">
        <v>6.4</v>
      </c>
      <c r="H148" t="n">
        <v>0</v>
      </c>
      <c r="I148" t="n">
        <v>0</v>
      </c>
      <c r="J148" t="n">
        <v>1</v>
      </c>
      <c r="K148" t="n">
        <v>0</v>
      </c>
      <c r="L148" t="n">
        <v>0</v>
      </c>
      <c r="M148" t="n">
        <v>0</v>
      </c>
      <c r="N148" t="n">
        <v>0</v>
      </c>
      <c r="O148" t="n">
        <v>1</v>
      </c>
      <c r="P148" t="n">
        <v>0</v>
      </c>
      <c r="Q148" t="n">
        <v>1</v>
      </c>
      <c r="R148" s="2" t="inlineStr">
        <is>
          <t>Krusfrö</t>
        </is>
      </c>
      <c r="S148">
        <f>HYPERLINK("https://klasma.github.io/Logging_0380/artfynd/A 22958-2023 artfynd.xlsx", "A 22958-2023")</f>
        <v/>
      </c>
      <c r="T148">
        <f>HYPERLINK("https://klasma.github.io/Logging_0380/kartor/A 22958-2023 karta.png", "A 22958-2023")</f>
        <v/>
      </c>
      <c r="V148">
        <f>HYPERLINK("https://klasma.github.io/Logging_0380/klagomål/A 22958-2023 FSC-klagomål.docx", "A 22958-2023")</f>
        <v/>
      </c>
      <c r="W148">
        <f>HYPERLINK("https://klasma.github.io/Logging_0380/klagomålsmail/A 22958-2023 FSC-klagomål mail.docx", "A 22958-2023")</f>
        <v/>
      </c>
      <c r="X148">
        <f>HYPERLINK("https://klasma.github.io/Logging_0380/tillsyn/A 22958-2023 tillsynsbegäran.docx", "A 22958-2023")</f>
        <v/>
      </c>
      <c r="Y148">
        <f>HYPERLINK("https://klasma.github.io/Logging_0380/tillsynsmail/A 22958-2023 tillsynsbegäran mail.docx", "A 22958-2023")</f>
        <v/>
      </c>
    </row>
    <row r="149" ht="15" customHeight="1">
      <c r="A149" t="inlineStr">
        <is>
          <t>A 27848-2023</t>
        </is>
      </c>
      <c r="B149" s="1" t="n">
        <v>45098</v>
      </c>
      <c r="C149" s="1" t="n">
        <v>45664</v>
      </c>
      <c r="D149" t="inlineStr">
        <is>
          <t>UPPSALA LÄN</t>
        </is>
      </c>
      <c r="E149" t="inlineStr">
        <is>
          <t>UPPSALA</t>
        </is>
      </c>
      <c r="G149" t="n">
        <v>14.3</v>
      </c>
      <c r="H149" t="n">
        <v>0</v>
      </c>
      <c r="I149" t="n">
        <v>1</v>
      </c>
      <c r="J149" t="n">
        <v>0</v>
      </c>
      <c r="K149" t="n">
        <v>0</v>
      </c>
      <c r="L149" t="n">
        <v>0</v>
      </c>
      <c r="M149" t="n">
        <v>0</v>
      </c>
      <c r="N149" t="n">
        <v>0</v>
      </c>
      <c r="O149" t="n">
        <v>0</v>
      </c>
      <c r="P149" t="n">
        <v>0</v>
      </c>
      <c r="Q149" t="n">
        <v>1</v>
      </c>
      <c r="R149" s="2" t="inlineStr">
        <is>
          <t>Blåmossa</t>
        </is>
      </c>
      <c r="S149">
        <f>HYPERLINK("https://klasma.github.io/Logging_0380/artfynd/A 27848-2023 artfynd.xlsx", "A 27848-2023")</f>
        <v/>
      </c>
      <c r="T149">
        <f>HYPERLINK("https://klasma.github.io/Logging_0380/kartor/A 27848-2023 karta.png", "A 27848-2023")</f>
        <v/>
      </c>
      <c r="V149">
        <f>HYPERLINK("https://klasma.github.io/Logging_0380/klagomål/A 27848-2023 FSC-klagomål.docx", "A 27848-2023")</f>
        <v/>
      </c>
      <c r="W149">
        <f>HYPERLINK("https://klasma.github.io/Logging_0380/klagomålsmail/A 27848-2023 FSC-klagomål mail.docx", "A 27848-2023")</f>
        <v/>
      </c>
      <c r="X149">
        <f>HYPERLINK("https://klasma.github.io/Logging_0380/tillsyn/A 27848-2023 tillsynsbegäran.docx", "A 27848-2023")</f>
        <v/>
      </c>
      <c r="Y149">
        <f>HYPERLINK("https://klasma.github.io/Logging_0380/tillsynsmail/A 27848-2023 tillsynsbegäran mail.docx", "A 27848-2023")</f>
        <v/>
      </c>
    </row>
    <row r="150" ht="15" customHeight="1">
      <c r="A150" t="inlineStr">
        <is>
          <t>A 28951-2023</t>
        </is>
      </c>
      <c r="B150" s="1" t="n">
        <v>45104</v>
      </c>
      <c r="C150" s="1" t="n">
        <v>45664</v>
      </c>
      <c r="D150" t="inlineStr">
        <is>
          <t>UPPSALA LÄN</t>
        </is>
      </c>
      <c r="E150" t="inlineStr">
        <is>
          <t>UPPSALA</t>
        </is>
      </c>
      <c r="G150" t="n">
        <v>3.7</v>
      </c>
      <c r="H150" t="n">
        <v>0</v>
      </c>
      <c r="I150" t="n">
        <v>1</v>
      </c>
      <c r="J150" t="n">
        <v>0</v>
      </c>
      <c r="K150" t="n">
        <v>0</v>
      </c>
      <c r="L150" t="n">
        <v>0</v>
      </c>
      <c r="M150" t="n">
        <v>0</v>
      </c>
      <c r="N150" t="n">
        <v>0</v>
      </c>
      <c r="O150" t="n">
        <v>0</v>
      </c>
      <c r="P150" t="n">
        <v>0</v>
      </c>
      <c r="Q150" t="n">
        <v>1</v>
      </c>
      <c r="R150" s="2" t="inlineStr">
        <is>
          <t>Grönpyrola</t>
        </is>
      </c>
      <c r="S150">
        <f>HYPERLINK("https://klasma.github.io/Logging_0380/artfynd/A 28951-2023 artfynd.xlsx", "A 28951-2023")</f>
        <v/>
      </c>
      <c r="T150">
        <f>HYPERLINK("https://klasma.github.io/Logging_0380/kartor/A 28951-2023 karta.png", "A 28951-2023")</f>
        <v/>
      </c>
      <c r="V150">
        <f>HYPERLINK("https://klasma.github.io/Logging_0380/klagomål/A 28951-2023 FSC-klagomål.docx", "A 28951-2023")</f>
        <v/>
      </c>
      <c r="W150">
        <f>HYPERLINK("https://klasma.github.io/Logging_0380/klagomålsmail/A 28951-2023 FSC-klagomål mail.docx", "A 28951-2023")</f>
        <v/>
      </c>
      <c r="X150">
        <f>HYPERLINK("https://klasma.github.io/Logging_0380/tillsyn/A 28951-2023 tillsynsbegäran.docx", "A 28951-2023")</f>
        <v/>
      </c>
      <c r="Y150">
        <f>HYPERLINK("https://klasma.github.io/Logging_0380/tillsynsmail/A 28951-2023 tillsynsbegäran mail.docx", "A 28951-2023")</f>
        <v/>
      </c>
    </row>
    <row r="151" ht="15" customHeight="1">
      <c r="A151" t="inlineStr">
        <is>
          <t>A 29906-2023</t>
        </is>
      </c>
      <c r="B151" s="1" t="n">
        <v>45107</v>
      </c>
      <c r="C151" s="1" t="n">
        <v>45664</v>
      </c>
      <c r="D151" t="inlineStr">
        <is>
          <t>UPPSALA LÄN</t>
        </is>
      </c>
      <c r="E151" t="inlineStr">
        <is>
          <t>UPPSALA</t>
        </is>
      </c>
      <c r="F151" t="inlineStr">
        <is>
          <t>Kyrkan</t>
        </is>
      </c>
      <c r="G151" t="n">
        <v>0.5</v>
      </c>
      <c r="H151" t="n">
        <v>0</v>
      </c>
      <c r="I151" t="n">
        <v>1</v>
      </c>
      <c r="J151" t="n">
        <v>0</v>
      </c>
      <c r="K151" t="n">
        <v>0</v>
      </c>
      <c r="L151" t="n">
        <v>0</v>
      </c>
      <c r="M151" t="n">
        <v>0</v>
      </c>
      <c r="N151" t="n">
        <v>0</v>
      </c>
      <c r="O151" t="n">
        <v>0</v>
      </c>
      <c r="P151" t="n">
        <v>0</v>
      </c>
      <c r="Q151" t="n">
        <v>1</v>
      </c>
      <c r="R151" s="2" t="inlineStr">
        <is>
          <t>Sotriska</t>
        </is>
      </c>
      <c r="S151">
        <f>HYPERLINK("https://klasma.github.io/Logging_0380/artfynd/A 29906-2023 artfynd.xlsx", "A 29906-2023")</f>
        <v/>
      </c>
      <c r="T151">
        <f>HYPERLINK("https://klasma.github.io/Logging_0380/kartor/A 29906-2023 karta.png", "A 29906-2023")</f>
        <v/>
      </c>
      <c r="V151">
        <f>HYPERLINK("https://klasma.github.io/Logging_0380/klagomål/A 29906-2023 FSC-klagomål.docx", "A 29906-2023")</f>
        <v/>
      </c>
      <c r="W151">
        <f>HYPERLINK("https://klasma.github.io/Logging_0380/klagomålsmail/A 29906-2023 FSC-klagomål mail.docx", "A 29906-2023")</f>
        <v/>
      </c>
      <c r="X151">
        <f>HYPERLINK("https://klasma.github.io/Logging_0380/tillsyn/A 29906-2023 tillsynsbegäran.docx", "A 29906-2023")</f>
        <v/>
      </c>
      <c r="Y151">
        <f>HYPERLINK("https://klasma.github.io/Logging_0380/tillsynsmail/A 29906-2023 tillsynsbegäran mail.docx", "A 29906-2023")</f>
        <v/>
      </c>
    </row>
    <row r="152" ht="15" customHeight="1">
      <c r="A152" t="inlineStr">
        <is>
          <t>A 32668-2023</t>
        </is>
      </c>
      <c r="B152" s="1" t="n">
        <v>45121</v>
      </c>
      <c r="C152" s="1" t="n">
        <v>45664</v>
      </c>
      <c r="D152" t="inlineStr">
        <is>
          <t>UPPSALA LÄN</t>
        </is>
      </c>
      <c r="E152" t="inlineStr">
        <is>
          <t>UPPSALA</t>
        </is>
      </c>
      <c r="F152" t="inlineStr">
        <is>
          <t>Holmen skog AB</t>
        </is>
      </c>
      <c r="G152" t="n">
        <v>6.3</v>
      </c>
      <c r="H152" t="n">
        <v>1</v>
      </c>
      <c r="I152" t="n">
        <v>0</v>
      </c>
      <c r="J152" t="n">
        <v>0</v>
      </c>
      <c r="K152" t="n">
        <v>0</v>
      </c>
      <c r="L152" t="n">
        <v>0</v>
      </c>
      <c r="M152" t="n">
        <v>0</v>
      </c>
      <c r="N152" t="n">
        <v>0</v>
      </c>
      <c r="O152" t="n">
        <v>0</v>
      </c>
      <c r="P152" t="n">
        <v>0</v>
      </c>
      <c r="Q152" t="n">
        <v>1</v>
      </c>
      <c r="R152" s="2" t="inlineStr">
        <is>
          <t>Blåsippa</t>
        </is>
      </c>
      <c r="S152">
        <f>HYPERLINK("https://klasma.github.io/Logging_0380/artfynd/A 32668-2023 artfynd.xlsx", "A 32668-2023")</f>
        <v/>
      </c>
      <c r="T152">
        <f>HYPERLINK("https://klasma.github.io/Logging_0380/kartor/A 32668-2023 karta.png", "A 32668-2023")</f>
        <v/>
      </c>
      <c r="V152">
        <f>HYPERLINK("https://klasma.github.io/Logging_0380/klagomål/A 32668-2023 FSC-klagomål.docx", "A 32668-2023")</f>
        <v/>
      </c>
      <c r="W152">
        <f>HYPERLINK("https://klasma.github.io/Logging_0380/klagomålsmail/A 32668-2023 FSC-klagomål mail.docx", "A 32668-2023")</f>
        <v/>
      </c>
      <c r="X152">
        <f>HYPERLINK("https://klasma.github.io/Logging_0380/tillsyn/A 32668-2023 tillsynsbegäran.docx", "A 32668-2023")</f>
        <v/>
      </c>
      <c r="Y152">
        <f>HYPERLINK("https://klasma.github.io/Logging_0380/tillsynsmail/A 32668-2023 tillsynsbegäran mail.docx", "A 32668-2023")</f>
        <v/>
      </c>
    </row>
    <row r="153" ht="15" customHeight="1">
      <c r="A153" t="inlineStr">
        <is>
          <t>A 32755-2023</t>
        </is>
      </c>
      <c r="B153" s="1" t="n">
        <v>45123</v>
      </c>
      <c r="C153" s="1" t="n">
        <v>45664</v>
      </c>
      <c r="D153" t="inlineStr">
        <is>
          <t>UPPSALA LÄN</t>
        </is>
      </c>
      <c r="E153" t="inlineStr">
        <is>
          <t>UPPSALA</t>
        </is>
      </c>
      <c r="G153" t="n">
        <v>5.7</v>
      </c>
      <c r="H153" t="n">
        <v>1</v>
      </c>
      <c r="I153" t="n">
        <v>0</v>
      </c>
      <c r="J153" t="n">
        <v>1</v>
      </c>
      <c r="K153" t="n">
        <v>0</v>
      </c>
      <c r="L153" t="n">
        <v>0</v>
      </c>
      <c r="M153" t="n">
        <v>0</v>
      </c>
      <c r="N153" t="n">
        <v>0</v>
      </c>
      <c r="O153" t="n">
        <v>1</v>
      </c>
      <c r="P153" t="n">
        <v>0</v>
      </c>
      <c r="Q153" t="n">
        <v>1</v>
      </c>
      <c r="R153" s="2" t="inlineStr">
        <is>
          <t>Spillkråka</t>
        </is>
      </c>
      <c r="S153">
        <f>HYPERLINK("https://klasma.github.io/Logging_0380/artfynd/A 32755-2023 artfynd.xlsx", "A 32755-2023")</f>
        <v/>
      </c>
      <c r="T153">
        <f>HYPERLINK("https://klasma.github.io/Logging_0380/kartor/A 32755-2023 karta.png", "A 32755-2023")</f>
        <v/>
      </c>
      <c r="V153">
        <f>HYPERLINK("https://klasma.github.io/Logging_0380/klagomål/A 32755-2023 FSC-klagomål.docx", "A 32755-2023")</f>
        <v/>
      </c>
      <c r="W153">
        <f>HYPERLINK("https://klasma.github.io/Logging_0380/klagomålsmail/A 32755-2023 FSC-klagomål mail.docx", "A 32755-2023")</f>
        <v/>
      </c>
      <c r="X153">
        <f>HYPERLINK("https://klasma.github.io/Logging_0380/tillsyn/A 32755-2023 tillsynsbegäran.docx", "A 32755-2023")</f>
        <v/>
      </c>
      <c r="Y153">
        <f>HYPERLINK("https://klasma.github.io/Logging_0380/tillsynsmail/A 32755-2023 tillsynsbegäran mail.docx", "A 32755-2023")</f>
        <v/>
      </c>
      <c r="Z153">
        <f>HYPERLINK("https://klasma.github.io/Logging_0380/fåglar/A 32755-2023 prioriterade fågelarter.docx", "A 32755-2023")</f>
        <v/>
      </c>
    </row>
    <row r="154" ht="15" customHeight="1">
      <c r="A154" t="inlineStr">
        <is>
          <t>A 34732-2023</t>
        </is>
      </c>
      <c r="B154" s="1" t="n">
        <v>45139</v>
      </c>
      <c r="C154" s="1" t="n">
        <v>45664</v>
      </c>
      <c r="D154" t="inlineStr">
        <is>
          <t>UPPSALA LÄN</t>
        </is>
      </c>
      <c r="E154" t="inlineStr">
        <is>
          <t>UPPSALA</t>
        </is>
      </c>
      <c r="G154" t="n">
        <v>8.1</v>
      </c>
      <c r="H154" t="n">
        <v>1</v>
      </c>
      <c r="I154" t="n">
        <v>1</v>
      </c>
      <c r="J154" t="n">
        <v>0</v>
      </c>
      <c r="K154" t="n">
        <v>0</v>
      </c>
      <c r="L154" t="n">
        <v>0</v>
      </c>
      <c r="M154" t="n">
        <v>0</v>
      </c>
      <c r="N154" t="n">
        <v>0</v>
      </c>
      <c r="O154" t="n">
        <v>0</v>
      </c>
      <c r="P154" t="n">
        <v>0</v>
      </c>
      <c r="Q154" t="n">
        <v>1</v>
      </c>
      <c r="R154" s="2" t="inlineStr">
        <is>
          <t>Grön sköldmossa</t>
        </is>
      </c>
      <c r="S154">
        <f>HYPERLINK("https://klasma.github.io/Logging_0380/artfynd/A 34732-2023 artfynd.xlsx", "A 34732-2023")</f>
        <v/>
      </c>
      <c r="T154">
        <f>HYPERLINK("https://klasma.github.io/Logging_0380/kartor/A 34732-2023 karta.png", "A 34732-2023")</f>
        <v/>
      </c>
      <c r="V154">
        <f>HYPERLINK("https://klasma.github.io/Logging_0380/klagomål/A 34732-2023 FSC-klagomål.docx", "A 34732-2023")</f>
        <v/>
      </c>
      <c r="W154">
        <f>HYPERLINK("https://klasma.github.io/Logging_0380/klagomålsmail/A 34732-2023 FSC-klagomål mail.docx", "A 34732-2023")</f>
        <v/>
      </c>
      <c r="X154">
        <f>HYPERLINK("https://klasma.github.io/Logging_0380/tillsyn/A 34732-2023 tillsynsbegäran.docx", "A 34732-2023")</f>
        <v/>
      </c>
      <c r="Y154">
        <f>HYPERLINK("https://klasma.github.io/Logging_0380/tillsynsmail/A 34732-2023 tillsynsbegäran mail.docx", "A 34732-2023")</f>
        <v/>
      </c>
    </row>
    <row r="155" ht="15" customHeight="1">
      <c r="A155" t="inlineStr">
        <is>
          <t>A 39741-2023</t>
        </is>
      </c>
      <c r="B155" s="1" t="n">
        <v>45167</v>
      </c>
      <c r="C155" s="1" t="n">
        <v>45664</v>
      </c>
      <c r="D155" t="inlineStr">
        <is>
          <t>UPPSALA LÄN</t>
        </is>
      </c>
      <c r="E155" t="inlineStr">
        <is>
          <t>UPPSALA</t>
        </is>
      </c>
      <c r="G155" t="n">
        <v>5.6</v>
      </c>
      <c r="H155" t="n">
        <v>1</v>
      </c>
      <c r="I155" t="n">
        <v>0</v>
      </c>
      <c r="J155" t="n">
        <v>1</v>
      </c>
      <c r="K155" t="n">
        <v>0</v>
      </c>
      <c r="L155" t="n">
        <v>0</v>
      </c>
      <c r="M155" t="n">
        <v>0</v>
      </c>
      <c r="N155" t="n">
        <v>0</v>
      </c>
      <c r="O155" t="n">
        <v>1</v>
      </c>
      <c r="P155" t="n">
        <v>0</v>
      </c>
      <c r="Q155" t="n">
        <v>1</v>
      </c>
      <c r="R155" s="2" t="inlineStr">
        <is>
          <t>Entita</t>
        </is>
      </c>
      <c r="S155">
        <f>HYPERLINK("https://klasma.github.io/Logging_0380/artfynd/A 39741-2023 artfynd.xlsx", "A 39741-2023")</f>
        <v/>
      </c>
      <c r="T155">
        <f>HYPERLINK("https://klasma.github.io/Logging_0380/kartor/A 39741-2023 karta.png", "A 39741-2023")</f>
        <v/>
      </c>
      <c r="V155">
        <f>HYPERLINK("https://klasma.github.io/Logging_0380/klagomål/A 39741-2023 FSC-klagomål.docx", "A 39741-2023")</f>
        <v/>
      </c>
      <c r="W155">
        <f>HYPERLINK("https://klasma.github.io/Logging_0380/klagomålsmail/A 39741-2023 FSC-klagomål mail.docx", "A 39741-2023")</f>
        <v/>
      </c>
      <c r="X155">
        <f>HYPERLINK("https://klasma.github.io/Logging_0380/tillsyn/A 39741-2023 tillsynsbegäran.docx", "A 39741-2023")</f>
        <v/>
      </c>
      <c r="Y155">
        <f>HYPERLINK("https://klasma.github.io/Logging_0380/tillsynsmail/A 39741-2023 tillsynsbegäran mail.docx", "A 39741-2023")</f>
        <v/>
      </c>
      <c r="Z155">
        <f>HYPERLINK("https://klasma.github.io/Logging_0380/fåglar/A 39741-2023 prioriterade fågelarter.docx", "A 39741-2023")</f>
        <v/>
      </c>
    </row>
    <row r="156" ht="15" customHeight="1">
      <c r="A156" t="inlineStr">
        <is>
          <t>A 49990-2023</t>
        </is>
      </c>
      <c r="B156" s="1" t="n">
        <v>45215</v>
      </c>
      <c r="C156" s="1" t="n">
        <v>45664</v>
      </c>
      <c r="D156" t="inlineStr">
        <is>
          <t>UPPSALA LÄN</t>
        </is>
      </c>
      <c r="E156" t="inlineStr">
        <is>
          <t>UPPSALA</t>
        </is>
      </c>
      <c r="G156" t="n">
        <v>2</v>
      </c>
      <c r="H156" t="n">
        <v>1</v>
      </c>
      <c r="I156" t="n">
        <v>0</v>
      </c>
      <c r="J156" t="n">
        <v>0</v>
      </c>
      <c r="K156" t="n">
        <v>0</v>
      </c>
      <c r="L156" t="n">
        <v>0</v>
      </c>
      <c r="M156" t="n">
        <v>0</v>
      </c>
      <c r="N156" t="n">
        <v>0</v>
      </c>
      <c r="O156" t="n">
        <v>0</v>
      </c>
      <c r="P156" t="n">
        <v>0</v>
      </c>
      <c r="Q156" t="n">
        <v>1</v>
      </c>
      <c r="R156" s="2" t="inlineStr">
        <is>
          <t>Järnsparv</t>
        </is>
      </c>
      <c r="S156">
        <f>HYPERLINK("https://klasma.github.io/Logging_0380/artfynd/A 49990-2023 artfynd.xlsx", "A 49990-2023")</f>
        <v/>
      </c>
      <c r="T156">
        <f>HYPERLINK("https://klasma.github.io/Logging_0380/kartor/A 49990-2023 karta.png", "A 49990-2023")</f>
        <v/>
      </c>
      <c r="V156">
        <f>HYPERLINK("https://klasma.github.io/Logging_0380/klagomål/A 49990-2023 FSC-klagomål.docx", "A 49990-2023")</f>
        <v/>
      </c>
      <c r="W156">
        <f>HYPERLINK("https://klasma.github.io/Logging_0380/klagomålsmail/A 49990-2023 FSC-klagomål mail.docx", "A 49990-2023")</f>
        <v/>
      </c>
      <c r="X156">
        <f>HYPERLINK("https://klasma.github.io/Logging_0380/tillsyn/A 49990-2023 tillsynsbegäran.docx", "A 49990-2023")</f>
        <v/>
      </c>
      <c r="Y156">
        <f>HYPERLINK("https://klasma.github.io/Logging_0380/tillsynsmail/A 49990-2023 tillsynsbegäran mail.docx", "A 49990-2023")</f>
        <v/>
      </c>
      <c r="Z156">
        <f>HYPERLINK("https://klasma.github.io/Logging_0380/fåglar/A 49990-2023 prioriterade fågelarter.docx", "A 49990-2023")</f>
        <v/>
      </c>
    </row>
    <row r="157" ht="15" customHeight="1">
      <c r="A157" t="inlineStr">
        <is>
          <t>A 51540-2023</t>
        </is>
      </c>
      <c r="B157" s="1" t="n">
        <v>45222</v>
      </c>
      <c r="C157" s="1" t="n">
        <v>45664</v>
      </c>
      <c r="D157" t="inlineStr">
        <is>
          <t>UPPSALA LÄN</t>
        </is>
      </c>
      <c r="E157" t="inlineStr">
        <is>
          <t>UPPSALA</t>
        </is>
      </c>
      <c r="G157" t="n">
        <v>6.4</v>
      </c>
      <c r="H157" t="n">
        <v>0</v>
      </c>
      <c r="I157" t="n">
        <v>0</v>
      </c>
      <c r="J157" t="n">
        <v>1</v>
      </c>
      <c r="K157" t="n">
        <v>0</v>
      </c>
      <c r="L157" t="n">
        <v>0</v>
      </c>
      <c r="M157" t="n">
        <v>0</v>
      </c>
      <c r="N157" t="n">
        <v>0</v>
      </c>
      <c r="O157" t="n">
        <v>1</v>
      </c>
      <c r="P157" t="n">
        <v>0</v>
      </c>
      <c r="Q157" t="n">
        <v>1</v>
      </c>
      <c r="R157" s="2" t="inlineStr">
        <is>
          <t>Svedjenäva</t>
        </is>
      </c>
      <c r="S157">
        <f>HYPERLINK("https://klasma.github.io/Logging_0380/artfynd/A 51540-2023 artfynd.xlsx", "A 51540-2023")</f>
        <v/>
      </c>
      <c r="T157">
        <f>HYPERLINK("https://klasma.github.io/Logging_0380/kartor/A 51540-2023 karta.png", "A 51540-2023")</f>
        <v/>
      </c>
      <c r="V157">
        <f>HYPERLINK("https://klasma.github.io/Logging_0380/klagomål/A 51540-2023 FSC-klagomål.docx", "A 51540-2023")</f>
        <v/>
      </c>
      <c r="W157">
        <f>HYPERLINK("https://klasma.github.io/Logging_0380/klagomålsmail/A 51540-2023 FSC-klagomål mail.docx", "A 51540-2023")</f>
        <v/>
      </c>
      <c r="X157">
        <f>HYPERLINK("https://klasma.github.io/Logging_0380/tillsyn/A 51540-2023 tillsynsbegäran.docx", "A 51540-2023")</f>
        <v/>
      </c>
      <c r="Y157">
        <f>HYPERLINK("https://klasma.github.io/Logging_0380/tillsynsmail/A 51540-2023 tillsynsbegäran mail.docx", "A 51540-2023")</f>
        <v/>
      </c>
    </row>
    <row r="158" ht="15" customHeight="1">
      <c r="A158" t="inlineStr">
        <is>
          <t>A 57332-2023</t>
        </is>
      </c>
      <c r="B158" s="1" t="n">
        <v>45245</v>
      </c>
      <c r="C158" s="1" t="n">
        <v>45664</v>
      </c>
      <c r="D158" t="inlineStr">
        <is>
          <t>UPPSALA LÄN</t>
        </is>
      </c>
      <c r="E158" t="inlineStr">
        <is>
          <t>UPPSALA</t>
        </is>
      </c>
      <c r="F158" t="inlineStr">
        <is>
          <t>Allmännings- och besparingsskogar</t>
        </is>
      </c>
      <c r="G158" t="n">
        <v>11.4</v>
      </c>
      <c r="H158" t="n">
        <v>1</v>
      </c>
      <c r="I158" t="n">
        <v>0</v>
      </c>
      <c r="J158" t="n">
        <v>0</v>
      </c>
      <c r="K158" t="n">
        <v>1</v>
      </c>
      <c r="L158" t="n">
        <v>0</v>
      </c>
      <c r="M158" t="n">
        <v>0</v>
      </c>
      <c r="N158" t="n">
        <v>0</v>
      </c>
      <c r="O158" t="n">
        <v>1</v>
      </c>
      <c r="P158" t="n">
        <v>1</v>
      </c>
      <c r="Q158" t="n">
        <v>1</v>
      </c>
      <c r="R158" s="2" t="inlineStr">
        <is>
          <t>Knärot</t>
        </is>
      </c>
      <c r="S158">
        <f>HYPERLINK("https://klasma.github.io/Logging_0380/artfynd/A 57332-2023 artfynd.xlsx", "A 57332-2023")</f>
        <v/>
      </c>
      <c r="T158">
        <f>HYPERLINK("https://klasma.github.io/Logging_0380/kartor/A 57332-2023 karta.png", "A 57332-2023")</f>
        <v/>
      </c>
      <c r="U158">
        <f>HYPERLINK("https://klasma.github.io/Logging_0380/knärot/A 57332-2023 karta knärot.png", "A 57332-2023")</f>
        <v/>
      </c>
      <c r="V158">
        <f>HYPERLINK("https://klasma.github.io/Logging_0380/klagomål/A 57332-2023 FSC-klagomål.docx", "A 57332-2023")</f>
        <v/>
      </c>
      <c r="W158">
        <f>HYPERLINK("https://klasma.github.io/Logging_0380/klagomålsmail/A 57332-2023 FSC-klagomål mail.docx", "A 57332-2023")</f>
        <v/>
      </c>
      <c r="X158">
        <f>HYPERLINK("https://klasma.github.io/Logging_0380/tillsyn/A 57332-2023 tillsynsbegäran.docx", "A 57332-2023")</f>
        <v/>
      </c>
      <c r="Y158">
        <f>HYPERLINK("https://klasma.github.io/Logging_0380/tillsynsmail/A 57332-2023 tillsynsbegäran mail.docx", "A 57332-2023")</f>
        <v/>
      </c>
    </row>
    <row r="159" ht="15" customHeight="1">
      <c r="A159" t="inlineStr">
        <is>
          <t>A 61068-2023</t>
        </is>
      </c>
      <c r="B159" s="1" t="n">
        <v>45259</v>
      </c>
      <c r="C159" s="1" t="n">
        <v>45664</v>
      </c>
      <c r="D159" t="inlineStr">
        <is>
          <t>UPPSALA LÄN</t>
        </is>
      </c>
      <c r="E159" t="inlineStr">
        <is>
          <t>UPPSALA</t>
        </is>
      </c>
      <c r="F159" t="inlineStr">
        <is>
          <t>Övriga Aktiebolag</t>
        </is>
      </c>
      <c r="G159" t="n">
        <v>8.800000000000001</v>
      </c>
      <c r="H159" t="n">
        <v>1</v>
      </c>
      <c r="I159" t="n">
        <v>0</v>
      </c>
      <c r="J159" t="n">
        <v>0</v>
      </c>
      <c r="K159" t="n">
        <v>1</v>
      </c>
      <c r="L159" t="n">
        <v>0</v>
      </c>
      <c r="M159" t="n">
        <v>0</v>
      </c>
      <c r="N159" t="n">
        <v>0</v>
      </c>
      <c r="O159" t="n">
        <v>1</v>
      </c>
      <c r="P159" t="n">
        <v>1</v>
      </c>
      <c r="Q159" t="n">
        <v>1</v>
      </c>
      <c r="R159" s="2" t="inlineStr">
        <is>
          <t>Knärot</t>
        </is>
      </c>
      <c r="S159">
        <f>HYPERLINK("https://klasma.github.io/Logging_0380/artfynd/A 61068-2023 artfynd.xlsx", "A 61068-2023")</f>
        <v/>
      </c>
      <c r="T159">
        <f>HYPERLINK("https://klasma.github.io/Logging_0380/kartor/A 61068-2023 karta.png", "A 61068-2023")</f>
        <v/>
      </c>
      <c r="U159">
        <f>HYPERLINK("https://klasma.github.io/Logging_0380/knärot/A 61068-2023 karta knärot.png", "A 61068-2023")</f>
        <v/>
      </c>
      <c r="V159">
        <f>HYPERLINK("https://klasma.github.io/Logging_0380/klagomål/A 61068-2023 FSC-klagomål.docx", "A 61068-2023")</f>
        <v/>
      </c>
      <c r="W159">
        <f>HYPERLINK("https://klasma.github.io/Logging_0380/klagomålsmail/A 61068-2023 FSC-klagomål mail.docx", "A 61068-2023")</f>
        <v/>
      </c>
      <c r="X159">
        <f>HYPERLINK("https://klasma.github.io/Logging_0380/tillsyn/A 61068-2023 tillsynsbegäran.docx", "A 61068-2023")</f>
        <v/>
      </c>
      <c r="Y159">
        <f>HYPERLINK("https://klasma.github.io/Logging_0380/tillsynsmail/A 61068-2023 tillsynsbegäran mail.docx", "A 61068-2023")</f>
        <v/>
      </c>
    </row>
    <row r="160" ht="15" customHeight="1">
      <c r="A160" t="inlineStr">
        <is>
          <t>A 61066-2023</t>
        </is>
      </c>
      <c r="B160" s="1" t="n">
        <v>45259</v>
      </c>
      <c r="C160" s="1" t="n">
        <v>45664</v>
      </c>
      <c r="D160" t="inlineStr">
        <is>
          <t>UPPSALA LÄN</t>
        </is>
      </c>
      <c r="E160" t="inlineStr">
        <is>
          <t>UPPSALA</t>
        </is>
      </c>
      <c r="F160" t="inlineStr">
        <is>
          <t>Övriga Aktiebolag</t>
        </is>
      </c>
      <c r="G160" t="n">
        <v>4.7</v>
      </c>
      <c r="H160" t="n">
        <v>0</v>
      </c>
      <c r="I160" t="n">
        <v>0</v>
      </c>
      <c r="J160" t="n">
        <v>1</v>
      </c>
      <c r="K160" t="n">
        <v>0</v>
      </c>
      <c r="L160" t="n">
        <v>0</v>
      </c>
      <c r="M160" t="n">
        <v>0</v>
      </c>
      <c r="N160" t="n">
        <v>0</v>
      </c>
      <c r="O160" t="n">
        <v>1</v>
      </c>
      <c r="P160" t="n">
        <v>0</v>
      </c>
      <c r="Q160" t="n">
        <v>1</v>
      </c>
      <c r="R160" s="2" t="inlineStr">
        <is>
          <t>Igelkott</t>
        </is>
      </c>
      <c r="S160">
        <f>HYPERLINK("https://klasma.github.io/Logging_0380/artfynd/A 61066-2023 artfynd.xlsx", "A 61066-2023")</f>
        <v/>
      </c>
      <c r="T160">
        <f>HYPERLINK("https://klasma.github.io/Logging_0380/kartor/A 61066-2023 karta.png", "A 61066-2023")</f>
        <v/>
      </c>
      <c r="V160">
        <f>HYPERLINK("https://klasma.github.io/Logging_0380/klagomål/A 61066-2023 FSC-klagomål.docx", "A 61066-2023")</f>
        <v/>
      </c>
      <c r="W160">
        <f>HYPERLINK("https://klasma.github.io/Logging_0380/klagomålsmail/A 61066-2023 FSC-klagomål mail.docx", "A 61066-2023")</f>
        <v/>
      </c>
      <c r="X160">
        <f>HYPERLINK("https://klasma.github.io/Logging_0380/tillsyn/A 61066-2023 tillsynsbegäran.docx", "A 61066-2023")</f>
        <v/>
      </c>
      <c r="Y160">
        <f>HYPERLINK("https://klasma.github.io/Logging_0380/tillsynsmail/A 61066-2023 tillsynsbegäran mail.docx", "A 61066-2023")</f>
        <v/>
      </c>
    </row>
    <row r="161" ht="15" customHeight="1">
      <c r="A161" t="inlineStr">
        <is>
          <t>A 63172-2023</t>
        </is>
      </c>
      <c r="B161" s="1" t="n">
        <v>45273</v>
      </c>
      <c r="C161" s="1" t="n">
        <v>45664</v>
      </c>
      <c r="D161" t="inlineStr">
        <is>
          <t>UPPSALA LÄN</t>
        </is>
      </c>
      <c r="E161" t="inlineStr">
        <is>
          <t>UPPSALA</t>
        </is>
      </c>
      <c r="G161" t="n">
        <v>1.8</v>
      </c>
      <c r="H161" t="n">
        <v>0</v>
      </c>
      <c r="I161" t="n">
        <v>1</v>
      </c>
      <c r="J161" t="n">
        <v>0</v>
      </c>
      <c r="K161" t="n">
        <v>0</v>
      </c>
      <c r="L161" t="n">
        <v>0</v>
      </c>
      <c r="M161" t="n">
        <v>0</v>
      </c>
      <c r="N161" t="n">
        <v>0</v>
      </c>
      <c r="O161" t="n">
        <v>0</v>
      </c>
      <c r="P161" t="n">
        <v>0</v>
      </c>
      <c r="Q161" t="n">
        <v>1</v>
      </c>
      <c r="R161" s="2" t="inlineStr">
        <is>
          <t>Ögonpyrola</t>
        </is>
      </c>
      <c r="S161">
        <f>HYPERLINK("https://klasma.github.io/Logging_0380/artfynd/A 63172-2023 artfynd.xlsx", "A 63172-2023")</f>
        <v/>
      </c>
      <c r="T161">
        <f>HYPERLINK("https://klasma.github.io/Logging_0380/kartor/A 63172-2023 karta.png", "A 63172-2023")</f>
        <v/>
      </c>
      <c r="V161">
        <f>HYPERLINK("https://klasma.github.io/Logging_0380/klagomål/A 63172-2023 FSC-klagomål.docx", "A 63172-2023")</f>
        <v/>
      </c>
      <c r="W161">
        <f>HYPERLINK("https://klasma.github.io/Logging_0380/klagomålsmail/A 63172-2023 FSC-klagomål mail.docx", "A 63172-2023")</f>
        <v/>
      </c>
      <c r="X161">
        <f>HYPERLINK("https://klasma.github.io/Logging_0380/tillsyn/A 63172-2023 tillsynsbegäran.docx", "A 63172-2023")</f>
        <v/>
      </c>
      <c r="Y161">
        <f>HYPERLINK("https://klasma.github.io/Logging_0380/tillsynsmail/A 63172-2023 tillsynsbegäran mail.docx", "A 63172-2023")</f>
        <v/>
      </c>
    </row>
    <row r="162" ht="15" customHeight="1">
      <c r="A162" t="inlineStr">
        <is>
          <t>A 584-2024</t>
        </is>
      </c>
      <c r="B162" s="1" t="n">
        <v>45299</v>
      </c>
      <c r="C162" s="1" t="n">
        <v>45664</v>
      </c>
      <c r="D162" t="inlineStr">
        <is>
          <t>UPPSALA LÄN</t>
        </is>
      </c>
      <c r="E162" t="inlineStr">
        <is>
          <t>UPPSALA</t>
        </is>
      </c>
      <c r="G162" t="n">
        <v>0.8</v>
      </c>
      <c r="H162" t="n">
        <v>1</v>
      </c>
      <c r="I162" t="n">
        <v>0</v>
      </c>
      <c r="J162" t="n">
        <v>0</v>
      </c>
      <c r="K162" t="n">
        <v>1</v>
      </c>
      <c r="L162" t="n">
        <v>0</v>
      </c>
      <c r="M162" t="n">
        <v>0</v>
      </c>
      <c r="N162" t="n">
        <v>0</v>
      </c>
      <c r="O162" t="n">
        <v>1</v>
      </c>
      <c r="P162" t="n">
        <v>1</v>
      </c>
      <c r="Q162" t="n">
        <v>1</v>
      </c>
      <c r="R162" s="2" t="inlineStr">
        <is>
          <t>Väddnätfjäril</t>
        </is>
      </c>
      <c r="S162">
        <f>HYPERLINK("https://klasma.github.io/Logging_0380/artfynd/A 584-2024 artfynd.xlsx", "A 584-2024")</f>
        <v/>
      </c>
      <c r="T162">
        <f>HYPERLINK("https://klasma.github.io/Logging_0380/kartor/A 584-2024 karta.png", "A 584-2024")</f>
        <v/>
      </c>
      <c r="V162">
        <f>HYPERLINK("https://klasma.github.io/Logging_0380/klagomål/A 584-2024 FSC-klagomål.docx", "A 584-2024")</f>
        <v/>
      </c>
      <c r="W162">
        <f>HYPERLINK("https://klasma.github.io/Logging_0380/klagomålsmail/A 584-2024 FSC-klagomål mail.docx", "A 584-2024")</f>
        <v/>
      </c>
      <c r="X162">
        <f>HYPERLINK("https://klasma.github.io/Logging_0380/tillsyn/A 584-2024 tillsynsbegäran.docx", "A 584-2024")</f>
        <v/>
      </c>
      <c r="Y162">
        <f>HYPERLINK("https://klasma.github.io/Logging_0380/tillsynsmail/A 584-2024 tillsynsbegäran mail.docx", "A 584-2024")</f>
        <v/>
      </c>
    </row>
    <row r="163" ht="15" customHeight="1">
      <c r="A163" t="inlineStr">
        <is>
          <t>A 2729-2024</t>
        </is>
      </c>
      <c r="B163" s="1" t="n">
        <v>45314</v>
      </c>
      <c r="C163" s="1" t="n">
        <v>45664</v>
      </c>
      <c r="D163" t="inlineStr">
        <is>
          <t>UPPSALA LÄN</t>
        </is>
      </c>
      <c r="E163" t="inlineStr">
        <is>
          <t>UPPSALA</t>
        </is>
      </c>
      <c r="G163" t="n">
        <v>3.3</v>
      </c>
      <c r="H163" t="n">
        <v>1</v>
      </c>
      <c r="I163" t="n">
        <v>0</v>
      </c>
      <c r="J163" t="n">
        <v>0</v>
      </c>
      <c r="K163" t="n">
        <v>0</v>
      </c>
      <c r="L163" t="n">
        <v>0</v>
      </c>
      <c r="M163" t="n">
        <v>0</v>
      </c>
      <c r="N163" t="n">
        <v>0</v>
      </c>
      <c r="O163" t="n">
        <v>0</v>
      </c>
      <c r="P163" t="n">
        <v>0</v>
      </c>
      <c r="Q163" t="n">
        <v>1</v>
      </c>
      <c r="R163" s="2" t="inlineStr">
        <is>
          <t>Revlummer</t>
        </is>
      </c>
      <c r="S163">
        <f>HYPERLINK("https://klasma.github.io/Logging_0380/artfynd/A 2729-2024 artfynd.xlsx", "A 2729-2024")</f>
        <v/>
      </c>
      <c r="T163">
        <f>HYPERLINK("https://klasma.github.io/Logging_0380/kartor/A 2729-2024 karta.png", "A 2729-2024")</f>
        <v/>
      </c>
      <c r="V163">
        <f>HYPERLINK("https://klasma.github.io/Logging_0380/klagomål/A 2729-2024 FSC-klagomål.docx", "A 2729-2024")</f>
        <v/>
      </c>
      <c r="W163">
        <f>HYPERLINK("https://klasma.github.io/Logging_0380/klagomålsmail/A 2729-2024 FSC-klagomål mail.docx", "A 2729-2024")</f>
        <v/>
      </c>
      <c r="X163">
        <f>HYPERLINK("https://klasma.github.io/Logging_0380/tillsyn/A 2729-2024 tillsynsbegäran.docx", "A 2729-2024")</f>
        <v/>
      </c>
      <c r="Y163">
        <f>HYPERLINK("https://klasma.github.io/Logging_0380/tillsynsmail/A 2729-2024 tillsynsbegäran mail.docx", "A 2729-2024")</f>
        <v/>
      </c>
    </row>
    <row r="164" ht="15" customHeight="1">
      <c r="A164" t="inlineStr">
        <is>
          <t>A 5972-2024</t>
        </is>
      </c>
      <c r="B164" s="1" t="n">
        <v>45336</v>
      </c>
      <c r="C164" s="1" t="n">
        <v>45664</v>
      </c>
      <c r="D164" t="inlineStr">
        <is>
          <t>UPPSALA LÄN</t>
        </is>
      </c>
      <c r="E164" t="inlineStr">
        <is>
          <t>UPPSALA</t>
        </is>
      </c>
      <c r="G164" t="n">
        <v>1.6</v>
      </c>
      <c r="H164" t="n">
        <v>1</v>
      </c>
      <c r="I164" t="n">
        <v>0</v>
      </c>
      <c r="J164" t="n">
        <v>0</v>
      </c>
      <c r="K164" t="n">
        <v>0</v>
      </c>
      <c r="L164" t="n">
        <v>0</v>
      </c>
      <c r="M164" t="n">
        <v>0</v>
      </c>
      <c r="N164" t="n">
        <v>0</v>
      </c>
      <c r="O164" t="n">
        <v>0</v>
      </c>
      <c r="P164" t="n">
        <v>0</v>
      </c>
      <c r="Q164" t="n">
        <v>1</v>
      </c>
      <c r="R164" s="2" t="inlineStr">
        <is>
          <t>Sparvuggla</t>
        </is>
      </c>
      <c r="S164">
        <f>HYPERLINK("https://klasma.github.io/Logging_0380/artfynd/A 5972-2024 artfynd.xlsx", "A 5972-2024")</f>
        <v/>
      </c>
      <c r="T164">
        <f>HYPERLINK("https://klasma.github.io/Logging_0380/kartor/A 5972-2024 karta.png", "A 5972-2024")</f>
        <v/>
      </c>
      <c r="V164">
        <f>HYPERLINK("https://klasma.github.io/Logging_0380/klagomål/A 5972-2024 FSC-klagomål.docx", "A 5972-2024")</f>
        <v/>
      </c>
      <c r="W164">
        <f>HYPERLINK("https://klasma.github.io/Logging_0380/klagomålsmail/A 5972-2024 FSC-klagomål mail.docx", "A 5972-2024")</f>
        <v/>
      </c>
      <c r="X164">
        <f>HYPERLINK("https://klasma.github.io/Logging_0380/tillsyn/A 5972-2024 tillsynsbegäran.docx", "A 5972-2024")</f>
        <v/>
      </c>
      <c r="Y164">
        <f>HYPERLINK("https://klasma.github.io/Logging_0380/tillsynsmail/A 5972-2024 tillsynsbegäran mail.docx", "A 5972-2024")</f>
        <v/>
      </c>
      <c r="Z164">
        <f>HYPERLINK("https://klasma.github.io/Logging_0380/fåglar/A 5972-2024 prioriterade fågelarter.docx", "A 5972-2024")</f>
        <v/>
      </c>
    </row>
    <row r="165" ht="15" customHeight="1">
      <c r="A165" t="inlineStr">
        <is>
          <t>A 6044-2024</t>
        </is>
      </c>
      <c r="B165" s="1" t="n">
        <v>45336</v>
      </c>
      <c r="C165" s="1" t="n">
        <v>45664</v>
      </c>
      <c r="D165" t="inlineStr">
        <is>
          <t>UPPSALA LÄN</t>
        </is>
      </c>
      <c r="E165" t="inlineStr">
        <is>
          <t>UPPSALA</t>
        </is>
      </c>
      <c r="F165" t="inlineStr">
        <is>
          <t>Holmen skog AB</t>
        </is>
      </c>
      <c r="G165" t="n">
        <v>7.4</v>
      </c>
      <c r="H165" t="n">
        <v>0</v>
      </c>
      <c r="I165" t="n">
        <v>0</v>
      </c>
      <c r="J165" t="n">
        <v>1</v>
      </c>
      <c r="K165" t="n">
        <v>0</v>
      </c>
      <c r="L165" t="n">
        <v>0</v>
      </c>
      <c r="M165" t="n">
        <v>0</v>
      </c>
      <c r="N165" t="n">
        <v>0</v>
      </c>
      <c r="O165" t="n">
        <v>1</v>
      </c>
      <c r="P165" t="n">
        <v>0</v>
      </c>
      <c r="Q165" t="n">
        <v>1</v>
      </c>
      <c r="R165" s="2" t="inlineStr">
        <is>
          <t>Gul dropplav</t>
        </is>
      </c>
      <c r="S165">
        <f>HYPERLINK("https://klasma.github.io/Logging_0380/artfynd/A 6044-2024 artfynd.xlsx", "A 6044-2024")</f>
        <v/>
      </c>
      <c r="T165">
        <f>HYPERLINK("https://klasma.github.io/Logging_0380/kartor/A 6044-2024 karta.png", "A 6044-2024")</f>
        <v/>
      </c>
      <c r="V165">
        <f>HYPERLINK("https://klasma.github.io/Logging_0380/klagomål/A 6044-2024 FSC-klagomål.docx", "A 6044-2024")</f>
        <v/>
      </c>
      <c r="W165">
        <f>HYPERLINK("https://klasma.github.io/Logging_0380/klagomålsmail/A 6044-2024 FSC-klagomål mail.docx", "A 6044-2024")</f>
        <v/>
      </c>
      <c r="X165">
        <f>HYPERLINK("https://klasma.github.io/Logging_0380/tillsyn/A 6044-2024 tillsynsbegäran.docx", "A 6044-2024")</f>
        <v/>
      </c>
      <c r="Y165">
        <f>HYPERLINK("https://klasma.github.io/Logging_0380/tillsynsmail/A 6044-2024 tillsynsbegäran mail.docx", "A 6044-2024")</f>
        <v/>
      </c>
    </row>
    <row r="166" ht="15" customHeight="1">
      <c r="A166" t="inlineStr">
        <is>
          <t>A 7395-2024</t>
        </is>
      </c>
      <c r="B166" s="1" t="n">
        <v>45345</v>
      </c>
      <c r="C166" s="1" t="n">
        <v>45664</v>
      </c>
      <c r="D166" t="inlineStr">
        <is>
          <t>UPPSALA LÄN</t>
        </is>
      </c>
      <c r="E166" t="inlineStr">
        <is>
          <t>UPPSALA</t>
        </is>
      </c>
      <c r="G166" t="n">
        <v>1.3</v>
      </c>
      <c r="H166" t="n">
        <v>1</v>
      </c>
      <c r="I166" t="n">
        <v>0</v>
      </c>
      <c r="J166" t="n">
        <v>0</v>
      </c>
      <c r="K166" t="n">
        <v>1</v>
      </c>
      <c r="L166" t="n">
        <v>0</v>
      </c>
      <c r="M166" t="n">
        <v>0</v>
      </c>
      <c r="N166" t="n">
        <v>0</v>
      </c>
      <c r="O166" t="n">
        <v>1</v>
      </c>
      <c r="P166" t="n">
        <v>1</v>
      </c>
      <c r="Q166" t="n">
        <v>1</v>
      </c>
      <c r="R166" s="2" t="inlineStr">
        <is>
          <t>Knärot</t>
        </is>
      </c>
      <c r="S166">
        <f>HYPERLINK("https://klasma.github.io/Logging_0380/artfynd/A 7395-2024 artfynd.xlsx", "A 7395-2024")</f>
        <v/>
      </c>
      <c r="T166">
        <f>HYPERLINK("https://klasma.github.io/Logging_0380/kartor/A 7395-2024 karta.png", "A 7395-2024")</f>
        <v/>
      </c>
      <c r="U166">
        <f>HYPERLINK("https://klasma.github.io/Logging_0380/knärot/A 7395-2024 karta knärot.png", "A 7395-2024")</f>
        <v/>
      </c>
      <c r="V166">
        <f>HYPERLINK("https://klasma.github.io/Logging_0380/klagomål/A 7395-2024 FSC-klagomål.docx", "A 7395-2024")</f>
        <v/>
      </c>
      <c r="W166">
        <f>HYPERLINK("https://klasma.github.io/Logging_0380/klagomålsmail/A 7395-2024 FSC-klagomål mail.docx", "A 7395-2024")</f>
        <v/>
      </c>
      <c r="X166">
        <f>HYPERLINK("https://klasma.github.io/Logging_0380/tillsyn/A 7395-2024 tillsynsbegäran.docx", "A 7395-2024")</f>
        <v/>
      </c>
      <c r="Y166">
        <f>HYPERLINK("https://klasma.github.io/Logging_0380/tillsynsmail/A 7395-2024 tillsynsbegäran mail.docx", "A 7395-2024")</f>
        <v/>
      </c>
    </row>
    <row r="167" ht="15" customHeight="1">
      <c r="A167" t="inlineStr">
        <is>
          <t>A 7397-2024</t>
        </is>
      </c>
      <c r="B167" s="1" t="n">
        <v>45345</v>
      </c>
      <c r="C167" s="1" t="n">
        <v>45664</v>
      </c>
      <c r="D167" t="inlineStr">
        <is>
          <t>UPPSALA LÄN</t>
        </is>
      </c>
      <c r="E167" t="inlineStr">
        <is>
          <t>UPPSALA</t>
        </is>
      </c>
      <c r="G167" t="n">
        <v>3.4</v>
      </c>
      <c r="H167" t="n">
        <v>0</v>
      </c>
      <c r="I167" t="n">
        <v>1</v>
      </c>
      <c r="J167" t="n">
        <v>0</v>
      </c>
      <c r="K167" t="n">
        <v>0</v>
      </c>
      <c r="L167" t="n">
        <v>0</v>
      </c>
      <c r="M167" t="n">
        <v>0</v>
      </c>
      <c r="N167" t="n">
        <v>0</v>
      </c>
      <c r="O167" t="n">
        <v>0</v>
      </c>
      <c r="P167" t="n">
        <v>0</v>
      </c>
      <c r="Q167" t="n">
        <v>1</v>
      </c>
      <c r="R167" s="2" t="inlineStr">
        <is>
          <t>Svavelriska</t>
        </is>
      </c>
      <c r="S167">
        <f>HYPERLINK("https://klasma.github.io/Logging_0380/artfynd/A 7397-2024 artfynd.xlsx", "A 7397-2024")</f>
        <v/>
      </c>
      <c r="T167">
        <f>HYPERLINK("https://klasma.github.io/Logging_0380/kartor/A 7397-2024 karta.png", "A 7397-2024")</f>
        <v/>
      </c>
      <c r="U167">
        <f>HYPERLINK("https://klasma.github.io/Logging_0380/knärot/A 7397-2024 karta knärot.png", "A 7397-2024")</f>
        <v/>
      </c>
      <c r="V167">
        <f>HYPERLINK("https://klasma.github.io/Logging_0380/klagomål/A 7397-2024 FSC-klagomål.docx", "A 7397-2024")</f>
        <v/>
      </c>
      <c r="W167">
        <f>HYPERLINK("https://klasma.github.io/Logging_0380/klagomålsmail/A 7397-2024 FSC-klagomål mail.docx", "A 7397-2024")</f>
        <v/>
      </c>
      <c r="X167">
        <f>HYPERLINK("https://klasma.github.io/Logging_0380/tillsyn/A 7397-2024 tillsynsbegäran.docx", "A 7397-2024")</f>
        <v/>
      </c>
      <c r="Y167">
        <f>HYPERLINK("https://klasma.github.io/Logging_0380/tillsynsmail/A 7397-2024 tillsynsbegäran mail.docx", "A 7397-2024")</f>
        <v/>
      </c>
    </row>
    <row r="168" ht="15" customHeight="1">
      <c r="A168" t="inlineStr">
        <is>
          <t>A 8398-2024</t>
        </is>
      </c>
      <c r="B168" s="1" t="n">
        <v>45352</v>
      </c>
      <c r="C168" s="1" t="n">
        <v>45664</v>
      </c>
      <c r="D168" t="inlineStr">
        <is>
          <t>UPPSALA LÄN</t>
        </is>
      </c>
      <c r="E168" t="inlineStr">
        <is>
          <t>UPPSALA</t>
        </is>
      </c>
      <c r="G168" t="n">
        <v>6.2</v>
      </c>
      <c r="H168" t="n">
        <v>1</v>
      </c>
      <c r="I168" t="n">
        <v>0</v>
      </c>
      <c r="J168" t="n">
        <v>0</v>
      </c>
      <c r="K168" t="n">
        <v>0</v>
      </c>
      <c r="L168" t="n">
        <v>0</v>
      </c>
      <c r="M168" t="n">
        <v>0</v>
      </c>
      <c r="N168" t="n">
        <v>0</v>
      </c>
      <c r="O168" t="n">
        <v>0</v>
      </c>
      <c r="P168" t="n">
        <v>0</v>
      </c>
      <c r="Q168" t="n">
        <v>1</v>
      </c>
      <c r="R168" s="2" t="inlineStr">
        <is>
          <t>Tjäder</t>
        </is>
      </c>
      <c r="S168">
        <f>HYPERLINK("https://klasma.github.io/Logging_0380/artfynd/A 8398-2024 artfynd.xlsx", "A 8398-2024")</f>
        <v/>
      </c>
      <c r="T168">
        <f>HYPERLINK("https://klasma.github.io/Logging_0380/kartor/A 8398-2024 karta.png", "A 8398-2024")</f>
        <v/>
      </c>
      <c r="V168">
        <f>HYPERLINK("https://klasma.github.io/Logging_0380/klagomål/A 8398-2024 FSC-klagomål.docx", "A 8398-2024")</f>
        <v/>
      </c>
      <c r="W168">
        <f>HYPERLINK("https://klasma.github.io/Logging_0380/klagomålsmail/A 8398-2024 FSC-klagomål mail.docx", "A 8398-2024")</f>
        <v/>
      </c>
      <c r="X168">
        <f>HYPERLINK("https://klasma.github.io/Logging_0380/tillsyn/A 8398-2024 tillsynsbegäran.docx", "A 8398-2024")</f>
        <v/>
      </c>
      <c r="Y168">
        <f>HYPERLINK("https://klasma.github.io/Logging_0380/tillsynsmail/A 8398-2024 tillsynsbegäran mail.docx", "A 8398-2024")</f>
        <v/>
      </c>
      <c r="Z168">
        <f>HYPERLINK("https://klasma.github.io/Logging_0380/fåglar/A 8398-2024 prioriterade fågelarter.docx", "A 8398-2024")</f>
        <v/>
      </c>
    </row>
    <row r="169" ht="15" customHeight="1">
      <c r="A169" t="inlineStr">
        <is>
          <t>A 9206-2024</t>
        </is>
      </c>
      <c r="B169" s="1" t="n">
        <v>45358</v>
      </c>
      <c r="C169" s="1" t="n">
        <v>45664</v>
      </c>
      <c r="D169" t="inlineStr">
        <is>
          <t>UPPSALA LÄN</t>
        </is>
      </c>
      <c r="E169" t="inlineStr">
        <is>
          <t>UPPSALA</t>
        </is>
      </c>
      <c r="F169" t="inlineStr">
        <is>
          <t>Allmännings- och besparingsskogar</t>
        </is>
      </c>
      <c r="G169" t="n">
        <v>22.2</v>
      </c>
      <c r="H169" t="n">
        <v>1</v>
      </c>
      <c r="I169" t="n">
        <v>0</v>
      </c>
      <c r="J169" t="n">
        <v>0</v>
      </c>
      <c r="K169" t="n">
        <v>1</v>
      </c>
      <c r="L169" t="n">
        <v>0</v>
      </c>
      <c r="M169" t="n">
        <v>0</v>
      </c>
      <c r="N169" t="n">
        <v>0</v>
      </c>
      <c r="O169" t="n">
        <v>1</v>
      </c>
      <c r="P169" t="n">
        <v>1</v>
      </c>
      <c r="Q169" t="n">
        <v>1</v>
      </c>
      <c r="R169" s="2" t="inlineStr">
        <is>
          <t>Knärot</t>
        </is>
      </c>
      <c r="S169">
        <f>HYPERLINK("https://klasma.github.io/Logging_0380/artfynd/A 9206-2024 artfynd.xlsx", "A 9206-2024")</f>
        <v/>
      </c>
      <c r="T169">
        <f>HYPERLINK("https://klasma.github.io/Logging_0380/kartor/A 9206-2024 karta.png", "A 9206-2024")</f>
        <v/>
      </c>
      <c r="U169">
        <f>HYPERLINK("https://klasma.github.io/Logging_0380/knärot/A 9206-2024 karta knärot.png", "A 9206-2024")</f>
        <v/>
      </c>
      <c r="V169">
        <f>HYPERLINK("https://klasma.github.io/Logging_0380/klagomål/A 9206-2024 FSC-klagomål.docx", "A 9206-2024")</f>
        <v/>
      </c>
      <c r="W169">
        <f>HYPERLINK("https://klasma.github.io/Logging_0380/klagomålsmail/A 9206-2024 FSC-klagomål mail.docx", "A 9206-2024")</f>
        <v/>
      </c>
      <c r="X169">
        <f>HYPERLINK("https://klasma.github.io/Logging_0380/tillsyn/A 9206-2024 tillsynsbegäran.docx", "A 9206-2024")</f>
        <v/>
      </c>
      <c r="Y169">
        <f>HYPERLINK("https://klasma.github.io/Logging_0380/tillsynsmail/A 9206-2024 tillsynsbegäran mail.docx", "A 9206-2024")</f>
        <v/>
      </c>
    </row>
    <row r="170" ht="15" customHeight="1">
      <c r="A170" t="inlineStr">
        <is>
          <t>A 13093-2024</t>
        </is>
      </c>
      <c r="B170" s="1" t="n">
        <v>45385</v>
      </c>
      <c r="C170" s="1" t="n">
        <v>45664</v>
      </c>
      <c r="D170" t="inlineStr">
        <is>
          <t>UPPSALA LÄN</t>
        </is>
      </c>
      <c r="E170" t="inlineStr">
        <is>
          <t>UPPSALA</t>
        </is>
      </c>
      <c r="G170" t="n">
        <v>1.1</v>
      </c>
      <c r="H170" t="n">
        <v>1</v>
      </c>
      <c r="I170" t="n">
        <v>1</v>
      </c>
      <c r="J170" t="n">
        <v>0</v>
      </c>
      <c r="K170" t="n">
        <v>0</v>
      </c>
      <c r="L170" t="n">
        <v>0</v>
      </c>
      <c r="M170" t="n">
        <v>0</v>
      </c>
      <c r="N170" t="n">
        <v>0</v>
      </c>
      <c r="O170" t="n">
        <v>0</v>
      </c>
      <c r="P170" t="n">
        <v>0</v>
      </c>
      <c r="Q170" t="n">
        <v>1</v>
      </c>
      <c r="R170" s="2" t="inlineStr">
        <is>
          <t>Skogsknipprot</t>
        </is>
      </c>
      <c r="S170">
        <f>HYPERLINK("https://klasma.github.io/Logging_0380/artfynd/A 13093-2024 artfynd.xlsx", "A 13093-2024")</f>
        <v/>
      </c>
      <c r="T170">
        <f>HYPERLINK("https://klasma.github.io/Logging_0380/kartor/A 13093-2024 karta.png", "A 13093-2024")</f>
        <v/>
      </c>
      <c r="V170">
        <f>HYPERLINK("https://klasma.github.io/Logging_0380/klagomål/A 13093-2024 FSC-klagomål.docx", "A 13093-2024")</f>
        <v/>
      </c>
      <c r="W170">
        <f>HYPERLINK("https://klasma.github.io/Logging_0380/klagomålsmail/A 13093-2024 FSC-klagomål mail.docx", "A 13093-2024")</f>
        <v/>
      </c>
      <c r="X170">
        <f>HYPERLINK("https://klasma.github.io/Logging_0380/tillsyn/A 13093-2024 tillsynsbegäran.docx", "A 13093-2024")</f>
        <v/>
      </c>
      <c r="Y170">
        <f>HYPERLINK("https://klasma.github.io/Logging_0380/tillsynsmail/A 13093-2024 tillsynsbegäran mail.docx", "A 13093-2024")</f>
        <v/>
      </c>
    </row>
    <row r="171" ht="15" customHeight="1">
      <c r="A171" t="inlineStr">
        <is>
          <t>A 13661-2024</t>
        </is>
      </c>
      <c r="B171" s="1" t="n">
        <v>45390</v>
      </c>
      <c r="C171" s="1" t="n">
        <v>45664</v>
      </c>
      <c r="D171" t="inlineStr">
        <is>
          <t>UPPSALA LÄN</t>
        </is>
      </c>
      <c r="E171" t="inlineStr">
        <is>
          <t>UPPSALA</t>
        </is>
      </c>
      <c r="F171" t="inlineStr">
        <is>
          <t>Holmen skog AB</t>
        </is>
      </c>
      <c r="G171" t="n">
        <v>3.7</v>
      </c>
      <c r="H171" t="n">
        <v>0</v>
      </c>
      <c r="I171" t="n">
        <v>0</v>
      </c>
      <c r="J171" t="n">
        <v>1</v>
      </c>
      <c r="K171" t="n">
        <v>0</v>
      </c>
      <c r="L171" t="n">
        <v>0</v>
      </c>
      <c r="M171" t="n">
        <v>0</v>
      </c>
      <c r="N171" t="n">
        <v>0</v>
      </c>
      <c r="O171" t="n">
        <v>1</v>
      </c>
      <c r="P171" t="n">
        <v>0</v>
      </c>
      <c r="Q171" t="n">
        <v>1</v>
      </c>
      <c r="R171" s="2" t="inlineStr">
        <is>
          <t>Skogsklocka</t>
        </is>
      </c>
      <c r="S171">
        <f>HYPERLINK("https://klasma.github.io/Logging_0380/artfynd/A 13661-2024 artfynd.xlsx", "A 13661-2024")</f>
        <v/>
      </c>
      <c r="T171">
        <f>HYPERLINK("https://klasma.github.io/Logging_0380/kartor/A 13661-2024 karta.png", "A 13661-2024")</f>
        <v/>
      </c>
      <c r="V171">
        <f>HYPERLINK("https://klasma.github.io/Logging_0380/klagomål/A 13661-2024 FSC-klagomål.docx", "A 13661-2024")</f>
        <v/>
      </c>
      <c r="W171">
        <f>HYPERLINK("https://klasma.github.io/Logging_0380/klagomålsmail/A 13661-2024 FSC-klagomål mail.docx", "A 13661-2024")</f>
        <v/>
      </c>
      <c r="X171">
        <f>HYPERLINK("https://klasma.github.io/Logging_0380/tillsyn/A 13661-2024 tillsynsbegäran.docx", "A 13661-2024")</f>
        <v/>
      </c>
      <c r="Y171">
        <f>HYPERLINK("https://klasma.github.io/Logging_0380/tillsynsmail/A 13661-2024 tillsynsbegäran mail.docx", "A 13661-2024")</f>
        <v/>
      </c>
    </row>
    <row r="172" ht="15" customHeight="1">
      <c r="A172" t="inlineStr">
        <is>
          <t>A 18348-2024</t>
        </is>
      </c>
      <c r="B172" s="1" t="n">
        <v>45422</v>
      </c>
      <c r="C172" s="1" t="n">
        <v>45664</v>
      </c>
      <c r="D172" t="inlineStr">
        <is>
          <t>UPPSALA LÄN</t>
        </is>
      </c>
      <c r="E172" t="inlineStr">
        <is>
          <t>UPPSALA</t>
        </is>
      </c>
      <c r="F172" t="inlineStr">
        <is>
          <t>Holmen skog AB</t>
        </is>
      </c>
      <c r="G172" t="n">
        <v>2.8</v>
      </c>
      <c r="H172" t="n">
        <v>0</v>
      </c>
      <c r="I172" t="n">
        <v>0</v>
      </c>
      <c r="J172" t="n">
        <v>1</v>
      </c>
      <c r="K172" t="n">
        <v>0</v>
      </c>
      <c r="L172" t="n">
        <v>0</v>
      </c>
      <c r="M172" t="n">
        <v>0</v>
      </c>
      <c r="N172" t="n">
        <v>0</v>
      </c>
      <c r="O172" t="n">
        <v>1</v>
      </c>
      <c r="P172" t="n">
        <v>0</v>
      </c>
      <c r="Q172" t="n">
        <v>1</v>
      </c>
      <c r="R172" s="2" t="inlineStr">
        <is>
          <t>Granticka</t>
        </is>
      </c>
      <c r="S172">
        <f>HYPERLINK("https://klasma.github.io/Logging_0380/artfynd/A 18348-2024 artfynd.xlsx", "A 18348-2024")</f>
        <v/>
      </c>
      <c r="T172">
        <f>HYPERLINK("https://klasma.github.io/Logging_0380/kartor/A 18348-2024 karta.png", "A 18348-2024")</f>
        <v/>
      </c>
      <c r="V172">
        <f>HYPERLINK("https://klasma.github.io/Logging_0380/klagomål/A 18348-2024 FSC-klagomål.docx", "A 18348-2024")</f>
        <v/>
      </c>
      <c r="W172">
        <f>HYPERLINK("https://klasma.github.io/Logging_0380/klagomålsmail/A 18348-2024 FSC-klagomål mail.docx", "A 18348-2024")</f>
        <v/>
      </c>
      <c r="X172">
        <f>HYPERLINK("https://klasma.github.io/Logging_0380/tillsyn/A 18348-2024 tillsynsbegäran.docx", "A 18348-2024")</f>
        <v/>
      </c>
      <c r="Y172">
        <f>HYPERLINK("https://klasma.github.io/Logging_0380/tillsynsmail/A 18348-2024 tillsynsbegäran mail.docx", "A 18348-2024")</f>
        <v/>
      </c>
    </row>
    <row r="173" ht="15" customHeight="1">
      <c r="A173" t="inlineStr">
        <is>
          <t>A 18509-2024</t>
        </is>
      </c>
      <c r="B173" s="1" t="n">
        <v>45425</v>
      </c>
      <c r="C173" s="1" t="n">
        <v>45664</v>
      </c>
      <c r="D173" t="inlineStr">
        <is>
          <t>UPPSALA LÄN</t>
        </is>
      </c>
      <c r="E173" t="inlineStr">
        <is>
          <t>UPPSALA</t>
        </is>
      </c>
      <c r="G173" t="n">
        <v>4</v>
      </c>
      <c r="H173" t="n">
        <v>0</v>
      </c>
      <c r="I173" t="n">
        <v>1</v>
      </c>
      <c r="J173" t="n">
        <v>0</v>
      </c>
      <c r="K173" t="n">
        <v>0</v>
      </c>
      <c r="L173" t="n">
        <v>0</v>
      </c>
      <c r="M173" t="n">
        <v>0</v>
      </c>
      <c r="N173" t="n">
        <v>0</v>
      </c>
      <c r="O173" t="n">
        <v>0</v>
      </c>
      <c r="P173" t="n">
        <v>0</v>
      </c>
      <c r="Q173" t="n">
        <v>1</v>
      </c>
      <c r="R173" s="2" t="inlineStr">
        <is>
          <t>Fällmossa</t>
        </is>
      </c>
      <c r="S173">
        <f>HYPERLINK("https://klasma.github.io/Logging_0380/artfynd/A 18509-2024 artfynd.xlsx", "A 18509-2024")</f>
        <v/>
      </c>
      <c r="T173">
        <f>HYPERLINK("https://klasma.github.io/Logging_0380/kartor/A 18509-2024 karta.png", "A 18509-2024")</f>
        <v/>
      </c>
      <c r="V173">
        <f>HYPERLINK("https://klasma.github.io/Logging_0380/klagomål/A 18509-2024 FSC-klagomål.docx", "A 18509-2024")</f>
        <v/>
      </c>
      <c r="W173">
        <f>HYPERLINK("https://klasma.github.io/Logging_0380/klagomålsmail/A 18509-2024 FSC-klagomål mail.docx", "A 18509-2024")</f>
        <v/>
      </c>
      <c r="X173">
        <f>HYPERLINK("https://klasma.github.io/Logging_0380/tillsyn/A 18509-2024 tillsynsbegäran.docx", "A 18509-2024")</f>
        <v/>
      </c>
      <c r="Y173">
        <f>HYPERLINK("https://klasma.github.io/Logging_0380/tillsynsmail/A 18509-2024 tillsynsbegäran mail.docx", "A 18509-2024")</f>
        <v/>
      </c>
    </row>
    <row r="174" ht="15" customHeight="1">
      <c r="A174" t="inlineStr">
        <is>
          <t>A 21671-2024</t>
        </is>
      </c>
      <c r="B174" s="1" t="n">
        <v>45442</v>
      </c>
      <c r="C174" s="1" t="n">
        <v>45664</v>
      </c>
      <c r="D174" t="inlineStr">
        <is>
          <t>UPPSALA LÄN</t>
        </is>
      </c>
      <c r="E174" t="inlineStr">
        <is>
          <t>UPPSALA</t>
        </is>
      </c>
      <c r="G174" t="n">
        <v>3.7</v>
      </c>
      <c r="H174" t="n">
        <v>1</v>
      </c>
      <c r="I174" t="n">
        <v>0</v>
      </c>
      <c r="J174" t="n">
        <v>0</v>
      </c>
      <c r="K174" t="n">
        <v>1</v>
      </c>
      <c r="L174" t="n">
        <v>0</v>
      </c>
      <c r="M174" t="n">
        <v>0</v>
      </c>
      <c r="N174" t="n">
        <v>0</v>
      </c>
      <c r="O174" t="n">
        <v>1</v>
      </c>
      <c r="P174" t="n">
        <v>1</v>
      </c>
      <c r="Q174" t="n">
        <v>1</v>
      </c>
      <c r="R174" s="2" t="inlineStr">
        <is>
          <t>Knärot</t>
        </is>
      </c>
      <c r="S174">
        <f>HYPERLINK("https://klasma.github.io/Logging_0380/artfynd/A 21671-2024 artfynd.xlsx", "A 21671-2024")</f>
        <v/>
      </c>
      <c r="T174">
        <f>HYPERLINK("https://klasma.github.io/Logging_0380/kartor/A 21671-2024 karta.png", "A 21671-2024")</f>
        <v/>
      </c>
      <c r="U174">
        <f>HYPERLINK("https://klasma.github.io/Logging_0380/knärot/A 21671-2024 karta knärot.png", "A 21671-2024")</f>
        <v/>
      </c>
      <c r="V174">
        <f>HYPERLINK("https://klasma.github.io/Logging_0380/klagomål/A 21671-2024 FSC-klagomål.docx", "A 21671-2024")</f>
        <v/>
      </c>
      <c r="W174">
        <f>HYPERLINK("https://klasma.github.io/Logging_0380/klagomålsmail/A 21671-2024 FSC-klagomål mail.docx", "A 21671-2024")</f>
        <v/>
      </c>
      <c r="X174">
        <f>HYPERLINK("https://klasma.github.io/Logging_0380/tillsyn/A 21671-2024 tillsynsbegäran.docx", "A 21671-2024")</f>
        <v/>
      </c>
      <c r="Y174">
        <f>HYPERLINK("https://klasma.github.io/Logging_0380/tillsynsmail/A 21671-2024 tillsynsbegäran mail.docx", "A 21671-2024")</f>
        <v/>
      </c>
    </row>
    <row r="175" ht="15" customHeight="1">
      <c r="A175" t="inlineStr">
        <is>
          <t>A 23321-2024</t>
        </is>
      </c>
      <c r="B175" s="1" t="n">
        <v>45453</v>
      </c>
      <c r="C175" s="1" t="n">
        <v>45664</v>
      </c>
      <c r="D175" t="inlineStr">
        <is>
          <t>UPPSALA LÄN</t>
        </is>
      </c>
      <c r="E175" t="inlineStr">
        <is>
          <t>UPPSALA</t>
        </is>
      </c>
      <c r="G175" t="n">
        <v>11.8</v>
      </c>
      <c r="H175" t="n">
        <v>1</v>
      </c>
      <c r="I175" t="n">
        <v>0</v>
      </c>
      <c r="J175" t="n">
        <v>1</v>
      </c>
      <c r="K175" t="n">
        <v>0</v>
      </c>
      <c r="L175" t="n">
        <v>0</v>
      </c>
      <c r="M175" t="n">
        <v>0</v>
      </c>
      <c r="N175" t="n">
        <v>0</v>
      </c>
      <c r="O175" t="n">
        <v>1</v>
      </c>
      <c r="P175" t="n">
        <v>0</v>
      </c>
      <c r="Q175" t="n">
        <v>1</v>
      </c>
      <c r="R175" s="2" t="inlineStr">
        <is>
          <t>Talltita</t>
        </is>
      </c>
      <c r="S175">
        <f>HYPERLINK("https://klasma.github.io/Logging_0380/artfynd/A 23321-2024 artfynd.xlsx", "A 23321-2024")</f>
        <v/>
      </c>
      <c r="T175">
        <f>HYPERLINK("https://klasma.github.io/Logging_0380/kartor/A 23321-2024 karta.png", "A 23321-2024")</f>
        <v/>
      </c>
      <c r="U175">
        <f>HYPERLINK("https://klasma.github.io/Logging_0380/knärot/A 23321-2024 karta knärot.png", "A 23321-2024")</f>
        <v/>
      </c>
      <c r="V175">
        <f>HYPERLINK("https://klasma.github.io/Logging_0380/klagomål/A 23321-2024 FSC-klagomål.docx", "A 23321-2024")</f>
        <v/>
      </c>
      <c r="W175">
        <f>HYPERLINK("https://klasma.github.io/Logging_0380/klagomålsmail/A 23321-2024 FSC-klagomål mail.docx", "A 23321-2024")</f>
        <v/>
      </c>
      <c r="X175">
        <f>HYPERLINK("https://klasma.github.io/Logging_0380/tillsyn/A 23321-2024 tillsynsbegäran.docx", "A 23321-2024")</f>
        <v/>
      </c>
      <c r="Y175">
        <f>HYPERLINK("https://klasma.github.io/Logging_0380/tillsynsmail/A 23321-2024 tillsynsbegäran mail.docx", "A 23321-2024")</f>
        <v/>
      </c>
      <c r="Z175">
        <f>HYPERLINK("https://klasma.github.io/Logging_0380/fåglar/A 23321-2024 prioriterade fågelarter.docx", "A 23321-2024")</f>
        <v/>
      </c>
    </row>
    <row r="176" ht="15" customHeight="1">
      <c r="A176" t="inlineStr">
        <is>
          <t>A 25482-2024</t>
        </is>
      </c>
      <c r="B176" s="1" t="n">
        <v>45463</v>
      </c>
      <c r="C176" s="1" t="n">
        <v>45664</v>
      </c>
      <c r="D176" t="inlineStr">
        <is>
          <t>UPPSALA LÄN</t>
        </is>
      </c>
      <c r="E176" t="inlineStr">
        <is>
          <t>UPPSALA</t>
        </is>
      </c>
      <c r="F176" t="inlineStr">
        <is>
          <t>Övriga Aktiebolag</t>
        </is>
      </c>
      <c r="G176" t="n">
        <v>1</v>
      </c>
      <c r="H176" t="n">
        <v>0</v>
      </c>
      <c r="I176" t="n">
        <v>1</v>
      </c>
      <c r="J176" t="n">
        <v>0</v>
      </c>
      <c r="K176" t="n">
        <v>0</v>
      </c>
      <c r="L176" t="n">
        <v>0</v>
      </c>
      <c r="M176" t="n">
        <v>0</v>
      </c>
      <c r="N176" t="n">
        <v>0</v>
      </c>
      <c r="O176" t="n">
        <v>0</v>
      </c>
      <c r="P176" t="n">
        <v>0</v>
      </c>
      <c r="Q176" t="n">
        <v>1</v>
      </c>
      <c r="R176" s="2" t="inlineStr">
        <is>
          <t>Stor aspticka</t>
        </is>
      </c>
      <c r="S176">
        <f>HYPERLINK("https://klasma.github.io/Logging_0380/artfynd/A 25482-2024 artfynd.xlsx", "A 25482-2024")</f>
        <v/>
      </c>
      <c r="T176">
        <f>HYPERLINK("https://klasma.github.io/Logging_0380/kartor/A 25482-2024 karta.png", "A 25482-2024")</f>
        <v/>
      </c>
      <c r="V176">
        <f>HYPERLINK("https://klasma.github.io/Logging_0380/klagomål/A 25482-2024 FSC-klagomål.docx", "A 25482-2024")</f>
        <v/>
      </c>
      <c r="W176">
        <f>HYPERLINK("https://klasma.github.io/Logging_0380/klagomålsmail/A 25482-2024 FSC-klagomål mail.docx", "A 25482-2024")</f>
        <v/>
      </c>
      <c r="X176">
        <f>HYPERLINK("https://klasma.github.io/Logging_0380/tillsyn/A 25482-2024 tillsynsbegäran.docx", "A 25482-2024")</f>
        <v/>
      </c>
      <c r="Y176">
        <f>HYPERLINK("https://klasma.github.io/Logging_0380/tillsynsmail/A 25482-2024 tillsynsbegäran mail.docx", "A 25482-2024")</f>
        <v/>
      </c>
    </row>
    <row r="177" ht="15" customHeight="1">
      <c r="A177" t="inlineStr">
        <is>
          <t>A 25729-2024</t>
        </is>
      </c>
      <c r="B177" s="1" t="n">
        <v>45464</v>
      </c>
      <c r="C177" s="1" t="n">
        <v>45664</v>
      </c>
      <c r="D177" t="inlineStr">
        <is>
          <t>UPPSALA LÄN</t>
        </is>
      </c>
      <c r="E177" t="inlineStr">
        <is>
          <t>UPPSALA</t>
        </is>
      </c>
      <c r="G177" t="n">
        <v>22.3</v>
      </c>
      <c r="H177" t="n">
        <v>0</v>
      </c>
      <c r="I177" t="n">
        <v>0</v>
      </c>
      <c r="J177" t="n">
        <v>1</v>
      </c>
      <c r="K177" t="n">
        <v>0</v>
      </c>
      <c r="L177" t="n">
        <v>0</v>
      </c>
      <c r="M177" t="n">
        <v>0</v>
      </c>
      <c r="N177" t="n">
        <v>0</v>
      </c>
      <c r="O177" t="n">
        <v>1</v>
      </c>
      <c r="P177" t="n">
        <v>0</v>
      </c>
      <c r="Q177" t="n">
        <v>1</v>
      </c>
      <c r="R177" s="2" t="inlineStr">
        <is>
          <t>Ullticka</t>
        </is>
      </c>
      <c r="S177">
        <f>HYPERLINK("https://klasma.github.io/Logging_0380/artfynd/A 25729-2024 artfynd.xlsx", "A 25729-2024")</f>
        <v/>
      </c>
      <c r="T177">
        <f>HYPERLINK("https://klasma.github.io/Logging_0380/kartor/A 25729-2024 karta.png", "A 25729-2024")</f>
        <v/>
      </c>
      <c r="V177">
        <f>HYPERLINK("https://klasma.github.io/Logging_0380/klagomål/A 25729-2024 FSC-klagomål.docx", "A 25729-2024")</f>
        <v/>
      </c>
      <c r="W177">
        <f>HYPERLINK("https://klasma.github.io/Logging_0380/klagomålsmail/A 25729-2024 FSC-klagomål mail.docx", "A 25729-2024")</f>
        <v/>
      </c>
      <c r="X177">
        <f>HYPERLINK("https://klasma.github.io/Logging_0380/tillsyn/A 25729-2024 tillsynsbegäran.docx", "A 25729-2024")</f>
        <v/>
      </c>
      <c r="Y177">
        <f>HYPERLINK("https://klasma.github.io/Logging_0380/tillsynsmail/A 25729-2024 tillsynsbegäran mail.docx", "A 25729-2024")</f>
        <v/>
      </c>
    </row>
    <row r="178" ht="15" customHeight="1">
      <c r="A178" t="inlineStr">
        <is>
          <t>A 29139-2024</t>
        </is>
      </c>
      <c r="B178" s="1" t="n">
        <v>45482</v>
      </c>
      <c r="C178" s="1" t="n">
        <v>45664</v>
      </c>
      <c r="D178" t="inlineStr">
        <is>
          <t>UPPSALA LÄN</t>
        </is>
      </c>
      <c r="E178" t="inlineStr">
        <is>
          <t>UPPSALA</t>
        </is>
      </c>
      <c r="F178" t="inlineStr">
        <is>
          <t>Allmännings- och besparingsskogar</t>
        </is>
      </c>
      <c r="G178" t="n">
        <v>26.4</v>
      </c>
      <c r="H178" t="n">
        <v>0</v>
      </c>
      <c r="I178" t="n">
        <v>0</v>
      </c>
      <c r="J178" t="n">
        <v>1</v>
      </c>
      <c r="K178" t="n">
        <v>0</v>
      </c>
      <c r="L178" t="n">
        <v>0</v>
      </c>
      <c r="M178" t="n">
        <v>0</v>
      </c>
      <c r="N178" t="n">
        <v>0</v>
      </c>
      <c r="O178" t="n">
        <v>1</v>
      </c>
      <c r="P178" t="n">
        <v>0</v>
      </c>
      <c r="Q178" t="n">
        <v>1</v>
      </c>
      <c r="R178" s="2" t="inlineStr">
        <is>
          <t>Granskugglöpare</t>
        </is>
      </c>
      <c r="S178">
        <f>HYPERLINK("https://klasma.github.io/Logging_0380/artfynd/A 29139-2024 artfynd.xlsx", "A 29139-2024")</f>
        <v/>
      </c>
      <c r="T178">
        <f>HYPERLINK("https://klasma.github.io/Logging_0380/kartor/A 29139-2024 karta.png", "A 29139-2024")</f>
        <v/>
      </c>
      <c r="V178">
        <f>HYPERLINK("https://klasma.github.io/Logging_0380/klagomål/A 29139-2024 FSC-klagomål.docx", "A 29139-2024")</f>
        <v/>
      </c>
      <c r="W178">
        <f>HYPERLINK("https://klasma.github.io/Logging_0380/klagomålsmail/A 29139-2024 FSC-klagomål mail.docx", "A 29139-2024")</f>
        <v/>
      </c>
      <c r="X178">
        <f>HYPERLINK("https://klasma.github.io/Logging_0380/tillsyn/A 29139-2024 tillsynsbegäran.docx", "A 29139-2024")</f>
        <v/>
      </c>
      <c r="Y178">
        <f>HYPERLINK("https://klasma.github.io/Logging_0380/tillsynsmail/A 29139-2024 tillsynsbegäran mail.docx", "A 29139-2024")</f>
        <v/>
      </c>
    </row>
    <row r="179" ht="15" customHeight="1">
      <c r="A179" t="inlineStr">
        <is>
          <t>A 34159-2024</t>
        </is>
      </c>
      <c r="B179" s="1" t="n">
        <v>45524</v>
      </c>
      <c r="C179" s="1" t="n">
        <v>45664</v>
      </c>
      <c r="D179" t="inlineStr">
        <is>
          <t>UPPSALA LÄN</t>
        </is>
      </c>
      <c r="E179" t="inlineStr">
        <is>
          <t>UPPSALA</t>
        </is>
      </c>
      <c r="G179" t="n">
        <v>3.7</v>
      </c>
      <c r="H179" t="n">
        <v>0</v>
      </c>
      <c r="I179" t="n">
        <v>1</v>
      </c>
      <c r="J179" t="n">
        <v>0</v>
      </c>
      <c r="K179" t="n">
        <v>0</v>
      </c>
      <c r="L179" t="n">
        <v>0</v>
      </c>
      <c r="M179" t="n">
        <v>0</v>
      </c>
      <c r="N179" t="n">
        <v>0</v>
      </c>
      <c r="O179" t="n">
        <v>0</v>
      </c>
      <c r="P179" t="n">
        <v>0</v>
      </c>
      <c r="Q179" t="n">
        <v>1</v>
      </c>
      <c r="R179" s="2" t="inlineStr">
        <is>
          <t>Granbarkgnagare</t>
        </is>
      </c>
      <c r="S179">
        <f>HYPERLINK("https://klasma.github.io/Logging_0380/artfynd/A 34159-2024 artfynd.xlsx", "A 34159-2024")</f>
        <v/>
      </c>
      <c r="T179">
        <f>HYPERLINK("https://klasma.github.io/Logging_0380/kartor/A 34159-2024 karta.png", "A 34159-2024")</f>
        <v/>
      </c>
      <c r="V179">
        <f>HYPERLINK("https://klasma.github.io/Logging_0380/klagomål/A 34159-2024 FSC-klagomål.docx", "A 34159-2024")</f>
        <v/>
      </c>
      <c r="W179">
        <f>HYPERLINK("https://klasma.github.io/Logging_0380/klagomålsmail/A 34159-2024 FSC-klagomål mail.docx", "A 34159-2024")</f>
        <v/>
      </c>
      <c r="X179">
        <f>HYPERLINK("https://klasma.github.io/Logging_0380/tillsyn/A 34159-2024 tillsynsbegäran.docx", "A 34159-2024")</f>
        <v/>
      </c>
      <c r="Y179">
        <f>HYPERLINK("https://klasma.github.io/Logging_0380/tillsynsmail/A 34159-2024 tillsynsbegäran mail.docx", "A 34159-2024")</f>
        <v/>
      </c>
    </row>
    <row r="180" ht="15" customHeight="1">
      <c r="A180" t="inlineStr">
        <is>
          <t>A 37563-2024</t>
        </is>
      </c>
      <c r="B180" s="1" t="n">
        <v>45541</v>
      </c>
      <c r="C180" s="1" t="n">
        <v>45664</v>
      </c>
      <c r="D180" t="inlineStr">
        <is>
          <t>UPPSALA LÄN</t>
        </is>
      </c>
      <c r="E180" t="inlineStr">
        <is>
          <t>UPPSALA</t>
        </is>
      </c>
      <c r="F180" t="inlineStr">
        <is>
          <t>Övriga Aktiebolag</t>
        </is>
      </c>
      <c r="G180" t="n">
        <v>6.1</v>
      </c>
      <c r="H180" t="n">
        <v>0</v>
      </c>
      <c r="I180" t="n">
        <v>0</v>
      </c>
      <c r="J180" t="n">
        <v>1</v>
      </c>
      <c r="K180" t="n">
        <v>0</v>
      </c>
      <c r="L180" t="n">
        <v>0</v>
      </c>
      <c r="M180" t="n">
        <v>0</v>
      </c>
      <c r="N180" t="n">
        <v>0</v>
      </c>
      <c r="O180" t="n">
        <v>1</v>
      </c>
      <c r="P180" t="n">
        <v>0</v>
      </c>
      <c r="Q180" t="n">
        <v>1</v>
      </c>
      <c r="R180" s="2" t="inlineStr">
        <is>
          <t>Skogshare</t>
        </is>
      </c>
      <c r="S180">
        <f>HYPERLINK("https://klasma.github.io/Logging_0380/artfynd/A 37563-2024 artfynd.xlsx", "A 37563-2024")</f>
        <v/>
      </c>
      <c r="T180">
        <f>HYPERLINK("https://klasma.github.io/Logging_0380/kartor/A 37563-2024 karta.png", "A 37563-2024")</f>
        <v/>
      </c>
      <c r="V180">
        <f>HYPERLINK("https://klasma.github.io/Logging_0380/klagomål/A 37563-2024 FSC-klagomål.docx", "A 37563-2024")</f>
        <v/>
      </c>
      <c r="W180">
        <f>HYPERLINK("https://klasma.github.io/Logging_0380/klagomålsmail/A 37563-2024 FSC-klagomål mail.docx", "A 37563-2024")</f>
        <v/>
      </c>
      <c r="X180">
        <f>HYPERLINK("https://klasma.github.io/Logging_0380/tillsyn/A 37563-2024 tillsynsbegäran.docx", "A 37563-2024")</f>
        <v/>
      </c>
      <c r="Y180">
        <f>HYPERLINK("https://klasma.github.io/Logging_0380/tillsynsmail/A 37563-2024 tillsynsbegäran mail.docx", "A 37563-2024")</f>
        <v/>
      </c>
    </row>
    <row r="181" ht="15" customHeight="1">
      <c r="A181" t="inlineStr">
        <is>
          <t>A 42787-2024</t>
        </is>
      </c>
      <c r="B181" s="1" t="n">
        <v>45566</v>
      </c>
      <c r="C181" s="1" t="n">
        <v>45664</v>
      </c>
      <c r="D181" t="inlineStr">
        <is>
          <t>UPPSALA LÄN</t>
        </is>
      </c>
      <c r="E181" t="inlineStr">
        <is>
          <t>UPPSALA</t>
        </is>
      </c>
      <c r="G181" t="n">
        <v>3.2</v>
      </c>
      <c r="H181" t="n">
        <v>1</v>
      </c>
      <c r="I181" t="n">
        <v>0</v>
      </c>
      <c r="J181" t="n">
        <v>0</v>
      </c>
      <c r="K181" t="n">
        <v>0</v>
      </c>
      <c r="L181" t="n">
        <v>0</v>
      </c>
      <c r="M181" t="n">
        <v>0</v>
      </c>
      <c r="N181" t="n">
        <v>0</v>
      </c>
      <c r="O181" t="n">
        <v>0</v>
      </c>
      <c r="P181" t="n">
        <v>0</v>
      </c>
      <c r="Q181" t="n">
        <v>1</v>
      </c>
      <c r="R181" s="2" t="inlineStr">
        <is>
          <t>Mattlummer</t>
        </is>
      </c>
      <c r="S181">
        <f>HYPERLINK("https://klasma.github.io/Logging_0380/artfynd/A 42787-2024 artfynd.xlsx", "A 42787-2024")</f>
        <v/>
      </c>
      <c r="T181">
        <f>HYPERLINK("https://klasma.github.io/Logging_0380/kartor/A 42787-2024 karta.png", "A 42787-2024")</f>
        <v/>
      </c>
      <c r="V181">
        <f>HYPERLINK("https://klasma.github.io/Logging_0380/klagomål/A 42787-2024 FSC-klagomål.docx", "A 42787-2024")</f>
        <v/>
      </c>
      <c r="W181">
        <f>HYPERLINK("https://klasma.github.io/Logging_0380/klagomålsmail/A 42787-2024 FSC-klagomål mail.docx", "A 42787-2024")</f>
        <v/>
      </c>
      <c r="X181">
        <f>HYPERLINK("https://klasma.github.io/Logging_0380/tillsyn/A 42787-2024 tillsynsbegäran.docx", "A 42787-2024")</f>
        <v/>
      </c>
      <c r="Y181">
        <f>HYPERLINK("https://klasma.github.io/Logging_0380/tillsynsmail/A 42787-2024 tillsynsbegäran mail.docx", "A 42787-2024")</f>
        <v/>
      </c>
    </row>
    <row r="182" ht="15" customHeight="1">
      <c r="A182" t="inlineStr">
        <is>
          <t>A 54144-2024</t>
        </is>
      </c>
      <c r="B182" s="1" t="n">
        <v>45616</v>
      </c>
      <c r="C182" s="1" t="n">
        <v>45664</v>
      </c>
      <c r="D182" t="inlineStr">
        <is>
          <t>UPPSALA LÄN</t>
        </is>
      </c>
      <c r="E182" t="inlineStr">
        <is>
          <t>UPPSALA</t>
        </is>
      </c>
      <c r="G182" t="n">
        <v>3.2</v>
      </c>
      <c r="H182" t="n">
        <v>0</v>
      </c>
      <c r="I182" t="n">
        <v>1</v>
      </c>
      <c r="J182" t="n">
        <v>0</v>
      </c>
      <c r="K182" t="n">
        <v>0</v>
      </c>
      <c r="L182" t="n">
        <v>0</v>
      </c>
      <c r="M182" t="n">
        <v>0</v>
      </c>
      <c r="N182" t="n">
        <v>0</v>
      </c>
      <c r="O182" t="n">
        <v>0</v>
      </c>
      <c r="P182" t="n">
        <v>0</v>
      </c>
      <c r="Q182" t="n">
        <v>1</v>
      </c>
      <c r="R182" s="2" t="inlineStr">
        <is>
          <t>Svavelriska</t>
        </is>
      </c>
      <c r="S182">
        <f>HYPERLINK("https://klasma.github.io/Logging_0380/artfynd/A 54144-2024 artfynd.xlsx", "A 54144-2024")</f>
        <v/>
      </c>
      <c r="T182">
        <f>HYPERLINK("https://klasma.github.io/Logging_0380/kartor/A 54144-2024 karta.png", "A 54144-2024")</f>
        <v/>
      </c>
      <c r="V182">
        <f>HYPERLINK("https://klasma.github.io/Logging_0380/klagomål/A 54144-2024 FSC-klagomål.docx", "A 54144-2024")</f>
        <v/>
      </c>
      <c r="W182">
        <f>HYPERLINK("https://klasma.github.io/Logging_0380/klagomålsmail/A 54144-2024 FSC-klagomål mail.docx", "A 54144-2024")</f>
        <v/>
      </c>
      <c r="X182">
        <f>HYPERLINK("https://klasma.github.io/Logging_0380/tillsyn/A 54144-2024 tillsynsbegäran.docx", "A 54144-2024")</f>
        <v/>
      </c>
      <c r="Y182">
        <f>HYPERLINK("https://klasma.github.io/Logging_0380/tillsynsmail/A 54144-2024 tillsynsbegäran mail.docx", "A 54144-2024")</f>
        <v/>
      </c>
    </row>
    <row r="183" ht="15" customHeight="1">
      <c r="A183" t="inlineStr">
        <is>
          <t>A 59588-2024</t>
        </is>
      </c>
      <c r="B183" s="1" t="n">
        <v>45638</v>
      </c>
      <c r="C183" s="1" t="n">
        <v>45664</v>
      </c>
      <c r="D183" t="inlineStr">
        <is>
          <t>UPPSALA LÄN</t>
        </is>
      </c>
      <c r="E183" t="inlineStr">
        <is>
          <t>UPPSALA</t>
        </is>
      </c>
      <c r="G183" t="n">
        <v>3.4</v>
      </c>
      <c r="H183" t="n">
        <v>1</v>
      </c>
      <c r="I183" t="n">
        <v>0</v>
      </c>
      <c r="J183" t="n">
        <v>0</v>
      </c>
      <c r="K183" t="n">
        <v>1</v>
      </c>
      <c r="L183" t="n">
        <v>0</v>
      </c>
      <c r="M183" t="n">
        <v>0</v>
      </c>
      <c r="N183" t="n">
        <v>0</v>
      </c>
      <c r="O183" t="n">
        <v>1</v>
      </c>
      <c r="P183" t="n">
        <v>1</v>
      </c>
      <c r="Q183" t="n">
        <v>1</v>
      </c>
      <c r="R183" s="2" t="inlineStr">
        <is>
          <t>Knärot</t>
        </is>
      </c>
      <c r="S183">
        <f>HYPERLINK("https://klasma.github.io/Logging_0380/artfynd/A 59588-2024 artfynd.xlsx", "A 59588-2024")</f>
        <v/>
      </c>
      <c r="T183">
        <f>HYPERLINK("https://klasma.github.io/Logging_0380/kartor/A 59588-2024 karta.png", "A 59588-2024")</f>
        <v/>
      </c>
      <c r="U183">
        <f>HYPERLINK("https://klasma.github.io/Logging_0380/knärot/A 59588-2024 karta knärot.png", "A 59588-2024")</f>
        <v/>
      </c>
      <c r="V183">
        <f>HYPERLINK("https://klasma.github.io/Logging_0380/klagomål/A 59588-2024 FSC-klagomål.docx", "A 59588-2024")</f>
        <v/>
      </c>
      <c r="W183">
        <f>HYPERLINK("https://klasma.github.io/Logging_0380/klagomålsmail/A 59588-2024 FSC-klagomål mail.docx", "A 59588-2024")</f>
        <v/>
      </c>
      <c r="X183">
        <f>HYPERLINK("https://klasma.github.io/Logging_0380/tillsyn/A 59588-2024 tillsynsbegäran.docx", "A 59588-2024")</f>
        <v/>
      </c>
      <c r="Y183">
        <f>HYPERLINK("https://klasma.github.io/Logging_0380/tillsynsmail/A 59588-2024 tillsynsbegäran mail.docx", "A 59588-2024")</f>
        <v/>
      </c>
    </row>
    <row r="184" ht="15" customHeight="1">
      <c r="A184" t="inlineStr">
        <is>
          <t>A 17828-2019</t>
        </is>
      </c>
      <c r="B184" s="1" t="n">
        <v>43556</v>
      </c>
      <c r="C184" s="1" t="n">
        <v>45664</v>
      </c>
      <c r="D184" t="inlineStr">
        <is>
          <t>UPPSALA LÄN</t>
        </is>
      </c>
      <c r="E184" t="inlineStr">
        <is>
          <t>UPPSALA</t>
        </is>
      </c>
      <c r="G184" t="n">
        <v>2.8</v>
      </c>
      <c r="H184" t="n">
        <v>0</v>
      </c>
      <c r="I184" t="n">
        <v>0</v>
      </c>
      <c r="J184" t="n">
        <v>0</v>
      </c>
      <c r="K184" t="n">
        <v>0</v>
      </c>
      <c r="L184" t="n">
        <v>0</v>
      </c>
      <c r="M184" t="n">
        <v>0</v>
      </c>
      <c r="N184" t="n">
        <v>0</v>
      </c>
      <c r="O184" t="n">
        <v>0</v>
      </c>
      <c r="P184" t="n">
        <v>0</v>
      </c>
      <c r="Q184" t="n">
        <v>0</v>
      </c>
      <c r="R184" s="2" t="inlineStr"/>
    </row>
    <row r="185" ht="15" customHeight="1">
      <c r="A185" t="inlineStr">
        <is>
          <t>A 18446-2019</t>
        </is>
      </c>
      <c r="B185" s="1" t="n">
        <v>43559</v>
      </c>
      <c r="C185" s="1" t="n">
        <v>45664</v>
      </c>
      <c r="D185" t="inlineStr">
        <is>
          <t>UPPSALA LÄN</t>
        </is>
      </c>
      <c r="E185" t="inlineStr">
        <is>
          <t>UPPSALA</t>
        </is>
      </c>
      <c r="G185" t="n">
        <v>9.1</v>
      </c>
      <c r="H185" t="n">
        <v>0</v>
      </c>
      <c r="I185" t="n">
        <v>0</v>
      </c>
      <c r="J185" t="n">
        <v>0</v>
      </c>
      <c r="K185" t="n">
        <v>0</v>
      </c>
      <c r="L185" t="n">
        <v>0</v>
      </c>
      <c r="M185" t="n">
        <v>0</v>
      </c>
      <c r="N185" t="n">
        <v>0</v>
      </c>
      <c r="O185" t="n">
        <v>0</v>
      </c>
      <c r="P185" t="n">
        <v>0</v>
      </c>
      <c r="Q185" t="n">
        <v>0</v>
      </c>
      <c r="R185" s="2" t="inlineStr"/>
    </row>
    <row r="186" ht="15" customHeight="1">
      <c r="A186" t="inlineStr">
        <is>
          <t>A 18554-2019</t>
        </is>
      </c>
      <c r="B186" s="1" t="n">
        <v>43559</v>
      </c>
      <c r="C186" s="1" t="n">
        <v>45664</v>
      </c>
      <c r="D186" t="inlineStr">
        <is>
          <t>UPPSALA LÄN</t>
        </is>
      </c>
      <c r="E186" t="inlineStr">
        <is>
          <t>UPPSALA</t>
        </is>
      </c>
      <c r="G186" t="n">
        <v>5.6</v>
      </c>
      <c r="H186" t="n">
        <v>0</v>
      </c>
      <c r="I186" t="n">
        <v>0</v>
      </c>
      <c r="J186" t="n">
        <v>0</v>
      </c>
      <c r="K186" t="n">
        <v>0</v>
      </c>
      <c r="L186" t="n">
        <v>0</v>
      </c>
      <c r="M186" t="n">
        <v>0</v>
      </c>
      <c r="N186" t="n">
        <v>0</v>
      </c>
      <c r="O186" t="n">
        <v>0</v>
      </c>
      <c r="P186" t="n">
        <v>0</v>
      </c>
      <c r="Q186" t="n">
        <v>0</v>
      </c>
      <c r="R186" s="2" t="inlineStr"/>
    </row>
    <row r="187" ht="15" customHeight="1">
      <c r="A187" t="inlineStr">
        <is>
          <t>A 18810-2019</t>
        </is>
      </c>
      <c r="B187" s="1" t="n">
        <v>43560</v>
      </c>
      <c r="C187" s="1" t="n">
        <v>45664</v>
      </c>
      <c r="D187" t="inlineStr">
        <is>
          <t>UPPSALA LÄN</t>
        </is>
      </c>
      <c r="E187" t="inlineStr">
        <is>
          <t>UPPSALA</t>
        </is>
      </c>
      <c r="G187" t="n">
        <v>4</v>
      </c>
      <c r="H187" t="n">
        <v>0</v>
      </c>
      <c r="I187" t="n">
        <v>0</v>
      </c>
      <c r="J187" t="n">
        <v>0</v>
      </c>
      <c r="K187" t="n">
        <v>0</v>
      </c>
      <c r="L187" t="n">
        <v>0</v>
      </c>
      <c r="M187" t="n">
        <v>0</v>
      </c>
      <c r="N187" t="n">
        <v>0</v>
      </c>
      <c r="O187" t="n">
        <v>0</v>
      </c>
      <c r="P187" t="n">
        <v>0</v>
      </c>
      <c r="Q187" t="n">
        <v>0</v>
      </c>
      <c r="R187" s="2" t="inlineStr"/>
    </row>
    <row r="188" ht="15" customHeight="1">
      <c r="A188" t="inlineStr">
        <is>
          <t>A 20011-2019</t>
        </is>
      </c>
      <c r="B188" s="1" t="n">
        <v>43570</v>
      </c>
      <c r="C188" s="1" t="n">
        <v>45664</v>
      </c>
      <c r="D188" t="inlineStr">
        <is>
          <t>UPPSALA LÄN</t>
        </is>
      </c>
      <c r="E188" t="inlineStr">
        <is>
          <t>UPPSALA</t>
        </is>
      </c>
      <c r="G188" t="n">
        <v>6.3</v>
      </c>
      <c r="H188" t="n">
        <v>0</v>
      </c>
      <c r="I188" t="n">
        <v>0</v>
      </c>
      <c r="J188" t="n">
        <v>0</v>
      </c>
      <c r="K188" t="n">
        <v>0</v>
      </c>
      <c r="L188" t="n">
        <v>0</v>
      </c>
      <c r="M188" t="n">
        <v>0</v>
      </c>
      <c r="N188" t="n">
        <v>0</v>
      </c>
      <c r="O188" t="n">
        <v>0</v>
      </c>
      <c r="P188" t="n">
        <v>0</v>
      </c>
      <c r="Q188" t="n">
        <v>0</v>
      </c>
      <c r="R188" s="2" t="inlineStr"/>
    </row>
    <row r="189" ht="15" customHeight="1">
      <c r="A189" t="inlineStr">
        <is>
          <t>A 21087-2019</t>
        </is>
      </c>
      <c r="B189" s="1" t="n">
        <v>43578</v>
      </c>
      <c r="C189" s="1" t="n">
        <v>45664</v>
      </c>
      <c r="D189" t="inlineStr">
        <is>
          <t>UPPSALA LÄN</t>
        </is>
      </c>
      <c r="E189" t="inlineStr">
        <is>
          <t>UPPSALA</t>
        </is>
      </c>
      <c r="G189" t="n">
        <v>1.8</v>
      </c>
      <c r="H189" t="n">
        <v>0</v>
      </c>
      <c r="I189" t="n">
        <v>0</v>
      </c>
      <c r="J189" t="n">
        <v>0</v>
      </c>
      <c r="K189" t="n">
        <v>0</v>
      </c>
      <c r="L189" t="n">
        <v>0</v>
      </c>
      <c r="M189" t="n">
        <v>0</v>
      </c>
      <c r="N189" t="n">
        <v>0</v>
      </c>
      <c r="O189" t="n">
        <v>0</v>
      </c>
      <c r="P189" t="n">
        <v>0</v>
      </c>
      <c r="Q189" t="n">
        <v>0</v>
      </c>
      <c r="R189" s="2" t="inlineStr"/>
    </row>
    <row r="190" ht="15" customHeight="1">
      <c r="A190" t="inlineStr">
        <is>
          <t>A 21082-2019</t>
        </is>
      </c>
      <c r="B190" s="1" t="n">
        <v>43578</v>
      </c>
      <c r="C190" s="1" t="n">
        <v>45664</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21862-2019</t>
        </is>
      </c>
      <c r="B191" s="1" t="n">
        <v>43583</v>
      </c>
      <c r="C191" s="1" t="n">
        <v>45664</v>
      </c>
      <c r="D191" t="inlineStr">
        <is>
          <t>UPPSALA LÄN</t>
        </is>
      </c>
      <c r="E191" t="inlineStr">
        <is>
          <t>UPPSALA</t>
        </is>
      </c>
      <c r="G191" t="n">
        <v>9.5</v>
      </c>
      <c r="H191" t="n">
        <v>0</v>
      </c>
      <c r="I191" t="n">
        <v>0</v>
      </c>
      <c r="J191" t="n">
        <v>0</v>
      </c>
      <c r="K191" t="n">
        <v>0</v>
      </c>
      <c r="L191" t="n">
        <v>0</v>
      </c>
      <c r="M191" t="n">
        <v>0</v>
      </c>
      <c r="N191" t="n">
        <v>0</v>
      </c>
      <c r="O191" t="n">
        <v>0</v>
      </c>
      <c r="P191" t="n">
        <v>0</v>
      </c>
      <c r="Q191" t="n">
        <v>0</v>
      </c>
      <c r="R191" s="2" t="inlineStr"/>
    </row>
    <row r="192" ht="15" customHeight="1">
      <c r="A192" t="inlineStr">
        <is>
          <t>A 22153-2019</t>
        </is>
      </c>
      <c r="B192" s="1" t="n">
        <v>43585</v>
      </c>
      <c r="C192" s="1" t="n">
        <v>45664</v>
      </c>
      <c r="D192" t="inlineStr">
        <is>
          <t>UPPSALA LÄN</t>
        </is>
      </c>
      <c r="E192" t="inlineStr">
        <is>
          <t>UPPSALA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23042-2019</t>
        </is>
      </c>
      <c r="B193" s="1" t="n">
        <v>43591</v>
      </c>
      <c r="C193" s="1" t="n">
        <v>45664</v>
      </c>
      <c r="D193" t="inlineStr">
        <is>
          <t>UPPSALA LÄN</t>
        </is>
      </c>
      <c r="E193" t="inlineStr">
        <is>
          <t>UPPSALA</t>
        </is>
      </c>
      <c r="G193" t="n">
        <v>2.7</v>
      </c>
      <c r="H193" t="n">
        <v>0</v>
      </c>
      <c r="I193" t="n">
        <v>0</v>
      </c>
      <c r="J193" t="n">
        <v>0</v>
      </c>
      <c r="K193" t="n">
        <v>0</v>
      </c>
      <c r="L193" t="n">
        <v>0</v>
      </c>
      <c r="M193" t="n">
        <v>0</v>
      </c>
      <c r="N193" t="n">
        <v>0</v>
      </c>
      <c r="O193" t="n">
        <v>0</v>
      </c>
      <c r="P193" t="n">
        <v>0</v>
      </c>
      <c r="Q193" t="n">
        <v>0</v>
      </c>
      <c r="R193" s="2" t="inlineStr"/>
    </row>
    <row r="194" ht="15" customHeight="1">
      <c r="A194" t="inlineStr">
        <is>
          <t>A 23262-2019</t>
        </is>
      </c>
      <c r="B194" s="1" t="n">
        <v>43592</v>
      </c>
      <c r="C194" s="1" t="n">
        <v>45664</v>
      </c>
      <c r="D194" t="inlineStr">
        <is>
          <t>UPPSALA LÄN</t>
        </is>
      </c>
      <c r="E194" t="inlineStr">
        <is>
          <t>UPPSALA</t>
        </is>
      </c>
      <c r="F194" t="inlineStr">
        <is>
          <t>Kyrkan</t>
        </is>
      </c>
      <c r="G194" t="n">
        <v>7.6</v>
      </c>
      <c r="H194" t="n">
        <v>0</v>
      </c>
      <c r="I194" t="n">
        <v>0</v>
      </c>
      <c r="J194" t="n">
        <v>0</v>
      </c>
      <c r="K194" t="n">
        <v>0</v>
      </c>
      <c r="L194" t="n">
        <v>0</v>
      </c>
      <c r="M194" t="n">
        <v>0</v>
      </c>
      <c r="N194" t="n">
        <v>0</v>
      </c>
      <c r="O194" t="n">
        <v>0</v>
      </c>
      <c r="P194" t="n">
        <v>0</v>
      </c>
      <c r="Q194" t="n">
        <v>0</v>
      </c>
      <c r="R194" s="2" t="inlineStr"/>
    </row>
    <row r="195" ht="15" customHeight="1">
      <c r="A195" t="inlineStr">
        <is>
          <t>A 24998-2019</t>
        </is>
      </c>
      <c r="B195" s="1" t="n">
        <v>43600</v>
      </c>
      <c r="C195" s="1" t="n">
        <v>45664</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25164-2019</t>
        </is>
      </c>
      <c r="B196" s="1" t="n">
        <v>43605</v>
      </c>
      <c r="C196" s="1" t="n">
        <v>45664</v>
      </c>
      <c r="D196" t="inlineStr">
        <is>
          <t>UPPSALA LÄN</t>
        </is>
      </c>
      <c r="E196" t="inlineStr">
        <is>
          <t>UPPSALA</t>
        </is>
      </c>
      <c r="G196" t="n">
        <v>1.6</v>
      </c>
      <c r="H196" t="n">
        <v>0</v>
      </c>
      <c r="I196" t="n">
        <v>0</v>
      </c>
      <c r="J196" t="n">
        <v>0</v>
      </c>
      <c r="K196" t="n">
        <v>0</v>
      </c>
      <c r="L196" t="n">
        <v>0</v>
      </c>
      <c r="M196" t="n">
        <v>0</v>
      </c>
      <c r="N196" t="n">
        <v>0</v>
      </c>
      <c r="O196" t="n">
        <v>0</v>
      </c>
      <c r="P196" t="n">
        <v>0</v>
      </c>
      <c r="Q196" t="n">
        <v>0</v>
      </c>
      <c r="R196" s="2" t="inlineStr"/>
    </row>
    <row r="197" ht="15" customHeight="1">
      <c r="A197" t="inlineStr">
        <is>
          <t>A 25157-2019</t>
        </is>
      </c>
      <c r="B197" s="1" t="n">
        <v>43605</v>
      </c>
      <c r="C197" s="1" t="n">
        <v>45664</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25667-2019</t>
        </is>
      </c>
      <c r="B198" s="1" t="n">
        <v>43607</v>
      </c>
      <c r="C198" s="1" t="n">
        <v>45664</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29105-2019</t>
        </is>
      </c>
      <c r="B199" s="1" t="n">
        <v>43628</v>
      </c>
      <c r="C199" s="1" t="n">
        <v>45664</v>
      </c>
      <c r="D199" t="inlineStr">
        <is>
          <t>UPPSALA LÄN</t>
        </is>
      </c>
      <c r="E199" t="inlineStr">
        <is>
          <t>UPPSALA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29183-2019</t>
        </is>
      </c>
      <c r="B200" s="1" t="n">
        <v>43628</v>
      </c>
      <c r="C200" s="1" t="n">
        <v>45664</v>
      </c>
      <c r="D200" t="inlineStr">
        <is>
          <t>UPPSALA LÄN</t>
        </is>
      </c>
      <c r="E200" t="inlineStr">
        <is>
          <t>UPPSALA</t>
        </is>
      </c>
      <c r="F200" t="inlineStr">
        <is>
          <t>Allmännings- och besparingsskogar</t>
        </is>
      </c>
      <c r="G200" t="n">
        <v>6.3</v>
      </c>
      <c r="H200" t="n">
        <v>0</v>
      </c>
      <c r="I200" t="n">
        <v>0</v>
      </c>
      <c r="J200" t="n">
        <v>0</v>
      </c>
      <c r="K200" t="n">
        <v>0</v>
      </c>
      <c r="L200" t="n">
        <v>0</v>
      </c>
      <c r="M200" t="n">
        <v>0</v>
      </c>
      <c r="N200" t="n">
        <v>0</v>
      </c>
      <c r="O200" t="n">
        <v>0</v>
      </c>
      <c r="P200" t="n">
        <v>0</v>
      </c>
      <c r="Q200" t="n">
        <v>0</v>
      </c>
      <c r="R200" s="2" t="inlineStr"/>
    </row>
    <row r="201" ht="15" customHeight="1">
      <c r="A201" t="inlineStr">
        <is>
          <t>A 29081-2019</t>
        </is>
      </c>
      <c r="B201" s="1" t="n">
        <v>43628</v>
      </c>
      <c r="C201" s="1" t="n">
        <v>45664</v>
      </c>
      <c r="D201" t="inlineStr">
        <is>
          <t>UPPSALA LÄN</t>
        </is>
      </c>
      <c r="E201" t="inlineStr">
        <is>
          <t>UPPSALA</t>
        </is>
      </c>
      <c r="G201" t="n">
        <v>8.4</v>
      </c>
      <c r="H201" t="n">
        <v>0</v>
      </c>
      <c r="I201" t="n">
        <v>0</v>
      </c>
      <c r="J201" t="n">
        <v>0</v>
      </c>
      <c r="K201" t="n">
        <v>0</v>
      </c>
      <c r="L201" t="n">
        <v>0</v>
      </c>
      <c r="M201" t="n">
        <v>0</v>
      </c>
      <c r="N201" t="n">
        <v>0</v>
      </c>
      <c r="O201" t="n">
        <v>0</v>
      </c>
      <c r="P201" t="n">
        <v>0</v>
      </c>
      <c r="Q201" t="n">
        <v>0</v>
      </c>
      <c r="R201" s="2" t="inlineStr"/>
    </row>
    <row r="202" ht="15" customHeight="1">
      <c r="A202" t="inlineStr">
        <is>
          <t>A 29719-2019</t>
        </is>
      </c>
      <c r="B202" s="1" t="n">
        <v>43630</v>
      </c>
      <c r="C202" s="1" t="n">
        <v>45664</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29713-2019</t>
        </is>
      </c>
      <c r="B203" s="1" t="n">
        <v>43630</v>
      </c>
      <c r="C203" s="1" t="n">
        <v>45664</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32558-2019</t>
        </is>
      </c>
      <c r="B204" s="1" t="n">
        <v>43647</v>
      </c>
      <c r="C204" s="1" t="n">
        <v>45664</v>
      </c>
      <c r="D204" t="inlineStr">
        <is>
          <t>UPPSALA LÄN</t>
        </is>
      </c>
      <c r="E204" t="inlineStr">
        <is>
          <t>UPPSALA</t>
        </is>
      </c>
      <c r="G204" t="n">
        <v>4.2</v>
      </c>
      <c r="H204" t="n">
        <v>0</v>
      </c>
      <c r="I204" t="n">
        <v>0</v>
      </c>
      <c r="J204" t="n">
        <v>0</v>
      </c>
      <c r="K204" t="n">
        <v>0</v>
      </c>
      <c r="L204" t="n">
        <v>0</v>
      </c>
      <c r="M204" t="n">
        <v>0</v>
      </c>
      <c r="N204" t="n">
        <v>0</v>
      </c>
      <c r="O204" t="n">
        <v>0</v>
      </c>
      <c r="P204" t="n">
        <v>0</v>
      </c>
      <c r="Q204" t="n">
        <v>0</v>
      </c>
      <c r="R204" s="2" t="inlineStr"/>
    </row>
    <row r="205" ht="15" customHeight="1">
      <c r="A205" t="inlineStr">
        <is>
          <t>A 34560-2019</t>
        </is>
      </c>
      <c r="B205" s="1" t="n">
        <v>43647</v>
      </c>
      <c r="C205" s="1" t="n">
        <v>45664</v>
      </c>
      <c r="D205" t="inlineStr">
        <is>
          <t>UPPSALA LÄN</t>
        </is>
      </c>
      <c r="E205" t="inlineStr">
        <is>
          <t>UPPSALA</t>
        </is>
      </c>
      <c r="G205" t="n">
        <v>8.6</v>
      </c>
      <c r="H205" t="n">
        <v>0</v>
      </c>
      <c r="I205" t="n">
        <v>0</v>
      </c>
      <c r="J205" t="n">
        <v>0</v>
      </c>
      <c r="K205" t="n">
        <v>0</v>
      </c>
      <c r="L205" t="n">
        <v>0</v>
      </c>
      <c r="M205" t="n">
        <v>0</v>
      </c>
      <c r="N205" t="n">
        <v>0</v>
      </c>
      <c r="O205" t="n">
        <v>0</v>
      </c>
      <c r="P205" t="n">
        <v>0</v>
      </c>
      <c r="Q205" t="n">
        <v>0</v>
      </c>
      <c r="R205" s="2" t="inlineStr"/>
    </row>
    <row r="206" ht="15" customHeight="1">
      <c r="A206" t="inlineStr">
        <is>
          <t>A 32830-2019</t>
        </is>
      </c>
      <c r="B206" s="1" t="n">
        <v>43648</v>
      </c>
      <c r="C206" s="1" t="n">
        <v>45664</v>
      </c>
      <c r="D206" t="inlineStr">
        <is>
          <t>UPPSALA LÄN</t>
        </is>
      </c>
      <c r="E206" t="inlineStr">
        <is>
          <t>UPPSALA</t>
        </is>
      </c>
      <c r="G206" t="n">
        <v>13.6</v>
      </c>
      <c r="H206" t="n">
        <v>0</v>
      </c>
      <c r="I206" t="n">
        <v>0</v>
      </c>
      <c r="J206" t="n">
        <v>0</v>
      </c>
      <c r="K206" t="n">
        <v>0</v>
      </c>
      <c r="L206" t="n">
        <v>0</v>
      </c>
      <c r="M206" t="n">
        <v>0</v>
      </c>
      <c r="N206" t="n">
        <v>0</v>
      </c>
      <c r="O206" t="n">
        <v>0</v>
      </c>
      <c r="P206" t="n">
        <v>0</v>
      </c>
      <c r="Q206" t="n">
        <v>0</v>
      </c>
      <c r="R206" s="2" t="inlineStr"/>
    </row>
    <row r="207" ht="15" customHeight="1">
      <c r="A207" t="inlineStr">
        <is>
          <t>A 33602-2019</t>
        </is>
      </c>
      <c r="B207" s="1" t="n">
        <v>43651</v>
      </c>
      <c r="C207" s="1" t="n">
        <v>45664</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33614-2019</t>
        </is>
      </c>
      <c r="B208" s="1" t="n">
        <v>43651</v>
      </c>
      <c r="C208" s="1" t="n">
        <v>45664</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33615-2019</t>
        </is>
      </c>
      <c r="B209" s="1" t="n">
        <v>43651</v>
      </c>
      <c r="C209" s="1" t="n">
        <v>45664</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33596-2019</t>
        </is>
      </c>
      <c r="B210" s="1" t="n">
        <v>43651</v>
      </c>
      <c r="C210" s="1" t="n">
        <v>45664</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34007-2019</t>
        </is>
      </c>
      <c r="B211" s="1" t="n">
        <v>43654</v>
      </c>
      <c r="C211" s="1" t="n">
        <v>45664</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34063-2019</t>
        </is>
      </c>
      <c r="B212" s="1" t="n">
        <v>43654</v>
      </c>
      <c r="C212" s="1" t="n">
        <v>45664</v>
      </c>
      <c r="D212" t="inlineStr">
        <is>
          <t>UPPSALA LÄN</t>
        </is>
      </c>
      <c r="E212" t="inlineStr">
        <is>
          <t>UPPSALA</t>
        </is>
      </c>
      <c r="G212" t="n">
        <v>1.5</v>
      </c>
      <c r="H212" t="n">
        <v>0</v>
      </c>
      <c r="I212" t="n">
        <v>0</v>
      </c>
      <c r="J212" t="n">
        <v>0</v>
      </c>
      <c r="K212" t="n">
        <v>0</v>
      </c>
      <c r="L212" t="n">
        <v>0</v>
      </c>
      <c r="M212" t="n">
        <v>0</v>
      </c>
      <c r="N212" t="n">
        <v>0</v>
      </c>
      <c r="O212" t="n">
        <v>0</v>
      </c>
      <c r="P212" t="n">
        <v>0</v>
      </c>
      <c r="Q212" t="n">
        <v>0</v>
      </c>
      <c r="R212" s="2" t="inlineStr"/>
    </row>
    <row r="213" ht="15" customHeight="1">
      <c r="A213" t="inlineStr">
        <is>
          <t>A 34331-2019</t>
        </is>
      </c>
      <c r="B213" s="1" t="n">
        <v>43656</v>
      </c>
      <c r="C213" s="1" t="n">
        <v>45664</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36345-2019</t>
        </is>
      </c>
      <c r="B214" s="1" t="n">
        <v>43661</v>
      </c>
      <c r="C214" s="1" t="n">
        <v>45664</v>
      </c>
      <c r="D214" t="inlineStr">
        <is>
          <t>UPPSALA LÄN</t>
        </is>
      </c>
      <c r="E214" t="inlineStr">
        <is>
          <t>UPPSALA</t>
        </is>
      </c>
      <c r="G214" t="n">
        <v>5.3</v>
      </c>
      <c r="H214" t="n">
        <v>0</v>
      </c>
      <c r="I214" t="n">
        <v>0</v>
      </c>
      <c r="J214" t="n">
        <v>0</v>
      </c>
      <c r="K214" t="n">
        <v>0</v>
      </c>
      <c r="L214" t="n">
        <v>0</v>
      </c>
      <c r="M214" t="n">
        <v>0</v>
      </c>
      <c r="N214" t="n">
        <v>0</v>
      </c>
      <c r="O214" t="n">
        <v>0</v>
      </c>
      <c r="P214" t="n">
        <v>0</v>
      </c>
      <c r="Q214" t="n">
        <v>0</v>
      </c>
      <c r="R214" s="2" t="inlineStr"/>
    </row>
    <row r="215" ht="15" customHeight="1">
      <c r="A215" t="inlineStr">
        <is>
          <t>A 36394-2019</t>
        </is>
      </c>
      <c r="B215" s="1" t="n">
        <v>43663</v>
      </c>
      <c r="C215" s="1" t="n">
        <v>45664</v>
      </c>
      <c r="D215" t="inlineStr">
        <is>
          <t>UPPSALA LÄN</t>
        </is>
      </c>
      <c r="E215" t="inlineStr">
        <is>
          <t>UPPSALA</t>
        </is>
      </c>
      <c r="G215" t="n">
        <v>2.4</v>
      </c>
      <c r="H215" t="n">
        <v>0</v>
      </c>
      <c r="I215" t="n">
        <v>0</v>
      </c>
      <c r="J215" t="n">
        <v>0</v>
      </c>
      <c r="K215" t="n">
        <v>0</v>
      </c>
      <c r="L215" t="n">
        <v>0</v>
      </c>
      <c r="M215" t="n">
        <v>0</v>
      </c>
      <c r="N215" t="n">
        <v>0</v>
      </c>
      <c r="O215" t="n">
        <v>0</v>
      </c>
      <c r="P215" t="n">
        <v>0</v>
      </c>
      <c r="Q215" t="n">
        <v>0</v>
      </c>
      <c r="R215" s="2" t="inlineStr"/>
    </row>
    <row r="216" ht="15" customHeight="1">
      <c r="A216" t="inlineStr">
        <is>
          <t>A 37234-2019</t>
        </is>
      </c>
      <c r="B216" s="1" t="n">
        <v>43677</v>
      </c>
      <c r="C216" s="1" t="n">
        <v>45664</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37711-2019</t>
        </is>
      </c>
      <c r="B217" s="1" t="n">
        <v>43682</v>
      </c>
      <c r="C217" s="1" t="n">
        <v>45664</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38684-2019</t>
        </is>
      </c>
      <c r="B218" s="1" t="n">
        <v>43686</v>
      </c>
      <c r="C218" s="1" t="n">
        <v>45664</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40151-2019</t>
        </is>
      </c>
      <c r="B219" s="1" t="n">
        <v>43693</v>
      </c>
      <c r="C219" s="1" t="n">
        <v>45664</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41609-2019</t>
        </is>
      </c>
      <c r="B220" s="1" t="n">
        <v>43696</v>
      </c>
      <c r="C220" s="1" t="n">
        <v>45664</v>
      </c>
      <c r="D220" t="inlineStr">
        <is>
          <t>UPPSALA LÄN</t>
        </is>
      </c>
      <c r="E220" t="inlineStr">
        <is>
          <t>UPPSALA</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41653-2019</t>
        </is>
      </c>
      <c r="B221" s="1" t="n">
        <v>43696</v>
      </c>
      <c r="C221" s="1" t="n">
        <v>45664</v>
      </c>
      <c r="D221" t="inlineStr">
        <is>
          <t>UPPSALA LÄN</t>
        </is>
      </c>
      <c r="E221" t="inlineStr">
        <is>
          <t>UPPSALA</t>
        </is>
      </c>
      <c r="G221" t="n">
        <v>5.2</v>
      </c>
      <c r="H221" t="n">
        <v>0</v>
      </c>
      <c r="I221" t="n">
        <v>0</v>
      </c>
      <c r="J221" t="n">
        <v>0</v>
      </c>
      <c r="K221" t="n">
        <v>0</v>
      </c>
      <c r="L221" t="n">
        <v>0</v>
      </c>
      <c r="M221" t="n">
        <v>0</v>
      </c>
      <c r="N221" t="n">
        <v>0</v>
      </c>
      <c r="O221" t="n">
        <v>0</v>
      </c>
      <c r="P221" t="n">
        <v>0</v>
      </c>
      <c r="Q221" t="n">
        <v>0</v>
      </c>
      <c r="R221" s="2" t="inlineStr"/>
    </row>
    <row r="222" ht="15" customHeight="1">
      <c r="A222" t="inlineStr">
        <is>
          <t>A 41524-2019</t>
        </is>
      </c>
      <c r="B222" s="1" t="n">
        <v>43699</v>
      </c>
      <c r="C222" s="1" t="n">
        <v>45664</v>
      </c>
      <c r="D222" t="inlineStr">
        <is>
          <t>UPPSALA LÄN</t>
        </is>
      </c>
      <c r="E222" t="inlineStr">
        <is>
          <t>UPPSALA</t>
        </is>
      </c>
      <c r="G222" t="n">
        <v>2.4</v>
      </c>
      <c r="H222" t="n">
        <v>0</v>
      </c>
      <c r="I222" t="n">
        <v>0</v>
      </c>
      <c r="J222" t="n">
        <v>0</v>
      </c>
      <c r="K222" t="n">
        <v>0</v>
      </c>
      <c r="L222" t="n">
        <v>0</v>
      </c>
      <c r="M222" t="n">
        <v>0</v>
      </c>
      <c r="N222" t="n">
        <v>0</v>
      </c>
      <c r="O222" t="n">
        <v>0</v>
      </c>
      <c r="P222" t="n">
        <v>0</v>
      </c>
      <c r="Q222" t="n">
        <v>0</v>
      </c>
      <c r="R222" s="2" t="inlineStr"/>
    </row>
    <row r="223" ht="15" customHeight="1">
      <c r="A223" t="inlineStr">
        <is>
          <t>A 41535-2019</t>
        </is>
      </c>
      <c r="B223" s="1" t="n">
        <v>43699</v>
      </c>
      <c r="C223" s="1" t="n">
        <v>45664</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41695-2019</t>
        </is>
      </c>
      <c r="B224" s="1" t="n">
        <v>43699</v>
      </c>
      <c r="C224" s="1" t="n">
        <v>45664</v>
      </c>
      <c r="D224" t="inlineStr">
        <is>
          <t>UPPSALA LÄN</t>
        </is>
      </c>
      <c r="E224" t="inlineStr">
        <is>
          <t>UPPSALA</t>
        </is>
      </c>
      <c r="G224" t="n">
        <v>3.1</v>
      </c>
      <c r="H224" t="n">
        <v>0</v>
      </c>
      <c r="I224" t="n">
        <v>0</v>
      </c>
      <c r="J224" t="n">
        <v>0</v>
      </c>
      <c r="K224" t="n">
        <v>0</v>
      </c>
      <c r="L224" t="n">
        <v>0</v>
      </c>
      <c r="M224" t="n">
        <v>0</v>
      </c>
      <c r="N224" t="n">
        <v>0</v>
      </c>
      <c r="O224" t="n">
        <v>0</v>
      </c>
      <c r="P224" t="n">
        <v>0</v>
      </c>
      <c r="Q224" t="n">
        <v>0</v>
      </c>
      <c r="R224" s="2" t="inlineStr"/>
    </row>
    <row r="225" ht="15" customHeight="1">
      <c r="A225" t="inlineStr">
        <is>
          <t>A 42111-2019</t>
        </is>
      </c>
      <c r="B225" s="1" t="n">
        <v>43703</v>
      </c>
      <c r="C225" s="1" t="n">
        <v>45664</v>
      </c>
      <c r="D225" t="inlineStr">
        <is>
          <t>UPPSALA LÄN</t>
        </is>
      </c>
      <c r="E225" t="inlineStr">
        <is>
          <t>UPPSALA</t>
        </is>
      </c>
      <c r="G225" t="n">
        <v>2.7</v>
      </c>
      <c r="H225" t="n">
        <v>0</v>
      </c>
      <c r="I225" t="n">
        <v>0</v>
      </c>
      <c r="J225" t="n">
        <v>0</v>
      </c>
      <c r="K225" t="n">
        <v>0</v>
      </c>
      <c r="L225" t="n">
        <v>0</v>
      </c>
      <c r="M225" t="n">
        <v>0</v>
      </c>
      <c r="N225" t="n">
        <v>0</v>
      </c>
      <c r="O225" t="n">
        <v>0</v>
      </c>
      <c r="P225" t="n">
        <v>0</v>
      </c>
      <c r="Q225" t="n">
        <v>0</v>
      </c>
      <c r="R225" s="2" t="inlineStr"/>
    </row>
    <row r="226" ht="15" customHeight="1">
      <c r="A226" t="inlineStr">
        <is>
          <t>A 42986-2019</t>
        </is>
      </c>
      <c r="B226" s="1" t="n">
        <v>43705</v>
      </c>
      <c r="C226" s="1" t="n">
        <v>45664</v>
      </c>
      <c r="D226" t="inlineStr">
        <is>
          <t>UPPSALA LÄN</t>
        </is>
      </c>
      <c r="E226" t="inlineStr">
        <is>
          <t>UPPSALA</t>
        </is>
      </c>
      <c r="G226" t="n">
        <v>1.7</v>
      </c>
      <c r="H226" t="n">
        <v>0</v>
      </c>
      <c r="I226" t="n">
        <v>0</v>
      </c>
      <c r="J226" t="n">
        <v>0</v>
      </c>
      <c r="K226" t="n">
        <v>0</v>
      </c>
      <c r="L226" t="n">
        <v>0</v>
      </c>
      <c r="M226" t="n">
        <v>0</v>
      </c>
      <c r="N226" t="n">
        <v>0</v>
      </c>
      <c r="O226" t="n">
        <v>0</v>
      </c>
      <c r="P226" t="n">
        <v>0</v>
      </c>
      <c r="Q226" t="n">
        <v>0</v>
      </c>
      <c r="R226" s="2" t="inlineStr"/>
    </row>
    <row r="227" ht="15" customHeight="1">
      <c r="A227" t="inlineStr">
        <is>
          <t>A 43222-2019</t>
        </is>
      </c>
      <c r="B227" s="1" t="n">
        <v>43706</v>
      </c>
      <c r="C227" s="1" t="n">
        <v>45664</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43410-2019</t>
        </is>
      </c>
      <c r="B228" s="1" t="n">
        <v>43706</v>
      </c>
      <c r="C228" s="1" t="n">
        <v>45664</v>
      </c>
      <c r="D228" t="inlineStr">
        <is>
          <t>UPPSALA LÄN</t>
        </is>
      </c>
      <c r="E228" t="inlineStr">
        <is>
          <t>UPPSALA</t>
        </is>
      </c>
      <c r="F228" t="inlineStr">
        <is>
          <t>Övriga statliga verk och myndigheter</t>
        </is>
      </c>
      <c r="G228" t="n">
        <v>8.6</v>
      </c>
      <c r="H228" t="n">
        <v>0</v>
      </c>
      <c r="I228" t="n">
        <v>0</v>
      </c>
      <c r="J228" t="n">
        <v>0</v>
      </c>
      <c r="K228" t="n">
        <v>0</v>
      </c>
      <c r="L228" t="n">
        <v>0</v>
      </c>
      <c r="M228" t="n">
        <v>0</v>
      </c>
      <c r="N228" t="n">
        <v>0</v>
      </c>
      <c r="O228" t="n">
        <v>0</v>
      </c>
      <c r="P228" t="n">
        <v>0</v>
      </c>
      <c r="Q228" t="n">
        <v>0</v>
      </c>
      <c r="R228" s="2" t="inlineStr"/>
    </row>
    <row r="229" ht="15" customHeight="1">
      <c r="A229" t="inlineStr">
        <is>
          <t>A 43715-2019</t>
        </is>
      </c>
      <c r="B229" s="1" t="n">
        <v>43706</v>
      </c>
      <c r="C229" s="1" t="n">
        <v>45664</v>
      </c>
      <c r="D229" t="inlineStr">
        <is>
          <t>UPPSALA LÄN</t>
        </is>
      </c>
      <c r="E229" t="inlineStr">
        <is>
          <t>UPPSALA</t>
        </is>
      </c>
      <c r="F229" t="inlineStr">
        <is>
          <t>Övriga statliga verk och myndigheter</t>
        </is>
      </c>
      <c r="G229" t="n">
        <v>0.8</v>
      </c>
      <c r="H229" t="n">
        <v>0</v>
      </c>
      <c r="I229" t="n">
        <v>0</v>
      </c>
      <c r="J229" t="n">
        <v>0</v>
      </c>
      <c r="K229" t="n">
        <v>0</v>
      </c>
      <c r="L229" t="n">
        <v>0</v>
      </c>
      <c r="M229" t="n">
        <v>0</v>
      </c>
      <c r="N229" t="n">
        <v>0</v>
      </c>
      <c r="O229" t="n">
        <v>0</v>
      </c>
      <c r="P229" t="n">
        <v>0</v>
      </c>
      <c r="Q229" t="n">
        <v>0</v>
      </c>
      <c r="R229" s="2" t="inlineStr"/>
    </row>
    <row r="230" ht="15" customHeight="1">
      <c r="A230" t="inlineStr">
        <is>
          <t>A 43224-2019</t>
        </is>
      </c>
      <c r="B230" s="1" t="n">
        <v>43706</v>
      </c>
      <c r="C230" s="1" t="n">
        <v>45664</v>
      </c>
      <c r="D230" t="inlineStr">
        <is>
          <t>UPPSALA LÄN</t>
        </is>
      </c>
      <c r="E230" t="inlineStr">
        <is>
          <t>UPPSALA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43435-2019</t>
        </is>
      </c>
      <c r="B231" s="1" t="n">
        <v>43706</v>
      </c>
      <c r="C231" s="1" t="n">
        <v>45664</v>
      </c>
      <c r="D231" t="inlineStr">
        <is>
          <t>UPPSALA LÄN</t>
        </is>
      </c>
      <c r="E231" t="inlineStr">
        <is>
          <t>UPPSALA</t>
        </is>
      </c>
      <c r="G231" t="n">
        <v>5.4</v>
      </c>
      <c r="H231" t="n">
        <v>0</v>
      </c>
      <c r="I231" t="n">
        <v>0</v>
      </c>
      <c r="J231" t="n">
        <v>0</v>
      </c>
      <c r="K231" t="n">
        <v>0</v>
      </c>
      <c r="L231" t="n">
        <v>0</v>
      </c>
      <c r="M231" t="n">
        <v>0</v>
      </c>
      <c r="N231" t="n">
        <v>0</v>
      </c>
      <c r="O231" t="n">
        <v>0</v>
      </c>
      <c r="P231" t="n">
        <v>0</v>
      </c>
      <c r="Q231" t="n">
        <v>0</v>
      </c>
      <c r="R231" s="2" t="inlineStr"/>
    </row>
    <row r="232" ht="15" customHeight="1">
      <c r="A232" t="inlineStr">
        <is>
          <t>A 43722-2019</t>
        </is>
      </c>
      <c r="B232" s="1" t="n">
        <v>43706</v>
      </c>
      <c r="C232" s="1" t="n">
        <v>45664</v>
      </c>
      <c r="D232" t="inlineStr">
        <is>
          <t>UPPSALA LÄN</t>
        </is>
      </c>
      <c r="E232" t="inlineStr">
        <is>
          <t>UPPSALA</t>
        </is>
      </c>
      <c r="F232" t="inlineStr">
        <is>
          <t>Övriga statliga verk och myndigheter</t>
        </is>
      </c>
      <c r="G232" t="n">
        <v>0.6</v>
      </c>
      <c r="H232" t="n">
        <v>0</v>
      </c>
      <c r="I232" t="n">
        <v>0</v>
      </c>
      <c r="J232" t="n">
        <v>0</v>
      </c>
      <c r="K232" t="n">
        <v>0</v>
      </c>
      <c r="L232" t="n">
        <v>0</v>
      </c>
      <c r="M232" t="n">
        <v>0</v>
      </c>
      <c r="N232" t="n">
        <v>0</v>
      </c>
      <c r="O232" t="n">
        <v>0</v>
      </c>
      <c r="P232" t="n">
        <v>0</v>
      </c>
      <c r="Q232" t="n">
        <v>0</v>
      </c>
      <c r="R232" s="2" t="inlineStr"/>
    </row>
    <row r="233" ht="15" customHeight="1">
      <c r="A233" t="inlineStr">
        <is>
          <t>A 43704-2019</t>
        </is>
      </c>
      <c r="B233" s="1" t="n">
        <v>43707</v>
      </c>
      <c r="C233" s="1" t="n">
        <v>45664</v>
      </c>
      <c r="D233" t="inlineStr">
        <is>
          <t>UPPSALA LÄN</t>
        </is>
      </c>
      <c r="E233" t="inlineStr">
        <is>
          <t>UPPSALA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43725-2019</t>
        </is>
      </c>
      <c r="B234" s="1" t="n">
        <v>43707</v>
      </c>
      <c r="C234" s="1" t="n">
        <v>45664</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44109-2019</t>
        </is>
      </c>
      <c r="B235" s="1" t="n">
        <v>43707</v>
      </c>
      <c r="C235" s="1" t="n">
        <v>45664</v>
      </c>
      <c r="D235" t="inlineStr">
        <is>
          <t>UPPSALA LÄN</t>
        </is>
      </c>
      <c r="E235" t="inlineStr">
        <is>
          <t>UPPSALA</t>
        </is>
      </c>
      <c r="F235" t="inlineStr">
        <is>
          <t>Allmännings- och besparingsskogar</t>
        </is>
      </c>
      <c r="G235" t="n">
        <v>81.3</v>
      </c>
      <c r="H235" t="n">
        <v>0</v>
      </c>
      <c r="I235" t="n">
        <v>0</v>
      </c>
      <c r="J235" t="n">
        <v>0</v>
      </c>
      <c r="K235" t="n">
        <v>0</v>
      </c>
      <c r="L235" t="n">
        <v>0</v>
      </c>
      <c r="M235" t="n">
        <v>0</v>
      </c>
      <c r="N235" t="n">
        <v>0</v>
      </c>
      <c r="O235" t="n">
        <v>0</v>
      </c>
      <c r="P235" t="n">
        <v>0</v>
      </c>
      <c r="Q235" t="n">
        <v>0</v>
      </c>
      <c r="R235" s="2" t="inlineStr"/>
    </row>
    <row r="236" ht="15" customHeight="1">
      <c r="A236" t="inlineStr">
        <is>
          <t>A 43713-2019</t>
        </is>
      </c>
      <c r="B236" s="1" t="n">
        <v>43707</v>
      </c>
      <c r="C236" s="1" t="n">
        <v>45664</v>
      </c>
      <c r="D236" t="inlineStr">
        <is>
          <t>UPPSALA LÄN</t>
        </is>
      </c>
      <c r="E236" t="inlineStr">
        <is>
          <t>UPPSALA</t>
        </is>
      </c>
      <c r="F236" t="inlineStr">
        <is>
          <t>Bergvik skog öst AB</t>
        </is>
      </c>
      <c r="G236" t="n">
        <v>7.9</v>
      </c>
      <c r="H236" t="n">
        <v>0</v>
      </c>
      <c r="I236" t="n">
        <v>0</v>
      </c>
      <c r="J236" t="n">
        <v>0</v>
      </c>
      <c r="K236" t="n">
        <v>0</v>
      </c>
      <c r="L236" t="n">
        <v>0</v>
      </c>
      <c r="M236" t="n">
        <v>0</v>
      </c>
      <c r="N236" t="n">
        <v>0</v>
      </c>
      <c r="O236" t="n">
        <v>0</v>
      </c>
      <c r="P236" t="n">
        <v>0</v>
      </c>
      <c r="Q236" t="n">
        <v>0</v>
      </c>
      <c r="R236" s="2" t="inlineStr"/>
    </row>
    <row r="237" ht="15" customHeight="1">
      <c r="A237" t="inlineStr">
        <is>
          <t>A 43853-2019</t>
        </is>
      </c>
      <c r="B237" s="1" t="n">
        <v>43707</v>
      </c>
      <c r="C237" s="1" t="n">
        <v>45664</v>
      </c>
      <c r="D237" t="inlineStr">
        <is>
          <t>UPPSALA LÄN</t>
        </is>
      </c>
      <c r="E237" t="inlineStr">
        <is>
          <t>UPPSALA</t>
        </is>
      </c>
      <c r="F237" t="inlineStr">
        <is>
          <t>Övriga statliga verk och myndigheter</t>
        </is>
      </c>
      <c r="G237" t="n">
        <v>1.8</v>
      </c>
      <c r="H237" t="n">
        <v>0</v>
      </c>
      <c r="I237" t="n">
        <v>0</v>
      </c>
      <c r="J237" t="n">
        <v>0</v>
      </c>
      <c r="K237" t="n">
        <v>0</v>
      </c>
      <c r="L237" t="n">
        <v>0</v>
      </c>
      <c r="M237" t="n">
        <v>0</v>
      </c>
      <c r="N237" t="n">
        <v>0</v>
      </c>
      <c r="O237" t="n">
        <v>0</v>
      </c>
      <c r="P237" t="n">
        <v>0</v>
      </c>
      <c r="Q237" t="n">
        <v>0</v>
      </c>
      <c r="R237" s="2" t="inlineStr"/>
    </row>
    <row r="238" ht="15" customHeight="1">
      <c r="A238" t="inlineStr">
        <is>
          <t>A 44141-2019</t>
        </is>
      </c>
      <c r="B238" s="1" t="n">
        <v>43710</v>
      </c>
      <c r="C238" s="1" t="n">
        <v>45664</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44701-2019</t>
        </is>
      </c>
      <c r="B239" s="1" t="n">
        <v>43712</v>
      </c>
      <c r="C239" s="1" t="n">
        <v>45664</v>
      </c>
      <c r="D239" t="inlineStr">
        <is>
          <t>UPPSALA LÄN</t>
        </is>
      </c>
      <c r="E239" t="inlineStr">
        <is>
          <t>UPPSALA</t>
        </is>
      </c>
      <c r="G239" t="n">
        <v>3.4</v>
      </c>
      <c r="H239" t="n">
        <v>0</v>
      </c>
      <c r="I239" t="n">
        <v>0</v>
      </c>
      <c r="J239" t="n">
        <v>0</v>
      </c>
      <c r="K239" t="n">
        <v>0</v>
      </c>
      <c r="L239" t="n">
        <v>0</v>
      </c>
      <c r="M239" t="n">
        <v>0</v>
      </c>
      <c r="N239" t="n">
        <v>0</v>
      </c>
      <c r="O239" t="n">
        <v>0</v>
      </c>
      <c r="P239" t="n">
        <v>0</v>
      </c>
      <c r="Q239" t="n">
        <v>0</v>
      </c>
      <c r="R239" s="2" t="inlineStr"/>
    </row>
    <row r="240" ht="15" customHeight="1">
      <c r="A240" t="inlineStr">
        <is>
          <t>A 44687-2019</t>
        </is>
      </c>
      <c r="B240" s="1" t="n">
        <v>43712</v>
      </c>
      <c r="C240" s="1" t="n">
        <v>45664</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45010-2019</t>
        </is>
      </c>
      <c r="B241" s="1" t="n">
        <v>43713</v>
      </c>
      <c r="C241" s="1" t="n">
        <v>45664</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45574-2019</t>
        </is>
      </c>
      <c r="B242" s="1" t="n">
        <v>43716</v>
      </c>
      <c r="C242" s="1" t="n">
        <v>45664</v>
      </c>
      <c r="D242" t="inlineStr">
        <is>
          <t>UPPSALA LÄN</t>
        </is>
      </c>
      <c r="E242" t="inlineStr">
        <is>
          <t>UPPSALA</t>
        </is>
      </c>
      <c r="G242" t="n">
        <v>0.8</v>
      </c>
      <c r="H242" t="n">
        <v>0</v>
      </c>
      <c r="I242" t="n">
        <v>0</v>
      </c>
      <c r="J242" t="n">
        <v>0</v>
      </c>
      <c r="K242" t="n">
        <v>0</v>
      </c>
      <c r="L242" t="n">
        <v>0</v>
      </c>
      <c r="M242" t="n">
        <v>0</v>
      </c>
      <c r="N242" t="n">
        <v>0</v>
      </c>
      <c r="O242" t="n">
        <v>0</v>
      </c>
      <c r="P242" t="n">
        <v>0</v>
      </c>
      <c r="Q242" t="n">
        <v>0</v>
      </c>
      <c r="R242" s="2" t="inlineStr"/>
    </row>
    <row r="243" ht="15" customHeight="1">
      <c r="A243" t="inlineStr">
        <is>
          <t>A 46311-2019</t>
        </is>
      </c>
      <c r="B243" s="1" t="n">
        <v>43718</v>
      </c>
      <c r="C243" s="1" t="n">
        <v>45664</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46307-2019</t>
        </is>
      </c>
      <c r="B244" s="1" t="n">
        <v>43718</v>
      </c>
      <c r="C244" s="1" t="n">
        <v>45664</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46151-2019</t>
        </is>
      </c>
      <c r="B245" s="1" t="n">
        <v>43718</v>
      </c>
      <c r="C245" s="1" t="n">
        <v>45664</v>
      </c>
      <c r="D245" t="inlineStr">
        <is>
          <t>UPPSALA LÄN</t>
        </is>
      </c>
      <c r="E245" t="inlineStr">
        <is>
          <t>UPPSALA</t>
        </is>
      </c>
      <c r="F245" t="inlineStr">
        <is>
          <t>Övriga Aktiebolag</t>
        </is>
      </c>
      <c r="G245" t="n">
        <v>0.5</v>
      </c>
      <c r="H245" t="n">
        <v>0</v>
      </c>
      <c r="I245" t="n">
        <v>0</v>
      </c>
      <c r="J245" t="n">
        <v>0</v>
      </c>
      <c r="K245" t="n">
        <v>0</v>
      </c>
      <c r="L245" t="n">
        <v>0</v>
      </c>
      <c r="M245" t="n">
        <v>0</v>
      </c>
      <c r="N245" t="n">
        <v>0</v>
      </c>
      <c r="O245" t="n">
        <v>0</v>
      </c>
      <c r="P245" t="n">
        <v>0</v>
      </c>
      <c r="Q245" t="n">
        <v>0</v>
      </c>
      <c r="R245" s="2" t="inlineStr"/>
    </row>
    <row r="246" ht="15" customHeight="1">
      <c r="A246" t="inlineStr">
        <is>
          <t>A 46157-2019</t>
        </is>
      </c>
      <c r="B246" s="1" t="n">
        <v>43718</v>
      </c>
      <c r="C246" s="1" t="n">
        <v>45664</v>
      </c>
      <c r="D246" t="inlineStr">
        <is>
          <t>UPPSALA LÄN</t>
        </is>
      </c>
      <c r="E246" t="inlineStr">
        <is>
          <t>UPPSALA</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46310-2019</t>
        </is>
      </c>
      <c r="B247" s="1" t="n">
        <v>43718</v>
      </c>
      <c r="C247" s="1" t="n">
        <v>45664</v>
      </c>
      <c r="D247" t="inlineStr">
        <is>
          <t>UPPSALA LÄN</t>
        </is>
      </c>
      <c r="E247" t="inlineStr">
        <is>
          <t>UPPSALA</t>
        </is>
      </c>
      <c r="G247" t="n">
        <v>7</v>
      </c>
      <c r="H247" t="n">
        <v>0</v>
      </c>
      <c r="I247" t="n">
        <v>0</v>
      </c>
      <c r="J247" t="n">
        <v>0</v>
      </c>
      <c r="K247" t="n">
        <v>0</v>
      </c>
      <c r="L247" t="n">
        <v>0</v>
      </c>
      <c r="M247" t="n">
        <v>0</v>
      </c>
      <c r="N247" t="n">
        <v>0</v>
      </c>
      <c r="O247" t="n">
        <v>0</v>
      </c>
      <c r="P247" t="n">
        <v>0</v>
      </c>
      <c r="Q247" t="n">
        <v>0</v>
      </c>
      <c r="R247" s="2" t="inlineStr"/>
    </row>
    <row r="248" ht="15" customHeight="1">
      <c r="A248" t="inlineStr">
        <is>
          <t>A 46147-2019</t>
        </is>
      </c>
      <c r="B248" s="1" t="n">
        <v>43718</v>
      </c>
      <c r="C248" s="1" t="n">
        <v>45664</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46877-2019</t>
        </is>
      </c>
      <c r="B249" s="1" t="n">
        <v>43720</v>
      </c>
      <c r="C249" s="1" t="n">
        <v>45664</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46896-2019</t>
        </is>
      </c>
      <c r="B250" s="1" t="n">
        <v>43720</v>
      </c>
      <c r="C250" s="1" t="n">
        <v>45664</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48485-2019</t>
        </is>
      </c>
      <c r="B251" s="1" t="n">
        <v>43727</v>
      </c>
      <c r="C251" s="1" t="n">
        <v>45664</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49567-2019</t>
        </is>
      </c>
      <c r="B252" s="1" t="n">
        <v>43730</v>
      </c>
      <c r="C252" s="1" t="n">
        <v>45664</v>
      </c>
      <c r="D252" t="inlineStr">
        <is>
          <t>UPPSALA LÄN</t>
        </is>
      </c>
      <c r="E252" t="inlineStr">
        <is>
          <t>UPPSALA</t>
        </is>
      </c>
      <c r="G252" t="n">
        <v>6</v>
      </c>
      <c r="H252" t="n">
        <v>0</v>
      </c>
      <c r="I252" t="n">
        <v>0</v>
      </c>
      <c r="J252" t="n">
        <v>0</v>
      </c>
      <c r="K252" t="n">
        <v>0</v>
      </c>
      <c r="L252" t="n">
        <v>0</v>
      </c>
      <c r="M252" t="n">
        <v>0</v>
      </c>
      <c r="N252" t="n">
        <v>0</v>
      </c>
      <c r="O252" t="n">
        <v>0</v>
      </c>
      <c r="P252" t="n">
        <v>0</v>
      </c>
      <c r="Q252" t="n">
        <v>0</v>
      </c>
      <c r="R252" s="2" t="inlineStr"/>
    </row>
    <row r="253" ht="15" customHeight="1">
      <c r="A253" t="inlineStr">
        <is>
          <t>A 50180-2019</t>
        </is>
      </c>
      <c r="B253" s="1" t="n">
        <v>43733</v>
      </c>
      <c r="C253" s="1" t="n">
        <v>45664</v>
      </c>
      <c r="D253" t="inlineStr">
        <is>
          <t>UPPSALA LÄN</t>
        </is>
      </c>
      <c r="E253" t="inlineStr">
        <is>
          <t>UPPSALA</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50387-2019</t>
        </is>
      </c>
      <c r="B254" s="1" t="n">
        <v>43735</v>
      </c>
      <c r="C254" s="1" t="n">
        <v>45664</v>
      </c>
      <c r="D254" t="inlineStr">
        <is>
          <t>UPPSALA LÄN</t>
        </is>
      </c>
      <c r="E254" t="inlineStr">
        <is>
          <t>UPPSALA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50415-2019</t>
        </is>
      </c>
      <c r="B255" s="1" t="n">
        <v>43735</v>
      </c>
      <c r="C255" s="1" t="n">
        <v>45664</v>
      </c>
      <c r="D255" t="inlineStr">
        <is>
          <t>UPPSALA LÄN</t>
        </is>
      </c>
      <c r="E255" t="inlineStr">
        <is>
          <t>UPPSALA</t>
        </is>
      </c>
      <c r="F255" t="inlineStr">
        <is>
          <t>Kyrkan</t>
        </is>
      </c>
      <c r="G255" t="n">
        <v>13.6</v>
      </c>
      <c r="H255" t="n">
        <v>0</v>
      </c>
      <c r="I255" t="n">
        <v>0</v>
      </c>
      <c r="J255" t="n">
        <v>0</v>
      </c>
      <c r="K255" t="n">
        <v>0</v>
      </c>
      <c r="L255" t="n">
        <v>0</v>
      </c>
      <c r="M255" t="n">
        <v>0</v>
      </c>
      <c r="N255" t="n">
        <v>0</v>
      </c>
      <c r="O255" t="n">
        <v>0</v>
      </c>
      <c r="P255" t="n">
        <v>0</v>
      </c>
      <c r="Q255" t="n">
        <v>0</v>
      </c>
      <c r="R255" s="2" t="inlineStr"/>
    </row>
    <row r="256" ht="15" customHeight="1">
      <c r="A256" t="inlineStr">
        <is>
          <t>A 50616-2019</t>
        </is>
      </c>
      <c r="B256" s="1" t="n">
        <v>43736</v>
      </c>
      <c r="C256" s="1" t="n">
        <v>45664</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52386-2019</t>
        </is>
      </c>
      <c r="B257" s="1" t="n">
        <v>43745</v>
      </c>
      <c r="C257" s="1" t="n">
        <v>45664</v>
      </c>
      <c r="D257" t="inlineStr">
        <is>
          <t>UPPSALA LÄN</t>
        </is>
      </c>
      <c r="E257" t="inlineStr">
        <is>
          <t>UPPSALA</t>
        </is>
      </c>
      <c r="G257" t="n">
        <v>15.7</v>
      </c>
      <c r="H257" t="n">
        <v>0</v>
      </c>
      <c r="I257" t="n">
        <v>0</v>
      </c>
      <c r="J257" t="n">
        <v>0</v>
      </c>
      <c r="K257" t="n">
        <v>0</v>
      </c>
      <c r="L257" t="n">
        <v>0</v>
      </c>
      <c r="M257" t="n">
        <v>0</v>
      </c>
      <c r="N257" t="n">
        <v>0</v>
      </c>
      <c r="O257" t="n">
        <v>0</v>
      </c>
      <c r="P257" t="n">
        <v>0</v>
      </c>
      <c r="Q257" t="n">
        <v>0</v>
      </c>
      <c r="R257" s="2" t="inlineStr"/>
    </row>
    <row r="258" ht="15" customHeight="1">
      <c r="A258" t="inlineStr">
        <is>
          <t>A 52419-2019</t>
        </is>
      </c>
      <c r="B258" s="1" t="n">
        <v>43745</v>
      </c>
      <c r="C258" s="1" t="n">
        <v>45664</v>
      </c>
      <c r="D258" t="inlineStr">
        <is>
          <t>UPPSALA LÄN</t>
        </is>
      </c>
      <c r="E258" t="inlineStr">
        <is>
          <t>UPPSALA</t>
        </is>
      </c>
      <c r="F258" t="inlineStr">
        <is>
          <t>Allmännings- och besparingsskogar</t>
        </is>
      </c>
      <c r="G258" t="n">
        <v>5.3</v>
      </c>
      <c r="H258" t="n">
        <v>0</v>
      </c>
      <c r="I258" t="n">
        <v>0</v>
      </c>
      <c r="J258" t="n">
        <v>0</v>
      </c>
      <c r="K258" t="n">
        <v>0</v>
      </c>
      <c r="L258" t="n">
        <v>0</v>
      </c>
      <c r="M258" t="n">
        <v>0</v>
      </c>
      <c r="N258" t="n">
        <v>0</v>
      </c>
      <c r="O258" t="n">
        <v>0</v>
      </c>
      <c r="P258" t="n">
        <v>0</v>
      </c>
      <c r="Q258" t="n">
        <v>0</v>
      </c>
      <c r="R258" s="2" t="inlineStr"/>
    </row>
    <row r="259" ht="15" customHeight="1">
      <c r="A259" t="inlineStr">
        <is>
          <t>A 52950-2019</t>
        </is>
      </c>
      <c r="B259" s="1" t="n">
        <v>43747</v>
      </c>
      <c r="C259" s="1" t="n">
        <v>45664</v>
      </c>
      <c r="D259" t="inlineStr">
        <is>
          <t>UPPSALA LÄN</t>
        </is>
      </c>
      <c r="E259" t="inlineStr">
        <is>
          <t>UPPSALA</t>
        </is>
      </c>
      <c r="G259" t="n">
        <v>0.2</v>
      </c>
      <c r="H259" t="n">
        <v>0</v>
      </c>
      <c r="I259" t="n">
        <v>0</v>
      </c>
      <c r="J259" t="n">
        <v>0</v>
      </c>
      <c r="K259" t="n">
        <v>0</v>
      </c>
      <c r="L259" t="n">
        <v>0</v>
      </c>
      <c r="M259" t="n">
        <v>0</v>
      </c>
      <c r="N259" t="n">
        <v>0</v>
      </c>
      <c r="O259" t="n">
        <v>0</v>
      </c>
      <c r="P259" t="n">
        <v>0</v>
      </c>
      <c r="Q259" t="n">
        <v>0</v>
      </c>
      <c r="R259" s="2" t="inlineStr"/>
    </row>
    <row r="260" ht="15" customHeight="1">
      <c r="A260" t="inlineStr">
        <is>
          <t>A 53303-2019</t>
        </is>
      </c>
      <c r="B260" s="1" t="n">
        <v>43747</v>
      </c>
      <c r="C260" s="1" t="n">
        <v>45664</v>
      </c>
      <c r="D260" t="inlineStr">
        <is>
          <t>UPPSALA LÄN</t>
        </is>
      </c>
      <c r="E260" t="inlineStr">
        <is>
          <t>UPPSALA</t>
        </is>
      </c>
      <c r="F260" t="inlineStr">
        <is>
          <t>Allmännings- och besparingsskogar</t>
        </is>
      </c>
      <c r="G260" t="n">
        <v>17.5</v>
      </c>
      <c r="H260" t="n">
        <v>0</v>
      </c>
      <c r="I260" t="n">
        <v>0</v>
      </c>
      <c r="J260" t="n">
        <v>0</v>
      </c>
      <c r="K260" t="n">
        <v>0</v>
      </c>
      <c r="L260" t="n">
        <v>0</v>
      </c>
      <c r="M260" t="n">
        <v>0</v>
      </c>
      <c r="N260" t="n">
        <v>0</v>
      </c>
      <c r="O260" t="n">
        <v>0</v>
      </c>
      <c r="P260" t="n">
        <v>0</v>
      </c>
      <c r="Q260" t="n">
        <v>0</v>
      </c>
      <c r="R260" s="2" t="inlineStr"/>
    </row>
    <row r="261" ht="15" customHeight="1">
      <c r="A261" t="inlineStr">
        <is>
          <t>A 53316-2019</t>
        </is>
      </c>
      <c r="B261" s="1" t="n">
        <v>43748</v>
      </c>
      <c r="C261" s="1" t="n">
        <v>45664</v>
      </c>
      <c r="D261" t="inlineStr">
        <is>
          <t>UPPSALA LÄN</t>
        </is>
      </c>
      <c r="E261" t="inlineStr">
        <is>
          <t>UPPSALA</t>
        </is>
      </c>
      <c r="G261" t="n">
        <v>2.3</v>
      </c>
      <c r="H261" t="n">
        <v>0</v>
      </c>
      <c r="I261" t="n">
        <v>0</v>
      </c>
      <c r="J261" t="n">
        <v>0</v>
      </c>
      <c r="K261" t="n">
        <v>0</v>
      </c>
      <c r="L261" t="n">
        <v>0</v>
      </c>
      <c r="M261" t="n">
        <v>0</v>
      </c>
      <c r="N261" t="n">
        <v>0</v>
      </c>
      <c r="O261" t="n">
        <v>0</v>
      </c>
      <c r="P261" t="n">
        <v>0</v>
      </c>
      <c r="Q261" t="n">
        <v>0</v>
      </c>
      <c r="R261" s="2" t="inlineStr"/>
    </row>
    <row r="262" ht="15" customHeight="1">
      <c r="A262" t="inlineStr">
        <is>
          <t>A 54757-2019</t>
        </is>
      </c>
      <c r="B262" s="1" t="n">
        <v>43755</v>
      </c>
      <c r="C262" s="1" t="n">
        <v>45664</v>
      </c>
      <c r="D262" t="inlineStr">
        <is>
          <t>UPPSALA LÄN</t>
        </is>
      </c>
      <c r="E262" t="inlineStr">
        <is>
          <t>UPPSALA</t>
        </is>
      </c>
      <c r="F262" t="inlineStr">
        <is>
          <t>Övriga statliga verk och myndigheter</t>
        </is>
      </c>
      <c r="G262" t="n">
        <v>1.5</v>
      </c>
      <c r="H262" t="n">
        <v>0</v>
      </c>
      <c r="I262" t="n">
        <v>0</v>
      </c>
      <c r="J262" t="n">
        <v>0</v>
      </c>
      <c r="K262" t="n">
        <v>0</v>
      </c>
      <c r="L262" t="n">
        <v>0</v>
      </c>
      <c r="M262" t="n">
        <v>0</v>
      </c>
      <c r="N262" t="n">
        <v>0</v>
      </c>
      <c r="O262" t="n">
        <v>0</v>
      </c>
      <c r="P262" t="n">
        <v>0</v>
      </c>
      <c r="Q262" t="n">
        <v>0</v>
      </c>
      <c r="R262" s="2" t="inlineStr"/>
    </row>
    <row r="263" ht="15" customHeight="1">
      <c r="A263" t="inlineStr">
        <is>
          <t>A 56041-2019</t>
        </is>
      </c>
      <c r="B263" s="1" t="n">
        <v>43759</v>
      </c>
      <c r="C263" s="1" t="n">
        <v>45664</v>
      </c>
      <c r="D263" t="inlineStr">
        <is>
          <t>UPPSALA LÄN</t>
        </is>
      </c>
      <c r="E263" t="inlineStr">
        <is>
          <t>UPPSALA</t>
        </is>
      </c>
      <c r="G263" t="n">
        <v>0.7</v>
      </c>
      <c r="H263" t="n">
        <v>0</v>
      </c>
      <c r="I263" t="n">
        <v>0</v>
      </c>
      <c r="J263" t="n">
        <v>0</v>
      </c>
      <c r="K263" t="n">
        <v>0</v>
      </c>
      <c r="L263" t="n">
        <v>0</v>
      </c>
      <c r="M263" t="n">
        <v>0</v>
      </c>
      <c r="N263" t="n">
        <v>0</v>
      </c>
      <c r="O263" t="n">
        <v>0</v>
      </c>
      <c r="P263" t="n">
        <v>0</v>
      </c>
      <c r="Q263" t="n">
        <v>0</v>
      </c>
      <c r="R263" s="2" t="inlineStr"/>
    </row>
    <row r="264" ht="15" customHeight="1">
      <c r="A264" t="inlineStr">
        <is>
          <t>A 56634-2019</t>
        </is>
      </c>
      <c r="B264" s="1" t="n">
        <v>43763</v>
      </c>
      <c r="C264" s="1" t="n">
        <v>45664</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58445-2019</t>
        </is>
      </c>
      <c r="B265" s="1" t="n">
        <v>43773</v>
      </c>
      <c r="C265" s="1" t="n">
        <v>45664</v>
      </c>
      <c r="D265" t="inlineStr">
        <is>
          <t>UPPSALA LÄN</t>
        </is>
      </c>
      <c r="E265" t="inlineStr">
        <is>
          <t>UPPSALA</t>
        </is>
      </c>
      <c r="G265" t="n">
        <v>5</v>
      </c>
      <c r="H265" t="n">
        <v>0</v>
      </c>
      <c r="I265" t="n">
        <v>0</v>
      </c>
      <c r="J265" t="n">
        <v>0</v>
      </c>
      <c r="K265" t="n">
        <v>0</v>
      </c>
      <c r="L265" t="n">
        <v>0</v>
      </c>
      <c r="M265" t="n">
        <v>0</v>
      </c>
      <c r="N265" t="n">
        <v>0</v>
      </c>
      <c r="O265" t="n">
        <v>0</v>
      </c>
      <c r="P265" t="n">
        <v>0</v>
      </c>
      <c r="Q265" t="n">
        <v>0</v>
      </c>
      <c r="R265" s="2" t="inlineStr"/>
    </row>
    <row r="266" ht="15" customHeight="1">
      <c r="A266" t="inlineStr">
        <is>
          <t>A 58527-2019</t>
        </is>
      </c>
      <c r="B266" s="1" t="n">
        <v>43773</v>
      </c>
      <c r="C266" s="1" t="n">
        <v>45664</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58903-2019</t>
        </is>
      </c>
      <c r="B267" s="1" t="n">
        <v>43773</v>
      </c>
      <c r="C267" s="1" t="n">
        <v>45664</v>
      </c>
      <c r="D267" t="inlineStr">
        <is>
          <t>UPPSALA LÄN</t>
        </is>
      </c>
      <c r="E267" t="inlineStr">
        <is>
          <t>UPPSALA</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60011-2019</t>
        </is>
      </c>
      <c r="B268" s="1" t="n">
        <v>43777</v>
      </c>
      <c r="C268" s="1" t="n">
        <v>45664</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60159-2019</t>
        </is>
      </c>
      <c r="B269" s="1" t="n">
        <v>43777</v>
      </c>
      <c r="C269" s="1" t="n">
        <v>45664</v>
      </c>
      <c r="D269" t="inlineStr">
        <is>
          <t>UPPSALA LÄN</t>
        </is>
      </c>
      <c r="E269" t="inlineStr">
        <is>
          <t>UPPSALA</t>
        </is>
      </c>
      <c r="F269" t="inlineStr">
        <is>
          <t>Övriga Aktiebolag</t>
        </is>
      </c>
      <c r="G269" t="n">
        <v>1.5</v>
      </c>
      <c r="H269" t="n">
        <v>0</v>
      </c>
      <c r="I269" t="n">
        <v>0</v>
      </c>
      <c r="J269" t="n">
        <v>0</v>
      </c>
      <c r="K269" t="n">
        <v>0</v>
      </c>
      <c r="L269" t="n">
        <v>0</v>
      </c>
      <c r="M269" t="n">
        <v>0</v>
      </c>
      <c r="N269" t="n">
        <v>0</v>
      </c>
      <c r="O269" t="n">
        <v>0</v>
      </c>
      <c r="P269" t="n">
        <v>0</v>
      </c>
      <c r="Q269" t="n">
        <v>0</v>
      </c>
      <c r="R269" s="2" t="inlineStr"/>
    </row>
    <row r="270" ht="15" customHeight="1">
      <c r="A270" t="inlineStr">
        <is>
          <t>A 60163-2019</t>
        </is>
      </c>
      <c r="B270" s="1" t="n">
        <v>43780</v>
      </c>
      <c r="C270" s="1" t="n">
        <v>45664</v>
      </c>
      <c r="D270" t="inlineStr">
        <is>
          <t>UPPSALA LÄN</t>
        </is>
      </c>
      <c r="E270" t="inlineStr">
        <is>
          <t>UPPSALA</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60579-2019</t>
        </is>
      </c>
      <c r="B271" s="1" t="n">
        <v>43780</v>
      </c>
      <c r="C271" s="1" t="n">
        <v>45664</v>
      </c>
      <c r="D271" t="inlineStr">
        <is>
          <t>UPPSALA LÄN</t>
        </is>
      </c>
      <c r="E271" t="inlineStr">
        <is>
          <t>UPPSALA</t>
        </is>
      </c>
      <c r="F271" t="inlineStr">
        <is>
          <t>Övriga Aktiebolag</t>
        </is>
      </c>
      <c r="G271" t="n">
        <v>3.8</v>
      </c>
      <c r="H271" t="n">
        <v>0</v>
      </c>
      <c r="I271" t="n">
        <v>0</v>
      </c>
      <c r="J271" t="n">
        <v>0</v>
      </c>
      <c r="K271" t="n">
        <v>0</v>
      </c>
      <c r="L271" t="n">
        <v>0</v>
      </c>
      <c r="M271" t="n">
        <v>0</v>
      </c>
      <c r="N271" t="n">
        <v>0</v>
      </c>
      <c r="O271" t="n">
        <v>0</v>
      </c>
      <c r="P271" t="n">
        <v>0</v>
      </c>
      <c r="Q271" t="n">
        <v>0</v>
      </c>
      <c r="R271" s="2" t="inlineStr"/>
    </row>
    <row r="272" ht="15" customHeight="1">
      <c r="A272" t="inlineStr">
        <is>
          <t>A 62308-2019</t>
        </is>
      </c>
      <c r="B272" s="1" t="n">
        <v>43782</v>
      </c>
      <c r="C272" s="1" t="n">
        <v>45664</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61667-2019</t>
        </is>
      </c>
      <c r="B273" s="1" t="n">
        <v>43784</v>
      </c>
      <c r="C273" s="1" t="n">
        <v>45664</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63145-2019</t>
        </is>
      </c>
      <c r="B274" s="1" t="n">
        <v>43791</v>
      </c>
      <c r="C274" s="1" t="n">
        <v>45664</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63091-2019</t>
        </is>
      </c>
      <c r="B275" s="1" t="n">
        <v>43791</v>
      </c>
      <c r="C275" s="1" t="n">
        <v>45664</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63099-2019</t>
        </is>
      </c>
      <c r="B276" s="1" t="n">
        <v>43791</v>
      </c>
      <c r="C276" s="1" t="n">
        <v>45664</v>
      </c>
      <c r="D276" t="inlineStr">
        <is>
          <t>UPPSALA LÄN</t>
        </is>
      </c>
      <c r="E276" t="inlineStr">
        <is>
          <t>UPPSALA</t>
        </is>
      </c>
      <c r="G276" t="n">
        <v>4.4</v>
      </c>
      <c r="H276" t="n">
        <v>0</v>
      </c>
      <c r="I276" t="n">
        <v>0</v>
      </c>
      <c r="J276" t="n">
        <v>0</v>
      </c>
      <c r="K276" t="n">
        <v>0</v>
      </c>
      <c r="L276" t="n">
        <v>0</v>
      </c>
      <c r="M276" t="n">
        <v>0</v>
      </c>
      <c r="N276" t="n">
        <v>0</v>
      </c>
      <c r="O276" t="n">
        <v>0</v>
      </c>
      <c r="P276" t="n">
        <v>0</v>
      </c>
      <c r="Q276" t="n">
        <v>0</v>
      </c>
      <c r="R276" s="2" t="inlineStr"/>
    </row>
    <row r="277" ht="15" customHeight="1">
      <c r="A277" t="inlineStr">
        <is>
          <t>A 63118-2019</t>
        </is>
      </c>
      <c r="B277" s="1" t="n">
        <v>43791</v>
      </c>
      <c r="C277" s="1" t="n">
        <v>45664</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63589-2019</t>
        </is>
      </c>
      <c r="B278" s="1" t="n">
        <v>43795</v>
      </c>
      <c r="C278" s="1" t="n">
        <v>45664</v>
      </c>
      <c r="D278" t="inlineStr">
        <is>
          <t>UPPSALA LÄN</t>
        </is>
      </c>
      <c r="E278" t="inlineStr">
        <is>
          <t>UPPSALA</t>
        </is>
      </c>
      <c r="G278" t="n">
        <v>3.8</v>
      </c>
      <c r="H278" t="n">
        <v>0</v>
      </c>
      <c r="I278" t="n">
        <v>0</v>
      </c>
      <c r="J278" t="n">
        <v>0</v>
      </c>
      <c r="K278" t="n">
        <v>0</v>
      </c>
      <c r="L278" t="n">
        <v>0</v>
      </c>
      <c r="M278" t="n">
        <v>0</v>
      </c>
      <c r="N278" t="n">
        <v>0</v>
      </c>
      <c r="O278" t="n">
        <v>0</v>
      </c>
      <c r="P278" t="n">
        <v>0</v>
      </c>
      <c r="Q278" t="n">
        <v>0</v>
      </c>
      <c r="R278" s="2" t="inlineStr"/>
    </row>
    <row r="279" ht="15" customHeight="1">
      <c r="A279" t="inlineStr">
        <is>
          <t>A 63757-2019</t>
        </is>
      </c>
      <c r="B279" s="1" t="n">
        <v>43795</v>
      </c>
      <c r="C279" s="1" t="n">
        <v>45664</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63756-2019</t>
        </is>
      </c>
      <c r="B280" s="1" t="n">
        <v>43795</v>
      </c>
      <c r="C280" s="1" t="n">
        <v>45664</v>
      </c>
      <c r="D280" t="inlineStr">
        <is>
          <t>UPPSALA LÄN</t>
        </is>
      </c>
      <c r="E280" t="inlineStr">
        <is>
          <t>UPPSALA</t>
        </is>
      </c>
      <c r="G280" t="n">
        <v>6.5</v>
      </c>
      <c r="H280" t="n">
        <v>0</v>
      </c>
      <c r="I280" t="n">
        <v>0</v>
      </c>
      <c r="J280" t="n">
        <v>0</v>
      </c>
      <c r="K280" t="n">
        <v>0</v>
      </c>
      <c r="L280" t="n">
        <v>0</v>
      </c>
      <c r="M280" t="n">
        <v>0</v>
      </c>
      <c r="N280" t="n">
        <v>0</v>
      </c>
      <c r="O280" t="n">
        <v>0</v>
      </c>
      <c r="P280" t="n">
        <v>0</v>
      </c>
      <c r="Q280" t="n">
        <v>0</v>
      </c>
      <c r="R280" s="2" t="inlineStr"/>
    </row>
    <row r="281" ht="15" customHeight="1">
      <c r="A281" t="inlineStr">
        <is>
          <t>A 64836-2019</t>
        </is>
      </c>
      <c r="B281" s="1" t="n">
        <v>43801</v>
      </c>
      <c r="C281" s="1" t="n">
        <v>45664</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64834-2019</t>
        </is>
      </c>
      <c r="B282" s="1" t="n">
        <v>43801</v>
      </c>
      <c r="C282" s="1" t="n">
        <v>45664</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65527-2019</t>
        </is>
      </c>
      <c r="B283" s="1" t="n">
        <v>43803</v>
      </c>
      <c r="C283" s="1" t="n">
        <v>45664</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65668-2019</t>
        </is>
      </c>
      <c r="B284" s="1" t="n">
        <v>43804</v>
      </c>
      <c r="C284" s="1" t="n">
        <v>45664</v>
      </c>
      <c r="D284" t="inlineStr">
        <is>
          <t>UPPSALA LÄN</t>
        </is>
      </c>
      <c r="E284" t="inlineStr">
        <is>
          <t>UPPSALA</t>
        </is>
      </c>
      <c r="G284" t="n">
        <v>7.6</v>
      </c>
      <c r="H284" t="n">
        <v>0</v>
      </c>
      <c r="I284" t="n">
        <v>0</v>
      </c>
      <c r="J284" t="n">
        <v>0</v>
      </c>
      <c r="K284" t="n">
        <v>0</v>
      </c>
      <c r="L284" t="n">
        <v>0</v>
      </c>
      <c r="M284" t="n">
        <v>0</v>
      </c>
      <c r="N284" t="n">
        <v>0</v>
      </c>
      <c r="O284" t="n">
        <v>0</v>
      </c>
      <c r="P284" t="n">
        <v>0</v>
      </c>
      <c r="Q284" t="n">
        <v>0</v>
      </c>
      <c r="R284" s="2" t="inlineStr"/>
    </row>
    <row r="285" ht="15" customHeight="1">
      <c r="A285" t="inlineStr">
        <is>
          <t>A 66167-2019</t>
        </is>
      </c>
      <c r="B285" s="1" t="n">
        <v>43808</v>
      </c>
      <c r="C285" s="1" t="n">
        <v>45664</v>
      </c>
      <c r="D285" t="inlineStr">
        <is>
          <t>UPPSALA LÄN</t>
        </is>
      </c>
      <c r="E285" t="inlineStr">
        <is>
          <t>UPPSALA</t>
        </is>
      </c>
      <c r="G285" t="n">
        <v>1.3</v>
      </c>
      <c r="H285" t="n">
        <v>0</v>
      </c>
      <c r="I285" t="n">
        <v>0</v>
      </c>
      <c r="J285" t="n">
        <v>0</v>
      </c>
      <c r="K285" t="n">
        <v>0</v>
      </c>
      <c r="L285" t="n">
        <v>0</v>
      </c>
      <c r="M285" t="n">
        <v>0</v>
      </c>
      <c r="N285" t="n">
        <v>0</v>
      </c>
      <c r="O285" t="n">
        <v>0</v>
      </c>
      <c r="P285" t="n">
        <v>0</v>
      </c>
      <c r="Q285" t="n">
        <v>0</v>
      </c>
      <c r="R285" s="2" t="inlineStr"/>
    </row>
    <row r="286" ht="15" customHeight="1">
      <c r="A286" t="inlineStr">
        <is>
          <t>A 66270-2019</t>
        </is>
      </c>
      <c r="B286" s="1" t="n">
        <v>43808</v>
      </c>
      <c r="C286" s="1" t="n">
        <v>45664</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67108-2019</t>
        </is>
      </c>
      <c r="B287" s="1" t="n">
        <v>43811</v>
      </c>
      <c r="C287" s="1" t="n">
        <v>45664</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67281-2019</t>
        </is>
      </c>
      <c r="B288" s="1" t="n">
        <v>43812</v>
      </c>
      <c r="C288" s="1" t="n">
        <v>45664</v>
      </c>
      <c r="D288" t="inlineStr">
        <is>
          <t>UPPSALA LÄN</t>
        </is>
      </c>
      <c r="E288" t="inlineStr">
        <is>
          <t>UPPSALA</t>
        </is>
      </c>
      <c r="F288" t="inlineStr">
        <is>
          <t>Allmännings- och besparingsskogar</t>
        </is>
      </c>
      <c r="G288" t="n">
        <v>1.2</v>
      </c>
      <c r="H288" t="n">
        <v>0</v>
      </c>
      <c r="I288" t="n">
        <v>0</v>
      </c>
      <c r="J288" t="n">
        <v>0</v>
      </c>
      <c r="K288" t="n">
        <v>0</v>
      </c>
      <c r="L288" t="n">
        <v>0</v>
      </c>
      <c r="M288" t="n">
        <v>0</v>
      </c>
      <c r="N288" t="n">
        <v>0</v>
      </c>
      <c r="O288" t="n">
        <v>0</v>
      </c>
      <c r="P288" t="n">
        <v>0</v>
      </c>
      <c r="Q288" t="n">
        <v>0</v>
      </c>
      <c r="R288" s="2" t="inlineStr"/>
    </row>
    <row r="289" ht="15" customHeight="1">
      <c r="A289" t="inlineStr">
        <is>
          <t>A 67508-2019</t>
        </is>
      </c>
      <c r="B289" s="1" t="n">
        <v>43814</v>
      </c>
      <c r="C289" s="1" t="n">
        <v>45664</v>
      </c>
      <c r="D289" t="inlineStr">
        <is>
          <t>UPPSALA LÄN</t>
        </is>
      </c>
      <c r="E289" t="inlineStr">
        <is>
          <t>UPPSALA</t>
        </is>
      </c>
      <c r="F289" t="inlineStr">
        <is>
          <t>Allmännings- och besparingsskogar</t>
        </is>
      </c>
      <c r="G289" t="n">
        <v>4.9</v>
      </c>
      <c r="H289" t="n">
        <v>0</v>
      </c>
      <c r="I289" t="n">
        <v>0</v>
      </c>
      <c r="J289" t="n">
        <v>0</v>
      </c>
      <c r="K289" t="n">
        <v>0</v>
      </c>
      <c r="L289" t="n">
        <v>0</v>
      </c>
      <c r="M289" t="n">
        <v>0</v>
      </c>
      <c r="N289" t="n">
        <v>0</v>
      </c>
      <c r="O289" t="n">
        <v>0</v>
      </c>
      <c r="P289" t="n">
        <v>0</v>
      </c>
      <c r="Q289" t="n">
        <v>0</v>
      </c>
      <c r="R289" s="2" t="inlineStr"/>
    </row>
    <row r="290" ht="15" customHeight="1">
      <c r="A290" t="inlineStr">
        <is>
          <t>A 67504-2019</t>
        </is>
      </c>
      <c r="B290" s="1" t="n">
        <v>43814</v>
      </c>
      <c r="C290" s="1" t="n">
        <v>45664</v>
      </c>
      <c r="D290" t="inlineStr">
        <is>
          <t>UPPSALA LÄN</t>
        </is>
      </c>
      <c r="E290" t="inlineStr">
        <is>
          <t>UPPSALA</t>
        </is>
      </c>
      <c r="F290" t="inlineStr">
        <is>
          <t>Allmännings- och besparingsskogar</t>
        </is>
      </c>
      <c r="G290" t="n">
        <v>21.9</v>
      </c>
      <c r="H290" t="n">
        <v>0</v>
      </c>
      <c r="I290" t="n">
        <v>0</v>
      </c>
      <c r="J290" t="n">
        <v>0</v>
      </c>
      <c r="K290" t="n">
        <v>0</v>
      </c>
      <c r="L290" t="n">
        <v>0</v>
      </c>
      <c r="M290" t="n">
        <v>0</v>
      </c>
      <c r="N290" t="n">
        <v>0</v>
      </c>
      <c r="O290" t="n">
        <v>0</v>
      </c>
      <c r="P290" t="n">
        <v>0</v>
      </c>
      <c r="Q290" t="n">
        <v>0</v>
      </c>
      <c r="R290" s="2" t="inlineStr"/>
    </row>
    <row r="291" ht="15" customHeight="1">
      <c r="A291" t="inlineStr">
        <is>
          <t>A 67720-2019</t>
        </is>
      </c>
      <c r="B291" s="1" t="n">
        <v>43815</v>
      </c>
      <c r="C291" s="1" t="n">
        <v>45664</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67592-2019</t>
        </is>
      </c>
      <c r="B292" s="1" t="n">
        <v>43815</v>
      </c>
      <c r="C292" s="1" t="n">
        <v>45664</v>
      </c>
      <c r="D292" t="inlineStr">
        <is>
          <t>UPPSALA LÄN</t>
        </is>
      </c>
      <c r="E292" t="inlineStr">
        <is>
          <t>UPPSALA</t>
        </is>
      </c>
      <c r="F292" t="inlineStr">
        <is>
          <t>Övriga statliga verk och myndigheter</t>
        </is>
      </c>
      <c r="G292" t="n">
        <v>0.8</v>
      </c>
      <c r="H292" t="n">
        <v>0</v>
      </c>
      <c r="I292" t="n">
        <v>0</v>
      </c>
      <c r="J292" t="n">
        <v>0</v>
      </c>
      <c r="K292" t="n">
        <v>0</v>
      </c>
      <c r="L292" t="n">
        <v>0</v>
      </c>
      <c r="M292" t="n">
        <v>0</v>
      </c>
      <c r="N292" t="n">
        <v>0</v>
      </c>
      <c r="O292" t="n">
        <v>0</v>
      </c>
      <c r="P292" t="n">
        <v>0</v>
      </c>
      <c r="Q292" t="n">
        <v>0</v>
      </c>
      <c r="R292" s="2" t="inlineStr"/>
    </row>
    <row r="293" ht="15" customHeight="1">
      <c r="A293" t="inlineStr">
        <is>
          <t>A 68264-2019</t>
        </is>
      </c>
      <c r="B293" s="1" t="n">
        <v>43817</v>
      </c>
      <c r="C293" s="1" t="n">
        <v>45664</v>
      </c>
      <c r="D293" t="inlineStr">
        <is>
          <t>UPPSALA LÄN</t>
        </is>
      </c>
      <c r="E293" t="inlineStr">
        <is>
          <t>UPPSALA</t>
        </is>
      </c>
      <c r="G293" t="n">
        <v>2.9</v>
      </c>
      <c r="H293" t="n">
        <v>0</v>
      </c>
      <c r="I293" t="n">
        <v>0</v>
      </c>
      <c r="J293" t="n">
        <v>0</v>
      </c>
      <c r="K293" t="n">
        <v>0</v>
      </c>
      <c r="L293" t="n">
        <v>0</v>
      </c>
      <c r="M293" t="n">
        <v>0</v>
      </c>
      <c r="N293" t="n">
        <v>0</v>
      </c>
      <c r="O293" t="n">
        <v>0</v>
      </c>
      <c r="P293" t="n">
        <v>0</v>
      </c>
      <c r="Q293" t="n">
        <v>0</v>
      </c>
      <c r="R293" s="2" t="inlineStr"/>
    </row>
    <row r="294" ht="15" customHeight="1">
      <c r="A294" t="inlineStr">
        <is>
          <t>A 68265-2019</t>
        </is>
      </c>
      <c r="B294" s="1" t="n">
        <v>43817</v>
      </c>
      <c r="C294" s="1" t="n">
        <v>45664</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68317-2019</t>
        </is>
      </c>
      <c r="B295" s="1" t="n">
        <v>43818</v>
      </c>
      <c r="C295" s="1" t="n">
        <v>45664</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68316-2019</t>
        </is>
      </c>
      <c r="B296" s="1" t="n">
        <v>43818</v>
      </c>
      <c r="C296" s="1" t="n">
        <v>45664</v>
      </c>
      <c r="D296" t="inlineStr">
        <is>
          <t>UPPSALA LÄN</t>
        </is>
      </c>
      <c r="E296" t="inlineStr">
        <is>
          <t>UPPSALA</t>
        </is>
      </c>
      <c r="G296" t="n">
        <v>2.5</v>
      </c>
      <c r="H296" t="n">
        <v>0</v>
      </c>
      <c r="I296" t="n">
        <v>0</v>
      </c>
      <c r="J296" t="n">
        <v>0</v>
      </c>
      <c r="K296" t="n">
        <v>0</v>
      </c>
      <c r="L296" t="n">
        <v>0</v>
      </c>
      <c r="M296" t="n">
        <v>0</v>
      </c>
      <c r="N296" t="n">
        <v>0</v>
      </c>
      <c r="O296" t="n">
        <v>0</v>
      </c>
      <c r="P296" t="n">
        <v>0</v>
      </c>
      <c r="Q296" t="n">
        <v>0</v>
      </c>
      <c r="R296" s="2" t="inlineStr"/>
    </row>
    <row r="297" ht="15" customHeight="1">
      <c r="A297" t="inlineStr">
        <is>
          <t>A 68908-2019</t>
        </is>
      </c>
      <c r="B297" s="1" t="n">
        <v>43822</v>
      </c>
      <c r="C297" s="1" t="n">
        <v>45664</v>
      </c>
      <c r="D297" t="inlineStr">
        <is>
          <t>UPPSALA LÄN</t>
        </is>
      </c>
      <c r="E297" t="inlineStr">
        <is>
          <t>UPPSALA</t>
        </is>
      </c>
      <c r="G297" t="n">
        <v>4</v>
      </c>
      <c r="H297" t="n">
        <v>0</v>
      </c>
      <c r="I297" t="n">
        <v>0</v>
      </c>
      <c r="J297" t="n">
        <v>0</v>
      </c>
      <c r="K297" t="n">
        <v>0</v>
      </c>
      <c r="L297" t="n">
        <v>0</v>
      </c>
      <c r="M297" t="n">
        <v>0</v>
      </c>
      <c r="N297" t="n">
        <v>0</v>
      </c>
      <c r="O297" t="n">
        <v>0</v>
      </c>
      <c r="P297" t="n">
        <v>0</v>
      </c>
      <c r="Q297" t="n">
        <v>0</v>
      </c>
      <c r="R297" s="2" t="inlineStr"/>
    </row>
    <row r="298" ht="15" customHeight="1">
      <c r="A298" t="inlineStr">
        <is>
          <t>A 529-2020</t>
        </is>
      </c>
      <c r="B298" s="1" t="n">
        <v>43837</v>
      </c>
      <c r="C298" s="1" t="n">
        <v>45664</v>
      </c>
      <c r="D298" t="inlineStr">
        <is>
          <t>UPPSALA LÄN</t>
        </is>
      </c>
      <c r="E298" t="inlineStr">
        <is>
          <t>UPPSALA</t>
        </is>
      </c>
      <c r="G298" t="n">
        <v>1.6</v>
      </c>
      <c r="H298" t="n">
        <v>0</v>
      </c>
      <c r="I298" t="n">
        <v>0</v>
      </c>
      <c r="J298" t="n">
        <v>0</v>
      </c>
      <c r="K298" t="n">
        <v>0</v>
      </c>
      <c r="L298" t="n">
        <v>0</v>
      </c>
      <c r="M298" t="n">
        <v>0</v>
      </c>
      <c r="N298" t="n">
        <v>0</v>
      </c>
      <c r="O298" t="n">
        <v>0</v>
      </c>
      <c r="P298" t="n">
        <v>0</v>
      </c>
      <c r="Q298" t="n">
        <v>0</v>
      </c>
      <c r="R298" s="2" t="inlineStr"/>
    </row>
    <row r="299" ht="15" customHeight="1">
      <c r="A299" t="inlineStr">
        <is>
          <t>A 1891-2020</t>
        </is>
      </c>
      <c r="B299" s="1" t="n">
        <v>43837</v>
      </c>
      <c r="C299" s="1" t="n">
        <v>45664</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701-2020</t>
        </is>
      </c>
      <c r="B300" s="1" t="n">
        <v>43838</v>
      </c>
      <c r="C300" s="1" t="n">
        <v>45664</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1171-2020</t>
        </is>
      </c>
      <c r="B301" s="1" t="n">
        <v>43840</v>
      </c>
      <c r="C301" s="1" t="n">
        <v>45664</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1688-2020</t>
        </is>
      </c>
      <c r="B302" s="1" t="n">
        <v>43844</v>
      </c>
      <c r="C302" s="1" t="n">
        <v>45664</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2162-2020</t>
        </is>
      </c>
      <c r="B303" s="1" t="n">
        <v>43846</v>
      </c>
      <c r="C303" s="1" t="n">
        <v>45664</v>
      </c>
      <c r="D303" t="inlineStr">
        <is>
          <t>UPPSALA LÄN</t>
        </is>
      </c>
      <c r="E303" t="inlineStr">
        <is>
          <t>UPPSALA</t>
        </is>
      </c>
      <c r="G303" t="n">
        <v>2.5</v>
      </c>
      <c r="H303" t="n">
        <v>0</v>
      </c>
      <c r="I303" t="n">
        <v>0</v>
      </c>
      <c r="J303" t="n">
        <v>0</v>
      </c>
      <c r="K303" t="n">
        <v>0</v>
      </c>
      <c r="L303" t="n">
        <v>0</v>
      </c>
      <c r="M303" t="n">
        <v>0</v>
      </c>
      <c r="N303" t="n">
        <v>0</v>
      </c>
      <c r="O303" t="n">
        <v>0</v>
      </c>
      <c r="P303" t="n">
        <v>0</v>
      </c>
      <c r="Q303" t="n">
        <v>0</v>
      </c>
      <c r="R303" s="2" t="inlineStr"/>
    </row>
    <row r="304" ht="15" customHeight="1">
      <c r="A304" t="inlineStr">
        <is>
          <t>A 2895-2020</t>
        </is>
      </c>
      <c r="B304" s="1" t="n">
        <v>43850</v>
      </c>
      <c r="C304" s="1" t="n">
        <v>45664</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3693-2020</t>
        </is>
      </c>
      <c r="B305" s="1" t="n">
        <v>43853</v>
      </c>
      <c r="C305" s="1" t="n">
        <v>45664</v>
      </c>
      <c r="D305" t="inlineStr">
        <is>
          <t>UPPSALA LÄN</t>
        </is>
      </c>
      <c r="E305" t="inlineStr">
        <is>
          <t>UPPSALA</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3516-2020</t>
        </is>
      </c>
      <c r="B306" s="1" t="n">
        <v>43853</v>
      </c>
      <c r="C306" s="1" t="n">
        <v>45664</v>
      </c>
      <c r="D306" t="inlineStr">
        <is>
          <t>UPPSALA LÄN</t>
        </is>
      </c>
      <c r="E306" t="inlineStr">
        <is>
          <t>UPPSALA</t>
        </is>
      </c>
      <c r="G306" t="n">
        <v>9.4</v>
      </c>
      <c r="H306" t="n">
        <v>0</v>
      </c>
      <c r="I306" t="n">
        <v>0</v>
      </c>
      <c r="J306" t="n">
        <v>0</v>
      </c>
      <c r="K306" t="n">
        <v>0</v>
      </c>
      <c r="L306" t="n">
        <v>0</v>
      </c>
      <c r="M306" t="n">
        <v>0</v>
      </c>
      <c r="N306" t="n">
        <v>0</v>
      </c>
      <c r="O306" t="n">
        <v>0</v>
      </c>
      <c r="P306" t="n">
        <v>0</v>
      </c>
      <c r="Q306" t="n">
        <v>0</v>
      </c>
      <c r="R306" s="2" t="inlineStr"/>
    </row>
    <row r="307" ht="15" customHeight="1">
      <c r="A307" t="inlineStr">
        <is>
          <t>A 6313-2020</t>
        </is>
      </c>
      <c r="B307" s="1" t="n">
        <v>43866</v>
      </c>
      <c r="C307" s="1" t="n">
        <v>45664</v>
      </c>
      <c r="D307" t="inlineStr">
        <is>
          <t>UPPSALA LÄN</t>
        </is>
      </c>
      <c r="E307" t="inlineStr">
        <is>
          <t>UPPSALA</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6315-2020</t>
        </is>
      </c>
      <c r="B308" s="1" t="n">
        <v>43866</v>
      </c>
      <c r="C308" s="1" t="n">
        <v>45664</v>
      </c>
      <c r="D308" t="inlineStr">
        <is>
          <t>UPPSALA LÄN</t>
        </is>
      </c>
      <c r="E308" t="inlineStr">
        <is>
          <t>UPPSALA</t>
        </is>
      </c>
      <c r="F308" t="inlineStr">
        <is>
          <t>Övriga statliga verk och myndigheter</t>
        </is>
      </c>
      <c r="G308" t="n">
        <v>1.9</v>
      </c>
      <c r="H308" t="n">
        <v>0</v>
      </c>
      <c r="I308" t="n">
        <v>0</v>
      </c>
      <c r="J308" t="n">
        <v>0</v>
      </c>
      <c r="K308" t="n">
        <v>0</v>
      </c>
      <c r="L308" t="n">
        <v>0</v>
      </c>
      <c r="M308" t="n">
        <v>0</v>
      </c>
      <c r="N308" t="n">
        <v>0</v>
      </c>
      <c r="O308" t="n">
        <v>0</v>
      </c>
      <c r="P308" t="n">
        <v>0</v>
      </c>
      <c r="Q308" t="n">
        <v>0</v>
      </c>
      <c r="R308" s="2" t="inlineStr"/>
    </row>
    <row r="309" ht="15" customHeight="1">
      <c r="A309" t="inlineStr">
        <is>
          <t>A 6655-2020</t>
        </is>
      </c>
      <c r="B309" s="1" t="n">
        <v>43867</v>
      </c>
      <c r="C309" s="1" t="n">
        <v>45664</v>
      </c>
      <c r="D309" t="inlineStr">
        <is>
          <t>UPPSALA LÄN</t>
        </is>
      </c>
      <c r="E309" t="inlineStr">
        <is>
          <t>UPPSALA</t>
        </is>
      </c>
      <c r="G309" t="n">
        <v>7.3</v>
      </c>
      <c r="H309" t="n">
        <v>0</v>
      </c>
      <c r="I309" t="n">
        <v>0</v>
      </c>
      <c r="J309" t="n">
        <v>0</v>
      </c>
      <c r="K309" t="n">
        <v>0</v>
      </c>
      <c r="L309" t="n">
        <v>0</v>
      </c>
      <c r="M309" t="n">
        <v>0</v>
      </c>
      <c r="N309" t="n">
        <v>0</v>
      </c>
      <c r="O309" t="n">
        <v>0</v>
      </c>
      <c r="P309" t="n">
        <v>0</v>
      </c>
      <c r="Q309" t="n">
        <v>0</v>
      </c>
      <c r="R309" s="2" t="inlineStr"/>
    </row>
    <row r="310" ht="15" customHeight="1">
      <c r="A310" t="inlineStr">
        <is>
          <t>A 8261-2020</t>
        </is>
      </c>
      <c r="B310" s="1" t="n">
        <v>43874</v>
      </c>
      <c r="C310" s="1" t="n">
        <v>45664</v>
      </c>
      <c r="D310" t="inlineStr">
        <is>
          <t>UPPSALA LÄN</t>
        </is>
      </c>
      <c r="E310" t="inlineStr">
        <is>
          <t>UPPSALA</t>
        </is>
      </c>
      <c r="G310" t="n">
        <v>5.1</v>
      </c>
      <c r="H310" t="n">
        <v>0</v>
      </c>
      <c r="I310" t="n">
        <v>0</v>
      </c>
      <c r="J310" t="n">
        <v>0</v>
      </c>
      <c r="K310" t="n">
        <v>0</v>
      </c>
      <c r="L310" t="n">
        <v>0</v>
      </c>
      <c r="M310" t="n">
        <v>0</v>
      </c>
      <c r="N310" t="n">
        <v>0</v>
      </c>
      <c r="O310" t="n">
        <v>0</v>
      </c>
      <c r="P310" t="n">
        <v>0</v>
      </c>
      <c r="Q310" t="n">
        <v>0</v>
      </c>
      <c r="R310" s="2" t="inlineStr"/>
    </row>
    <row r="311" ht="15" customHeight="1">
      <c r="A311" t="inlineStr">
        <is>
          <t>A 8646-2020</t>
        </is>
      </c>
      <c r="B311" s="1" t="n">
        <v>43878</v>
      </c>
      <c r="C311" s="1" t="n">
        <v>45664</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8902-2020</t>
        </is>
      </c>
      <c r="B312" s="1" t="n">
        <v>43878</v>
      </c>
      <c r="C312" s="1" t="n">
        <v>45664</v>
      </c>
      <c r="D312" t="inlineStr">
        <is>
          <t>UPPSALA LÄN</t>
        </is>
      </c>
      <c r="E312" t="inlineStr">
        <is>
          <t>UPPSALA</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9011-2020</t>
        </is>
      </c>
      <c r="B313" s="1" t="n">
        <v>43879</v>
      </c>
      <c r="C313" s="1" t="n">
        <v>45664</v>
      </c>
      <c r="D313" t="inlineStr">
        <is>
          <t>UPPSALA LÄN</t>
        </is>
      </c>
      <c r="E313" t="inlineStr">
        <is>
          <t>UPPSALA</t>
        </is>
      </c>
      <c r="F313" t="inlineStr">
        <is>
          <t>Övriga statliga verk och myndigheter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9084-2020</t>
        </is>
      </c>
      <c r="B314" s="1" t="n">
        <v>43879</v>
      </c>
      <c r="C314" s="1" t="n">
        <v>45664</v>
      </c>
      <c r="D314" t="inlineStr">
        <is>
          <t>UPPSALA LÄN</t>
        </is>
      </c>
      <c r="E314" t="inlineStr">
        <is>
          <t>UPPSALA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9257-2020</t>
        </is>
      </c>
      <c r="B315" s="1" t="n">
        <v>43879</v>
      </c>
      <c r="C315" s="1" t="n">
        <v>45664</v>
      </c>
      <c r="D315" t="inlineStr">
        <is>
          <t>UPPSALA LÄN</t>
        </is>
      </c>
      <c r="E315" t="inlineStr">
        <is>
          <t>UPPSALA</t>
        </is>
      </c>
      <c r="F315" t="inlineStr">
        <is>
          <t>Bergvik skog öst AB</t>
        </is>
      </c>
      <c r="G315" t="n">
        <v>5.8</v>
      </c>
      <c r="H315" t="n">
        <v>0</v>
      </c>
      <c r="I315" t="n">
        <v>0</v>
      </c>
      <c r="J315" t="n">
        <v>0</v>
      </c>
      <c r="K315" t="n">
        <v>0</v>
      </c>
      <c r="L315" t="n">
        <v>0</v>
      </c>
      <c r="M315" t="n">
        <v>0</v>
      </c>
      <c r="N315" t="n">
        <v>0</v>
      </c>
      <c r="O315" t="n">
        <v>0</v>
      </c>
      <c r="P315" t="n">
        <v>0</v>
      </c>
      <c r="Q315" t="n">
        <v>0</v>
      </c>
      <c r="R315" s="2" t="inlineStr"/>
    </row>
    <row r="316" ht="15" customHeight="1">
      <c r="A316" t="inlineStr">
        <is>
          <t>A 9658-2020</t>
        </is>
      </c>
      <c r="B316" s="1" t="n">
        <v>43881</v>
      </c>
      <c r="C316" s="1" t="n">
        <v>45664</v>
      </c>
      <c r="D316" t="inlineStr">
        <is>
          <t>UPPSALA LÄN</t>
        </is>
      </c>
      <c r="E316" t="inlineStr">
        <is>
          <t>UPPSALA</t>
        </is>
      </c>
      <c r="G316" t="n">
        <v>3.6</v>
      </c>
      <c r="H316" t="n">
        <v>0</v>
      </c>
      <c r="I316" t="n">
        <v>0</v>
      </c>
      <c r="J316" t="n">
        <v>0</v>
      </c>
      <c r="K316" t="n">
        <v>0</v>
      </c>
      <c r="L316" t="n">
        <v>0</v>
      </c>
      <c r="M316" t="n">
        <v>0</v>
      </c>
      <c r="N316" t="n">
        <v>0</v>
      </c>
      <c r="O316" t="n">
        <v>0</v>
      </c>
      <c r="P316" t="n">
        <v>0</v>
      </c>
      <c r="Q316" t="n">
        <v>0</v>
      </c>
      <c r="R316" s="2" t="inlineStr"/>
    </row>
    <row r="317" ht="15" customHeight="1">
      <c r="A317" t="inlineStr">
        <is>
          <t>A 10003-2020</t>
        </is>
      </c>
      <c r="B317" s="1" t="n">
        <v>43882</v>
      </c>
      <c r="C317" s="1" t="n">
        <v>45664</v>
      </c>
      <c r="D317" t="inlineStr">
        <is>
          <t>UPPSALA LÄN</t>
        </is>
      </c>
      <c r="E317" t="inlineStr">
        <is>
          <t>UPPSALA</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9949-2020</t>
        </is>
      </c>
      <c r="B318" s="1" t="n">
        <v>43882</v>
      </c>
      <c r="C318" s="1" t="n">
        <v>45664</v>
      </c>
      <c r="D318" t="inlineStr">
        <is>
          <t>UPPSALA LÄN</t>
        </is>
      </c>
      <c r="E318" t="inlineStr">
        <is>
          <t>UPPSALA</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10033-2020</t>
        </is>
      </c>
      <c r="B319" s="1" t="n">
        <v>43882</v>
      </c>
      <c r="C319" s="1" t="n">
        <v>45664</v>
      </c>
      <c r="D319" t="inlineStr">
        <is>
          <t>UPPSALA LÄN</t>
        </is>
      </c>
      <c r="E319" t="inlineStr">
        <is>
          <t>UPPSALA</t>
        </is>
      </c>
      <c r="G319" t="n">
        <v>4.6</v>
      </c>
      <c r="H319" t="n">
        <v>0</v>
      </c>
      <c r="I319" t="n">
        <v>0</v>
      </c>
      <c r="J319" t="n">
        <v>0</v>
      </c>
      <c r="K319" t="n">
        <v>0</v>
      </c>
      <c r="L319" t="n">
        <v>0</v>
      </c>
      <c r="M319" t="n">
        <v>0</v>
      </c>
      <c r="N319" t="n">
        <v>0</v>
      </c>
      <c r="O319" t="n">
        <v>0</v>
      </c>
      <c r="P319" t="n">
        <v>0</v>
      </c>
      <c r="Q319" t="n">
        <v>0</v>
      </c>
      <c r="R319" s="2" t="inlineStr"/>
    </row>
    <row r="320" ht="15" customHeight="1">
      <c r="A320" t="inlineStr">
        <is>
          <t>A 10478-2020</t>
        </is>
      </c>
      <c r="B320" s="1" t="n">
        <v>43886</v>
      </c>
      <c r="C320" s="1" t="n">
        <v>45664</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11540-2020</t>
        </is>
      </c>
      <c r="B321" s="1" t="n">
        <v>43887</v>
      </c>
      <c r="C321" s="1" t="n">
        <v>45664</v>
      </c>
      <c r="D321" t="inlineStr">
        <is>
          <t>UPPSALA LÄN</t>
        </is>
      </c>
      <c r="E321" t="inlineStr">
        <is>
          <t>UPPSALA</t>
        </is>
      </c>
      <c r="G321" t="n">
        <v>2.1</v>
      </c>
      <c r="H321" t="n">
        <v>0</v>
      </c>
      <c r="I321" t="n">
        <v>0</v>
      </c>
      <c r="J321" t="n">
        <v>0</v>
      </c>
      <c r="K321" t="n">
        <v>0</v>
      </c>
      <c r="L321" t="n">
        <v>0</v>
      </c>
      <c r="M321" t="n">
        <v>0</v>
      </c>
      <c r="N321" t="n">
        <v>0</v>
      </c>
      <c r="O321" t="n">
        <v>0</v>
      </c>
      <c r="P321" t="n">
        <v>0</v>
      </c>
      <c r="Q321" t="n">
        <v>0</v>
      </c>
      <c r="R321" s="2" t="inlineStr"/>
    </row>
    <row r="322" ht="15" customHeight="1">
      <c r="A322" t="inlineStr">
        <is>
          <t>A 11174-2020</t>
        </is>
      </c>
      <c r="B322" s="1" t="n">
        <v>43891</v>
      </c>
      <c r="C322" s="1" t="n">
        <v>45664</v>
      </c>
      <c r="D322" t="inlineStr">
        <is>
          <t>UPPSALA LÄN</t>
        </is>
      </c>
      <c r="E322" t="inlineStr">
        <is>
          <t>UPPSALA</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12626-2020</t>
        </is>
      </c>
      <c r="B323" s="1" t="n">
        <v>43892</v>
      </c>
      <c r="C323" s="1" t="n">
        <v>45664</v>
      </c>
      <c r="D323" t="inlineStr">
        <is>
          <t>UPPSALA LÄN</t>
        </is>
      </c>
      <c r="E323" t="inlineStr">
        <is>
          <t>UPPSALA</t>
        </is>
      </c>
      <c r="G323" t="n">
        <v>11.4</v>
      </c>
      <c r="H323" t="n">
        <v>0</v>
      </c>
      <c r="I323" t="n">
        <v>0</v>
      </c>
      <c r="J323" t="n">
        <v>0</v>
      </c>
      <c r="K323" t="n">
        <v>0</v>
      </c>
      <c r="L323" t="n">
        <v>0</v>
      </c>
      <c r="M323" t="n">
        <v>0</v>
      </c>
      <c r="N323" t="n">
        <v>0</v>
      </c>
      <c r="O323" t="n">
        <v>0</v>
      </c>
      <c r="P323" t="n">
        <v>0</v>
      </c>
      <c r="Q323" t="n">
        <v>0</v>
      </c>
      <c r="R323" s="2" t="inlineStr"/>
    </row>
    <row r="324" ht="15" customHeight="1">
      <c r="A324" t="inlineStr">
        <is>
          <t>A 11336-2020</t>
        </is>
      </c>
      <c r="B324" s="1" t="n">
        <v>43892</v>
      </c>
      <c r="C324" s="1" t="n">
        <v>45664</v>
      </c>
      <c r="D324" t="inlineStr">
        <is>
          <t>UPPSALA LÄN</t>
        </is>
      </c>
      <c r="E324" t="inlineStr">
        <is>
          <t>UPPSALA</t>
        </is>
      </c>
      <c r="F324" t="inlineStr">
        <is>
          <t>Kyrkan</t>
        </is>
      </c>
      <c r="G324" t="n">
        <v>3.2</v>
      </c>
      <c r="H324" t="n">
        <v>0</v>
      </c>
      <c r="I324" t="n">
        <v>0</v>
      </c>
      <c r="J324" t="n">
        <v>0</v>
      </c>
      <c r="K324" t="n">
        <v>0</v>
      </c>
      <c r="L324" t="n">
        <v>0</v>
      </c>
      <c r="M324" t="n">
        <v>0</v>
      </c>
      <c r="N324" t="n">
        <v>0</v>
      </c>
      <c r="O324" t="n">
        <v>0</v>
      </c>
      <c r="P324" t="n">
        <v>0</v>
      </c>
      <c r="Q324" t="n">
        <v>0</v>
      </c>
      <c r="R324" s="2" t="inlineStr"/>
    </row>
    <row r="325" ht="15" customHeight="1">
      <c r="A325" t="inlineStr">
        <is>
          <t>A 11320-2020</t>
        </is>
      </c>
      <c r="B325" s="1" t="n">
        <v>43892</v>
      </c>
      <c r="C325" s="1" t="n">
        <v>45664</v>
      </c>
      <c r="D325" t="inlineStr">
        <is>
          <t>UPPSALA LÄN</t>
        </is>
      </c>
      <c r="E325" t="inlineStr">
        <is>
          <t>UPPSALA</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12028-2020</t>
        </is>
      </c>
      <c r="B326" s="1" t="n">
        <v>43894</v>
      </c>
      <c r="C326" s="1" t="n">
        <v>45664</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12055-2020</t>
        </is>
      </c>
      <c r="B327" s="1" t="n">
        <v>43894</v>
      </c>
      <c r="C327" s="1" t="n">
        <v>45664</v>
      </c>
      <c r="D327" t="inlineStr">
        <is>
          <t>UPPSALA LÄN</t>
        </is>
      </c>
      <c r="E327" t="inlineStr">
        <is>
          <t>UPPSALA</t>
        </is>
      </c>
      <c r="G327" t="n">
        <v>6.2</v>
      </c>
      <c r="H327" t="n">
        <v>0</v>
      </c>
      <c r="I327" t="n">
        <v>0</v>
      </c>
      <c r="J327" t="n">
        <v>0</v>
      </c>
      <c r="K327" t="n">
        <v>0</v>
      </c>
      <c r="L327" t="n">
        <v>0</v>
      </c>
      <c r="M327" t="n">
        <v>0</v>
      </c>
      <c r="N327" t="n">
        <v>0</v>
      </c>
      <c r="O327" t="n">
        <v>0</v>
      </c>
      <c r="P327" t="n">
        <v>0</v>
      </c>
      <c r="Q327" t="n">
        <v>0</v>
      </c>
      <c r="R327" s="2" t="inlineStr"/>
    </row>
    <row r="328" ht="15" customHeight="1">
      <c r="A328" t="inlineStr">
        <is>
          <t>A 12848-2020</t>
        </is>
      </c>
      <c r="B328" s="1" t="n">
        <v>43899</v>
      </c>
      <c r="C328" s="1" t="n">
        <v>45664</v>
      </c>
      <c r="D328" t="inlineStr">
        <is>
          <t>UPPSALA LÄN</t>
        </is>
      </c>
      <c r="E328" t="inlineStr">
        <is>
          <t>UPPSALA</t>
        </is>
      </c>
      <c r="G328" t="n">
        <v>10.3</v>
      </c>
      <c r="H328" t="n">
        <v>0</v>
      </c>
      <c r="I328" t="n">
        <v>0</v>
      </c>
      <c r="J328" t="n">
        <v>0</v>
      </c>
      <c r="K328" t="n">
        <v>0</v>
      </c>
      <c r="L328" t="n">
        <v>0</v>
      </c>
      <c r="M328" t="n">
        <v>0</v>
      </c>
      <c r="N328" t="n">
        <v>0</v>
      </c>
      <c r="O328" t="n">
        <v>0</v>
      </c>
      <c r="P328" t="n">
        <v>0</v>
      </c>
      <c r="Q328" t="n">
        <v>0</v>
      </c>
      <c r="R328" s="2" t="inlineStr"/>
    </row>
    <row r="329" ht="15" customHeight="1">
      <c r="A329" t="inlineStr">
        <is>
          <t>A 12781-2020</t>
        </is>
      </c>
      <c r="B329" s="1" t="n">
        <v>43899</v>
      </c>
      <c r="C329" s="1" t="n">
        <v>45664</v>
      </c>
      <c r="D329" t="inlineStr">
        <is>
          <t>UPPSALA LÄN</t>
        </is>
      </c>
      <c r="E329" t="inlineStr">
        <is>
          <t>UPPSALA</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13636-2020</t>
        </is>
      </c>
      <c r="B330" s="1" t="n">
        <v>43903</v>
      </c>
      <c r="C330" s="1" t="n">
        <v>45664</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14469-2020</t>
        </is>
      </c>
      <c r="B331" s="1" t="n">
        <v>43908</v>
      </c>
      <c r="C331" s="1" t="n">
        <v>45664</v>
      </c>
      <c r="D331" t="inlineStr">
        <is>
          <t>UPPSALA LÄN</t>
        </is>
      </c>
      <c r="E331" t="inlineStr">
        <is>
          <t>UPPSALA</t>
        </is>
      </c>
      <c r="G331" t="n">
        <v>0.6</v>
      </c>
      <c r="H331" t="n">
        <v>0</v>
      </c>
      <c r="I331" t="n">
        <v>0</v>
      </c>
      <c r="J331" t="n">
        <v>0</v>
      </c>
      <c r="K331" t="n">
        <v>0</v>
      </c>
      <c r="L331" t="n">
        <v>0</v>
      </c>
      <c r="M331" t="n">
        <v>0</v>
      </c>
      <c r="N331" t="n">
        <v>0</v>
      </c>
      <c r="O331" t="n">
        <v>0</v>
      </c>
      <c r="P331" t="n">
        <v>0</v>
      </c>
      <c r="Q331" t="n">
        <v>0</v>
      </c>
      <c r="R331" s="2" t="inlineStr"/>
    </row>
    <row r="332" ht="15" customHeight="1">
      <c r="A332" t="inlineStr">
        <is>
          <t>A 14423-2020</t>
        </is>
      </c>
      <c r="B332" s="1" t="n">
        <v>43908</v>
      </c>
      <c r="C332" s="1" t="n">
        <v>45664</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14472-2020</t>
        </is>
      </c>
      <c r="B333" s="1" t="n">
        <v>43908</v>
      </c>
      <c r="C333" s="1" t="n">
        <v>45664</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14427-2020</t>
        </is>
      </c>
      <c r="B334" s="1" t="n">
        <v>43908</v>
      </c>
      <c r="C334" s="1" t="n">
        <v>45664</v>
      </c>
      <c r="D334" t="inlineStr">
        <is>
          <t>UPPSALA LÄN</t>
        </is>
      </c>
      <c r="E334" t="inlineStr">
        <is>
          <t>UPPSALA</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15344-2020</t>
        </is>
      </c>
      <c r="B335" s="1" t="n">
        <v>43913</v>
      </c>
      <c r="C335" s="1" t="n">
        <v>45664</v>
      </c>
      <c r="D335" t="inlineStr">
        <is>
          <t>UPPSALA LÄN</t>
        </is>
      </c>
      <c r="E335" t="inlineStr">
        <is>
          <t>UPPSALA</t>
        </is>
      </c>
      <c r="F335" t="inlineStr">
        <is>
          <t>Holmen skog AB</t>
        </is>
      </c>
      <c r="G335" t="n">
        <v>3.4</v>
      </c>
      <c r="H335" t="n">
        <v>0</v>
      </c>
      <c r="I335" t="n">
        <v>0</v>
      </c>
      <c r="J335" t="n">
        <v>0</v>
      </c>
      <c r="K335" t="n">
        <v>0</v>
      </c>
      <c r="L335" t="n">
        <v>0</v>
      </c>
      <c r="M335" t="n">
        <v>0</v>
      </c>
      <c r="N335" t="n">
        <v>0</v>
      </c>
      <c r="O335" t="n">
        <v>0</v>
      </c>
      <c r="P335" t="n">
        <v>0</v>
      </c>
      <c r="Q335" t="n">
        <v>0</v>
      </c>
      <c r="R335" s="2" t="inlineStr"/>
    </row>
    <row r="336" ht="15" customHeight="1">
      <c r="A336" t="inlineStr">
        <is>
          <t>A 18106-2020</t>
        </is>
      </c>
      <c r="B336" s="1" t="n">
        <v>43927</v>
      </c>
      <c r="C336" s="1" t="n">
        <v>45664</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18114-2020</t>
        </is>
      </c>
      <c r="B337" s="1" t="n">
        <v>43927</v>
      </c>
      <c r="C337" s="1" t="n">
        <v>45664</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18469-2020</t>
        </is>
      </c>
      <c r="B338" s="1" t="n">
        <v>43929</v>
      </c>
      <c r="C338" s="1" t="n">
        <v>45664</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19210-2020</t>
        </is>
      </c>
      <c r="B339" s="1" t="n">
        <v>43937</v>
      </c>
      <c r="C339" s="1" t="n">
        <v>45664</v>
      </c>
      <c r="D339" t="inlineStr">
        <is>
          <t>UPPSALA LÄN</t>
        </is>
      </c>
      <c r="E339" t="inlineStr">
        <is>
          <t>UPPSALA</t>
        </is>
      </c>
      <c r="G339" t="n">
        <v>3.7</v>
      </c>
      <c r="H339" t="n">
        <v>0</v>
      </c>
      <c r="I339" t="n">
        <v>0</v>
      </c>
      <c r="J339" t="n">
        <v>0</v>
      </c>
      <c r="K339" t="n">
        <v>0</v>
      </c>
      <c r="L339" t="n">
        <v>0</v>
      </c>
      <c r="M339" t="n">
        <v>0</v>
      </c>
      <c r="N339" t="n">
        <v>0</v>
      </c>
      <c r="O339" t="n">
        <v>0</v>
      </c>
      <c r="P339" t="n">
        <v>0</v>
      </c>
      <c r="Q339" t="n">
        <v>0</v>
      </c>
      <c r="R339" s="2" t="inlineStr"/>
    </row>
    <row r="340" ht="15" customHeight="1">
      <c r="A340" t="inlineStr">
        <is>
          <t>A 20218-2020</t>
        </is>
      </c>
      <c r="B340" s="1" t="n">
        <v>43944</v>
      </c>
      <c r="C340" s="1" t="n">
        <v>45664</v>
      </c>
      <c r="D340" t="inlineStr">
        <is>
          <t>UPPSALA LÄN</t>
        </is>
      </c>
      <c r="E340" t="inlineStr">
        <is>
          <t>UPPSALA</t>
        </is>
      </c>
      <c r="G340" t="n">
        <v>2.4</v>
      </c>
      <c r="H340" t="n">
        <v>0</v>
      </c>
      <c r="I340" t="n">
        <v>0</v>
      </c>
      <c r="J340" t="n">
        <v>0</v>
      </c>
      <c r="K340" t="n">
        <v>0</v>
      </c>
      <c r="L340" t="n">
        <v>0</v>
      </c>
      <c r="M340" t="n">
        <v>0</v>
      </c>
      <c r="N340" t="n">
        <v>0</v>
      </c>
      <c r="O340" t="n">
        <v>0</v>
      </c>
      <c r="P340" t="n">
        <v>0</v>
      </c>
      <c r="Q340" t="n">
        <v>0</v>
      </c>
      <c r="R340" s="2" t="inlineStr"/>
    </row>
    <row r="341" ht="15" customHeight="1">
      <c r="A341" t="inlineStr">
        <is>
          <t>A 20506-2020</t>
        </is>
      </c>
      <c r="B341" s="1" t="n">
        <v>43948</v>
      </c>
      <c r="C341" s="1" t="n">
        <v>45664</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20490-2020</t>
        </is>
      </c>
      <c r="B342" s="1" t="n">
        <v>43948</v>
      </c>
      <c r="C342" s="1" t="n">
        <v>45664</v>
      </c>
      <c r="D342" t="inlineStr">
        <is>
          <t>UPPSALA LÄN</t>
        </is>
      </c>
      <c r="E342" t="inlineStr">
        <is>
          <t>UPPSALA</t>
        </is>
      </c>
      <c r="G342" t="n">
        <v>2.8</v>
      </c>
      <c r="H342" t="n">
        <v>0</v>
      </c>
      <c r="I342" t="n">
        <v>0</v>
      </c>
      <c r="J342" t="n">
        <v>0</v>
      </c>
      <c r="K342" t="n">
        <v>0</v>
      </c>
      <c r="L342" t="n">
        <v>0</v>
      </c>
      <c r="M342" t="n">
        <v>0</v>
      </c>
      <c r="N342" t="n">
        <v>0</v>
      </c>
      <c r="O342" t="n">
        <v>0</v>
      </c>
      <c r="P342" t="n">
        <v>0</v>
      </c>
      <c r="Q342" t="n">
        <v>0</v>
      </c>
      <c r="R342" s="2" t="inlineStr"/>
    </row>
    <row r="343" ht="15" customHeight="1">
      <c r="A343" t="inlineStr">
        <is>
          <t>A 20960-2020</t>
        </is>
      </c>
      <c r="B343" s="1" t="n">
        <v>43950</v>
      </c>
      <c r="C343" s="1" t="n">
        <v>45664</v>
      </c>
      <c r="D343" t="inlineStr">
        <is>
          <t>UPPSALA LÄN</t>
        </is>
      </c>
      <c r="E343" t="inlineStr">
        <is>
          <t>UPPSALA</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24300-2020</t>
        </is>
      </c>
      <c r="B344" s="1" t="n">
        <v>43973</v>
      </c>
      <c r="C344" s="1" t="n">
        <v>45664</v>
      </c>
      <c r="D344" t="inlineStr">
        <is>
          <t>UPPSALA LÄN</t>
        </is>
      </c>
      <c r="E344" t="inlineStr">
        <is>
          <t>UPPSALA</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24287-2020</t>
        </is>
      </c>
      <c r="B345" s="1" t="n">
        <v>43976</v>
      </c>
      <c r="C345" s="1" t="n">
        <v>45664</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25798-2020</t>
        </is>
      </c>
      <c r="B346" s="1" t="n">
        <v>43984</v>
      </c>
      <c r="C346" s="1" t="n">
        <v>45664</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26488-2020</t>
        </is>
      </c>
      <c r="B347" s="1" t="n">
        <v>43987</v>
      </c>
      <c r="C347" s="1" t="n">
        <v>45664</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26492-2020</t>
        </is>
      </c>
      <c r="B348" s="1" t="n">
        <v>43987</v>
      </c>
      <c r="C348" s="1" t="n">
        <v>45664</v>
      </c>
      <c r="D348" t="inlineStr">
        <is>
          <t>UPPSALA LÄN</t>
        </is>
      </c>
      <c r="E348" t="inlineStr">
        <is>
          <t>UPPSALA</t>
        </is>
      </c>
      <c r="G348" t="n">
        <v>9.5</v>
      </c>
      <c r="H348" t="n">
        <v>0</v>
      </c>
      <c r="I348" t="n">
        <v>0</v>
      </c>
      <c r="J348" t="n">
        <v>0</v>
      </c>
      <c r="K348" t="n">
        <v>0</v>
      </c>
      <c r="L348" t="n">
        <v>0</v>
      </c>
      <c r="M348" t="n">
        <v>0</v>
      </c>
      <c r="N348" t="n">
        <v>0</v>
      </c>
      <c r="O348" t="n">
        <v>0</v>
      </c>
      <c r="P348" t="n">
        <v>0</v>
      </c>
      <c r="Q348" t="n">
        <v>0</v>
      </c>
      <c r="R348" s="2" t="inlineStr"/>
    </row>
    <row r="349" ht="15" customHeight="1">
      <c r="A349" t="inlineStr">
        <is>
          <t>A 26856-2020</t>
        </is>
      </c>
      <c r="B349" s="1" t="n">
        <v>43990</v>
      </c>
      <c r="C349" s="1" t="n">
        <v>45664</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28565-2020</t>
        </is>
      </c>
      <c r="B350" s="1" t="n">
        <v>43999</v>
      </c>
      <c r="C350" s="1" t="n">
        <v>45664</v>
      </c>
      <c r="D350" t="inlineStr">
        <is>
          <t>UPPSALA LÄN</t>
        </is>
      </c>
      <c r="E350" t="inlineStr">
        <is>
          <t>UPPSALA</t>
        </is>
      </c>
      <c r="G350" t="n">
        <v>2.7</v>
      </c>
      <c r="H350" t="n">
        <v>0</v>
      </c>
      <c r="I350" t="n">
        <v>0</v>
      </c>
      <c r="J350" t="n">
        <v>0</v>
      </c>
      <c r="K350" t="n">
        <v>0</v>
      </c>
      <c r="L350" t="n">
        <v>0</v>
      </c>
      <c r="M350" t="n">
        <v>0</v>
      </c>
      <c r="N350" t="n">
        <v>0</v>
      </c>
      <c r="O350" t="n">
        <v>0</v>
      </c>
      <c r="P350" t="n">
        <v>0</v>
      </c>
      <c r="Q350" t="n">
        <v>0</v>
      </c>
      <c r="R350" s="2" t="inlineStr"/>
    </row>
    <row r="351" ht="15" customHeight="1">
      <c r="A351" t="inlineStr">
        <is>
          <t>A 28514-2020</t>
        </is>
      </c>
      <c r="B351" s="1" t="n">
        <v>43999</v>
      </c>
      <c r="C351" s="1" t="n">
        <v>45664</v>
      </c>
      <c r="D351" t="inlineStr">
        <is>
          <t>UPPSALA LÄN</t>
        </is>
      </c>
      <c r="E351" t="inlineStr">
        <is>
          <t>UPPSALA</t>
        </is>
      </c>
      <c r="G351" t="n">
        <v>3.6</v>
      </c>
      <c r="H351" t="n">
        <v>0</v>
      </c>
      <c r="I351" t="n">
        <v>0</v>
      </c>
      <c r="J351" t="n">
        <v>0</v>
      </c>
      <c r="K351" t="n">
        <v>0</v>
      </c>
      <c r="L351" t="n">
        <v>0</v>
      </c>
      <c r="M351" t="n">
        <v>0</v>
      </c>
      <c r="N351" t="n">
        <v>0</v>
      </c>
      <c r="O351" t="n">
        <v>0</v>
      </c>
      <c r="P351" t="n">
        <v>0</v>
      </c>
      <c r="Q351" t="n">
        <v>0</v>
      </c>
      <c r="R351" s="2" t="inlineStr"/>
    </row>
    <row r="352" ht="15" customHeight="1">
      <c r="A352" t="inlineStr">
        <is>
          <t>A 28993-2020</t>
        </is>
      </c>
      <c r="B352" s="1" t="n">
        <v>44000</v>
      </c>
      <c r="C352" s="1" t="n">
        <v>45664</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29034-2020</t>
        </is>
      </c>
      <c r="B353" s="1" t="n">
        <v>44000</v>
      </c>
      <c r="C353" s="1" t="n">
        <v>45664</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30196-2020</t>
        </is>
      </c>
      <c r="B354" s="1" t="n">
        <v>44007</v>
      </c>
      <c r="C354" s="1" t="n">
        <v>45664</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30208-2020</t>
        </is>
      </c>
      <c r="B355" s="1" t="n">
        <v>44007</v>
      </c>
      <c r="C355" s="1" t="n">
        <v>45664</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31219-2020</t>
        </is>
      </c>
      <c r="B356" s="1" t="n">
        <v>44012</v>
      </c>
      <c r="C356" s="1" t="n">
        <v>45664</v>
      </c>
      <c r="D356" t="inlineStr">
        <is>
          <t>UPPSALA LÄN</t>
        </is>
      </c>
      <c r="E356" t="inlineStr">
        <is>
          <t>UPPSALA</t>
        </is>
      </c>
      <c r="F356" t="inlineStr">
        <is>
          <t>Bergvik skog öst AB</t>
        </is>
      </c>
      <c r="G356" t="n">
        <v>7.4</v>
      </c>
      <c r="H356" t="n">
        <v>0</v>
      </c>
      <c r="I356" t="n">
        <v>0</v>
      </c>
      <c r="J356" t="n">
        <v>0</v>
      </c>
      <c r="K356" t="n">
        <v>0</v>
      </c>
      <c r="L356" t="n">
        <v>0</v>
      </c>
      <c r="M356" t="n">
        <v>0</v>
      </c>
      <c r="N356" t="n">
        <v>0</v>
      </c>
      <c r="O356" t="n">
        <v>0</v>
      </c>
      <c r="P356" t="n">
        <v>0</v>
      </c>
      <c r="Q356" t="n">
        <v>0</v>
      </c>
      <c r="R356" s="2" t="inlineStr"/>
    </row>
    <row r="357" ht="15" customHeight="1">
      <c r="A357" t="inlineStr">
        <is>
          <t>A 31430-2020</t>
        </is>
      </c>
      <c r="B357" s="1" t="n">
        <v>44013</v>
      </c>
      <c r="C357" s="1" t="n">
        <v>45664</v>
      </c>
      <c r="D357" t="inlineStr">
        <is>
          <t>UPPSALA LÄN</t>
        </is>
      </c>
      <c r="E357" t="inlineStr">
        <is>
          <t>UPPSALA</t>
        </is>
      </c>
      <c r="G357" t="n">
        <v>3.4</v>
      </c>
      <c r="H357" t="n">
        <v>0</v>
      </c>
      <c r="I357" t="n">
        <v>0</v>
      </c>
      <c r="J357" t="n">
        <v>0</v>
      </c>
      <c r="K357" t="n">
        <v>0</v>
      </c>
      <c r="L357" t="n">
        <v>0</v>
      </c>
      <c r="M357" t="n">
        <v>0</v>
      </c>
      <c r="N357" t="n">
        <v>0</v>
      </c>
      <c r="O357" t="n">
        <v>0</v>
      </c>
      <c r="P357" t="n">
        <v>0</v>
      </c>
      <c r="Q357" t="n">
        <v>0</v>
      </c>
      <c r="R357" s="2" t="inlineStr"/>
    </row>
    <row r="358" ht="15" customHeight="1">
      <c r="A358" t="inlineStr">
        <is>
          <t>A 31932-2020</t>
        </is>
      </c>
      <c r="B358" s="1" t="n">
        <v>44014</v>
      </c>
      <c r="C358" s="1" t="n">
        <v>45664</v>
      </c>
      <c r="D358" t="inlineStr">
        <is>
          <t>UPPSALA LÄN</t>
        </is>
      </c>
      <c r="E358" t="inlineStr">
        <is>
          <t>UPPSALA</t>
        </is>
      </c>
      <c r="G358" t="n">
        <v>5.6</v>
      </c>
      <c r="H358" t="n">
        <v>0</v>
      </c>
      <c r="I358" t="n">
        <v>0</v>
      </c>
      <c r="J358" t="n">
        <v>0</v>
      </c>
      <c r="K358" t="n">
        <v>0</v>
      </c>
      <c r="L358" t="n">
        <v>0</v>
      </c>
      <c r="M358" t="n">
        <v>0</v>
      </c>
      <c r="N358" t="n">
        <v>0</v>
      </c>
      <c r="O358" t="n">
        <v>0</v>
      </c>
      <c r="P358" t="n">
        <v>0</v>
      </c>
      <c r="Q358" t="n">
        <v>0</v>
      </c>
      <c r="R358" s="2" t="inlineStr"/>
    </row>
    <row r="359" ht="15" customHeight="1">
      <c r="A359" t="inlineStr">
        <is>
          <t>A 32235-2020</t>
        </is>
      </c>
      <c r="B359" s="1" t="n">
        <v>44015</v>
      </c>
      <c r="C359" s="1" t="n">
        <v>45664</v>
      </c>
      <c r="D359" t="inlineStr">
        <is>
          <t>UPPSALA LÄN</t>
        </is>
      </c>
      <c r="E359" t="inlineStr">
        <is>
          <t>UPPSALA</t>
        </is>
      </c>
      <c r="F359" t="inlineStr">
        <is>
          <t>Bergvik skog öst AB</t>
        </is>
      </c>
      <c r="G359" t="n">
        <v>0.5</v>
      </c>
      <c r="H359" t="n">
        <v>0</v>
      </c>
      <c r="I359" t="n">
        <v>0</v>
      </c>
      <c r="J359" t="n">
        <v>0</v>
      </c>
      <c r="K359" t="n">
        <v>0</v>
      </c>
      <c r="L359" t="n">
        <v>0</v>
      </c>
      <c r="M359" t="n">
        <v>0</v>
      </c>
      <c r="N359" t="n">
        <v>0</v>
      </c>
      <c r="O359" t="n">
        <v>0</v>
      </c>
      <c r="P359" t="n">
        <v>0</v>
      </c>
      <c r="Q359" t="n">
        <v>0</v>
      </c>
      <c r="R359" s="2" t="inlineStr"/>
    </row>
    <row r="360" ht="15" customHeight="1">
      <c r="A360" t="inlineStr">
        <is>
          <t>A 32340-2020</t>
        </is>
      </c>
      <c r="B360" s="1" t="n">
        <v>44016</v>
      </c>
      <c r="C360" s="1" t="n">
        <v>45664</v>
      </c>
      <c r="D360" t="inlineStr">
        <is>
          <t>UPPSALA LÄN</t>
        </is>
      </c>
      <c r="E360" t="inlineStr">
        <is>
          <t>UPPSALA</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32608-2020</t>
        </is>
      </c>
      <c r="B361" s="1" t="n">
        <v>44019</v>
      </c>
      <c r="C361" s="1" t="n">
        <v>45664</v>
      </c>
      <c r="D361" t="inlineStr">
        <is>
          <t>UPPSALA LÄN</t>
        </is>
      </c>
      <c r="E361" t="inlineStr">
        <is>
          <t>UPPSALA</t>
        </is>
      </c>
      <c r="F361" t="inlineStr">
        <is>
          <t>Bergvik skog öst AB</t>
        </is>
      </c>
      <c r="G361" t="n">
        <v>5.7</v>
      </c>
      <c r="H361" t="n">
        <v>0</v>
      </c>
      <c r="I361" t="n">
        <v>0</v>
      </c>
      <c r="J361" t="n">
        <v>0</v>
      </c>
      <c r="K361" t="n">
        <v>0</v>
      </c>
      <c r="L361" t="n">
        <v>0</v>
      </c>
      <c r="M361" t="n">
        <v>0</v>
      </c>
      <c r="N361" t="n">
        <v>0</v>
      </c>
      <c r="O361" t="n">
        <v>0</v>
      </c>
      <c r="P361" t="n">
        <v>0</v>
      </c>
      <c r="Q361" t="n">
        <v>0</v>
      </c>
      <c r="R361" s="2" t="inlineStr"/>
    </row>
    <row r="362" ht="15" customHeight="1">
      <c r="A362" t="inlineStr">
        <is>
          <t>A 33658-2020</t>
        </is>
      </c>
      <c r="B362" s="1" t="n">
        <v>44026</v>
      </c>
      <c r="C362" s="1" t="n">
        <v>45664</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34205-2020</t>
        </is>
      </c>
      <c r="B363" s="1" t="n">
        <v>44029</v>
      </c>
      <c r="C363" s="1" t="n">
        <v>45664</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34565-2020</t>
        </is>
      </c>
      <c r="B364" s="1" t="n">
        <v>44033</v>
      </c>
      <c r="C364" s="1" t="n">
        <v>45664</v>
      </c>
      <c r="D364" t="inlineStr">
        <is>
          <t>UPPSALA LÄN</t>
        </is>
      </c>
      <c r="E364" t="inlineStr">
        <is>
          <t>UPPSALA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34753-2020</t>
        </is>
      </c>
      <c r="B365" s="1" t="n">
        <v>44035</v>
      </c>
      <c r="C365" s="1" t="n">
        <v>45664</v>
      </c>
      <c r="D365" t="inlineStr">
        <is>
          <t>UPPSALA LÄN</t>
        </is>
      </c>
      <c r="E365" t="inlineStr">
        <is>
          <t>UPPSALA</t>
        </is>
      </c>
      <c r="G365" t="n">
        <v>2.7</v>
      </c>
      <c r="H365" t="n">
        <v>0</v>
      </c>
      <c r="I365" t="n">
        <v>0</v>
      </c>
      <c r="J365" t="n">
        <v>0</v>
      </c>
      <c r="K365" t="n">
        <v>0</v>
      </c>
      <c r="L365" t="n">
        <v>0</v>
      </c>
      <c r="M365" t="n">
        <v>0</v>
      </c>
      <c r="N365" t="n">
        <v>0</v>
      </c>
      <c r="O365" t="n">
        <v>0</v>
      </c>
      <c r="P365" t="n">
        <v>0</v>
      </c>
      <c r="Q365" t="n">
        <v>0</v>
      </c>
      <c r="R365" s="2" t="inlineStr"/>
    </row>
    <row r="366" ht="15" customHeight="1">
      <c r="A366" t="inlineStr">
        <is>
          <t>A 34749-2020</t>
        </is>
      </c>
      <c r="B366" s="1" t="n">
        <v>44035</v>
      </c>
      <c r="C366" s="1" t="n">
        <v>45664</v>
      </c>
      <c r="D366" t="inlineStr">
        <is>
          <t>UPPSALA LÄN</t>
        </is>
      </c>
      <c r="E366" t="inlineStr">
        <is>
          <t>UPPSALA</t>
        </is>
      </c>
      <c r="G366" t="n">
        <v>5.5</v>
      </c>
      <c r="H366" t="n">
        <v>0</v>
      </c>
      <c r="I366" t="n">
        <v>0</v>
      </c>
      <c r="J366" t="n">
        <v>0</v>
      </c>
      <c r="K366" t="n">
        <v>0</v>
      </c>
      <c r="L366" t="n">
        <v>0</v>
      </c>
      <c r="M366" t="n">
        <v>0</v>
      </c>
      <c r="N366" t="n">
        <v>0</v>
      </c>
      <c r="O366" t="n">
        <v>0</v>
      </c>
      <c r="P366" t="n">
        <v>0</v>
      </c>
      <c r="Q366" t="n">
        <v>0</v>
      </c>
      <c r="R366" s="2" t="inlineStr"/>
    </row>
    <row r="367" ht="15" customHeight="1">
      <c r="A367" t="inlineStr">
        <is>
          <t>A 35281-2020</t>
        </is>
      </c>
      <c r="B367" s="1" t="n">
        <v>44041</v>
      </c>
      <c r="C367" s="1" t="n">
        <v>45664</v>
      </c>
      <c r="D367" t="inlineStr">
        <is>
          <t>UPPSALA LÄN</t>
        </is>
      </c>
      <c r="E367" t="inlineStr">
        <is>
          <t>UPPSALA</t>
        </is>
      </c>
      <c r="F367" t="inlineStr">
        <is>
          <t>Bergvik skog öst AB</t>
        </is>
      </c>
      <c r="G367" t="n">
        <v>3.1</v>
      </c>
      <c r="H367" t="n">
        <v>0</v>
      </c>
      <c r="I367" t="n">
        <v>0</v>
      </c>
      <c r="J367" t="n">
        <v>0</v>
      </c>
      <c r="K367" t="n">
        <v>0</v>
      </c>
      <c r="L367" t="n">
        <v>0</v>
      </c>
      <c r="M367" t="n">
        <v>0</v>
      </c>
      <c r="N367" t="n">
        <v>0</v>
      </c>
      <c r="O367" t="n">
        <v>0</v>
      </c>
      <c r="P367" t="n">
        <v>0</v>
      </c>
      <c r="Q367" t="n">
        <v>0</v>
      </c>
      <c r="R367" s="2" t="inlineStr"/>
    </row>
    <row r="368" ht="15" customHeight="1">
      <c r="A368" t="inlineStr">
        <is>
          <t>A 36035-2020</t>
        </is>
      </c>
      <c r="B368" s="1" t="n">
        <v>44048</v>
      </c>
      <c r="C368" s="1" t="n">
        <v>45664</v>
      </c>
      <c r="D368" t="inlineStr">
        <is>
          <t>UPPSALA LÄN</t>
        </is>
      </c>
      <c r="E368" t="inlineStr">
        <is>
          <t>UPPSALA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36202-2020</t>
        </is>
      </c>
      <c r="B369" s="1" t="n">
        <v>44048</v>
      </c>
      <c r="C369" s="1" t="n">
        <v>45664</v>
      </c>
      <c r="D369" t="inlineStr">
        <is>
          <t>UPPSALA LÄN</t>
        </is>
      </c>
      <c r="E369" t="inlineStr">
        <is>
          <t>UPPSALA</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36198-2020</t>
        </is>
      </c>
      <c r="B370" s="1" t="n">
        <v>44048</v>
      </c>
      <c r="C370" s="1" t="n">
        <v>45664</v>
      </c>
      <c r="D370" t="inlineStr">
        <is>
          <t>UPPSALA LÄN</t>
        </is>
      </c>
      <c r="E370" t="inlineStr">
        <is>
          <t>UPPSALA</t>
        </is>
      </c>
      <c r="F370" t="inlineStr">
        <is>
          <t>Bergvik skog öst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36350-2020</t>
        </is>
      </c>
      <c r="B371" s="1" t="n">
        <v>44049</v>
      </c>
      <c r="C371" s="1" t="n">
        <v>45664</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36512-2020</t>
        </is>
      </c>
      <c r="B372" s="1" t="n">
        <v>44050</v>
      </c>
      <c r="C372" s="1" t="n">
        <v>45664</v>
      </c>
      <c r="D372" t="inlineStr">
        <is>
          <t>UPPSALA LÄN</t>
        </is>
      </c>
      <c r="E372" t="inlineStr">
        <is>
          <t>UPPSALA</t>
        </is>
      </c>
      <c r="G372" t="n">
        <v>5.8</v>
      </c>
      <c r="H372" t="n">
        <v>0</v>
      </c>
      <c r="I372" t="n">
        <v>0</v>
      </c>
      <c r="J372" t="n">
        <v>0</v>
      </c>
      <c r="K372" t="n">
        <v>0</v>
      </c>
      <c r="L372" t="n">
        <v>0</v>
      </c>
      <c r="M372" t="n">
        <v>0</v>
      </c>
      <c r="N372" t="n">
        <v>0</v>
      </c>
      <c r="O372" t="n">
        <v>0</v>
      </c>
      <c r="P372" t="n">
        <v>0</v>
      </c>
      <c r="Q372" t="n">
        <v>0</v>
      </c>
      <c r="R372" s="2" t="inlineStr"/>
    </row>
    <row r="373" ht="15" customHeight="1">
      <c r="A373" t="inlineStr">
        <is>
          <t>A 37276-2020</t>
        </is>
      </c>
      <c r="B373" s="1" t="n">
        <v>44055</v>
      </c>
      <c r="C373" s="1" t="n">
        <v>45664</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37669-2020</t>
        </is>
      </c>
      <c r="B374" s="1" t="n">
        <v>44056</v>
      </c>
      <c r="C374" s="1" t="n">
        <v>45664</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39233-2020</t>
        </is>
      </c>
      <c r="B375" s="1" t="n">
        <v>44063</v>
      </c>
      <c r="C375" s="1" t="n">
        <v>45664</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39178-2020</t>
        </is>
      </c>
      <c r="B376" s="1" t="n">
        <v>44063</v>
      </c>
      <c r="C376" s="1" t="n">
        <v>45664</v>
      </c>
      <c r="D376" t="inlineStr">
        <is>
          <t>UPPSALA LÄN</t>
        </is>
      </c>
      <c r="E376" t="inlineStr">
        <is>
          <t>UPPSALA</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39236-2020</t>
        </is>
      </c>
      <c r="B377" s="1" t="n">
        <v>44063</v>
      </c>
      <c r="C377" s="1" t="n">
        <v>45664</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39272-2020</t>
        </is>
      </c>
      <c r="B378" s="1" t="n">
        <v>44063</v>
      </c>
      <c r="C378" s="1" t="n">
        <v>45664</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40894-2020</t>
        </is>
      </c>
      <c r="B379" s="1" t="n">
        <v>44070</v>
      </c>
      <c r="C379" s="1" t="n">
        <v>45664</v>
      </c>
      <c r="D379" t="inlineStr">
        <is>
          <t>UPPSALA LÄN</t>
        </is>
      </c>
      <c r="E379" t="inlineStr">
        <is>
          <t>UPPSALA</t>
        </is>
      </c>
      <c r="G379" t="n">
        <v>7.1</v>
      </c>
      <c r="H379" t="n">
        <v>0</v>
      </c>
      <c r="I379" t="n">
        <v>0</v>
      </c>
      <c r="J379" t="n">
        <v>0</v>
      </c>
      <c r="K379" t="n">
        <v>0</v>
      </c>
      <c r="L379" t="n">
        <v>0</v>
      </c>
      <c r="M379" t="n">
        <v>0</v>
      </c>
      <c r="N379" t="n">
        <v>0</v>
      </c>
      <c r="O379" t="n">
        <v>0</v>
      </c>
      <c r="P379" t="n">
        <v>0</v>
      </c>
      <c r="Q379" t="n">
        <v>0</v>
      </c>
      <c r="R379" s="2" t="inlineStr"/>
    </row>
    <row r="380" ht="15" customHeight="1">
      <c r="A380" t="inlineStr">
        <is>
          <t>A 42341-2020</t>
        </is>
      </c>
      <c r="B380" s="1" t="n">
        <v>44076</v>
      </c>
      <c r="C380" s="1" t="n">
        <v>45664</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43968-2020</t>
        </is>
      </c>
      <c r="B381" s="1" t="n">
        <v>44083</v>
      </c>
      <c r="C381" s="1" t="n">
        <v>45664</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45930-2020</t>
        </is>
      </c>
      <c r="B382" s="1" t="n">
        <v>44091</v>
      </c>
      <c r="C382" s="1" t="n">
        <v>45664</v>
      </c>
      <c r="D382" t="inlineStr">
        <is>
          <t>UPPSALA LÄN</t>
        </is>
      </c>
      <c r="E382" t="inlineStr">
        <is>
          <t>UPPSALA</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46633-2020</t>
        </is>
      </c>
      <c r="B383" s="1" t="n">
        <v>44095</v>
      </c>
      <c r="C383" s="1" t="n">
        <v>45664</v>
      </c>
      <c r="D383" t="inlineStr">
        <is>
          <t>UPPSALA LÄN</t>
        </is>
      </c>
      <c r="E383" t="inlineStr">
        <is>
          <t>UPPSALA</t>
        </is>
      </c>
      <c r="G383" t="n">
        <v>4.2</v>
      </c>
      <c r="H383" t="n">
        <v>0</v>
      </c>
      <c r="I383" t="n">
        <v>0</v>
      </c>
      <c r="J383" t="n">
        <v>0</v>
      </c>
      <c r="K383" t="n">
        <v>0</v>
      </c>
      <c r="L383" t="n">
        <v>0</v>
      </c>
      <c r="M383" t="n">
        <v>0</v>
      </c>
      <c r="N383" t="n">
        <v>0</v>
      </c>
      <c r="O383" t="n">
        <v>0</v>
      </c>
      <c r="P383" t="n">
        <v>0</v>
      </c>
      <c r="Q383" t="n">
        <v>0</v>
      </c>
      <c r="R383" s="2" t="inlineStr"/>
    </row>
    <row r="384" ht="15" customHeight="1">
      <c r="A384" t="inlineStr">
        <is>
          <t>A 46647-2020</t>
        </is>
      </c>
      <c r="B384" s="1" t="n">
        <v>44095</v>
      </c>
      <c r="C384" s="1" t="n">
        <v>45664</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48786-2020</t>
        </is>
      </c>
      <c r="B385" s="1" t="n">
        <v>44103</v>
      </c>
      <c r="C385" s="1" t="n">
        <v>45664</v>
      </c>
      <c r="D385" t="inlineStr">
        <is>
          <t>UPPSALA LÄN</t>
        </is>
      </c>
      <c r="E385" t="inlineStr">
        <is>
          <t>UPPSALA</t>
        </is>
      </c>
      <c r="G385" t="n">
        <v>0.4</v>
      </c>
      <c r="H385" t="n">
        <v>0</v>
      </c>
      <c r="I385" t="n">
        <v>0</v>
      </c>
      <c r="J385" t="n">
        <v>0</v>
      </c>
      <c r="K385" t="n">
        <v>0</v>
      </c>
      <c r="L385" t="n">
        <v>0</v>
      </c>
      <c r="M385" t="n">
        <v>0</v>
      </c>
      <c r="N385" t="n">
        <v>0</v>
      </c>
      <c r="O385" t="n">
        <v>0</v>
      </c>
      <c r="P385" t="n">
        <v>0</v>
      </c>
      <c r="Q385" t="n">
        <v>0</v>
      </c>
      <c r="R385" s="2" t="inlineStr"/>
    </row>
    <row r="386" ht="15" customHeight="1">
      <c r="A386" t="inlineStr">
        <is>
          <t>A 49363-2020</t>
        </is>
      </c>
      <c r="B386" s="1" t="n">
        <v>44105</v>
      </c>
      <c r="C386" s="1" t="n">
        <v>45664</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49409-2020</t>
        </is>
      </c>
      <c r="B387" s="1" t="n">
        <v>44105</v>
      </c>
      <c r="C387" s="1" t="n">
        <v>45664</v>
      </c>
      <c r="D387" t="inlineStr">
        <is>
          <t>UPPSALA LÄN</t>
        </is>
      </c>
      <c r="E387" t="inlineStr">
        <is>
          <t>UPPSALA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49404-2020</t>
        </is>
      </c>
      <c r="B388" s="1" t="n">
        <v>44105</v>
      </c>
      <c r="C388" s="1" t="n">
        <v>45664</v>
      </c>
      <c r="D388" t="inlineStr">
        <is>
          <t>UPPSALA LÄN</t>
        </is>
      </c>
      <c r="E388" t="inlineStr">
        <is>
          <t>UPPSALA</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49821-2020</t>
        </is>
      </c>
      <c r="B389" s="1" t="n">
        <v>44106</v>
      </c>
      <c r="C389" s="1" t="n">
        <v>45664</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49931-2020</t>
        </is>
      </c>
      <c r="B390" s="1" t="n">
        <v>44109</v>
      </c>
      <c r="C390" s="1" t="n">
        <v>45664</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52717-2020</t>
        </is>
      </c>
      <c r="B391" s="1" t="n">
        <v>44119</v>
      </c>
      <c r="C391" s="1" t="n">
        <v>45664</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53346-2020</t>
        </is>
      </c>
      <c r="B392" s="1" t="n">
        <v>44123</v>
      </c>
      <c r="C392" s="1" t="n">
        <v>45664</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53379-2020</t>
        </is>
      </c>
      <c r="B393" s="1" t="n">
        <v>44123</v>
      </c>
      <c r="C393" s="1" t="n">
        <v>45664</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54742-2020</t>
        </is>
      </c>
      <c r="B394" s="1" t="n">
        <v>44126</v>
      </c>
      <c r="C394" s="1" t="n">
        <v>45664</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55220-2020</t>
        </is>
      </c>
      <c r="B395" s="1" t="n">
        <v>44130</v>
      </c>
      <c r="C395" s="1" t="n">
        <v>45664</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55953-2020</t>
        </is>
      </c>
      <c r="B396" s="1" t="n">
        <v>44131</v>
      </c>
      <c r="C396" s="1" t="n">
        <v>45664</v>
      </c>
      <c r="D396" t="inlineStr">
        <is>
          <t>UPPSALA LÄN</t>
        </is>
      </c>
      <c r="E396" t="inlineStr">
        <is>
          <t>UPPSALA</t>
        </is>
      </c>
      <c r="F396" t="inlineStr">
        <is>
          <t>Allmännings- och besparingsskogar</t>
        </is>
      </c>
      <c r="G396" t="n">
        <v>74.40000000000001</v>
      </c>
      <c r="H396" t="n">
        <v>0</v>
      </c>
      <c r="I396" t="n">
        <v>0</v>
      </c>
      <c r="J396" t="n">
        <v>0</v>
      </c>
      <c r="K396" t="n">
        <v>0</v>
      </c>
      <c r="L396" t="n">
        <v>0</v>
      </c>
      <c r="M396" t="n">
        <v>0</v>
      </c>
      <c r="N396" t="n">
        <v>0</v>
      </c>
      <c r="O396" t="n">
        <v>0</v>
      </c>
      <c r="P396" t="n">
        <v>0</v>
      </c>
      <c r="Q396" t="n">
        <v>0</v>
      </c>
      <c r="R396" s="2" t="inlineStr"/>
    </row>
    <row r="397" ht="15" customHeight="1">
      <c r="A397" t="inlineStr">
        <is>
          <t>A 56097-2020</t>
        </is>
      </c>
      <c r="B397" s="1" t="n">
        <v>44131</v>
      </c>
      <c r="C397" s="1" t="n">
        <v>45664</v>
      </c>
      <c r="D397" t="inlineStr">
        <is>
          <t>UPPSALA LÄN</t>
        </is>
      </c>
      <c r="E397" t="inlineStr">
        <is>
          <t>UPPSALA</t>
        </is>
      </c>
      <c r="F397" t="inlineStr">
        <is>
          <t>Allmännings- och besparingsskogar</t>
        </is>
      </c>
      <c r="G397" t="n">
        <v>10.6</v>
      </c>
      <c r="H397" t="n">
        <v>0</v>
      </c>
      <c r="I397" t="n">
        <v>0</v>
      </c>
      <c r="J397" t="n">
        <v>0</v>
      </c>
      <c r="K397" t="n">
        <v>0</v>
      </c>
      <c r="L397" t="n">
        <v>0</v>
      </c>
      <c r="M397" t="n">
        <v>0</v>
      </c>
      <c r="N397" t="n">
        <v>0</v>
      </c>
      <c r="O397" t="n">
        <v>0</v>
      </c>
      <c r="P397" t="n">
        <v>0</v>
      </c>
      <c r="Q397" t="n">
        <v>0</v>
      </c>
      <c r="R397" s="2" t="inlineStr"/>
    </row>
    <row r="398" ht="15" customHeight="1">
      <c r="A398" t="inlineStr">
        <is>
          <t>A 56466-2020</t>
        </is>
      </c>
      <c r="B398" s="1" t="n">
        <v>44134</v>
      </c>
      <c r="C398" s="1" t="n">
        <v>45664</v>
      </c>
      <c r="D398" t="inlineStr">
        <is>
          <t>UPPSALA LÄN</t>
        </is>
      </c>
      <c r="E398" t="inlineStr">
        <is>
          <t>UPPSALA</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57041-2020</t>
        </is>
      </c>
      <c r="B399" s="1" t="n">
        <v>44137</v>
      </c>
      <c r="C399" s="1" t="n">
        <v>45664</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57271-2020</t>
        </is>
      </c>
      <c r="B400" s="1" t="n">
        <v>44139</v>
      </c>
      <c r="C400" s="1" t="n">
        <v>45664</v>
      </c>
      <c r="D400" t="inlineStr">
        <is>
          <t>UPPSALA LÄN</t>
        </is>
      </c>
      <c r="E400" t="inlineStr">
        <is>
          <t>UPPSALA</t>
        </is>
      </c>
      <c r="G400" t="n">
        <v>3.8</v>
      </c>
      <c r="H400" t="n">
        <v>0</v>
      </c>
      <c r="I400" t="n">
        <v>0</v>
      </c>
      <c r="J400" t="n">
        <v>0</v>
      </c>
      <c r="K400" t="n">
        <v>0</v>
      </c>
      <c r="L400" t="n">
        <v>0</v>
      </c>
      <c r="M400" t="n">
        <v>0</v>
      </c>
      <c r="N400" t="n">
        <v>0</v>
      </c>
      <c r="O400" t="n">
        <v>0</v>
      </c>
      <c r="P400" t="n">
        <v>0</v>
      </c>
      <c r="Q400" t="n">
        <v>0</v>
      </c>
      <c r="R400" s="2" t="inlineStr"/>
    </row>
    <row r="401" ht="15" customHeight="1">
      <c r="A401" t="inlineStr">
        <is>
          <t>A 57451-2020</t>
        </is>
      </c>
      <c r="B401" s="1" t="n">
        <v>44139</v>
      </c>
      <c r="C401" s="1" t="n">
        <v>45664</v>
      </c>
      <c r="D401" t="inlineStr">
        <is>
          <t>UPPSALA LÄN</t>
        </is>
      </c>
      <c r="E401" t="inlineStr">
        <is>
          <t>UPPSALA</t>
        </is>
      </c>
      <c r="G401" t="n">
        <v>1.5</v>
      </c>
      <c r="H401" t="n">
        <v>0</v>
      </c>
      <c r="I401" t="n">
        <v>0</v>
      </c>
      <c r="J401" t="n">
        <v>0</v>
      </c>
      <c r="K401" t="n">
        <v>0</v>
      </c>
      <c r="L401" t="n">
        <v>0</v>
      </c>
      <c r="M401" t="n">
        <v>0</v>
      </c>
      <c r="N401" t="n">
        <v>0</v>
      </c>
      <c r="O401" t="n">
        <v>0</v>
      </c>
      <c r="P401" t="n">
        <v>0</v>
      </c>
      <c r="Q401" t="n">
        <v>0</v>
      </c>
      <c r="R401" s="2" t="inlineStr"/>
    </row>
    <row r="402" ht="15" customHeight="1">
      <c r="A402" t="inlineStr">
        <is>
          <t>A 57466-2020</t>
        </is>
      </c>
      <c r="B402" s="1" t="n">
        <v>44139</v>
      </c>
      <c r="C402" s="1" t="n">
        <v>45664</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45664</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58058-2020</t>
        </is>
      </c>
      <c r="B404" s="1" t="n">
        <v>44144</v>
      </c>
      <c r="C404" s="1" t="n">
        <v>45664</v>
      </c>
      <c r="D404" t="inlineStr">
        <is>
          <t>UPPSALA LÄN</t>
        </is>
      </c>
      <c r="E404" t="inlineStr">
        <is>
          <t>UPPSALA</t>
        </is>
      </c>
      <c r="G404" t="n">
        <v>4.4</v>
      </c>
      <c r="H404" t="n">
        <v>0</v>
      </c>
      <c r="I404" t="n">
        <v>0</v>
      </c>
      <c r="J404" t="n">
        <v>0</v>
      </c>
      <c r="K404" t="n">
        <v>0</v>
      </c>
      <c r="L404" t="n">
        <v>0</v>
      </c>
      <c r="M404" t="n">
        <v>0</v>
      </c>
      <c r="N404" t="n">
        <v>0</v>
      </c>
      <c r="O404" t="n">
        <v>0</v>
      </c>
      <c r="P404" t="n">
        <v>0</v>
      </c>
      <c r="Q404" t="n">
        <v>0</v>
      </c>
      <c r="R404" s="2" t="inlineStr"/>
    </row>
    <row r="405" ht="15" customHeight="1">
      <c r="A405" t="inlineStr">
        <is>
          <t>A 58056-2020</t>
        </is>
      </c>
      <c r="B405" s="1" t="n">
        <v>44144</v>
      </c>
      <c r="C405" s="1" t="n">
        <v>45664</v>
      </c>
      <c r="D405" t="inlineStr">
        <is>
          <t>UPPSALA LÄN</t>
        </is>
      </c>
      <c r="E405" t="inlineStr">
        <is>
          <t>UPPSALA</t>
        </is>
      </c>
      <c r="G405" t="n">
        <v>5.5</v>
      </c>
      <c r="H405" t="n">
        <v>0</v>
      </c>
      <c r="I405" t="n">
        <v>0</v>
      </c>
      <c r="J405" t="n">
        <v>0</v>
      </c>
      <c r="K405" t="n">
        <v>0</v>
      </c>
      <c r="L405" t="n">
        <v>0</v>
      </c>
      <c r="M405" t="n">
        <v>0</v>
      </c>
      <c r="N405" t="n">
        <v>0</v>
      </c>
      <c r="O405" t="n">
        <v>0</v>
      </c>
      <c r="P405" t="n">
        <v>0</v>
      </c>
      <c r="Q405" t="n">
        <v>0</v>
      </c>
      <c r="R405" s="2" t="inlineStr"/>
    </row>
    <row r="406" ht="15" customHeight="1">
      <c r="A406" t="inlineStr">
        <is>
          <t>A 58288-2020</t>
        </is>
      </c>
      <c r="B406" s="1" t="n">
        <v>44144</v>
      </c>
      <c r="C406" s="1" t="n">
        <v>45664</v>
      </c>
      <c r="D406" t="inlineStr">
        <is>
          <t>UPPSALA LÄN</t>
        </is>
      </c>
      <c r="E406" t="inlineStr">
        <is>
          <t>UPPSALA</t>
        </is>
      </c>
      <c r="G406" t="n">
        <v>0.3</v>
      </c>
      <c r="H406" t="n">
        <v>0</v>
      </c>
      <c r="I406" t="n">
        <v>0</v>
      </c>
      <c r="J406" t="n">
        <v>0</v>
      </c>
      <c r="K406" t="n">
        <v>0</v>
      </c>
      <c r="L406" t="n">
        <v>0</v>
      </c>
      <c r="M406" t="n">
        <v>0</v>
      </c>
      <c r="N406" t="n">
        <v>0</v>
      </c>
      <c r="O406" t="n">
        <v>0</v>
      </c>
      <c r="P406" t="n">
        <v>0</v>
      </c>
      <c r="Q406" t="n">
        <v>0</v>
      </c>
      <c r="R406" s="2" t="inlineStr"/>
    </row>
    <row r="407" ht="15" customHeight="1">
      <c r="A407" t="inlineStr">
        <is>
          <t>A 58928-2020</t>
        </is>
      </c>
      <c r="B407" s="1" t="n">
        <v>44146</v>
      </c>
      <c r="C407" s="1" t="n">
        <v>45664</v>
      </c>
      <c r="D407" t="inlineStr">
        <is>
          <t>UPPSALA LÄN</t>
        </is>
      </c>
      <c r="E407" t="inlineStr">
        <is>
          <t>UPPSALA</t>
        </is>
      </c>
      <c r="G407" t="n">
        <v>10.6</v>
      </c>
      <c r="H407" t="n">
        <v>0</v>
      </c>
      <c r="I407" t="n">
        <v>0</v>
      </c>
      <c r="J407" t="n">
        <v>0</v>
      </c>
      <c r="K407" t="n">
        <v>0</v>
      </c>
      <c r="L407" t="n">
        <v>0</v>
      </c>
      <c r="M407" t="n">
        <v>0</v>
      </c>
      <c r="N407" t="n">
        <v>0</v>
      </c>
      <c r="O407" t="n">
        <v>0</v>
      </c>
      <c r="P407" t="n">
        <v>0</v>
      </c>
      <c r="Q407" t="n">
        <v>0</v>
      </c>
      <c r="R407" s="2" t="inlineStr"/>
    </row>
    <row r="408" ht="15" customHeight="1">
      <c r="A408" t="inlineStr">
        <is>
          <t>A 59952-2020</t>
        </is>
      </c>
      <c r="B408" s="1" t="n">
        <v>44151</v>
      </c>
      <c r="C408" s="1" t="n">
        <v>45664</v>
      </c>
      <c r="D408" t="inlineStr">
        <is>
          <t>UPPSALA LÄN</t>
        </is>
      </c>
      <c r="E408" t="inlineStr">
        <is>
          <t>UPPSALA</t>
        </is>
      </c>
      <c r="G408" t="n">
        <v>25.8</v>
      </c>
      <c r="H408" t="n">
        <v>0</v>
      </c>
      <c r="I408" t="n">
        <v>0</v>
      </c>
      <c r="J408" t="n">
        <v>0</v>
      </c>
      <c r="K408" t="n">
        <v>0</v>
      </c>
      <c r="L408" t="n">
        <v>0</v>
      </c>
      <c r="M408" t="n">
        <v>0</v>
      </c>
      <c r="N408" t="n">
        <v>0</v>
      </c>
      <c r="O408" t="n">
        <v>0</v>
      </c>
      <c r="P408" t="n">
        <v>0</v>
      </c>
      <c r="Q408" t="n">
        <v>0</v>
      </c>
      <c r="R408" s="2" t="inlineStr"/>
    </row>
    <row r="409" ht="15" customHeight="1">
      <c r="A409" t="inlineStr">
        <is>
          <t>A 60702-2020</t>
        </is>
      </c>
      <c r="B409" s="1" t="n">
        <v>44153</v>
      </c>
      <c r="C409" s="1" t="n">
        <v>45664</v>
      </c>
      <c r="D409" t="inlineStr">
        <is>
          <t>UPPSALA LÄN</t>
        </is>
      </c>
      <c r="E409" t="inlineStr">
        <is>
          <t>UPPSALA</t>
        </is>
      </c>
      <c r="F409" t="inlineStr">
        <is>
          <t>Övriga statliga verk och myndigheter</t>
        </is>
      </c>
      <c r="G409" t="n">
        <v>1.4</v>
      </c>
      <c r="H409" t="n">
        <v>0</v>
      </c>
      <c r="I409" t="n">
        <v>0</v>
      </c>
      <c r="J409" t="n">
        <v>0</v>
      </c>
      <c r="K409" t="n">
        <v>0</v>
      </c>
      <c r="L409" t="n">
        <v>0</v>
      </c>
      <c r="M409" t="n">
        <v>0</v>
      </c>
      <c r="N409" t="n">
        <v>0</v>
      </c>
      <c r="O409" t="n">
        <v>0</v>
      </c>
      <c r="P409" t="n">
        <v>0</v>
      </c>
      <c r="Q409" t="n">
        <v>0</v>
      </c>
      <c r="R409" s="2" t="inlineStr"/>
    </row>
    <row r="410" ht="15" customHeight="1">
      <c r="A410" t="inlineStr">
        <is>
          <t>A 61265-2020</t>
        </is>
      </c>
      <c r="B410" s="1" t="n">
        <v>44155</v>
      </c>
      <c r="C410" s="1" t="n">
        <v>45664</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61271-2020</t>
        </is>
      </c>
      <c r="B411" s="1" t="n">
        <v>44155</v>
      </c>
      <c r="C411" s="1" t="n">
        <v>45664</v>
      </c>
      <c r="D411" t="inlineStr">
        <is>
          <t>UPPSALA LÄN</t>
        </is>
      </c>
      <c r="E411" t="inlineStr">
        <is>
          <t>UPPSALA</t>
        </is>
      </c>
      <c r="G411" t="n">
        <v>3.5</v>
      </c>
      <c r="H411" t="n">
        <v>0</v>
      </c>
      <c r="I411" t="n">
        <v>0</v>
      </c>
      <c r="J411" t="n">
        <v>0</v>
      </c>
      <c r="K411" t="n">
        <v>0</v>
      </c>
      <c r="L411" t="n">
        <v>0</v>
      </c>
      <c r="M411" t="n">
        <v>0</v>
      </c>
      <c r="N411" t="n">
        <v>0</v>
      </c>
      <c r="O411" t="n">
        <v>0</v>
      </c>
      <c r="P411" t="n">
        <v>0</v>
      </c>
      <c r="Q411" t="n">
        <v>0</v>
      </c>
      <c r="R411" s="2" t="inlineStr"/>
    </row>
    <row r="412" ht="15" customHeight="1">
      <c r="A412" t="inlineStr">
        <is>
          <t>A 62094-2020</t>
        </is>
      </c>
      <c r="B412" s="1" t="n">
        <v>44159</v>
      </c>
      <c r="C412" s="1" t="n">
        <v>45664</v>
      </c>
      <c r="D412" t="inlineStr">
        <is>
          <t>UPPSALA LÄN</t>
        </is>
      </c>
      <c r="E412" t="inlineStr">
        <is>
          <t>UPPSALA</t>
        </is>
      </c>
      <c r="F412" t="inlineStr">
        <is>
          <t>Bergvik skog öst AB</t>
        </is>
      </c>
      <c r="G412" t="n">
        <v>3.4</v>
      </c>
      <c r="H412" t="n">
        <v>0</v>
      </c>
      <c r="I412" t="n">
        <v>0</v>
      </c>
      <c r="J412" t="n">
        <v>0</v>
      </c>
      <c r="K412" t="n">
        <v>0</v>
      </c>
      <c r="L412" t="n">
        <v>0</v>
      </c>
      <c r="M412" t="n">
        <v>0</v>
      </c>
      <c r="N412" t="n">
        <v>0</v>
      </c>
      <c r="O412" t="n">
        <v>0</v>
      </c>
      <c r="P412" t="n">
        <v>0</v>
      </c>
      <c r="Q412" t="n">
        <v>0</v>
      </c>
      <c r="R412" s="2" t="inlineStr"/>
    </row>
    <row r="413" ht="15" customHeight="1">
      <c r="A413" t="inlineStr">
        <is>
          <t>A 62352-2020</t>
        </is>
      </c>
      <c r="B413" s="1" t="n">
        <v>44159</v>
      </c>
      <c r="C413" s="1" t="n">
        <v>45664</v>
      </c>
      <c r="D413" t="inlineStr">
        <is>
          <t>UPPSALA LÄN</t>
        </is>
      </c>
      <c r="E413" t="inlineStr">
        <is>
          <t>UPPSALA</t>
        </is>
      </c>
      <c r="F413" t="inlineStr">
        <is>
          <t>Allmännings- och besparingsskogar</t>
        </is>
      </c>
      <c r="G413" t="n">
        <v>12.9</v>
      </c>
      <c r="H413" t="n">
        <v>0</v>
      </c>
      <c r="I413" t="n">
        <v>0</v>
      </c>
      <c r="J413" t="n">
        <v>0</v>
      </c>
      <c r="K413" t="n">
        <v>0</v>
      </c>
      <c r="L413" t="n">
        <v>0</v>
      </c>
      <c r="M413" t="n">
        <v>0</v>
      </c>
      <c r="N413" t="n">
        <v>0</v>
      </c>
      <c r="O413" t="n">
        <v>0</v>
      </c>
      <c r="P413" t="n">
        <v>0</v>
      </c>
      <c r="Q413" t="n">
        <v>0</v>
      </c>
      <c r="R413" s="2" t="inlineStr"/>
    </row>
    <row r="414" ht="15" customHeight="1">
      <c r="A414" t="inlineStr">
        <is>
          <t>A 62504-2020</t>
        </is>
      </c>
      <c r="B414" s="1" t="n">
        <v>44160</v>
      </c>
      <c r="C414" s="1" t="n">
        <v>45664</v>
      </c>
      <c r="D414" t="inlineStr">
        <is>
          <t>UPPSALA LÄN</t>
        </is>
      </c>
      <c r="E414" t="inlineStr">
        <is>
          <t>UPPSALA</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62729-2020</t>
        </is>
      </c>
      <c r="B415" s="1" t="n">
        <v>44161</v>
      </c>
      <c r="C415" s="1" t="n">
        <v>45664</v>
      </c>
      <c r="D415" t="inlineStr">
        <is>
          <t>UPPSALA LÄN</t>
        </is>
      </c>
      <c r="E415" t="inlineStr">
        <is>
          <t>UPPSALA</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62655-2020</t>
        </is>
      </c>
      <c r="B416" s="1" t="n">
        <v>44161</v>
      </c>
      <c r="C416" s="1" t="n">
        <v>45664</v>
      </c>
      <c r="D416" t="inlineStr">
        <is>
          <t>UPPSALA LÄN</t>
        </is>
      </c>
      <c r="E416" t="inlineStr">
        <is>
          <t>UPPSALA</t>
        </is>
      </c>
      <c r="F416" t="inlineStr">
        <is>
          <t>Holmen skog AB</t>
        </is>
      </c>
      <c r="G416" t="n">
        <v>2.7</v>
      </c>
      <c r="H416" t="n">
        <v>0</v>
      </c>
      <c r="I416" t="n">
        <v>0</v>
      </c>
      <c r="J416" t="n">
        <v>0</v>
      </c>
      <c r="K416" t="n">
        <v>0</v>
      </c>
      <c r="L416" t="n">
        <v>0</v>
      </c>
      <c r="M416" t="n">
        <v>0</v>
      </c>
      <c r="N416" t="n">
        <v>0</v>
      </c>
      <c r="O416" t="n">
        <v>0</v>
      </c>
      <c r="P416" t="n">
        <v>0</v>
      </c>
      <c r="Q416" t="n">
        <v>0</v>
      </c>
      <c r="R416" s="2" t="inlineStr"/>
    </row>
    <row r="417" ht="15" customHeight="1">
      <c r="A417" t="inlineStr">
        <is>
          <t>A 63145-2020</t>
        </is>
      </c>
      <c r="B417" s="1" t="n">
        <v>44162</v>
      </c>
      <c r="C417" s="1" t="n">
        <v>45664</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63529-2020</t>
        </is>
      </c>
      <c r="B418" s="1" t="n">
        <v>44165</v>
      </c>
      <c r="C418" s="1" t="n">
        <v>45664</v>
      </c>
      <c r="D418" t="inlineStr">
        <is>
          <t>UPPSALA LÄN</t>
        </is>
      </c>
      <c r="E418" t="inlineStr">
        <is>
          <t>UPPSALA</t>
        </is>
      </c>
      <c r="F418" t="inlineStr">
        <is>
          <t>Övriga statliga verk och myndigheter</t>
        </is>
      </c>
      <c r="G418" t="n">
        <v>2.4</v>
      </c>
      <c r="H418" t="n">
        <v>0</v>
      </c>
      <c r="I418" t="n">
        <v>0</v>
      </c>
      <c r="J418" t="n">
        <v>0</v>
      </c>
      <c r="K418" t="n">
        <v>0</v>
      </c>
      <c r="L418" t="n">
        <v>0</v>
      </c>
      <c r="M418" t="n">
        <v>0</v>
      </c>
      <c r="N418" t="n">
        <v>0</v>
      </c>
      <c r="O418" t="n">
        <v>0</v>
      </c>
      <c r="P418" t="n">
        <v>0</v>
      </c>
      <c r="Q418" t="n">
        <v>0</v>
      </c>
      <c r="R418" s="2" t="inlineStr"/>
    </row>
    <row r="419" ht="15" customHeight="1">
      <c r="A419" t="inlineStr">
        <is>
          <t>A 63749-2020</t>
        </is>
      </c>
      <c r="B419" s="1" t="n">
        <v>44166</v>
      </c>
      <c r="C419" s="1" t="n">
        <v>45664</v>
      </c>
      <c r="D419" t="inlineStr">
        <is>
          <t>UPPSALA LÄN</t>
        </is>
      </c>
      <c r="E419" t="inlineStr">
        <is>
          <t>UPPSALA</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64128-2020</t>
        </is>
      </c>
      <c r="B420" s="1" t="n">
        <v>44167</v>
      </c>
      <c r="C420" s="1" t="n">
        <v>45664</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64353-2020</t>
        </is>
      </c>
      <c r="B421" s="1" t="n">
        <v>44168</v>
      </c>
      <c r="C421" s="1" t="n">
        <v>45664</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64333-2020</t>
        </is>
      </c>
      <c r="B422" s="1" t="n">
        <v>44168</v>
      </c>
      <c r="C422" s="1" t="n">
        <v>45664</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66984-2020</t>
        </is>
      </c>
      <c r="B423" s="1" t="n">
        <v>44180</v>
      </c>
      <c r="C423" s="1" t="n">
        <v>45664</v>
      </c>
      <c r="D423" t="inlineStr">
        <is>
          <t>UPPSALA LÄN</t>
        </is>
      </c>
      <c r="E423" t="inlineStr">
        <is>
          <t>UPPSALA</t>
        </is>
      </c>
      <c r="F423" t="inlineStr">
        <is>
          <t>Övriga statliga verk och myndigheter</t>
        </is>
      </c>
      <c r="G423" t="n">
        <v>2.1</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45664</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1020-2021</t>
        </is>
      </c>
      <c r="B425" s="1" t="n">
        <v>44207</v>
      </c>
      <c r="C425" s="1" t="n">
        <v>45664</v>
      </c>
      <c r="D425" t="inlineStr">
        <is>
          <t>UPPSALA LÄN</t>
        </is>
      </c>
      <c r="E425" t="inlineStr">
        <is>
          <t>UPPSALA</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1573-2021</t>
        </is>
      </c>
      <c r="B426" s="1" t="n">
        <v>44209</v>
      </c>
      <c r="C426" s="1" t="n">
        <v>45664</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1617-2021</t>
        </is>
      </c>
      <c r="B427" s="1" t="n">
        <v>44209</v>
      </c>
      <c r="C427" s="1" t="n">
        <v>45664</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1855-2021</t>
        </is>
      </c>
      <c r="B428" s="1" t="n">
        <v>44210</v>
      </c>
      <c r="C428" s="1" t="n">
        <v>45664</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2169-2021</t>
        </is>
      </c>
      <c r="B429" s="1" t="n">
        <v>44211</v>
      </c>
      <c r="C429" s="1" t="n">
        <v>45664</v>
      </c>
      <c r="D429" t="inlineStr">
        <is>
          <t>UPPSALA LÄN</t>
        </is>
      </c>
      <c r="E429" t="inlineStr">
        <is>
          <t>UPPSALA</t>
        </is>
      </c>
      <c r="G429" t="n">
        <v>0.7</v>
      </c>
      <c r="H429" t="n">
        <v>0</v>
      </c>
      <c r="I429" t="n">
        <v>0</v>
      </c>
      <c r="J429" t="n">
        <v>0</v>
      </c>
      <c r="K429" t="n">
        <v>0</v>
      </c>
      <c r="L429" t="n">
        <v>0</v>
      </c>
      <c r="M429" t="n">
        <v>0</v>
      </c>
      <c r="N429" t="n">
        <v>0</v>
      </c>
      <c r="O429" t="n">
        <v>0</v>
      </c>
      <c r="P429" t="n">
        <v>0</v>
      </c>
      <c r="Q429" t="n">
        <v>0</v>
      </c>
      <c r="R429" s="2" t="inlineStr"/>
    </row>
    <row r="430" ht="15" customHeight="1">
      <c r="A430" t="inlineStr">
        <is>
          <t>A 3864-2021</t>
        </is>
      </c>
      <c r="B430" s="1" t="n">
        <v>44216</v>
      </c>
      <c r="C430" s="1" t="n">
        <v>45664</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3874-2021</t>
        </is>
      </c>
      <c r="B431" s="1" t="n">
        <v>44216</v>
      </c>
      <c r="C431" s="1" t="n">
        <v>45664</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3955-2021</t>
        </is>
      </c>
      <c r="B432" s="1" t="n">
        <v>44222</v>
      </c>
      <c r="C432" s="1" t="n">
        <v>45664</v>
      </c>
      <c r="D432" t="inlineStr">
        <is>
          <t>UPPSALA LÄN</t>
        </is>
      </c>
      <c r="E432" t="inlineStr">
        <is>
          <t>UPPSALA</t>
        </is>
      </c>
      <c r="G432" t="n">
        <v>2.3</v>
      </c>
      <c r="H432" t="n">
        <v>0</v>
      </c>
      <c r="I432" t="n">
        <v>0</v>
      </c>
      <c r="J432" t="n">
        <v>0</v>
      </c>
      <c r="K432" t="n">
        <v>0</v>
      </c>
      <c r="L432" t="n">
        <v>0</v>
      </c>
      <c r="M432" t="n">
        <v>0</v>
      </c>
      <c r="N432" t="n">
        <v>0</v>
      </c>
      <c r="O432" t="n">
        <v>0</v>
      </c>
      <c r="P432" t="n">
        <v>0</v>
      </c>
      <c r="Q432" t="n">
        <v>0</v>
      </c>
      <c r="R432" s="2" t="inlineStr"/>
    </row>
    <row r="433" ht="15" customHeight="1">
      <c r="A433" t="inlineStr">
        <is>
          <t>A 4875-2021</t>
        </is>
      </c>
      <c r="B433" s="1" t="n">
        <v>44223</v>
      </c>
      <c r="C433" s="1" t="n">
        <v>45664</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5663-2021</t>
        </is>
      </c>
      <c r="B434" s="1" t="n">
        <v>44230</v>
      </c>
      <c r="C434" s="1" t="n">
        <v>45664</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8114-2021</t>
        </is>
      </c>
      <c r="B435" s="1" t="n">
        <v>44243</v>
      </c>
      <c r="C435" s="1" t="n">
        <v>45664</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8494-2021</t>
        </is>
      </c>
      <c r="B436" s="1" t="n">
        <v>44245</v>
      </c>
      <c r="C436" s="1" t="n">
        <v>45664</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9700-2021</t>
        </is>
      </c>
      <c r="B437" s="1" t="n">
        <v>44252</v>
      </c>
      <c r="C437" s="1" t="n">
        <v>45664</v>
      </c>
      <c r="D437" t="inlineStr">
        <is>
          <t>UPPSALA LÄN</t>
        </is>
      </c>
      <c r="E437" t="inlineStr">
        <is>
          <t>UPPSALA</t>
        </is>
      </c>
      <c r="G437" t="n">
        <v>3.3</v>
      </c>
      <c r="H437" t="n">
        <v>0</v>
      </c>
      <c r="I437" t="n">
        <v>0</v>
      </c>
      <c r="J437" t="n">
        <v>0</v>
      </c>
      <c r="K437" t="n">
        <v>0</v>
      </c>
      <c r="L437" t="n">
        <v>0</v>
      </c>
      <c r="M437" t="n">
        <v>0</v>
      </c>
      <c r="N437" t="n">
        <v>0</v>
      </c>
      <c r="O437" t="n">
        <v>0</v>
      </c>
      <c r="P437" t="n">
        <v>0</v>
      </c>
      <c r="Q437" t="n">
        <v>0</v>
      </c>
      <c r="R437" s="2" t="inlineStr"/>
    </row>
    <row r="438" ht="15" customHeight="1">
      <c r="A438" t="inlineStr">
        <is>
          <t>A 9712-2021</t>
        </is>
      </c>
      <c r="B438" s="1" t="n">
        <v>44252</v>
      </c>
      <c r="C438" s="1" t="n">
        <v>45664</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12225-2021</t>
        </is>
      </c>
      <c r="B439" s="1" t="n">
        <v>44266</v>
      </c>
      <c r="C439" s="1" t="n">
        <v>45664</v>
      </c>
      <c r="D439" t="inlineStr">
        <is>
          <t>UPPSALA LÄN</t>
        </is>
      </c>
      <c r="E439" t="inlineStr">
        <is>
          <t>UPPSALA</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12152-2021</t>
        </is>
      </c>
      <c r="B440" s="1" t="n">
        <v>44266</v>
      </c>
      <c r="C440" s="1" t="n">
        <v>45664</v>
      </c>
      <c r="D440" t="inlineStr">
        <is>
          <t>UPPSALA LÄN</t>
        </is>
      </c>
      <c r="E440" t="inlineStr">
        <is>
          <t>UPPSALA</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12172-2021</t>
        </is>
      </c>
      <c r="B441" s="1" t="n">
        <v>44266</v>
      </c>
      <c r="C441" s="1" t="n">
        <v>45664</v>
      </c>
      <c r="D441" t="inlineStr">
        <is>
          <t>UPPSALA LÄN</t>
        </is>
      </c>
      <c r="E441" t="inlineStr">
        <is>
          <t>UPPSALA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12194-2021</t>
        </is>
      </c>
      <c r="B442" s="1" t="n">
        <v>44266</v>
      </c>
      <c r="C442" s="1" t="n">
        <v>45664</v>
      </c>
      <c r="D442" t="inlineStr">
        <is>
          <t>UPPSALA LÄN</t>
        </is>
      </c>
      <c r="E442" t="inlineStr">
        <is>
          <t>UPPSALA</t>
        </is>
      </c>
      <c r="F442" t="inlineStr">
        <is>
          <t>Bergvik skog öst AB</t>
        </is>
      </c>
      <c r="G442" t="n">
        <v>2.1</v>
      </c>
      <c r="H442" t="n">
        <v>0</v>
      </c>
      <c r="I442" t="n">
        <v>0</v>
      </c>
      <c r="J442" t="n">
        <v>0</v>
      </c>
      <c r="K442" t="n">
        <v>0</v>
      </c>
      <c r="L442" t="n">
        <v>0</v>
      </c>
      <c r="M442" t="n">
        <v>0</v>
      </c>
      <c r="N442" t="n">
        <v>0</v>
      </c>
      <c r="O442" t="n">
        <v>0</v>
      </c>
      <c r="P442" t="n">
        <v>0</v>
      </c>
      <c r="Q442" t="n">
        <v>0</v>
      </c>
      <c r="R442" s="2" t="inlineStr"/>
    </row>
    <row r="443" ht="15" customHeight="1">
      <c r="A443" t="inlineStr">
        <is>
          <t>A 12313-2021</t>
        </is>
      </c>
      <c r="B443" s="1" t="n">
        <v>44266</v>
      </c>
      <c r="C443" s="1" t="n">
        <v>45664</v>
      </c>
      <c r="D443" t="inlineStr">
        <is>
          <t>UPPSALA LÄN</t>
        </is>
      </c>
      <c r="E443" t="inlineStr">
        <is>
          <t>UPPSALA</t>
        </is>
      </c>
      <c r="G443" t="n">
        <v>23.6</v>
      </c>
      <c r="H443" t="n">
        <v>0</v>
      </c>
      <c r="I443" t="n">
        <v>0</v>
      </c>
      <c r="J443" t="n">
        <v>0</v>
      </c>
      <c r="K443" t="n">
        <v>0</v>
      </c>
      <c r="L443" t="n">
        <v>0</v>
      </c>
      <c r="M443" t="n">
        <v>0</v>
      </c>
      <c r="N443" t="n">
        <v>0</v>
      </c>
      <c r="O443" t="n">
        <v>0</v>
      </c>
      <c r="P443" t="n">
        <v>0</v>
      </c>
      <c r="Q443" t="n">
        <v>0</v>
      </c>
      <c r="R443" s="2" t="inlineStr"/>
    </row>
    <row r="444" ht="15" customHeight="1">
      <c r="A444" t="inlineStr">
        <is>
          <t>A 13010-2021</t>
        </is>
      </c>
      <c r="B444" s="1" t="n">
        <v>44271</v>
      </c>
      <c r="C444" s="1" t="n">
        <v>45664</v>
      </c>
      <c r="D444" t="inlineStr">
        <is>
          <t>UPPSALA LÄN</t>
        </is>
      </c>
      <c r="E444" t="inlineStr">
        <is>
          <t>UPPSALA</t>
        </is>
      </c>
      <c r="F444" t="inlineStr">
        <is>
          <t>Bergvik skog öst AB</t>
        </is>
      </c>
      <c r="G444" t="n">
        <v>2</v>
      </c>
      <c r="H444" t="n">
        <v>0</v>
      </c>
      <c r="I444" t="n">
        <v>0</v>
      </c>
      <c r="J444" t="n">
        <v>0</v>
      </c>
      <c r="K444" t="n">
        <v>0</v>
      </c>
      <c r="L444" t="n">
        <v>0</v>
      </c>
      <c r="M444" t="n">
        <v>0</v>
      </c>
      <c r="N444" t="n">
        <v>0</v>
      </c>
      <c r="O444" t="n">
        <v>0</v>
      </c>
      <c r="P444" t="n">
        <v>0</v>
      </c>
      <c r="Q444" t="n">
        <v>0</v>
      </c>
      <c r="R444" s="2" t="inlineStr"/>
    </row>
    <row r="445" ht="15" customHeight="1">
      <c r="A445" t="inlineStr">
        <is>
          <t>A 13420-2021</t>
        </is>
      </c>
      <c r="B445" s="1" t="n">
        <v>44273</v>
      </c>
      <c r="C445" s="1" t="n">
        <v>45664</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14026-2021</t>
        </is>
      </c>
      <c r="B446" s="1" t="n">
        <v>44277</v>
      </c>
      <c r="C446" s="1" t="n">
        <v>45664</v>
      </c>
      <c r="D446" t="inlineStr">
        <is>
          <t>UPPSALA LÄN</t>
        </is>
      </c>
      <c r="E446" t="inlineStr">
        <is>
          <t>UPPSALA</t>
        </is>
      </c>
      <c r="G446" t="n">
        <v>3.5</v>
      </c>
      <c r="H446" t="n">
        <v>0</v>
      </c>
      <c r="I446" t="n">
        <v>0</v>
      </c>
      <c r="J446" t="n">
        <v>0</v>
      </c>
      <c r="K446" t="n">
        <v>0</v>
      </c>
      <c r="L446" t="n">
        <v>0</v>
      </c>
      <c r="M446" t="n">
        <v>0</v>
      </c>
      <c r="N446" t="n">
        <v>0</v>
      </c>
      <c r="O446" t="n">
        <v>0</v>
      </c>
      <c r="P446" t="n">
        <v>0</v>
      </c>
      <c r="Q446" t="n">
        <v>0</v>
      </c>
      <c r="R446" s="2" t="inlineStr"/>
    </row>
    <row r="447" ht="15" customHeight="1">
      <c r="A447" t="inlineStr">
        <is>
          <t>A 14022-2021</t>
        </is>
      </c>
      <c r="B447" s="1" t="n">
        <v>44277</v>
      </c>
      <c r="C447" s="1" t="n">
        <v>45664</v>
      </c>
      <c r="D447" t="inlineStr">
        <is>
          <t>UPPSALA LÄN</t>
        </is>
      </c>
      <c r="E447" t="inlineStr">
        <is>
          <t>UPPSALA</t>
        </is>
      </c>
      <c r="G447" t="n">
        <v>11.1</v>
      </c>
      <c r="H447" t="n">
        <v>0</v>
      </c>
      <c r="I447" t="n">
        <v>0</v>
      </c>
      <c r="J447" t="n">
        <v>0</v>
      </c>
      <c r="K447" t="n">
        <v>0</v>
      </c>
      <c r="L447" t="n">
        <v>0</v>
      </c>
      <c r="M447" t="n">
        <v>0</v>
      </c>
      <c r="N447" t="n">
        <v>0</v>
      </c>
      <c r="O447" t="n">
        <v>0</v>
      </c>
      <c r="P447" t="n">
        <v>0</v>
      </c>
      <c r="Q447" t="n">
        <v>0</v>
      </c>
      <c r="R447" s="2" t="inlineStr"/>
    </row>
    <row r="448" ht="15" customHeight="1">
      <c r="A448" t="inlineStr">
        <is>
          <t>A 14341-2021</t>
        </is>
      </c>
      <c r="B448" s="1" t="n">
        <v>44279</v>
      </c>
      <c r="C448" s="1" t="n">
        <v>45664</v>
      </c>
      <c r="D448" t="inlineStr">
        <is>
          <t>UPPSALA LÄN</t>
        </is>
      </c>
      <c r="E448" t="inlineStr">
        <is>
          <t>UPPSALA</t>
        </is>
      </c>
      <c r="G448" t="n">
        <v>8.9</v>
      </c>
      <c r="H448" t="n">
        <v>0</v>
      </c>
      <c r="I448" t="n">
        <v>0</v>
      </c>
      <c r="J448" t="n">
        <v>0</v>
      </c>
      <c r="K448" t="n">
        <v>0</v>
      </c>
      <c r="L448" t="n">
        <v>0</v>
      </c>
      <c r="M448" t="n">
        <v>0</v>
      </c>
      <c r="N448" t="n">
        <v>0</v>
      </c>
      <c r="O448" t="n">
        <v>0</v>
      </c>
      <c r="P448" t="n">
        <v>0</v>
      </c>
      <c r="Q448" t="n">
        <v>0</v>
      </c>
      <c r="R448" s="2" t="inlineStr"/>
    </row>
    <row r="449" ht="15" customHeight="1">
      <c r="A449" t="inlineStr">
        <is>
          <t>A 14941-2021</t>
        </is>
      </c>
      <c r="B449" s="1" t="n">
        <v>44281</v>
      </c>
      <c r="C449" s="1" t="n">
        <v>45664</v>
      </c>
      <c r="D449" t="inlineStr">
        <is>
          <t>UPPSALA LÄN</t>
        </is>
      </c>
      <c r="E449" t="inlineStr">
        <is>
          <t>UPPSALA</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15816-2021</t>
        </is>
      </c>
      <c r="B450" s="1" t="n">
        <v>44286</v>
      </c>
      <c r="C450" s="1" t="n">
        <v>45664</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15820-2021</t>
        </is>
      </c>
      <c r="B451" s="1" t="n">
        <v>44286</v>
      </c>
      <c r="C451" s="1" t="n">
        <v>45664</v>
      </c>
      <c r="D451" t="inlineStr">
        <is>
          <t>UPPSALA LÄN</t>
        </is>
      </c>
      <c r="E451" t="inlineStr">
        <is>
          <t>UPPSALA</t>
        </is>
      </c>
      <c r="G451" t="n">
        <v>2.1</v>
      </c>
      <c r="H451" t="n">
        <v>0</v>
      </c>
      <c r="I451" t="n">
        <v>0</v>
      </c>
      <c r="J451" t="n">
        <v>0</v>
      </c>
      <c r="K451" t="n">
        <v>0</v>
      </c>
      <c r="L451" t="n">
        <v>0</v>
      </c>
      <c r="M451" t="n">
        <v>0</v>
      </c>
      <c r="N451" t="n">
        <v>0</v>
      </c>
      <c r="O451" t="n">
        <v>0</v>
      </c>
      <c r="P451" t="n">
        <v>0</v>
      </c>
      <c r="Q451" t="n">
        <v>0</v>
      </c>
      <c r="R451" s="2" t="inlineStr"/>
    </row>
    <row r="452" ht="15" customHeight="1">
      <c r="A452" t="inlineStr">
        <is>
          <t>A 16592-2021</t>
        </is>
      </c>
      <c r="B452" s="1" t="n">
        <v>44294</v>
      </c>
      <c r="C452" s="1" t="n">
        <v>45664</v>
      </c>
      <c r="D452" t="inlineStr">
        <is>
          <t>UPPSALA LÄN</t>
        </is>
      </c>
      <c r="E452" t="inlineStr">
        <is>
          <t>UPPSALA</t>
        </is>
      </c>
      <c r="F452" t="inlineStr">
        <is>
          <t>Övriga Aktiebolag</t>
        </is>
      </c>
      <c r="G452" t="n">
        <v>1.6</v>
      </c>
      <c r="H452" t="n">
        <v>0</v>
      </c>
      <c r="I452" t="n">
        <v>0</v>
      </c>
      <c r="J452" t="n">
        <v>0</v>
      </c>
      <c r="K452" t="n">
        <v>0</v>
      </c>
      <c r="L452" t="n">
        <v>0</v>
      </c>
      <c r="M452" t="n">
        <v>0</v>
      </c>
      <c r="N452" t="n">
        <v>0</v>
      </c>
      <c r="O452" t="n">
        <v>0</v>
      </c>
      <c r="P452" t="n">
        <v>0</v>
      </c>
      <c r="Q452" t="n">
        <v>0</v>
      </c>
      <c r="R452" s="2" t="inlineStr"/>
    </row>
    <row r="453" ht="15" customHeight="1">
      <c r="A453" t="inlineStr">
        <is>
          <t>A 16615-2021</t>
        </is>
      </c>
      <c r="B453" s="1" t="n">
        <v>44294</v>
      </c>
      <c r="C453" s="1" t="n">
        <v>45664</v>
      </c>
      <c r="D453" t="inlineStr">
        <is>
          <t>UPPSALA LÄN</t>
        </is>
      </c>
      <c r="E453" t="inlineStr">
        <is>
          <t>UPPSALA</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16684-2021</t>
        </is>
      </c>
      <c r="B454" s="1" t="n">
        <v>44294</v>
      </c>
      <c r="C454" s="1" t="n">
        <v>45664</v>
      </c>
      <c r="D454" t="inlineStr">
        <is>
          <t>UPPSALA LÄN</t>
        </is>
      </c>
      <c r="E454" t="inlineStr">
        <is>
          <t>UPPSALA</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17262-2021</t>
        </is>
      </c>
      <c r="B455" s="1" t="n">
        <v>44297</v>
      </c>
      <c r="C455" s="1" t="n">
        <v>45664</v>
      </c>
      <c r="D455" t="inlineStr">
        <is>
          <t>UPPSALA LÄN</t>
        </is>
      </c>
      <c r="E455" t="inlineStr">
        <is>
          <t>UPPSALA</t>
        </is>
      </c>
      <c r="F455" t="inlineStr">
        <is>
          <t>Allmännings- och besparingsskogar</t>
        </is>
      </c>
      <c r="G455" t="n">
        <v>1</v>
      </c>
      <c r="H455" t="n">
        <v>0</v>
      </c>
      <c r="I455" t="n">
        <v>0</v>
      </c>
      <c r="J455" t="n">
        <v>0</v>
      </c>
      <c r="K455" t="n">
        <v>0</v>
      </c>
      <c r="L455" t="n">
        <v>0</v>
      </c>
      <c r="M455" t="n">
        <v>0</v>
      </c>
      <c r="N455" t="n">
        <v>0</v>
      </c>
      <c r="O455" t="n">
        <v>0</v>
      </c>
      <c r="P455" t="n">
        <v>0</v>
      </c>
      <c r="Q455" t="n">
        <v>0</v>
      </c>
      <c r="R455" s="2" t="inlineStr"/>
    </row>
    <row r="456" ht="15" customHeight="1">
      <c r="A456" t="inlineStr">
        <is>
          <t>A 17250-2021</t>
        </is>
      </c>
      <c r="B456" s="1" t="n">
        <v>44297</v>
      </c>
      <c r="C456" s="1" t="n">
        <v>45664</v>
      </c>
      <c r="D456" t="inlineStr">
        <is>
          <t>UPPSALA LÄN</t>
        </is>
      </c>
      <c r="E456" t="inlineStr">
        <is>
          <t>UPPSALA</t>
        </is>
      </c>
      <c r="G456" t="n">
        <v>3.6</v>
      </c>
      <c r="H456" t="n">
        <v>0</v>
      </c>
      <c r="I456" t="n">
        <v>0</v>
      </c>
      <c r="J456" t="n">
        <v>0</v>
      </c>
      <c r="K456" t="n">
        <v>0</v>
      </c>
      <c r="L456" t="n">
        <v>0</v>
      </c>
      <c r="M456" t="n">
        <v>0</v>
      </c>
      <c r="N456" t="n">
        <v>0</v>
      </c>
      <c r="O456" t="n">
        <v>0</v>
      </c>
      <c r="P456" t="n">
        <v>0</v>
      </c>
      <c r="Q456" t="n">
        <v>0</v>
      </c>
      <c r="R456" s="2" t="inlineStr"/>
    </row>
    <row r="457" ht="15" customHeight="1">
      <c r="A457" t="inlineStr">
        <is>
          <t>A 17536-2021</t>
        </is>
      </c>
      <c r="B457" s="1" t="n">
        <v>44299</v>
      </c>
      <c r="C457" s="1" t="n">
        <v>45664</v>
      </c>
      <c r="D457" t="inlineStr">
        <is>
          <t>UPPSALA LÄN</t>
        </is>
      </c>
      <c r="E457" t="inlineStr">
        <is>
          <t>UPPSALA</t>
        </is>
      </c>
      <c r="F457" t="inlineStr">
        <is>
          <t>Holmen skog AB</t>
        </is>
      </c>
      <c r="G457" t="n">
        <v>7.6</v>
      </c>
      <c r="H457" t="n">
        <v>0</v>
      </c>
      <c r="I457" t="n">
        <v>0</v>
      </c>
      <c r="J457" t="n">
        <v>0</v>
      </c>
      <c r="K457" t="n">
        <v>0</v>
      </c>
      <c r="L457" t="n">
        <v>0</v>
      </c>
      <c r="M457" t="n">
        <v>0</v>
      </c>
      <c r="N457" t="n">
        <v>0</v>
      </c>
      <c r="O457" t="n">
        <v>0</v>
      </c>
      <c r="P457" t="n">
        <v>0</v>
      </c>
      <c r="Q457" t="n">
        <v>0</v>
      </c>
      <c r="R457" s="2" t="inlineStr"/>
    </row>
    <row r="458" ht="15" customHeight="1">
      <c r="A458" t="inlineStr">
        <is>
          <t>A 18906-2021</t>
        </is>
      </c>
      <c r="B458" s="1" t="n">
        <v>44308</v>
      </c>
      <c r="C458" s="1" t="n">
        <v>45664</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19927-2021</t>
        </is>
      </c>
      <c r="B459" s="1" t="n">
        <v>44313</v>
      </c>
      <c r="C459" s="1" t="n">
        <v>45664</v>
      </c>
      <c r="D459" t="inlineStr">
        <is>
          <t>UPPSALA LÄN</t>
        </is>
      </c>
      <c r="E459" t="inlineStr">
        <is>
          <t>UPPSALA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19947-2021</t>
        </is>
      </c>
      <c r="B460" s="1" t="n">
        <v>44313</v>
      </c>
      <c r="C460" s="1" t="n">
        <v>45664</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20276-2021</t>
        </is>
      </c>
      <c r="B461" s="1" t="n">
        <v>44314</v>
      </c>
      <c r="C461" s="1" t="n">
        <v>45664</v>
      </c>
      <c r="D461" t="inlineStr">
        <is>
          <t>UPPSALA LÄN</t>
        </is>
      </c>
      <c r="E461" t="inlineStr">
        <is>
          <t>UPPSALA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20271-2021</t>
        </is>
      </c>
      <c r="B462" s="1" t="n">
        <v>44314</v>
      </c>
      <c r="C462" s="1" t="n">
        <v>45664</v>
      </c>
      <c r="D462" t="inlineStr">
        <is>
          <t>UPPSALA LÄN</t>
        </is>
      </c>
      <c r="E462" t="inlineStr">
        <is>
          <t>UPPSALA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20609-2021</t>
        </is>
      </c>
      <c r="B463" s="1" t="n">
        <v>44316</v>
      </c>
      <c r="C463" s="1" t="n">
        <v>45664</v>
      </c>
      <c r="D463" t="inlineStr">
        <is>
          <t>UPPSALA LÄN</t>
        </is>
      </c>
      <c r="E463" t="inlineStr">
        <is>
          <t>UPPSALA</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22070-2021</t>
        </is>
      </c>
      <c r="B464" s="1" t="n">
        <v>44323</v>
      </c>
      <c r="C464" s="1" t="n">
        <v>45664</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22946-2021</t>
        </is>
      </c>
      <c r="B465" s="1" t="n">
        <v>44328</v>
      </c>
      <c r="C465" s="1" t="n">
        <v>45664</v>
      </c>
      <c r="D465" t="inlineStr">
        <is>
          <t>UPPSALA LÄN</t>
        </is>
      </c>
      <c r="E465" t="inlineStr">
        <is>
          <t>UPPSALA</t>
        </is>
      </c>
      <c r="G465" t="n">
        <v>2.3</v>
      </c>
      <c r="H465" t="n">
        <v>0</v>
      </c>
      <c r="I465" t="n">
        <v>0</v>
      </c>
      <c r="J465" t="n">
        <v>0</v>
      </c>
      <c r="K465" t="n">
        <v>0</v>
      </c>
      <c r="L465" t="n">
        <v>0</v>
      </c>
      <c r="M465" t="n">
        <v>0</v>
      </c>
      <c r="N465" t="n">
        <v>0</v>
      </c>
      <c r="O465" t="n">
        <v>0</v>
      </c>
      <c r="P465" t="n">
        <v>0</v>
      </c>
      <c r="Q465" t="n">
        <v>0</v>
      </c>
      <c r="R465" s="2" t="inlineStr"/>
    </row>
    <row r="466" ht="15" customHeight="1">
      <c r="A466" t="inlineStr">
        <is>
          <t>A 23877-2021</t>
        </is>
      </c>
      <c r="B466" s="1" t="n">
        <v>44335</v>
      </c>
      <c r="C466" s="1" t="n">
        <v>45664</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25613-2021</t>
        </is>
      </c>
      <c r="B467" s="1" t="n">
        <v>44343</v>
      </c>
      <c r="C467" s="1" t="n">
        <v>45664</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26785-2021</t>
        </is>
      </c>
      <c r="B468" s="1" t="n">
        <v>44349</v>
      </c>
      <c r="C468" s="1" t="n">
        <v>45664</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27365-2021</t>
        </is>
      </c>
      <c r="B469" s="1" t="n">
        <v>44351</v>
      </c>
      <c r="C469" s="1" t="n">
        <v>45664</v>
      </c>
      <c r="D469" t="inlineStr">
        <is>
          <t>UPPSALA LÄN</t>
        </is>
      </c>
      <c r="E469" t="inlineStr">
        <is>
          <t>UPPSALA</t>
        </is>
      </c>
      <c r="F469" t="inlineStr">
        <is>
          <t>Allmännings- och besparingsskogar</t>
        </is>
      </c>
      <c r="G469" t="n">
        <v>20.5</v>
      </c>
      <c r="H469" t="n">
        <v>0</v>
      </c>
      <c r="I469" t="n">
        <v>0</v>
      </c>
      <c r="J469" t="n">
        <v>0</v>
      </c>
      <c r="K469" t="n">
        <v>0</v>
      </c>
      <c r="L469" t="n">
        <v>0</v>
      </c>
      <c r="M469" t="n">
        <v>0</v>
      </c>
      <c r="N469" t="n">
        <v>0</v>
      </c>
      <c r="O469" t="n">
        <v>0</v>
      </c>
      <c r="P469" t="n">
        <v>0</v>
      </c>
      <c r="Q469" t="n">
        <v>0</v>
      </c>
      <c r="R469" s="2" t="inlineStr"/>
    </row>
    <row r="470" ht="15" customHeight="1">
      <c r="A470" t="inlineStr">
        <is>
          <t>A 28694-2021</t>
        </is>
      </c>
      <c r="B470" s="1" t="n">
        <v>44357</v>
      </c>
      <c r="C470" s="1" t="n">
        <v>45664</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29145-2021</t>
        </is>
      </c>
      <c r="B471" s="1" t="n">
        <v>44358</v>
      </c>
      <c r="C471" s="1" t="n">
        <v>45664</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30655-2021</t>
        </is>
      </c>
      <c r="B472" s="1" t="n">
        <v>44365</v>
      </c>
      <c r="C472" s="1" t="n">
        <v>45664</v>
      </c>
      <c r="D472" t="inlineStr">
        <is>
          <t>UPPSALA LÄN</t>
        </is>
      </c>
      <c r="E472" t="inlineStr">
        <is>
          <t>UPPSALA</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30656-2021</t>
        </is>
      </c>
      <c r="B473" s="1" t="n">
        <v>44365</v>
      </c>
      <c r="C473" s="1" t="n">
        <v>45664</v>
      </c>
      <c r="D473" t="inlineStr">
        <is>
          <t>UPPSALA LÄN</t>
        </is>
      </c>
      <c r="E473" t="inlineStr">
        <is>
          <t>UPPSALA</t>
        </is>
      </c>
      <c r="G473" t="n">
        <v>6.7</v>
      </c>
      <c r="H473" t="n">
        <v>0</v>
      </c>
      <c r="I473" t="n">
        <v>0</v>
      </c>
      <c r="J473" t="n">
        <v>0</v>
      </c>
      <c r="K473" t="n">
        <v>0</v>
      </c>
      <c r="L473" t="n">
        <v>0</v>
      </c>
      <c r="M473" t="n">
        <v>0</v>
      </c>
      <c r="N473" t="n">
        <v>0</v>
      </c>
      <c r="O473" t="n">
        <v>0</v>
      </c>
      <c r="P473" t="n">
        <v>0</v>
      </c>
      <c r="Q473" t="n">
        <v>0</v>
      </c>
      <c r="R473" s="2" t="inlineStr"/>
    </row>
    <row r="474" ht="15" customHeight="1">
      <c r="A474" t="inlineStr">
        <is>
          <t>A 31646-2021</t>
        </is>
      </c>
      <c r="B474" s="1" t="n">
        <v>44369</v>
      </c>
      <c r="C474" s="1" t="n">
        <v>45664</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31662-2021</t>
        </is>
      </c>
      <c r="B475" s="1" t="n">
        <v>44369</v>
      </c>
      <c r="C475" s="1" t="n">
        <v>45664</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31829-2021</t>
        </is>
      </c>
      <c r="B476" s="1" t="n">
        <v>44370</v>
      </c>
      <c r="C476" s="1" t="n">
        <v>45664</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32276-2021</t>
        </is>
      </c>
      <c r="B477" s="1" t="n">
        <v>44371</v>
      </c>
      <c r="C477" s="1" t="n">
        <v>45664</v>
      </c>
      <c r="D477" t="inlineStr">
        <is>
          <t>UPPSALA LÄN</t>
        </is>
      </c>
      <c r="E477" t="inlineStr">
        <is>
          <t>UPPSALA</t>
        </is>
      </c>
      <c r="G477" t="n">
        <v>3.7</v>
      </c>
      <c r="H477" t="n">
        <v>0</v>
      </c>
      <c r="I477" t="n">
        <v>0</v>
      </c>
      <c r="J477" t="n">
        <v>0</v>
      </c>
      <c r="K477" t="n">
        <v>0</v>
      </c>
      <c r="L477" t="n">
        <v>0</v>
      </c>
      <c r="M477" t="n">
        <v>0</v>
      </c>
      <c r="N477" t="n">
        <v>0</v>
      </c>
      <c r="O477" t="n">
        <v>0</v>
      </c>
      <c r="P477" t="n">
        <v>0</v>
      </c>
      <c r="Q477" t="n">
        <v>0</v>
      </c>
      <c r="R477" s="2" t="inlineStr"/>
    </row>
    <row r="478" ht="15" customHeight="1">
      <c r="A478" t="inlineStr">
        <is>
          <t>A 32428-2021</t>
        </is>
      </c>
      <c r="B478" s="1" t="n">
        <v>44371</v>
      </c>
      <c r="C478" s="1" t="n">
        <v>45664</v>
      </c>
      <c r="D478" t="inlineStr">
        <is>
          <t>UPPSALA LÄN</t>
        </is>
      </c>
      <c r="E478" t="inlineStr">
        <is>
          <t>UPPSALA</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32955-2021</t>
        </is>
      </c>
      <c r="B479" s="1" t="n">
        <v>44376</v>
      </c>
      <c r="C479" s="1" t="n">
        <v>45664</v>
      </c>
      <c r="D479" t="inlineStr">
        <is>
          <t>UPPSALA LÄN</t>
        </is>
      </c>
      <c r="E479" t="inlineStr">
        <is>
          <t>UPPSALA</t>
        </is>
      </c>
      <c r="F479" t="inlineStr">
        <is>
          <t>Bergvik skog öst AB</t>
        </is>
      </c>
      <c r="G479" t="n">
        <v>10</v>
      </c>
      <c r="H479" t="n">
        <v>0</v>
      </c>
      <c r="I479" t="n">
        <v>0</v>
      </c>
      <c r="J479" t="n">
        <v>0</v>
      </c>
      <c r="K479" t="n">
        <v>0</v>
      </c>
      <c r="L479" t="n">
        <v>0</v>
      </c>
      <c r="M479" t="n">
        <v>0</v>
      </c>
      <c r="N479" t="n">
        <v>0</v>
      </c>
      <c r="O479" t="n">
        <v>0</v>
      </c>
      <c r="P479" t="n">
        <v>0</v>
      </c>
      <c r="Q479" t="n">
        <v>0</v>
      </c>
      <c r="R479" s="2" t="inlineStr"/>
    </row>
    <row r="480" ht="15" customHeight="1">
      <c r="A480" t="inlineStr">
        <is>
          <t>A 33797-2021</t>
        </is>
      </c>
      <c r="B480" s="1" t="n">
        <v>44378</v>
      </c>
      <c r="C480" s="1" t="n">
        <v>45664</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33920-2021</t>
        </is>
      </c>
      <c r="B481" s="1" t="n">
        <v>44378</v>
      </c>
      <c r="C481" s="1" t="n">
        <v>45664</v>
      </c>
      <c r="D481" t="inlineStr">
        <is>
          <t>UPPSALA LÄN</t>
        </is>
      </c>
      <c r="E481" t="inlineStr">
        <is>
          <t>UPPSALA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34020-2021</t>
        </is>
      </c>
      <c r="B482" s="1" t="n">
        <v>44379</v>
      </c>
      <c r="C482" s="1" t="n">
        <v>45664</v>
      </c>
      <c r="D482" t="inlineStr">
        <is>
          <t>UPPSALA LÄN</t>
        </is>
      </c>
      <c r="E482" t="inlineStr">
        <is>
          <t>UPPSALA</t>
        </is>
      </c>
      <c r="G482" t="n">
        <v>1.9</v>
      </c>
      <c r="H482" t="n">
        <v>0</v>
      </c>
      <c r="I482" t="n">
        <v>0</v>
      </c>
      <c r="J482" t="n">
        <v>0</v>
      </c>
      <c r="K482" t="n">
        <v>0</v>
      </c>
      <c r="L482" t="n">
        <v>0</v>
      </c>
      <c r="M482" t="n">
        <v>0</v>
      </c>
      <c r="N482" t="n">
        <v>0</v>
      </c>
      <c r="O482" t="n">
        <v>0</v>
      </c>
      <c r="P482" t="n">
        <v>0</v>
      </c>
      <c r="Q482" t="n">
        <v>0</v>
      </c>
      <c r="R482" s="2" t="inlineStr"/>
    </row>
    <row r="483" ht="15" customHeight="1">
      <c r="A483" t="inlineStr">
        <is>
          <t>A 34039-2021</t>
        </is>
      </c>
      <c r="B483" s="1" t="n">
        <v>44379</v>
      </c>
      <c r="C483" s="1" t="n">
        <v>45664</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34043-2021</t>
        </is>
      </c>
      <c r="B484" s="1" t="n">
        <v>44379</v>
      </c>
      <c r="C484" s="1" t="n">
        <v>45664</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34265-2021</t>
        </is>
      </c>
      <c r="B485" s="1" t="n">
        <v>44379</v>
      </c>
      <c r="C485" s="1" t="n">
        <v>45664</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34249-2021</t>
        </is>
      </c>
      <c r="B486" s="1" t="n">
        <v>44379</v>
      </c>
      <c r="C486" s="1" t="n">
        <v>45664</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34243-2021</t>
        </is>
      </c>
      <c r="B487" s="1" t="n">
        <v>44379</v>
      </c>
      <c r="C487" s="1" t="n">
        <v>45664</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34263-2021</t>
        </is>
      </c>
      <c r="B488" s="1" t="n">
        <v>44379</v>
      </c>
      <c r="C488" s="1" t="n">
        <v>45664</v>
      </c>
      <c r="D488" t="inlineStr">
        <is>
          <t>UPPSALA LÄN</t>
        </is>
      </c>
      <c r="E488" t="inlineStr">
        <is>
          <t>UPPSALA</t>
        </is>
      </c>
      <c r="G488" t="n">
        <v>5.8</v>
      </c>
      <c r="H488" t="n">
        <v>0</v>
      </c>
      <c r="I488" t="n">
        <v>0</v>
      </c>
      <c r="J488" t="n">
        <v>0</v>
      </c>
      <c r="K488" t="n">
        <v>0</v>
      </c>
      <c r="L488" t="n">
        <v>0</v>
      </c>
      <c r="M488" t="n">
        <v>0</v>
      </c>
      <c r="N488" t="n">
        <v>0</v>
      </c>
      <c r="O488" t="n">
        <v>0</v>
      </c>
      <c r="P488" t="n">
        <v>0</v>
      </c>
      <c r="Q488" t="n">
        <v>0</v>
      </c>
      <c r="R488" s="2" t="inlineStr"/>
    </row>
    <row r="489" ht="15" customHeight="1">
      <c r="A489" t="inlineStr">
        <is>
          <t>A 34838-2021</t>
        </is>
      </c>
      <c r="B489" s="1" t="n">
        <v>44383</v>
      </c>
      <c r="C489" s="1" t="n">
        <v>45664</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34825-2021</t>
        </is>
      </c>
      <c r="B490" s="1" t="n">
        <v>44383</v>
      </c>
      <c r="C490" s="1" t="n">
        <v>45664</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35630-2021</t>
        </is>
      </c>
      <c r="B491" s="1" t="n">
        <v>44386</v>
      </c>
      <c r="C491" s="1" t="n">
        <v>45664</v>
      </c>
      <c r="D491" t="inlineStr">
        <is>
          <t>UPPSALA LÄN</t>
        </is>
      </c>
      <c r="E491" t="inlineStr">
        <is>
          <t>UPPSALA</t>
        </is>
      </c>
      <c r="G491" t="n">
        <v>6</v>
      </c>
      <c r="H491" t="n">
        <v>0</v>
      </c>
      <c r="I491" t="n">
        <v>0</v>
      </c>
      <c r="J491" t="n">
        <v>0</v>
      </c>
      <c r="K491" t="n">
        <v>0</v>
      </c>
      <c r="L491" t="n">
        <v>0</v>
      </c>
      <c r="M491" t="n">
        <v>0</v>
      </c>
      <c r="N491" t="n">
        <v>0</v>
      </c>
      <c r="O491" t="n">
        <v>0</v>
      </c>
      <c r="P491" t="n">
        <v>0</v>
      </c>
      <c r="Q491" t="n">
        <v>0</v>
      </c>
      <c r="R491" s="2" t="inlineStr"/>
    </row>
    <row r="492" ht="15" customHeight="1">
      <c r="A492" t="inlineStr">
        <is>
          <t>A 36304-2021</t>
        </is>
      </c>
      <c r="B492" s="1" t="n">
        <v>44390</v>
      </c>
      <c r="C492" s="1" t="n">
        <v>45664</v>
      </c>
      <c r="D492" t="inlineStr">
        <is>
          <t>UPPSALA LÄN</t>
        </is>
      </c>
      <c r="E492" t="inlineStr">
        <is>
          <t>UPPSALA</t>
        </is>
      </c>
      <c r="G492" t="n">
        <v>7.4</v>
      </c>
      <c r="H492" t="n">
        <v>0</v>
      </c>
      <c r="I492" t="n">
        <v>0</v>
      </c>
      <c r="J492" t="n">
        <v>0</v>
      </c>
      <c r="K492" t="n">
        <v>0</v>
      </c>
      <c r="L492" t="n">
        <v>0</v>
      </c>
      <c r="M492" t="n">
        <v>0</v>
      </c>
      <c r="N492" t="n">
        <v>0</v>
      </c>
      <c r="O492" t="n">
        <v>0</v>
      </c>
      <c r="P492" t="n">
        <v>0</v>
      </c>
      <c r="Q492" t="n">
        <v>0</v>
      </c>
      <c r="R492" s="2" t="inlineStr"/>
    </row>
    <row r="493" ht="15" customHeight="1">
      <c r="A493" t="inlineStr">
        <is>
          <t>A 36721-2021</t>
        </is>
      </c>
      <c r="B493" s="1" t="n">
        <v>44392</v>
      </c>
      <c r="C493" s="1" t="n">
        <v>45664</v>
      </c>
      <c r="D493" t="inlineStr">
        <is>
          <t>UPPSALA LÄN</t>
        </is>
      </c>
      <c r="E493" t="inlineStr">
        <is>
          <t>UPPSALA</t>
        </is>
      </c>
      <c r="F493" t="inlineStr">
        <is>
          <t>Bergvik skog öst AB</t>
        </is>
      </c>
      <c r="G493" t="n">
        <v>5.8</v>
      </c>
      <c r="H493" t="n">
        <v>0</v>
      </c>
      <c r="I493" t="n">
        <v>0</v>
      </c>
      <c r="J493" t="n">
        <v>0</v>
      </c>
      <c r="K493" t="n">
        <v>0</v>
      </c>
      <c r="L493" t="n">
        <v>0</v>
      </c>
      <c r="M493" t="n">
        <v>0</v>
      </c>
      <c r="N493" t="n">
        <v>0</v>
      </c>
      <c r="O493" t="n">
        <v>0</v>
      </c>
      <c r="P493" t="n">
        <v>0</v>
      </c>
      <c r="Q493" t="n">
        <v>0</v>
      </c>
      <c r="R493" s="2" t="inlineStr"/>
    </row>
    <row r="494" ht="15" customHeight="1">
      <c r="A494" t="inlineStr">
        <is>
          <t>A 36998-2021</t>
        </is>
      </c>
      <c r="B494" s="1" t="n">
        <v>44393</v>
      </c>
      <c r="C494" s="1" t="n">
        <v>45664</v>
      </c>
      <c r="D494" t="inlineStr">
        <is>
          <t>UPPSALA LÄN</t>
        </is>
      </c>
      <c r="E494" t="inlineStr">
        <is>
          <t>UPPSALA</t>
        </is>
      </c>
      <c r="F494" t="inlineStr">
        <is>
          <t>Bergvik skog öst AB</t>
        </is>
      </c>
      <c r="G494" t="n">
        <v>3.5</v>
      </c>
      <c r="H494" t="n">
        <v>0</v>
      </c>
      <c r="I494" t="n">
        <v>0</v>
      </c>
      <c r="J494" t="n">
        <v>0</v>
      </c>
      <c r="K494" t="n">
        <v>0</v>
      </c>
      <c r="L494" t="n">
        <v>0</v>
      </c>
      <c r="M494" t="n">
        <v>0</v>
      </c>
      <c r="N494" t="n">
        <v>0</v>
      </c>
      <c r="O494" t="n">
        <v>0</v>
      </c>
      <c r="P494" t="n">
        <v>0</v>
      </c>
      <c r="Q494" t="n">
        <v>0</v>
      </c>
      <c r="R494" s="2" t="inlineStr"/>
    </row>
    <row r="495" ht="15" customHeight="1">
      <c r="A495" t="inlineStr">
        <is>
          <t>A 37162-2021</t>
        </is>
      </c>
      <c r="B495" s="1" t="n">
        <v>44395</v>
      </c>
      <c r="C495" s="1" t="n">
        <v>45664</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v>
      </c>
      <c r="C496" s="1" t="n">
        <v>45664</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37819-2021</t>
        </is>
      </c>
      <c r="B497" s="1" t="n">
        <v>44403</v>
      </c>
      <c r="C497" s="1" t="n">
        <v>45664</v>
      </c>
      <c r="D497" t="inlineStr">
        <is>
          <t>UPPSALA LÄN</t>
        </is>
      </c>
      <c r="E497" t="inlineStr">
        <is>
          <t>UPPSALA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37820-2021</t>
        </is>
      </c>
      <c r="B498" s="1" t="n">
        <v>44403</v>
      </c>
      <c r="C498" s="1" t="n">
        <v>45664</v>
      </c>
      <c r="D498" t="inlineStr">
        <is>
          <t>UPPSALA LÄN</t>
        </is>
      </c>
      <c r="E498" t="inlineStr">
        <is>
          <t>UPPSALA</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38469-2021</t>
        </is>
      </c>
      <c r="B499" s="1" t="n">
        <v>44407</v>
      </c>
      <c r="C499" s="1" t="n">
        <v>45664</v>
      </c>
      <c r="D499" t="inlineStr">
        <is>
          <t>UPPSALA LÄN</t>
        </is>
      </c>
      <c r="E499" t="inlineStr">
        <is>
          <t>UPPSALA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38463-2021</t>
        </is>
      </c>
      <c r="B500" s="1" t="n">
        <v>44407</v>
      </c>
      <c r="C500" s="1" t="n">
        <v>45664</v>
      </c>
      <c r="D500" t="inlineStr">
        <is>
          <t>UPPSALA LÄN</t>
        </is>
      </c>
      <c r="E500" t="inlineStr">
        <is>
          <t>UPPSALA</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40500-2021</t>
        </is>
      </c>
      <c r="B501" s="1" t="n">
        <v>44420</v>
      </c>
      <c r="C501" s="1" t="n">
        <v>45664</v>
      </c>
      <c r="D501" t="inlineStr">
        <is>
          <t>UPPSALA LÄN</t>
        </is>
      </c>
      <c r="E501" t="inlineStr">
        <is>
          <t>UPPSALA</t>
        </is>
      </c>
      <c r="G501" t="n">
        <v>3.5</v>
      </c>
      <c r="H501" t="n">
        <v>0</v>
      </c>
      <c r="I501" t="n">
        <v>0</v>
      </c>
      <c r="J501" t="n">
        <v>0</v>
      </c>
      <c r="K501" t="n">
        <v>0</v>
      </c>
      <c r="L501" t="n">
        <v>0</v>
      </c>
      <c r="M501" t="n">
        <v>0</v>
      </c>
      <c r="N501" t="n">
        <v>0</v>
      </c>
      <c r="O501" t="n">
        <v>0</v>
      </c>
      <c r="P501" t="n">
        <v>0</v>
      </c>
      <c r="Q501" t="n">
        <v>0</v>
      </c>
      <c r="R501" s="2" t="inlineStr"/>
    </row>
    <row r="502" ht="15" customHeight="1">
      <c r="A502" t="inlineStr">
        <is>
          <t>A 40507-2021</t>
        </is>
      </c>
      <c r="B502" s="1" t="n">
        <v>44420</v>
      </c>
      <c r="C502" s="1" t="n">
        <v>45664</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42124-2021</t>
        </is>
      </c>
      <c r="B503" s="1" t="n">
        <v>44426</v>
      </c>
      <c r="C503" s="1" t="n">
        <v>45664</v>
      </c>
      <c r="D503" t="inlineStr">
        <is>
          <t>UPPSALA LÄN</t>
        </is>
      </c>
      <c r="E503" t="inlineStr">
        <is>
          <t>UPPSALA</t>
        </is>
      </c>
      <c r="G503" t="n">
        <v>6.3</v>
      </c>
      <c r="H503" t="n">
        <v>0</v>
      </c>
      <c r="I503" t="n">
        <v>0</v>
      </c>
      <c r="J503" t="n">
        <v>0</v>
      </c>
      <c r="K503" t="n">
        <v>0</v>
      </c>
      <c r="L503" t="n">
        <v>0</v>
      </c>
      <c r="M503" t="n">
        <v>0</v>
      </c>
      <c r="N503" t="n">
        <v>0</v>
      </c>
      <c r="O503" t="n">
        <v>0</v>
      </c>
      <c r="P503" t="n">
        <v>0</v>
      </c>
      <c r="Q503" t="n">
        <v>0</v>
      </c>
      <c r="R503" s="2" t="inlineStr"/>
    </row>
    <row r="504" ht="15" customHeight="1">
      <c r="A504" t="inlineStr">
        <is>
          <t>A 42294-2021</t>
        </is>
      </c>
      <c r="B504" s="1" t="n">
        <v>44427</v>
      </c>
      <c r="C504" s="1" t="n">
        <v>45664</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44315-2021</t>
        </is>
      </c>
      <c r="B505" s="1" t="n">
        <v>44435</v>
      </c>
      <c r="C505" s="1" t="n">
        <v>45664</v>
      </c>
      <c r="D505" t="inlineStr">
        <is>
          <t>UPPSALA LÄN</t>
        </is>
      </c>
      <c r="E505" t="inlineStr">
        <is>
          <t>UPPSALA</t>
        </is>
      </c>
      <c r="G505" t="n">
        <v>5.2</v>
      </c>
      <c r="H505" t="n">
        <v>0</v>
      </c>
      <c r="I505" t="n">
        <v>0</v>
      </c>
      <c r="J505" t="n">
        <v>0</v>
      </c>
      <c r="K505" t="n">
        <v>0</v>
      </c>
      <c r="L505" t="n">
        <v>0</v>
      </c>
      <c r="M505" t="n">
        <v>0</v>
      </c>
      <c r="N505" t="n">
        <v>0</v>
      </c>
      <c r="O505" t="n">
        <v>0</v>
      </c>
      <c r="P505" t="n">
        <v>0</v>
      </c>
      <c r="Q505" t="n">
        <v>0</v>
      </c>
      <c r="R505" s="2" t="inlineStr"/>
    </row>
    <row r="506" ht="15" customHeight="1">
      <c r="A506" t="inlineStr">
        <is>
          <t>A 44781-2021</t>
        </is>
      </c>
      <c r="B506" s="1" t="n">
        <v>44438</v>
      </c>
      <c r="C506" s="1" t="n">
        <v>45664</v>
      </c>
      <c r="D506" t="inlineStr">
        <is>
          <t>UPPSALA LÄN</t>
        </is>
      </c>
      <c r="E506" t="inlineStr">
        <is>
          <t>UPPSALA</t>
        </is>
      </c>
      <c r="F506" t="inlineStr">
        <is>
          <t>Sveaskog</t>
        </is>
      </c>
      <c r="G506" t="n">
        <v>0.1</v>
      </c>
      <c r="H506" t="n">
        <v>0</v>
      </c>
      <c r="I506" t="n">
        <v>0</v>
      </c>
      <c r="J506" t="n">
        <v>0</v>
      </c>
      <c r="K506" t="n">
        <v>0</v>
      </c>
      <c r="L506" t="n">
        <v>0</v>
      </c>
      <c r="M506" t="n">
        <v>0</v>
      </c>
      <c r="N506" t="n">
        <v>0</v>
      </c>
      <c r="O506" t="n">
        <v>0</v>
      </c>
      <c r="P506" t="n">
        <v>0</v>
      </c>
      <c r="Q506" t="n">
        <v>0</v>
      </c>
      <c r="R506" s="2" t="inlineStr"/>
    </row>
    <row r="507" ht="15" customHeight="1">
      <c r="A507" t="inlineStr">
        <is>
          <t>A 46097-2021</t>
        </is>
      </c>
      <c r="B507" s="1" t="n">
        <v>44442</v>
      </c>
      <c r="C507" s="1" t="n">
        <v>45664</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46099-2021</t>
        </is>
      </c>
      <c r="B508" s="1" t="n">
        <v>44442</v>
      </c>
      <c r="C508" s="1" t="n">
        <v>45664</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46553-2021</t>
        </is>
      </c>
      <c r="B509" s="1" t="n">
        <v>44445</v>
      </c>
      <c r="C509" s="1" t="n">
        <v>45664</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46920-2021</t>
        </is>
      </c>
      <c r="B510" s="1" t="n">
        <v>44446</v>
      </c>
      <c r="C510" s="1" t="n">
        <v>45664</v>
      </c>
      <c r="D510" t="inlineStr">
        <is>
          <t>UPPSALA LÄN</t>
        </is>
      </c>
      <c r="E510" t="inlineStr">
        <is>
          <t>UPPSALA</t>
        </is>
      </c>
      <c r="G510" t="n">
        <v>1.6</v>
      </c>
      <c r="H510" t="n">
        <v>0</v>
      </c>
      <c r="I510" t="n">
        <v>0</v>
      </c>
      <c r="J510" t="n">
        <v>0</v>
      </c>
      <c r="K510" t="n">
        <v>0</v>
      </c>
      <c r="L510" t="n">
        <v>0</v>
      </c>
      <c r="M510" t="n">
        <v>0</v>
      </c>
      <c r="N510" t="n">
        <v>0</v>
      </c>
      <c r="O510" t="n">
        <v>0</v>
      </c>
      <c r="P510" t="n">
        <v>0</v>
      </c>
      <c r="Q510" t="n">
        <v>0</v>
      </c>
      <c r="R510" s="2" t="inlineStr"/>
    </row>
    <row r="511" ht="15" customHeight="1">
      <c r="A511" t="inlineStr">
        <is>
          <t>A 46916-2021</t>
        </is>
      </c>
      <c r="B511" s="1" t="n">
        <v>44446</v>
      </c>
      <c r="C511" s="1" t="n">
        <v>45664</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47367-2021</t>
        </is>
      </c>
      <c r="B512" s="1" t="n">
        <v>44447</v>
      </c>
      <c r="C512" s="1" t="n">
        <v>45664</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48918-2021</t>
        </is>
      </c>
      <c r="B513" s="1" t="n">
        <v>44453</v>
      </c>
      <c r="C513" s="1" t="n">
        <v>45664</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49274-2021</t>
        </is>
      </c>
      <c r="B514" s="1" t="n">
        <v>44454</v>
      </c>
      <c r="C514" s="1" t="n">
        <v>45664</v>
      </c>
      <c r="D514" t="inlineStr">
        <is>
          <t>UPPSALA LÄN</t>
        </is>
      </c>
      <c r="E514" t="inlineStr">
        <is>
          <t>UPPSALA</t>
        </is>
      </c>
      <c r="G514" t="n">
        <v>8.5</v>
      </c>
      <c r="H514" t="n">
        <v>0</v>
      </c>
      <c r="I514" t="n">
        <v>0</v>
      </c>
      <c r="J514" t="n">
        <v>0</v>
      </c>
      <c r="K514" t="n">
        <v>0</v>
      </c>
      <c r="L514" t="n">
        <v>0</v>
      </c>
      <c r="M514" t="n">
        <v>0</v>
      </c>
      <c r="N514" t="n">
        <v>0</v>
      </c>
      <c r="O514" t="n">
        <v>0</v>
      </c>
      <c r="P514" t="n">
        <v>0</v>
      </c>
      <c r="Q514" t="n">
        <v>0</v>
      </c>
      <c r="R514" s="2" t="inlineStr"/>
    </row>
    <row r="515" ht="15" customHeight="1">
      <c r="A515" t="inlineStr">
        <is>
          <t>A 51050-2021</t>
        </is>
      </c>
      <c r="B515" s="1" t="n">
        <v>44459</v>
      </c>
      <c r="C515" s="1" t="n">
        <v>45664</v>
      </c>
      <c r="D515" t="inlineStr">
        <is>
          <t>UPPSALA LÄN</t>
        </is>
      </c>
      <c r="E515" t="inlineStr">
        <is>
          <t>UPPSALA</t>
        </is>
      </c>
      <c r="F515" t="inlineStr">
        <is>
          <t>Övriga Aktiebolag</t>
        </is>
      </c>
      <c r="G515" t="n">
        <v>7.5</v>
      </c>
      <c r="H515" t="n">
        <v>0</v>
      </c>
      <c r="I515" t="n">
        <v>0</v>
      </c>
      <c r="J515" t="n">
        <v>0</v>
      </c>
      <c r="K515" t="n">
        <v>0</v>
      </c>
      <c r="L515" t="n">
        <v>0</v>
      </c>
      <c r="M515" t="n">
        <v>0</v>
      </c>
      <c r="N515" t="n">
        <v>0</v>
      </c>
      <c r="O515" t="n">
        <v>0</v>
      </c>
      <c r="P515" t="n">
        <v>0</v>
      </c>
      <c r="Q515" t="n">
        <v>0</v>
      </c>
      <c r="R515" s="2" t="inlineStr"/>
    </row>
    <row r="516" ht="15" customHeight="1">
      <c r="A516" t="inlineStr">
        <is>
          <t>A 51821-2021</t>
        </is>
      </c>
      <c r="B516" s="1" t="n">
        <v>44461</v>
      </c>
      <c r="C516" s="1" t="n">
        <v>45664</v>
      </c>
      <c r="D516" t="inlineStr">
        <is>
          <t>UPPSALA LÄN</t>
        </is>
      </c>
      <c r="E516" t="inlineStr">
        <is>
          <t>UPPSALA</t>
        </is>
      </c>
      <c r="F516" t="inlineStr">
        <is>
          <t>Övriga Aktiebolag</t>
        </is>
      </c>
      <c r="G516" t="n">
        <v>5.3</v>
      </c>
      <c r="H516" t="n">
        <v>0</v>
      </c>
      <c r="I516" t="n">
        <v>0</v>
      </c>
      <c r="J516" t="n">
        <v>0</v>
      </c>
      <c r="K516" t="n">
        <v>0</v>
      </c>
      <c r="L516" t="n">
        <v>0</v>
      </c>
      <c r="M516" t="n">
        <v>0</v>
      </c>
      <c r="N516" t="n">
        <v>0</v>
      </c>
      <c r="O516" t="n">
        <v>0</v>
      </c>
      <c r="P516" t="n">
        <v>0</v>
      </c>
      <c r="Q516" t="n">
        <v>0</v>
      </c>
      <c r="R516" s="2" t="inlineStr"/>
    </row>
    <row r="517" ht="15" customHeight="1">
      <c r="A517" t="inlineStr">
        <is>
          <t>A 51396-2021</t>
        </is>
      </c>
      <c r="B517" s="1" t="n">
        <v>44461</v>
      </c>
      <c r="C517" s="1" t="n">
        <v>45664</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52083-2021</t>
        </is>
      </c>
      <c r="B518" s="1" t="n">
        <v>44463</v>
      </c>
      <c r="C518" s="1" t="n">
        <v>45664</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54168-2021</t>
        </is>
      </c>
      <c r="B519" s="1" t="n">
        <v>44470</v>
      </c>
      <c r="C519" s="1" t="n">
        <v>45664</v>
      </c>
      <c r="D519" t="inlineStr">
        <is>
          <t>UPPSALA LÄN</t>
        </is>
      </c>
      <c r="E519" t="inlineStr">
        <is>
          <t>UPPSALA</t>
        </is>
      </c>
      <c r="G519" t="n">
        <v>7.5</v>
      </c>
      <c r="H519" t="n">
        <v>0</v>
      </c>
      <c r="I519" t="n">
        <v>0</v>
      </c>
      <c r="J519" t="n">
        <v>0</v>
      </c>
      <c r="K519" t="n">
        <v>0</v>
      </c>
      <c r="L519" t="n">
        <v>0</v>
      </c>
      <c r="M519" t="n">
        <v>0</v>
      </c>
      <c r="N519" t="n">
        <v>0</v>
      </c>
      <c r="O519" t="n">
        <v>0</v>
      </c>
      <c r="P519" t="n">
        <v>0</v>
      </c>
      <c r="Q519" t="n">
        <v>0</v>
      </c>
      <c r="R519" s="2" t="inlineStr"/>
    </row>
    <row r="520" ht="15" customHeight="1">
      <c r="A520" t="inlineStr">
        <is>
          <t>A 55823-2021</t>
        </is>
      </c>
      <c r="B520" s="1" t="n">
        <v>44476</v>
      </c>
      <c r="C520" s="1" t="n">
        <v>45664</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56042-2021</t>
        </is>
      </c>
      <c r="B521" s="1" t="n">
        <v>44477</v>
      </c>
      <c r="C521" s="1" t="n">
        <v>45664</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56049-2021</t>
        </is>
      </c>
      <c r="B522" s="1" t="n">
        <v>44477</v>
      </c>
      <c r="C522" s="1" t="n">
        <v>45664</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56463-2021</t>
        </is>
      </c>
      <c r="B523" s="1" t="n">
        <v>44479</v>
      </c>
      <c r="C523" s="1" t="n">
        <v>45664</v>
      </c>
      <c r="D523" t="inlineStr">
        <is>
          <t>UPPSALA LÄN</t>
        </is>
      </c>
      <c r="E523" t="inlineStr">
        <is>
          <t>UPPSALA</t>
        </is>
      </c>
      <c r="G523" t="n">
        <v>6.4</v>
      </c>
      <c r="H523" t="n">
        <v>0</v>
      </c>
      <c r="I523" t="n">
        <v>0</v>
      </c>
      <c r="J523" t="n">
        <v>0</v>
      </c>
      <c r="K523" t="n">
        <v>0</v>
      </c>
      <c r="L523" t="n">
        <v>0</v>
      </c>
      <c r="M523" t="n">
        <v>0</v>
      </c>
      <c r="N523" t="n">
        <v>0</v>
      </c>
      <c r="O523" t="n">
        <v>0</v>
      </c>
      <c r="P523" t="n">
        <v>0</v>
      </c>
      <c r="Q523" t="n">
        <v>0</v>
      </c>
      <c r="R523" s="2" t="inlineStr"/>
    </row>
    <row r="524" ht="15" customHeight="1">
      <c r="A524" t="inlineStr">
        <is>
          <t>A 56769-2021</t>
        </is>
      </c>
      <c r="B524" s="1" t="n">
        <v>44481</v>
      </c>
      <c r="C524" s="1" t="n">
        <v>45664</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57647-2021</t>
        </is>
      </c>
      <c r="B525" s="1" t="n">
        <v>44484</v>
      </c>
      <c r="C525" s="1" t="n">
        <v>45664</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57890-2021</t>
        </is>
      </c>
      <c r="B526" s="1" t="n">
        <v>44486</v>
      </c>
      <c r="C526" s="1" t="n">
        <v>45664</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58767-2021</t>
        </is>
      </c>
      <c r="B527" s="1" t="n">
        <v>44489</v>
      </c>
      <c r="C527" s="1" t="n">
        <v>45664</v>
      </c>
      <c r="D527" t="inlineStr">
        <is>
          <t>UPPSALA LÄN</t>
        </is>
      </c>
      <c r="E527" t="inlineStr">
        <is>
          <t>UPPSALA</t>
        </is>
      </c>
      <c r="G527" t="n">
        <v>4.8</v>
      </c>
      <c r="H527" t="n">
        <v>0</v>
      </c>
      <c r="I527" t="n">
        <v>0</v>
      </c>
      <c r="J527" t="n">
        <v>0</v>
      </c>
      <c r="K527" t="n">
        <v>0</v>
      </c>
      <c r="L527" t="n">
        <v>0</v>
      </c>
      <c r="M527" t="n">
        <v>0</v>
      </c>
      <c r="N527" t="n">
        <v>0</v>
      </c>
      <c r="O527" t="n">
        <v>0</v>
      </c>
      <c r="P527" t="n">
        <v>0</v>
      </c>
      <c r="Q527" t="n">
        <v>0</v>
      </c>
      <c r="R527" s="2" t="inlineStr"/>
    </row>
    <row r="528" ht="15" customHeight="1">
      <c r="A528" t="inlineStr">
        <is>
          <t>A 58897-2021</t>
        </is>
      </c>
      <c r="B528" s="1" t="n">
        <v>44489</v>
      </c>
      <c r="C528" s="1" t="n">
        <v>45664</v>
      </c>
      <c r="D528" t="inlineStr">
        <is>
          <t>UPPSALA LÄN</t>
        </is>
      </c>
      <c r="E528" t="inlineStr">
        <is>
          <t>UPPSALA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59241-2021</t>
        </is>
      </c>
      <c r="B529" s="1" t="n">
        <v>44490</v>
      </c>
      <c r="C529" s="1" t="n">
        <v>45664</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59484-2021</t>
        </is>
      </c>
      <c r="B530" s="1" t="n">
        <v>44491</v>
      </c>
      <c r="C530" s="1" t="n">
        <v>45664</v>
      </c>
      <c r="D530" t="inlineStr">
        <is>
          <t>UPPSALA LÄN</t>
        </is>
      </c>
      <c r="E530" t="inlineStr">
        <is>
          <t>UPPSALA</t>
        </is>
      </c>
      <c r="F530" t="inlineStr">
        <is>
          <t>Bergvik skog öst AB</t>
        </is>
      </c>
      <c r="G530" t="n">
        <v>1.2</v>
      </c>
      <c r="H530" t="n">
        <v>0</v>
      </c>
      <c r="I530" t="n">
        <v>0</v>
      </c>
      <c r="J530" t="n">
        <v>0</v>
      </c>
      <c r="K530" t="n">
        <v>0</v>
      </c>
      <c r="L530" t="n">
        <v>0</v>
      </c>
      <c r="M530" t="n">
        <v>0</v>
      </c>
      <c r="N530" t="n">
        <v>0</v>
      </c>
      <c r="O530" t="n">
        <v>0</v>
      </c>
      <c r="P530" t="n">
        <v>0</v>
      </c>
      <c r="Q530" t="n">
        <v>0</v>
      </c>
      <c r="R530" s="2" t="inlineStr"/>
    </row>
    <row r="531" ht="15" customHeight="1">
      <c r="A531" t="inlineStr">
        <is>
          <t>A 59500-2021</t>
        </is>
      </c>
      <c r="B531" s="1" t="n">
        <v>44491</v>
      </c>
      <c r="C531" s="1" t="n">
        <v>45664</v>
      </c>
      <c r="D531" t="inlineStr">
        <is>
          <t>UPPSALA LÄN</t>
        </is>
      </c>
      <c r="E531" t="inlineStr">
        <is>
          <t>UPPSALA</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v>
      </c>
      <c r="C532" s="1" t="n">
        <v>45664</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59881-2021</t>
        </is>
      </c>
      <c r="B533" s="1" t="n">
        <v>44494</v>
      </c>
      <c r="C533" s="1" t="n">
        <v>45664</v>
      </c>
      <c r="D533" t="inlineStr">
        <is>
          <t>UPPSALA LÄN</t>
        </is>
      </c>
      <c r="E533" t="inlineStr">
        <is>
          <t>UPPSALA</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60032-2021</t>
        </is>
      </c>
      <c r="B534" s="1" t="n">
        <v>44495</v>
      </c>
      <c r="C534" s="1" t="n">
        <v>45664</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61008-2021</t>
        </is>
      </c>
      <c r="B535" s="1" t="n">
        <v>44497</v>
      </c>
      <c r="C535" s="1" t="n">
        <v>45664</v>
      </c>
      <c r="D535" t="inlineStr">
        <is>
          <t>UPPSALA LÄN</t>
        </is>
      </c>
      <c r="E535" t="inlineStr">
        <is>
          <t>UPPSALA</t>
        </is>
      </c>
      <c r="G535" t="n">
        <v>6.3</v>
      </c>
      <c r="H535" t="n">
        <v>0</v>
      </c>
      <c r="I535" t="n">
        <v>0</v>
      </c>
      <c r="J535" t="n">
        <v>0</v>
      </c>
      <c r="K535" t="n">
        <v>0</v>
      </c>
      <c r="L535" t="n">
        <v>0</v>
      </c>
      <c r="M535" t="n">
        <v>0</v>
      </c>
      <c r="N535" t="n">
        <v>0</v>
      </c>
      <c r="O535" t="n">
        <v>0</v>
      </c>
      <c r="P535" t="n">
        <v>0</v>
      </c>
      <c r="Q535" t="n">
        <v>0</v>
      </c>
      <c r="R535" s="2" t="inlineStr"/>
    </row>
    <row r="536" ht="15" customHeight="1">
      <c r="A536" t="inlineStr">
        <is>
          <t>A 60917-2021</t>
        </is>
      </c>
      <c r="B536" s="1" t="n">
        <v>44497</v>
      </c>
      <c r="C536" s="1" t="n">
        <v>45664</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60925-2021</t>
        </is>
      </c>
      <c r="B537" s="1" t="n">
        <v>44497</v>
      </c>
      <c r="C537" s="1" t="n">
        <v>45664</v>
      </c>
      <c r="D537" t="inlineStr">
        <is>
          <t>UPPSALA LÄN</t>
        </is>
      </c>
      <c r="E537" t="inlineStr">
        <is>
          <t>UPPSALA</t>
        </is>
      </c>
      <c r="G537" t="n">
        <v>3.7</v>
      </c>
      <c r="H537" t="n">
        <v>0</v>
      </c>
      <c r="I537" t="n">
        <v>0</v>
      </c>
      <c r="J537" t="n">
        <v>0</v>
      </c>
      <c r="K537" t="n">
        <v>0</v>
      </c>
      <c r="L537" t="n">
        <v>0</v>
      </c>
      <c r="M537" t="n">
        <v>0</v>
      </c>
      <c r="N537" t="n">
        <v>0</v>
      </c>
      <c r="O537" t="n">
        <v>0</v>
      </c>
      <c r="P537" t="n">
        <v>0</v>
      </c>
      <c r="Q537" t="n">
        <v>0</v>
      </c>
      <c r="R537" s="2" t="inlineStr"/>
    </row>
    <row r="538" ht="15" customHeight="1">
      <c r="A538" t="inlineStr">
        <is>
          <t>A 61805-2021</t>
        </is>
      </c>
      <c r="B538" s="1" t="n">
        <v>44501</v>
      </c>
      <c r="C538" s="1" t="n">
        <v>45664</v>
      </c>
      <c r="D538" t="inlineStr">
        <is>
          <t>UPPSALA LÄN</t>
        </is>
      </c>
      <c r="E538" t="inlineStr">
        <is>
          <t>UPPSALA</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62471-2021</t>
        </is>
      </c>
      <c r="B539" s="1" t="n">
        <v>44503</v>
      </c>
      <c r="C539" s="1" t="n">
        <v>45664</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62865-2021</t>
        </is>
      </c>
      <c r="B540" s="1" t="n">
        <v>44504</v>
      </c>
      <c r="C540" s="1" t="n">
        <v>45664</v>
      </c>
      <c r="D540" t="inlineStr">
        <is>
          <t>UPPSALA LÄN</t>
        </is>
      </c>
      <c r="E540" t="inlineStr">
        <is>
          <t>UPPSALA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63011-2021</t>
        </is>
      </c>
      <c r="B541" s="1" t="n">
        <v>44504</v>
      </c>
      <c r="C541" s="1" t="n">
        <v>45664</v>
      </c>
      <c r="D541" t="inlineStr">
        <is>
          <t>UPPSALA LÄN</t>
        </is>
      </c>
      <c r="E541" t="inlineStr">
        <is>
          <t>UPPSALA</t>
        </is>
      </c>
      <c r="G541" t="n">
        <v>11.2</v>
      </c>
      <c r="H541" t="n">
        <v>0</v>
      </c>
      <c r="I541" t="n">
        <v>0</v>
      </c>
      <c r="J541" t="n">
        <v>0</v>
      </c>
      <c r="K541" t="n">
        <v>0</v>
      </c>
      <c r="L541" t="n">
        <v>0</v>
      </c>
      <c r="M541" t="n">
        <v>0</v>
      </c>
      <c r="N541" t="n">
        <v>0</v>
      </c>
      <c r="O541" t="n">
        <v>0</v>
      </c>
      <c r="P541" t="n">
        <v>0</v>
      </c>
      <c r="Q541" t="n">
        <v>0</v>
      </c>
      <c r="R541" s="2" t="inlineStr"/>
    </row>
    <row r="542" ht="15" customHeight="1">
      <c r="A542" t="inlineStr">
        <is>
          <t>A 63307-2021</t>
        </is>
      </c>
      <c r="B542" s="1" t="n">
        <v>44508</v>
      </c>
      <c r="C542" s="1" t="n">
        <v>45664</v>
      </c>
      <c r="D542" t="inlineStr">
        <is>
          <t>UPPSALA LÄN</t>
        </is>
      </c>
      <c r="E542" t="inlineStr">
        <is>
          <t>UPPSALA</t>
        </is>
      </c>
      <c r="F542" t="inlineStr">
        <is>
          <t>Bergvik skog öst AB</t>
        </is>
      </c>
      <c r="G542" t="n">
        <v>2.8</v>
      </c>
      <c r="H542" t="n">
        <v>0</v>
      </c>
      <c r="I542" t="n">
        <v>0</v>
      </c>
      <c r="J542" t="n">
        <v>0</v>
      </c>
      <c r="K542" t="n">
        <v>0</v>
      </c>
      <c r="L542" t="n">
        <v>0</v>
      </c>
      <c r="M542" t="n">
        <v>0</v>
      </c>
      <c r="N542" t="n">
        <v>0</v>
      </c>
      <c r="O542" t="n">
        <v>0</v>
      </c>
      <c r="P542" t="n">
        <v>0</v>
      </c>
      <c r="Q542" t="n">
        <v>0</v>
      </c>
      <c r="R542" s="2" t="inlineStr"/>
    </row>
    <row r="543" ht="15" customHeight="1">
      <c r="A543" t="inlineStr">
        <is>
          <t>A 64016-2021</t>
        </is>
      </c>
      <c r="B543" s="1" t="n">
        <v>44510</v>
      </c>
      <c r="C543" s="1" t="n">
        <v>45664</v>
      </c>
      <c r="D543" t="inlineStr">
        <is>
          <t>UPPSALA LÄN</t>
        </is>
      </c>
      <c r="E543" t="inlineStr">
        <is>
          <t>UPPSALA</t>
        </is>
      </c>
      <c r="G543" t="n">
        <v>2.1</v>
      </c>
      <c r="H543" t="n">
        <v>0</v>
      </c>
      <c r="I543" t="n">
        <v>0</v>
      </c>
      <c r="J543" t="n">
        <v>0</v>
      </c>
      <c r="K543" t="n">
        <v>0</v>
      </c>
      <c r="L543" t="n">
        <v>0</v>
      </c>
      <c r="M543" t="n">
        <v>0</v>
      </c>
      <c r="N543" t="n">
        <v>0</v>
      </c>
      <c r="O543" t="n">
        <v>0</v>
      </c>
      <c r="P543" t="n">
        <v>0</v>
      </c>
      <c r="Q543" t="n">
        <v>0</v>
      </c>
      <c r="R543" s="2" t="inlineStr"/>
    </row>
    <row r="544" ht="15" customHeight="1">
      <c r="A544" t="inlineStr">
        <is>
          <t>A 64857-2021</t>
        </is>
      </c>
      <c r="B544" s="1" t="n">
        <v>44512</v>
      </c>
      <c r="C544" s="1" t="n">
        <v>45664</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64856-2021</t>
        </is>
      </c>
      <c r="B545" s="1" t="n">
        <v>44512</v>
      </c>
      <c r="C545" s="1" t="n">
        <v>45664</v>
      </c>
      <c r="D545" t="inlineStr">
        <is>
          <t>UPPSALA LÄN</t>
        </is>
      </c>
      <c r="E545" t="inlineStr">
        <is>
          <t>UPPSALA</t>
        </is>
      </c>
      <c r="G545" t="n">
        <v>4.1</v>
      </c>
      <c r="H545" t="n">
        <v>0</v>
      </c>
      <c r="I545" t="n">
        <v>0</v>
      </c>
      <c r="J545" t="n">
        <v>0</v>
      </c>
      <c r="K545" t="n">
        <v>0</v>
      </c>
      <c r="L545" t="n">
        <v>0</v>
      </c>
      <c r="M545" t="n">
        <v>0</v>
      </c>
      <c r="N545" t="n">
        <v>0</v>
      </c>
      <c r="O545" t="n">
        <v>0</v>
      </c>
      <c r="P545" t="n">
        <v>0</v>
      </c>
      <c r="Q545" t="n">
        <v>0</v>
      </c>
      <c r="R545" s="2" t="inlineStr"/>
    </row>
    <row r="546" ht="15" customHeight="1">
      <c r="A546" t="inlineStr">
        <is>
          <t>A 64858-2021</t>
        </is>
      </c>
      <c r="B546" s="1" t="n">
        <v>44512</v>
      </c>
      <c r="C546" s="1" t="n">
        <v>45664</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64855-2021</t>
        </is>
      </c>
      <c r="B547" s="1" t="n">
        <v>44512</v>
      </c>
      <c r="C547" s="1" t="n">
        <v>45664</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65132-2021</t>
        </is>
      </c>
      <c r="B548" s="1" t="n">
        <v>44515</v>
      </c>
      <c r="C548" s="1" t="n">
        <v>45664</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65659-2021</t>
        </is>
      </c>
      <c r="B549" s="1" t="n">
        <v>44516</v>
      </c>
      <c r="C549" s="1" t="n">
        <v>45664</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65695-2021</t>
        </is>
      </c>
      <c r="B550" s="1" t="n">
        <v>44516</v>
      </c>
      <c r="C550" s="1" t="n">
        <v>45664</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65809-2021</t>
        </is>
      </c>
      <c r="B551" s="1" t="n">
        <v>44517</v>
      </c>
      <c r="C551" s="1" t="n">
        <v>45664</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65811-2021</t>
        </is>
      </c>
      <c r="B552" s="1" t="n">
        <v>44517</v>
      </c>
      <c r="C552" s="1" t="n">
        <v>45664</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65964-2021</t>
        </is>
      </c>
      <c r="B553" s="1" t="n">
        <v>44517</v>
      </c>
      <c r="C553" s="1" t="n">
        <v>45664</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66239-2021</t>
        </is>
      </c>
      <c r="B554" s="1" t="n">
        <v>44518</v>
      </c>
      <c r="C554" s="1" t="n">
        <v>45664</v>
      </c>
      <c r="D554" t="inlineStr">
        <is>
          <t>UPPSALA LÄN</t>
        </is>
      </c>
      <c r="E554" t="inlineStr">
        <is>
          <t>UPPSALA</t>
        </is>
      </c>
      <c r="G554" t="n">
        <v>4.2</v>
      </c>
      <c r="H554" t="n">
        <v>0</v>
      </c>
      <c r="I554" t="n">
        <v>0</v>
      </c>
      <c r="J554" t="n">
        <v>0</v>
      </c>
      <c r="K554" t="n">
        <v>0</v>
      </c>
      <c r="L554" t="n">
        <v>0</v>
      </c>
      <c r="M554" t="n">
        <v>0</v>
      </c>
      <c r="N554" t="n">
        <v>0</v>
      </c>
      <c r="O554" t="n">
        <v>0</v>
      </c>
      <c r="P554" t="n">
        <v>0</v>
      </c>
      <c r="Q554" t="n">
        <v>0</v>
      </c>
      <c r="R554" s="2" t="inlineStr"/>
    </row>
    <row r="555" ht="15" customHeight="1">
      <c r="A555" t="inlineStr">
        <is>
          <t>A 66690-2021</t>
        </is>
      </c>
      <c r="B555" s="1" t="n">
        <v>44519</v>
      </c>
      <c r="C555" s="1" t="n">
        <v>45664</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66686-2021</t>
        </is>
      </c>
      <c r="B556" s="1" t="n">
        <v>44519</v>
      </c>
      <c r="C556" s="1" t="n">
        <v>45664</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66794-2021</t>
        </is>
      </c>
      <c r="B557" s="1" t="n">
        <v>44522</v>
      </c>
      <c r="C557" s="1" t="n">
        <v>45664</v>
      </c>
      <c r="D557" t="inlineStr">
        <is>
          <t>UPPSALA LÄN</t>
        </is>
      </c>
      <c r="E557" t="inlineStr">
        <is>
          <t>UPPSALA</t>
        </is>
      </c>
      <c r="G557" t="n">
        <v>4.9</v>
      </c>
      <c r="H557" t="n">
        <v>0</v>
      </c>
      <c r="I557" t="n">
        <v>0</v>
      </c>
      <c r="J557" t="n">
        <v>0</v>
      </c>
      <c r="K557" t="n">
        <v>0</v>
      </c>
      <c r="L557" t="n">
        <v>0</v>
      </c>
      <c r="M557" t="n">
        <v>0</v>
      </c>
      <c r="N557" t="n">
        <v>0</v>
      </c>
      <c r="O557" t="n">
        <v>0</v>
      </c>
      <c r="P557" t="n">
        <v>0</v>
      </c>
      <c r="Q557" t="n">
        <v>0</v>
      </c>
      <c r="R557" s="2" t="inlineStr"/>
    </row>
    <row r="558" ht="15" customHeight="1">
      <c r="A558" t="inlineStr">
        <is>
          <t>A 66927-2021</t>
        </is>
      </c>
      <c r="B558" s="1" t="n">
        <v>44522</v>
      </c>
      <c r="C558" s="1" t="n">
        <v>45664</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66983-2021</t>
        </is>
      </c>
      <c r="B559" s="1" t="n">
        <v>44522</v>
      </c>
      <c r="C559" s="1" t="n">
        <v>45664</v>
      </c>
      <c r="D559" t="inlineStr">
        <is>
          <t>UPPSALA LÄN</t>
        </is>
      </c>
      <c r="E559" t="inlineStr">
        <is>
          <t>UPPSALA</t>
        </is>
      </c>
      <c r="G559" t="n">
        <v>2.5</v>
      </c>
      <c r="H559" t="n">
        <v>0</v>
      </c>
      <c r="I559" t="n">
        <v>0</v>
      </c>
      <c r="J559" t="n">
        <v>0</v>
      </c>
      <c r="K559" t="n">
        <v>0</v>
      </c>
      <c r="L559" t="n">
        <v>0</v>
      </c>
      <c r="M559" t="n">
        <v>0</v>
      </c>
      <c r="N559" t="n">
        <v>0</v>
      </c>
      <c r="O559" t="n">
        <v>0</v>
      </c>
      <c r="P559" t="n">
        <v>0</v>
      </c>
      <c r="Q559" t="n">
        <v>0</v>
      </c>
      <c r="R559" s="2" t="inlineStr"/>
    </row>
    <row r="560" ht="15" customHeight="1">
      <c r="A560" t="inlineStr">
        <is>
          <t>A 67991-2021</t>
        </is>
      </c>
      <c r="B560" s="1" t="n">
        <v>44525</v>
      </c>
      <c r="C560" s="1" t="n">
        <v>45664</v>
      </c>
      <c r="D560" t="inlineStr">
        <is>
          <t>UPPSALA LÄN</t>
        </is>
      </c>
      <c r="E560" t="inlineStr">
        <is>
          <t>UPPSALA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68696-2021</t>
        </is>
      </c>
      <c r="B561" s="1" t="n">
        <v>44526</v>
      </c>
      <c r="C561" s="1" t="n">
        <v>45664</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68139-2021</t>
        </is>
      </c>
      <c r="B562" s="1" t="n">
        <v>44526</v>
      </c>
      <c r="C562" s="1" t="n">
        <v>45664</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68296-2021</t>
        </is>
      </c>
      <c r="B563" s="1" t="n">
        <v>44526</v>
      </c>
      <c r="C563" s="1" t="n">
        <v>45664</v>
      </c>
      <c r="D563" t="inlineStr">
        <is>
          <t>UPPSALA LÄN</t>
        </is>
      </c>
      <c r="E563" t="inlineStr">
        <is>
          <t>UPPSALA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69067-2021</t>
        </is>
      </c>
      <c r="B564" s="1" t="n">
        <v>44530</v>
      </c>
      <c r="C564" s="1" t="n">
        <v>45664</v>
      </c>
      <c r="D564" t="inlineStr">
        <is>
          <t>UPPSALA LÄN</t>
        </is>
      </c>
      <c r="E564" t="inlineStr">
        <is>
          <t>UPPSALA</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69432-2021</t>
        </is>
      </c>
      <c r="B565" s="1" t="n">
        <v>44531</v>
      </c>
      <c r="C565" s="1" t="n">
        <v>45664</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69214-2021</t>
        </is>
      </c>
      <c r="B566" s="1" t="n">
        <v>44531</v>
      </c>
      <c r="C566" s="1" t="n">
        <v>45664</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69397-2021</t>
        </is>
      </c>
      <c r="B567" s="1" t="n">
        <v>44531</v>
      </c>
      <c r="C567" s="1" t="n">
        <v>45664</v>
      </c>
      <c r="D567" t="inlineStr">
        <is>
          <t>UPPSALA LÄN</t>
        </is>
      </c>
      <c r="E567" t="inlineStr">
        <is>
          <t>UPPSALA</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69436-2021</t>
        </is>
      </c>
      <c r="B568" s="1" t="n">
        <v>44531</v>
      </c>
      <c r="C568" s="1" t="n">
        <v>45664</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69439-2021</t>
        </is>
      </c>
      <c r="B569" s="1" t="n">
        <v>44531</v>
      </c>
      <c r="C569" s="1" t="n">
        <v>45664</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69711-2021</t>
        </is>
      </c>
      <c r="B570" s="1" t="n">
        <v>44532</v>
      </c>
      <c r="C570" s="1" t="n">
        <v>45664</v>
      </c>
      <c r="D570" t="inlineStr">
        <is>
          <t>UPPSALA LÄN</t>
        </is>
      </c>
      <c r="E570" t="inlineStr">
        <is>
          <t>UPPSALA</t>
        </is>
      </c>
      <c r="G570" t="n">
        <v>10.2</v>
      </c>
      <c r="H570" t="n">
        <v>0</v>
      </c>
      <c r="I570" t="n">
        <v>0</v>
      </c>
      <c r="J570" t="n">
        <v>0</v>
      </c>
      <c r="K570" t="n">
        <v>0</v>
      </c>
      <c r="L570" t="n">
        <v>0</v>
      </c>
      <c r="M570" t="n">
        <v>0</v>
      </c>
      <c r="N570" t="n">
        <v>0</v>
      </c>
      <c r="O570" t="n">
        <v>0</v>
      </c>
      <c r="P570" t="n">
        <v>0</v>
      </c>
      <c r="Q570" t="n">
        <v>0</v>
      </c>
      <c r="R570" s="2" t="inlineStr"/>
    </row>
    <row r="571" ht="15" customHeight="1">
      <c r="A571" t="inlineStr">
        <is>
          <t>A 69595-2021</t>
        </is>
      </c>
      <c r="B571" s="1" t="n">
        <v>44532</v>
      </c>
      <c r="C571" s="1" t="n">
        <v>45664</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69698-2021</t>
        </is>
      </c>
      <c r="B572" s="1" t="n">
        <v>44532</v>
      </c>
      <c r="C572" s="1" t="n">
        <v>45664</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69691-2021</t>
        </is>
      </c>
      <c r="B573" s="1" t="n">
        <v>44532</v>
      </c>
      <c r="C573" s="1" t="n">
        <v>45664</v>
      </c>
      <c r="D573" t="inlineStr">
        <is>
          <t>UPPSALA LÄN</t>
        </is>
      </c>
      <c r="E573" t="inlineStr">
        <is>
          <t>UPPSALA</t>
        </is>
      </c>
      <c r="G573" t="n">
        <v>2.3</v>
      </c>
      <c r="H573" t="n">
        <v>0</v>
      </c>
      <c r="I573" t="n">
        <v>0</v>
      </c>
      <c r="J573" t="n">
        <v>0</v>
      </c>
      <c r="K573" t="n">
        <v>0</v>
      </c>
      <c r="L573" t="n">
        <v>0</v>
      </c>
      <c r="M573" t="n">
        <v>0</v>
      </c>
      <c r="N573" t="n">
        <v>0</v>
      </c>
      <c r="O573" t="n">
        <v>0</v>
      </c>
      <c r="P573" t="n">
        <v>0</v>
      </c>
      <c r="Q573" t="n">
        <v>0</v>
      </c>
      <c r="R573" s="2" t="inlineStr"/>
    </row>
    <row r="574" ht="15" customHeight="1">
      <c r="A574" t="inlineStr">
        <is>
          <t>A 70032-2021</t>
        </is>
      </c>
      <c r="B574" s="1" t="n">
        <v>44533</v>
      </c>
      <c r="C574" s="1" t="n">
        <v>45664</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70031-2021</t>
        </is>
      </c>
      <c r="B575" s="1" t="n">
        <v>44533</v>
      </c>
      <c r="C575" s="1" t="n">
        <v>45664</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70359-2021</t>
        </is>
      </c>
      <c r="B576" s="1" t="n">
        <v>44535</v>
      </c>
      <c r="C576" s="1" t="n">
        <v>45664</v>
      </c>
      <c r="D576" t="inlineStr">
        <is>
          <t>UPPSALA LÄN</t>
        </is>
      </c>
      <c r="E576" t="inlineStr">
        <is>
          <t>UPPSALA</t>
        </is>
      </c>
      <c r="G576" t="n">
        <v>3</v>
      </c>
      <c r="H576" t="n">
        <v>0</v>
      </c>
      <c r="I576" t="n">
        <v>0</v>
      </c>
      <c r="J576" t="n">
        <v>0</v>
      </c>
      <c r="K576" t="n">
        <v>0</v>
      </c>
      <c r="L576" t="n">
        <v>0</v>
      </c>
      <c r="M576" t="n">
        <v>0</v>
      </c>
      <c r="N576" t="n">
        <v>0</v>
      </c>
      <c r="O576" t="n">
        <v>0</v>
      </c>
      <c r="P576" t="n">
        <v>0</v>
      </c>
      <c r="Q576" t="n">
        <v>0</v>
      </c>
      <c r="R576" s="2" t="inlineStr"/>
    </row>
    <row r="577" ht="15" customHeight="1">
      <c r="A577" t="inlineStr">
        <is>
          <t>A 70228-2021</t>
        </is>
      </c>
      <c r="B577" s="1" t="n">
        <v>44535</v>
      </c>
      <c r="C577" s="1" t="n">
        <v>45664</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70996-2021</t>
        </is>
      </c>
      <c r="B578" s="1" t="n">
        <v>44538</v>
      </c>
      <c r="C578" s="1" t="n">
        <v>45664</v>
      </c>
      <c r="D578" t="inlineStr">
        <is>
          <t>UPPSALA LÄN</t>
        </is>
      </c>
      <c r="E578" t="inlineStr">
        <is>
          <t>UPPSALA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71563-2021</t>
        </is>
      </c>
      <c r="B579" s="1" t="n">
        <v>44540</v>
      </c>
      <c r="C579" s="1" t="n">
        <v>45664</v>
      </c>
      <c r="D579" t="inlineStr">
        <is>
          <t>UPPSALA LÄN</t>
        </is>
      </c>
      <c r="E579" t="inlineStr">
        <is>
          <t>UPPSALA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71675-2021</t>
        </is>
      </c>
      <c r="B580" s="1" t="n">
        <v>44543</v>
      </c>
      <c r="C580" s="1" t="n">
        <v>45664</v>
      </c>
      <c r="D580" t="inlineStr">
        <is>
          <t>UPPSALA LÄN</t>
        </is>
      </c>
      <c r="E580" t="inlineStr">
        <is>
          <t>UPPSALA</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71643-2021</t>
        </is>
      </c>
      <c r="B581" s="1" t="n">
        <v>44543</v>
      </c>
      <c r="C581" s="1" t="n">
        <v>45664</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71671-2021</t>
        </is>
      </c>
      <c r="B582" s="1" t="n">
        <v>44543</v>
      </c>
      <c r="C582" s="1" t="n">
        <v>45664</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72225-2021</t>
        </is>
      </c>
      <c r="B583" s="1" t="n">
        <v>44544</v>
      </c>
      <c r="C583" s="1" t="n">
        <v>45664</v>
      </c>
      <c r="D583" t="inlineStr">
        <is>
          <t>UPPSALA LÄN</t>
        </is>
      </c>
      <c r="E583" t="inlineStr">
        <is>
          <t>UPPSALA</t>
        </is>
      </c>
      <c r="G583" t="n">
        <v>6.2</v>
      </c>
      <c r="H583" t="n">
        <v>0</v>
      </c>
      <c r="I583" t="n">
        <v>0</v>
      </c>
      <c r="J583" t="n">
        <v>0</v>
      </c>
      <c r="K583" t="n">
        <v>0</v>
      </c>
      <c r="L583" t="n">
        <v>0</v>
      </c>
      <c r="M583" t="n">
        <v>0</v>
      </c>
      <c r="N583" t="n">
        <v>0</v>
      </c>
      <c r="O583" t="n">
        <v>0</v>
      </c>
      <c r="P583" t="n">
        <v>0</v>
      </c>
      <c r="Q583" t="n">
        <v>0</v>
      </c>
      <c r="R583" s="2" t="inlineStr"/>
    </row>
    <row r="584" ht="15" customHeight="1">
      <c r="A584" t="inlineStr">
        <is>
          <t>A 72224-2021</t>
        </is>
      </c>
      <c r="B584" s="1" t="n">
        <v>44544</v>
      </c>
      <c r="C584" s="1" t="n">
        <v>45664</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72973-2021</t>
        </is>
      </c>
      <c r="B585" s="1" t="n">
        <v>44548</v>
      </c>
      <c r="C585" s="1" t="n">
        <v>45664</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73326-2021</t>
        </is>
      </c>
      <c r="B586" s="1" t="n">
        <v>44548</v>
      </c>
      <c r="C586" s="1" t="n">
        <v>45664</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73044-2021</t>
        </is>
      </c>
      <c r="B587" s="1" t="n">
        <v>44550</v>
      </c>
      <c r="C587" s="1" t="n">
        <v>45664</v>
      </c>
      <c r="D587" t="inlineStr">
        <is>
          <t>UPPSALA LÄN</t>
        </is>
      </c>
      <c r="E587" t="inlineStr">
        <is>
          <t>UPPSALA</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73468-2021</t>
        </is>
      </c>
      <c r="B588" s="1" t="n">
        <v>44551</v>
      </c>
      <c r="C588" s="1" t="n">
        <v>45664</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73518-2021</t>
        </is>
      </c>
      <c r="B589" s="1" t="n">
        <v>44551</v>
      </c>
      <c r="C589" s="1" t="n">
        <v>45664</v>
      </c>
      <c r="D589" t="inlineStr">
        <is>
          <t>UPPSALA LÄN</t>
        </is>
      </c>
      <c r="E589" t="inlineStr">
        <is>
          <t>UPPSALA</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73531-2021</t>
        </is>
      </c>
      <c r="B590" s="1" t="n">
        <v>44551</v>
      </c>
      <c r="C590" s="1" t="n">
        <v>45664</v>
      </c>
      <c r="D590" t="inlineStr">
        <is>
          <t>UPPSALA LÄN</t>
        </is>
      </c>
      <c r="E590" t="inlineStr">
        <is>
          <t>UPPSALA</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74019-2021</t>
        </is>
      </c>
      <c r="B591" s="1" t="n">
        <v>44553</v>
      </c>
      <c r="C591" s="1" t="n">
        <v>45664</v>
      </c>
      <c r="D591" t="inlineStr">
        <is>
          <t>UPPSALA LÄN</t>
        </is>
      </c>
      <c r="E591" t="inlineStr">
        <is>
          <t>UPPSALA</t>
        </is>
      </c>
      <c r="G591" t="n">
        <v>3</v>
      </c>
      <c r="H591" t="n">
        <v>0</v>
      </c>
      <c r="I591" t="n">
        <v>0</v>
      </c>
      <c r="J591" t="n">
        <v>0</v>
      </c>
      <c r="K591" t="n">
        <v>0</v>
      </c>
      <c r="L591" t="n">
        <v>0</v>
      </c>
      <c r="M591" t="n">
        <v>0</v>
      </c>
      <c r="N591" t="n">
        <v>0</v>
      </c>
      <c r="O591" t="n">
        <v>0</v>
      </c>
      <c r="P591" t="n">
        <v>0</v>
      </c>
      <c r="Q591" t="n">
        <v>0</v>
      </c>
      <c r="R591" s="2" t="inlineStr"/>
    </row>
    <row r="592" ht="15" customHeight="1">
      <c r="A592" t="inlineStr">
        <is>
          <t>A 74023-2021</t>
        </is>
      </c>
      <c r="B592" s="1" t="n">
        <v>44553</v>
      </c>
      <c r="C592" s="1" t="n">
        <v>45664</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74493-2021</t>
        </is>
      </c>
      <c r="B593" s="1" t="n">
        <v>44560</v>
      </c>
      <c r="C593" s="1" t="n">
        <v>45664</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74495-2021</t>
        </is>
      </c>
      <c r="B594" s="1" t="n">
        <v>44560</v>
      </c>
      <c r="C594" s="1" t="n">
        <v>45664</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612-2022</t>
        </is>
      </c>
      <c r="B595" s="1" t="n">
        <v>44567</v>
      </c>
      <c r="C595" s="1" t="n">
        <v>45664</v>
      </c>
      <c r="D595" t="inlineStr">
        <is>
          <t>UPPSALA LÄN</t>
        </is>
      </c>
      <c r="E595" t="inlineStr">
        <is>
          <t>UPPSALA</t>
        </is>
      </c>
      <c r="F595" t="inlineStr">
        <is>
          <t>Holmen skog AB</t>
        </is>
      </c>
      <c r="G595" t="n">
        <v>6.6</v>
      </c>
      <c r="H595" t="n">
        <v>0</v>
      </c>
      <c r="I595" t="n">
        <v>0</v>
      </c>
      <c r="J595" t="n">
        <v>0</v>
      </c>
      <c r="K595" t="n">
        <v>0</v>
      </c>
      <c r="L595" t="n">
        <v>0</v>
      </c>
      <c r="M595" t="n">
        <v>0</v>
      </c>
      <c r="N595" t="n">
        <v>0</v>
      </c>
      <c r="O595" t="n">
        <v>0</v>
      </c>
      <c r="P595" t="n">
        <v>0</v>
      </c>
      <c r="Q595" t="n">
        <v>0</v>
      </c>
      <c r="R595" s="2" t="inlineStr"/>
    </row>
    <row r="596" ht="15" customHeight="1">
      <c r="A596" t="inlineStr">
        <is>
          <t>A 733-2022</t>
        </is>
      </c>
      <c r="B596" s="1" t="n">
        <v>44568</v>
      </c>
      <c r="C596" s="1" t="n">
        <v>45664</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752-2022</t>
        </is>
      </c>
      <c r="B597" s="1" t="n">
        <v>44569</v>
      </c>
      <c r="C597" s="1" t="n">
        <v>45664</v>
      </c>
      <c r="D597" t="inlineStr">
        <is>
          <t>UPPSALA LÄN</t>
        </is>
      </c>
      <c r="E597" t="inlineStr">
        <is>
          <t>UPPSALA</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750-2022</t>
        </is>
      </c>
      <c r="B598" s="1" t="n">
        <v>44569</v>
      </c>
      <c r="C598" s="1" t="n">
        <v>45664</v>
      </c>
      <c r="D598" t="inlineStr">
        <is>
          <t>UPPSALA LÄN</t>
        </is>
      </c>
      <c r="E598" t="inlineStr">
        <is>
          <t>UPPSALA</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759-2022</t>
        </is>
      </c>
      <c r="B599" s="1" t="n">
        <v>44569</v>
      </c>
      <c r="C599" s="1" t="n">
        <v>45664</v>
      </c>
      <c r="D599" t="inlineStr">
        <is>
          <t>UPPSALA LÄN</t>
        </is>
      </c>
      <c r="E599" t="inlineStr">
        <is>
          <t>UPPSALA</t>
        </is>
      </c>
      <c r="F599" t="inlineStr">
        <is>
          <t>Holmen skog AB</t>
        </is>
      </c>
      <c r="G599" t="n">
        <v>3.6</v>
      </c>
      <c r="H599" t="n">
        <v>0</v>
      </c>
      <c r="I599" t="n">
        <v>0</v>
      </c>
      <c r="J599" t="n">
        <v>0</v>
      </c>
      <c r="K599" t="n">
        <v>0</v>
      </c>
      <c r="L599" t="n">
        <v>0</v>
      </c>
      <c r="M599" t="n">
        <v>0</v>
      </c>
      <c r="N599" t="n">
        <v>0</v>
      </c>
      <c r="O599" t="n">
        <v>0</v>
      </c>
      <c r="P599" t="n">
        <v>0</v>
      </c>
      <c r="Q599" t="n">
        <v>0</v>
      </c>
      <c r="R599" s="2" t="inlineStr"/>
    </row>
    <row r="600" ht="15" customHeight="1">
      <c r="A600" t="inlineStr">
        <is>
          <t>A 758-2022</t>
        </is>
      </c>
      <c r="B600" s="1" t="n">
        <v>44569</v>
      </c>
      <c r="C600" s="1" t="n">
        <v>45664</v>
      </c>
      <c r="D600" t="inlineStr">
        <is>
          <t>UPPSALA LÄN</t>
        </is>
      </c>
      <c r="E600" t="inlineStr">
        <is>
          <t>UPPSALA</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917-2022</t>
        </is>
      </c>
      <c r="B601" s="1" t="n">
        <v>44571</v>
      </c>
      <c r="C601" s="1" t="n">
        <v>45664</v>
      </c>
      <c r="D601" t="inlineStr">
        <is>
          <t>UPPSALA LÄN</t>
        </is>
      </c>
      <c r="E601" t="inlineStr">
        <is>
          <t>UPPSALA</t>
        </is>
      </c>
      <c r="F601" t="inlineStr">
        <is>
          <t>Bergvik skog öst AB</t>
        </is>
      </c>
      <c r="G601" t="n">
        <v>4.1</v>
      </c>
      <c r="H601" t="n">
        <v>0</v>
      </c>
      <c r="I601" t="n">
        <v>0</v>
      </c>
      <c r="J601" t="n">
        <v>0</v>
      </c>
      <c r="K601" t="n">
        <v>0</v>
      </c>
      <c r="L601" t="n">
        <v>0</v>
      </c>
      <c r="M601" t="n">
        <v>0</v>
      </c>
      <c r="N601" t="n">
        <v>0</v>
      </c>
      <c r="O601" t="n">
        <v>0</v>
      </c>
      <c r="P601" t="n">
        <v>0</v>
      </c>
      <c r="Q601" t="n">
        <v>0</v>
      </c>
      <c r="R601" s="2" t="inlineStr"/>
    </row>
    <row r="602" ht="15" customHeight="1">
      <c r="A602" t="inlineStr">
        <is>
          <t>A 874-2022</t>
        </is>
      </c>
      <c r="B602" s="1" t="n">
        <v>44571</v>
      </c>
      <c r="C602" s="1" t="n">
        <v>45664</v>
      </c>
      <c r="D602" t="inlineStr">
        <is>
          <t>UPPSALA LÄN</t>
        </is>
      </c>
      <c r="E602" t="inlineStr">
        <is>
          <t>UPPSALA</t>
        </is>
      </c>
      <c r="G602" t="n">
        <v>7.2</v>
      </c>
      <c r="H602" t="n">
        <v>0</v>
      </c>
      <c r="I602" t="n">
        <v>0</v>
      </c>
      <c r="J602" t="n">
        <v>0</v>
      </c>
      <c r="K602" t="n">
        <v>0</v>
      </c>
      <c r="L602" t="n">
        <v>0</v>
      </c>
      <c r="M602" t="n">
        <v>0</v>
      </c>
      <c r="N602" t="n">
        <v>0</v>
      </c>
      <c r="O602" t="n">
        <v>0</v>
      </c>
      <c r="P602" t="n">
        <v>0</v>
      </c>
      <c r="Q602" t="n">
        <v>0</v>
      </c>
      <c r="R602" s="2" t="inlineStr"/>
    </row>
    <row r="603" ht="15" customHeight="1">
      <c r="A603" t="inlineStr">
        <is>
          <t>A 1037-2022</t>
        </is>
      </c>
      <c r="B603" s="1" t="n">
        <v>44571</v>
      </c>
      <c r="C603" s="1" t="n">
        <v>45664</v>
      </c>
      <c r="D603" t="inlineStr">
        <is>
          <t>UPPSALA LÄN</t>
        </is>
      </c>
      <c r="E603" t="inlineStr">
        <is>
          <t>UPPSALA</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v>
      </c>
      <c r="C604" s="1" t="n">
        <v>45664</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1298-2022</t>
        </is>
      </c>
      <c r="B605" s="1" t="n">
        <v>44572</v>
      </c>
      <c r="C605" s="1" t="n">
        <v>45664</v>
      </c>
      <c r="D605" t="inlineStr">
        <is>
          <t>UPPSALA LÄN</t>
        </is>
      </c>
      <c r="E605" t="inlineStr">
        <is>
          <t>UPPSALA</t>
        </is>
      </c>
      <c r="F605" t="inlineStr">
        <is>
          <t>Holmen skog AB</t>
        </is>
      </c>
      <c r="G605" t="n">
        <v>5.3</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45664</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1963-2022</t>
        </is>
      </c>
      <c r="B607" s="1" t="n">
        <v>44575</v>
      </c>
      <c r="C607" s="1" t="n">
        <v>45664</v>
      </c>
      <c r="D607" t="inlineStr">
        <is>
          <t>UPPSALA LÄN</t>
        </is>
      </c>
      <c r="E607" t="inlineStr">
        <is>
          <t>UPPSALA</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1975-2022</t>
        </is>
      </c>
      <c r="B608" s="1" t="n">
        <v>44575</v>
      </c>
      <c r="C608" s="1" t="n">
        <v>45664</v>
      </c>
      <c r="D608" t="inlineStr">
        <is>
          <t>UPPSALA LÄN</t>
        </is>
      </c>
      <c r="E608" t="inlineStr">
        <is>
          <t>UPPSALA</t>
        </is>
      </c>
      <c r="G608" t="n">
        <v>3.9</v>
      </c>
      <c r="H608" t="n">
        <v>0</v>
      </c>
      <c r="I608" t="n">
        <v>0</v>
      </c>
      <c r="J608" t="n">
        <v>0</v>
      </c>
      <c r="K608" t="n">
        <v>0</v>
      </c>
      <c r="L608" t="n">
        <v>0</v>
      </c>
      <c r="M608" t="n">
        <v>0</v>
      </c>
      <c r="N608" t="n">
        <v>0</v>
      </c>
      <c r="O608" t="n">
        <v>0</v>
      </c>
      <c r="P608" t="n">
        <v>0</v>
      </c>
      <c r="Q608" t="n">
        <v>0</v>
      </c>
      <c r="R608" s="2" t="inlineStr"/>
    </row>
    <row r="609" ht="15" customHeight="1">
      <c r="A609" t="inlineStr">
        <is>
          <t>A 1936-2022</t>
        </is>
      </c>
      <c r="B609" s="1" t="n">
        <v>44575</v>
      </c>
      <c r="C609" s="1" t="n">
        <v>45664</v>
      </c>
      <c r="D609" t="inlineStr">
        <is>
          <t>UPPSALA LÄN</t>
        </is>
      </c>
      <c r="E609" t="inlineStr">
        <is>
          <t>UPPSALA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1978-2022</t>
        </is>
      </c>
      <c r="B610" s="1" t="n">
        <v>44575</v>
      </c>
      <c r="C610" s="1" t="n">
        <v>45664</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2017-2022</t>
        </is>
      </c>
      <c r="B611" s="1" t="n">
        <v>44575</v>
      </c>
      <c r="C611" s="1" t="n">
        <v>45664</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2228-2022</t>
        </is>
      </c>
      <c r="B612" s="1" t="n">
        <v>44578</v>
      </c>
      <c r="C612" s="1" t="n">
        <v>45664</v>
      </c>
      <c r="D612" t="inlineStr">
        <is>
          <t>UPPSALA LÄN</t>
        </is>
      </c>
      <c r="E612" t="inlineStr">
        <is>
          <t>UPPSALA</t>
        </is>
      </c>
      <c r="F612" t="inlineStr">
        <is>
          <t>Bergvik skog öst AB</t>
        </is>
      </c>
      <c r="G612" t="n">
        <v>3.9</v>
      </c>
      <c r="H612" t="n">
        <v>0</v>
      </c>
      <c r="I612" t="n">
        <v>0</v>
      </c>
      <c r="J612" t="n">
        <v>0</v>
      </c>
      <c r="K612" t="n">
        <v>0</v>
      </c>
      <c r="L612" t="n">
        <v>0</v>
      </c>
      <c r="M612" t="n">
        <v>0</v>
      </c>
      <c r="N612" t="n">
        <v>0</v>
      </c>
      <c r="O612" t="n">
        <v>0</v>
      </c>
      <c r="P612" t="n">
        <v>0</v>
      </c>
      <c r="Q612" t="n">
        <v>0</v>
      </c>
      <c r="R612" s="2" t="inlineStr"/>
    </row>
    <row r="613" ht="15" customHeight="1">
      <c r="A613" t="inlineStr">
        <is>
          <t>A 2927-2022</t>
        </is>
      </c>
      <c r="B613" s="1" t="n">
        <v>44581</v>
      </c>
      <c r="C613" s="1" t="n">
        <v>45664</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3259-2022</t>
        </is>
      </c>
      <c r="B614" s="1" t="n">
        <v>44583</v>
      </c>
      <c r="C614" s="1" t="n">
        <v>45664</v>
      </c>
      <c r="D614" t="inlineStr">
        <is>
          <t>UPPSALA LÄN</t>
        </is>
      </c>
      <c r="E614" t="inlineStr">
        <is>
          <t>UPPSALA</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3261-2022</t>
        </is>
      </c>
      <c r="B615" s="1" t="n">
        <v>44583</v>
      </c>
      <c r="C615" s="1" t="n">
        <v>45664</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3252-2022</t>
        </is>
      </c>
      <c r="B616" s="1" t="n">
        <v>44583</v>
      </c>
      <c r="C616" s="1" t="n">
        <v>45664</v>
      </c>
      <c r="D616" t="inlineStr">
        <is>
          <t>UPPSALA LÄN</t>
        </is>
      </c>
      <c r="E616" t="inlineStr">
        <is>
          <t>UPPSALA</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3258-2022</t>
        </is>
      </c>
      <c r="B617" s="1" t="n">
        <v>44583</v>
      </c>
      <c r="C617" s="1" t="n">
        <v>45664</v>
      </c>
      <c r="D617" t="inlineStr">
        <is>
          <t>UPPSALA LÄN</t>
        </is>
      </c>
      <c r="E617" t="inlineStr">
        <is>
          <t>UPPSALA</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3262-2022</t>
        </is>
      </c>
      <c r="B618" s="1" t="n">
        <v>44583</v>
      </c>
      <c r="C618" s="1" t="n">
        <v>45664</v>
      </c>
      <c r="D618" t="inlineStr">
        <is>
          <t>UPPSALA LÄN</t>
        </is>
      </c>
      <c r="E618" t="inlineStr">
        <is>
          <t>UPPSALA</t>
        </is>
      </c>
      <c r="F618" t="inlineStr">
        <is>
          <t>Holmen skog AB</t>
        </is>
      </c>
      <c r="G618" t="n">
        <v>5.4</v>
      </c>
      <c r="H618" t="n">
        <v>0</v>
      </c>
      <c r="I618" t="n">
        <v>0</v>
      </c>
      <c r="J618" t="n">
        <v>0</v>
      </c>
      <c r="K618" t="n">
        <v>0</v>
      </c>
      <c r="L618" t="n">
        <v>0</v>
      </c>
      <c r="M618" t="n">
        <v>0</v>
      </c>
      <c r="N618" t="n">
        <v>0</v>
      </c>
      <c r="O618" t="n">
        <v>0</v>
      </c>
      <c r="P618" t="n">
        <v>0</v>
      </c>
      <c r="Q618" t="n">
        <v>0</v>
      </c>
      <c r="R618" s="2" t="inlineStr"/>
    </row>
    <row r="619" ht="15" customHeight="1">
      <c r="A619" t="inlineStr">
        <is>
          <t>A 3255-2022</t>
        </is>
      </c>
      <c r="B619" s="1" t="n">
        <v>44583</v>
      </c>
      <c r="C619" s="1" t="n">
        <v>45664</v>
      </c>
      <c r="D619" t="inlineStr">
        <is>
          <t>UPPSALA LÄN</t>
        </is>
      </c>
      <c r="E619" t="inlineStr">
        <is>
          <t>UPPSALA</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3260-2022</t>
        </is>
      </c>
      <c r="B620" s="1" t="n">
        <v>44583</v>
      </c>
      <c r="C620" s="1" t="n">
        <v>45664</v>
      </c>
      <c r="D620" t="inlineStr">
        <is>
          <t>UPPSALA LÄN</t>
        </is>
      </c>
      <c r="E620" t="inlineStr">
        <is>
          <t>UPPSALA</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3284-2022</t>
        </is>
      </c>
      <c r="B621" s="1" t="n">
        <v>44584</v>
      </c>
      <c r="C621" s="1" t="n">
        <v>45664</v>
      </c>
      <c r="D621" t="inlineStr">
        <is>
          <t>UPPSALA LÄN</t>
        </is>
      </c>
      <c r="E621" t="inlineStr">
        <is>
          <t>UPPSALA</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3287-2022</t>
        </is>
      </c>
      <c r="B622" s="1" t="n">
        <v>44584</v>
      </c>
      <c r="C622" s="1" t="n">
        <v>45664</v>
      </c>
      <c r="D622" t="inlineStr">
        <is>
          <t>UPPSALA LÄN</t>
        </is>
      </c>
      <c r="E622" t="inlineStr">
        <is>
          <t>UPPSALA</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4059-2022</t>
        </is>
      </c>
      <c r="B623" s="1" t="n">
        <v>44588</v>
      </c>
      <c r="C623" s="1" t="n">
        <v>45664</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4312-2022</t>
        </is>
      </c>
      <c r="B624" s="1" t="n">
        <v>44588</v>
      </c>
      <c r="C624" s="1" t="n">
        <v>45664</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4444-2022</t>
        </is>
      </c>
      <c r="B625" s="1" t="n">
        <v>44589</v>
      </c>
      <c r="C625" s="1" t="n">
        <v>45664</v>
      </c>
      <c r="D625" t="inlineStr">
        <is>
          <t>UPPSALA LÄN</t>
        </is>
      </c>
      <c r="E625" t="inlineStr">
        <is>
          <t>UPPSALA</t>
        </is>
      </c>
      <c r="G625" t="n">
        <v>3.2</v>
      </c>
      <c r="H625" t="n">
        <v>0</v>
      </c>
      <c r="I625" t="n">
        <v>0</v>
      </c>
      <c r="J625" t="n">
        <v>0</v>
      </c>
      <c r="K625" t="n">
        <v>0</v>
      </c>
      <c r="L625" t="n">
        <v>0</v>
      </c>
      <c r="M625" t="n">
        <v>0</v>
      </c>
      <c r="N625" t="n">
        <v>0</v>
      </c>
      <c r="O625" t="n">
        <v>0</v>
      </c>
      <c r="P625" t="n">
        <v>0</v>
      </c>
      <c r="Q625" t="n">
        <v>0</v>
      </c>
      <c r="R625" s="2" t="inlineStr"/>
    </row>
    <row r="626" ht="15" customHeight="1">
      <c r="A626" t="inlineStr">
        <is>
          <t>A 4929-2022</t>
        </is>
      </c>
      <c r="B626" s="1" t="n">
        <v>44593</v>
      </c>
      <c r="C626" s="1" t="n">
        <v>45664</v>
      </c>
      <c r="D626" t="inlineStr">
        <is>
          <t>UPPSALA LÄN</t>
        </is>
      </c>
      <c r="E626" t="inlineStr">
        <is>
          <t>UPPSALA</t>
        </is>
      </c>
      <c r="G626" t="n">
        <v>2.4</v>
      </c>
      <c r="H626" t="n">
        <v>0</v>
      </c>
      <c r="I626" t="n">
        <v>0</v>
      </c>
      <c r="J626" t="n">
        <v>0</v>
      </c>
      <c r="K626" t="n">
        <v>0</v>
      </c>
      <c r="L626" t="n">
        <v>0</v>
      </c>
      <c r="M626" t="n">
        <v>0</v>
      </c>
      <c r="N626" t="n">
        <v>0</v>
      </c>
      <c r="O626" t="n">
        <v>0</v>
      </c>
      <c r="P626" t="n">
        <v>0</v>
      </c>
      <c r="Q626" t="n">
        <v>0</v>
      </c>
      <c r="R626" s="2" t="inlineStr"/>
    </row>
    <row r="627" ht="15" customHeight="1">
      <c r="A627" t="inlineStr">
        <is>
          <t>A 5027-2022</t>
        </is>
      </c>
      <c r="B627" s="1" t="n">
        <v>44593</v>
      </c>
      <c r="C627" s="1" t="n">
        <v>45664</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5081-2022</t>
        </is>
      </c>
      <c r="B628" s="1" t="n">
        <v>44593</v>
      </c>
      <c r="C628" s="1" t="n">
        <v>45664</v>
      </c>
      <c r="D628" t="inlineStr">
        <is>
          <t>UPPSALA LÄN</t>
        </is>
      </c>
      <c r="E628" t="inlineStr">
        <is>
          <t>UPPSALA</t>
        </is>
      </c>
      <c r="G628" t="n">
        <v>3</v>
      </c>
      <c r="H628" t="n">
        <v>0</v>
      </c>
      <c r="I628" t="n">
        <v>0</v>
      </c>
      <c r="J628" t="n">
        <v>0</v>
      </c>
      <c r="K628" t="n">
        <v>0</v>
      </c>
      <c r="L628" t="n">
        <v>0</v>
      </c>
      <c r="M628" t="n">
        <v>0</v>
      </c>
      <c r="N628" t="n">
        <v>0</v>
      </c>
      <c r="O628" t="n">
        <v>0</v>
      </c>
      <c r="P628" t="n">
        <v>0</v>
      </c>
      <c r="Q628" t="n">
        <v>0</v>
      </c>
      <c r="R628" s="2" t="inlineStr"/>
    </row>
    <row r="629" ht="15" customHeight="1">
      <c r="A629" t="inlineStr">
        <is>
          <t>A 5007-2022</t>
        </is>
      </c>
      <c r="B629" s="1" t="n">
        <v>44593</v>
      </c>
      <c r="C629" s="1" t="n">
        <v>45664</v>
      </c>
      <c r="D629" t="inlineStr">
        <is>
          <t>UPPSALA LÄN</t>
        </is>
      </c>
      <c r="E629" t="inlineStr">
        <is>
          <t>UPPSALA</t>
        </is>
      </c>
      <c r="F629" t="inlineStr">
        <is>
          <t>BillerudKorsnäs AB</t>
        </is>
      </c>
      <c r="G629" t="n">
        <v>3.6</v>
      </c>
      <c r="H629" t="n">
        <v>0</v>
      </c>
      <c r="I629" t="n">
        <v>0</v>
      </c>
      <c r="J629" t="n">
        <v>0</v>
      </c>
      <c r="K629" t="n">
        <v>0</v>
      </c>
      <c r="L629" t="n">
        <v>0</v>
      </c>
      <c r="M629" t="n">
        <v>0</v>
      </c>
      <c r="N629" t="n">
        <v>0</v>
      </c>
      <c r="O629" t="n">
        <v>0</v>
      </c>
      <c r="P629" t="n">
        <v>0</v>
      </c>
      <c r="Q629" t="n">
        <v>0</v>
      </c>
      <c r="R629" s="2" t="inlineStr"/>
    </row>
    <row r="630" ht="15" customHeight="1">
      <c r="A630" t="inlineStr">
        <is>
          <t>A 5006-2022</t>
        </is>
      </c>
      <c r="B630" s="1" t="n">
        <v>44593</v>
      </c>
      <c r="C630" s="1" t="n">
        <v>45664</v>
      </c>
      <c r="D630" t="inlineStr">
        <is>
          <t>UPPSALA LÄN</t>
        </is>
      </c>
      <c r="E630" t="inlineStr">
        <is>
          <t>UPPSALA</t>
        </is>
      </c>
      <c r="F630" t="inlineStr">
        <is>
          <t>BillerudKorsnäs AB</t>
        </is>
      </c>
      <c r="G630" t="n">
        <v>1.4</v>
      </c>
      <c r="H630" t="n">
        <v>0</v>
      </c>
      <c r="I630" t="n">
        <v>0</v>
      </c>
      <c r="J630" t="n">
        <v>0</v>
      </c>
      <c r="K630" t="n">
        <v>0</v>
      </c>
      <c r="L630" t="n">
        <v>0</v>
      </c>
      <c r="M630" t="n">
        <v>0</v>
      </c>
      <c r="N630" t="n">
        <v>0</v>
      </c>
      <c r="O630" t="n">
        <v>0</v>
      </c>
      <c r="P630" t="n">
        <v>0</v>
      </c>
      <c r="Q630" t="n">
        <v>0</v>
      </c>
      <c r="R630" s="2" t="inlineStr"/>
    </row>
    <row r="631" ht="15" customHeight="1">
      <c r="A631" t="inlineStr">
        <is>
          <t>A 5028-2022</t>
        </is>
      </c>
      <c r="B631" s="1" t="n">
        <v>44593</v>
      </c>
      <c r="C631" s="1" t="n">
        <v>45664</v>
      </c>
      <c r="D631" t="inlineStr">
        <is>
          <t>UPPSALA LÄN</t>
        </is>
      </c>
      <c r="E631" t="inlineStr">
        <is>
          <t>UPPSALA</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5309-2022</t>
        </is>
      </c>
      <c r="B632" s="1" t="n">
        <v>44594</v>
      </c>
      <c r="C632" s="1" t="n">
        <v>45664</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5189-2022</t>
        </is>
      </c>
      <c r="B633" s="1" t="n">
        <v>44594</v>
      </c>
      <c r="C633" s="1" t="n">
        <v>45664</v>
      </c>
      <c r="D633" t="inlineStr">
        <is>
          <t>UPPSALA LÄN</t>
        </is>
      </c>
      <c r="E633" t="inlineStr">
        <is>
          <t>UPPSALA</t>
        </is>
      </c>
      <c r="G633" t="n">
        <v>5.9</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45664</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5989-2022</t>
        </is>
      </c>
      <c r="B635" s="1" t="n">
        <v>44599</v>
      </c>
      <c r="C635" s="1" t="n">
        <v>45664</v>
      </c>
      <c r="D635" t="inlineStr">
        <is>
          <t>UPPSALA LÄN</t>
        </is>
      </c>
      <c r="E635" t="inlineStr">
        <is>
          <t>UPPSALA</t>
        </is>
      </c>
      <c r="G635" t="n">
        <v>2.8</v>
      </c>
      <c r="H635" t="n">
        <v>0</v>
      </c>
      <c r="I635" t="n">
        <v>0</v>
      </c>
      <c r="J635" t="n">
        <v>0</v>
      </c>
      <c r="K635" t="n">
        <v>0</v>
      </c>
      <c r="L635" t="n">
        <v>0</v>
      </c>
      <c r="M635" t="n">
        <v>0</v>
      </c>
      <c r="N635" t="n">
        <v>0</v>
      </c>
      <c r="O635" t="n">
        <v>0</v>
      </c>
      <c r="P635" t="n">
        <v>0</v>
      </c>
      <c r="Q635" t="n">
        <v>0</v>
      </c>
      <c r="R635" s="2" t="inlineStr"/>
    </row>
    <row r="636" ht="15" customHeight="1">
      <c r="A636" t="inlineStr">
        <is>
          <t>A 6009-2022</t>
        </is>
      </c>
      <c r="B636" s="1" t="n">
        <v>44599</v>
      </c>
      <c r="C636" s="1" t="n">
        <v>45664</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5996-2022</t>
        </is>
      </c>
      <c r="B637" s="1" t="n">
        <v>44599</v>
      </c>
      <c r="C637" s="1" t="n">
        <v>45664</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6339-2022</t>
        </is>
      </c>
      <c r="B638" s="1" t="n">
        <v>44600</v>
      </c>
      <c r="C638" s="1" t="n">
        <v>45664</v>
      </c>
      <c r="D638" t="inlineStr">
        <is>
          <t>UPPSALA LÄN</t>
        </is>
      </c>
      <c r="E638" t="inlineStr">
        <is>
          <t>UPPSALA</t>
        </is>
      </c>
      <c r="G638" t="n">
        <v>18.7</v>
      </c>
      <c r="H638" t="n">
        <v>0</v>
      </c>
      <c r="I638" t="n">
        <v>0</v>
      </c>
      <c r="J638" t="n">
        <v>0</v>
      </c>
      <c r="K638" t="n">
        <v>0</v>
      </c>
      <c r="L638" t="n">
        <v>0</v>
      </c>
      <c r="M638" t="n">
        <v>0</v>
      </c>
      <c r="N638" t="n">
        <v>0</v>
      </c>
      <c r="O638" t="n">
        <v>0</v>
      </c>
      <c r="P638" t="n">
        <v>0</v>
      </c>
      <c r="Q638" t="n">
        <v>0</v>
      </c>
      <c r="R638" s="2" t="inlineStr"/>
    </row>
    <row r="639" ht="15" customHeight="1">
      <c r="A639" t="inlineStr">
        <is>
          <t>A 6408-2022</t>
        </is>
      </c>
      <c r="B639" s="1" t="n">
        <v>44600</v>
      </c>
      <c r="C639" s="1" t="n">
        <v>45664</v>
      </c>
      <c r="D639" t="inlineStr">
        <is>
          <t>UPPSALA LÄN</t>
        </is>
      </c>
      <c r="E639" t="inlineStr">
        <is>
          <t>UPPSALA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6717-2022</t>
        </is>
      </c>
      <c r="B640" s="1" t="n">
        <v>44602</v>
      </c>
      <c r="C640" s="1" t="n">
        <v>45664</v>
      </c>
      <c r="D640" t="inlineStr">
        <is>
          <t>UPPSALA LÄN</t>
        </is>
      </c>
      <c r="E640" t="inlineStr">
        <is>
          <t>UPPSALA</t>
        </is>
      </c>
      <c r="F640" t="inlineStr">
        <is>
          <t>Övriga Aktiebolag</t>
        </is>
      </c>
      <c r="G640" t="n">
        <v>6.7</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45664</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45664</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6850-2022</t>
        </is>
      </c>
      <c r="B643" s="1" t="n">
        <v>44602</v>
      </c>
      <c r="C643" s="1" t="n">
        <v>45664</v>
      </c>
      <c r="D643" t="inlineStr">
        <is>
          <t>UPPSALA LÄN</t>
        </is>
      </c>
      <c r="E643" t="inlineStr">
        <is>
          <t>UPPSALA</t>
        </is>
      </c>
      <c r="G643" t="n">
        <v>3.7</v>
      </c>
      <c r="H643" t="n">
        <v>0</v>
      </c>
      <c r="I643" t="n">
        <v>0</v>
      </c>
      <c r="J643" t="n">
        <v>0</v>
      </c>
      <c r="K643" t="n">
        <v>0</v>
      </c>
      <c r="L643" t="n">
        <v>0</v>
      </c>
      <c r="M643" t="n">
        <v>0</v>
      </c>
      <c r="N643" t="n">
        <v>0</v>
      </c>
      <c r="O643" t="n">
        <v>0</v>
      </c>
      <c r="P643" t="n">
        <v>0</v>
      </c>
      <c r="Q643" t="n">
        <v>0</v>
      </c>
      <c r="R643" s="2" t="inlineStr"/>
    </row>
    <row r="644" ht="15" customHeight="1">
      <c r="A644" t="inlineStr">
        <is>
          <t>A 6851-2022</t>
        </is>
      </c>
      <c r="B644" s="1" t="n">
        <v>44602</v>
      </c>
      <c r="C644" s="1" t="n">
        <v>45664</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6855-2022</t>
        </is>
      </c>
      <c r="B645" s="1" t="n">
        <v>44602</v>
      </c>
      <c r="C645" s="1" t="n">
        <v>45664</v>
      </c>
      <c r="D645" t="inlineStr">
        <is>
          <t>UPPSALA LÄN</t>
        </is>
      </c>
      <c r="E645" t="inlineStr">
        <is>
          <t>UPPSALA</t>
        </is>
      </c>
      <c r="G645" t="n">
        <v>4.6</v>
      </c>
      <c r="H645" t="n">
        <v>0</v>
      </c>
      <c r="I645" t="n">
        <v>0</v>
      </c>
      <c r="J645" t="n">
        <v>0</v>
      </c>
      <c r="K645" t="n">
        <v>0</v>
      </c>
      <c r="L645" t="n">
        <v>0</v>
      </c>
      <c r="M645" t="n">
        <v>0</v>
      </c>
      <c r="N645" t="n">
        <v>0</v>
      </c>
      <c r="O645" t="n">
        <v>0</v>
      </c>
      <c r="P645" t="n">
        <v>0</v>
      </c>
      <c r="Q645" t="n">
        <v>0</v>
      </c>
      <c r="R645" s="2" t="inlineStr"/>
    </row>
    <row r="646" ht="15" customHeight="1">
      <c r="A646" t="inlineStr">
        <is>
          <t>A 6860-2022</t>
        </is>
      </c>
      <c r="B646" s="1" t="n">
        <v>44602</v>
      </c>
      <c r="C646" s="1" t="n">
        <v>45664</v>
      </c>
      <c r="D646" t="inlineStr">
        <is>
          <t>UPPSALA LÄN</t>
        </is>
      </c>
      <c r="E646" t="inlineStr">
        <is>
          <t>UPPSALA</t>
        </is>
      </c>
      <c r="G646" t="n">
        <v>14.8</v>
      </c>
      <c r="H646" t="n">
        <v>0</v>
      </c>
      <c r="I646" t="n">
        <v>0</v>
      </c>
      <c r="J646" t="n">
        <v>0</v>
      </c>
      <c r="K646" t="n">
        <v>0</v>
      </c>
      <c r="L646" t="n">
        <v>0</v>
      </c>
      <c r="M646" t="n">
        <v>0</v>
      </c>
      <c r="N646" t="n">
        <v>0</v>
      </c>
      <c r="O646" t="n">
        <v>0</v>
      </c>
      <c r="P646" t="n">
        <v>0</v>
      </c>
      <c r="Q646" t="n">
        <v>0</v>
      </c>
      <c r="R646" s="2" t="inlineStr"/>
    </row>
    <row r="647" ht="15" customHeight="1">
      <c r="A647" t="inlineStr">
        <is>
          <t>A 6989-2022</t>
        </is>
      </c>
      <c r="B647" s="1" t="n">
        <v>44603</v>
      </c>
      <c r="C647" s="1" t="n">
        <v>45664</v>
      </c>
      <c r="D647" t="inlineStr">
        <is>
          <t>UPPSALA LÄN</t>
        </is>
      </c>
      <c r="E647" t="inlineStr">
        <is>
          <t>UPPSALA</t>
        </is>
      </c>
      <c r="G647" t="n">
        <v>3.1</v>
      </c>
      <c r="H647" t="n">
        <v>0</v>
      </c>
      <c r="I647" t="n">
        <v>0</v>
      </c>
      <c r="J647" t="n">
        <v>0</v>
      </c>
      <c r="K647" t="n">
        <v>0</v>
      </c>
      <c r="L647" t="n">
        <v>0</v>
      </c>
      <c r="M647" t="n">
        <v>0</v>
      </c>
      <c r="N647" t="n">
        <v>0</v>
      </c>
      <c r="O647" t="n">
        <v>0</v>
      </c>
      <c r="P647" t="n">
        <v>0</v>
      </c>
      <c r="Q647" t="n">
        <v>0</v>
      </c>
      <c r="R647" s="2" t="inlineStr"/>
    </row>
    <row r="648" ht="15" customHeight="1">
      <c r="A648" t="inlineStr">
        <is>
          <t>A 7040-2022</t>
        </is>
      </c>
      <c r="B648" s="1" t="n">
        <v>44603</v>
      </c>
      <c r="C648" s="1" t="n">
        <v>45664</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7124-2022</t>
        </is>
      </c>
      <c r="B649" s="1" t="n">
        <v>44603</v>
      </c>
      <c r="C649" s="1" t="n">
        <v>45664</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7409-2022</t>
        </is>
      </c>
      <c r="B650" s="1" t="n">
        <v>44606</v>
      </c>
      <c r="C650" s="1" t="n">
        <v>45664</v>
      </c>
      <c r="D650" t="inlineStr">
        <is>
          <t>UPPSALA LÄN</t>
        </is>
      </c>
      <c r="E650" t="inlineStr">
        <is>
          <t>UPPSALA</t>
        </is>
      </c>
      <c r="G650" t="n">
        <v>4.3</v>
      </c>
      <c r="H650" t="n">
        <v>0</v>
      </c>
      <c r="I650" t="n">
        <v>0</v>
      </c>
      <c r="J650" t="n">
        <v>0</v>
      </c>
      <c r="K650" t="n">
        <v>0</v>
      </c>
      <c r="L650" t="n">
        <v>0</v>
      </c>
      <c r="M650" t="n">
        <v>0</v>
      </c>
      <c r="N650" t="n">
        <v>0</v>
      </c>
      <c r="O650" t="n">
        <v>0</v>
      </c>
      <c r="P650" t="n">
        <v>0</v>
      </c>
      <c r="Q650" t="n">
        <v>0</v>
      </c>
      <c r="R650" s="2" t="inlineStr"/>
    </row>
    <row r="651" ht="15" customHeight="1">
      <c r="A651" t="inlineStr">
        <is>
          <t>A 7899-2022</t>
        </is>
      </c>
      <c r="B651" s="1" t="n">
        <v>44608</v>
      </c>
      <c r="C651" s="1" t="n">
        <v>45664</v>
      </c>
      <c r="D651" t="inlineStr">
        <is>
          <t>UPPSALA LÄN</t>
        </is>
      </c>
      <c r="E651" t="inlineStr">
        <is>
          <t>UPPSALA</t>
        </is>
      </c>
      <c r="F651" t="inlineStr">
        <is>
          <t>Övriga Aktiebolag</t>
        </is>
      </c>
      <c r="G651" t="n">
        <v>7.1</v>
      </c>
      <c r="H651" t="n">
        <v>0</v>
      </c>
      <c r="I651" t="n">
        <v>0</v>
      </c>
      <c r="J651" t="n">
        <v>0</v>
      </c>
      <c r="K651" t="n">
        <v>0</v>
      </c>
      <c r="L651" t="n">
        <v>0</v>
      </c>
      <c r="M651" t="n">
        <v>0</v>
      </c>
      <c r="N651" t="n">
        <v>0</v>
      </c>
      <c r="O651" t="n">
        <v>0</v>
      </c>
      <c r="P651" t="n">
        <v>0</v>
      </c>
      <c r="Q651" t="n">
        <v>0</v>
      </c>
      <c r="R651" s="2" t="inlineStr"/>
    </row>
    <row r="652" ht="15" customHeight="1">
      <c r="A652" t="inlineStr">
        <is>
          <t>A 8090-2022</t>
        </is>
      </c>
      <c r="B652" s="1" t="n">
        <v>44608</v>
      </c>
      <c r="C652" s="1" t="n">
        <v>45664</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7996-2022</t>
        </is>
      </c>
      <c r="B653" s="1" t="n">
        <v>44609</v>
      </c>
      <c r="C653" s="1" t="n">
        <v>45664</v>
      </c>
      <c r="D653" t="inlineStr">
        <is>
          <t>UPPSALA LÄN</t>
        </is>
      </c>
      <c r="E653" t="inlineStr">
        <is>
          <t>UPPSALA</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8007-2022</t>
        </is>
      </c>
      <c r="B654" s="1" t="n">
        <v>44609</v>
      </c>
      <c r="C654" s="1" t="n">
        <v>45664</v>
      </c>
      <c r="D654" t="inlineStr">
        <is>
          <t>UPPSALA LÄN</t>
        </is>
      </c>
      <c r="E654" t="inlineStr">
        <is>
          <t>UPPSALA</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8132-2022</t>
        </is>
      </c>
      <c r="B655" s="1" t="n">
        <v>44609</v>
      </c>
      <c r="C655" s="1" t="n">
        <v>45664</v>
      </c>
      <c r="D655" t="inlineStr">
        <is>
          <t>UPPSALA LÄN</t>
        </is>
      </c>
      <c r="E655" t="inlineStr">
        <is>
          <t>UPPSALA</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8139-2022</t>
        </is>
      </c>
      <c r="B656" s="1" t="n">
        <v>44609</v>
      </c>
      <c r="C656" s="1" t="n">
        <v>45664</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8404-2022</t>
        </is>
      </c>
      <c r="B657" s="1" t="n">
        <v>44610</v>
      </c>
      <c r="C657" s="1" t="n">
        <v>45664</v>
      </c>
      <c r="D657" t="inlineStr">
        <is>
          <t>UPPSALA LÄN</t>
        </is>
      </c>
      <c r="E657" t="inlineStr">
        <is>
          <t>UPPSALA</t>
        </is>
      </c>
      <c r="F657" t="inlineStr">
        <is>
          <t>Allmännings- och besparingsskogar</t>
        </is>
      </c>
      <c r="G657" t="n">
        <v>5.4</v>
      </c>
      <c r="H657" t="n">
        <v>0</v>
      </c>
      <c r="I657" t="n">
        <v>0</v>
      </c>
      <c r="J657" t="n">
        <v>0</v>
      </c>
      <c r="K657" t="n">
        <v>0</v>
      </c>
      <c r="L657" t="n">
        <v>0</v>
      </c>
      <c r="M657" t="n">
        <v>0</v>
      </c>
      <c r="N657" t="n">
        <v>0</v>
      </c>
      <c r="O657" t="n">
        <v>0</v>
      </c>
      <c r="P657" t="n">
        <v>0</v>
      </c>
      <c r="Q657" t="n">
        <v>0</v>
      </c>
      <c r="R657" s="2" t="inlineStr"/>
    </row>
    <row r="658" ht="15" customHeight="1">
      <c r="A658" t="inlineStr">
        <is>
          <t>A 8475-2022</t>
        </is>
      </c>
      <c r="B658" s="1" t="n">
        <v>44610</v>
      </c>
      <c r="C658" s="1" t="n">
        <v>45664</v>
      </c>
      <c r="D658" t="inlineStr">
        <is>
          <t>UPPSALA LÄN</t>
        </is>
      </c>
      <c r="E658" t="inlineStr">
        <is>
          <t>UPPSALA</t>
        </is>
      </c>
      <c r="F658" t="inlineStr">
        <is>
          <t>Allmännings- och besparingsskogar</t>
        </is>
      </c>
      <c r="G658" t="n">
        <v>32.7</v>
      </c>
      <c r="H658" t="n">
        <v>0</v>
      </c>
      <c r="I658" t="n">
        <v>0</v>
      </c>
      <c r="J658" t="n">
        <v>0</v>
      </c>
      <c r="K658" t="n">
        <v>0</v>
      </c>
      <c r="L658" t="n">
        <v>0</v>
      </c>
      <c r="M658" t="n">
        <v>0</v>
      </c>
      <c r="N658" t="n">
        <v>0</v>
      </c>
      <c r="O658" t="n">
        <v>0</v>
      </c>
      <c r="P658" t="n">
        <v>0</v>
      </c>
      <c r="Q658" t="n">
        <v>0</v>
      </c>
      <c r="R658" s="2" t="inlineStr"/>
    </row>
    <row r="659" ht="15" customHeight="1">
      <c r="A659" t="inlineStr">
        <is>
          <t>A 8465-2022</t>
        </is>
      </c>
      <c r="B659" s="1" t="n">
        <v>44610</v>
      </c>
      <c r="C659" s="1" t="n">
        <v>45664</v>
      </c>
      <c r="D659" t="inlineStr">
        <is>
          <t>UPPSALA LÄN</t>
        </is>
      </c>
      <c r="E659" t="inlineStr">
        <is>
          <t>UPPSALA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8451-2022</t>
        </is>
      </c>
      <c r="B660" s="1" t="n">
        <v>44612</v>
      </c>
      <c r="C660" s="1" t="n">
        <v>45664</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8877-2022</t>
        </is>
      </c>
      <c r="B661" s="1" t="n">
        <v>44614</v>
      </c>
      <c r="C661" s="1" t="n">
        <v>45664</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8933-2022</t>
        </is>
      </c>
      <c r="B662" s="1" t="n">
        <v>44614</v>
      </c>
      <c r="C662" s="1" t="n">
        <v>45664</v>
      </c>
      <c r="D662" t="inlineStr">
        <is>
          <t>UPPSALA LÄN</t>
        </is>
      </c>
      <c r="E662" t="inlineStr">
        <is>
          <t>UPPSALA</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9206-2022</t>
        </is>
      </c>
      <c r="B663" s="1" t="n">
        <v>44616</v>
      </c>
      <c r="C663" s="1" t="n">
        <v>45664</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9242-2022</t>
        </is>
      </c>
      <c r="B664" s="1" t="n">
        <v>44616</v>
      </c>
      <c r="C664" s="1" t="n">
        <v>45664</v>
      </c>
      <c r="D664" t="inlineStr">
        <is>
          <t>UPPSALA LÄN</t>
        </is>
      </c>
      <c r="E664" t="inlineStr">
        <is>
          <t>UPPSALA</t>
        </is>
      </c>
      <c r="F664" t="inlineStr">
        <is>
          <t>Övriga Aktiebolag</t>
        </is>
      </c>
      <c r="G664" t="n">
        <v>5.9</v>
      </c>
      <c r="H664" t="n">
        <v>0</v>
      </c>
      <c r="I664" t="n">
        <v>0</v>
      </c>
      <c r="J664" t="n">
        <v>0</v>
      </c>
      <c r="K664" t="n">
        <v>0</v>
      </c>
      <c r="L664" t="n">
        <v>0</v>
      </c>
      <c r="M664" t="n">
        <v>0</v>
      </c>
      <c r="N664" t="n">
        <v>0</v>
      </c>
      <c r="O664" t="n">
        <v>0</v>
      </c>
      <c r="P664" t="n">
        <v>0</v>
      </c>
      <c r="Q664" t="n">
        <v>0</v>
      </c>
      <c r="R664" s="2" t="inlineStr"/>
    </row>
    <row r="665" ht="15" customHeight="1">
      <c r="A665" t="inlineStr">
        <is>
          <t>A 9592-2022</t>
        </is>
      </c>
      <c r="B665" s="1" t="n">
        <v>44617</v>
      </c>
      <c r="C665" s="1" t="n">
        <v>45664</v>
      </c>
      <c r="D665" t="inlineStr">
        <is>
          <t>UPPSALA LÄN</t>
        </is>
      </c>
      <c r="E665" t="inlineStr">
        <is>
          <t>UPPSALA</t>
        </is>
      </c>
      <c r="G665" t="n">
        <v>7.5</v>
      </c>
      <c r="H665" t="n">
        <v>0</v>
      </c>
      <c r="I665" t="n">
        <v>0</v>
      </c>
      <c r="J665" t="n">
        <v>0</v>
      </c>
      <c r="K665" t="n">
        <v>0</v>
      </c>
      <c r="L665" t="n">
        <v>0</v>
      </c>
      <c r="M665" t="n">
        <v>0</v>
      </c>
      <c r="N665" t="n">
        <v>0</v>
      </c>
      <c r="O665" t="n">
        <v>0</v>
      </c>
      <c r="P665" t="n">
        <v>0</v>
      </c>
      <c r="Q665" t="n">
        <v>0</v>
      </c>
      <c r="R665" s="2" t="inlineStr"/>
    </row>
    <row r="666" ht="15" customHeight="1">
      <c r="A666" t="inlineStr">
        <is>
          <t>A 10411-2022</t>
        </is>
      </c>
      <c r="B666" s="1" t="n">
        <v>44623</v>
      </c>
      <c r="C666" s="1" t="n">
        <v>45664</v>
      </c>
      <c r="D666" t="inlineStr">
        <is>
          <t>UPPSALA LÄN</t>
        </is>
      </c>
      <c r="E666" t="inlineStr">
        <is>
          <t>UPPSALA</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10383-2022</t>
        </is>
      </c>
      <c r="B667" s="1" t="n">
        <v>44623</v>
      </c>
      <c r="C667" s="1" t="n">
        <v>45664</v>
      </c>
      <c r="D667" t="inlineStr">
        <is>
          <t>UPPSALA LÄN</t>
        </is>
      </c>
      <c r="E667" t="inlineStr">
        <is>
          <t>UPPSALA</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10456-2022</t>
        </is>
      </c>
      <c r="B668" s="1" t="n">
        <v>44623</v>
      </c>
      <c r="C668" s="1" t="n">
        <v>45664</v>
      </c>
      <c r="D668" t="inlineStr">
        <is>
          <t>UPPSALA LÄN</t>
        </is>
      </c>
      <c r="E668" t="inlineStr">
        <is>
          <t>UPPSALA</t>
        </is>
      </c>
      <c r="F668" t="inlineStr">
        <is>
          <t>Övriga Aktiebolag</t>
        </is>
      </c>
      <c r="G668" t="n">
        <v>12.6</v>
      </c>
      <c r="H668" t="n">
        <v>0</v>
      </c>
      <c r="I668" t="n">
        <v>0</v>
      </c>
      <c r="J668" t="n">
        <v>0</v>
      </c>
      <c r="K668" t="n">
        <v>0</v>
      </c>
      <c r="L668" t="n">
        <v>0</v>
      </c>
      <c r="M668" t="n">
        <v>0</v>
      </c>
      <c r="N668" t="n">
        <v>0</v>
      </c>
      <c r="O668" t="n">
        <v>0</v>
      </c>
      <c r="P668" t="n">
        <v>0</v>
      </c>
      <c r="Q668" t="n">
        <v>0</v>
      </c>
      <c r="R668" s="2" t="inlineStr"/>
    </row>
    <row r="669" ht="15" customHeight="1">
      <c r="A669" t="inlineStr">
        <is>
          <t>A 10464-2022</t>
        </is>
      </c>
      <c r="B669" s="1" t="n">
        <v>44623</v>
      </c>
      <c r="C669" s="1" t="n">
        <v>45664</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10565-2022</t>
        </is>
      </c>
      <c r="B670" s="1" t="n">
        <v>44624</v>
      </c>
      <c r="C670" s="1" t="n">
        <v>45664</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10674-2022</t>
        </is>
      </c>
      <c r="B671" s="1" t="n">
        <v>44624</v>
      </c>
      <c r="C671" s="1" t="n">
        <v>45664</v>
      </c>
      <c r="D671" t="inlineStr">
        <is>
          <t>UPPSALA LÄN</t>
        </is>
      </c>
      <c r="E671" t="inlineStr">
        <is>
          <t>UPPSALA</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11162-2022</t>
        </is>
      </c>
      <c r="B672" s="1" t="n">
        <v>44629</v>
      </c>
      <c r="C672" s="1" t="n">
        <v>45664</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11224-2022</t>
        </is>
      </c>
      <c r="B673" s="1" t="n">
        <v>44629</v>
      </c>
      <c r="C673" s="1" t="n">
        <v>45664</v>
      </c>
      <c r="D673" t="inlineStr">
        <is>
          <t>UPPSALA LÄN</t>
        </is>
      </c>
      <c r="E673" t="inlineStr">
        <is>
          <t>UPPSALA</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11787-2022</t>
        </is>
      </c>
      <c r="B674" s="1" t="n">
        <v>44634</v>
      </c>
      <c r="C674" s="1" t="n">
        <v>45664</v>
      </c>
      <c r="D674" t="inlineStr">
        <is>
          <t>UPPSALA LÄN</t>
        </is>
      </c>
      <c r="E674" t="inlineStr">
        <is>
          <t>UPPSALA</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11693-2022</t>
        </is>
      </c>
      <c r="B675" s="1" t="n">
        <v>44634</v>
      </c>
      <c r="C675" s="1" t="n">
        <v>45664</v>
      </c>
      <c r="D675" t="inlineStr">
        <is>
          <t>UPPSALA LÄN</t>
        </is>
      </c>
      <c r="E675" t="inlineStr">
        <is>
          <t>UPPSALA</t>
        </is>
      </c>
      <c r="G675" t="n">
        <v>4</v>
      </c>
      <c r="H675" t="n">
        <v>0</v>
      </c>
      <c r="I675" t="n">
        <v>0</v>
      </c>
      <c r="J675" t="n">
        <v>0</v>
      </c>
      <c r="K675" t="n">
        <v>0</v>
      </c>
      <c r="L675" t="n">
        <v>0</v>
      </c>
      <c r="M675" t="n">
        <v>0</v>
      </c>
      <c r="N675" t="n">
        <v>0</v>
      </c>
      <c r="O675" t="n">
        <v>0</v>
      </c>
      <c r="P675" t="n">
        <v>0</v>
      </c>
      <c r="Q675" t="n">
        <v>0</v>
      </c>
      <c r="R675" s="2" t="inlineStr"/>
    </row>
    <row r="676" ht="15" customHeight="1">
      <c r="A676" t="inlineStr">
        <is>
          <t>A 12221-2022</t>
        </is>
      </c>
      <c r="B676" s="1" t="n">
        <v>44637</v>
      </c>
      <c r="C676" s="1" t="n">
        <v>45664</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12293-2022</t>
        </is>
      </c>
      <c r="B677" s="1" t="n">
        <v>44637</v>
      </c>
      <c r="C677" s="1" t="n">
        <v>45664</v>
      </c>
      <c r="D677" t="inlineStr">
        <is>
          <t>UPPSALA LÄN</t>
        </is>
      </c>
      <c r="E677" t="inlineStr">
        <is>
          <t>UPPSALA</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13009-2022</t>
        </is>
      </c>
      <c r="B678" s="1" t="n">
        <v>44643</v>
      </c>
      <c r="C678" s="1" t="n">
        <v>45664</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13134-2022</t>
        </is>
      </c>
      <c r="B679" s="1" t="n">
        <v>44644</v>
      </c>
      <c r="C679" s="1" t="n">
        <v>45664</v>
      </c>
      <c r="D679" t="inlineStr">
        <is>
          <t>UPPSALA LÄN</t>
        </is>
      </c>
      <c r="E679" t="inlineStr">
        <is>
          <t>UPPSALA</t>
        </is>
      </c>
      <c r="F679" t="inlineStr">
        <is>
          <t>Övriga Aktiebolag</t>
        </is>
      </c>
      <c r="G679" t="n">
        <v>3.2</v>
      </c>
      <c r="H679" t="n">
        <v>0</v>
      </c>
      <c r="I679" t="n">
        <v>0</v>
      </c>
      <c r="J679" t="n">
        <v>0</v>
      </c>
      <c r="K679" t="n">
        <v>0</v>
      </c>
      <c r="L679" t="n">
        <v>0</v>
      </c>
      <c r="M679" t="n">
        <v>0</v>
      </c>
      <c r="N679" t="n">
        <v>0</v>
      </c>
      <c r="O679" t="n">
        <v>0</v>
      </c>
      <c r="P679" t="n">
        <v>0</v>
      </c>
      <c r="Q679" t="n">
        <v>0</v>
      </c>
      <c r="R679" s="2" t="inlineStr"/>
    </row>
    <row r="680" ht="15" customHeight="1">
      <c r="A680" t="inlineStr">
        <is>
          <t>A 13128-2022</t>
        </is>
      </c>
      <c r="B680" s="1" t="n">
        <v>44644</v>
      </c>
      <c r="C680" s="1" t="n">
        <v>45664</v>
      </c>
      <c r="D680" t="inlineStr">
        <is>
          <t>UPPSALA LÄN</t>
        </is>
      </c>
      <c r="E680" t="inlineStr">
        <is>
          <t>UPPSALA</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13386-2022</t>
        </is>
      </c>
      <c r="B681" s="1" t="n">
        <v>44645</v>
      </c>
      <c r="C681" s="1" t="n">
        <v>45664</v>
      </c>
      <c r="D681" t="inlineStr">
        <is>
          <t>UPPSALA LÄN</t>
        </is>
      </c>
      <c r="E681" t="inlineStr">
        <is>
          <t>UPPSALA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13343-2022</t>
        </is>
      </c>
      <c r="B682" s="1" t="n">
        <v>44645</v>
      </c>
      <c r="C682" s="1" t="n">
        <v>45664</v>
      </c>
      <c r="D682" t="inlineStr">
        <is>
          <t>UPPSALA LÄN</t>
        </is>
      </c>
      <c r="E682" t="inlineStr">
        <is>
          <t>UPPSALA</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13892-2022</t>
        </is>
      </c>
      <c r="B683" s="1" t="n">
        <v>44649</v>
      </c>
      <c r="C683" s="1" t="n">
        <v>45664</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13901-2022</t>
        </is>
      </c>
      <c r="B684" s="1" t="n">
        <v>44649</v>
      </c>
      <c r="C684" s="1" t="n">
        <v>45664</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14337-2022</t>
        </is>
      </c>
      <c r="B685" s="1" t="n">
        <v>44652</v>
      </c>
      <c r="C685" s="1" t="n">
        <v>45664</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14355-2022</t>
        </is>
      </c>
      <c r="B686" s="1" t="n">
        <v>44652</v>
      </c>
      <c r="C686" s="1" t="n">
        <v>45664</v>
      </c>
      <c r="D686" t="inlineStr">
        <is>
          <t>UPPSALA LÄN</t>
        </is>
      </c>
      <c r="E686" t="inlineStr">
        <is>
          <t>UPPSALA</t>
        </is>
      </c>
      <c r="F686" t="inlineStr">
        <is>
          <t>Bergvik skog öst AB</t>
        </is>
      </c>
      <c r="G686" t="n">
        <v>7.8</v>
      </c>
      <c r="H686" t="n">
        <v>0</v>
      </c>
      <c r="I686" t="n">
        <v>0</v>
      </c>
      <c r="J686" t="n">
        <v>0</v>
      </c>
      <c r="K686" t="n">
        <v>0</v>
      </c>
      <c r="L686" t="n">
        <v>0</v>
      </c>
      <c r="M686" t="n">
        <v>0</v>
      </c>
      <c r="N686" t="n">
        <v>0</v>
      </c>
      <c r="O686" t="n">
        <v>0</v>
      </c>
      <c r="P686" t="n">
        <v>0</v>
      </c>
      <c r="Q686" t="n">
        <v>0</v>
      </c>
      <c r="R686" s="2" t="inlineStr"/>
    </row>
    <row r="687" ht="15" customHeight="1">
      <c r="A687" t="inlineStr">
        <is>
          <t>A 14340-2022</t>
        </is>
      </c>
      <c r="B687" s="1" t="n">
        <v>44652</v>
      </c>
      <c r="C687" s="1" t="n">
        <v>45664</v>
      </c>
      <c r="D687" t="inlineStr">
        <is>
          <t>UPPSALA LÄN</t>
        </is>
      </c>
      <c r="E687" t="inlineStr">
        <is>
          <t>UPPSALA</t>
        </is>
      </c>
      <c r="F687" t="inlineStr">
        <is>
          <t>Bergvik skog öst AB</t>
        </is>
      </c>
      <c r="G687" t="n">
        <v>4</v>
      </c>
      <c r="H687" t="n">
        <v>0</v>
      </c>
      <c r="I687" t="n">
        <v>0</v>
      </c>
      <c r="J687" t="n">
        <v>0</v>
      </c>
      <c r="K687" t="n">
        <v>0</v>
      </c>
      <c r="L687" t="n">
        <v>0</v>
      </c>
      <c r="M687" t="n">
        <v>0</v>
      </c>
      <c r="N687" t="n">
        <v>0</v>
      </c>
      <c r="O687" t="n">
        <v>0</v>
      </c>
      <c r="P687" t="n">
        <v>0</v>
      </c>
      <c r="Q687" t="n">
        <v>0</v>
      </c>
      <c r="R687" s="2" t="inlineStr"/>
    </row>
    <row r="688" ht="15" customHeight="1">
      <c r="A688" t="inlineStr">
        <is>
          <t>A 14622-2022</t>
        </is>
      </c>
      <c r="B688" s="1" t="n">
        <v>44655</v>
      </c>
      <c r="C688" s="1" t="n">
        <v>45664</v>
      </c>
      <c r="D688" t="inlineStr">
        <is>
          <t>UPPSALA LÄN</t>
        </is>
      </c>
      <c r="E688" t="inlineStr">
        <is>
          <t>UPPSALA</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15436-2022</t>
        </is>
      </c>
      <c r="B689" s="1" t="n">
        <v>44659</v>
      </c>
      <c r="C689" s="1" t="n">
        <v>45664</v>
      </c>
      <c r="D689" t="inlineStr">
        <is>
          <t>UPPSALA LÄN</t>
        </is>
      </c>
      <c r="E689" t="inlineStr">
        <is>
          <t>UPPSALA</t>
        </is>
      </c>
      <c r="G689" t="n">
        <v>14.4</v>
      </c>
      <c r="H689" t="n">
        <v>0</v>
      </c>
      <c r="I689" t="n">
        <v>0</v>
      </c>
      <c r="J689" t="n">
        <v>0</v>
      </c>
      <c r="K689" t="n">
        <v>0</v>
      </c>
      <c r="L689" t="n">
        <v>0</v>
      </c>
      <c r="M689" t="n">
        <v>0</v>
      </c>
      <c r="N689" t="n">
        <v>0</v>
      </c>
      <c r="O689" t="n">
        <v>0</v>
      </c>
      <c r="P689" t="n">
        <v>0</v>
      </c>
      <c r="Q689" t="n">
        <v>0</v>
      </c>
      <c r="R689" s="2" t="inlineStr"/>
    </row>
    <row r="690" ht="15" customHeight="1">
      <c r="A690" t="inlineStr">
        <is>
          <t>A 15377-2022</t>
        </is>
      </c>
      <c r="B690" s="1" t="n">
        <v>44659</v>
      </c>
      <c r="C690" s="1" t="n">
        <v>45664</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15310-2022</t>
        </is>
      </c>
      <c r="B691" s="1" t="n">
        <v>44659</v>
      </c>
      <c r="C691" s="1" t="n">
        <v>45664</v>
      </c>
      <c r="D691" t="inlineStr">
        <is>
          <t>UPPSALA LÄN</t>
        </is>
      </c>
      <c r="E691" t="inlineStr">
        <is>
          <t>UPPSALA</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15583-2022</t>
        </is>
      </c>
      <c r="B692" s="1" t="n">
        <v>44662</v>
      </c>
      <c r="C692" s="1" t="n">
        <v>45664</v>
      </c>
      <c r="D692" t="inlineStr">
        <is>
          <t>UPPSALA LÄN</t>
        </is>
      </c>
      <c r="E692" t="inlineStr">
        <is>
          <t>UPPSALA</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15735-2022</t>
        </is>
      </c>
      <c r="B693" s="1" t="n">
        <v>44663</v>
      </c>
      <c r="C693" s="1" t="n">
        <v>45664</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16126-2022</t>
        </is>
      </c>
      <c r="B694" s="1" t="n">
        <v>44665</v>
      </c>
      <c r="C694" s="1" t="n">
        <v>45664</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16804-2022</t>
        </is>
      </c>
      <c r="B695" s="1" t="n">
        <v>44673</v>
      </c>
      <c r="C695" s="1" t="n">
        <v>45664</v>
      </c>
      <c r="D695" t="inlineStr">
        <is>
          <t>UPPSALA LÄN</t>
        </is>
      </c>
      <c r="E695" t="inlineStr">
        <is>
          <t>UPPSALA</t>
        </is>
      </c>
      <c r="F695" t="inlineStr">
        <is>
          <t>Bergvik skog öst AB</t>
        </is>
      </c>
      <c r="G695" t="n">
        <v>3.5</v>
      </c>
      <c r="H695" t="n">
        <v>0</v>
      </c>
      <c r="I695" t="n">
        <v>0</v>
      </c>
      <c r="J695" t="n">
        <v>0</v>
      </c>
      <c r="K695" t="n">
        <v>0</v>
      </c>
      <c r="L695" t="n">
        <v>0</v>
      </c>
      <c r="M695" t="n">
        <v>0</v>
      </c>
      <c r="N695" t="n">
        <v>0</v>
      </c>
      <c r="O695" t="n">
        <v>0</v>
      </c>
      <c r="P695" t="n">
        <v>0</v>
      </c>
      <c r="Q695" t="n">
        <v>0</v>
      </c>
      <c r="R695" s="2" t="inlineStr"/>
    </row>
    <row r="696" ht="15" customHeight="1">
      <c r="A696" t="inlineStr">
        <is>
          <t>A 16828-2022</t>
        </is>
      </c>
      <c r="B696" s="1" t="n">
        <v>44673</v>
      </c>
      <c r="C696" s="1" t="n">
        <v>45664</v>
      </c>
      <c r="D696" t="inlineStr">
        <is>
          <t>UPPSALA LÄN</t>
        </is>
      </c>
      <c r="E696" t="inlineStr">
        <is>
          <t>UPPSALA</t>
        </is>
      </c>
      <c r="F696" t="inlineStr">
        <is>
          <t>Bergvik skog öst AB</t>
        </is>
      </c>
      <c r="G696" t="n">
        <v>4.1</v>
      </c>
      <c r="H696" t="n">
        <v>0</v>
      </c>
      <c r="I696" t="n">
        <v>0</v>
      </c>
      <c r="J696" t="n">
        <v>0</v>
      </c>
      <c r="K696" t="n">
        <v>0</v>
      </c>
      <c r="L696" t="n">
        <v>0</v>
      </c>
      <c r="M696" t="n">
        <v>0</v>
      </c>
      <c r="N696" t="n">
        <v>0</v>
      </c>
      <c r="O696" t="n">
        <v>0</v>
      </c>
      <c r="P696" t="n">
        <v>0</v>
      </c>
      <c r="Q696" t="n">
        <v>0</v>
      </c>
      <c r="R696" s="2" t="inlineStr"/>
    </row>
    <row r="697" ht="15" customHeight="1">
      <c r="A697" t="inlineStr">
        <is>
          <t>A 16827-2022</t>
        </is>
      </c>
      <c r="B697" s="1" t="n">
        <v>44673</v>
      </c>
      <c r="C697" s="1" t="n">
        <v>45664</v>
      </c>
      <c r="D697" t="inlineStr">
        <is>
          <t>UPPSALA LÄN</t>
        </is>
      </c>
      <c r="E697" t="inlineStr">
        <is>
          <t>UPPSALA</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16831-2022</t>
        </is>
      </c>
      <c r="B698" s="1" t="n">
        <v>44673</v>
      </c>
      <c r="C698" s="1" t="n">
        <v>45664</v>
      </c>
      <c r="D698" t="inlineStr">
        <is>
          <t>UPPSALA LÄN</t>
        </is>
      </c>
      <c r="E698" t="inlineStr">
        <is>
          <t>UPPSALA</t>
        </is>
      </c>
      <c r="F698" t="inlineStr">
        <is>
          <t>Bergvik skog öst AB</t>
        </is>
      </c>
      <c r="G698" t="n">
        <v>5.8</v>
      </c>
      <c r="H698" t="n">
        <v>0</v>
      </c>
      <c r="I698" t="n">
        <v>0</v>
      </c>
      <c r="J698" t="n">
        <v>0</v>
      </c>
      <c r="K698" t="n">
        <v>0</v>
      </c>
      <c r="L698" t="n">
        <v>0</v>
      </c>
      <c r="M698" t="n">
        <v>0</v>
      </c>
      <c r="N698" t="n">
        <v>0</v>
      </c>
      <c r="O698" t="n">
        <v>0</v>
      </c>
      <c r="P698" t="n">
        <v>0</v>
      </c>
      <c r="Q698" t="n">
        <v>0</v>
      </c>
      <c r="R698" s="2" t="inlineStr"/>
    </row>
    <row r="699" ht="15" customHeight="1">
      <c r="A699" t="inlineStr">
        <is>
          <t>A 16826-2022</t>
        </is>
      </c>
      <c r="B699" s="1" t="n">
        <v>44673</v>
      </c>
      <c r="C699" s="1" t="n">
        <v>45664</v>
      </c>
      <c r="D699" t="inlineStr">
        <is>
          <t>UPPSALA LÄN</t>
        </is>
      </c>
      <c r="E699" t="inlineStr">
        <is>
          <t>UPPSALA</t>
        </is>
      </c>
      <c r="F699" t="inlineStr">
        <is>
          <t>Bergvik skog öst AB</t>
        </is>
      </c>
      <c r="G699" t="n">
        <v>7.1</v>
      </c>
      <c r="H699" t="n">
        <v>0</v>
      </c>
      <c r="I699" t="n">
        <v>0</v>
      </c>
      <c r="J699" t="n">
        <v>0</v>
      </c>
      <c r="K699" t="n">
        <v>0</v>
      </c>
      <c r="L699" t="n">
        <v>0</v>
      </c>
      <c r="M699" t="n">
        <v>0</v>
      </c>
      <c r="N699" t="n">
        <v>0</v>
      </c>
      <c r="O699" t="n">
        <v>0</v>
      </c>
      <c r="P699" t="n">
        <v>0</v>
      </c>
      <c r="Q699" t="n">
        <v>0</v>
      </c>
      <c r="R699" s="2" t="inlineStr"/>
    </row>
    <row r="700" ht="15" customHeight="1">
      <c r="A700" t="inlineStr">
        <is>
          <t>A 16761-2022</t>
        </is>
      </c>
      <c r="B700" s="1" t="n">
        <v>44673</v>
      </c>
      <c r="C700" s="1" t="n">
        <v>45664</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16942-2022</t>
        </is>
      </c>
      <c r="B701" s="1" t="n">
        <v>44676</v>
      </c>
      <c r="C701" s="1" t="n">
        <v>45664</v>
      </c>
      <c r="D701" t="inlineStr">
        <is>
          <t>UPPSALA LÄN</t>
        </is>
      </c>
      <c r="E701" t="inlineStr">
        <is>
          <t>UPPSALA</t>
        </is>
      </c>
      <c r="F701" t="inlineStr">
        <is>
          <t>Bergvik skog öst AB</t>
        </is>
      </c>
      <c r="G701" t="n">
        <v>3.7</v>
      </c>
      <c r="H701" t="n">
        <v>0</v>
      </c>
      <c r="I701" t="n">
        <v>0</v>
      </c>
      <c r="J701" t="n">
        <v>0</v>
      </c>
      <c r="K701" t="n">
        <v>0</v>
      </c>
      <c r="L701" t="n">
        <v>0</v>
      </c>
      <c r="M701" t="n">
        <v>0</v>
      </c>
      <c r="N701" t="n">
        <v>0</v>
      </c>
      <c r="O701" t="n">
        <v>0</v>
      </c>
      <c r="P701" t="n">
        <v>0</v>
      </c>
      <c r="Q701" t="n">
        <v>0</v>
      </c>
      <c r="R701" s="2" t="inlineStr"/>
    </row>
    <row r="702" ht="15" customHeight="1">
      <c r="A702" t="inlineStr">
        <is>
          <t>A 16892-2022</t>
        </is>
      </c>
      <c r="B702" s="1" t="n">
        <v>44676</v>
      </c>
      <c r="C702" s="1" t="n">
        <v>45664</v>
      </c>
      <c r="D702" t="inlineStr">
        <is>
          <t>UPPSALA LÄN</t>
        </is>
      </c>
      <c r="E702" t="inlineStr">
        <is>
          <t>UPPSALA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16978-2022</t>
        </is>
      </c>
      <c r="B703" s="1" t="n">
        <v>44676</v>
      </c>
      <c r="C703" s="1" t="n">
        <v>45664</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16898-2022</t>
        </is>
      </c>
      <c r="B704" s="1" t="n">
        <v>44676</v>
      </c>
      <c r="C704" s="1" t="n">
        <v>45664</v>
      </c>
      <c r="D704" t="inlineStr">
        <is>
          <t>UPPSALA LÄN</t>
        </is>
      </c>
      <c r="E704" t="inlineStr">
        <is>
          <t>UPPSALA</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17232-2022</t>
        </is>
      </c>
      <c r="B705" s="1" t="n">
        <v>44678</v>
      </c>
      <c r="C705" s="1" t="n">
        <v>45664</v>
      </c>
      <c r="D705" t="inlineStr">
        <is>
          <t>UPPSALA LÄN</t>
        </is>
      </c>
      <c r="E705" t="inlineStr">
        <is>
          <t>UPPSALA</t>
        </is>
      </c>
      <c r="F705" t="inlineStr">
        <is>
          <t>Övriga Aktiebolag</t>
        </is>
      </c>
      <c r="G705" t="n">
        <v>7.4</v>
      </c>
      <c r="H705" t="n">
        <v>0</v>
      </c>
      <c r="I705" t="n">
        <v>0</v>
      </c>
      <c r="J705" t="n">
        <v>0</v>
      </c>
      <c r="K705" t="n">
        <v>0</v>
      </c>
      <c r="L705" t="n">
        <v>0</v>
      </c>
      <c r="M705" t="n">
        <v>0</v>
      </c>
      <c r="N705" t="n">
        <v>0</v>
      </c>
      <c r="O705" t="n">
        <v>0</v>
      </c>
      <c r="P705" t="n">
        <v>0</v>
      </c>
      <c r="Q705" t="n">
        <v>0</v>
      </c>
      <c r="R705" s="2" t="inlineStr"/>
    </row>
    <row r="706" ht="15" customHeight="1">
      <c r="A706" t="inlineStr">
        <is>
          <t>A 17562-2022</t>
        </is>
      </c>
      <c r="B706" s="1" t="n">
        <v>44679</v>
      </c>
      <c r="C706" s="1" t="n">
        <v>45664</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17558-2022</t>
        </is>
      </c>
      <c r="B707" s="1" t="n">
        <v>44679</v>
      </c>
      <c r="C707" s="1" t="n">
        <v>45664</v>
      </c>
      <c r="D707" t="inlineStr">
        <is>
          <t>UPPSALA LÄN</t>
        </is>
      </c>
      <c r="E707" t="inlineStr">
        <is>
          <t>UPPSALA</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17981-2022</t>
        </is>
      </c>
      <c r="B708" s="1" t="n">
        <v>44683</v>
      </c>
      <c r="C708" s="1" t="n">
        <v>45664</v>
      </c>
      <c r="D708" t="inlineStr">
        <is>
          <t>UPPSALA LÄN</t>
        </is>
      </c>
      <c r="E708" t="inlineStr">
        <is>
          <t>UPPSALA</t>
        </is>
      </c>
      <c r="F708" t="inlineStr">
        <is>
          <t>Bergvik skog öst AB</t>
        </is>
      </c>
      <c r="G708" t="n">
        <v>6.7</v>
      </c>
      <c r="H708" t="n">
        <v>0</v>
      </c>
      <c r="I708" t="n">
        <v>0</v>
      </c>
      <c r="J708" t="n">
        <v>0</v>
      </c>
      <c r="K708" t="n">
        <v>0</v>
      </c>
      <c r="L708" t="n">
        <v>0</v>
      </c>
      <c r="M708" t="n">
        <v>0</v>
      </c>
      <c r="N708" t="n">
        <v>0</v>
      </c>
      <c r="O708" t="n">
        <v>0</v>
      </c>
      <c r="P708" t="n">
        <v>0</v>
      </c>
      <c r="Q708" t="n">
        <v>0</v>
      </c>
      <c r="R708" s="2" t="inlineStr"/>
    </row>
    <row r="709" ht="15" customHeight="1">
      <c r="A709" t="inlineStr">
        <is>
          <t>A 18330-2022</t>
        </is>
      </c>
      <c r="B709" s="1" t="n">
        <v>44685</v>
      </c>
      <c r="C709" s="1" t="n">
        <v>45664</v>
      </c>
      <c r="D709" t="inlineStr">
        <is>
          <t>UPPSALA LÄN</t>
        </is>
      </c>
      <c r="E709" t="inlineStr">
        <is>
          <t>UPPSALA</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18521-2022</t>
        </is>
      </c>
      <c r="B710" s="1" t="n">
        <v>44686</v>
      </c>
      <c r="C710" s="1" t="n">
        <v>45664</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18583-2022</t>
        </is>
      </c>
      <c r="B711" s="1" t="n">
        <v>44687</v>
      </c>
      <c r="C711" s="1" t="n">
        <v>45664</v>
      </c>
      <c r="D711" t="inlineStr">
        <is>
          <t>UPPSALA LÄN</t>
        </is>
      </c>
      <c r="E711" t="inlineStr">
        <is>
          <t>UPPSALA</t>
        </is>
      </c>
      <c r="F711" t="inlineStr">
        <is>
          <t>Övriga Aktiebolag</t>
        </is>
      </c>
      <c r="G711" t="n">
        <v>6.4</v>
      </c>
      <c r="H711" t="n">
        <v>0</v>
      </c>
      <c r="I711" t="n">
        <v>0</v>
      </c>
      <c r="J711" t="n">
        <v>0</v>
      </c>
      <c r="K711" t="n">
        <v>0</v>
      </c>
      <c r="L711" t="n">
        <v>0</v>
      </c>
      <c r="M711" t="n">
        <v>0</v>
      </c>
      <c r="N711" t="n">
        <v>0</v>
      </c>
      <c r="O711" t="n">
        <v>0</v>
      </c>
      <c r="P711" t="n">
        <v>0</v>
      </c>
      <c r="Q711" t="n">
        <v>0</v>
      </c>
      <c r="R711" s="2" t="inlineStr"/>
    </row>
    <row r="712" ht="15" customHeight="1">
      <c r="A712" t="inlineStr">
        <is>
          <t>A 18960-2022</t>
        </is>
      </c>
      <c r="B712" s="1" t="n">
        <v>44690</v>
      </c>
      <c r="C712" s="1" t="n">
        <v>45664</v>
      </c>
      <c r="D712" t="inlineStr">
        <is>
          <t>UPPSALA LÄN</t>
        </is>
      </c>
      <c r="E712" t="inlineStr">
        <is>
          <t>UPPSALA</t>
        </is>
      </c>
      <c r="F712" t="inlineStr">
        <is>
          <t>Bergvik skog öst AB</t>
        </is>
      </c>
      <c r="G712" t="n">
        <v>2.7</v>
      </c>
      <c r="H712" t="n">
        <v>0</v>
      </c>
      <c r="I712" t="n">
        <v>0</v>
      </c>
      <c r="J712" t="n">
        <v>0</v>
      </c>
      <c r="K712" t="n">
        <v>0</v>
      </c>
      <c r="L712" t="n">
        <v>0</v>
      </c>
      <c r="M712" t="n">
        <v>0</v>
      </c>
      <c r="N712" t="n">
        <v>0</v>
      </c>
      <c r="O712" t="n">
        <v>0</v>
      </c>
      <c r="P712" t="n">
        <v>0</v>
      </c>
      <c r="Q712" t="n">
        <v>0</v>
      </c>
      <c r="R712" s="2" t="inlineStr"/>
    </row>
    <row r="713" ht="15" customHeight="1">
      <c r="A713" t="inlineStr">
        <is>
          <t>A 19034-2022</t>
        </is>
      </c>
      <c r="B713" s="1" t="n">
        <v>44691</v>
      </c>
      <c r="C713" s="1" t="n">
        <v>45664</v>
      </c>
      <c r="D713" t="inlineStr">
        <is>
          <t>UPPSALA LÄN</t>
        </is>
      </c>
      <c r="E713" t="inlineStr">
        <is>
          <t>UPPSALA</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19240-2022</t>
        </is>
      </c>
      <c r="B714" s="1" t="n">
        <v>44692</v>
      </c>
      <c r="C714" s="1" t="n">
        <v>45664</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19375-2022</t>
        </is>
      </c>
      <c r="B715" s="1" t="n">
        <v>44692</v>
      </c>
      <c r="C715" s="1" t="n">
        <v>45664</v>
      </c>
      <c r="D715" t="inlineStr">
        <is>
          <t>UPPSALA LÄN</t>
        </is>
      </c>
      <c r="E715" t="inlineStr">
        <is>
          <t>UPPSALA</t>
        </is>
      </c>
      <c r="F715" t="inlineStr">
        <is>
          <t>Bergvik skog öst AB</t>
        </is>
      </c>
      <c r="G715" t="n">
        <v>5</v>
      </c>
      <c r="H715" t="n">
        <v>0</v>
      </c>
      <c r="I715" t="n">
        <v>0</v>
      </c>
      <c r="J715" t="n">
        <v>0</v>
      </c>
      <c r="K715" t="n">
        <v>0</v>
      </c>
      <c r="L715" t="n">
        <v>0</v>
      </c>
      <c r="M715" t="n">
        <v>0</v>
      </c>
      <c r="N715" t="n">
        <v>0</v>
      </c>
      <c r="O715" t="n">
        <v>0</v>
      </c>
      <c r="P715" t="n">
        <v>0</v>
      </c>
      <c r="Q715" t="n">
        <v>0</v>
      </c>
      <c r="R715" s="2" t="inlineStr"/>
    </row>
    <row r="716" ht="15" customHeight="1">
      <c r="A716" t="inlineStr">
        <is>
          <t>A 19380-2022</t>
        </is>
      </c>
      <c r="B716" s="1" t="n">
        <v>44692</v>
      </c>
      <c r="C716" s="1" t="n">
        <v>45664</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19382-2022</t>
        </is>
      </c>
      <c r="B717" s="1" t="n">
        <v>44692</v>
      </c>
      <c r="C717" s="1" t="n">
        <v>45664</v>
      </c>
      <c r="D717" t="inlineStr">
        <is>
          <t>UPPSALA LÄN</t>
        </is>
      </c>
      <c r="E717" t="inlineStr">
        <is>
          <t>UPPSALA</t>
        </is>
      </c>
      <c r="G717" t="n">
        <v>4.3</v>
      </c>
      <c r="H717" t="n">
        <v>0</v>
      </c>
      <c r="I717" t="n">
        <v>0</v>
      </c>
      <c r="J717" t="n">
        <v>0</v>
      </c>
      <c r="K717" t="n">
        <v>0</v>
      </c>
      <c r="L717" t="n">
        <v>0</v>
      </c>
      <c r="M717" t="n">
        <v>0</v>
      </c>
      <c r="N717" t="n">
        <v>0</v>
      </c>
      <c r="O717" t="n">
        <v>0</v>
      </c>
      <c r="P717" t="n">
        <v>0</v>
      </c>
      <c r="Q717" t="n">
        <v>0</v>
      </c>
      <c r="R717" s="2" t="inlineStr"/>
    </row>
    <row r="718" ht="15" customHeight="1">
      <c r="A718" t="inlineStr">
        <is>
          <t>A 20265-2022</t>
        </is>
      </c>
      <c r="B718" s="1" t="n">
        <v>44698</v>
      </c>
      <c r="C718" s="1" t="n">
        <v>45664</v>
      </c>
      <c r="D718" t="inlineStr">
        <is>
          <t>UPPSALA LÄN</t>
        </is>
      </c>
      <c r="E718" t="inlineStr">
        <is>
          <t>UPPSALA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20497-2022</t>
        </is>
      </c>
      <c r="B719" s="1" t="n">
        <v>44699</v>
      </c>
      <c r="C719" s="1" t="n">
        <v>45664</v>
      </c>
      <c r="D719" t="inlineStr">
        <is>
          <t>UPPSALA LÄN</t>
        </is>
      </c>
      <c r="E719" t="inlineStr">
        <is>
          <t>UPPSALA</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20770-2022</t>
        </is>
      </c>
      <c r="B720" s="1" t="n">
        <v>44700</v>
      </c>
      <c r="C720" s="1" t="n">
        <v>45664</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20764-2022</t>
        </is>
      </c>
      <c r="B721" s="1" t="n">
        <v>44700</v>
      </c>
      <c r="C721" s="1" t="n">
        <v>45664</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20938-2022</t>
        </is>
      </c>
      <c r="B722" s="1" t="n">
        <v>44701</v>
      </c>
      <c r="C722" s="1" t="n">
        <v>45664</v>
      </c>
      <c r="D722" t="inlineStr">
        <is>
          <t>UPPSALA LÄN</t>
        </is>
      </c>
      <c r="E722" t="inlineStr">
        <is>
          <t>UPPSALA</t>
        </is>
      </c>
      <c r="F722" t="inlineStr">
        <is>
          <t>Bergvik skog öst AB</t>
        </is>
      </c>
      <c r="G722" t="n">
        <v>7.2</v>
      </c>
      <c r="H722" t="n">
        <v>0</v>
      </c>
      <c r="I722" t="n">
        <v>0</v>
      </c>
      <c r="J722" t="n">
        <v>0</v>
      </c>
      <c r="K722" t="n">
        <v>0</v>
      </c>
      <c r="L722" t="n">
        <v>0</v>
      </c>
      <c r="M722" t="n">
        <v>0</v>
      </c>
      <c r="N722" t="n">
        <v>0</v>
      </c>
      <c r="O722" t="n">
        <v>0</v>
      </c>
      <c r="P722" t="n">
        <v>0</v>
      </c>
      <c r="Q722" t="n">
        <v>0</v>
      </c>
      <c r="R722" s="2" t="inlineStr"/>
    </row>
    <row r="723" ht="15" customHeight="1">
      <c r="A723" t="inlineStr">
        <is>
          <t>A 20936-2022</t>
        </is>
      </c>
      <c r="B723" s="1" t="n">
        <v>44701</v>
      </c>
      <c r="C723" s="1" t="n">
        <v>45664</v>
      </c>
      <c r="D723" t="inlineStr">
        <is>
          <t>UPPSALA LÄN</t>
        </is>
      </c>
      <c r="E723" t="inlineStr">
        <is>
          <t>UPPSALA</t>
        </is>
      </c>
      <c r="G723" t="n">
        <v>4.8</v>
      </c>
      <c r="H723" t="n">
        <v>0</v>
      </c>
      <c r="I723" t="n">
        <v>0</v>
      </c>
      <c r="J723" t="n">
        <v>0</v>
      </c>
      <c r="K723" t="n">
        <v>0</v>
      </c>
      <c r="L723" t="n">
        <v>0</v>
      </c>
      <c r="M723" t="n">
        <v>0</v>
      </c>
      <c r="N723" t="n">
        <v>0</v>
      </c>
      <c r="O723" t="n">
        <v>0</v>
      </c>
      <c r="P723" t="n">
        <v>0</v>
      </c>
      <c r="Q723" t="n">
        <v>0</v>
      </c>
      <c r="R723" s="2" t="inlineStr"/>
    </row>
    <row r="724" ht="15" customHeight="1">
      <c r="A724" t="inlineStr">
        <is>
          <t>A 20980-2022</t>
        </is>
      </c>
      <c r="B724" s="1" t="n">
        <v>44702</v>
      </c>
      <c r="C724" s="1" t="n">
        <v>45664</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21181-2022</t>
        </is>
      </c>
      <c r="B725" s="1" t="n">
        <v>44704</v>
      </c>
      <c r="C725" s="1" t="n">
        <v>45664</v>
      </c>
      <c r="D725" t="inlineStr">
        <is>
          <t>UPPSALA LÄN</t>
        </is>
      </c>
      <c r="E725" t="inlineStr">
        <is>
          <t>UPPSALA</t>
        </is>
      </c>
      <c r="F725" t="inlineStr">
        <is>
          <t>Bergvik skog öst AB</t>
        </is>
      </c>
      <c r="G725" t="n">
        <v>2.8</v>
      </c>
      <c r="H725" t="n">
        <v>0</v>
      </c>
      <c r="I725" t="n">
        <v>0</v>
      </c>
      <c r="J725" t="n">
        <v>0</v>
      </c>
      <c r="K725" t="n">
        <v>0</v>
      </c>
      <c r="L725" t="n">
        <v>0</v>
      </c>
      <c r="M725" t="n">
        <v>0</v>
      </c>
      <c r="N725" t="n">
        <v>0</v>
      </c>
      <c r="O725" t="n">
        <v>0</v>
      </c>
      <c r="P725" t="n">
        <v>0</v>
      </c>
      <c r="Q725" t="n">
        <v>0</v>
      </c>
      <c r="R725" s="2" t="inlineStr"/>
    </row>
    <row r="726" ht="15" customHeight="1">
      <c r="A726" t="inlineStr">
        <is>
          <t>A 21228-2022</t>
        </is>
      </c>
      <c r="B726" s="1" t="n">
        <v>44704</v>
      </c>
      <c r="C726" s="1" t="n">
        <v>45664</v>
      </c>
      <c r="D726" t="inlineStr">
        <is>
          <t>UPPSALA LÄN</t>
        </is>
      </c>
      <c r="E726" t="inlineStr">
        <is>
          <t>UPPSALA</t>
        </is>
      </c>
      <c r="G726" t="n">
        <v>0.2</v>
      </c>
      <c r="H726" t="n">
        <v>0</v>
      </c>
      <c r="I726" t="n">
        <v>0</v>
      </c>
      <c r="J726" t="n">
        <v>0</v>
      </c>
      <c r="K726" t="n">
        <v>0</v>
      </c>
      <c r="L726" t="n">
        <v>0</v>
      </c>
      <c r="M726" t="n">
        <v>0</v>
      </c>
      <c r="N726" t="n">
        <v>0</v>
      </c>
      <c r="O726" t="n">
        <v>0</v>
      </c>
      <c r="P726" t="n">
        <v>0</v>
      </c>
      <c r="Q726" t="n">
        <v>0</v>
      </c>
      <c r="R726" s="2" t="inlineStr"/>
    </row>
    <row r="727" ht="15" customHeight="1">
      <c r="A727" t="inlineStr">
        <is>
          <t>A 21387-2022</t>
        </is>
      </c>
      <c r="B727" s="1" t="n">
        <v>44705</v>
      </c>
      <c r="C727" s="1" t="n">
        <v>45664</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21391-2022</t>
        </is>
      </c>
      <c r="B728" s="1" t="n">
        <v>44705</v>
      </c>
      <c r="C728" s="1" t="n">
        <v>45664</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21394-2022</t>
        </is>
      </c>
      <c r="B729" s="1" t="n">
        <v>44705</v>
      </c>
      <c r="C729" s="1" t="n">
        <v>45664</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22021-2022</t>
        </is>
      </c>
      <c r="B730" s="1" t="n">
        <v>44711</v>
      </c>
      <c r="C730" s="1" t="n">
        <v>45664</v>
      </c>
      <c r="D730" t="inlineStr">
        <is>
          <t>UPPSALA LÄN</t>
        </is>
      </c>
      <c r="E730" t="inlineStr">
        <is>
          <t>UPPSALA</t>
        </is>
      </c>
      <c r="F730" t="inlineStr">
        <is>
          <t>Allmännings- och besparingsskogar</t>
        </is>
      </c>
      <c r="G730" t="n">
        <v>2.1</v>
      </c>
      <c r="H730" t="n">
        <v>0</v>
      </c>
      <c r="I730" t="n">
        <v>0</v>
      </c>
      <c r="J730" t="n">
        <v>0</v>
      </c>
      <c r="K730" t="n">
        <v>0</v>
      </c>
      <c r="L730" t="n">
        <v>0</v>
      </c>
      <c r="M730" t="n">
        <v>0</v>
      </c>
      <c r="N730" t="n">
        <v>0</v>
      </c>
      <c r="O730" t="n">
        <v>0</v>
      </c>
      <c r="P730" t="n">
        <v>0</v>
      </c>
      <c r="Q730" t="n">
        <v>0</v>
      </c>
      <c r="R730" s="2" t="inlineStr"/>
    </row>
    <row r="731" ht="15" customHeight="1">
      <c r="A731" t="inlineStr">
        <is>
          <t>A 22390-2022</t>
        </is>
      </c>
      <c r="B731" s="1" t="n">
        <v>44713</v>
      </c>
      <c r="C731" s="1" t="n">
        <v>45664</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22429-2022</t>
        </is>
      </c>
      <c r="B732" s="1" t="n">
        <v>44713</v>
      </c>
      <c r="C732" s="1" t="n">
        <v>45664</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22645-2022</t>
        </is>
      </c>
      <c r="B733" s="1" t="n">
        <v>44714</v>
      </c>
      <c r="C733" s="1" t="n">
        <v>45664</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23324-2022</t>
        </is>
      </c>
      <c r="B734" s="1" t="n">
        <v>44720</v>
      </c>
      <c r="C734" s="1" t="n">
        <v>45664</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23289-2022</t>
        </is>
      </c>
      <c r="B735" s="1" t="n">
        <v>44720</v>
      </c>
      <c r="C735" s="1" t="n">
        <v>45664</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23761-2022</t>
        </is>
      </c>
      <c r="B736" s="1" t="n">
        <v>44722</v>
      </c>
      <c r="C736" s="1" t="n">
        <v>45664</v>
      </c>
      <c r="D736" t="inlineStr">
        <is>
          <t>UPPSALA LÄN</t>
        </is>
      </c>
      <c r="E736" t="inlineStr">
        <is>
          <t>UPPSALA</t>
        </is>
      </c>
      <c r="F736" t="inlineStr">
        <is>
          <t>Bergvik skog öst AB</t>
        </is>
      </c>
      <c r="G736" t="n">
        <v>7.3</v>
      </c>
      <c r="H736" t="n">
        <v>0</v>
      </c>
      <c r="I736" t="n">
        <v>0</v>
      </c>
      <c r="J736" t="n">
        <v>0</v>
      </c>
      <c r="K736" t="n">
        <v>0</v>
      </c>
      <c r="L736" t="n">
        <v>0</v>
      </c>
      <c r="M736" t="n">
        <v>0</v>
      </c>
      <c r="N736" t="n">
        <v>0</v>
      </c>
      <c r="O736" t="n">
        <v>0</v>
      </c>
      <c r="P736" t="n">
        <v>0</v>
      </c>
      <c r="Q736" t="n">
        <v>0</v>
      </c>
      <c r="R736" s="2" t="inlineStr"/>
    </row>
    <row r="737" ht="15" customHeight="1">
      <c r="A737" t="inlineStr">
        <is>
          <t>A 23713-2022</t>
        </is>
      </c>
      <c r="B737" s="1" t="n">
        <v>44722</v>
      </c>
      <c r="C737" s="1" t="n">
        <v>45664</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23717-2022</t>
        </is>
      </c>
      <c r="B738" s="1" t="n">
        <v>44722</v>
      </c>
      <c r="C738" s="1" t="n">
        <v>45664</v>
      </c>
      <c r="D738" t="inlineStr">
        <is>
          <t>UPPSALA LÄN</t>
        </is>
      </c>
      <c r="E738" t="inlineStr">
        <is>
          <t>UPPSALA</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23730-2022</t>
        </is>
      </c>
      <c r="B739" s="1" t="n">
        <v>44722</v>
      </c>
      <c r="C739" s="1" t="n">
        <v>45664</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24420-2022</t>
        </is>
      </c>
      <c r="B740" s="1" t="n">
        <v>44726</v>
      </c>
      <c r="C740" s="1" t="n">
        <v>45664</v>
      </c>
      <c r="D740" t="inlineStr">
        <is>
          <t>UPPSALA LÄN</t>
        </is>
      </c>
      <c r="E740" t="inlineStr">
        <is>
          <t>UPPSALA</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24401-2022</t>
        </is>
      </c>
      <c r="B741" s="1" t="n">
        <v>44726</v>
      </c>
      <c r="C741" s="1" t="n">
        <v>45664</v>
      </c>
      <c r="D741" t="inlineStr">
        <is>
          <t>UPPSALA LÄN</t>
        </is>
      </c>
      <c r="E741" t="inlineStr">
        <is>
          <t>UPPSALA</t>
        </is>
      </c>
      <c r="F741" t="inlineStr">
        <is>
          <t>Bergvik skog öst AB</t>
        </is>
      </c>
      <c r="G741" t="n">
        <v>4.8</v>
      </c>
      <c r="H741" t="n">
        <v>0</v>
      </c>
      <c r="I741" t="n">
        <v>0</v>
      </c>
      <c r="J741" t="n">
        <v>0</v>
      </c>
      <c r="K741" t="n">
        <v>0</v>
      </c>
      <c r="L741" t="n">
        <v>0</v>
      </c>
      <c r="M741" t="n">
        <v>0</v>
      </c>
      <c r="N741" t="n">
        <v>0</v>
      </c>
      <c r="O741" t="n">
        <v>0</v>
      </c>
      <c r="P741" t="n">
        <v>0</v>
      </c>
      <c r="Q741" t="n">
        <v>0</v>
      </c>
      <c r="R741" s="2" t="inlineStr"/>
    </row>
    <row r="742" ht="15" customHeight="1">
      <c r="A742" t="inlineStr">
        <is>
          <t>A 24409-2022</t>
        </is>
      </c>
      <c r="B742" s="1" t="n">
        <v>44726</v>
      </c>
      <c r="C742" s="1" t="n">
        <v>45664</v>
      </c>
      <c r="D742" t="inlineStr">
        <is>
          <t>UPPSALA LÄN</t>
        </is>
      </c>
      <c r="E742" t="inlineStr">
        <is>
          <t>UPPSALA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25178-2022</t>
        </is>
      </c>
      <c r="B743" s="1" t="n">
        <v>44729</v>
      </c>
      <c r="C743" s="1" t="n">
        <v>45664</v>
      </c>
      <c r="D743" t="inlineStr">
        <is>
          <t>UPPSALA LÄN</t>
        </is>
      </c>
      <c r="E743" t="inlineStr">
        <is>
          <t>UPPSALA</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25120-2022</t>
        </is>
      </c>
      <c r="B744" s="1" t="n">
        <v>44729</v>
      </c>
      <c r="C744" s="1" t="n">
        <v>45664</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25759-2022</t>
        </is>
      </c>
      <c r="B745" s="1" t="n">
        <v>44733</v>
      </c>
      <c r="C745" s="1" t="n">
        <v>45664</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25809-2022</t>
        </is>
      </c>
      <c r="B746" s="1" t="n">
        <v>44733</v>
      </c>
      <c r="C746" s="1" t="n">
        <v>45664</v>
      </c>
      <c r="D746" t="inlineStr">
        <is>
          <t>UPPSALA LÄN</t>
        </is>
      </c>
      <c r="E746" t="inlineStr">
        <is>
          <t>UPPSALA</t>
        </is>
      </c>
      <c r="F746" t="inlineStr">
        <is>
          <t>Bergvik skog öst AB</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v>
      </c>
      <c r="C747" s="1" t="n">
        <v>45664</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25776-2022</t>
        </is>
      </c>
      <c r="B748" s="1" t="n">
        <v>44733</v>
      </c>
      <c r="C748" s="1" t="n">
        <v>45664</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26609-2022</t>
        </is>
      </c>
      <c r="B749" s="1" t="n">
        <v>44739</v>
      </c>
      <c r="C749" s="1" t="n">
        <v>45664</v>
      </c>
      <c r="D749" t="inlineStr">
        <is>
          <t>UPPSALA LÄN</t>
        </is>
      </c>
      <c r="E749" t="inlineStr">
        <is>
          <t>UPPSALA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26958-2022</t>
        </is>
      </c>
      <c r="B750" s="1" t="n">
        <v>44740</v>
      </c>
      <c r="C750" s="1" t="n">
        <v>45664</v>
      </c>
      <c r="D750" t="inlineStr">
        <is>
          <t>UPPSALA LÄN</t>
        </is>
      </c>
      <c r="E750" t="inlineStr">
        <is>
          <t>UPPSALA</t>
        </is>
      </c>
      <c r="F750" t="inlineStr">
        <is>
          <t>Bergvik skog öst AB</t>
        </is>
      </c>
      <c r="G750" t="n">
        <v>2.7</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v>
      </c>
      <c r="C751" s="1" t="n">
        <v>45664</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27372-2022</t>
        </is>
      </c>
      <c r="B752" s="1" t="n">
        <v>44742</v>
      </c>
      <c r="C752" s="1" t="n">
        <v>45664</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27369-2022</t>
        </is>
      </c>
      <c r="B753" s="1" t="n">
        <v>44742</v>
      </c>
      <c r="C753" s="1" t="n">
        <v>45664</v>
      </c>
      <c r="D753" t="inlineStr">
        <is>
          <t>UPPSALA LÄN</t>
        </is>
      </c>
      <c r="E753" t="inlineStr">
        <is>
          <t>UPPSALA</t>
        </is>
      </c>
      <c r="G753" t="n">
        <v>4.5</v>
      </c>
      <c r="H753" t="n">
        <v>0</v>
      </c>
      <c r="I753" t="n">
        <v>0</v>
      </c>
      <c r="J753" t="n">
        <v>0</v>
      </c>
      <c r="K753" t="n">
        <v>0</v>
      </c>
      <c r="L753" t="n">
        <v>0</v>
      </c>
      <c r="M753" t="n">
        <v>0</v>
      </c>
      <c r="N753" t="n">
        <v>0</v>
      </c>
      <c r="O753" t="n">
        <v>0</v>
      </c>
      <c r="P753" t="n">
        <v>0</v>
      </c>
      <c r="Q753" t="n">
        <v>0</v>
      </c>
      <c r="R753" s="2" t="inlineStr"/>
    </row>
    <row r="754" ht="15" customHeight="1">
      <c r="A754" t="inlineStr">
        <is>
          <t>A 27390-2022</t>
        </is>
      </c>
      <c r="B754" s="1" t="n">
        <v>44742</v>
      </c>
      <c r="C754" s="1" t="n">
        <v>45664</v>
      </c>
      <c r="D754" t="inlineStr">
        <is>
          <t>UPPSALA LÄN</t>
        </is>
      </c>
      <c r="E754" t="inlineStr">
        <is>
          <t>UPPSALA</t>
        </is>
      </c>
      <c r="G754" t="n">
        <v>3.3</v>
      </c>
      <c r="H754" t="n">
        <v>0</v>
      </c>
      <c r="I754" t="n">
        <v>0</v>
      </c>
      <c r="J754" t="n">
        <v>0</v>
      </c>
      <c r="K754" t="n">
        <v>0</v>
      </c>
      <c r="L754" t="n">
        <v>0</v>
      </c>
      <c r="M754" t="n">
        <v>0</v>
      </c>
      <c r="N754" t="n">
        <v>0</v>
      </c>
      <c r="O754" t="n">
        <v>0</v>
      </c>
      <c r="P754" t="n">
        <v>0</v>
      </c>
      <c r="Q754" t="n">
        <v>0</v>
      </c>
      <c r="R754" s="2" t="inlineStr"/>
    </row>
    <row r="755" ht="15" customHeight="1">
      <c r="A755" t="inlineStr">
        <is>
          <t>A 27397-2022</t>
        </is>
      </c>
      <c r="B755" s="1" t="n">
        <v>44742</v>
      </c>
      <c r="C755" s="1" t="n">
        <v>45664</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27546-2022</t>
        </is>
      </c>
      <c r="B756" s="1" t="n">
        <v>44742</v>
      </c>
      <c r="C756" s="1" t="n">
        <v>45664</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27543-2022</t>
        </is>
      </c>
      <c r="B757" s="1" t="n">
        <v>44742</v>
      </c>
      <c r="C757" s="1" t="n">
        <v>45664</v>
      </c>
      <c r="D757" t="inlineStr">
        <is>
          <t>UPPSALA LÄN</t>
        </is>
      </c>
      <c r="E757" t="inlineStr">
        <is>
          <t>UPPSALA</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27763-2022</t>
        </is>
      </c>
      <c r="B758" s="1" t="n">
        <v>44743</v>
      </c>
      <c r="C758" s="1" t="n">
        <v>45664</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27762-2022</t>
        </is>
      </c>
      <c r="B759" s="1" t="n">
        <v>44743</v>
      </c>
      <c r="C759" s="1" t="n">
        <v>45664</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29277-2022</t>
        </is>
      </c>
      <c r="B760" s="1" t="n">
        <v>44750</v>
      </c>
      <c r="C760" s="1" t="n">
        <v>45664</v>
      </c>
      <c r="D760" t="inlineStr">
        <is>
          <t>UPPSALA LÄN</t>
        </is>
      </c>
      <c r="E760" t="inlineStr">
        <is>
          <t>UPPSALA</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v>
      </c>
      <c r="C761" s="1" t="n">
        <v>45664</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29986-2022</t>
        </is>
      </c>
      <c r="B762" s="1" t="n">
        <v>44756</v>
      </c>
      <c r="C762" s="1" t="n">
        <v>45664</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29991-2022</t>
        </is>
      </c>
      <c r="B763" s="1" t="n">
        <v>44756</v>
      </c>
      <c r="C763" s="1" t="n">
        <v>45664</v>
      </c>
      <c r="D763" t="inlineStr">
        <is>
          <t>UPPSALA LÄN</t>
        </is>
      </c>
      <c r="E763" t="inlineStr">
        <is>
          <t>UPPSALA</t>
        </is>
      </c>
      <c r="F763" t="inlineStr">
        <is>
          <t>Bergvik skog öst AB</t>
        </is>
      </c>
      <c r="G763" t="n">
        <v>4.1</v>
      </c>
      <c r="H763" t="n">
        <v>0</v>
      </c>
      <c r="I763" t="n">
        <v>0</v>
      </c>
      <c r="J763" t="n">
        <v>0</v>
      </c>
      <c r="K763" t="n">
        <v>0</v>
      </c>
      <c r="L763" t="n">
        <v>0</v>
      </c>
      <c r="M763" t="n">
        <v>0</v>
      </c>
      <c r="N763" t="n">
        <v>0</v>
      </c>
      <c r="O763" t="n">
        <v>0</v>
      </c>
      <c r="P763" t="n">
        <v>0</v>
      </c>
      <c r="Q763" t="n">
        <v>0</v>
      </c>
      <c r="R763" s="2" t="inlineStr"/>
    </row>
    <row r="764" ht="15" customHeight="1">
      <c r="A764" t="inlineStr">
        <is>
          <t>A 30052-2022</t>
        </is>
      </c>
      <c r="B764" s="1" t="n">
        <v>44757</v>
      </c>
      <c r="C764" s="1" t="n">
        <v>45664</v>
      </c>
      <c r="D764" t="inlineStr">
        <is>
          <t>UPPSALA LÄN</t>
        </is>
      </c>
      <c r="E764" t="inlineStr">
        <is>
          <t>UPPSALA</t>
        </is>
      </c>
      <c r="F764" t="inlineStr">
        <is>
          <t>Bergvik skog öst AB</t>
        </is>
      </c>
      <c r="G764" t="n">
        <v>9.6</v>
      </c>
      <c r="H764" t="n">
        <v>0</v>
      </c>
      <c r="I764" t="n">
        <v>0</v>
      </c>
      <c r="J764" t="n">
        <v>0</v>
      </c>
      <c r="K764" t="n">
        <v>0</v>
      </c>
      <c r="L764" t="n">
        <v>0</v>
      </c>
      <c r="M764" t="n">
        <v>0</v>
      </c>
      <c r="N764" t="n">
        <v>0</v>
      </c>
      <c r="O764" t="n">
        <v>0</v>
      </c>
      <c r="P764" t="n">
        <v>0</v>
      </c>
      <c r="Q764" t="n">
        <v>0</v>
      </c>
      <c r="R764" s="2" t="inlineStr"/>
    </row>
    <row r="765" ht="15" customHeight="1">
      <c r="A765" t="inlineStr">
        <is>
          <t>A 30580-2022</t>
        </is>
      </c>
      <c r="B765" s="1" t="n">
        <v>44762</v>
      </c>
      <c r="C765" s="1" t="n">
        <v>45664</v>
      </c>
      <c r="D765" t="inlineStr">
        <is>
          <t>UPPSALA LÄN</t>
        </is>
      </c>
      <c r="E765" t="inlineStr">
        <is>
          <t>UPPSALA</t>
        </is>
      </c>
      <c r="F765" t="inlineStr">
        <is>
          <t>Bergvik skog öst AB</t>
        </is>
      </c>
      <c r="G765" t="n">
        <v>3.6</v>
      </c>
      <c r="H765" t="n">
        <v>0</v>
      </c>
      <c r="I765" t="n">
        <v>0</v>
      </c>
      <c r="J765" t="n">
        <v>0</v>
      </c>
      <c r="K765" t="n">
        <v>0</v>
      </c>
      <c r="L765" t="n">
        <v>0</v>
      </c>
      <c r="M765" t="n">
        <v>0</v>
      </c>
      <c r="N765" t="n">
        <v>0</v>
      </c>
      <c r="O765" t="n">
        <v>0</v>
      </c>
      <c r="P765" t="n">
        <v>0</v>
      </c>
      <c r="Q765" t="n">
        <v>0</v>
      </c>
      <c r="R765" s="2" t="inlineStr"/>
    </row>
    <row r="766" ht="15" customHeight="1">
      <c r="A766" t="inlineStr">
        <is>
          <t>A 30783-2022</t>
        </is>
      </c>
      <c r="B766" s="1" t="n">
        <v>44764</v>
      </c>
      <c r="C766" s="1" t="n">
        <v>45664</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30775-2022</t>
        </is>
      </c>
      <c r="B767" s="1" t="n">
        <v>44764</v>
      </c>
      <c r="C767" s="1" t="n">
        <v>45664</v>
      </c>
      <c r="D767" t="inlineStr">
        <is>
          <t>UPPSALA LÄN</t>
        </is>
      </c>
      <c r="E767" t="inlineStr">
        <is>
          <t>UPPSALA</t>
        </is>
      </c>
      <c r="F767" t="inlineStr">
        <is>
          <t>Bergvik skog öst AB</t>
        </is>
      </c>
      <c r="G767" t="n">
        <v>4.5</v>
      </c>
      <c r="H767" t="n">
        <v>0</v>
      </c>
      <c r="I767" t="n">
        <v>0</v>
      </c>
      <c r="J767" t="n">
        <v>0</v>
      </c>
      <c r="K767" t="n">
        <v>0</v>
      </c>
      <c r="L767" t="n">
        <v>0</v>
      </c>
      <c r="M767" t="n">
        <v>0</v>
      </c>
      <c r="N767" t="n">
        <v>0</v>
      </c>
      <c r="O767" t="n">
        <v>0</v>
      </c>
      <c r="P767" t="n">
        <v>0</v>
      </c>
      <c r="Q767" t="n">
        <v>0</v>
      </c>
      <c r="R767" s="2" t="inlineStr"/>
    </row>
    <row r="768" ht="15" customHeight="1">
      <c r="A768" t="inlineStr">
        <is>
          <t>A 31113-2022</t>
        </is>
      </c>
      <c r="B768" s="1" t="n">
        <v>44769</v>
      </c>
      <c r="C768" s="1" t="n">
        <v>45664</v>
      </c>
      <c r="D768" t="inlineStr">
        <is>
          <t>UPPSALA LÄN</t>
        </is>
      </c>
      <c r="E768" t="inlineStr">
        <is>
          <t>UPPSALA</t>
        </is>
      </c>
      <c r="F768" t="inlineStr">
        <is>
          <t>Bergvik skog öst AB</t>
        </is>
      </c>
      <c r="G768" t="n">
        <v>4.7</v>
      </c>
      <c r="H768" t="n">
        <v>0</v>
      </c>
      <c r="I768" t="n">
        <v>0</v>
      </c>
      <c r="J768" t="n">
        <v>0</v>
      </c>
      <c r="K768" t="n">
        <v>0</v>
      </c>
      <c r="L768" t="n">
        <v>0</v>
      </c>
      <c r="M768" t="n">
        <v>0</v>
      </c>
      <c r="N768" t="n">
        <v>0</v>
      </c>
      <c r="O768" t="n">
        <v>0</v>
      </c>
      <c r="P768" t="n">
        <v>0</v>
      </c>
      <c r="Q768" t="n">
        <v>0</v>
      </c>
      <c r="R768" s="2" t="inlineStr"/>
    </row>
    <row r="769" ht="15" customHeight="1">
      <c r="A769" t="inlineStr">
        <is>
          <t>A 31263-2022</t>
        </is>
      </c>
      <c r="B769" s="1" t="n">
        <v>44771</v>
      </c>
      <c r="C769" s="1" t="n">
        <v>45664</v>
      </c>
      <c r="D769" t="inlineStr">
        <is>
          <t>UPPSALA LÄN</t>
        </is>
      </c>
      <c r="E769" t="inlineStr">
        <is>
          <t>UPPSALA</t>
        </is>
      </c>
      <c r="F769" t="inlineStr">
        <is>
          <t>Bergvik skog öst AB</t>
        </is>
      </c>
      <c r="G769" t="n">
        <v>2.5</v>
      </c>
      <c r="H769" t="n">
        <v>0</v>
      </c>
      <c r="I769" t="n">
        <v>0</v>
      </c>
      <c r="J769" t="n">
        <v>0</v>
      </c>
      <c r="K769" t="n">
        <v>0</v>
      </c>
      <c r="L769" t="n">
        <v>0</v>
      </c>
      <c r="M769" t="n">
        <v>0</v>
      </c>
      <c r="N769" t="n">
        <v>0</v>
      </c>
      <c r="O769" t="n">
        <v>0</v>
      </c>
      <c r="P769" t="n">
        <v>0</v>
      </c>
      <c r="Q769" t="n">
        <v>0</v>
      </c>
      <c r="R769" s="2" t="inlineStr"/>
    </row>
    <row r="770" ht="15" customHeight="1">
      <c r="A770" t="inlineStr">
        <is>
          <t>A 31261-2022</t>
        </is>
      </c>
      <c r="B770" s="1" t="n">
        <v>44771</v>
      </c>
      <c r="C770" s="1" t="n">
        <v>45664</v>
      </c>
      <c r="D770" t="inlineStr">
        <is>
          <t>UPPSALA LÄN</t>
        </is>
      </c>
      <c r="E770" t="inlineStr">
        <is>
          <t>UPPSALA</t>
        </is>
      </c>
      <c r="F770" t="inlineStr">
        <is>
          <t>Bergvik skog öst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31249-2022</t>
        </is>
      </c>
      <c r="B771" s="1" t="n">
        <v>44771</v>
      </c>
      <c r="C771" s="1" t="n">
        <v>45664</v>
      </c>
      <c r="D771" t="inlineStr">
        <is>
          <t>UPPSALA LÄN</t>
        </is>
      </c>
      <c r="E771" t="inlineStr">
        <is>
          <t>UPPSALA</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31253-2022</t>
        </is>
      </c>
      <c r="B772" s="1" t="n">
        <v>44771</v>
      </c>
      <c r="C772" s="1" t="n">
        <v>45664</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32954-2022</t>
        </is>
      </c>
      <c r="B773" s="1" t="n">
        <v>44784</v>
      </c>
      <c r="C773" s="1" t="n">
        <v>45664</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33332-2022</t>
        </is>
      </c>
      <c r="B774" s="1" t="n">
        <v>44788</v>
      </c>
      <c r="C774" s="1" t="n">
        <v>45664</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33283-2022</t>
        </is>
      </c>
      <c r="B775" s="1" t="n">
        <v>44788</v>
      </c>
      <c r="C775" s="1" t="n">
        <v>45664</v>
      </c>
      <c r="D775" t="inlineStr">
        <is>
          <t>UPPSALA LÄN</t>
        </is>
      </c>
      <c r="E775" t="inlineStr">
        <is>
          <t>UPPSALA</t>
        </is>
      </c>
      <c r="G775" t="n">
        <v>20.2</v>
      </c>
      <c r="H775" t="n">
        <v>0</v>
      </c>
      <c r="I775" t="n">
        <v>0</v>
      </c>
      <c r="J775" t="n">
        <v>0</v>
      </c>
      <c r="K775" t="n">
        <v>0</v>
      </c>
      <c r="L775" t="n">
        <v>0</v>
      </c>
      <c r="M775" t="n">
        <v>0</v>
      </c>
      <c r="N775" t="n">
        <v>0</v>
      </c>
      <c r="O775" t="n">
        <v>0</v>
      </c>
      <c r="P775" t="n">
        <v>0</v>
      </c>
      <c r="Q775" t="n">
        <v>0</v>
      </c>
      <c r="R775" s="2" t="inlineStr"/>
    </row>
    <row r="776" ht="15" customHeight="1">
      <c r="A776" t="inlineStr">
        <is>
          <t>A 34061-2022</t>
        </is>
      </c>
      <c r="B776" s="1" t="n">
        <v>44791</v>
      </c>
      <c r="C776" s="1" t="n">
        <v>45664</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34770-2022</t>
        </is>
      </c>
      <c r="B777" s="1" t="n">
        <v>44795</v>
      </c>
      <c r="C777" s="1" t="n">
        <v>45664</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35212-2022</t>
        </is>
      </c>
      <c r="B778" s="1" t="n">
        <v>44797</v>
      </c>
      <c r="C778" s="1" t="n">
        <v>45664</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35411-2022</t>
        </is>
      </c>
      <c r="B779" s="1" t="n">
        <v>44798</v>
      </c>
      <c r="C779" s="1" t="n">
        <v>45664</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35539-2022</t>
        </is>
      </c>
      <c r="B780" s="1" t="n">
        <v>44799</v>
      </c>
      <c r="C780" s="1" t="n">
        <v>45664</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35544-2022</t>
        </is>
      </c>
      <c r="B781" s="1" t="n">
        <v>44799</v>
      </c>
      <c r="C781" s="1" t="n">
        <v>45664</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45664</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37187-2022</t>
        </is>
      </c>
      <c r="B783" s="1" t="n">
        <v>44806</v>
      </c>
      <c r="C783" s="1" t="n">
        <v>45664</v>
      </c>
      <c r="D783" t="inlineStr">
        <is>
          <t>UPPSALA LÄN</t>
        </is>
      </c>
      <c r="E783" t="inlineStr">
        <is>
          <t>UPPSALA</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37316-2022</t>
        </is>
      </c>
      <c r="B784" s="1" t="n">
        <v>44806</v>
      </c>
      <c r="C784" s="1" t="n">
        <v>45664</v>
      </c>
      <c r="D784" t="inlineStr">
        <is>
          <t>UPPSALA LÄN</t>
        </is>
      </c>
      <c r="E784" t="inlineStr">
        <is>
          <t>UPPSALA</t>
        </is>
      </c>
      <c r="G784" t="n">
        <v>10.6</v>
      </c>
      <c r="H784" t="n">
        <v>0</v>
      </c>
      <c r="I784" t="n">
        <v>0</v>
      </c>
      <c r="J784" t="n">
        <v>0</v>
      </c>
      <c r="K784" t="n">
        <v>0</v>
      </c>
      <c r="L784" t="n">
        <v>0</v>
      </c>
      <c r="M784" t="n">
        <v>0</v>
      </c>
      <c r="N784" t="n">
        <v>0</v>
      </c>
      <c r="O784" t="n">
        <v>0</v>
      </c>
      <c r="P784" t="n">
        <v>0</v>
      </c>
      <c r="Q784" t="n">
        <v>0</v>
      </c>
      <c r="R784" s="2" t="inlineStr"/>
    </row>
    <row r="785" ht="15" customHeight="1">
      <c r="A785" t="inlineStr">
        <is>
          <t>A 37188-2022</t>
        </is>
      </c>
      <c r="B785" s="1" t="n">
        <v>44806</v>
      </c>
      <c r="C785" s="1" t="n">
        <v>45664</v>
      </c>
      <c r="D785" t="inlineStr">
        <is>
          <t>UPPSALA LÄN</t>
        </is>
      </c>
      <c r="E785" t="inlineStr">
        <is>
          <t>UPPSALA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37588-2022</t>
        </is>
      </c>
      <c r="B786" s="1" t="n">
        <v>44810</v>
      </c>
      <c r="C786" s="1" t="n">
        <v>45664</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37761-2022</t>
        </is>
      </c>
      <c r="B787" s="1" t="n">
        <v>44810</v>
      </c>
      <c r="C787" s="1" t="n">
        <v>45664</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37670-2022</t>
        </is>
      </c>
      <c r="B788" s="1" t="n">
        <v>44810</v>
      </c>
      <c r="C788" s="1" t="n">
        <v>45664</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38078-2022</t>
        </is>
      </c>
      <c r="B789" s="1" t="n">
        <v>44811</v>
      </c>
      <c r="C789" s="1" t="n">
        <v>45664</v>
      </c>
      <c r="D789" t="inlineStr">
        <is>
          <t>UPPSALA LÄN</t>
        </is>
      </c>
      <c r="E789" t="inlineStr">
        <is>
          <t>UPPSALA</t>
        </is>
      </c>
      <c r="G789" t="n">
        <v>1.6</v>
      </c>
      <c r="H789" t="n">
        <v>0</v>
      </c>
      <c r="I789" t="n">
        <v>0</v>
      </c>
      <c r="J789" t="n">
        <v>0</v>
      </c>
      <c r="K789" t="n">
        <v>0</v>
      </c>
      <c r="L789" t="n">
        <v>0</v>
      </c>
      <c r="M789" t="n">
        <v>0</v>
      </c>
      <c r="N789" t="n">
        <v>0</v>
      </c>
      <c r="O789" t="n">
        <v>0</v>
      </c>
      <c r="P789" t="n">
        <v>0</v>
      </c>
      <c r="Q789" t="n">
        <v>0</v>
      </c>
      <c r="R789" s="2" t="inlineStr"/>
    </row>
    <row r="790" ht="15" customHeight="1">
      <c r="A790" t="inlineStr">
        <is>
          <t>A 38524-2022</t>
        </is>
      </c>
      <c r="B790" s="1" t="n">
        <v>44813</v>
      </c>
      <c r="C790" s="1" t="n">
        <v>45664</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38865-2022</t>
        </is>
      </c>
      <c r="B791" s="1" t="n">
        <v>44816</v>
      </c>
      <c r="C791" s="1" t="n">
        <v>45664</v>
      </c>
      <c r="D791" t="inlineStr">
        <is>
          <t>UPPSALA LÄN</t>
        </is>
      </c>
      <c r="E791" t="inlineStr">
        <is>
          <t>UPPSALA</t>
        </is>
      </c>
      <c r="G791" t="n">
        <v>14.6</v>
      </c>
      <c r="H791" t="n">
        <v>0</v>
      </c>
      <c r="I791" t="n">
        <v>0</v>
      </c>
      <c r="J791" t="n">
        <v>0</v>
      </c>
      <c r="K791" t="n">
        <v>0</v>
      </c>
      <c r="L791" t="n">
        <v>0</v>
      </c>
      <c r="M791" t="n">
        <v>0</v>
      </c>
      <c r="N791" t="n">
        <v>0</v>
      </c>
      <c r="O791" t="n">
        <v>0</v>
      </c>
      <c r="P791" t="n">
        <v>0</v>
      </c>
      <c r="Q791" t="n">
        <v>0</v>
      </c>
      <c r="R791" s="2" t="inlineStr"/>
    </row>
    <row r="792" ht="15" customHeight="1">
      <c r="A792" t="inlineStr">
        <is>
          <t>A 38892-2022</t>
        </is>
      </c>
      <c r="B792" s="1" t="n">
        <v>44816</v>
      </c>
      <c r="C792" s="1" t="n">
        <v>45664</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38909-2022</t>
        </is>
      </c>
      <c r="B793" s="1" t="n">
        <v>44816</v>
      </c>
      <c r="C793" s="1" t="n">
        <v>45664</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39148-2022</t>
        </is>
      </c>
      <c r="B794" s="1" t="n">
        <v>44816</v>
      </c>
      <c r="C794" s="1" t="n">
        <v>45664</v>
      </c>
      <c r="D794" t="inlineStr">
        <is>
          <t>UPPSALA LÄN</t>
        </is>
      </c>
      <c r="E794" t="inlineStr">
        <is>
          <t>UPPSALA</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39144-2022</t>
        </is>
      </c>
      <c r="B795" s="1" t="n">
        <v>44816</v>
      </c>
      <c r="C795" s="1" t="n">
        <v>45664</v>
      </c>
      <c r="D795" t="inlineStr">
        <is>
          <t>UPPSALA LÄN</t>
        </is>
      </c>
      <c r="E795" t="inlineStr">
        <is>
          <t>UPPSALA</t>
        </is>
      </c>
      <c r="G795" t="n">
        <v>8.4</v>
      </c>
      <c r="H795" t="n">
        <v>0</v>
      </c>
      <c r="I795" t="n">
        <v>0</v>
      </c>
      <c r="J795" t="n">
        <v>0</v>
      </c>
      <c r="K795" t="n">
        <v>0</v>
      </c>
      <c r="L795" t="n">
        <v>0</v>
      </c>
      <c r="M795" t="n">
        <v>0</v>
      </c>
      <c r="N795" t="n">
        <v>0</v>
      </c>
      <c r="O795" t="n">
        <v>0</v>
      </c>
      <c r="P795" t="n">
        <v>0</v>
      </c>
      <c r="Q795" t="n">
        <v>0</v>
      </c>
      <c r="R795" s="2" t="inlineStr"/>
    </row>
    <row r="796" ht="15" customHeight="1">
      <c r="A796" t="inlineStr">
        <is>
          <t>A 39454-2022</t>
        </is>
      </c>
      <c r="B796" s="1" t="n">
        <v>44817</v>
      </c>
      <c r="C796" s="1" t="n">
        <v>45664</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39608-2022</t>
        </is>
      </c>
      <c r="B797" s="1" t="n">
        <v>44817</v>
      </c>
      <c r="C797" s="1" t="n">
        <v>45664</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39599-2022</t>
        </is>
      </c>
      <c r="B798" s="1" t="n">
        <v>44817</v>
      </c>
      <c r="C798" s="1" t="n">
        <v>45664</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39795-2022</t>
        </is>
      </c>
      <c r="B799" s="1" t="n">
        <v>44819</v>
      </c>
      <c r="C799" s="1" t="n">
        <v>45664</v>
      </c>
      <c r="D799" t="inlineStr">
        <is>
          <t>UPPSALA LÄN</t>
        </is>
      </c>
      <c r="E799" t="inlineStr">
        <is>
          <t>UPPSALA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39915-2022</t>
        </is>
      </c>
      <c r="B800" s="1" t="n">
        <v>44819</v>
      </c>
      <c r="C800" s="1" t="n">
        <v>45664</v>
      </c>
      <c r="D800" t="inlineStr">
        <is>
          <t>UPPSALA LÄN</t>
        </is>
      </c>
      <c r="E800" t="inlineStr">
        <is>
          <t>UPPSALA</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39865-2022</t>
        </is>
      </c>
      <c r="B801" s="1" t="n">
        <v>44819</v>
      </c>
      <c r="C801" s="1" t="n">
        <v>45664</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v>
      </c>
      <c r="C802" s="1" t="n">
        <v>45664</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42622-2022</t>
        </is>
      </c>
      <c r="B803" s="1" t="n">
        <v>44831</v>
      </c>
      <c r="C803" s="1" t="n">
        <v>45664</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42772-2022</t>
        </is>
      </c>
      <c r="B804" s="1" t="n">
        <v>44832</v>
      </c>
      <c r="C804" s="1" t="n">
        <v>45664</v>
      </c>
      <c r="D804" t="inlineStr">
        <is>
          <t>UPPSALA LÄN</t>
        </is>
      </c>
      <c r="E804" t="inlineStr">
        <is>
          <t>UPPSALA</t>
        </is>
      </c>
      <c r="G804" t="n">
        <v>17.7</v>
      </c>
      <c r="H804" t="n">
        <v>0</v>
      </c>
      <c r="I804" t="n">
        <v>0</v>
      </c>
      <c r="J804" t="n">
        <v>0</v>
      </c>
      <c r="K804" t="n">
        <v>0</v>
      </c>
      <c r="L804" t="n">
        <v>0</v>
      </c>
      <c r="M804" t="n">
        <v>0</v>
      </c>
      <c r="N804" t="n">
        <v>0</v>
      </c>
      <c r="O804" t="n">
        <v>0</v>
      </c>
      <c r="P804" t="n">
        <v>0</v>
      </c>
      <c r="Q804" t="n">
        <v>0</v>
      </c>
      <c r="R804" s="2" t="inlineStr"/>
    </row>
    <row r="805" ht="15" customHeight="1">
      <c r="A805" t="inlineStr">
        <is>
          <t>A 43032-2022</t>
        </is>
      </c>
      <c r="B805" s="1" t="n">
        <v>44832</v>
      </c>
      <c r="C805" s="1" t="n">
        <v>45664</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v>
      </c>
      <c r="C806" s="1" t="n">
        <v>45664</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44265-2022</t>
        </is>
      </c>
      <c r="B807" s="1" t="n">
        <v>44839</v>
      </c>
      <c r="C807" s="1" t="n">
        <v>45664</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44817-2022</t>
        </is>
      </c>
      <c r="B808" s="1" t="n">
        <v>44841</v>
      </c>
      <c r="C808" s="1" t="n">
        <v>45664</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45195-2022</t>
        </is>
      </c>
      <c r="B809" s="1" t="n">
        <v>44844</v>
      </c>
      <c r="C809" s="1" t="n">
        <v>45664</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45780-2022</t>
        </is>
      </c>
      <c r="B810" s="1" t="n">
        <v>44846</v>
      </c>
      <c r="C810" s="1" t="n">
        <v>45664</v>
      </c>
      <c r="D810" t="inlineStr">
        <is>
          <t>UPPSALA LÄN</t>
        </is>
      </c>
      <c r="E810" t="inlineStr">
        <is>
          <t>UPPSALA</t>
        </is>
      </c>
      <c r="G810" t="n">
        <v>5.8</v>
      </c>
      <c r="H810" t="n">
        <v>0</v>
      </c>
      <c r="I810" t="n">
        <v>0</v>
      </c>
      <c r="J810" t="n">
        <v>0</v>
      </c>
      <c r="K810" t="n">
        <v>0</v>
      </c>
      <c r="L810" t="n">
        <v>0</v>
      </c>
      <c r="M810" t="n">
        <v>0</v>
      </c>
      <c r="N810" t="n">
        <v>0</v>
      </c>
      <c r="O810" t="n">
        <v>0</v>
      </c>
      <c r="P810" t="n">
        <v>0</v>
      </c>
      <c r="Q810" t="n">
        <v>0</v>
      </c>
      <c r="R810" s="2" t="inlineStr"/>
    </row>
    <row r="811" ht="15" customHeight="1">
      <c r="A811" t="inlineStr">
        <is>
          <t>A 45849-2022</t>
        </is>
      </c>
      <c r="B811" s="1" t="n">
        <v>44846</v>
      </c>
      <c r="C811" s="1" t="n">
        <v>45664</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46077-2022</t>
        </is>
      </c>
      <c r="B812" s="1" t="n">
        <v>44847</v>
      </c>
      <c r="C812" s="1" t="n">
        <v>45664</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46069-2022</t>
        </is>
      </c>
      <c r="B813" s="1" t="n">
        <v>44847</v>
      </c>
      <c r="C813" s="1" t="n">
        <v>45664</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46079-2022</t>
        </is>
      </c>
      <c r="B814" s="1" t="n">
        <v>44847</v>
      </c>
      <c r="C814" s="1" t="n">
        <v>45664</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46293-2022</t>
        </is>
      </c>
      <c r="B815" s="1" t="n">
        <v>44847</v>
      </c>
      <c r="C815" s="1" t="n">
        <v>45664</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46805-2022</t>
        </is>
      </c>
      <c r="B816" s="1" t="n">
        <v>44847</v>
      </c>
      <c r="C816" s="1" t="n">
        <v>45664</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46807-2022</t>
        </is>
      </c>
      <c r="B817" s="1" t="n">
        <v>44848</v>
      </c>
      <c r="C817" s="1" t="n">
        <v>45664</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46635-2022</t>
        </is>
      </c>
      <c r="B818" s="1" t="n">
        <v>44849</v>
      </c>
      <c r="C818" s="1" t="n">
        <v>45664</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47413-2022</t>
        </is>
      </c>
      <c r="B819" s="1" t="n">
        <v>44853</v>
      </c>
      <c r="C819" s="1" t="n">
        <v>45664</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48686-2022</t>
        </is>
      </c>
      <c r="B820" s="1" t="n">
        <v>44859</v>
      </c>
      <c r="C820" s="1" t="n">
        <v>45664</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48588-2022</t>
        </is>
      </c>
      <c r="B821" s="1" t="n">
        <v>44859</v>
      </c>
      <c r="C821" s="1" t="n">
        <v>45664</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48692-2022</t>
        </is>
      </c>
      <c r="B822" s="1" t="n">
        <v>44859</v>
      </c>
      <c r="C822" s="1" t="n">
        <v>45664</v>
      </c>
      <c r="D822" t="inlineStr">
        <is>
          <t>UPPSALA LÄN</t>
        </is>
      </c>
      <c r="E822" t="inlineStr">
        <is>
          <t>UPPSALA</t>
        </is>
      </c>
      <c r="G822" t="n">
        <v>3.1</v>
      </c>
      <c r="H822" t="n">
        <v>0</v>
      </c>
      <c r="I822" t="n">
        <v>0</v>
      </c>
      <c r="J822" t="n">
        <v>0</v>
      </c>
      <c r="K822" t="n">
        <v>0</v>
      </c>
      <c r="L822" t="n">
        <v>0</v>
      </c>
      <c r="M822" t="n">
        <v>0</v>
      </c>
      <c r="N822" t="n">
        <v>0</v>
      </c>
      <c r="O822" t="n">
        <v>0</v>
      </c>
      <c r="P822" t="n">
        <v>0</v>
      </c>
      <c r="Q822" t="n">
        <v>0</v>
      </c>
      <c r="R822" s="2" t="inlineStr"/>
    </row>
    <row r="823" ht="15" customHeight="1">
      <c r="A823" t="inlineStr">
        <is>
          <t>A 48688-2022</t>
        </is>
      </c>
      <c r="B823" s="1" t="n">
        <v>44859</v>
      </c>
      <c r="C823" s="1" t="n">
        <v>45664</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50006-2022</t>
        </is>
      </c>
      <c r="B824" s="1" t="n">
        <v>44865</v>
      </c>
      <c r="C824" s="1" t="n">
        <v>45664</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45664</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50954-2022</t>
        </is>
      </c>
      <c r="B826" s="1" t="n">
        <v>44866</v>
      </c>
      <c r="C826" s="1" t="n">
        <v>45664</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51661-2022</t>
        </is>
      </c>
      <c r="B827" s="1" t="n">
        <v>44872</v>
      </c>
      <c r="C827" s="1" t="n">
        <v>45664</v>
      </c>
      <c r="D827" t="inlineStr">
        <is>
          <t>UPPSALA LÄN</t>
        </is>
      </c>
      <c r="E827" t="inlineStr">
        <is>
          <t>UPPSALA</t>
        </is>
      </c>
      <c r="G827" t="n">
        <v>8.9</v>
      </c>
      <c r="H827" t="n">
        <v>0</v>
      </c>
      <c r="I827" t="n">
        <v>0</v>
      </c>
      <c r="J827" t="n">
        <v>0</v>
      </c>
      <c r="K827" t="n">
        <v>0</v>
      </c>
      <c r="L827" t="n">
        <v>0</v>
      </c>
      <c r="M827" t="n">
        <v>0</v>
      </c>
      <c r="N827" t="n">
        <v>0</v>
      </c>
      <c r="O827" t="n">
        <v>0</v>
      </c>
      <c r="P827" t="n">
        <v>0</v>
      </c>
      <c r="Q827" t="n">
        <v>0</v>
      </c>
      <c r="R827" s="2" t="inlineStr"/>
    </row>
    <row r="828" ht="15" customHeight="1">
      <c r="A828" t="inlineStr">
        <is>
          <t>A 51899-2022</t>
        </is>
      </c>
      <c r="B828" s="1" t="n">
        <v>44872</v>
      </c>
      <c r="C828" s="1" t="n">
        <v>45664</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54715-2022</t>
        </is>
      </c>
      <c r="B829" s="1" t="n">
        <v>44883</v>
      </c>
      <c r="C829" s="1" t="n">
        <v>45664</v>
      </c>
      <c r="D829" t="inlineStr">
        <is>
          <t>UPPSALA LÄN</t>
        </is>
      </c>
      <c r="E829" t="inlineStr">
        <is>
          <t>UPPSALA</t>
        </is>
      </c>
      <c r="F829" t="inlineStr">
        <is>
          <t>Övriga Aktiebolag</t>
        </is>
      </c>
      <c r="G829" t="n">
        <v>9.5</v>
      </c>
      <c r="H829" t="n">
        <v>0</v>
      </c>
      <c r="I829" t="n">
        <v>0</v>
      </c>
      <c r="J829" t="n">
        <v>0</v>
      </c>
      <c r="K829" t="n">
        <v>0</v>
      </c>
      <c r="L829" t="n">
        <v>0</v>
      </c>
      <c r="M829" t="n">
        <v>0</v>
      </c>
      <c r="N829" t="n">
        <v>0</v>
      </c>
      <c r="O829" t="n">
        <v>0</v>
      </c>
      <c r="P829" t="n">
        <v>0</v>
      </c>
      <c r="Q829" t="n">
        <v>0</v>
      </c>
      <c r="R829" s="2" t="inlineStr"/>
    </row>
    <row r="830" ht="15" customHeight="1">
      <c r="A830" t="inlineStr">
        <is>
          <t>A 54732-2022</t>
        </is>
      </c>
      <c r="B830" s="1" t="n">
        <v>44883</v>
      </c>
      <c r="C830" s="1" t="n">
        <v>45664</v>
      </c>
      <c r="D830" t="inlineStr">
        <is>
          <t>UPPSALA LÄN</t>
        </is>
      </c>
      <c r="E830" t="inlineStr">
        <is>
          <t>UPPSALA</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54813-2022</t>
        </is>
      </c>
      <c r="B831" s="1" t="n">
        <v>44883</v>
      </c>
      <c r="C831" s="1" t="n">
        <v>45664</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55021-2022</t>
        </is>
      </c>
      <c r="B832" s="1" t="n">
        <v>44886</v>
      </c>
      <c r="C832" s="1" t="n">
        <v>45664</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55040-2022</t>
        </is>
      </c>
      <c r="B833" s="1" t="n">
        <v>44886</v>
      </c>
      <c r="C833" s="1" t="n">
        <v>45664</v>
      </c>
      <c r="D833" t="inlineStr">
        <is>
          <t>UPPSALA LÄN</t>
        </is>
      </c>
      <c r="E833" t="inlineStr">
        <is>
          <t>UPPSALA</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55073-2022</t>
        </is>
      </c>
      <c r="B834" s="1" t="n">
        <v>44886</v>
      </c>
      <c r="C834" s="1" t="n">
        <v>45664</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55066-2022</t>
        </is>
      </c>
      <c r="B835" s="1" t="n">
        <v>44886</v>
      </c>
      <c r="C835" s="1" t="n">
        <v>45664</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55401-2022</t>
        </is>
      </c>
      <c r="B836" s="1" t="n">
        <v>44887</v>
      </c>
      <c r="C836" s="1" t="n">
        <v>45664</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55862-2022</t>
        </is>
      </c>
      <c r="B837" s="1" t="n">
        <v>44888</v>
      </c>
      <c r="C837" s="1" t="n">
        <v>45664</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56679-2022</t>
        </is>
      </c>
      <c r="B838" s="1" t="n">
        <v>44893</v>
      </c>
      <c r="C838" s="1" t="n">
        <v>45664</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56889-2022</t>
        </is>
      </c>
      <c r="B839" s="1" t="n">
        <v>44894</v>
      </c>
      <c r="C839" s="1" t="n">
        <v>45664</v>
      </c>
      <c r="D839" t="inlineStr">
        <is>
          <t>UPPSALA LÄN</t>
        </is>
      </c>
      <c r="E839" t="inlineStr">
        <is>
          <t>UPPSALA</t>
        </is>
      </c>
      <c r="F839" t="inlineStr">
        <is>
          <t>Övriga Aktiebolag</t>
        </is>
      </c>
      <c r="G839" t="n">
        <v>21.6</v>
      </c>
      <c r="H839" t="n">
        <v>0</v>
      </c>
      <c r="I839" t="n">
        <v>0</v>
      </c>
      <c r="J839" t="n">
        <v>0</v>
      </c>
      <c r="K839" t="n">
        <v>0</v>
      </c>
      <c r="L839" t="n">
        <v>0</v>
      </c>
      <c r="M839" t="n">
        <v>0</v>
      </c>
      <c r="N839" t="n">
        <v>0</v>
      </c>
      <c r="O839" t="n">
        <v>0</v>
      </c>
      <c r="P839" t="n">
        <v>0</v>
      </c>
      <c r="Q839" t="n">
        <v>0</v>
      </c>
      <c r="R839" s="2" t="inlineStr"/>
    </row>
    <row r="840" ht="15" customHeight="1">
      <c r="A840" t="inlineStr">
        <is>
          <t>A 56795-2022</t>
        </is>
      </c>
      <c r="B840" s="1" t="n">
        <v>44894</v>
      </c>
      <c r="C840" s="1" t="n">
        <v>45664</v>
      </c>
      <c r="D840" t="inlineStr">
        <is>
          <t>UPPSALA LÄN</t>
        </is>
      </c>
      <c r="E840" t="inlineStr">
        <is>
          <t>UPPSALA</t>
        </is>
      </c>
      <c r="F840" t="inlineStr">
        <is>
          <t>Holmen skog AB</t>
        </is>
      </c>
      <c r="G840" t="n">
        <v>4.1</v>
      </c>
      <c r="H840" t="n">
        <v>0</v>
      </c>
      <c r="I840" t="n">
        <v>0</v>
      </c>
      <c r="J840" t="n">
        <v>0</v>
      </c>
      <c r="K840" t="n">
        <v>0</v>
      </c>
      <c r="L840" t="n">
        <v>0</v>
      </c>
      <c r="M840" t="n">
        <v>0</v>
      </c>
      <c r="N840" t="n">
        <v>0</v>
      </c>
      <c r="O840" t="n">
        <v>0</v>
      </c>
      <c r="P840" t="n">
        <v>0</v>
      </c>
      <c r="Q840" t="n">
        <v>0</v>
      </c>
      <c r="R840" s="2" t="inlineStr"/>
    </row>
    <row r="841" ht="15" customHeight="1">
      <c r="A841" t="inlineStr">
        <is>
          <t>A 56779-2022</t>
        </is>
      </c>
      <c r="B841" s="1" t="n">
        <v>44894</v>
      </c>
      <c r="C841" s="1" t="n">
        <v>45664</v>
      </c>
      <c r="D841" t="inlineStr">
        <is>
          <t>UPPSALA LÄN</t>
        </is>
      </c>
      <c r="E841" t="inlineStr">
        <is>
          <t>UPPSALA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57495-2022</t>
        </is>
      </c>
      <c r="B842" s="1" t="n">
        <v>44896</v>
      </c>
      <c r="C842" s="1" t="n">
        <v>45664</v>
      </c>
      <c r="D842" t="inlineStr">
        <is>
          <t>UPPSALA LÄN</t>
        </is>
      </c>
      <c r="E842" t="inlineStr">
        <is>
          <t>UPPSALA</t>
        </is>
      </c>
      <c r="G842" t="n">
        <v>7</v>
      </c>
      <c r="H842" t="n">
        <v>0</v>
      </c>
      <c r="I842" t="n">
        <v>0</v>
      </c>
      <c r="J842" t="n">
        <v>0</v>
      </c>
      <c r="K842" t="n">
        <v>0</v>
      </c>
      <c r="L842" t="n">
        <v>0</v>
      </c>
      <c r="M842" t="n">
        <v>0</v>
      </c>
      <c r="N842" t="n">
        <v>0</v>
      </c>
      <c r="O842" t="n">
        <v>0</v>
      </c>
      <c r="P842" t="n">
        <v>0</v>
      </c>
      <c r="Q842" t="n">
        <v>0</v>
      </c>
      <c r="R842" s="2" t="inlineStr"/>
    </row>
    <row r="843" ht="15" customHeight="1">
      <c r="A843" t="inlineStr">
        <is>
          <t>A 57714-2022</t>
        </is>
      </c>
      <c r="B843" s="1" t="n">
        <v>44897</v>
      </c>
      <c r="C843" s="1" t="n">
        <v>45664</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57809-2022</t>
        </is>
      </c>
      <c r="B844" s="1" t="n">
        <v>44897</v>
      </c>
      <c r="C844" s="1" t="n">
        <v>45664</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58023-2022</t>
        </is>
      </c>
      <c r="B845" s="1" t="n">
        <v>44900</v>
      </c>
      <c r="C845" s="1" t="n">
        <v>45664</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58096-2022</t>
        </is>
      </c>
      <c r="B846" s="1" t="n">
        <v>44900</v>
      </c>
      <c r="C846" s="1" t="n">
        <v>45664</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58243-2022</t>
        </is>
      </c>
      <c r="B847" s="1" t="n">
        <v>44901</v>
      </c>
      <c r="C847" s="1" t="n">
        <v>45664</v>
      </c>
      <c r="D847" t="inlineStr">
        <is>
          <t>UPPSALA LÄN</t>
        </is>
      </c>
      <c r="E847" t="inlineStr">
        <is>
          <t>UPPSALA</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59133-2022</t>
        </is>
      </c>
      <c r="B848" s="1" t="n">
        <v>44904</v>
      </c>
      <c r="C848" s="1" t="n">
        <v>45664</v>
      </c>
      <c r="D848" t="inlineStr">
        <is>
          <t>UPPSALA LÄN</t>
        </is>
      </c>
      <c r="E848" t="inlineStr">
        <is>
          <t>UPPSALA</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59730-2022</t>
        </is>
      </c>
      <c r="B849" s="1" t="n">
        <v>44908</v>
      </c>
      <c r="C849" s="1" t="n">
        <v>45664</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v>
      </c>
      <c r="C850" s="1" t="n">
        <v>45664</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59727-2022</t>
        </is>
      </c>
      <c r="B851" s="1" t="n">
        <v>44908</v>
      </c>
      <c r="C851" s="1" t="n">
        <v>45664</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60056-2022</t>
        </is>
      </c>
      <c r="B852" s="1" t="n">
        <v>44909</v>
      </c>
      <c r="C852" s="1" t="n">
        <v>45664</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60047-2022</t>
        </is>
      </c>
      <c r="B853" s="1" t="n">
        <v>44909</v>
      </c>
      <c r="C853" s="1" t="n">
        <v>45664</v>
      </c>
      <c r="D853" t="inlineStr">
        <is>
          <t>UPPSALA LÄN</t>
        </is>
      </c>
      <c r="E853" t="inlineStr">
        <is>
          <t>UPPSALA</t>
        </is>
      </c>
      <c r="F853" t="inlineStr">
        <is>
          <t>Kyrkan</t>
        </is>
      </c>
      <c r="G853" t="n">
        <v>0.7</v>
      </c>
      <c r="H853" t="n">
        <v>0</v>
      </c>
      <c r="I853" t="n">
        <v>0</v>
      </c>
      <c r="J853" t="n">
        <v>0</v>
      </c>
      <c r="K853" t="n">
        <v>0</v>
      </c>
      <c r="L853" t="n">
        <v>0</v>
      </c>
      <c r="M853" t="n">
        <v>0</v>
      </c>
      <c r="N853" t="n">
        <v>0</v>
      </c>
      <c r="O853" t="n">
        <v>0</v>
      </c>
      <c r="P853" t="n">
        <v>0</v>
      </c>
      <c r="Q853" t="n">
        <v>0</v>
      </c>
      <c r="R853" s="2" t="inlineStr"/>
    </row>
    <row r="854" ht="15" customHeight="1">
      <c r="A854" t="inlineStr">
        <is>
          <t>A 60702-2022</t>
        </is>
      </c>
      <c r="B854" s="1" t="n">
        <v>44912</v>
      </c>
      <c r="C854" s="1" t="n">
        <v>45664</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60701-2022</t>
        </is>
      </c>
      <c r="B855" s="1" t="n">
        <v>44912</v>
      </c>
      <c r="C855" s="1" t="n">
        <v>45664</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60984-2022</t>
        </is>
      </c>
      <c r="B856" s="1" t="n">
        <v>44914</v>
      </c>
      <c r="C856" s="1" t="n">
        <v>45664</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60986-2022</t>
        </is>
      </c>
      <c r="B857" s="1" t="n">
        <v>44914</v>
      </c>
      <c r="C857" s="1" t="n">
        <v>45664</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60988-2022</t>
        </is>
      </c>
      <c r="B858" s="1" t="n">
        <v>44914</v>
      </c>
      <c r="C858" s="1" t="n">
        <v>45664</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61526-2022</t>
        </is>
      </c>
      <c r="B859" s="1" t="n">
        <v>44916</v>
      </c>
      <c r="C859" s="1" t="n">
        <v>45664</v>
      </c>
      <c r="D859" t="inlineStr">
        <is>
          <t>UPPSALA LÄN</t>
        </is>
      </c>
      <c r="E859" t="inlineStr">
        <is>
          <t>UPPSALA</t>
        </is>
      </c>
      <c r="F859" t="inlineStr">
        <is>
          <t>Kyrkan</t>
        </is>
      </c>
      <c r="G859" t="n">
        <v>1.2</v>
      </c>
      <c r="H859" t="n">
        <v>0</v>
      </c>
      <c r="I859" t="n">
        <v>0</v>
      </c>
      <c r="J859" t="n">
        <v>0</v>
      </c>
      <c r="K859" t="n">
        <v>0</v>
      </c>
      <c r="L859" t="n">
        <v>0</v>
      </c>
      <c r="M859" t="n">
        <v>0</v>
      </c>
      <c r="N859" t="n">
        <v>0</v>
      </c>
      <c r="O859" t="n">
        <v>0</v>
      </c>
      <c r="P859" t="n">
        <v>0</v>
      </c>
      <c r="Q859" t="n">
        <v>0</v>
      </c>
      <c r="R859" s="2" t="inlineStr"/>
    </row>
    <row r="860" ht="15" customHeight="1">
      <c r="A860" t="inlineStr">
        <is>
          <t>A 61578-2022</t>
        </is>
      </c>
      <c r="B860" s="1" t="n">
        <v>44916</v>
      </c>
      <c r="C860" s="1" t="n">
        <v>45664</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62311-2022</t>
        </is>
      </c>
      <c r="B861" s="1" t="n">
        <v>44916</v>
      </c>
      <c r="C861" s="1" t="n">
        <v>45664</v>
      </c>
      <c r="D861" t="inlineStr">
        <is>
          <t>UPPSALA LÄN</t>
        </is>
      </c>
      <c r="E861" t="inlineStr">
        <is>
          <t>UPPSALA</t>
        </is>
      </c>
      <c r="G861" t="n">
        <v>7.6</v>
      </c>
      <c r="H861" t="n">
        <v>0</v>
      </c>
      <c r="I861" t="n">
        <v>0</v>
      </c>
      <c r="J861" t="n">
        <v>0</v>
      </c>
      <c r="K861" t="n">
        <v>0</v>
      </c>
      <c r="L861" t="n">
        <v>0</v>
      </c>
      <c r="M861" t="n">
        <v>0</v>
      </c>
      <c r="N861" t="n">
        <v>0</v>
      </c>
      <c r="O861" t="n">
        <v>0</v>
      </c>
      <c r="P861" t="n">
        <v>0</v>
      </c>
      <c r="Q861" t="n">
        <v>0</v>
      </c>
      <c r="R861" s="2" t="inlineStr"/>
    </row>
    <row r="862" ht="15" customHeight="1">
      <c r="A862" t="inlineStr">
        <is>
          <t>A 111-2023</t>
        </is>
      </c>
      <c r="B862" s="1" t="n">
        <v>44928</v>
      </c>
      <c r="C862" s="1" t="n">
        <v>45664</v>
      </c>
      <c r="D862" t="inlineStr">
        <is>
          <t>UPPSALA LÄN</t>
        </is>
      </c>
      <c r="E862" t="inlineStr">
        <is>
          <t>UPPSALA</t>
        </is>
      </c>
      <c r="F862" t="inlineStr">
        <is>
          <t>Kommuner</t>
        </is>
      </c>
      <c r="G862" t="n">
        <v>4.8</v>
      </c>
      <c r="H862" t="n">
        <v>0</v>
      </c>
      <c r="I862" t="n">
        <v>0</v>
      </c>
      <c r="J862" t="n">
        <v>0</v>
      </c>
      <c r="K862" t="n">
        <v>0</v>
      </c>
      <c r="L862" t="n">
        <v>0</v>
      </c>
      <c r="M862" t="n">
        <v>0</v>
      </c>
      <c r="N862" t="n">
        <v>0</v>
      </c>
      <c r="O862" t="n">
        <v>0</v>
      </c>
      <c r="P862" t="n">
        <v>0</v>
      </c>
      <c r="Q862" t="n">
        <v>0</v>
      </c>
      <c r="R862" s="2" t="inlineStr"/>
    </row>
    <row r="863" ht="15" customHeight="1">
      <c r="A863" t="inlineStr">
        <is>
          <t>A 179-2023</t>
        </is>
      </c>
      <c r="B863" s="1" t="n">
        <v>44928</v>
      </c>
      <c r="C863" s="1" t="n">
        <v>45664</v>
      </c>
      <c r="D863" t="inlineStr">
        <is>
          <t>UPPSALA LÄN</t>
        </is>
      </c>
      <c r="E863" t="inlineStr">
        <is>
          <t>UPPSALA</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367-2023</t>
        </is>
      </c>
      <c r="B864" s="1" t="n">
        <v>44929</v>
      </c>
      <c r="C864" s="1" t="n">
        <v>45664</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554-2023</t>
        </is>
      </c>
      <c r="B865" s="1" t="n">
        <v>44930</v>
      </c>
      <c r="C865" s="1" t="n">
        <v>45664</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686-2023</t>
        </is>
      </c>
      <c r="B866" s="1" t="n">
        <v>44930</v>
      </c>
      <c r="C866" s="1" t="n">
        <v>45664</v>
      </c>
      <c r="D866" t="inlineStr">
        <is>
          <t>UPPSALA LÄN</t>
        </is>
      </c>
      <c r="E866" t="inlineStr">
        <is>
          <t>UPPSALA</t>
        </is>
      </c>
      <c r="F866" t="inlineStr">
        <is>
          <t>Bergvik skog öst AB</t>
        </is>
      </c>
      <c r="G866" t="n">
        <v>4.6</v>
      </c>
      <c r="H866" t="n">
        <v>0</v>
      </c>
      <c r="I866" t="n">
        <v>0</v>
      </c>
      <c r="J866" t="n">
        <v>0</v>
      </c>
      <c r="K866" t="n">
        <v>0</v>
      </c>
      <c r="L866" t="n">
        <v>0</v>
      </c>
      <c r="M866" t="n">
        <v>0</v>
      </c>
      <c r="N866" t="n">
        <v>0</v>
      </c>
      <c r="O866" t="n">
        <v>0</v>
      </c>
      <c r="P866" t="n">
        <v>0</v>
      </c>
      <c r="Q866" t="n">
        <v>0</v>
      </c>
      <c r="R866" s="2" t="inlineStr"/>
    </row>
    <row r="867" ht="15" customHeight="1">
      <c r="A867" t="inlineStr">
        <is>
          <t>A 1032-2023</t>
        </is>
      </c>
      <c r="B867" s="1" t="n">
        <v>44935</v>
      </c>
      <c r="C867" s="1" t="n">
        <v>45664</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1357-2023</t>
        </is>
      </c>
      <c r="B868" s="1" t="n">
        <v>44936</v>
      </c>
      <c r="C868" s="1" t="n">
        <v>45664</v>
      </c>
      <c r="D868" t="inlineStr">
        <is>
          <t>UPPSALA LÄN</t>
        </is>
      </c>
      <c r="E868" t="inlineStr">
        <is>
          <t>UPPSALA</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2186-2023</t>
        </is>
      </c>
      <c r="B869" s="1" t="n">
        <v>44942</v>
      </c>
      <c r="C869" s="1" t="n">
        <v>45664</v>
      </c>
      <c r="D869" t="inlineStr">
        <is>
          <t>UPPSALA LÄN</t>
        </is>
      </c>
      <c r="E869" t="inlineStr">
        <is>
          <t>UPPSALA</t>
        </is>
      </c>
      <c r="F869" t="inlineStr">
        <is>
          <t>Bergvik skog öst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2622-2023</t>
        </is>
      </c>
      <c r="B870" s="1" t="n">
        <v>44944</v>
      </c>
      <c r="C870" s="1" t="n">
        <v>45664</v>
      </c>
      <c r="D870" t="inlineStr">
        <is>
          <t>UPPSALA LÄN</t>
        </is>
      </c>
      <c r="E870" t="inlineStr">
        <is>
          <t>UPPSALA</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2624-2023</t>
        </is>
      </c>
      <c r="B871" s="1" t="n">
        <v>44944</v>
      </c>
      <c r="C871" s="1" t="n">
        <v>45664</v>
      </c>
      <c r="D871" t="inlineStr">
        <is>
          <t>UPPSALA LÄN</t>
        </is>
      </c>
      <c r="E871" t="inlineStr">
        <is>
          <t>UPPSALA</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5362-2023</t>
        </is>
      </c>
      <c r="B872" s="1" t="n">
        <v>44944</v>
      </c>
      <c r="C872" s="1" t="n">
        <v>45664</v>
      </c>
      <c r="D872" t="inlineStr">
        <is>
          <t>UPPSALA LÄN</t>
        </is>
      </c>
      <c r="E872" t="inlineStr">
        <is>
          <t>UPPSALA</t>
        </is>
      </c>
      <c r="G872" t="n">
        <v>2.3</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45664</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5374-2023</t>
        </is>
      </c>
      <c r="B874" s="1" t="n">
        <v>44944</v>
      </c>
      <c r="C874" s="1" t="n">
        <v>45664</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2942-2023</t>
        </is>
      </c>
      <c r="B875" s="1" t="n">
        <v>44945</v>
      </c>
      <c r="C875" s="1" t="n">
        <v>45664</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3040-2023</t>
        </is>
      </c>
      <c r="B876" s="1" t="n">
        <v>44946</v>
      </c>
      <c r="C876" s="1" t="n">
        <v>45664</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3089-2023</t>
        </is>
      </c>
      <c r="B877" s="1" t="n">
        <v>44946</v>
      </c>
      <c r="C877" s="1" t="n">
        <v>45664</v>
      </c>
      <c r="D877" t="inlineStr">
        <is>
          <t>UPPSALA LÄN</t>
        </is>
      </c>
      <c r="E877" t="inlineStr">
        <is>
          <t>UPPSALA</t>
        </is>
      </c>
      <c r="G877" t="n">
        <v>3.7</v>
      </c>
      <c r="H877" t="n">
        <v>0</v>
      </c>
      <c r="I877" t="n">
        <v>0</v>
      </c>
      <c r="J877" t="n">
        <v>0</v>
      </c>
      <c r="K877" t="n">
        <v>0</v>
      </c>
      <c r="L877" t="n">
        <v>0</v>
      </c>
      <c r="M877" t="n">
        <v>0</v>
      </c>
      <c r="N877" t="n">
        <v>0</v>
      </c>
      <c r="O877" t="n">
        <v>0</v>
      </c>
      <c r="P877" t="n">
        <v>0</v>
      </c>
      <c r="Q877" t="n">
        <v>0</v>
      </c>
      <c r="R877" s="2" t="inlineStr"/>
    </row>
    <row r="878" ht="15" customHeight="1">
      <c r="A878" t="inlineStr">
        <is>
          <t>A 3086-2023</t>
        </is>
      </c>
      <c r="B878" s="1" t="n">
        <v>44946</v>
      </c>
      <c r="C878" s="1" t="n">
        <v>45664</v>
      </c>
      <c r="D878" t="inlineStr">
        <is>
          <t>UPPSALA LÄN</t>
        </is>
      </c>
      <c r="E878" t="inlineStr">
        <is>
          <t>UPPSALA</t>
        </is>
      </c>
      <c r="G878" t="n">
        <v>2</v>
      </c>
      <c r="H878" t="n">
        <v>0</v>
      </c>
      <c r="I878" t="n">
        <v>0</v>
      </c>
      <c r="J878" t="n">
        <v>0</v>
      </c>
      <c r="K878" t="n">
        <v>0</v>
      </c>
      <c r="L878" t="n">
        <v>0</v>
      </c>
      <c r="M878" t="n">
        <v>0</v>
      </c>
      <c r="N878" t="n">
        <v>0</v>
      </c>
      <c r="O878" t="n">
        <v>0</v>
      </c>
      <c r="P878" t="n">
        <v>0</v>
      </c>
      <c r="Q878" t="n">
        <v>0</v>
      </c>
      <c r="R878" s="2" t="inlineStr"/>
    </row>
    <row r="879" ht="15" customHeight="1">
      <c r="A879" t="inlineStr">
        <is>
          <t>A 3092-2023</t>
        </is>
      </c>
      <c r="B879" s="1" t="n">
        <v>44946</v>
      </c>
      <c r="C879" s="1" t="n">
        <v>45664</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3343-2023</t>
        </is>
      </c>
      <c r="B880" s="1" t="n">
        <v>44949</v>
      </c>
      <c r="C880" s="1" t="n">
        <v>45664</v>
      </c>
      <c r="D880" t="inlineStr">
        <is>
          <t>UPPSALA LÄN</t>
        </is>
      </c>
      <c r="E880" t="inlineStr">
        <is>
          <t>UPPSALA</t>
        </is>
      </c>
      <c r="F880" t="inlineStr">
        <is>
          <t>Allmännings- och besparingsskogar</t>
        </is>
      </c>
      <c r="G880" t="n">
        <v>2.3</v>
      </c>
      <c r="H880" t="n">
        <v>0</v>
      </c>
      <c r="I880" t="n">
        <v>0</v>
      </c>
      <c r="J880" t="n">
        <v>0</v>
      </c>
      <c r="K880" t="n">
        <v>0</v>
      </c>
      <c r="L880" t="n">
        <v>0</v>
      </c>
      <c r="M880" t="n">
        <v>0</v>
      </c>
      <c r="N880" t="n">
        <v>0</v>
      </c>
      <c r="O880" t="n">
        <v>0</v>
      </c>
      <c r="P880" t="n">
        <v>0</v>
      </c>
      <c r="Q880" t="n">
        <v>0</v>
      </c>
      <c r="R880" s="2" t="inlineStr"/>
    </row>
    <row r="881" ht="15" customHeight="1">
      <c r="A881" t="inlineStr">
        <is>
          <t>A 3353-2023</t>
        </is>
      </c>
      <c r="B881" s="1" t="n">
        <v>44949</v>
      </c>
      <c r="C881" s="1" t="n">
        <v>45664</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3661-2023</t>
        </is>
      </c>
      <c r="B882" s="1" t="n">
        <v>44950</v>
      </c>
      <c r="C882" s="1" t="n">
        <v>45664</v>
      </c>
      <c r="D882" t="inlineStr">
        <is>
          <t>UPPSALA LÄN</t>
        </is>
      </c>
      <c r="E882" t="inlineStr">
        <is>
          <t>UPPSALA</t>
        </is>
      </c>
      <c r="F882" t="inlineStr">
        <is>
          <t>Allmännings- och besparingsskogar</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3940-2023</t>
        </is>
      </c>
      <c r="B883" s="1" t="n">
        <v>44952</v>
      </c>
      <c r="C883" s="1" t="n">
        <v>45664</v>
      </c>
      <c r="D883" t="inlineStr">
        <is>
          <t>UPPSALA LÄN</t>
        </is>
      </c>
      <c r="E883" t="inlineStr">
        <is>
          <t>UPPSALA</t>
        </is>
      </c>
      <c r="F883" t="inlineStr">
        <is>
          <t>Bergvik skog öst AB</t>
        </is>
      </c>
      <c r="G883" t="n">
        <v>20.6</v>
      </c>
      <c r="H883" t="n">
        <v>0</v>
      </c>
      <c r="I883" t="n">
        <v>0</v>
      </c>
      <c r="J883" t="n">
        <v>0</v>
      </c>
      <c r="K883" t="n">
        <v>0</v>
      </c>
      <c r="L883" t="n">
        <v>0</v>
      </c>
      <c r="M883" t="n">
        <v>0</v>
      </c>
      <c r="N883" t="n">
        <v>0</v>
      </c>
      <c r="O883" t="n">
        <v>0</v>
      </c>
      <c r="P883" t="n">
        <v>0</v>
      </c>
      <c r="Q883" t="n">
        <v>0</v>
      </c>
      <c r="R883" s="2" t="inlineStr"/>
    </row>
    <row r="884" ht="15" customHeight="1">
      <c r="A884" t="inlineStr">
        <is>
          <t>A 3939-2023</t>
        </is>
      </c>
      <c r="B884" s="1" t="n">
        <v>44952</v>
      </c>
      <c r="C884" s="1" t="n">
        <v>45664</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5254-2023</t>
        </is>
      </c>
      <c r="B885" s="1" t="n">
        <v>44959</v>
      </c>
      <c r="C885" s="1" t="n">
        <v>45664</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5258-2023</t>
        </is>
      </c>
      <c r="B886" s="1" t="n">
        <v>44959</v>
      </c>
      <c r="C886" s="1" t="n">
        <v>45664</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5247-2023</t>
        </is>
      </c>
      <c r="B887" s="1" t="n">
        <v>44959</v>
      </c>
      <c r="C887" s="1" t="n">
        <v>45664</v>
      </c>
      <c r="D887" t="inlineStr">
        <is>
          <t>UPPSALA LÄN</t>
        </is>
      </c>
      <c r="E887" t="inlineStr">
        <is>
          <t>UPPSALA</t>
        </is>
      </c>
      <c r="G887" t="n">
        <v>11.1</v>
      </c>
      <c r="H887" t="n">
        <v>0</v>
      </c>
      <c r="I887" t="n">
        <v>0</v>
      </c>
      <c r="J887" t="n">
        <v>0</v>
      </c>
      <c r="K887" t="n">
        <v>0</v>
      </c>
      <c r="L887" t="n">
        <v>0</v>
      </c>
      <c r="M887" t="n">
        <v>0</v>
      </c>
      <c r="N887" t="n">
        <v>0</v>
      </c>
      <c r="O887" t="n">
        <v>0</v>
      </c>
      <c r="P887" t="n">
        <v>0</v>
      </c>
      <c r="Q887" t="n">
        <v>0</v>
      </c>
      <c r="R887" s="2" t="inlineStr"/>
    </row>
    <row r="888" ht="15" customHeight="1">
      <c r="A888" t="inlineStr">
        <is>
          <t>A 5678-2023</t>
        </is>
      </c>
      <c r="B888" s="1" t="n">
        <v>44960</v>
      </c>
      <c r="C888" s="1" t="n">
        <v>45664</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5682-2023</t>
        </is>
      </c>
      <c r="B889" s="1" t="n">
        <v>44960</v>
      </c>
      <c r="C889" s="1" t="n">
        <v>45664</v>
      </c>
      <c r="D889" t="inlineStr">
        <is>
          <t>UPPSALA LÄN</t>
        </is>
      </c>
      <c r="E889" t="inlineStr">
        <is>
          <t>UPPSALA</t>
        </is>
      </c>
      <c r="F889" t="inlineStr">
        <is>
          <t>Allmännings- och besparingsskogar</t>
        </is>
      </c>
      <c r="G889" t="n">
        <v>14.2</v>
      </c>
      <c r="H889" t="n">
        <v>0</v>
      </c>
      <c r="I889" t="n">
        <v>0</v>
      </c>
      <c r="J889" t="n">
        <v>0</v>
      </c>
      <c r="K889" t="n">
        <v>0</v>
      </c>
      <c r="L889" t="n">
        <v>0</v>
      </c>
      <c r="M889" t="n">
        <v>0</v>
      </c>
      <c r="N889" t="n">
        <v>0</v>
      </c>
      <c r="O889" t="n">
        <v>0</v>
      </c>
      <c r="P889" t="n">
        <v>0</v>
      </c>
      <c r="Q889" t="n">
        <v>0</v>
      </c>
      <c r="R889" s="2" t="inlineStr"/>
    </row>
    <row r="890" ht="15" customHeight="1">
      <c r="A890" t="inlineStr">
        <is>
          <t>A 5663-2023</t>
        </is>
      </c>
      <c r="B890" s="1" t="n">
        <v>44960</v>
      </c>
      <c r="C890" s="1" t="n">
        <v>45664</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5669-2023</t>
        </is>
      </c>
      <c r="B891" s="1" t="n">
        <v>44960</v>
      </c>
      <c r="C891" s="1" t="n">
        <v>45664</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5675-2023</t>
        </is>
      </c>
      <c r="B892" s="1" t="n">
        <v>44960</v>
      </c>
      <c r="C892" s="1" t="n">
        <v>45664</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6213-2023</t>
        </is>
      </c>
      <c r="B893" s="1" t="n">
        <v>44964</v>
      </c>
      <c r="C893" s="1" t="n">
        <v>45664</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6155-2023</t>
        </is>
      </c>
      <c r="B894" s="1" t="n">
        <v>44964</v>
      </c>
      <c r="C894" s="1" t="n">
        <v>45664</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6215-2023</t>
        </is>
      </c>
      <c r="B895" s="1" t="n">
        <v>44964</v>
      </c>
      <c r="C895" s="1" t="n">
        <v>45664</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6422-2023</t>
        </is>
      </c>
      <c r="B896" s="1" t="n">
        <v>44965</v>
      </c>
      <c r="C896" s="1" t="n">
        <v>45664</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6423-2023</t>
        </is>
      </c>
      <c r="B897" s="1" t="n">
        <v>44965</v>
      </c>
      <c r="C897" s="1" t="n">
        <v>45664</v>
      </c>
      <c r="D897" t="inlineStr">
        <is>
          <t>UPPSALA LÄN</t>
        </is>
      </c>
      <c r="E897" t="inlineStr">
        <is>
          <t>UPPSALA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6602-2023</t>
        </is>
      </c>
      <c r="B898" s="1" t="n">
        <v>44966</v>
      </c>
      <c r="C898" s="1" t="n">
        <v>45664</v>
      </c>
      <c r="D898" t="inlineStr">
        <is>
          <t>UPPSALA LÄN</t>
        </is>
      </c>
      <c r="E898" t="inlineStr">
        <is>
          <t>UPPSALA</t>
        </is>
      </c>
      <c r="F898" t="inlineStr">
        <is>
          <t>Allmännings- och besparingsskogar</t>
        </is>
      </c>
      <c r="G898" t="n">
        <v>20.2</v>
      </c>
      <c r="H898" t="n">
        <v>0</v>
      </c>
      <c r="I898" t="n">
        <v>0</v>
      </c>
      <c r="J898" t="n">
        <v>0</v>
      </c>
      <c r="K898" t="n">
        <v>0</v>
      </c>
      <c r="L898" t="n">
        <v>0</v>
      </c>
      <c r="M898" t="n">
        <v>0</v>
      </c>
      <c r="N898" t="n">
        <v>0</v>
      </c>
      <c r="O898" t="n">
        <v>0</v>
      </c>
      <c r="P898" t="n">
        <v>0</v>
      </c>
      <c r="Q898" t="n">
        <v>0</v>
      </c>
      <c r="R898" s="2" t="inlineStr"/>
    </row>
    <row r="899" ht="15" customHeight="1">
      <c r="A899" t="inlineStr">
        <is>
          <t>A 6749-2023</t>
        </is>
      </c>
      <c r="B899" s="1" t="n">
        <v>44966</v>
      </c>
      <c r="C899" s="1" t="n">
        <v>45664</v>
      </c>
      <c r="D899" t="inlineStr">
        <is>
          <t>UPPSALA LÄN</t>
        </is>
      </c>
      <c r="E899" t="inlineStr">
        <is>
          <t>UPPSALA</t>
        </is>
      </c>
      <c r="F899" t="inlineStr">
        <is>
          <t>Allmännings- och besparingsskogar</t>
        </is>
      </c>
      <c r="G899" t="n">
        <v>13.5</v>
      </c>
      <c r="H899" t="n">
        <v>0</v>
      </c>
      <c r="I899" t="n">
        <v>0</v>
      </c>
      <c r="J899" t="n">
        <v>0</v>
      </c>
      <c r="K899" t="n">
        <v>0</v>
      </c>
      <c r="L899" t="n">
        <v>0</v>
      </c>
      <c r="M899" t="n">
        <v>0</v>
      </c>
      <c r="N899" t="n">
        <v>0</v>
      </c>
      <c r="O899" t="n">
        <v>0</v>
      </c>
      <c r="P899" t="n">
        <v>0</v>
      </c>
      <c r="Q899" t="n">
        <v>0</v>
      </c>
      <c r="R899" s="2" t="inlineStr"/>
    </row>
    <row r="900" ht="15" customHeight="1">
      <c r="A900" t="inlineStr">
        <is>
          <t>A 6930-2023</t>
        </is>
      </c>
      <c r="B900" s="1" t="n">
        <v>44967</v>
      </c>
      <c r="C900" s="1" t="n">
        <v>45664</v>
      </c>
      <c r="D900" t="inlineStr">
        <is>
          <t>UPPSALA LÄN</t>
        </is>
      </c>
      <c r="E900" t="inlineStr">
        <is>
          <t>UPPSALA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7000-2023</t>
        </is>
      </c>
      <c r="B901" s="1" t="n">
        <v>44967</v>
      </c>
      <c r="C901" s="1" t="n">
        <v>45664</v>
      </c>
      <c r="D901" t="inlineStr">
        <is>
          <t>UPPSALA LÄN</t>
        </is>
      </c>
      <c r="E901" t="inlineStr">
        <is>
          <t>UPPSALA</t>
        </is>
      </c>
      <c r="G901" t="n">
        <v>7.1</v>
      </c>
      <c r="H901" t="n">
        <v>0</v>
      </c>
      <c r="I901" t="n">
        <v>0</v>
      </c>
      <c r="J901" t="n">
        <v>0</v>
      </c>
      <c r="K901" t="n">
        <v>0</v>
      </c>
      <c r="L901" t="n">
        <v>0</v>
      </c>
      <c r="M901" t="n">
        <v>0</v>
      </c>
      <c r="N901" t="n">
        <v>0</v>
      </c>
      <c r="O901" t="n">
        <v>0</v>
      </c>
      <c r="P901" t="n">
        <v>0</v>
      </c>
      <c r="Q901" t="n">
        <v>0</v>
      </c>
      <c r="R901" s="2" t="inlineStr"/>
    </row>
    <row r="902" ht="15" customHeight="1">
      <c r="A902" t="inlineStr">
        <is>
          <t>A 6999-2023</t>
        </is>
      </c>
      <c r="B902" s="1" t="n">
        <v>44967</v>
      </c>
      <c r="C902" s="1" t="n">
        <v>45664</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6997-2023</t>
        </is>
      </c>
      <c r="B903" s="1" t="n">
        <v>44967</v>
      </c>
      <c r="C903" s="1" t="n">
        <v>45664</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7001-2023</t>
        </is>
      </c>
      <c r="B904" s="1" t="n">
        <v>44967</v>
      </c>
      <c r="C904" s="1" t="n">
        <v>45664</v>
      </c>
      <c r="D904" t="inlineStr">
        <is>
          <t>UPPSALA LÄN</t>
        </is>
      </c>
      <c r="E904" t="inlineStr">
        <is>
          <t>UPPSALA</t>
        </is>
      </c>
      <c r="G904" t="n">
        <v>4.3</v>
      </c>
      <c r="H904" t="n">
        <v>0</v>
      </c>
      <c r="I904" t="n">
        <v>0</v>
      </c>
      <c r="J904" t="n">
        <v>0</v>
      </c>
      <c r="K904" t="n">
        <v>0</v>
      </c>
      <c r="L904" t="n">
        <v>0</v>
      </c>
      <c r="M904" t="n">
        <v>0</v>
      </c>
      <c r="N904" t="n">
        <v>0</v>
      </c>
      <c r="O904" t="n">
        <v>0</v>
      </c>
      <c r="P904" t="n">
        <v>0</v>
      </c>
      <c r="Q904" t="n">
        <v>0</v>
      </c>
      <c r="R904" s="2" t="inlineStr"/>
    </row>
    <row r="905" ht="15" customHeight="1">
      <c r="A905" t="inlineStr">
        <is>
          <t>A 7002-2023</t>
        </is>
      </c>
      <c r="B905" s="1" t="n">
        <v>44967</v>
      </c>
      <c r="C905" s="1" t="n">
        <v>45664</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7611-2023</t>
        </is>
      </c>
      <c r="B906" s="1" t="n">
        <v>44967</v>
      </c>
      <c r="C906" s="1" t="n">
        <v>45664</v>
      </c>
      <c r="D906" t="inlineStr">
        <is>
          <t>UPPSALA LÄN</t>
        </is>
      </c>
      <c r="E906" t="inlineStr">
        <is>
          <t>UPPSALA</t>
        </is>
      </c>
      <c r="G906" t="n">
        <v>3.5</v>
      </c>
      <c r="H906" t="n">
        <v>0</v>
      </c>
      <c r="I906" t="n">
        <v>0</v>
      </c>
      <c r="J906" t="n">
        <v>0</v>
      </c>
      <c r="K906" t="n">
        <v>0</v>
      </c>
      <c r="L906" t="n">
        <v>0</v>
      </c>
      <c r="M906" t="n">
        <v>0</v>
      </c>
      <c r="N906" t="n">
        <v>0</v>
      </c>
      <c r="O906" t="n">
        <v>0</v>
      </c>
      <c r="P906" t="n">
        <v>0</v>
      </c>
      <c r="Q906" t="n">
        <v>0</v>
      </c>
      <c r="R906" s="2" t="inlineStr"/>
    </row>
    <row r="907" ht="15" customHeight="1">
      <c r="A907" t="inlineStr">
        <is>
          <t>A 7607-2023</t>
        </is>
      </c>
      <c r="B907" s="1" t="n">
        <v>44967</v>
      </c>
      <c r="C907" s="1" t="n">
        <v>45664</v>
      </c>
      <c r="D907" t="inlineStr">
        <is>
          <t>UPPSALA LÄN</t>
        </is>
      </c>
      <c r="E907" t="inlineStr">
        <is>
          <t>UPPSALA</t>
        </is>
      </c>
      <c r="G907" t="n">
        <v>11.1</v>
      </c>
      <c r="H907" t="n">
        <v>0</v>
      </c>
      <c r="I907" t="n">
        <v>0</v>
      </c>
      <c r="J907" t="n">
        <v>0</v>
      </c>
      <c r="K907" t="n">
        <v>0</v>
      </c>
      <c r="L907" t="n">
        <v>0</v>
      </c>
      <c r="M907" t="n">
        <v>0</v>
      </c>
      <c r="N907" t="n">
        <v>0</v>
      </c>
      <c r="O907" t="n">
        <v>0</v>
      </c>
      <c r="P907" t="n">
        <v>0</v>
      </c>
      <c r="Q907" t="n">
        <v>0</v>
      </c>
      <c r="R907" s="2" t="inlineStr"/>
    </row>
    <row r="908" ht="15" customHeight="1">
      <c r="A908" t="inlineStr">
        <is>
          <t>A 7058-2023</t>
        </is>
      </c>
      <c r="B908" s="1" t="n">
        <v>44969</v>
      </c>
      <c r="C908" s="1" t="n">
        <v>45664</v>
      </c>
      <c r="D908" t="inlineStr">
        <is>
          <t>UPPSALA LÄN</t>
        </is>
      </c>
      <c r="E908" t="inlineStr">
        <is>
          <t>UPPSALA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7084-2023</t>
        </is>
      </c>
      <c r="B909" s="1" t="n">
        <v>44970</v>
      </c>
      <c r="C909" s="1" t="n">
        <v>45664</v>
      </c>
      <c r="D909" t="inlineStr">
        <is>
          <t>UPPSALA LÄN</t>
        </is>
      </c>
      <c r="E909" t="inlineStr">
        <is>
          <t>UPPSALA</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8384-2023</t>
        </is>
      </c>
      <c r="B910" s="1" t="n">
        <v>44971</v>
      </c>
      <c r="C910" s="1" t="n">
        <v>45664</v>
      </c>
      <c r="D910" t="inlineStr">
        <is>
          <t>UPPSALA LÄN</t>
        </is>
      </c>
      <c r="E910" t="inlineStr">
        <is>
          <t>UPPSALA</t>
        </is>
      </c>
      <c r="G910" t="n">
        <v>4</v>
      </c>
      <c r="H910" t="n">
        <v>0</v>
      </c>
      <c r="I910" t="n">
        <v>0</v>
      </c>
      <c r="J910" t="n">
        <v>0</v>
      </c>
      <c r="K910" t="n">
        <v>0</v>
      </c>
      <c r="L910" t="n">
        <v>0</v>
      </c>
      <c r="M910" t="n">
        <v>0</v>
      </c>
      <c r="N910" t="n">
        <v>0</v>
      </c>
      <c r="O910" t="n">
        <v>0</v>
      </c>
      <c r="P910" t="n">
        <v>0</v>
      </c>
      <c r="Q910" t="n">
        <v>0</v>
      </c>
      <c r="R910" s="2" t="inlineStr"/>
    </row>
    <row r="911" ht="15" customHeight="1">
      <c r="A911" t="inlineStr">
        <is>
          <t>A 8286-2023</t>
        </is>
      </c>
      <c r="B911" s="1" t="n">
        <v>44971</v>
      </c>
      <c r="C911" s="1" t="n">
        <v>45664</v>
      </c>
      <c r="D911" t="inlineStr">
        <is>
          <t>UPPSALA LÄN</t>
        </is>
      </c>
      <c r="E911" t="inlineStr">
        <is>
          <t>UPPSALA</t>
        </is>
      </c>
      <c r="G911" t="n">
        <v>9</v>
      </c>
      <c r="H911" t="n">
        <v>0</v>
      </c>
      <c r="I911" t="n">
        <v>0</v>
      </c>
      <c r="J911" t="n">
        <v>0</v>
      </c>
      <c r="K911" t="n">
        <v>0</v>
      </c>
      <c r="L911" t="n">
        <v>0</v>
      </c>
      <c r="M911" t="n">
        <v>0</v>
      </c>
      <c r="N911" t="n">
        <v>0</v>
      </c>
      <c r="O911" t="n">
        <v>0</v>
      </c>
      <c r="P911" t="n">
        <v>0</v>
      </c>
      <c r="Q911" t="n">
        <v>0</v>
      </c>
      <c r="R911" s="2" t="inlineStr"/>
    </row>
    <row r="912" ht="15" customHeight="1">
      <c r="A912" t="inlineStr">
        <is>
          <t>A 7577-2023</t>
        </is>
      </c>
      <c r="B912" s="1" t="n">
        <v>44972</v>
      </c>
      <c r="C912" s="1" t="n">
        <v>45664</v>
      </c>
      <c r="D912" t="inlineStr">
        <is>
          <t>UPPSALA LÄN</t>
        </is>
      </c>
      <c r="E912" t="inlineStr">
        <is>
          <t>UPPSALA</t>
        </is>
      </c>
      <c r="G912" t="n">
        <v>5.5</v>
      </c>
      <c r="H912" t="n">
        <v>0</v>
      </c>
      <c r="I912" t="n">
        <v>0</v>
      </c>
      <c r="J912" t="n">
        <v>0</v>
      </c>
      <c r="K912" t="n">
        <v>0</v>
      </c>
      <c r="L912" t="n">
        <v>0</v>
      </c>
      <c r="M912" t="n">
        <v>0</v>
      </c>
      <c r="N912" t="n">
        <v>0</v>
      </c>
      <c r="O912" t="n">
        <v>0</v>
      </c>
      <c r="P912" t="n">
        <v>0</v>
      </c>
      <c r="Q912" t="n">
        <v>0</v>
      </c>
      <c r="R912" s="2" t="inlineStr"/>
    </row>
    <row r="913" ht="15" customHeight="1">
      <c r="A913" t="inlineStr">
        <is>
          <t>A 7663-2023</t>
        </is>
      </c>
      <c r="B913" s="1" t="n">
        <v>44972</v>
      </c>
      <c r="C913" s="1" t="n">
        <v>45664</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7894-2023</t>
        </is>
      </c>
      <c r="B914" s="1" t="n">
        <v>44973</v>
      </c>
      <c r="C914" s="1" t="n">
        <v>45664</v>
      </c>
      <c r="D914" t="inlineStr">
        <is>
          <t>UPPSALA LÄN</t>
        </is>
      </c>
      <c r="E914" t="inlineStr">
        <is>
          <t>UPPSALA</t>
        </is>
      </c>
      <c r="G914" t="n">
        <v>4.4</v>
      </c>
      <c r="H914" t="n">
        <v>0</v>
      </c>
      <c r="I914" t="n">
        <v>0</v>
      </c>
      <c r="J914" t="n">
        <v>0</v>
      </c>
      <c r="K914" t="n">
        <v>0</v>
      </c>
      <c r="L914" t="n">
        <v>0</v>
      </c>
      <c r="M914" t="n">
        <v>0</v>
      </c>
      <c r="N914" t="n">
        <v>0</v>
      </c>
      <c r="O914" t="n">
        <v>0</v>
      </c>
      <c r="P914" t="n">
        <v>0</v>
      </c>
      <c r="Q914" t="n">
        <v>0</v>
      </c>
      <c r="R914" s="2" t="inlineStr"/>
    </row>
    <row r="915" ht="15" customHeight="1">
      <c r="A915" t="inlineStr">
        <is>
          <t>A 8162-2023</t>
        </is>
      </c>
      <c r="B915" s="1" t="n">
        <v>44974</v>
      </c>
      <c r="C915" s="1" t="n">
        <v>45664</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8473-2023</t>
        </is>
      </c>
      <c r="B916" s="1" t="n">
        <v>44977</v>
      </c>
      <c r="C916" s="1" t="n">
        <v>45664</v>
      </c>
      <c r="D916" t="inlineStr">
        <is>
          <t>UPPSALA LÄN</t>
        </is>
      </c>
      <c r="E916" t="inlineStr">
        <is>
          <t>UPPSALA</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45664</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9398-2023</t>
        </is>
      </c>
      <c r="B918" s="1" t="n">
        <v>44977</v>
      </c>
      <c r="C918" s="1" t="n">
        <v>45664</v>
      </c>
      <c r="D918" t="inlineStr">
        <is>
          <t>UPPSALA LÄN</t>
        </is>
      </c>
      <c r="E918" t="inlineStr">
        <is>
          <t>UPPSALA</t>
        </is>
      </c>
      <c r="G918" t="n">
        <v>5.1</v>
      </c>
      <c r="H918" t="n">
        <v>0</v>
      </c>
      <c r="I918" t="n">
        <v>0</v>
      </c>
      <c r="J918" t="n">
        <v>0</v>
      </c>
      <c r="K918" t="n">
        <v>0</v>
      </c>
      <c r="L918" t="n">
        <v>0</v>
      </c>
      <c r="M918" t="n">
        <v>0</v>
      </c>
      <c r="N918" t="n">
        <v>0</v>
      </c>
      <c r="O918" t="n">
        <v>0</v>
      </c>
      <c r="P918" t="n">
        <v>0</v>
      </c>
      <c r="Q918" t="n">
        <v>0</v>
      </c>
      <c r="R918" s="2" t="inlineStr"/>
    </row>
    <row r="919" ht="15" customHeight="1">
      <c r="A919" t="inlineStr">
        <is>
          <t>A 9295-2023</t>
        </is>
      </c>
      <c r="B919" s="1" t="n">
        <v>44980</v>
      </c>
      <c r="C919" s="1" t="n">
        <v>45664</v>
      </c>
      <c r="D919" t="inlineStr">
        <is>
          <t>UPPSALA LÄN</t>
        </is>
      </c>
      <c r="E919" t="inlineStr">
        <is>
          <t>UPPSALA</t>
        </is>
      </c>
      <c r="G919" t="n">
        <v>2.1</v>
      </c>
      <c r="H919" t="n">
        <v>0</v>
      </c>
      <c r="I919" t="n">
        <v>0</v>
      </c>
      <c r="J919" t="n">
        <v>0</v>
      </c>
      <c r="K919" t="n">
        <v>0</v>
      </c>
      <c r="L919" t="n">
        <v>0</v>
      </c>
      <c r="M919" t="n">
        <v>0</v>
      </c>
      <c r="N919" t="n">
        <v>0</v>
      </c>
      <c r="O919" t="n">
        <v>0</v>
      </c>
      <c r="P919" t="n">
        <v>0</v>
      </c>
      <c r="Q919" t="n">
        <v>0</v>
      </c>
      <c r="R919" s="2" t="inlineStr"/>
    </row>
    <row r="920" ht="15" customHeight="1">
      <c r="A920" t="inlineStr">
        <is>
          <t>A 9261-2023</t>
        </is>
      </c>
      <c r="B920" s="1" t="n">
        <v>44980</v>
      </c>
      <c r="C920" s="1" t="n">
        <v>45664</v>
      </c>
      <c r="D920" t="inlineStr">
        <is>
          <t>UPPSALA LÄN</t>
        </is>
      </c>
      <c r="E920" t="inlineStr">
        <is>
          <t>UPPSALA</t>
        </is>
      </c>
      <c r="G920" t="n">
        <v>5.3</v>
      </c>
      <c r="H920" t="n">
        <v>0</v>
      </c>
      <c r="I920" t="n">
        <v>0</v>
      </c>
      <c r="J920" t="n">
        <v>0</v>
      </c>
      <c r="K920" t="n">
        <v>0</v>
      </c>
      <c r="L920" t="n">
        <v>0</v>
      </c>
      <c r="M920" t="n">
        <v>0</v>
      </c>
      <c r="N920" t="n">
        <v>0</v>
      </c>
      <c r="O920" t="n">
        <v>0</v>
      </c>
      <c r="P920" t="n">
        <v>0</v>
      </c>
      <c r="Q920" t="n">
        <v>0</v>
      </c>
      <c r="R920" s="2" t="inlineStr"/>
    </row>
    <row r="921" ht="15" customHeight="1">
      <c r="A921" t="inlineStr">
        <is>
          <t>A 9291-2023</t>
        </is>
      </c>
      <c r="B921" s="1" t="n">
        <v>44980</v>
      </c>
      <c r="C921" s="1" t="n">
        <v>45664</v>
      </c>
      <c r="D921" t="inlineStr">
        <is>
          <t>UPPSALA LÄN</t>
        </is>
      </c>
      <c r="E921" t="inlineStr">
        <is>
          <t>UPPSALA</t>
        </is>
      </c>
      <c r="G921" t="n">
        <v>12.9</v>
      </c>
      <c r="H921" t="n">
        <v>0</v>
      </c>
      <c r="I921" t="n">
        <v>0</v>
      </c>
      <c r="J921" t="n">
        <v>0</v>
      </c>
      <c r="K921" t="n">
        <v>0</v>
      </c>
      <c r="L921" t="n">
        <v>0</v>
      </c>
      <c r="M921" t="n">
        <v>0</v>
      </c>
      <c r="N921" t="n">
        <v>0</v>
      </c>
      <c r="O921" t="n">
        <v>0</v>
      </c>
      <c r="P921" t="n">
        <v>0</v>
      </c>
      <c r="Q921" t="n">
        <v>0</v>
      </c>
      <c r="R921" s="2" t="inlineStr"/>
    </row>
    <row r="922" ht="15" customHeight="1">
      <c r="A922" t="inlineStr">
        <is>
          <t>A 9313-2023</t>
        </is>
      </c>
      <c r="B922" s="1" t="n">
        <v>44980</v>
      </c>
      <c r="C922" s="1" t="n">
        <v>45664</v>
      </c>
      <c r="D922" t="inlineStr">
        <is>
          <t>UPPSALA LÄN</t>
        </is>
      </c>
      <c r="E922" t="inlineStr">
        <is>
          <t>UPPSALA</t>
        </is>
      </c>
      <c r="G922" t="n">
        <v>2.6</v>
      </c>
      <c r="H922" t="n">
        <v>0</v>
      </c>
      <c r="I922" t="n">
        <v>0</v>
      </c>
      <c r="J922" t="n">
        <v>0</v>
      </c>
      <c r="K922" t="n">
        <v>0</v>
      </c>
      <c r="L922" t="n">
        <v>0</v>
      </c>
      <c r="M922" t="n">
        <v>0</v>
      </c>
      <c r="N922" t="n">
        <v>0</v>
      </c>
      <c r="O922" t="n">
        <v>0</v>
      </c>
      <c r="P922" t="n">
        <v>0</v>
      </c>
      <c r="Q922" t="n">
        <v>0</v>
      </c>
      <c r="R922" s="2" t="inlineStr"/>
    </row>
    <row r="923" ht="15" customHeight="1">
      <c r="A923" t="inlineStr">
        <is>
          <t>A 9817-2023</t>
        </is>
      </c>
      <c r="B923" s="1" t="n">
        <v>44984</v>
      </c>
      <c r="C923" s="1" t="n">
        <v>45664</v>
      </c>
      <c r="D923" t="inlineStr">
        <is>
          <t>UPPSALA LÄN</t>
        </is>
      </c>
      <c r="E923" t="inlineStr">
        <is>
          <t>UPPSALA</t>
        </is>
      </c>
      <c r="F923" t="inlineStr">
        <is>
          <t>Kyrkan</t>
        </is>
      </c>
      <c r="G923" t="n">
        <v>5.3</v>
      </c>
      <c r="H923" t="n">
        <v>0</v>
      </c>
      <c r="I923" t="n">
        <v>0</v>
      </c>
      <c r="J923" t="n">
        <v>0</v>
      </c>
      <c r="K923" t="n">
        <v>0</v>
      </c>
      <c r="L923" t="n">
        <v>0</v>
      </c>
      <c r="M923" t="n">
        <v>0</v>
      </c>
      <c r="N923" t="n">
        <v>0</v>
      </c>
      <c r="O923" t="n">
        <v>0</v>
      </c>
      <c r="P923" t="n">
        <v>0</v>
      </c>
      <c r="Q923" t="n">
        <v>0</v>
      </c>
      <c r="R923" s="2" t="inlineStr"/>
    </row>
    <row r="924" ht="15" customHeight="1">
      <c r="A924" t="inlineStr">
        <is>
          <t>A 9814-2023</t>
        </is>
      </c>
      <c r="B924" s="1" t="n">
        <v>44984</v>
      </c>
      <c r="C924" s="1" t="n">
        <v>45664</v>
      </c>
      <c r="D924" t="inlineStr">
        <is>
          <t>UPPSALA LÄN</t>
        </is>
      </c>
      <c r="E924" t="inlineStr">
        <is>
          <t>UPPSALA</t>
        </is>
      </c>
      <c r="F924" t="inlineStr">
        <is>
          <t>Kyrkan</t>
        </is>
      </c>
      <c r="G924" t="n">
        <v>5</v>
      </c>
      <c r="H924" t="n">
        <v>0</v>
      </c>
      <c r="I924" t="n">
        <v>0</v>
      </c>
      <c r="J924" t="n">
        <v>0</v>
      </c>
      <c r="K924" t="n">
        <v>0</v>
      </c>
      <c r="L924" t="n">
        <v>0</v>
      </c>
      <c r="M924" t="n">
        <v>0</v>
      </c>
      <c r="N924" t="n">
        <v>0</v>
      </c>
      <c r="O924" t="n">
        <v>0</v>
      </c>
      <c r="P924" t="n">
        <v>0</v>
      </c>
      <c r="Q924" t="n">
        <v>0</v>
      </c>
      <c r="R924" s="2" t="inlineStr"/>
    </row>
    <row r="925" ht="15" customHeight="1">
      <c r="A925" t="inlineStr">
        <is>
          <t>A 9811-2023</t>
        </is>
      </c>
      <c r="B925" s="1" t="n">
        <v>44984</v>
      </c>
      <c r="C925" s="1" t="n">
        <v>45664</v>
      </c>
      <c r="D925" t="inlineStr">
        <is>
          <t>UPPSALA LÄN</t>
        </is>
      </c>
      <c r="E925" t="inlineStr">
        <is>
          <t>UPPSALA</t>
        </is>
      </c>
      <c r="G925" t="n">
        <v>5.5</v>
      </c>
      <c r="H925" t="n">
        <v>0</v>
      </c>
      <c r="I925" t="n">
        <v>0</v>
      </c>
      <c r="J925" t="n">
        <v>0</v>
      </c>
      <c r="K925" t="n">
        <v>0</v>
      </c>
      <c r="L925" t="n">
        <v>0</v>
      </c>
      <c r="M925" t="n">
        <v>0</v>
      </c>
      <c r="N925" t="n">
        <v>0</v>
      </c>
      <c r="O925" t="n">
        <v>0</v>
      </c>
      <c r="P925" t="n">
        <v>0</v>
      </c>
      <c r="Q925" t="n">
        <v>0</v>
      </c>
      <c r="R925" s="2" t="inlineStr"/>
    </row>
    <row r="926" ht="15" customHeight="1">
      <c r="A926" t="inlineStr">
        <is>
          <t>A 9820-2023</t>
        </is>
      </c>
      <c r="B926" s="1" t="n">
        <v>44984</v>
      </c>
      <c r="C926" s="1" t="n">
        <v>45664</v>
      </c>
      <c r="D926" t="inlineStr">
        <is>
          <t>UPPSALA LÄN</t>
        </is>
      </c>
      <c r="E926" t="inlineStr">
        <is>
          <t>UPPSALA</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10005-2023</t>
        </is>
      </c>
      <c r="B927" s="1" t="n">
        <v>44985</v>
      </c>
      <c r="C927" s="1" t="n">
        <v>45664</v>
      </c>
      <c r="D927" t="inlineStr">
        <is>
          <t>UPPSALA LÄN</t>
        </is>
      </c>
      <c r="E927" t="inlineStr">
        <is>
          <t>UPPSALA</t>
        </is>
      </c>
      <c r="G927" t="n">
        <v>2.6</v>
      </c>
      <c r="H927" t="n">
        <v>0</v>
      </c>
      <c r="I927" t="n">
        <v>0</v>
      </c>
      <c r="J927" t="n">
        <v>0</v>
      </c>
      <c r="K927" t="n">
        <v>0</v>
      </c>
      <c r="L927" t="n">
        <v>0</v>
      </c>
      <c r="M927" t="n">
        <v>0</v>
      </c>
      <c r="N927" t="n">
        <v>0</v>
      </c>
      <c r="O927" t="n">
        <v>0</v>
      </c>
      <c r="P927" t="n">
        <v>0</v>
      </c>
      <c r="Q927" t="n">
        <v>0</v>
      </c>
      <c r="R927" s="2" t="inlineStr"/>
    </row>
    <row r="928" ht="15" customHeight="1">
      <c r="A928" t="inlineStr">
        <is>
          <t>A 10669-2023</t>
        </is>
      </c>
      <c r="B928" s="1" t="n">
        <v>44988</v>
      </c>
      <c r="C928" s="1" t="n">
        <v>45664</v>
      </c>
      <c r="D928" t="inlineStr">
        <is>
          <t>UPPSALA LÄN</t>
        </is>
      </c>
      <c r="E928" t="inlineStr">
        <is>
          <t>UPPSALA</t>
        </is>
      </c>
      <c r="G928" t="n">
        <v>4.9</v>
      </c>
      <c r="H928" t="n">
        <v>0</v>
      </c>
      <c r="I928" t="n">
        <v>0</v>
      </c>
      <c r="J928" t="n">
        <v>0</v>
      </c>
      <c r="K928" t="n">
        <v>0</v>
      </c>
      <c r="L928" t="n">
        <v>0</v>
      </c>
      <c r="M928" t="n">
        <v>0</v>
      </c>
      <c r="N928" t="n">
        <v>0</v>
      </c>
      <c r="O928" t="n">
        <v>0</v>
      </c>
      <c r="P928" t="n">
        <v>0</v>
      </c>
      <c r="Q928" t="n">
        <v>0</v>
      </c>
      <c r="R928" s="2" t="inlineStr"/>
    </row>
    <row r="929" ht="15" customHeight="1">
      <c r="A929" t="inlineStr">
        <is>
          <t>A 11484-2023</t>
        </is>
      </c>
      <c r="B929" s="1" t="n">
        <v>44991</v>
      </c>
      <c r="C929" s="1" t="n">
        <v>45664</v>
      </c>
      <c r="D929" t="inlineStr">
        <is>
          <t>UPPSALA LÄN</t>
        </is>
      </c>
      <c r="E929" t="inlineStr">
        <is>
          <t>UPPSALA</t>
        </is>
      </c>
      <c r="G929" t="n">
        <v>10.3</v>
      </c>
      <c r="H929" t="n">
        <v>0</v>
      </c>
      <c r="I929" t="n">
        <v>0</v>
      </c>
      <c r="J929" t="n">
        <v>0</v>
      </c>
      <c r="K929" t="n">
        <v>0</v>
      </c>
      <c r="L929" t="n">
        <v>0</v>
      </c>
      <c r="M929" t="n">
        <v>0</v>
      </c>
      <c r="N929" t="n">
        <v>0</v>
      </c>
      <c r="O929" t="n">
        <v>0</v>
      </c>
      <c r="P929" t="n">
        <v>0</v>
      </c>
      <c r="Q929" t="n">
        <v>0</v>
      </c>
      <c r="R929" s="2" t="inlineStr"/>
    </row>
    <row r="930" ht="15" customHeight="1">
      <c r="A930" t="inlineStr">
        <is>
          <t>A 11739-2023</t>
        </is>
      </c>
      <c r="B930" s="1" t="n">
        <v>44993</v>
      </c>
      <c r="C930" s="1" t="n">
        <v>45664</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11744-2023</t>
        </is>
      </c>
      <c r="B931" s="1" t="n">
        <v>44993</v>
      </c>
      <c r="C931" s="1" t="n">
        <v>45664</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11568-2023</t>
        </is>
      </c>
      <c r="B932" s="1" t="n">
        <v>44994</v>
      </c>
      <c r="C932" s="1" t="n">
        <v>45664</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12158-2023</t>
        </is>
      </c>
      <c r="B933" s="1" t="n">
        <v>44998</v>
      </c>
      <c r="C933" s="1" t="n">
        <v>45664</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12604-2023</t>
        </is>
      </c>
      <c r="B934" s="1" t="n">
        <v>45000</v>
      </c>
      <c r="C934" s="1" t="n">
        <v>45664</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12603-2023</t>
        </is>
      </c>
      <c r="B935" s="1" t="n">
        <v>45000</v>
      </c>
      <c r="C935" s="1" t="n">
        <v>45664</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12602-2023</t>
        </is>
      </c>
      <c r="B936" s="1" t="n">
        <v>45000</v>
      </c>
      <c r="C936" s="1" t="n">
        <v>45664</v>
      </c>
      <c r="D936" t="inlineStr">
        <is>
          <t>UPPSALA LÄN</t>
        </is>
      </c>
      <c r="E936" t="inlineStr">
        <is>
          <t>UPPSALA</t>
        </is>
      </c>
      <c r="G936" t="n">
        <v>2.5</v>
      </c>
      <c r="H936" t="n">
        <v>0</v>
      </c>
      <c r="I936" t="n">
        <v>0</v>
      </c>
      <c r="J936" t="n">
        <v>0</v>
      </c>
      <c r="K936" t="n">
        <v>0</v>
      </c>
      <c r="L936" t="n">
        <v>0</v>
      </c>
      <c r="M936" t="n">
        <v>0</v>
      </c>
      <c r="N936" t="n">
        <v>0</v>
      </c>
      <c r="O936" t="n">
        <v>0</v>
      </c>
      <c r="P936" t="n">
        <v>0</v>
      </c>
      <c r="Q936" t="n">
        <v>0</v>
      </c>
      <c r="R936" s="2" t="inlineStr"/>
    </row>
    <row r="937" ht="15" customHeight="1">
      <c r="A937" t="inlineStr">
        <is>
          <t>A 12703-2023</t>
        </is>
      </c>
      <c r="B937" s="1" t="n">
        <v>45000</v>
      </c>
      <c r="C937" s="1" t="n">
        <v>45664</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12606-2023</t>
        </is>
      </c>
      <c r="B938" s="1" t="n">
        <v>45000</v>
      </c>
      <c r="C938" s="1" t="n">
        <v>45664</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13526-2023</t>
        </is>
      </c>
      <c r="B939" s="1" t="n">
        <v>45006</v>
      </c>
      <c r="C939" s="1" t="n">
        <v>45664</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14253-2023</t>
        </is>
      </c>
      <c r="B940" s="1" t="n">
        <v>45009</v>
      </c>
      <c r="C940" s="1" t="n">
        <v>45664</v>
      </c>
      <c r="D940" t="inlineStr">
        <is>
          <t>UPPSALA LÄN</t>
        </is>
      </c>
      <c r="E940" t="inlineStr">
        <is>
          <t>UPPSALA</t>
        </is>
      </c>
      <c r="F940" t="inlineStr">
        <is>
          <t>Allmännings- och besparingsskogar</t>
        </is>
      </c>
      <c r="G940" t="n">
        <v>14</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45664</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14988-2023</t>
        </is>
      </c>
      <c r="B942" s="1" t="n">
        <v>45015</v>
      </c>
      <c r="C942" s="1" t="n">
        <v>45664</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15547-2023</t>
        </is>
      </c>
      <c r="B943" s="1" t="n">
        <v>45020</v>
      </c>
      <c r="C943" s="1" t="n">
        <v>45664</v>
      </c>
      <c r="D943" t="inlineStr">
        <is>
          <t>UPPSALA LÄN</t>
        </is>
      </c>
      <c r="E943" t="inlineStr">
        <is>
          <t>UPPSALA</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15551-2023</t>
        </is>
      </c>
      <c r="B944" s="1" t="n">
        <v>45020</v>
      </c>
      <c r="C944" s="1" t="n">
        <v>45664</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15629-2023</t>
        </is>
      </c>
      <c r="B945" s="1" t="n">
        <v>45021</v>
      </c>
      <c r="C945" s="1" t="n">
        <v>45664</v>
      </c>
      <c r="D945" t="inlineStr">
        <is>
          <t>UPPSALA LÄN</t>
        </is>
      </c>
      <c r="E945" t="inlineStr">
        <is>
          <t>UPPSALA</t>
        </is>
      </c>
      <c r="F945" t="inlineStr">
        <is>
          <t>Övriga Aktiebolag</t>
        </is>
      </c>
      <c r="G945" t="n">
        <v>7</v>
      </c>
      <c r="H945" t="n">
        <v>0</v>
      </c>
      <c r="I945" t="n">
        <v>0</v>
      </c>
      <c r="J945" t="n">
        <v>0</v>
      </c>
      <c r="K945" t="n">
        <v>0</v>
      </c>
      <c r="L945" t="n">
        <v>0</v>
      </c>
      <c r="M945" t="n">
        <v>0</v>
      </c>
      <c r="N945" t="n">
        <v>0</v>
      </c>
      <c r="O945" t="n">
        <v>0</v>
      </c>
      <c r="P945" t="n">
        <v>0</v>
      </c>
      <c r="Q945" t="n">
        <v>0</v>
      </c>
      <c r="R945" s="2" t="inlineStr"/>
    </row>
    <row r="946" ht="15" customHeight="1">
      <c r="A946" t="inlineStr">
        <is>
          <t>A 16346-2023</t>
        </is>
      </c>
      <c r="B946" s="1" t="n">
        <v>45028</v>
      </c>
      <c r="C946" s="1" t="n">
        <v>45664</v>
      </c>
      <c r="D946" t="inlineStr">
        <is>
          <t>UPPSALA LÄN</t>
        </is>
      </c>
      <c r="E946" t="inlineStr">
        <is>
          <t>UPPSALA</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16811-2023</t>
        </is>
      </c>
      <c r="B947" s="1" t="n">
        <v>45033</v>
      </c>
      <c r="C947" s="1" t="n">
        <v>45664</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17229-2023</t>
        </is>
      </c>
      <c r="B948" s="1" t="n">
        <v>45035</v>
      </c>
      <c r="C948" s="1" t="n">
        <v>45664</v>
      </c>
      <c r="D948" t="inlineStr">
        <is>
          <t>UPPSALA LÄN</t>
        </is>
      </c>
      <c r="E948" t="inlineStr">
        <is>
          <t>UPPSALA</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17280-2023</t>
        </is>
      </c>
      <c r="B949" s="1" t="n">
        <v>45035</v>
      </c>
      <c r="C949" s="1" t="n">
        <v>45664</v>
      </c>
      <c r="D949" t="inlineStr">
        <is>
          <t>UPPSALA LÄN</t>
        </is>
      </c>
      <c r="E949" t="inlineStr">
        <is>
          <t>UPPSALA</t>
        </is>
      </c>
      <c r="G949" t="n">
        <v>5.6</v>
      </c>
      <c r="H949" t="n">
        <v>0</v>
      </c>
      <c r="I949" t="n">
        <v>0</v>
      </c>
      <c r="J949" t="n">
        <v>0</v>
      </c>
      <c r="K949" t="n">
        <v>0</v>
      </c>
      <c r="L949" t="n">
        <v>0</v>
      </c>
      <c r="M949" t="n">
        <v>0</v>
      </c>
      <c r="N949" t="n">
        <v>0</v>
      </c>
      <c r="O949" t="n">
        <v>0</v>
      </c>
      <c r="P949" t="n">
        <v>0</v>
      </c>
      <c r="Q949" t="n">
        <v>0</v>
      </c>
      <c r="R949" s="2" t="inlineStr"/>
    </row>
    <row r="950" ht="15" customHeight="1">
      <c r="A950" t="inlineStr">
        <is>
          <t>A 17481-2023</t>
        </is>
      </c>
      <c r="B950" s="1" t="n">
        <v>45036</v>
      </c>
      <c r="C950" s="1" t="n">
        <v>45664</v>
      </c>
      <c r="D950" t="inlineStr">
        <is>
          <t>UPPSALA LÄN</t>
        </is>
      </c>
      <c r="E950" t="inlineStr">
        <is>
          <t>UPPSALA</t>
        </is>
      </c>
      <c r="G950" t="n">
        <v>1.9</v>
      </c>
      <c r="H950" t="n">
        <v>0</v>
      </c>
      <c r="I950" t="n">
        <v>0</v>
      </c>
      <c r="J950" t="n">
        <v>0</v>
      </c>
      <c r="K950" t="n">
        <v>0</v>
      </c>
      <c r="L950" t="n">
        <v>0</v>
      </c>
      <c r="M950" t="n">
        <v>0</v>
      </c>
      <c r="N950" t="n">
        <v>0</v>
      </c>
      <c r="O950" t="n">
        <v>0</v>
      </c>
      <c r="P950" t="n">
        <v>0</v>
      </c>
      <c r="Q950" t="n">
        <v>0</v>
      </c>
      <c r="R950" s="2" t="inlineStr"/>
    </row>
    <row r="951" ht="15" customHeight="1">
      <c r="A951" t="inlineStr">
        <is>
          <t>A 17788-2023</t>
        </is>
      </c>
      <c r="B951" s="1" t="n">
        <v>45037</v>
      </c>
      <c r="C951" s="1" t="n">
        <v>45664</v>
      </c>
      <c r="D951" t="inlineStr">
        <is>
          <t>UPPSALA LÄN</t>
        </is>
      </c>
      <c r="E951" t="inlineStr">
        <is>
          <t>UPPSALA</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17938-2023</t>
        </is>
      </c>
      <c r="B952" s="1" t="n">
        <v>45040</v>
      </c>
      <c r="C952" s="1" t="n">
        <v>45664</v>
      </c>
      <c r="D952" t="inlineStr">
        <is>
          <t>UPPSALA LÄN</t>
        </is>
      </c>
      <c r="E952" t="inlineStr">
        <is>
          <t>UPPSALA</t>
        </is>
      </c>
      <c r="G952" t="n">
        <v>2.9</v>
      </c>
      <c r="H952" t="n">
        <v>0</v>
      </c>
      <c r="I952" t="n">
        <v>0</v>
      </c>
      <c r="J952" t="n">
        <v>0</v>
      </c>
      <c r="K952" t="n">
        <v>0</v>
      </c>
      <c r="L952" t="n">
        <v>0</v>
      </c>
      <c r="M952" t="n">
        <v>0</v>
      </c>
      <c r="N952" t="n">
        <v>0</v>
      </c>
      <c r="O952" t="n">
        <v>0</v>
      </c>
      <c r="P952" t="n">
        <v>0</v>
      </c>
      <c r="Q952" t="n">
        <v>0</v>
      </c>
      <c r="R952" s="2" t="inlineStr"/>
    </row>
    <row r="953" ht="15" customHeight="1">
      <c r="A953" t="inlineStr">
        <is>
          <t>A 18277-2023</t>
        </is>
      </c>
      <c r="B953" s="1" t="n">
        <v>45041</v>
      </c>
      <c r="C953" s="1" t="n">
        <v>45664</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18275-2023</t>
        </is>
      </c>
      <c r="B954" s="1" t="n">
        <v>45041</v>
      </c>
      <c r="C954" s="1" t="n">
        <v>45664</v>
      </c>
      <c r="D954" t="inlineStr">
        <is>
          <t>UPPSALA LÄN</t>
        </is>
      </c>
      <c r="E954" t="inlineStr">
        <is>
          <t>UPPSALA</t>
        </is>
      </c>
      <c r="G954" t="n">
        <v>2.7</v>
      </c>
      <c r="H954" t="n">
        <v>0</v>
      </c>
      <c r="I954" t="n">
        <v>0</v>
      </c>
      <c r="J954" t="n">
        <v>0</v>
      </c>
      <c r="K954" t="n">
        <v>0</v>
      </c>
      <c r="L954" t="n">
        <v>0</v>
      </c>
      <c r="M954" t="n">
        <v>0</v>
      </c>
      <c r="N954" t="n">
        <v>0</v>
      </c>
      <c r="O954" t="n">
        <v>0</v>
      </c>
      <c r="P954" t="n">
        <v>0</v>
      </c>
      <c r="Q954" t="n">
        <v>0</v>
      </c>
      <c r="R954" s="2" t="inlineStr"/>
    </row>
    <row r="955" ht="15" customHeight="1">
      <c r="A955" t="inlineStr">
        <is>
          <t>A 18278-2023</t>
        </is>
      </c>
      <c r="B955" s="1" t="n">
        <v>45041</v>
      </c>
      <c r="C955" s="1" t="n">
        <v>45664</v>
      </c>
      <c r="D955" t="inlineStr">
        <is>
          <t>UPPSALA LÄN</t>
        </is>
      </c>
      <c r="E955" t="inlineStr">
        <is>
          <t>UPPSALA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18276-2023</t>
        </is>
      </c>
      <c r="B956" s="1" t="n">
        <v>45041</v>
      </c>
      <c r="C956" s="1" t="n">
        <v>45664</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18443-2023</t>
        </is>
      </c>
      <c r="B957" s="1" t="n">
        <v>45042</v>
      </c>
      <c r="C957" s="1" t="n">
        <v>45664</v>
      </c>
      <c r="D957" t="inlineStr">
        <is>
          <t>UPPSALA LÄN</t>
        </is>
      </c>
      <c r="E957" t="inlineStr">
        <is>
          <t>UPPSALA</t>
        </is>
      </c>
      <c r="G957" t="n">
        <v>0.4</v>
      </c>
      <c r="H957" t="n">
        <v>0</v>
      </c>
      <c r="I957" t="n">
        <v>0</v>
      </c>
      <c r="J957" t="n">
        <v>0</v>
      </c>
      <c r="K957" t="n">
        <v>0</v>
      </c>
      <c r="L957" t="n">
        <v>0</v>
      </c>
      <c r="M957" t="n">
        <v>0</v>
      </c>
      <c r="N957" t="n">
        <v>0</v>
      </c>
      <c r="O957" t="n">
        <v>0</v>
      </c>
      <c r="P957" t="n">
        <v>0</v>
      </c>
      <c r="Q957" t="n">
        <v>0</v>
      </c>
      <c r="R957" s="2" t="inlineStr"/>
    </row>
    <row r="958" ht="15" customHeight="1">
      <c r="A958" t="inlineStr">
        <is>
          <t>A 18496-2023</t>
        </is>
      </c>
      <c r="B958" s="1" t="n">
        <v>45042</v>
      </c>
      <c r="C958" s="1" t="n">
        <v>45664</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18507-2023</t>
        </is>
      </c>
      <c r="B959" s="1" t="n">
        <v>45042</v>
      </c>
      <c r="C959" s="1" t="n">
        <v>45664</v>
      </c>
      <c r="D959" t="inlineStr">
        <is>
          <t>UPPSALA LÄN</t>
        </is>
      </c>
      <c r="E959" t="inlineStr">
        <is>
          <t>UPPSALA</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18472-2023</t>
        </is>
      </c>
      <c r="B960" s="1" t="n">
        <v>45042</v>
      </c>
      <c r="C960" s="1" t="n">
        <v>45664</v>
      </c>
      <c r="D960" t="inlineStr">
        <is>
          <t>UPPSALA LÄN</t>
        </is>
      </c>
      <c r="E960" t="inlineStr">
        <is>
          <t>UPPSALA</t>
        </is>
      </c>
      <c r="F960" t="inlineStr">
        <is>
          <t>Övriga Aktiebolag</t>
        </is>
      </c>
      <c r="G960" t="n">
        <v>3</v>
      </c>
      <c r="H960" t="n">
        <v>0</v>
      </c>
      <c r="I960" t="n">
        <v>0</v>
      </c>
      <c r="J960" t="n">
        <v>0</v>
      </c>
      <c r="K960" t="n">
        <v>0</v>
      </c>
      <c r="L960" t="n">
        <v>0</v>
      </c>
      <c r="M960" t="n">
        <v>0</v>
      </c>
      <c r="N960" t="n">
        <v>0</v>
      </c>
      <c r="O960" t="n">
        <v>0</v>
      </c>
      <c r="P960" t="n">
        <v>0</v>
      </c>
      <c r="Q960" t="n">
        <v>0</v>
      </c>
      <c r="R960" s="2" t="inlineStr"/>
    </row>
    <row r="961" ht="15" customHeight="1">
      <c r="A961" t="inlineStr">
        <is>
          <t>A 18710-2023</t>
        </is>
      </c>
      <c r="B961" s="1" t="n">
        <v>45043</v>
      </c>
      <c r="C961" s="1" t="n">
        <v>45664</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19017-2023</t>
        </is>
      </c>
      <c r="B962" s="1" t="n">
        <v>45047</v>
      </c>
      <c r="C962" s="1" t="n">
        <v>45664</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19135-2023</t>
        </is>
      </c>
      <c r="B963" s="1" t="n">
        <v>45048</v>
      </c>
      <c r="C963" s="1" t="n">
        <v>45664</v>
      </c>
      <c r="D963" t="inlineStr">
        <is>
          <t>UPPSALA LÄN</t>
        </is>
      </c>
      <c r="E963" t="inlineStr">
        <is>
          <t>UPPSALA</t>
        </is>
      </c>
      <c r="G963" t="n">
        <v>4.2</v>
      </c>
      <c r="H963" t="n">
        <v>0</v>
      </c>
      <c r="I963" t="n">
        <v>0</v>
      </c>
      <c r="J963" t="n">
        <v>0</v>
      </c>
      <c r="K963" t="n">
        <v>0</v>
      </c>
      <c r="L963" t="n">
        <v>0</v>
      </c>
      <c r="M963" t="n">
        <v>0</v>
      </c>
      <c r="N963" t="n">
        <v>0</v>
      </c>
      <c r="O963" t="n">
        <v>0</v>
      </c>
      <c r="P963" t="n">
        <v>0</v>
      </c>
      <c r="Q963" t="n">
        <v>0</v>
      </c>
      <c r="R963" s="2" t="inlineStr"/>
    </row>
    <row r="964" ht="15" customHeight="1">
      <c r="A964" t="inlineStr">
        <is>
          <t>A 19139-2023</t>
        </is>
      </c>
      <c r="B964" s="1" t="n">
        <v>45048</v>
      </c>
      <c r="C964" s="1" t="n">
        <v>45664</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19279-2023</t>
        </is>
      </c>
      <c r="B965" s="1" t="n">
        <v>45049</v>
      </c>
      <c r="C965" s="1" t="n">
        <v>45664</v>
      </c>
      <c r="D965" t="inlineStr">
        <is>
          <t>UPPSALA LÄN</t>
        </is>
      </c>
      <c r="E965" t="inlineStr">
        <is>
          <t>UPPSALA</t>
        </is>
      </c>
      <c r="G965" t="n">
        <v>5.8</v>
      </c>
      <c r="H965" t="n">
        <v>0</v>
      </c>
      <c r="I965" t="n">
        <v>0</v>
      </c>
      <c r="J965" t="n">
        <v>0</v>
      </c>
      <c r="K965" t="n">
        <v>0</v>
      </c>
      <c r="L965" t="n">
        <v>0</v>
      </c>
      <c r="M965" t="n">
        <v>0</v>
      </c>
      <c r="N965" t="n">
        <v>0</v>
      </c>
      <c r="O965" t="n">
        <v>0</v>
      </c>
      <c r="P965" t="n">
        <v>0</v>
      </c>
      <c r="Q965" t="n">
        <v>0</v>
      </c>
      <c r="R965" s="2" t="inlineStr"/>
    </row>
    <row r="966" ht="15" customHeight="1">
      <c r="A966" t="inlineStr">
        <is>
          <t>A 19269-2023</t>
        </is>
      </c>
      <c r="B966" s="1" t="n">
        <v>45049</v>
      </c>
      <c r="C966" s="1" t="n">
        <v>45664</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19314-2023</t>
        </is>
      </c>
      <c r="B967" s="1" t="n">
        <v>45049</v>
      </c>
      <c r="C967" s="1" t="n">
        <v>45664</v>
      </c>
      <c r="D967" t="inlineStr">
        <is>
          <t>UPPSALA LÄN</t>
        </is>
      </c>
      <c r="E967" t="inlineStr">
        <is>
          <t>UPPSALA</t>
        </is>
      </c>
      <c r="G967" t="n">
        <v>9</v>
      </c>
      <c r="H967" t="n">
        <v>0</v>
      </c>
      <c r="I967" t="n">
        <v>0</v>
      </c>
      <c r="J967" t="n">
        <v>0</v>
      </c>
      <c r="K967" t="n">
        <v>0</v>
      </c>
      <c r="L967" t="n">
        <v>0</v>
      </c>
      <c r="M967" t="n">
        <v>0</v>
      </c>
      <c r="N967" t="n">
        <v>0</v>
      </c>
      <c r="O967" t="n">
        <v>0</v>
      </c>
      <c r="P967" t="n">
        <v>0</v>
      </c>
      <c r="Q967" t="n">
        <v>0</v>
      </c>
      <c r="R967" s="2" t="inlineStr"/>
    </row>
    <row r="968" ht="15" customHeight="1">
      <c r="A968" t="inlineStr">
        <is>
          <t>A 19320-2023</t>
        </is>
      </c>
      <c r="B968" s="1" t="n">
        <v>45049</v>
      </c>
      <c r="C968" s="1" t="n">
        <v>45664</v>
      </c>
      <c r="D968" t="inlineStr">
        <is>
          <t>UPPSALA LÄN</t>
        </is>
      </c>
      <c r="E968" t="inlineStr">
        <is>
          <t>UPPSALA</t>
        </is>
      </c>
      <c r="G968" t="n">
        <v>17.5</v>
      </c>
      <c r="H968" t="n">
        <v>0</v>
      </c>
      <c r="I968" t="n">
        <v>0</v>
      </c>
      <c r="J968" t="n">
        <v>0</v>
      </c>
      <c r="K968" t="n">
        <v>0</v>
      </c>
      <c r="L968" t="n">
        <v>0</v>
      </c>
      <c r="M968" t="n">
        <v>0</v>
      </c>
      <c r="N968" t="n">
        <v>0</v>
      </c>
      <c r="O968" t="n">
        <v>0</v>
      </c>
      <c r="P968" t="n">
        <v>0</v>
      </c>
      <c r="Q968" t="n">
        <v>0</v>
      </c>
      <c r="R968" s="2" t="inlineStr"/>
    </row>
    <row r="969" ht="15" customHeight="1">
      <c r="A969" t="inlineStr">
        <is>
          <t>A 19339-2023</t>
        </is>
      </c>
      <c r="B969" s="1" t="n">
        <v>45049</v>
      </c>
      <c r="C969" s="1" t="n">
        <v>45664</v>
      </c>
      <c r="D969" t="inlineStr">
        <is>
          <t>UPPSALA LÄN</t>
        </is>
      </c>
      <c r="E969" t="inlineStr">
        <is>
          <t>UPPSALA</t>
        </is>
      </c>
      <c r="G969" t="n">
        <v>6.9</v>
      </c>
      <c r="H969" t="n">
        <v>0</v>
      </c>
      <c r="I969" t="n">
        <v>0</v>
      </c>
      <c r="J969" t="n">
        <v>0</v>
      </c>
      <c r="K969" t="n">
        <v>0</v>
      </c>
      <c r="L969" t="n">
        <v>0</v>
      </c>
      <c r="M969" t="n">
        <v>0</v>
      </c>
      <c r="N969" t="n">
        <v>0</v>
      </c>
      <c r="O969" t="n">
        <v>0</v>
      </c>
      <c r="P969" t="n">
        <v>0</v>
      </c>
      <c r="Q969" t="n">
        <v>0</v>
      </c>
      <c r="R969" s="2" t="inlineStr"/>
    </row>
    <row r="970" ht="15" customHeight="1">
      <c r="A970" t="inlineStr">
        <is>
          <t>A 19380-2023</t>
        </is>
      </c>
      <c r="B970" s="1" t="n">
        <v>45049</v>
      </c>
      <c r="C970" s="1" t="n">
        <v>45664</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19411-2023</t>
        </is>
      </c>
      <c r="B971" s="1" t="n">
        <v>45049</v>
      </c>
      <c r="C971" s="1" t="n">
        <v>45664</v>
      </c>
      <c r="D971" t="inlineStr">
        <is>
          <t>UPPSALA LÄN</t>
        </is>
      </c>
      <c r="E971" t="inlineStr">
        <is>
          <t>UPPSALA</t>
        </is>
      </c>
      <c r="G971" t="n">
        <v>12.6</v>
      </c>
      <c r="H971" t="n">
        <v>0</v>
      </c>
      <c r="I971" t="n">
        <v>0</v>
      </c>
      <c r="J971" t="n">
        <v>0</v>
      </c>
      <c r="K971" t="n">
        <v>0</v>
      </c>
      <c r="L971" t="n">
        <v>0</v>
      </c>
      <c r="M971" t="n">
        <v>0</v>
      </c>
      <c r="N971" t="n">
        <v>0</v>
      </c>
      <c r="O971" t="n">
        <v>0</v>
      </c>
      <c r="P971" t="n">
        <v>0</v>
      </c>
      <c r="Q971" t="n">
        <v>0</v>
      </c>
      <c r="R971" s="2" t="inlineStr"/>
    </row>
    <row r="972" ht="15" customHeight="1">
      <c r="A972" t="inlineStr">
        <is>
          <t>A 19272-2023</t>
        </is>
      </c>
      <c r="B972" s="1" t="n">
        <v>45049</v>
      </c>
      <c r="C972" s="1" t="n">
        <v>45664</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19276-2023</t>
        </is>
      </c>
      <c r="B973" s="1" t="n">
        <v>45049</v>
      </c>
      <c r="C973" s="1" t="n">
        <v>45664</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19317-2023</t>
        </is>
      </c>
      <c r="B974" s="1" t="n">
        <v>45049</v>
      </c>
      <c r="C974" s="1" t="n">
        <v>45664</v>
      </c>
      <c r="D974" t="inlineStr">
        <is>
          <t>UPPSALA LÄN</t>
        </is>
      </c>
      <c r="E974" t="inlineStr">
        <is>
          <t>UPPSALA</t>
        </is>
      </c>
      <c r="G974" t="n">
        <v>15.4</v>
      </c>
      <c r="H974" t="n">
        <v>0</v>
      </c>
      <c r="I974" t="n">
        <v>0</v>
      </c>
      <c r="J974" t="n">
        <v>0</v>
      </c>
      <c r="K974" t="n">
        <v>0</v>
      </c>
      <c r="L974" t="n">
        <v>0</v>
      </c>
      <c r="M974" t="n">
        <v>0</v>
      </c>
      <c r="N974" t="n">
        <v>0</v>
      </c>
      <c r="O974" t="n">
        <v>0</v>
      </c>
      <c r="P974" t="n">
        <v>0</v>
      </c>
      <c r="Q974" t="n">
        <v>0</v>
      </c>
      <c r="R974" s="2" t="inlineStr"/>
    </row>
    <row r="975" ht="15" customHeight="1">
      <c r="A975" t="inlineStr">
        <is>
          <t>A 19409-2023</t>
        </is>
      </c>
      <c r="B975" s="1" t="n">
        <v>45049</v>
      </c>
      <c r="C975" s="1" t="n">
        <v>45664</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19455-2023</t>
        </is>
      </c>
      <c r="B976" s="1" t="n">
        <v>45050</v>
      </c>
      <c r="C976" s="1" t="n">
        <v>45664</v>
      </c>
      <c r="D976" t="inlineStr">
        <is>
          <t>UPPSALA LÄN</t>
        </is>
      </c>
      <c r="E976" t="inlineStr">
        <is>
          <t>UPPSALA</t>
        </is>
      </c>
      <c r="G976" t="n">
        <v>3.7</v>
      </c>
      <c r="H976" t="n">
        <v>0</v>
      </c>
      <c r="I976" t="n">
        <v>0</v>
      </c>
      <c r="J976" t="n">
        <v>0</v>
      </c>
      <c r="K976" t="n">
        <v>0</v>
      </c>
      <c r="L976" t="n">
        <v>0</v>
      </c>
      <c r="M976" t="n">
        <v>0</v>
      </c>
      <c r="N976" t="n">
        <v>0</v>
      </c>
      <c r="O976" t="n">
        <v>0</v>
      </c>
      <c r="P976" t="n">
        <v>0</v>
      </c>
      <c r="Q976" t="n">
        <v>0</v>
      </c>
      <c r="R976" s="2" t="inlineStr"/>
    </row>
    <row r="977" ht="15" customHeight="1">
      <c r="A977" t="inlineStr">
        <is>
          <t>A 19515-2023</t>
        </is>
      </c>
      <c r="B977" s="1" t="n">
        <v>45050</v>
      </c>
      <c r="C977" s="1" t="n">
        <v>45664</v>
      </c>
      <c r="D977" t="inlineStr">
        <is>
          <t>UPPSALA LÄN</t>
        </is>
      </c>
      <c r="E977" t="inlineStr">
        <is>
          <t>UPPSALA</t>
        </is>
      </c>
      <c r="G977" t="n">
        <v>11.2</v>
      </c>
      <c r="H977" t="n">
        <v>0</v>
      </c>
      <c r="I977" t="n">
        <v>0</v>
      </c>
      <c r="J977" t="n">
        <v>0</v>
      </c>
      <c r="K977" t="n">
        <v>0</v>
      </c>
      <c r="L977" t="n">
        <v>0</v>
      </c>
      <c r="M977" t="n">
        <v>0</v>
      </c>
      <c r="N977" t="n">
        <v>0</v>
      </c>
      <c r="O977" t="n">
        <v>0</v>
      </c>
      <c r="P977" t="n">
        <v>0</v>
      </c>
      <c r="Q977" t="n">
        <v>0</v>
      </c>
      <c r="R977" s="2" t="inlineStr"/>
    </row>
    <row r="978" ht="15" customHeight="1">
      <c r="A978" t="inlineStr">
        <is>
          <t>A 19447-2023</t>
        </is>
      </c>
      <c r="B978" s="1" t="n">
        <v>45050</v>
      </c>
      <c r="C978" s="1" t="n">
        <v>45664</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19513-2023</t>
        </is>
      </c>
      <c r="B979" s="1" t="n">
        <v>45050</v>
      </c>
      <c r="C979" s="1" t="n">
        <v>45664</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19516-2023</t>
        </is>
      </c>
      <c r="B980" s="1" t="n">
        <v>45050</v>
      </c>
      <c r="C980" s="1" t="n">
        <v>45664</v>
      </c>
      <c r="D980" t="inlineStr">
        <is>
          <t>UPPSALA LÄN</t>
        </is>
      </c>
      <c r="E980" t="inlineStr">
        <is>
          <t>UPPSALA</t>
        </is>
      </c>
      <c r="G980" t="n">
        <v>4.5</v>
      </c>
      <c r="H980" t="n">
        <v>0</v>
      </c>
      <c r="I980" t="n">
        <v>0</v>
      </c>
      <c r="J980" t="n">
        <v>0</v>
      </c>
      <c r="K980" t="n">
        <v>0</v>
      </c>
      <c r="L980" t="n">
        <v>0</v>
      </c>
      <c r="M980" t="n">
        <v>0</v>
      </c>
      <c r="N980" t="n">
        <v>0</v>
      </c>
      <c r="O980" t="n">
        <v>0</v>
      </c>
      <c r="P980" t="n">
        <v>0</v>
      </c>
      <c r="Q980" t="n">
        <v>0</v>
      </c>
      <c r="R980" s="2" t="inlineStr"/>
    </row>
    <row r="981" ht="15" customHeight="1">
      <c r="A981" t="inlineStr">
        <is>
          <t>A 19920-2023</t>
        </is>
      </c>
      <c r="B981" s="1" t="n">
        <v>45054</v>
      </c>
      <c r="C981" s="1" t="n">
        <v>45664</v>
      </c>
      <c r="D981" t="inlineStr">
        <is>
          <t>UPPSALA LÄN</t>
        </is>
      </c>
      <c r="E981" t="inlineStr">
        <is>
          <t>UPPSALA</t>
        </is>
      </c>
      <c r="G981" t="n">
        <v>5.6</v>
      </c>
      <c r="H981" t="n">
        <v>0</v>
      </c>
      <c r="I981" t="n">
        <v>0</v>
      </c>
      <c r="J981" t="n">
        <v>0</v>
      </c>
      <c r="K981" t="n">
        <v>0</v>
      </c>
      <c r="L981" t="n">
        <v>0</v>
      </c>
      <c r="M981" t="n">
        <v>0</v>
      </c>
      <c r="N981" t="n">
        <v>0</v>
      </c>
      <c r="O981" t="n">
        <v>0</v>
      </c>
      <c r="P981" t="n">
        <v>0</v>
      </c>
      <c r="Q981" t="n">
        <v>0</v>
      </c>
      <c r="R981" s="2" t="inlineStr"/>
    </row>
    <row r="982" ht="15" customHeight="1">
      <c r="A982" t="inlineStr">
        <is>
          <t>A 20087-2023</t>
        </is>
      </c>
      <c r="B982" s="1" t="n">
        <v>45055</v>
      </c>
      <c r="C982" s="1" t="n">
        <v>45664</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20102-2023</t>
        </is>
      </c>
      <c r="B983" s="1" t="n">
        <v>45055</v>
      </c>
      <c r="C983" s="1" t="n">
        <v>45664</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20105-2023</t>
        </is>
      </c>
      <c r="B984" s="1" t="n">
        <v>45055</v>
      </c>
      <c r="C984" s="1" t="n">
        <v>45664</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20206-2023</t>
        </is>
      </c>
      <c r="B985" s="1" t="n">
        <v>45055</v>
      </c>
      <c r="C985" s="1" t="n">
        <v>45664</v>
      </c>
      <c r="D985" t="inlineStr">
        <is>
          <t>UPPSALA LÄN</t>
        </is>
      </c>
      <c r="E985" t="inlineStr">
        <is>
          <t>UPPSALA</t>
        </is>
      </c>
      <c r="G985" t="n">
        <v>5.7</v>
      </c>
      <c r="H985" t="n">
        <v>0</v>
      </c>
      <c r="I985" t="n">
        <v>0</v>
      </c>
      <c r="J985" t="n">
        <v>0</v>
      </c>
      <c r="K985" t="n">
        <v>0</v>
      </c>
      <c r="L985" t="n">
        <v>0</v>
      </c>
      <c r="M985" t="n">
        <v>0</v>
      </c>
      <c r="N985" t="n">
        <v>0</v>
      </c>
      <c r="O985" t="n">
        <v>0</v>
      </c>
      <c r="P985" t="n">
        <v>0</v>
      </c>
      <c r="Q985" t="n">
        <v>0</v>
      </c>
      <c r="R985" s="2" t="inlineStr"/>
    </row>
    <row r="986" ht="15" customHeight="1">
      <c r="A986" t="inlineStr">
        <is>
          <t>A 20438-2023</t>
        </is>
      </c>
      <c r="B986" s="1" t="n">
        <v>45056</v>
      </c>
      <c r="C986" s="1" t="n">
        <v>45664</v>
      </c>
      <c r="D986" t="inlineStr">
        <is>
          <t>UPPSALA LÄN</t>
        </is>
      </c>
      <c r="E986" t="inlineStr">
        <is>
          <t>UPPSALA</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20440-2023</t>
        </is>
      </c>
      <c r="B987" s="1" t="n">
        <v>45056</v>
      </c>
      <c r="C987" s="1" t="n">
        <v>45664</v>
      </c>
      <c r="D987" t="inlineStr">
        <is>
          <t>UPPSALA LÄN</t>
        </is>
      </c>
      <c r="E987" t="inlineStr">
        <is>
          <t>UPPSALA</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20437-2023</t>
        </is>
      </c>
      <c r="B988" s="1" t="n">
        <v>45056</v>
      </c>
      <c r="C988" s="1" t="n">
        <v>45664</v>
      </c>
      <c r="D988" t="inlineStr">
        <is>
          <t>UPPSALA LÄN</t>
        </is>
      </c>
      <c r="E988" t="inlineStr">
        <is>
          <t>UPPSALA</t>
        </is>
      </c>
      <c r="F988" t="inlineStr">
        <is>
          <t>Holmen skog AB</t>
        </is>
      </c>
      <c r="G988" t="n">
        <v>20.1</v>
      </c>
      <c r="H988" t="n">
        <v>0</v>
      </c>
      <c r="I988" t="n">
        <v>0</v>
      </c>
      <c r="J988" t="n">
        <v>0</v>
      </c>
      <c r="K988" t="n">
        <v>0</v>
      </c>
      <c r="L988" t="n">
        <v>0</v>
      </c>
      <c r="M988" t="n">
        <v>0</v>
      </c>
      <c r="N988" t="n">
        <v>0</v>
      </c>
      <c r="O988" t="n">
        <v>0</v>
      </c>
      <c r="P988" t="n">
        <v>0</v>
      </c>
      <c r="Q988" t="n">
        <v>0</v>
      </c>
      <c r="R988" s="2" t="inlineStr"/>
    </row>
    <row r="989" ht="15" customHeight="1">
      <c r="A989" t="inlineStr">
        <is>
          <t>A 20550-2023</t>
        </is>
      </c>
      <c r="B989" s="1" t="n">
        <v>45057</v>
      </c>
      <c r="C989" s="1" t="n">
        <v>45664</v>
      </c>
      <c r="D989" t="inlineStr">
        <is>
          <t>UPPSALA LÄN</t>
        </is>
      </c>
      <c r="E989" t="inlineStr">
        <is>
          <t>UPPSALA</t>
        </is>
      </c>
      <c r="F989" t="inlineStr">
        <is>
          <t>Övriga Aktiebolag</t>
        </is>
      </c>
      <c r="G989" t="n">
        <v>12.2</v>
      </c>
      <c r="H989" t="n">
        <v>0</v>
      </c>
      <c r="I989" t="n">
        <v>0</v>
      </c>
      <c r="J989" t="n">
        <v>0</v>
      </c>
      <c r="K989" t="n">
        <v>0</v>
      </c>
      <c r="L989" t="n">
        <v>0</v>
      </c>
      <c r="M989" t="n">
        <v>0</v>
      </c>
      <c r="N989" t="n">
        <v>0</v>
      </c>
      <c r="O989" t="n">
        <v>0</v>
      </c>
      <c r="P989" t="n">
        <v>0</v>
      </c>
      <c r="Q989" t="n">
        <v>0</v>
      </c>
      <c r="R989" s="2" t="inlineStr"/>
    </row>
    <row r="990" ht="15" customHeight="1">
      <c r="A990" t="inlineStr">
        <is>
          <t>A 20670-2023</t>
        </is>
      </c>
      <c r="B990" s="1" t="n">
        <v>45058</v>
      </c>
      <c r="C990" s="1" t="n">
        <v>45664</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20692-2023</t>
        </is>
      </c>
      <c r="B991" s="1" t="n">
        <v>45058</v>
      </c>
      <c r="C991" s="1" t="n">
        <v>45664</v>
      </c>
      <c r="D991" t="inlineStr">
        <is>
          <t>UPPSALA LÄN</t>
        </is>
      </c>
      <c r="E991" t="inlineStr">
        <is>
          <t>UPPSALA</t>
        </is>
      </c>
      <c r="G991" t="n">
        <v>7.9</v>
      </c>
      <c r="H991" t="n">
        <v>0</v>
      </c>
      <c r="I991" t="n">
        <v>0</v>
      </c>
      <c r="J991" t="n">
        <v>0</v>
      </c>
      <c r="K991" t="n">
        <v>0</v>
      </c>
      <c r="L991" t="n">
        <v>0</v>
      </c>
      <c r="M991" t="n">
        <v>0</v>
      </c>
      <c r="N991" t="n">
        <v>0</v>
      </c>
      <c r="O991" t="n">
        <v>0</v>
      </c>
      <c r="P991" t="n">
        <v>0</v>
      </c>
      <c r="Q991" t="n">
        <v>0</v>
      </c>
      <c r="R991" s="2" t="inlineStr"/>
    </row>
    <row r="992" ht="15" customHeight="1">
      <c r="A992" t="inlineStr">
        <is>
          <t>A 20667-2023</t>
        </is>
      </c>
      <c r="B992" s="1" t="n">
        <v>45058</v>
      </c>
      <c r="C992" s="1" t="n">
        <v>45664</v>
      </c>
      <c r="D992" t="inlineStr">
        <is>
          <t>UPPSALA LÄN</t>
        </is>
      </c>
      <c r="E992" t="inlineStr">
        <is>
          <t>UPPSALA</t>
        </is>
      </c>
      <c r="G992" t="n">
        <v>6.8</v>
      </c>
      <c r="H992" t="n">
        <v>0</v>
      </c>
      <c r="I992" t="n">
        <v>0</v>
      </c>
      <c r="J992" t="n">
        <v>0</v>
      </c>
      <c r="K992" t="n">
        <v>0</v>
      </c>
      <c r="L992" t="n">
        <v>0</v>
      </c>
      <c r="M992" t="n">
        <v>0</v>
      </c>
      <c r="N992" t="n">
        <v>0</v>
      </c>
      <c r="O992" t="n">
        <v>0</v>
      </c>
      <c r="P992" t="n">
        <v>0</v>
      </c>
      <c r="Q992" t="n">
        <v>0</v>
      </c>
      <c r="R992" s="2" t="inlineStr"/>
    </row>
    <row r="993" ht="15" customHeight="1">
      <c r="A993" t="inlineStr">
        <is>
          <t>A 20708-2023</t>
        </is>
      </c>
      <c r="B993" s="1" t="n">
        <v>45058</v>
      </c>
      <c r="C993" s="1" t="n">
        <v>45664</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20669-2023</t>
        </is>
      </c>
      <c r="B994" s="1" t="n">
        <v>45058</v>
      </c>
      <c r="C994" s="1" t="n">
        <v>45664</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20786-2023</t>
        </is>
      </c>
      <c r="B995" s="1" t="n">
        <v>45058</v>
      </c>
      <c r="C995" s="1" t="n">
        <v>45664</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20900-2023</t>
        </is>
      </c>
      <c r="B996" s="1" t="n">
        <v>45060</v>
      </c>
      <c r="C996" s="1" t="n">
        <v>45664</v>
      </c>
      <c r="D996" t="inlineStr">
        <is>
          <t>UPPSALA LÄN</t>
        </is>
      </c>
      <c r="E996" t="inlineStr">
        <is>
          <t>UPPSALA</t>
        </is>
      </c>
      <c r="G996" t="n">
        <v>3.2</v>
      </c>
      <c r="H996" t="n">
        <v>0</v>
      </c>
      <c r="I996" t="n">
        <v>0</v>
      </c>
      <c r="J996" t="n">
        <v>0</v>
      </c>
      <c r="K996" t="n">
        <v>0</v>
      </c>
      <c r="L996" t="n">
        <v>0</v>
      </c>
      <c r="M996" t="n">
        <v>0</v>
      </c>
      <c r="N996" t="n">
        <v>0</v>
      </c>
      <c r="O996" t="n">
        <v>0</v>
      </c>
      <c r="P996" t="n">
        <v>0</v>
      </c>
      <c r="Q996" t="n">
        <v>0</v>
      </c>
      <c r="R996" s="2" t="inlineStr"/>
    </row>
    <row r="997" ht="15" customHeight="1">
      <c r="A997" t="inlineStr">
        <is>
          <t>A 21052-2023</t>
        </is>
      </c>
      <c r="B997" s="1" t="n">
        <v>45061</v>
      </c>
      <c r="C997" s="1" t="n">
        <v>45664</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21416-2023</t>
        </is>
      </c>
      <c r="B998" s="1" t="n">
        <v>45063</v>
      </c>
      <c r="C998" s="1" t="n">
        <v>45664</v>
      </c>
      <c r="D998" t="inlineStr">
        <is>
          <t>UPPSALA LÄN</t>
        </is>
      </c>
      <c r="E998" t="inlineStr">
        <is>
          <t>UPPSALA</t>
        </is>
      </c>
      <c r="G998" t="n">
        <v>13.9</v>
      </c>
      <c r="H998" t="n">
        <v>0</v>
      </c>
      <c r="I998" t="n">
        <v>0</v>
      </c>
      <c r="J998" t="n">
        <v>0</v>
      </c>
      <c r="K998" t="n">
        <v>0</v>
      </c>
      <c r="L998" t="n">
        <v>0</v>
      </c>
      <c r="M998" t="n">
        <v>0</v>
      </c>
      <c r="N998" t="n">
        <v>0</v>
      </c>
      <c r="O998" t="n">
        <v>0</v>
      </c>
      <c r="P998" t="n">
        <v>0</v>
      </c>
      <c r="Q998" t="n">
        <v>0</v>
      </c>
      <c r="R998" s="2" t="inlineStr"/>
    </row>
    <row r="999" ht="15" customHeight="1">
      <c r="A999" t="inlineStr">
        <is>
          <t>A 21424-2023</t>
        </is>
      </c>
      <c r="B999" s="1" t="n">
        <v>45063</v>
      </c>
      <c r="C999" s="1" t="n">
        <v>45664</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21727-2023</t>
        </is>
      </c>
      <c r="B1000" s="1" t="n">
        <v>45065</v>
      </c>
      <c r="C1000" s="1" t="n">
        <v>45664</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21935-2023</t>
        </is>
      </c>
      <c r="B1001" s="1" t="n">
        <v>45068</v>
      </c>
      <c r="C1001" s="1" t="n">
        <v>45664</v>
      </c>
      <c r="D1001" t="inlineStr">
        <is>
          <t>UPPSALA LÄN</t>
        </is>
      </c>
      <c r="E1001" t="inlineStr">
        <is>
          <t>UPPSALA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22450-2023</t>
        </is>
      </c>
      <c r="B1002" s="1" t="n">
        <v>45070</v>
      </c>
      <c r="C1002" s="1" t="n">
        <v>45664</v>
      </c>
      <c r="D1002" t="inlineStr">
        <is>
          <t>UPPSALA LÄN</t>
        </is>
      </c>
      <c r="E1002" t="inlineStr">
        <is>
          <t>UPPSALA</t>
        </is>
      </c>
      <c r="F1002" t="inlineStr">
        <is>
          <t>Allmännings- och besparingsskogar</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23159-2023</t>
        </is>
      </c>
      <c r="B1003" s="1" t="n">
        <v>45075</v>
      </c>
      <c r="C1003" s="1" t="n">
        <v>45664</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23157-2023</t>
        </is>
      </c>
      <c r="B1004" s="1" t="n">
        <v>45075</v>
      </c>
      <c r="C1004" s="1" t="n">
        <v>45664</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23929-2023</t>
        </is>
      </c>
      <c r="B1005" s="1" t="n">
        <v>45078</v>
      </c>
      <c r="C1005" s="1" t="n">
        <v>45664</v>
      </c>
      <c r="D1005" t="inlineStr">
        <is>
          <t>UPPSALA LÄN</t>
        </is>
      </c>
      <c r="E1005" t="inlineStr">
        <is>
          <t>UPPSALA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24012-2023</t>
        </is>
      </c>
      <c r="B1006" s="1" t="n">
        <v>45078</v>
      </c>
      <c r="C1006" s="1" t="n">
        <v>45664</v>
      </c>
      <c r="D1006" t="inlineStr">
        <is>
          <t>UPPSALA LÄN</t>
        </is>
      </c>
      <c r="E1006" t="inlineStr">
        <is>
          <t>UPPSALA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24016-2023</t>
        </is>
      </c>
      <c r="B1007" s="1" t="n">
        <v>45078</v>
      </c>
      <c r="C1007" s="1" t="n">
        <v>45664</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24009-2023</t>
        </is>
      </c>
      <c r="B1008" s="1" t="n">
        <v>45078</v>
      </c>
      <c r="C1008" s="1" t="n">
        <v>45664</v>
      </c>
      <c r="D1008" t="inlineStr">
        <is>
          <t>UPPSALA LÄN</t>
        </is>
      </c>
      <c r="E1008" t="inlineStr">
        <is>
          <t>UPPSALA</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24174-2023</t>
        </is>
      </c>
      <c r="B1009" s="1" t="n">
        <v>45079</v>
      </c>
      <c r="C1009" s="1" t="n">
        <v>45664</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24670-2023</t>
        </is>
      </c>
      <c r="B1010" s="1" t="n">
        <v>45084</v>
      </c>
      <c r="C1010" s="1" t="n">
        <v>45664</v>
      </c>
      <c r="D1010" t="inlineStr">
        <is>
          <t>UPPSALA LÄN</t>
        </is>
      </c>
      <c r="E1010" t="inlineStr">
        <is>
          <t>UPPSALA</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25264-2023</t>
        </is>
      </c>
      <c r="B1011" s="1" t="n">
        <v>45086</v>
      </c>
      <c r="C1011" s="1" t="n">
        <v>45664</v>
      </c>
      <c r="D1011" t="inlineStr">
        <is>
          <t>UPPSALA LÄN</t>
        </is>
      </c>
      <c r="E1011" t="inlineStr">
        <is>
          <t>UPPSALA</t>
        </is>
      </c>
      <c r="F1011" t="inlineStr">
        <is>
          <t>Holmen skog AB</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25280-2023</t>
        </is>
      </c>
      <c r="B1012" s="1" t="n">
        <v>45086</v>
      </c>
      <c r="C1012" s="1" t="n">
        <v>45664</v>
      </c>
      <c r="D1012" t="inlineStr">
        <is>
          <t>UPPSALA LÄN</t>
        </is>
      </c>
      <c r="E1012" t="inlineStr">
        <is>
          <t>UPPSALA</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25380-2023</t>
        </is>
      </c>
      <c r="B1013" s="1" t="n">
        <v>45089</v>
      </c>
      <c r="C1013" s="1" t="n">
        <v>45664</v>
      </c>
      <c r="D1013" t="inlineStr">
        <is>
          <t>UPPSALA LÄN</t>
        </is>
      </c>
      <c r="E1013" t="inlineStr">
        <is>
          <t>UPPSALA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25381-2023</t>
        </is>
      </c>
      <c r="B1014" s="1" t="n">
        <v>45089</v>
      </c>
      <c r="C1014" s="1" t="n">
        <v>45664</v>
      </c>
      <c r="D1014" t="inlineStr">
        <is>
          <t>UPPSALA LÄN</t>
        </is>
      </c>
      <c r="E1014" t="inlineStr">
        <is>
          <t>UPPSALA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25446-2023</t>
        </is>
      </c>
      <c r="B1015" s="1" t="n">
        <v>45089</v>
      </c>
      <c r="C1015" s="1" t="n">
        <v>45664</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25462-2023</t>
        </is>
      </c>
      <c r="B1016" s="1" t="n">
        <v>45089</v>
      </c>
      <c r="C1016" s="1" t="n">
        <v>45664</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25939-2023</t>
        </is>
      </c>
      <c r="B1017" s="1" t="n">
        <v>45090</v>
      </c>
      <c r="C1017" s="1" t="n">
        <v>45664</v>
      </c>
      <c r="D1017" t="inlineStr">
        <is>
          <t>UPPSALA LÄN</t>
        </is>
      </c>
      <c r="E1017" t="inlineStr">
        <is>
          <t>UPPSALA</t>
        </is>
      </c>
      <c r="F1017" t="inlineStr">
        <is>
          <t>Holmen skog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26208-2023</t>
        </is>
      </c>
      <c r="B1018" s="1" t="n">
        <v>45091</v>
      </c>
      <c r="C1018" s="1" t="n">
        <v>45664</v>
      </c>
      <c r="D1018" t="inlineStr">
        <is>
          <t>UPPSALA LÄN</t>
        </is>
      </c>
      <c r="E1018" t="inlineStr">
        <is>
          <t>UPPSALA</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26298-2023</t>
        </is>
      </c>
      <c r="B1019" s="1" t="n">
        <v>45091</v>
      </c>
      <c r="C1019" s="1" t="n">
        <v>45664</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26323-2023</t>
        </is>
      </c>
      <c r="B1020" s="1" t="n">
        <v>45091</v>
      </c>
      <c r="C1020" s="1" t="n">
        <v>45664</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26081-2023</t>
        </is>
      </c>
      <c r="B1021" s="1" t="n">
        <v>45091</v>
      </c>
      <c r="C1021" s="1" t="n">
        <v>45664</v>
      </c>
      <c r="D1021" t="inlineStr">
        <is>
          <t>UPPSALA LÄN</t>
        </is>
      </c>
      <c r="E1021" t="inlineStr">
        <is>
          <t>UPPSALA</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26143-2023</t>
        </is>
      </c>
      <c r="B1022" s="1" t="n">
        <v>45091</v>
      </c>
      <c r="C1022" s="1" t="n">
        <v>45664</v>
      </c>
      <c r="D1022" t="inlineStr">
        <is>
          <t>UPPSALA LÄN</t>
        </is>
      </c>
      <c r="E1022" t="inlineStr">
        <is>
          <t>UPPSALA</t>
        </is>
      </c>
      <c r="F1022" t="inlineStr">
        <is>
          <t>Holmen skog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26134-2023</t>
        </is>
      </c>
      <c r="B1023" s="1" t="n">
        <v>45091</v>
      </c>
      <c r="C1023" s="1" t="n">
        <v>45664</v>
      </c>
      <c r="D1023" t="inlineStr">
        <is>
          <t>UPPSALA LÄN</t>
        </is>
      </c>
      <c r="E1023" t="inlineStr">
        <is>
          <t>UPPSALA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26759-2023</t>
        </is>
      </c>
      <c r="B1024" s="1" t="n">
        <v>45093</v>
      </c>
      <c r="C1024" s="1" t="n">
        <v>45664</v>
      </c>
      <c r="D1024" t="inlineStr">
        <is>
          <t>UPPSALA LÄN</t>
        </is>
      </c>
      <c r="E1024" t="inlineStr">
        <is>
          <t>UPPSALA</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26762-2023</t>
        </is>
      </c>
      <c r="B1025" s="1" t="n">
        <v>45093</v>
      </c>
      <c r="C1025" s="1" t="n">
        <v>45664</v>
      </c>
      <c r="D1025" t="inlineStr">
        <is>
          <t>UPPSALA LÄN</t>
        </is>
      </c>
      <c r="E1025" t="inlineStr">
        <is>
          <t>UPPSALA</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27128-2023</t>
        </is>
      </c>
      <c r="B1026" s="1" t="n">
        <v>45096</v>
      </c>
      <c r="C1026" s="1" t="n">
        <v>45664</v>
      </c>
      <c r="D1026" t="inlineStr">
        <is>
          <t>UPPSALA LÄN</t>
        </is>
      </c>
      <c r="E1026" t="inlineStr">
        <is>
          <t>UPPSALA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27068-2023</t>
        </is>
      </c>
      <c r="B1027" s="1" t="n">
        <v>45096</v>
      </c>
      <c r="C1027" s="1" t="n">
        <v>45664</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27119-2023</t>
        </is>
      </c>
      <c r="B1028" s="1" t="n">
        <v>45096</v>
      </c>
      <c r="C1028" s="1" t="n">
        <v>45664</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27123-2023</t>
        </is>
      </c>
      <c r="B1029" s="1" t="n">
        <v>45096</v>
      </c>
      <c r="C1029" s="1" t="n">
        <v>45664</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27126-2023</t>
        </is>
      </c>
      <c r="B1030" s="1" t="n">
        <v>45096</v>
      </c>
      <c r="C1030" s="1" t="n">
        <v>45664</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27104-2023</t>
        </is>
      </c>
      <c r="B1031" s="1" t="n">
        <v>45096</v>
      </c>
      <c r="C1031" s="1" t="n">
        <v>45664</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27121-2023</t>
        </is>
      </c>
      <c r="B1032" s="1" t="n">
        <v>45096</v>
      </c>
      <c r="C1032" s="1" t="n">
        <v>45664</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27125-2023</t>
        </is>
      </c>
      <c r="B1033" s="1" t="n">
        <v>45096</v>
      </c>
      <c r="C1033" s="1" t="n">
        <v>45664</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27254-2023</t>
        </is>
      </c>
      <c r="B1034" s="1" t="n">
        <v>45096</v>
      </c>
      <c r="C1034" s="1" t="n">
        <v>45664</v>
      </c>
      <c r="D1034" t="inlineStr">
        <is>
          <t>UPPSALA LÄN</t>
        </is>
      </c>
      <c r="E1034" t="inlineStr">
        <is>
          <t>UPPSALA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27467-2023</t>
        </is>
      </c>
      <c r="B1035" s="1" t="n">
        <v>45097</v>
      </c>
      <c r="C1035" s="1" t="n">
        <v>45664</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27617-2023</t>
        </is>
      </c>
      <c r="B1036" s="1" t="n">
        <v>45097</v>
      </c>
      <c r="C1036" s="1" t="n">
        <v>45664</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27622-2023</t>
        </is>
      </c>
      <c r="B1037" s="1" t="n">
        <v>45097</v>
      </c>
      <c r="C1037" s="1" t="n">
        <v>45664</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27599-2023</t>
        </is>
      </c>
      <c r="B1038" s="1" t="n">
        <v>45097</v>
      </c>
      <c r="C1038" s="1" t="n">
        <v>45664</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27620-2023</t>
        </is>
      </c>
      <c r="B1039" s="1" t="n">
        <v>45097</v>
      </c>
      <c r="C1039" s="1" t="n">
        <v>45664</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27912-2023</t>
        </is>
      </c>
      <c r="B1040" s="1" t="n">
        <v>45098</v>
      </c>
      <c r="C1040" s="1" t="n">
        <v>45664</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27903-2023</t>
        </is>
      </c>
      <c r="B1041" s="1" t="n">
        <v>45098</v>
      </c>
      <c r="C1041" s="1" t="n">
        <v>45664</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27930-2023</t>
        </is>
      </c>
      <c r="B1042" s="1" t="n">
        <v>45098</v>
      </c>
      <c r="C1042" s="1" t="n">
        <v>45664</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28186-2023</t>
        </is>
      </c>
      <c r="B1043" s="1" t="n">
        <v>45099</v>
      </c>
      <c r="C1043" s="1" t="n">
        <v>45664</v>
      </c>
      <c r="D1043" t="inlineStr">
        <is>
          <t>UPPSALA LÄN</t>
        </is>
      </c>
      <c r="E1043" t="inlineStr">
        <is>
          <t>UPPSALA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28577-2023</t>
        </is>
      </c>
      <c r="B1044" s="1" t="n">
        <v>45103</v>
      </c>
      <c r="C1044" s="1" t="n">
        <v>45664</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28701-2023</t>
        </is>
      </c>
      <c r="B1045" s="1" t="n">
        <v>45103</v>
      </c>
      <c r="C1045" s="1" t="n">
        <v>45664</v>
      </c>
      <c r="D1045" t="inlineStr">
        <is>
          <t>UPPSALA LÄN</t>
        </is>
      </c>
      <c r="E1045" t="inlineStr">
        <is>
          <t>UPPSALA</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29019-2023</t>
        </is>
      </c>
      <c r="B1046" s="1" t="n">
        <v>45104</v>
      </c>
      <c r="C1046" s="1" t="n">
        <v>45664</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31599-2023</t>
        </is>
      </c>
      <c r="B1047" s="1" t="n">
        <v>45105</v>
      </c>
      <c r="C1047" s="1" t="n">
        <v>45664</v>
      </c>
      <c r="D1047" t="inlineStr">
        <is>
          <t>UPPSALA LÄN</t>
        </is>
      </c>
      <c r="E1047" t="inlineStr">
        <is>
          <t>UPPSALA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29282-2023</t>
        </is>
      </c>
      <c r="B1048" s="1" t="n">
        <v>45105</v>
      </c>
      <c r="C1048" s="1" t="n">
        <v>45664</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31630-2023</t>
        </is>
      </c>
      <c r="B1049" s="1" t="n">
        <v>45105</v>
      </c>
      <c r="C1049" s="1" t="n">
        <v>45664</v>
      </c>
      <c r="D1049" t="inlineStr">
        <is>
          <t>UPPSALA LÄN</t>
        </is>
      </c>
      <c r="E1049" t="inlineStr">
        <is>
          <t>UPPSALA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29579-2023</t>
        </is>
      </c>
      <c r="B1050" s="1" t="n">
        <v>45106</v>
      </c>
      <c r="C1050" s="1" t="n">
        <v>45664</v>
      </c>
      <c r="D1050" t="inlineStr">
        <is>
          <t>UPPSALA LÄN</t>
        </is>
      </c>
      <c r="E1050" t="inlineStr">
        <is>
          <t>UPPSALA</t>
        </is>
      </c>
      <c r="F1050" t="inlineStr">
        <is>
          <t>Kyrkan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29815-2023</t>
        </is>
      </c>
      <c r="B1051" s="1" t="n">
        <v>45107</v>
      </c>
      <c r="C1051" s="1" t="n">
        <v>45664</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29901-2023</t>
        </is>
      </c>
      <c r="B1052" s="1" t="n">
        <v>45107</v>
      </c>
      <c r="C1052" s="1" t="n">
        <v>45664</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29868-2023</t>
        </is>
      </c>
      <c r="B1053" s="1" t="n">
        <v>45107</v>
      </c>
      <c r="C1053" s="1" t="n">
        <v>45664</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29799-2023</t>
        </is>
      </c>
      <c r="B1054" s="1" t="n">
        <v>45107</v>
      </c>
      <c r="C1054" s="1" t="n">
        <v>45664</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29808-2023</t>
        </is>
      </c>
      <c r="B1055" s="1" t="n">
        <v>45107</v>
      </c>
      <c r="C1055" s="1" t="n">
        <v>45664</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29902-2023</t>
        </is>
      </c>
      <c r="B1056" s="1" t="n">
        <v>45107</v>
      </c>
      <c r="C1056" s="1" t="n">
        <v>45664</v>
      </c>
      <c r="D1056" t="inlineStr">
        <is>
          <t>UPPSALA LÄN</t>
        </is>
      </c>
      <c r="E1056" t="inlineStr">
        <is>
          <t>UPPSALA</t>
        </is>
      </c>
      <c r="F1056" t="inlineStr">
        <is>
          <t>Kyrkan</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29926-2023</t>
        </is>
      </c>
      <c r="B1057" s="1" t="n">
        <v>45107</v>
      </c>
      <c r="C1057" s="1" t="n">
        <v>45664</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29927-2023</t>
        </is>
      </c>
      <c r="B1058" s="1" t="n">
        <v>45107</v>
      </c>
      <c r="C1058" s="1" t="n">
        <v>45664</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32428-2023</t>
        </is>
      </c>
      <c r="B1059" s="1" t="n">
        <v>45110</v>
      </c>
      <c r="C1059" s="1" t="n">
        <v>45664</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30629-2023</t>
        </is>
      </c>
      <c r="B1060" s="1" t="n">
        <v>45112</v>
      </c>
      <c r="C1060" s="1" t="n">
        <v>45664</v>
      </c>
      <c r="D1060" t="inlineStr">
        <is>
          <t>UPPSALA LÄN</t>
        </is>
      </c>
      <c r="E1060" t="inlineStr">
        <is>
          <t>UPPSALA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32689-2023</t>
        </is>
      </c>
      <c r="B1061" s="1" t="n">
        <v>45112</v>
      </c>
      <c r="C1061" s="1" t="n">
        <v>45664</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31157-2023</t>
        </is>
      </c>
      <c r="B1062" s="1" t="n">
        <v>45113</v>
      </c>
      <c r="C1062" s="1" t="n">
        <v>45664</v>
      </c>
      <c r="D1062" t="inlineStr">
        <is>
          <t>UPPSALA LÄN</t>
        </is>
      </c>
      <c r="E1062" t="inlineStr">
        <is>
          <t>UPPSALA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31161-2023</t>
        </is>
      </c>
      <c r="B1063" s="1" t="n">
        <v>45113</v>
      </c>
      <c r="C1063" s="1" t="n">
        <v>45664</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33689-2023</t>
        </is>
      </c>
      <c r="B1064" s="1" t="n">
        <v>45119</v>
      </c>
      <c r="C1064" s="1" t="n">
        <v>45664</v>
      </c>
      <c r="D1064" t="inlineStr">
        <is>
          <t>UPPSALA LÄN</t>
        </is>
      </c>
      <c r="E1064" t="inlineStr">
        <is>
          <t>UPPSALA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32413-2023</t>
        </is>
      </c>
      <c r="B1065" s="1" t="n">
        <v>45120</v>
      </c>
      <c r="C1065" s="1" t="n">
        <v>45664</v>
      </c>
      <c r="D1065" t="inlineStr">
        <is>
          <t>UPPSALA LÄN</t>
        </is>
      </c>
      <c r="E1065" t="inlineStr">
        <is>
          <t>UPPSALA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32640-2023</t>
        </is>
      </c>
      <c r="B1066" s="1" t="n">
        <v>45121</v>
      </c>
      <c r="C1066" s="1" t="n">
        <v>45664</v>
      </c>
      <c r="D1066" t="inlineStr">
        <is>
          <t>UPPSALA LÄN</t>
        </is>
      </c>
      <c r="E1066" t="inlineStr">
        <is>
          <t>UPPSALA</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32674-2023</t>
        </is>
      </c>
      <c r="B1067" s="1" t="n">
        <v>45121</v>
      </c>
      <c r="C1067" s="1" t="n">
        <v>45664</v>
      </c>
      <c r="D1067" t="inlineStr">
        <is>
          <t>UPPSALA LÄN</t>
        </is>
      </c>
      <c r="E1067" t="inlineStr">
        <is>
          <t>UPPSALA</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32688-2023</t>
        </is>
      </c>
      <c r="B1068" s="1" t="n">
        <v>45121</v>
      </c>
      <c r="C1068" s="1" t="n">
        <v>45664</v>
      </c>
      <c r="D1068" t="inlineStr">
        <is>
          <t>UPPSALA LÄN</t>
        </is>
      </c>
      <c r="E1068" t="inlineStr">
        <is>
          <t>UPPSALA</t>
        </is>
      </c>
      <c r="F1068" t="inlineStr">
        <is>
          <t>Holmen skog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33191-2023</t>
        </is>
      </c>
      <c r="B1069" s="1" t="n">
        <v>45127</v>
      </c>
      <c r="C1069" s="1" t="n">
        <v>45664</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33189-2023</t>
        </is>
      </c>
      <c r="B1070" s="1" t="n">
        <v>45127</v>
      </c>
      <c r="C1070" s="1" t="n">
        <v>45664</v>
      </c>
      <c r="D1070" t="inlineStr">
        <is>
          <t>UPPSALA LÄN</t>
        </is>
      </c>
      <c r="E1070" t="inlineStr">
        <is>
          <t>UPPSALA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34282-2023</t>
        </is>
      </c>
      <c r="B1071" s="1" t="n">
        <v>45128</v>
      </c>
      <c r="C1071" s="1" t="n">
        <v>45664</v>
      </c>
      <c r="D1071" t="inlineStr">
        <is>
          <t>UPPSALA LÄN</t>
        </is>
      </c>
      <c r="E1071" t="inlineStr">
        <is>
          <t>UPPSALA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33562-2023</t>
        </is>
      </c>
      <c r="B1072" s="1" t="n">
        <v>45131</v>
      </c>
      <c r="C1072" s="1" t="n">
        <v>45664</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33700-2023</t>
        </is>
      </c>
      <c r="B1073" s="1" t="n">
        <v>45132</v>
      </c>
      <c r="C1073" s="1" t="n">
        <v>45664</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34509-2023</t>
        </is>
      </c>
      <c r="B1074" s="1" t="n">
        <v>45133</v>
      </c>
      <c r="C1074" s="1" t="n">
        <v>45664</v>
      </c>
      <c r="D1074" t="inlineStr">
        <is>
          <t>UPPSALA LÄN</t>
        </is>
      </c>
      <c r="E1074" t="inlineStr">
        <is>
          <t>UPPSALA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33941-2023</t>
        </is>
      </c>
      <c r="B1075" s="1" t="n">
        <v>45134</v>
      </c>
      <c r="C1075" s="1" t="n">
        <v>45664</v>
      </c>
      <c r="D1075" t="inlineStr">
        <is>
          <t>UPPSALA LÄN</t>
        </is>
      </c>
      <c r="E1075" t="inlineStr">
        <is>
          <t>UPPSALA</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33982-2023</t>
        </is>
      </c>
      <c r="B1076" s="1" t="n">
        <v>45134</v>
      </c>
      <c r="C1076" s="1" t="n">
        <v>45664</v>
      </c>
      <c r="D1076" t="inlineStr">
        <is>
          <t>UPPSALA LÄN</t>
        </is>
      </c>
      <c r="E1076" t="inlineStr">
        <is>
          <t>UPPSALA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35142-2023</t>
        </is>
      </c>
      <c r="B1077" s="1" t="n">
        <v>45145</v>
      </c>
      <c r="C1077" s="1" t="n">
        <v>45664</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35471-2023</t>
        </is>
      </c>
      <c r="B1078" s="1" t="n">
        <v>45146</v>
      </c>
      <c r="C1078" s="1" t="n">
        <v>45664</v>
      </c>
      <c r="D1078" t="inlineStr">
        <is>
          <t>UPPSALA LÄN</t>
        </is>
      </c>
      <c r="E1078" t="inlineStr">
        <is>
          <t>UPPSALA</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35472-2023</t>
        </is>
      </c>
      <c r="B1079" s="1" t="n">
        <v>45146</v>
      </c>
      <c r="C1079" s="1" t="n">
        <v>45664</v>
      </c>
      <c r="D1079" t="inlineStr">
        <is>
          <t>UPPSALA LÄN</t>
        </is>
      </c>
      <c r="E1079" t="inlineStr">
        <is>
          <t>UPPSALA</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35473-2023</t>
        </is>
      </c>
      <c r="B1080" s="1" t="n">
        <v>45146</v>
      </c>
      <c r="C1080" s="1" t="n">
        <v>45664</v>
      </c>
      <c r="D1080" t="inlineStr">
        <is>
          <t>UPPSALA LÄN</t>
        </is>
      </c>
      <c r="E1080" t="inlineStr">
        <is>
          <t>UPPSALA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35549-2023</t>
        </is>
      </c>
      <c r="B1081" s="1" t="n">
        <v>45147</v>
      </c>
      <c r="C1081" s="1" t="n">
        <v>45664</v>
      </c>
      <c r="D1081" t="inlineStr">
        <is>
          <t>UPPSALA LÄN</t>
        </is>
      </c>
      <c r="E1081" t="inlineStr">
        <is>
          <t>UPPSALA</t>
        </is>
      </c>
      <c r="F1081" t="inlineStr">
        <is>
          <t>Allmännings- och besparingsskogar</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35902-2023</t>
        </is>
      </c>
      <c r="B1082" s="1" t="n">
        <v>45148</v>
      </c>
      <c r="C1082" s="1" t="n">
        <v>45664</v>
      </c>
      <c r="D1082" t="inlineStr">
        <is>
          <t>UPPSALA LÄN</t>
        </is>
      </c>
      <c r="E1082" t="inlineStr">
        <is>
          <t>UPPSALA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35906-2023</t>
        </is>
      </c>
      <c r="B1083" s="1" t="n">
        <v>45148</v>
      </c>
      <c r="C1083" s="1" t="n">
        <v>45664</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35914-2023</t>
        </is>
      </c>
      <c r="B1084" s="1" t="n">
        <v>45148</v>
      </c>
      <c r="C1084" s="1" t="n">
        <v>45664</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35922-2023</t>
        </is>
      </c>
      <c r="B1085" s="1" t="n">
        <v>45148</v>
      </c>
      <c r="C1085" s="1" t="n">
        <v>45664</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35916-2023</t>
        </is>
      </c>
      <c r="B1086" s="1" t="n">
        <v>45148</v>
      </c>
      <c r="C1086" s="1" t="n">
        <v>45664</v>
      </c>
      <c r="D1086" t="inlineStr">
        <is>
          <t>UPPSALA LÄN</t>
        </is>
      </c>
      <c r="E1086" t="inlineStr">
        <is>
          <t>UPPSALA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36028-2023</t>
        </is>
      </c>
      <c r="B1087" s="1" t="n">
        <v>45149</v>
      </c>
      <c r="C1087" s="1" t="n">
        <v>45664</v>
      </c>
      <c r="D1087" t="inlineStr">
        <is>
          <t>UPPSALA LÄN</t>
        </is>
      </c>
      <c r="E1087" t="inlineStr">
        <is>
          <t>UPPSALA</t>
        </is>
      </c>
      <c r="F1087" t="inlineStr">
        <is>
          <t>Allmännings- och besparingsskogar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36123-2023</t>
        </is>
      </c>
      <c r="B1088" s="1" t="n">
        <v>45149</v>
      </c>
      <c r="C1088" s="1" t="n">
        <v>45664</v>
      </c>
      <c r="D1088" t="inlineStr">
        <is>
          <t>UPPSALA LÄN</t>
        </is>
      </c>
      <c r="E1088" t="inlineStr">
        <is>
          <t>UPPSALA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36159-2023</t>
        </is>
      </c>
      <c r="B1089" s="1" t="n">
        <v>45149</v>
      </c>
      <c r="C1089" s="1" t="n">
        <v>45664</v>
      </c>
      <c r="D1089" t="inlineStr">
        <is>
          <t>UPPSALA LÄN</t>
        </is>
      </c>
      <c r="E1089" t="inlineStr">
        <is>
          <t>UPPSALA</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36388-2023</t>
        </is>
      </c>
      <c r="B1090" s="1" t="n">
        <v>45152</v>
      </c>
      <c r="C1090" s="1" t="n">
        <v>45664</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36392-2023</t>
        </is>
      </c>
      <c r="B1091" s="1" t="n">
        <v>45152</v>
      </c>
      <c r="C1091" s="1" t="n">
        <v>45664</v>
      </c>
      <c r="D1091" t="inlineStr">
        <is>
          <t>UPPSALA LÄN</t>
        </is>
      </c>
      <c r="E1091" t="inlineStr">
        <is>
          <t>UPPSALA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36479-2023</t>
        </is>
      </c>
      <c r="B1092" s="1" t="n">
        <v>45152</v>
      </c>
      <c r="C1092" s="1" t="n">
        <v>45664</v>
      </c>
      <c r="D1092" t="inlineStr">
        <is>
          <t>UPPSALA LÄN</t>
        </is>
      </c>
      <c r="E1092" t="inlineStr">
        <is>
          <t>UPPSALA</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36478-2023</t>
        </is>
      </c>
      <c r="B1093" s="1" t="n">
        <v>45152</v>
      </c>
      <c r="C1093" s="1" t="n">
        <v>45664</v>
      </c>
      <c r="D1093" t="inlineStr">
        <is>
          <t>UPPSALA LÄN</t>
        </is>
      </c>
      <c r="E1093" t="inlineStr">
        <is>
          <t>UPPSALA</t>
        </is>
      </c>
      <c r="F1093" t="inlineStr">
        <is>
          <t>Allmännings- och besparingsskogar</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36438-2023</t>
        </is>
      </c>
      <c r="B1094" s="1" t="n">
        <v>45152</v>
      </c>
      <c r="C1094" s="1" t="n">
        <v>45664</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36738-2023</t>
        </is>
      </c>
      <c r="B1095" s="1" t="n">
        <v>45153</v>
      </c>
      <c r="C1095" s="1" t="n">
        <v>45664</v>
      </c>
      <c r="D1095" t="inlineStr">
        <is>
          <t>UPPSALA LÄN</t>
        </is>
      </c>
      <c r="E1095" t="inlineStr">
        <is>
          <t>UPPSALA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36739-2023</t>
        </is>
      </c>
      <c r="B1096" s="1" t="n">
        <v>45153</v>
      </c>
      <c r="C1096" s="1" t="n">
        <v>45664</v>
      </c>
      <c r="D1096" t="inlineStr">
        <is>
          <t>UPPSALA LÄN</t>
        </is>
      </c>
      <c r="E1096" t="inlineStr">
        <is>
          <t>UPPSALA</t>
        </is>
      </c>
      <c r="F1096" t="inlineStr">
        <is>
          <t>Allmännings- och besparingsskogar</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36781-2023</t>
        </is>
      </c>
      <c r="B1097" s="1" t="n">
        <v>45154</v>
      </c>
      <c r="C1097" s="1" t="n">
        <v>45664</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36782-2023</t>
        </is>
      </c>
      <c r="B1098" s="1" t="n">
        <v>45154</v>
      </c>
      <c r="C1098" s="1" t="n">
        <v>45664</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36860-2023</t>
        </is>
      </c>
      <c r="B1099" s="1" t="n">
        <v>45154</v>
      </c>
      <c r="C1099" s="1" t="n">
        <v>45664</v>
      </c>
      <c r="D1099" t="inlineStr">
        <is>
          <t>UPPSALA LÄN</t>
        </is>
      </c>
      <c r="E1099" t="inlineStr">
        <is>
          <t>UPPSALA</t>
        </is>
      </c>
      <c r="F1099" t="inlineStr">
        <is>
          <t>Allmännings- och besparingsskogar</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37626-2023</t>
        </is>
      </c>
      <c r="B1100" s="1" t="n">
        <v>45159</v>
      </c>
      <c r="C1100" s="1" t="n">
        <v>45664</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37618-2023</t>
        </is>
      </c>
      <c r="B1101" s="1" t="n">
        <v>45159</v>
      </c>
      <c r="C1101" s="1" t="n">
        <v>45664</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38016-2023</t>
        </is>
      </c>
      <c r="B1102" s="1" t="n">
        <v>45160</v>
      </c>
      <c r="C1102" s="1" t="n">
        <v>45664</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38190-2023</t>
        </is>
      </c>
      <c r="B1103" s="1" t="n">
        <v>45161</v>
      </c>
      <c r="C1103" s="1" t="n">
        <v>45664</v>
      </c>
      <c r="D1103" t="inlineStr">
        <is>
          <t>UPPSALA LÄN</t>
        </is>
      </c>
      <c r="E1103" t="inlineStr">
        <is>
          <t>UPPSALA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38493-2023</t>
        </is>
      </c>
      <c r="B1104" s="1" t="n">
        <v>45162</v>
      </c>
      <c r="C1104" s="1" t="n">
        <v>45664</v>
      </c>
      <c r="D1104" t="inlineStr">
        <is>
          <t>UPPSALA LÄN</t>
        </is>
      </c>
      <c r="E1104" t="inlineStr">
        <is>
          <t>UPPSALA</t>
        </is>
      </c>
      <c r="F1104" t="inlineStr">
        <is>
          <t>Allmännings- och besparingsskogar</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38644-2023</t>
        </is>
      </c>
      <c r="B1105" s="1" t="n">
        <v>45162</v>
      </c>
      <c r="C1105" s="1" t="n">
        <v>45664</v>
      </c>
      <c r="D1105" t="inlineStr">
        <is>
          <t>UPPSALA LÄN</t>
        </is>
      </c>
      <c r="E1105" t="inlineStr">
        <is>
          <t>UPPSALA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38645-2023</t>
        </is>
      </c>
      <c r="B1106" s="1" t="n">
        <v>45162</v>
      </c>
      <c r="C1106" s="1" t="n">
        <v>45664</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38664-2023</t>
        </is>
      </c>
      <c r="B1107" s="1" t="n">
        <v>45162</v>
      </c>
      <c r="C1107" s="1" t="n">
        <v>45664</v>
      </c>
      <c r="D1107" t="inlineStr">
        <is>
          <t>UPPSALA LÄN</t>
        </is>
      </c>
      <c r="E1107" t="inlineStr">
        <is>
          <t>UPPSALA</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38663-2023</t>
        </is>
      </c>
      <c r="B1108" s="1" t="n">
        <v>45162</v>
      </c>
      <c r="C1108" s="1" t="n">
        <v>45664</v>
      </c>
      <c r="D1108" t="inlineStr">
        <is>
          <t>UPPSALA LÄN</t>
        </is>
      </c>
      <c r="E1108" t="inlineStr">
        <is>
          <t>UPPSALA</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38665-2023</t>
        </is>
      </c>
      <c r="B1109" s="1" t="n">
        <v>45162</v>
      </c>
      <c r="C1109" s="1" t="n">
        <v>45664</v>
      </c>
      <c r="D1109" t="inlineStr">
        <is>
          <t>UPPSALA LÄN</t>
        </is>
      </c>
      <c r="E1109" t="inlineStr">
        <is>
          <t>UPPSALA</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38661-2023</t>
        </is>
      </c>
      <c r="B1110" s="1" t="n">
        <v>45162</v>
      </c>
      <c r="C1110" s="1" t="n">
        <v>45664</v>
      </c>
      <c r="D1110" t="inlineStr">
        <is>
          <t>UPPSALA LÄN</t>
        </is>
      </c>
      <c r="E1110" t="inlineStr">
        <is>
          <t>UPPSALA</t>
        </is>
      </c>
      <c r="F1110" t="inlineStr">
        <is>
          <t>Bergvik skog öst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38643-2023</t>
        </is>
      </c>
      <c r="B1111" s="1" t="n">
        <v>45162</v>
      </c>
      <c r="C1111" s="1" t="n">
        <v>45664</v>
      </c>
      <c r="D1111" t="inlineStr">
        <is>
          <t>UPPSALA LÄN</t>
        </is>
      </c>
      <c r="E1111" t="inlineStr">
        <is>
          <t>UPPSALA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38934-2023</t>
        </is>
      </c>
      <c r="B1112" s="1" t="n">
        <v>45163</v>
      </c>
      <c r="C1112" s="1" t="n">
        <v>45664</v>
      </c>
      <c r="D1112" t="inlineStr">
        <is>
          <t>UPPSALA LÄN</t>
        </is>
      </c>
      <c r="E1112" t="inlineStr">
        <is>
          <t>UPPSALA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39108-2023</t>
        </is>
      </c>
      <c r="B1113" s="1" t="n">
        <v>45164</v>
      </c>
      <c r="C1113" s="1" t="n">
        <v>45664</v>
      </c>
      <c r="D1113" t="inlineStr">
        <is>
          <t>UPPSALA LÄN</t>
        </is>
      </c>
      <c r="E1113" t="inlineStr">
        <is>
          <t>UPPSALA</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39107-2023</t>
        </is>
      </c>
      <c r="B1114" s="1" t="n">
        <v>45164</v>
      </c>
      <c r="C1114" s="1" t="n">
        <v>45664</v>
      </c>
      <c r="D1114" t="inlineStr">
        <is>
          <t>UPPSALA LÄN</t>
        </is>
      </c>
      <c r="E1114" t="inlineStr">
        <is>
          <t>UPPSALA</t>
        </is>
      </c>
      <c r="F1114" t="inlineStr">
        <is>
          <t>Bergvik skog öst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39548-2023</t>
        </is>
      </c>
      <c r="B1115" s="1" t="n">
        <v>45167</v>
      </c>
      <c r="C1115" s="1" t="n">
        <v>45664</v>
      </c>
      <c r="D1115" t="inlineStr">
        <is>
          <t>UPPSALA LÄN</t>
        </is>
      </c>
      <c r="E1115" t="inlineStr">
        <is>
          <t>UPPSALA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39592-2023</t>
        </is>
      </c>
      <c r="B1116" s="1" t="n">
        <v>45167</v>
      </c>
      <c r="C1116" s="1" t="n">
        <v>45664</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39739-2023</t>
        </is>
      </c>
      <c r="B1117" s="1" t="n">
        <v>45167</v>
      </c>
      <c r="C1117" s="1" t="n">
        <v>45664</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39926-2023</t>
        </is>
      </c>
      <c r="B1118" s="1" t="n">
        <v>45168</v>
      </c>
      <c r="C1118" s="1" t="n">
        <v>45664</v>
      </c>
      <c r="D1118" t="inlineStr">
        <is>
          <t>UPPSALA LÄN</t>
        </is>
      </c>
      <c r="E1118" t="inlineStr">
        <is>
          <t>UPPSALA</t>
        </is>
      </c>
      <c r="F1118" t="inlineStr">
        <is>
          <t>Holmen skog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39918-2023</t>
        </is>
      </c>
      <c r="B1119" s="1" t="n">
        <v>45168</v>
      </c>
      <c r="C1119" s="1" t="n">
        <v>45664</v>
      </c>
      <c r="D1119" t="inlineStr">
        <is>
          <t>UPPSALA LÄN</t>
        </is>
      </c>
      <c r="E1119" t="inlineStr">
        <is>
          <t>UPPSALA</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40369-2023</t>
        </is>
      </c>
      <c r="B1120" s="1" t="n">
        <v>45169</v>
      </c>
      <c r="C1120" s="1" t="n">
        <v>45664</v>
      </c>
      <c r="D1120" t="inlineStr">
        <is>
          <t>UPPSALA LÄN</t>
        </is>
      </c>
      <c r="E1120" t="inlineStr">
        <is>
          <t>UPPSALA</t>
        </is>
      </c>
      <c r="F1120" t="inlineStr">
        <is>
          <t>Allmännings- och besparingsskogar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40312-2023</t>
        </is>
      </c>
      <c r="B1121" s="1" t="n">
        <v>45169</v>
      </c>
      <c r="C1121" s="1" t="n">
        <v>45664</v>
      </c>
      <c r="D1121" t="inlineStr">
        <is>
          <t>UPPSALA LÄN</t>
        </is>
      </c>
      <c r="E1121" t="inlineStr">
        <is>
          <t>UPPSALA</t>
        </is>
      </c>
      <c r="F1121" t="inlineStr">
        <is>
          <t>Kommuner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40124-2023</t>
        </is>
      </c>
      <c r="B1122" s="1" t="n">
        <v>45169</v>
      </c>
      <c r="C1122" s="1" t="n">
        <v>45664</v>
      </c>
      <c r="D1122" t="inlineStr">
        <is>
          <t>UPPSALA LÄN</t>
        </is>
      </c>
      <c r="E1122" t="inlineStr">
        <is>
          <t>UPPSALA</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40325-2023</t>
        </is>
      </c>
      <c r="B1123" s="1" t="n">
        <v>45169</v>
      </c>
      <c r="C1123" s="1" t="n">
        <v>45664</v>
      </c>
      <c r="D1123" t="inlineStr">
        <is>
          <t>UPPSALA LÄN</t>
        </is>
      </c>
      <c r="E1123" t="inlineStr">
        <is>
          <t>UPPSALA</t>
        </is>
      </c>
      <c r="F1123" t="inlineStr">
        <is>
          <t>Kommuner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40872-2023</t>
        </is>
      </c>
      <c r="B1124" s="1" t="n">
        <v>45173</v>
      </c>
      <c r="C1124" s="1" t="n">
        <v>45664</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41002-2023</t>
        </is>
      </c>
      <c r="B1125" s="1" t="n">
        <v>45173</v>
      </c>
      <c r="C1125" s="1" t="n">
        <v>45664</v>
      </c>
      <c r="D1125" t="inlineStr">
        <is>
          <t>UPPSALA LÄN</t>
        </is>
      </c>
      <c r="E1125" t="inlineStr">
        <is>
          <t>UPPSALA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41349-2023</t>
        </is>
      </c>
      <c r="B1126" s="1" t="n">
        <v>45174</v>
      </c>
      <c r="C1126" s="1" t="n">
        <v>45664</v>
      </c>
      <c r="D1126" t="inlineStr">
        <is>
          <t>UPPSALA LÄN</t>
        </is>
      </c>
      <c r="E1126" t="inlineStr">
        <is>
          <t>UPPSALA</t>
        </is>
      </c>
      <c r="F1126" t="inlineStr">
        <is>
          <t>Allmännings- och besparingsskogar</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41346-2023</t>
        </is>
      </c>
      <c r="B1127" s="1" t="n">
        <v>45174</v>
      </c>
      <c r="C1127" s="1" t="n">
        <v>45664</v>
      </c>
      <c r="D1127" t="inlineStr">
        <is>
          <t>UPPSALA LÄN</t>
        </is>
      </c>
      <c r="E1127" t="inlineStr">
        <is>
          <t>UPPSALA</t>
        </is>
      </c>
      <c r="F1127" t="inlineStr">
        <is>
          <t>Allmännings- och besparingsskogar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41506-2023</t>
        </is>
      </c>
      <c r="B1128" s="1" t="n">
        <v>45175</v>
      </c>
      <c r="C1128" s="1" t="n">
        <v>45664</v>
      </c>
      <c r="D1128" t="inlineStr">
        <is>
          <t>UPPSALA LÄN</t>
        </is>
      </c>
      <c r="E1128" t="inlineStr">
        <is>
          <t>UPPSALA</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41541-2023</t>
        </is>
      </c>
      <c r="B1129" s="1" t="n">
        <v>45175</v>
      </c>
      <c r="C1129" s="1" t="n">
        <v>45664</v>
      </c>
      <c r="D1129" t="inlineStr">
        <is>
          <t>UPPSALA LÄN</t>
        </is>
      </c>
      <c r="E1129" t="inlineStr">
        <is>
          <t>UPPSALA</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41545-2023</t>
        </is>
      </c>
      <c r="B1130" s="1" t="n">
        <v>45175</v>
      </c>
      <c r="C1130" s="1" t="n">
        <v>45664</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41422-2023</t>
        </is>
      </c>
      <c r="B1131" s="1" t="n">
        <v>45175</v>
      </c>
      <c r="C1131" s="1" t="n">
        <v>45664</v>
      </c>
      <c r="D1131" t="inlineStr">
        <is>
          <t>UPPSALA LÄN</t>
        </is>
      </c>
      <c r="E1131" t="inlineStr">
        <is>
          <t>UPPSALA</t>
        </is>
      </c>
      <c r="F1131" t="inlineStr">
        <is>
          <t>Kyrkan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41538-2023</t>
        </is>
      </c>
      <c r="B1132" s="1" t="n">
        <v>45175</v>
      </c>
      <c r="C1132" s="1" t="n">
        <v>45664</v>
      </c>
      <c r="D1132" t="inlineStr">
        <is>
          <t>UPPSALA LÄN</t>
        </is>
      </c>
      <c r="E1132" t="inlineStr">
        <is>
          <t>UPPSALA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42283-2023</t>
        </is>
      </c>
      <c r="B1133" s="1" t="n">
        <v>45175</v>
      </c>
      <c r="C1133" s="1" t="n">
        <v>45664</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41669-2023</t>
        </is>
      </c>
      <c r="B1134" s="1" t="n">
        <v>45176</v>
      </c>
      <c r="C1134" s="1" t="n">
        <v>45664</v>
      </c>
      <c r="D1134" t="inlineStr">
        <is>
          <t>UPPSALA LÄN</t>
        </is>
      </c>
      <c r="E1134" t="inlineStr">
        <is>
          <t>UPPSALA</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41802-2023</t>
        </is>
      </c>
      <c r="B1135" s="1" t="n">
        <v>45176</v>
      </c>
      <c r="C1135" s="1" t="n">
        <v>45664</v>
      </c>
      <c r="D1135" t="inlineStr">
        <is>
          <t>UPPSALA LÄN</t>
        </is>
      </c>
      <c r="E1135" t="inlineStr">
        <is>
          <t>UPPSALA</t>
        </is>
      </c>
      <c r="G1135" t="n">
        <v>23.9</v>
      </c>
      <c r="H1135" t="n">
        <v>0</v>
      </c>
      <c r="I1135" t="n">
        <v>0</v>
      </c>
      <c r="J1135" t="n">
        <v>0</v>
      </c>
      <c r="K1135" t="n">
        <v>0</v>
      </c>
      <c r="L1135" t="n">
        <v>0</v>
      </c>
      <c r="M1135" t="n">
        <v>0</v>
      </c>
      <c r="N1135" t="n">
        <v>0</v>
      </c>
      <c r="O1135" t="n">
        <v>0</v>
      </c>
      <c r="P1135" t="n">
        <v>0</v>
      </c>
      <c r="Q1135" t="n">
        <v>0</v>
      </c>
      <c r="R1135" s="2" t="inlineStr"/>
    </row>
    <row r="1136" ht="15" customHeight="1">
      <c r="A1136" t="inlineStr">
        <is>
          <t>A 41816-2023</t>
        </is>
      </c>
      <c r="B1136" s="1" t="n">
        <v>45176</v>
      </c>
      <c r="C1136" s="1" t="n">
        <v>45664</v>
      </c>
      <c r="D1136" t="inlineStr">
        <is>
          <t>UPPSALA LÄN</t>
        </is>
      </c>
      <c r="E1136" t="inlineStr">
        <is>
          <t>UPPSALA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41950-2023</t>
        </is>
      </c>
      <c r="B1137" s="1" t="n">
        <v>45177</v>
      </c>
      <c r="C1137" s="1" t="n">
        <v>45664</v>
      </c>
      <c r="D1137" t="inlineStr">
        <is>
          <t>UPPSALA LÄN</t>
        </is>
      </c>
      <c r="E1137" t="inlineStr">
        <is>
          <t>UPPSALA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42134-2023</t>
        </is>
      </c>
      <c r="B1138" s="1" t="n">
        <v>45177</v>
      </c>
      <c r="C1138" s="1" t="n">
        <v>45664</v>
      </c>
      <c r="D1138" t="inlineStr">
        <is>
          <t>UPPSALA LÄN</t>
        </is>
      </c>
      <c r="E1138" t="inlineStr">
        <is>
          <t>UPPSALA</t>
        </is>
      </c>
      <c r="F1138" t="inlineStr">
        <is>
          <t>Allmännings- och besparingsskogar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42063-2023</t>
        </is>
      </c>
      <c r="B1139" s="1" t="n">
        <v>45177</v>
      </c>
      <c r="C1139" s="1" t="n">
        <v>45664</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42131-2023</t>
        </is>
      </c>
      <c r="B1140" s="1" t="n">
        <v>45177</v>
      </c>
      <c r="C1140" s="1" t="n">
        <v>45664</v>
      </c>
      <c r="D1140" t="inlineStr">
        <is>
          <t>UPPSALA LÄN</t>
        </is>
      </c>
      <c r="E1140" t="inlineStr">
        <is>
          <t>UPPSALA</t>
        </is>
      </c>
      <c r="F1140" t="inlineStr">
        <is>
          <t>Allmännings- och besparingsskogar</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42273-2023</t>
        </is>
      </c>
      <c r="B1141" s="1" t="n">
        <v>45180</v>
      </c>
      <c r="C1141" s="1" t="n">
        <v>45664</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42436-2023</t>
        </is>
      </c>
      <c r="B1142" s="1" t="n">
        <v>45180</v>
      </c>
      <c r="C1142" s="1" t="n">
        <v>45664</v>
      </c>
      <c r="D1142" t="inlineStr">
        <is>
          <t>UPPSALA LÄN</t>
        </is>
      </c>
      <c r="E1142" t="inlineStr">
        <is>
          <t>UPPSALA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42282-2023</t>
        </is>
      </c>
      <c r="B1143" s="1" t="n">
        <v>45180</v>
      </c>
      <c r="C1143" s="1" t="n">
        <v>45664</v>
      </c>
      <c r="D1143" t="inlineStr">
        <is>
          <t>UPPSALA LÄN</t>
        </is>
      </c>
      <c r="E1143" t="inlineStr">
        <is>
          <t>UPPSALA</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42274-2023</t>
        </is>
      </c>
      <c r="B1144" s="1" t="n">
        <v>45180</v>
      </c>
      <c r="C1144" s="1" t="n">
        <v>45664</v>
      </c>
      <c r="D1144" t="inlineStr">
        <is>
          <t>UPPSALA LÄN</t>
        </is>
      </c>
      <c r="E1144" t="inlineStr">
        <is>
          <t>UPPSALA</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42285-2023</t>
        </is>
      </c>
      <c r="B1145" s="1" t="n">
        <v>45180</v>
      </c>
      <c r="C1145" s="1" t="n">
        <v>45664</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42376-2023</t>
        </is>
      </c>
      <c r="B1146" s="1" t="n">
        <v>45180</v>
      </c>
      <c r="C1146" s="1" t="n">
        <v>45664</v>
      </c>
      <c r="D1146" t="inlineStr">
        <is>
          <t>UPPSALA LÄN</t>
        </is>
      </c>
      <c r="E1146" t="inlineStr">
        <is>
          <t>UPPSALA</t>
        </is>
      </c>
      <c r="F1146" t="inlineStr">
        <is>
          <t>Bergvik skog öst AB</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42495-2023</t>
        </is>
      </c>
      <c r="B1147" s="1" t="n">
        <v>45180</v>
      </c>
      <c r="C1147" s="1" t="n">
        <v>45664</v>
      </c>
      <c r="D1147" t="inlineStr">
        <is>
          <t>UPPSALA LÄN</t>
        </is>
      </c>
      <c r="E1147" t="inlineStr">
        <is>
          <t>UPPSALA</t>
        </is>
      </c>
      <c r="F1147" t="inlineStr">
        <is>
          <t>Allmännings- och besparingsskogar</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42379-2023</t>
        </is>
      </c>
      <c r="B1148" s="1" t="n">
        <v>45180</v>
      </c>
      <c r="C1148" s="1" t="n">
        <v>45664</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42528-2023</t>
        </is>
      </c>
      <c r="B1149" s="1" t="n">
        <v>45181</v>
      </c>
      <c r="C1149" s="1" t="n">
        <v>45664</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42630-2023</t>
        </is>
      </c>
      <c r="B1150" s="1" t="n">
        <v>45181</v>
      </c>
      <c r="C1150" s="1" t="n">
        <v>45664</v>
      </c>
      <c r="D1150" t="inlineStr">
        <is>
          <t>UPPSALA LÄN</t>
        </is>
      </c>
      <c r="E1150" t="inlineStr">
        <is>
          <t>UPPSALA</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42681-2023</t>
        </is>
      </c>
      <c r="B1151" s="1" t="n">
        <v>45181</v>
      </c>
      <c r="C1151" s="1" t="n">
        <v>45664</v>
      </c>
      <c r="D1151" t="inlineStr">
        <is>
          <t>UPPSALA LÄN</t>
        </is>
      </c>
      <c r="E1151" t="inlineStr">
        <is>
          <t>UPPSALA</t>
        </is>
      </c>
      <c r="F1151" t="inlineStr">
        <is>
          <t>Bergvik skog öst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42543-2023</t>
        </is>
      </c>
      <c r="B1152" s="1" t="n">
        <v>45181</v>
      </c>
      <c r="C1152" s="1" t="n">
        <v>45664</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42730-2023</t>
        </is>
      </c>
      <c r="B1153" s="1" t="n">
        <v>45181</v>
      </c>
      <c r="C1153" s="1" t="n">
        <v>45664</v>
      </c>
      <c r="D1153" t="inlineStr">
        <is>
          <t>UPPSALA LÄN</t>
        </is>
      </c>
      <c r="E1153" t="inlineStr">
        <is>
          <t>UPPSALA</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42734-2023</t>
        </is>
      </c>
      <c r="B1154" s="1" t="n">
        <v>45181</v>
      </c>
      <c r="C1154" s="1" t="n">
        <v>45664</v>
      </c>
      <c r="D1154" t="inlineStr">
        <is>
          <t>UPPSALA LÄN</t>
        </is>
      </c>
      <c r="E1154" t="inlineStr">
        <is>
          <t>UPPSALA</t>
        </is>
      </c>
      <c r="F1154" t="inlineStr">
        <is>
          <t>Bergvik skog öst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42682-2023</t>
        </is>
      </c>
      <c r="B1155" s="1" t="n">
        <v>45181</v>
      </c>
      <c r="C1155" s="1" t="n">
        <v>45664</v>
      </c>
      <c r="D1155" t="inlineStr">
        <is>
          <t>UPPSALA LÄN</t>
        </is>
      </c>
      <c r="E1155" t="inlineStr">
        <is>
          <t>UPPSALA</t>
        </is>
      </c>
      <c r="F1155" t="inlineStr">
        <is>
          <t>Bergvik skog öst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42722-2023</t>
        </is>
      </c>
      <c r="B1156" s="1" t="n">
        <v>45181</v>
      </c>
      <c r="C1156" s="1" t="n">
        <v>45664</v>
      </c>
      <c r="D1156" t="inlineStr">
        <is>
          <t>UPPSALA LÄN</t>
        </is>
      </c>
      <c r="E1156" t="inlineStr">
        <is>
          <t>UPPSALA</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42756-2023</t>
        </is>
      </c>
      <c r="B1157" s="1" t="n">
        <v>45181</v>
      </c>
      <c r="C1157" s="1" t="n">
        <v>45664</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42971-2023</t>
        </is>
      </c>
      <c r="B1158" s="1" t="n">
        <v>45182</v>
      </c>
      <c r="C1158" s="1" t="n">
        <v>45664</v>
      </c>
      <c r="D1158" t="inlineStr">
        <is>
          <t>UPPSALA LÄN</t>
        </is>
      </c>
      <c r="E1158" t="inlineStr">
        <is>
          <t>UPPSALA</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43026-2023</t>
        </is>
      </c>
      <c r="B1159" s="1" t="n">
        <v>45182</v>
      </c>
      <c r="C1159" s="1" t="n">
        <v>45664</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42963-2023</t>
        </is>
      </c>
      <c r="B1160" s="1" t="n">
        <v>45182</v>
      </c>
      <c r="C1160" s="1" t="n">
        <v>45664</v>
      </c>
      <c r="D1160" t="inlineStr">
        <is>
          <t>UPPSALA LÄN</t>
        </is>
      </c>
      <c r="E1160" t="inlineStr">
        <is>
          <t>UPPSALA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42967-2023</t>
        </is>
      </c>
      <c r="B1161" s="1" t="n">
        <v>45182</v>
      </c>
      <c r="C1161" s="1" t="n">
        <v>45664</v>
      </c>
      <c r="D1161" t="inlineStr">
        <is>
          <t>UPPSALA LÄN</t>
        </is>
      </c>
      <c r="E1161" t="inlineStr">
        <is>
          <t>UPPSALA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43031-2023</t>
        </is>
      </c>
      <c r="B1162" s="1" t="n">
        <v>45182</v>
      </c>
      <c r="C1162" s="1" t="n">
        <v>45664</v>
      </c>
      <c r="D1162" t="inlineStr">
        <is>
          <t>UPPSALA LÄN</t>
        </is>
      </c>
      <c r="E1162" t="inlineStr">
        <is>
          <t>UPPSALA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43035-2023</t>
        </is>
      </c>
      <c r="B1163" s="1" t="n">
        <v>45182</v>
      </c>
      <c r="C1163" s="1" t="n">
        <v>45664</v>
      </c>
      <c r="D1163" t="inlineStr">
        <is>
          <t>UPPSALA LÄN</t>
        </is>
      </c>
      <c r="E1163" t="inlineStr">
        <is>
          <t>UPPSALA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43049-2023</t>
        </is>
      </c>
      <c r="B1164" s="1" t="n">
        <v>45182</v>
      </c>
      <c r="C1164" s="1" t="n">
        <v>45664</v>
      </c>
      <c r="D1164" t="inlineStr">
        <is>
          <t>UPPSALA LÄN</t>
        </is>
      </c>
      <c r="E1164" t="inlineStr">
        <is>
          <t>UPPSALA</t>
        </is>
      </c>
      <c r="F1164" t="inlineStr">
        <is>
          <t>Allmännings- och besparingsskogar</t>
        </is>
      </c>
      <c r="G1164" t="n">
        <v>14.5</v>
      </c>
      <c r="H1164" t="n">
        <v>0</v>
      </c>
      <c r="I1164" t="n">
        <v>0</v>
      </c>
      <c r="J1164" t="n">
        <v>0</v>
      </c>
      <c r="K1164" t="n">
        <v>0</v>
      </c>
      <c r="L1164" t="n">
        <v>0</v>
      </c>
      <c r="M1164" t="n">
        <v>0</v>
      </c>
      <c r="N1164" t="n">
        <v>0</v>
      </c>
      <c r="O1164" t="n">
        <v>0</v>
      </c>
      <c r="P1164" t="n">
        <v>0</v>
      </c>
      <c r="Q1164" t="n">
        <v>0</v>
      </c>
      <c r="R1164" s="2" t="inlineStr"/>
    </row>
    <row r="1165" ht="15" customHeight="1">
      <c r="A1165" t="inlineStr">
        <is>
          <t>A 42974-2023</t>
        </is>
      </c>
      <c r="B1165" s="1" t="n">
        <v>45182</v>
      </c>
      <c r="C1165" s="1" t="n">
        <v>45664</v>
      </c>
      <c r="D1165" t="inlineStr">
        <is>
          <t>UPPSALA LÄN</t>
        </is>
      </c>
      <c r="E1165" t="inlineStr">
        <is>
          <t>UPPSALA</t>
        </is>
      </c>
      <c r="F1165" t="inlineStr">
        <is>
          <t>Sveaskog</t>
        </is>
      </c>
      <c r="G1165" t="n">
        <v>3.7</v>
      </c>
      <c r="H1165" t="n">
        <v>0</v>
      </c>
      <c r="I1165" t="n">
        <v>0</v>
      </c>
      <c r="J1165" t="n">
        <v>0</v>
      </c>
      <c r="K1165" t="n">
        <v>0</v>
      </c>
      <c r="L1165" t="n">
        <v>0</v>
      </c>
      <c r="M1165" t="n">
        <v>0</v>
      </c>
      <c r="N1165" t="n">
        <v>0</v>
      </c>
      <c r="O1165" t="n">
        <v>0</v>
      </c>
      <c r="P1165" t="n">
        <v>0</v>
      </c>
      <c r="Q1165" t="n">
        <v>0</v>
      </c>
      <c r="R1165" s="2" t="inlineStr"/>
      <c r="U1165">
        <f>HYPERLINK("https://klasma.github.io/Logging_0380/knärot/A 42974-2023 karta knärot.png", "A 42974-2023")</f>
        <v/>
      </c>
      <c r="V1165">
        <f>HYPERLINK("https://klasma.github.io/Logging_0380/klagomål/A 42974-2023 FSC-klagomål.docx", "A 42974-2023")</f>
        <v/>
      </c>
      <c r="W1165">
        <f>HYPERLINK("https://klasma.github.io/Logging_0380/klagomålsmail/A 42974-2023 FSC-klagomål mail.docx", "A 42974-2023")</f>
        <v/>
      </c>
      <c r="X1165">
        <f>HYPERLINK("https://klasma.github.io/Logging_0380/tillsyn/A 42974-2023 tillsynsbegäran.docx", "A 42974-2023")</f>
        <v/>
      </c>
      <c r="Y1165">
        <f>HYPERLINK("https://klasma.github.io/Logging_0380/tillsynsmail/A 42974-2023 tillsynsbegäran mail.docx", "A 42974-2023")</f>
        <v/>
      </c>
    </row>
    <row r="1166" ht="15" customHeight="1">
      <c r="A1166" t="inlineStr">
        <is>
          <t>A 42978-2023</t>
        </is>
      </c>
      <c r="B1166" s="1" t="n">
        <v>45182</v>
      </c>
      <c r="C1166" s="1" t="n">
        <v>45664</v>
      </c>
      <c r="D1166" t="inlineStr">
        <is>
          <t>UPPSALA LÄN</t>
        </is>
      </c>
      <c r="E1166" t="inlineStr">
        <is>
          <t>UPPSALA</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43029-2023</t>
        </is>
      </c>
      <c r="B1167" s="1" t="n">
        <v>45182</v>
      </c>
      <c r="C1167" s="1" t="n">
        <v>45664</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43818-2023</t>
        </is>
      </c>
      <c r="B1168" s="1" t="n">
        <v>45182</v>
      </c>
      <c r="C1168" s="1" t="n">
        <v>45664</v>
      </c>
      <c r="D1168" t="inlineStr">
        <is>
          <t>UPPSALA LÄN</t>
        </is>
      </c>
      <c r="E1168" t="inlineStr">
        <is>
          <t>UPPSALA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43795-2023</t>
        </is>
      </c>
      <c r="B1169" s="1" t="n">
        <v>45182</v>
      </c>
      <c r="C1169" s="1" t="n">
        <v>45664</v>
      </c>
      <c r="D1169" t="inlineStr">
        <is>
          <t>UPPSALA LÄN</t>
        </is>
      </c>
      <c r="E1169" t="inlineStr">
        <is>
          <t>UPPSALA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43316-2023</t>
        </is>
      </c>
      <c r="B1170" s="1" t="n">
        <v>45183</v>
      </c>
      <c r="C1170" s="1" t="n">
        <v>45664</v>
      </c>
      <c r="D1170" t="inlineStr">
        <is>
          <t>UPPSALA LÄN</t>
        </is>
      </c>
      <c r="E1170" t="inlineStr">
        <is>
          <t>UPPSALA</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43944-2023</t>
        </is>
      </c>
      <c r="B1171" s="1" t="n">
        <v>45187</v>
      </c>
      <c r="C1171" s="1" t="n">
        <v>45664</v>
      </c>
      <c r="D1171" t="inlineStr">
        <is>
          <t>UPPSALA LÄN</t>
        </is>
      </c>
      <c r="E1171" t="inlineStr">
        <is>
          <t>UPPSALA</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43775-2023</t>
        </is>
      </c>
      <c r="B1172" s="1" t="n">
        <v>45187</v>
      </c>
      <c r="C1172" s="1" t="n">
        <v>45664</v>
      </c>
      <c r="D1172" t="inlineStr">
        <is>
          <t>UPPSALA LÄN</t>
        </is>
      </c>
      <c r="E1172" t="inlineStr">
        <is>
          <t>UPPSALA</t>
        </is>
      </c>
      <c r="F1172" t="inlineStr">
        <is>
          <t>Bergvik skog öst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43779-2023</t>
        </is>
      </c>
      <c r="B1173" s="1" t="n">
        <v>45187</v>
      </c>
      <c r="C1173" s="1" t="n">
        <v>45664</v>
      </c>
      <c r="D1173" t="inlineStr">
        <is>
          <t>UPPSALA LÄN</t>
        </is>
      </c>
      <c r="E1173" t="inlineStr">
        <is>
          <t>UPPSALA</t>
        </is>
      </c>
      <c r="F1173" t="inlineStr">
        <is>
          <t>Bergvik skog öst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43776-2023</t>
        </is>
      </c>
      <c r="B1174" s="1" t="n">
        <v>45187</v>
      </c>
      <c r="C1174" s="1" t="n">
        <v>45664</v>
      </c>
      <c r="D1174" t="inlineStr">
        <is>
          <t>UPPSALA LÄN</t>
        </is>
      </c>
      <c r="E1174" t="inlineStr">
        <is>
          <t>UPPSALA</t>
        </is>
      </c>
      <c r="F1174" t="inlineStr">
        <is>
          <t>Bergvik skog öst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43855-2023</t>
        </is>
      </c>
      <c r="B1175" s="1" t="n">
        <v>45187</v>
      </c>
      <c r="C1175" s="1" t="n">
        <v>45664</v>
      </c>
      <c r="D1175" t="inlineStr">
        <is>
          <t>UPPSALA LÄN</t>
        </is>
      </c>
      <c r="E1175" t="inlineStr">
        <is>
          <t>UPPSALA</t>
        </is>
      </c>
      <c r="F1175" t="inlineStr">
        <is>
          <t>Bergvik skog öst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43778-2023</t>
        </is>
      </c>
      <c r="B1176" s="1" t="n">
        <v>45187</v>
      </c>
      <c r="C1176" s="1" t="n">
        <v>45664</v>
      </c>
      <c r="D1176" t="inlineStr">
        <is>
          <t>UPPSALA LÄN</t>
        </is>
      </c>
      <c r="E1176" t="inlineStr">
        <is>
          <t>UPPSALA</t>
        </is>
      </c>
      <c r="F1176" t="inlineStr">
        <is>
          <t>Bergvik skog öst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44875-2023</t>
        </is>
      </c>
      <c r="B1177" s="1" t="n">
        <v>45187</v>
      </c>
      <c r="C1177" s="1" t="n">
        <v>45664</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44080-2023</t>
        </is>
      </c>
      <c r="B1178" s="1" t="n">
        <v>45188</v>
      </c>
      <c r="C1178" s="1" t="n">
        <v>45664</v>
      </c>
      <c r="D1178" t="inlineStr">
        <is>
          <t>UPPSALA LÄN</t>
        </is>
      </c>
      <c r="E1178" t="inlineStr">
        <is>
          <t>UPPSALA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44115-2023</t>
        </is>
      </c>
      <c r="B1179" s="1" t="n">
        <v>45188</v>
      </c>
      <c r="C1179" s="1" t="n">
        <v>45664</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44232-2023</t>
        </is>
      </c>
      <c r="B1180" s="1" t="n">
        <v>45188</v>
      </c>
      <c r="C1180" s="1" t="n">
        <v>45664</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44105-2023</t>
        </is>
      </c>
      <c r="B1181" s="1" t="n">
        <v>45188</v>
      </c>
      <c r="C1181" s="1" t="n">
        <v>45664</v>
      </c>
      <c r="D1181" t="inlineStr">
        <is>
          <t>UPPSALA LÄN</t>
        </is>
      </c>
      <c r="E1181" t="inlineStr">
        <is>
          <t>UPPSALA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44333-2023</t>
        </is>
      </c>
      <c r="B1182" s="1" t="n">
        <v>45188</v>
      </c>
      <c r="C1182" s="1" t="n">
        <v>45664</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44337-2023</t>
        </is>
      </c>
      <c r="B1183" s="1" t="n">
        <v>45188</v>
      </c>
      <c r="C1183" s="1" t="n">
        <v>45664</v>
      </c>
      <c r="D1183" t="inlineStr">
        <is>
          <t>UPPSALA LÄN</t>
        </is>
      </c>
      <c r="E1183" t="inlineStr">
        <is>
          <t>UPPSALA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44257-2023</t>
        </is>
      </c>
      <c r="B1184" s="1" t="n">
        <v>45188</v>
      </c>
      <c r="C1184" s="1" t="n">
        <v>45664</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44815-2023</t>
        </is>
      </c>
      <c r="B1185" s="1" t="n">
        <v>45190</v>
      </c>
      <c r="C1185" s="1" t="n">
        <v>45664</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44830-2023</t>
        </is>
      </c>
      <c r="B1186" s="1" t="n">
        <v>45190</v>
      </c>
      <c r="C1186" s="1" t="n">
        <v>45664</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44785-2023</t>
        </is>
      </c>
      <c r="B1187" s="1" t="n">
        <v>45190</v>
      </c>
      <c r="C1187" s="1" t="n">
        <v>45664</v>
      </c>
      <c r="D1187" t="inlineStr">
        <is>
          <t>UPPSALA LÄN</t>
        </is>
      </c>
      <c r="E1187" t="inlineStr">
        <is>
          <t>UPPSALA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45244-2023</t>
        </is>
      </c>
      <c r="B1188" s="1" t="n">
        <v>45191</v>
      </c>
      <c r="C1188" s="1" t="n">
        <v>45664</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45223-2023</t>
        </is>
      </c>
      <c r="B1189" s="1" t="n">
        <v>45191</v>
      </c>
      <c r="C1189" s="1" t="n">
        <v>45664</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45489-2023</t>
        </is>
      </c>
      <c r="B1190" s="1" t="n">
        <v>45194</v>
      </c>
      <c r="C1190" s="1" t="n">
        <v>45664</v>
      </c>
      <c r="D1190" t="inlineStr">
        <is>
          <t>UPPSALA LÄN</t>
        </is>
      </c>
      <c r="E1190" t="inlineStr">
        <is>
          <t>UPPSALA</t>
        </is>
      </c>
      <c r="F1190" t="inlineStr">
        <is>
          <t>Allmännings- och besparingsskogar</t>
        </is>
      </c>
      <c r="G1190" t="n">
        <v>15.8</v>
      </c>
      <c r="H1190" t="n">
        <v>0</v>
      </c>
      <c r="I1190" t="n">
        <v>0</v>
      </c>
      <c r="J1190" t="n">
        <v>0</v>
      </c>
      <c r="K1190" t="n">
        <v>0</v>
      </c>
      <c r="L1190" t="n">
        <v>0</v>
      </c>
      <c r="M1190" t="n">
        <v>0</v>
      </c>
      <c r="N1190" t="n">
        <v>0</v>
      </c>
      <c r="O1190" t="n">
        <v>0</v>
      </c>
      <c r="P1190" t="n">
        <v>0</v>
      </c>
      <c r="Q1190" t="n">
        <v>0</v>
      </c>
      <c r="R1190" s="2" t="inlineStr"/>
    </row>
    <row r="1191" ht="15" customHeight="1">
      <c r="A1191" t="inlineStr">
        <is>
          <t>A 45575-2023</t>
        </is>
      </c>
      <c r="B1191" s="1" t="n">
        <v>45194</v>
      </c>
      <c r="C1191" s="1" t="n">
        <v>45664</v>
      </c>
      <c r="D1191" t="inlineStr">
        <is>
          <t>UPPSALA LÄN</t>
        </is>
      </c>
      <c r="E1191" t="inlineStr">
        <is>
          <t>UPPSALA</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45578-2023</t>
        </is>
      </c>
      <c r="B1192" s="1" t="n">
        <v>45194</v>
      </c>
      <c r="C1192" s="1" t="n">
        <v>45664</v>
      </c>
      <c r="D1192" t="inlineStr">
        <is>
          <t>UPPSALA LÄN</t>
        </is>
      </c>
      <c r="E1192" t="inlineStr">
        <is>
          <t>UPPSALA</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v>
      </c>
      <c r="C1193" s="1" t="n">
        <v>45664</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45662-2023</t>
        </is>
      </c>
      <c r="B1194" s="1" t="n">
        <v>45194</v>
      </c>
      <c r="C1194" s="1" t="n">
        <v>45664</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45661-2023</t>
        </is>
      </c>
      <c r="B1195" s="1" t="n">
        <v>45194</v>
      </c>
      <c r="C1195" s="1" t="n">
        <v>45664</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45892-2023</t>
        </is>
      </c>
      <c r="B1196" s="1" t="n">
        <v>45195</v>
      </c>
      <c r="C1196" s="1" t="n">
        <v>45664</v>
      </c>
      <c r="D1196" t="inlineStr">
        <is>
          <t>UPPSALA LÄN</t>
        </is>
      </c>
      <c r="E1196" t="inlineStr">
        <is>
          <t>UPPSALA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45885-2023</t>
        </is>
      </c>
      <c r="B1197" s="1" t="n">
        <v>45195</v>
      </c>
      <c r="C1197" s="1" t="n">
        <v>45664</v>
      </c>
      <c r="D1197" t="inlineStr">
        <is>
          <t>UPPSALA LÄN</t>
        </is>
      </c>
      <c r="E1197" t="inlineStr">
        <is>
          <t>UPPSALA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46335-2023</t>
        </is>
      </c>
      <c r="B1198" s="1" t="n">
        <v>45197</v>
      </c>
      <c r="C1198" s="1" t="n">
        <v>45664</v>
      </c>
      <c r="D1198" t="inlineStr">
        <is>
          <t>UPPSALA LÄN</t>
        </is>
      </c>
      <c r="E1198" t="inlineStr">
        <is>
          <t>UPPSALA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46869-2023</t>
        </is>
      </c>
      <c r="B1199" s="1" t="n">
        <v>45200</v>
      </c>
      <c r="C1199" s="1" t="n">
        <v>45664</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46995-2023</t>
        </is>
      </c>
      <c r="B1200" s="1" t="n">
        <v>45201</v>
      </c>
      <c r="C1200" s="1" t="n">
        <v>45664</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47083-2023</t>
        </is>
      </c>
      <c r="B1201" s="1" t="n">
        <v>45201</v>
      </c>
      <c r="C1201" s="1" t="n">
        <v>45664</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47221-2023</t>
        </is>
      </c>
      <c r="B1202" s="1" t="n">
        <v>45202</v>
      </c>
      <c r="C1202" s="1" t="n">
        <v>45664</v>
      </c>
      <c r="D1202" t="inlineStr">
        <is>
          <t>UPPSALA LÄN</t>
        </is>
      </c>
      <c r="E1202" t="inlineStr">
        <is>
          <t>UPPSALA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47314-2023</t>
        </is>
      </c>
      <c r="B1203" s="1" t="n">
        <v>45202</v>
      </c>
      <c r="C1203" s="1" t="n">
        <v>45664</v>
      </c>
      <c r="D1203" t="inlineStr">
        <is>
          <t>UPPSALA LÄN</t>
        </is>
      </c>
      <c r="E1203" t="inlineStr">
        <is>
          <t>UPPSALA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47287-2023</t>
        </is>
      </c>
      <c r="B1204" s="1" t="n">
        <v>45202</v>
      </c>
      <c r="C1204" s="1" t="n">
        <v>45664</v>
      </c>
      <c r="D1204" t="inlineStr">
        <is>
          <t>UPPSALA LÄN</t>
        </is>
      </c>
      <c r="E1204" t="inlineStr">
        <is>
          <t>UPPSALA</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47316-2023</t>
        </is>
      </c>
      <c r="B1205" s="1" t="n">
        <v>45202</v>
      </c>
      <c r="C1205" s="1" t="n">
        <v>45664</v>
      </c>
      <c r="D1205" t="inlineStr">
        <is>
          <t>UPPSALA LÄN</t>
        </is>
      </c>
      <c r="E1205" t="inlineStr">
        <is>
          <t>UPPSALA</t>
        </is>
      </c>
      <c r="F1205" t="inlineStr">
        <is>
          <t>Bergvik skog öst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47618-2023</t>
        </is>
      </c>
      <c r="B1206" s="1" t="n">
        <v>45203</v>
      </c>
      <c r="C1206" s="1" t="n">
        <v>45664</v>
      </c>
      <c r="D1206" t="inlineStr">
        <is>
          <t>UPPSALA LÄN</t>
        </is>
      </c>
      <c r="E1206" t="inlineStr">
        <is>
          <t>UPPSALA</t>
        </is>
      </c>
      <c r="F1206" t="inlineStr">
        <is>
          <t>Bergvik skog öst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48562-2023</t>
        </is>
      </c>
      <c r="B1207" s="1" t="n">
        <v>45208</v>
      </c>
      <c r="C1207" s="1" t="n">
        <v>45664</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48564-2023</t>
        </is>
      </c>
      <c r="B1208" s="1" t="n">
        <v>45208</v>
      </c>
      <c r="C1208" s="1" t="n">
        <v>45664</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48571-2023</t>
        </is>
      </c>
      <c r="B1209" s="1" t="n">
        <v>45208</v>
      </c>
      <c r="C1209" s="1" t="n">
        <v>45664</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48584-2023</t>
        </is>
      </c>
      <c r="B1210" s="1" t="n">
        <v>45208</v>
      </c>
      <c r="C1210" s="1" t="n">
        <v>45664</v>
      </c>
      <c r="D1210" t="inlineStr">
        <is>
          <t>UPPSALA LÄN</t>
        </is>
      </c>
      <c r="E1210" t="inlineStr">
        <is>
          <t>UPPSALA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49189-2023</t>
        </is>
      </c>
      <c r="B1211" s="1" t="n">
        <v>45210</v>
      </c>
      <c r="C1211" s="1" t="n">
        <v>45664</v>
      </c>
      <c r="D1211" t="inlineStr">
        <is>
          <t>UPPSALA LÄN</t>
        </is>
      </c>
      <c r="E1211" t="inlineStr">
        <is>
          <t>UPPSALA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49201-2023</t>
        </is>
      </c>
      <c r="B1212" s="1" t="n">
        <v>45210</v>
      </c>
      <c r="C1212" s="1" t="n">
        <v>45664</v>
      </c>
      <c r="D1212" t="inlineStr">
        <is>
          <t>UPPSALA LÄN</t>
        </is>
      </c>
      <c r="E1212" t="inlineStr">
        <is>
          <t>UPPSALA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49682-2023</t>
        </is>
      </c>
      <c r="B1213" s="1" t="n">
        <v>45212</v>
      </c>
      <c r="C1213" s="1" t="n">
        <v>45664</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49996-2023</t>
        </is>
      </c>
      <c r="B1214" s="1" t="n">
        <v>45215</v>
      </c>
      <c r="C1214" s="1" t="n">
        <v>45664</v>
      </c>
      <c r="D1214" t="inlineStr">
        <is>
          <t>UPPSALA LÄN</t>
        </is>
      </c>
      <c r="E1214" t="inlineStr">
        <is>
          <t>UPPSALA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50118-2023</t>
        </is>
      </c>
      <c r="B1215" s="1" t="n">
        <v>45215</v>
      </c>
      <c r="C1215" s="1" t="n">
        <v>45664</v>
      </c>
      <c r="D1215" t="inlineStr">
        <is>
          <t>UPPSALA LÄN</t>
        </is>
      </c>
      <c r="E1215" t="inlineStr">
        <is>
          <t>UPPSALA</t>
        </is>
      </c>
      <c r="G1215" t="n">
        <v>12.7</v>
      </c>
      <c r="H1215" t="n">
        <v>0</v>
      </c>
      <c r="I1215" t="n">
        <v>0</v>
      </c>
      <c r="J1215" t="n">
        <v>0</v>
      </c>
      <c r="K1215" t="n">
        <v>0</v>
      </c>
      <c r="L1215" t="n">
        <v>0</v>
      </c>
      <c r="M1215" t="n">
        <v>0</v>
      </c>
      <c r="N1215" t="n">
        <v>0</v>
      </c>
      <c r="O1215" t="n">
        <v>0</v>
      </c>
      <c r="P1215" t="n">
        <v>0</v>
      </c>
      <c r="Q1215" t="n">
        <v>0</v>
      </c>
      <c r="R1215" s="2" t="inlineStr"/>
    </row>
    <row r="1216" ht="15" customHeight="1">
      <c r="A1216" t="inlineStr">
        <is>
          <t>A 51843-2023</t>
        </is>
      </c>
      <c r="B1216" s="1" t="n">
        <v>45215</v>
      </c>
      <c r="C1216" s="1" t="n">
        <v>45664</v>
      </c>
      <c r="D1216" t="inlineStr">
        <is>
          <t>UPPSALA LÄN</t>
        </is>
      </c>
      <c r="E1216" t="inlineStr">
        <is>
          <t>UPPSALA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50267-2023</t>
        </is>
      </c>
      <c r="B1217" s="1" t="n">
        <v>45216</v>
      </c>
      <c r="C1217" s="1" t="n">
        <v>45664</v>
      </c>
      <c r="D1217" t="inlineStr">
        <is>
          <t>UPPSALA LÄN</t>
        </is>
      </c>
      <c r="E1217" t="inlineStr">
        <is>
          <t>UPPSALA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50473-2023</t>
        </is>
      </c>
      <c r="B1218" s="1" t="n">
        <v>45216</v>
      </c>
      <c r="C1218" s="1" t="n">
        <v>45664</v>
      </c>
      <c r="D1218" t="inlineStr">
        <is>
          <t>UPPSALA LÄN</t>
        </is>
      </c>
      <c r="E1218" t="inlineStr">
        <is>
          <t>UPPSALA</t>
        </is>
      </c>
      <c r="F1218" t="inlineStr">
        <is>
          <t>Allmännings- och besparingsskogar</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50395-2023</t>
        </is>
      </c>
      <c r="B1219" s="1" t="n">
        <v>45216</v>
      </c>
      <c r="C1219" s="1" t="n">
        <v>45664</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51016-2023</t>
        </is>
      </c>
      <c r="B1220" s="1" t="n">
        <v>45218</v>
      </c>
      <c r="C1220" s="1" t="n">
        <v>45664</v>
      </c>
      <c r="D1220" t="inlineStr">
        <is>
          <t>UPPSALA LÄN</t>
        </is>
      </c>
      <c r="E1220" t="inlineStr">
        <is>
          <t>UPPSALA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51006-2023</t>
        </is>
      </c>
      <c r="B1221" s="1" t="n">
        <v>45218</v>
      </c>
      <c r="C1221" s="1" t="n">
        <v>45664</v>
      </c>
      <c r="D1221" t="inlineStr">
        <is>
          <t>UPPSALA LÄN</t>
        </is>
      </c>
      <c r="E1221" t="inlineStr">
        <is>
          <t>UPPSALA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51542-2023</t>
        </is>
      </c>
      <c r="B1222" s="1" t="n">
        <v>45222</v>
      </c>
      <c r="C1222" s="1" t="n">
        <v>45664</v>
      </c>
      <c r="D1222" t="inlineStr">
        <is>
          <t>UPPSALA LÄN</t>
        </is>
      </c>
      <c r="E1222" t="inlineStr">
        <is>
          <t>UPPSALA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51734-2023</t>
        </is>
      </c>
      <c r="B1223" s="1" t="n">
        <v>45222</v>
      </c>
      <c r="C1223" s="1" t="n">
        <v>45664</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51731-2023</t>
        </is>
      </c>
      <c r="B1224" s="1" t="n">
        <v>45222</v>
      </c>
      <c r="C1224" s="1" t="n">
        <v>45664</v>
      </c>
      <c r="D1224" t="inlineStr">
        <is>
          <t>UPPSALA LÄN</t>
        </is>
      </c>
      <c r="E1224" t="inlineStr">
        <is>
          <t>UPPSALA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51576-2023</t>
        </is>
      </c>
      <c r="B1225" s="1" t="n">
        <v>45222</v>
      </c>
      <c r="C1225" s="1" t="n">
        <v>45664</v>
      </c>
      <c r="D1225" t="inlineStr">
        <is>
          <t>UPPSALA LÄN</t>
        </is>
      </c>
      <c r="E1225" t="inlineStr">
        <is>
          <t>UPPSALA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51697-2023</t>
        </is>
      </c>
      <c r="B1226" s="1" t="n">
        <v>45222</v>
      </c>
      <c r="C1226" s="1" t="n">
        <v>45664</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51935-2023</t>
        </is>
      </c>
      <c r="B1227" s="1" t="n">
        <v>45223</v>
      </c>
      <c r="C1227" s="1" t="n">
        <v>45664</v>
      </c>
      <c r="D1227" t="inlineStr">
        <is>
          <t>UPPSALA LÄN</t>
        </is>
      </c>
      <c r="E1227" t="inlineStr">
        <is>
          <t>UPPSALA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52273-2023</t>
        </is>
      </c>
      <c r="B1228" s="1" t="n">
        <v>45224</v>
      </c>
      <c r="C1228" s="1" t="n">
        <v>45664</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52492-2023</t>
        </is>
      </c>
      <c r="B1229" s="1" t="n">
        <v>45225</v>
      </c>
      <c r="C1229" s="1" t="n">
        <v>45664</v>
      </c>
      <c r="D1229" t="inlineStr">
        <is>
          <t>UPPSALA LÄN</t>
        </is>
      </c>
      <c r="E1229" t="inlineStr">
        <is>
          <t>UPPSALA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52503-2023</t>
        </is>
      </c>
      <c r="B1230" s="1" t="n">
        <v>45225</v>
      </c>
      <c r="C1230" s="1" t="n">
        <v>45664</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52518-2023</t>
        </is>
      </c>
      <c r="B1231" s="1" t="n">
        <v>45225</v>
      </c>
      <c r="C1231" s="1" t="n">
        <v>45664</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53893-2023</t>
        </is>
      </c>
      <c r="B1232" s="1" t="n">
        <v>45231</v>
      </c>
      <c r="C1232" s="1" t="n">
        <v>45664</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53919-2023</t>
        </is>
      </c>
      <c r="B1233" s="1" t="n">
        <v>45231</v>
      </c>
      <c r="C1233" s="1" t="n">
        <v>45664</v>
      </c>
      <c r="D1233" t="inlineStr">
        <is>
          <t>UPPSALA LÄN</t>
        </is>
      </c>
      <c r="E1233" t="inlineStr">
        <is>
          <t>UPPSALA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53982-2023</t>
        </is>
      </c>
      <c r="B1234" s="1" t="n">
        <v>45231</v>
      </c>
      <c r="C1234" s="1" t="n">
        <v>45664</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53882-2023</t>
        </is>
      </c>
      <c r="B1235" s="1" t="n">
        <v>45231</v>
      </c>
      <c r="C1235" s="1" t="n">
        <v>45664</v>
      </c>
      <c r="D1235" t="inlineStr">
        <is>
          <t>UPPSALA LÄN</t>
        </is>
      </c>
      <c r="E1235" t="inlineStr">
        <is>
          <t>UPPSALA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53900-2023</t>
        </is>
      </c>
      <c r="B1236" s="1" t="n">
        <v>45231</v>
      </c>
      <c r="C1236" s="1" t="n">
        <v>45664</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53963-2023</t>
        </is>
      </c>
      <c r="B1237" s="1" t="n">
        <v>45231</v>
      </c>
      <c r="C1237" s="1" t="n">
        <v>45664</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53967-2023</t>
        </is>
      </c>
      <c r="B1238" s="1" t="n">
        <v>45231</v>
      </c>
      <c r="C1238" s="1" t="n">
        <v>45664</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53803-2023</t>
        </is>
      </c>
      <c r="B1239" s="1" t="n">
        <v>45231</v>
      </c>
      <c r="C1239" s="1" t="n">
        <v>45664</v>
      </c>
      <c r="D1239" t="inlineStr">
        <is>
          <t>UPPSALA LÄN</t>
        </is>
      </c>
      <c r="E1239" t="inlineStr">
        <is>
          <t>UPPSALA</t>
        </is>
      </c>
      <c r="G1239" t="n">
        <v>17.6</v>
      </c>
      <c r="H1239" t="n">
        <v>0</v>
      </c>
      <c r="I1239" t="n">
        <v>0</v>
      </c>
      <c r="J1239" t="n">
        <v>0</v>
      </c>
      <c r="K1239" t="n">
        <v>0</v>
      </c>
      <c r="L1239" t="n">
        <v>0</v>
      </c>
      <c r="M1239" t="n">
        <v>0</v>
      </c>
      <c r="N1239" t="n">
        <v>0</v>
      </c>
      <c r="O1239" t="n">
        <v>0</v>
      </c>
      <c r="P1239" t="n">
        <v>0</v>
      </c>
      <c r="Q1239" t="n">
        <v>0</v>
      </c>
      <c r="R1239" s="2" t="inlineStr"/>
    </row>
    <row r="1240" ht="15" customHeight="1">
      <c r="A1240" t="inlineStr">
        <is>
          <t>A 53906-2023</t>
        </is>
      </c>
      <c r="B1240" s="1" t="n">
        <v>45231</v>
      </c>
      <c r="C1240" s="1" t="n">
        <v>45664</v>
      </c>
      <c r="D1240" t="inlineStr">
        <is>
          <t>UPPSALA LÄN</t>
        </is>
      </c>
      <c r="E1240" t="inlineStr">
        <is>
          <t>UPPSALA</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54231-2023</t>
        </is>
      </c>
      <c r="B1241" s="1" t="n">
        <v>45232</v>
      </c>
      <c r="C1241" s="1" t="n">
        <v>45664</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55529-2023</t>
        </is>
      </c>
      <c r="B1242" s="1" t="n">
        <v>45232</v>
      </c>
      <c r="C1242" s="1" t="n">
        <v>45664</v>
      </c>
      <c r="D1242" t="inlineStr">
        <is>
          <t>UPPSALA LÄN</t>
        </is>
      </c>
      <c r="E1242" t="inlineStr">
        <is>
          <t>UPPSALA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54375-2023</t>
        </is>
      </c>
      <c r="B1243" s="1" t="n">
        <v>45233</v>
      </c>
      <c r="C1243" s="1" t="n">
        <v>45664</v>
      </c>
      <c r="D1243" t="inlineStr">
        <is>
          <t>UPPSALA LÄN</t>
        </is>
      </c>
      <c r="E1243" t="inlineStr">
        <is>
          <t>UPPSALA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54474-2023</t>
        </is>
      </c>
      <c r="B1244" s="1" t="n">
        <v>45233</v>
      </c>
      <c r="C1244" s="1" t="n">
        <v>45664</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54461-2023</t>
        </is>
      </c>
      <c r="B1245" s="1" t="n">
        <v>45233</v>
      </c>
      <c r="C1245" s="1" t="n">
        <v>45664</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54808-2023</t>
        </is>
      </c>
      <c r="B1246" s="1" t="n">
        <v>45236</v>
      </c>
      <c r="C1246" s="1" t="n">
        <v>45664</v>
      </c>
      <c r="D1246" t="inlineStr">
        <is>
          <t>UPPSALA LÄN</t>
        </is>
      </c>
      <c r="E1246" t="inlineStr">
        <is>
          <t>UPPSALA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54704-2023</t>
        </is>
      </c>
      <c r="B1247" s="1" t="n">
        <v>45236</v>
      </c>
      <c r="C1247" s="1" t="n">
        <v>45664</v>
      </c>
      <c r="D1247" t="inlineStr">
        <is>
          <t>UPPSALA LÄN</t>
        </is>
      </c>
      <c r="E1247" t="inlineStr">
        <is>
          <t>UPPSALA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54783-2023</t>
        </is>
      </c>
      <c r="B1248" s="1" t="n">
        <v>45236</v>
      </c>
      <c r="C1248" s="1" t="n">
        <v>45664</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55598-2023</t>
        </is>
      </c>
      <c r="B1249" s="1" t="n">
        <v>45238</v>
      </c>
      <c r="C1249" s="1" t="n">
        <v>45664</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56084-2023</t>
        </is>
      </c>
      <c r="B1250" s="1" t="n">
        <v>45240</v>
      </c>
      <c r="C1250" s="1" t="n">
        <v>45664</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56082-2023</t>
        </is>
      </c>
      <c r="B1251" s="1" t="n">
        <v>45240</v>
      </c>
      <c r="C1251" s="1" t="n">
        <v>45664</v>
      </c>
      <c r="D1251" t="inlineStr">
        <is>
          <t>UPPSALA LÄN</t>
        </is>
      </c>
      <c r="E1251" t="inlineStr">
        <is>
          <t>UPPSALA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56105-2023</t>
        </is>
      </c>
      <c r="B1252" s="1" t="n">
        <v>45240</v>
      </c>
      <c r="C1252" s="1" t="n">
        <v>45664</v>
      </c>
      <c r="D1252" t="inlineStr">
        <is>
          <t>UPPSALA LÄN</t>
        </is>
      </c>
      <c r="E1252" t="inlineStr">
        <is>
          <t>UPPSALA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56077-2023</t>
        </is>
      </c>
      <c r="B1253" s="1" t="n">
        <v>45240</v>
      </c>
      <c r="C1253" s="1" t="n">
        <v>45664</v>
      </c>
      <c r="D1253" t="inlineStr">
        <is>
          <t>UPPSALA LÄN</t>
        </is>
      </c>
      <c r="E1253" t="inlineStr">
        <is>
          <t>UPPSALA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56278-2023</t>
        </is>
      </c>
      <c r="B1254" s="1" t="n">
        <v>45241</v>
      </c>
      <c r="C1254" s="1" t="n">
        <v>45664</v>
      </c>
      <c r="D1254" t="inlineStr">
        <is>
          <t>UPPSALA LÄN</t>
        </is>
      </c>
      <c r="E1254" t="inlineStr">
        <is>
          <t>UPPSALA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56642-2023</t>
        </is>
      </c>
      <c r="B1255" s="1" t="n">
        <v>45243</v>
      </c>
      <c r="C1255" s="1" t="n">
        <v>45664</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56852-2023</t>
        </is>
      </c>
      <c r="B1256" s="1" t="n">
        <v>45244</v>
      </c>
      <c r="C1256" s="1" t="n">
        <v>45664</v>
      </c>
      <c r="D1256" t="inlineStr">
        <is>
          <t>UPPSALA LÄN</t>
        </is>
      </c>
      <c r="E1256" t="inlineStr">
        <is>
          <t>UPPSALA</t>
        </is>
      </c>
      <c r="F1256" t="inlineStr">
        <is>
          <t>Holmen skog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56872-2023</t>
        </is>
      </c>
      <c r="B1257" s="1" t="n">
        <v>45244</v>
      </c>
      <c r="C1257" s="1" t="n">
        <v>45664</v>
      </c>
      <c r="D1257" t="inlineStr">
        <is>
          <t>UPPSALA LÄN</t>
        </is>
      </c>
      <c r="E1257" t="inlineStr">
        <is>
          <t>UPPSALA</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57186-2023</t>
        </is>
      </c>
      <c r="B1258" s="1" t="n">
        <v>45245</v>
      </c>
      <c r="C1258" s="1" t="n">
        <v>45664</v>
      </c>
      <c r="D1258" t="inlineStr">
        <is>
          <t>UPPSALA LÄN</t>
        </is>
      </c>
      <c r="E1258" t="inlineStr">
        <is>
          <t>UPPSALA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57182-2023</t>
        </is>
      </c>
      <c r="B1259" s="1" t="n">
        <v>45245</v>
      </c>
      <c r="C1259" s="1" t="n">
        <v>45664</v>
      </c>
      <c r="D1259" t="inlineStr">
        <is>
          <t>UPPSALA LÄN</t>
        </is>
      </c>
      <c r="E1259" t="inlineStr">
        <is>
          <t>UPPSALA</t>
        </is>
      </c>
      <c r="F1259" t="inlineStr">
        <is>
          <t>Övriga Aktiebolag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59240-2023</t>
        </is>
      </c>
      <c r="B1260" s="1" t="n">
        <v>45253</v>
      </c>
      <c r="C1260" s="1" t="n">
        <v>45664</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59511-2023</t>
        </is>
      </c>
      <c r="B1261" s="1" t="n">
        <v>45254</v>
      </c>
      <c r="C1261" s="1" t="n">
        <v>45664</v>
      </c>
      <c r="D1261" t="inlineStr">
        <is>
          <t>UPPSALA LÄN</t>
        </is>
      </c>
      <c r="E1261" t="inlineStr">
        <is>
          <t>UPPSALA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59521-2023</t>
        </is>
      </c>
      <c r="B1262" s="1" t="n">
        <v>45254</v>
      </c>
      <c r="C1262" s="1" t="n">
        <v>45664</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59564-2023</t>
        </is>
      </c>
      <c r="B1263" s="1" t="n">
        <v>45254</v>
      </c>
      <c r="C1263" s="1" t="n">
        <v>45664</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59570-2023</t>
        </is>
      </c>
      <c r="B1264" s="1" t="n">
        <v>45254</v>
      </c>
      <c r="C1264" s="1" t="n">
        <v>45664</v>
      </c>
      <c r="D1264" t="inlineStr">
        <is>
          <t>UPPSALA LÄN</t>
        </is>
      </c>
      <c r="E1264" t="inlineStr">
        <is>
          <t>UPPSALA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59585-2023</t>
        </is>
      </c>
      <c r="B1265" s="1" t="n">
        <v>45254</v>
      </c>
      <c r="C1265" s="1" t="n">
        <v>45664</v>
      </c>
      <c r="D1265" t="inlineStr">
        <is>
          <t>UPPSALA LÄN</t>
        </is>
      </c>
      <c r="E1265" t="inlineStr">
        <is>
          <t>UPPSALA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59489-2023</t>
        </is>
      </c>
      <c r="B1266" s="1" t="n">
        <v>45254</v>
      </c>
      <c r="C1266" s="1" t="n">
        <v>45664</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59856-2023</t>
        </is>
      </c>
      <c r="B1267" s="1" t="n">
        <v>45257</v>
      </c>
      <c r="C1267" s="1" t="n">
        <v>45664</v>
      </c>
      <c r="D1267" t="inlineStr">
        <is>
          <t>UPPSALA LÄN</t>
        </is>
      </c>
      <c r="E1267" t="inlineStr">
        <is>
          <t>UPPSALA</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59810-2023</t>
        </is>
      </c>
      <c r="B1268" s="1" t="n">
        <v>45257</v>
      </c>
      <c r="C1268" s="1" t="n">
        <v>45664</v>
      </c>
      <c r="D1268" t="inlineStr">
        <is>
          <t>UPPSALA LÄN</t>
        </is>
      </c>
      <c r="E1268" t="inlineStr">
        <is>
          <t>UPPSALA</t>
        </is>
      </c>
      <c r="F1268" t="inlineStr">
        <is>
          <t>Allmännings- och besparingsskogar</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60444-2023</t>
        </is>
      </c>
      <c r="B1269" s="1" t="n">
        <v>45259</v>
      </c>
      <c r="C1269" s="1" t="n">
        <v>45664</v>
      </c>
      <c r="D1269" t="inlineStr">
        <is>
          <t>UPPSALA LÄN</t>
        </is>
      </c>
      <c r="E1269" t="inlineStr">
        <is>
          <t>UPPSALA</t>
        </is>
      </c>
      <c r="F1269" t="inlineStr">
        <is>
          <t>Bergvik skog öst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60447-2023</t>
        </is>
      </c>
      <c r="B1270" s="1" t="n">
        <v>45259</v>
      </c>
      <c r="C1270" s="1" t="n">
        <v>45664</v>
      </c>
      <c r="D1270" t="inlineStr">
        <is>
          <t>UPPSALA LÄN</t>
        </is>
      </c>
      <c r="E1270" t="inlineStr">
        <is>
          <t>UPPSALA</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60714-2023</t>
        </is>
      </c>
      <c r="B1271" s="1" t="n">
        <v>45259</v>
      </c>
      <c r="C1271" s="1" t="n">
        <v>45664</v>
      </c>
      <c r="D1271" t="inlineStr">
        <is>
          <t>UPPSALA LÄN</t>
        </is>
      </c>
      <c r="E1271" t="inlineStr">
        <is>
          <t>UPPSALA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60814-2023</t>
        </is>
      </c>
      <c r="B1272" s="1" t="n">
        <v>45259</v>
      </c>
      <c r="C1272" s="1" t="n">
        <v>45664</v>
      </c>
      <c r="D1272" t="inlineStr">
        <is>
          <t>UPPSALA LÄN</t>
        </is>
      </c>
      <c r="E1272" t="inlineStr">
        <is>
          <t>UPPSALA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60781-2023</t>
        </is>
      </c>
      <c r="B1273" s="1" t="n">
        <v>45259</v>
      </c>
      <c r="C1273" s="1" t="n">
        <v>45664</v>
      </c>
      <c r="D1273" t="inlineStr">
        <is>
          <t>UPPSALA LÄN</t>
        </is>
      </c>
      <c r="E1273" t="inlineStr">
        <is>
          <t>UPPSALA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61067-2023</t>
        </is>
      </c>
      <c r="B1274" s="1" t="n">
        <v>45259</v>
      </c>
      <c r="C1274" s="1" t="n">
        <v>45664</v>
      </c>
      <c r="D1274" t="inlineStr">
        <is>
          <t>UPPSALA LÄN</t>
        </is>
      </c>
      <c r="E1274" t="inlineStr">
        <is>
          <t>UPPSALA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60707-2023</t>
        </is>
      </c>
      <c r="B1275" s="1" t="n">
        <v>45260</v>
      </c>
      <c r="C1275" s="1" t="n">
        <v>45664</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61947-2023</t>
        </is>
      </c>
      <c r="B1276" s="1" t="n">
        <v>45266</v>
      </c>
      <c r="C1276" s="1" t="n">
        <v>45664</v>
      </c>
      <c r="D1276" t="inlineStr">
        <is>
          <t>UPPSALA LÄN</t>
        </is>
      </c>
      <c r="E1276" t="inlineStr">
        <is>
          <t>UPPSALA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62287-2023</t>
        </is>
      </c>
      <c r="B1277" s="1" t="n">
        <v>45267</v>
      </c>
      <c r="C1277" s="1" t="n">
        <v>45664</v>
      </c>
      <c r="D1277" t="inlineStr">
        <is>
          <t>UPPSALA LÄN</t>
        </is>
      </c>
      <c r="E1277" t="inlineStr">
        <is>
          <t>UPPSALA</t>
        </is>
      </c>
      <c r="F1277" t="inlineStr">
        <is>
          <t>Allmännings- och besparingsskogar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62627-2023</t>
        </is>
      </c>
      <c r="B1278" s="1" t="n">
        <v>45268</v>
      </c>
      <c r="C1278" s="1" t="n">
        <v>45664</v>
      </c>
      <c r="D1278" t="inlineStr">
        <is>
          <t>UPPSALA LÄN</t>
        </is>
      </c>
      <c r="E1278" t="inlineStr">
        <is>
          <t>UPPSALA</t>
        </is>
      </c>
      <c r="G1278" t="n">
        <v>7.6</v>
      </c>
      <c r="H1278" t="n">
        <v>0</v>
      </c>
      <c r="I1278" t="n">
        <v>0</v>
      </c>
      <c r="J1278" t="n">
        <v>0</v>
      </c>
      <c r="K1278" t="n">
        <v>0</v>
      </c>
      <c r="L1278" t="n">
        <v>0</v>
      </c>
      <c r="M1278" t="n">
        <v>0</v>
      </c>
      <c r="N1278" t="n">
        <v>0</v>
      </c>
      <c r="O1278" t="n">
        <v>0</v>
      </c>
      <c r="P1278" t="n">
        <v>0</v>
      </c>
      <c r="Q1278" t="n">
        <v>0</v>
      </c>
      <c r="R1278" s="2" t="inlineStr"/>
      <c r="U1278">
        <f>HYPERLINK("https://klasma.github.io/Logging_0380/knärot/A 62627-2023 karta knärot.png", "A 62627-2023")</f>
        <v/>
      </c>
      <c r="V1278">
        <f>HYPERLINK("https://klasma.github.io/Logging_0380/klagomål/A 62627-2023 FSC-klagomål.docx", "A 62627-2023")</f>
        <v/>
      </c>
      <c r="W1278">
        <f>HYPERLINK("https://klasma.github.io/Logging_0380/klagomålsmail/A 62627-2023 FSC-klagomål mail.docx", "A 62627-2023")</f>
        <v/>
      </c>
      <c r="X1278">
        <f>HYPERLINK("https://klasma.github.io/Logging_0380/tillsyn/A 62627-2023 tillsynsbegäran.docx", "A 62627-2023")</f>
        <v/>
      </c>
      <c r="Y1278">
        <f>HYPERLINK("https://klasma.github.io/Logging_0380/tillsynsmail/A 62627-2023 tillsynsbegäran mail.docx", "A 62627-2023")</f>
        <v/>
      </c>
    </row>
    <row r="1279" ht="15" customHeight="1">
      <c r="A1279" t="inlineStr">
        <is>
          <t>A 62636-2023</t>
        </is>
      </c>
      <c r="B1279" s="1" t="n">
        <v>45268</v>
      </c>
      <c r="C1279" s="1" t="n">
        <v>45664</v>
      </c>
      <c r="D1279" t="inlineStr">
        <is>
          <t>UPPSALA LÄN</t>
        </is>
      </c>
      <c r="E1279" t="inlineStr">
        <is>
          <t>UPPSALA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62691-2023</t>
        </is>
      </c>
      <c r="B1280" s="1" t="n">
        <v>45268</v>
      </c>
      <c r="C1280" s="1" t="n">
        <v>45664</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62694-2023</t>
        </is>
      </c>
      <c r="B1281" s="1" t="n">
        <v>45268</v>
      </c>
      <c r="C1281" s="1" t="n">
        <v>45664</v>
      </c>
      <c r="D1281" t="inlineStr">
        <is>
          <t>UPPSALA LÄN</t>
        </is>
      </c>
      <c r="E1281" t="inlineStr">
        <is>
          <t>UPPSALA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62714-2023</t>
        </is>
      </c>
      <c r="B1282" s="1" t="n">
        <v>45271</v>
      </c>
      <c r="C1282" s="1" t="n">
        <v>45664</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63163-2023</t>
        </is>
      </c>
      <c r="B1283" s="1" t="n">
        <v>45273</v>
      </c>
      <c r="C1283" s="1" t="n">
        <v>45664</v>
      </c>
      <c r="D1283" t="inlineStr">
        <is>
          <t>UPPSALA LÄN</t>
        </is>
      </c>
      <c r="E1283" t="inlineStr">
        <is>
          <t>UPPSALA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63578-2023</t>
        </is>
      </c>
      <c r="B1284" s="1" t="n">
        <v>45275</v>
      </c>
      <c r="C1284" s="1" t="n">
        <v>45664</v>
      </c>
      <c r="D1284" t="inlineStr">
        <is>
          <t>UPPSALA LÄN</t>
        </is>
      </c>
      <c r="E1284" t="inlineStr">
        <is>
          <t>UPPSALA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63579-2023</t>
        </is>
      </c>
      <c r="B1285" s="1" t="n">
        <v>45275</v>
      </c>
      <c r="C1285" s="1" t="n">
        <v>45664</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63576-2023</t>
        </is>
      </c>
      <c r="B1286" s="1" t="n">
        <v>45275</v>
      </c>
      <c r="C1286" s="1" t="n">
        <v>45664</v>
      </c>
      <c r="D1286" t="inlineStr">
        <is>
          <t>UPPSALA LÄN</t>
        </is>
      </c>
      <c r="E1286" t="inlineStr">
        <is>
          <t>UPPSALA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63588-2023</t>
        </is>
      </c>
      <c r="B1287" s="1" t="n">
        <v>45275</v>
      </c>
      <c r="C1287" s="1" t="n">
        <v>45664</v>
      </c>
      <c r="D1287" t="inlineStr">
        <is>
          <t>UPPSALA LÄN</t>
        </is>
      </c>
      <c r="E1287" t="inlineStr">
        <is>
          <t>UPPSALA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63698-2023</t>
        </is>
      </c>
      <c r="B1288" s="1" t="n">
        <v>45275</v>
      </c>
      <c r="C1288" s="1" t="n">
        <v>45664</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64079-2023</t>
        </is>
      </c>
      <c r="B1289" s="1" t="n">
        <v>45279</v>
      </c>
      <c r="C1289" s="1" t="n">
        <v>45664</v>
      </c>
      <c r="D1289" t="inlineStr">
        <is>
          <t>UPPSALA LÄN</t>
        </is>
      </c>
      <c r="E1289" t="inlineStr">
        <is>
          <t>UPPSALA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64806-2023</t>
        </is>
      </c>
      <c r="B1290" s="1" t="n">
        <v>45282</v>
      </c>
      <c r="C1290" s="1" t="n">
        <v>45664</v>
      </c>
      <c r="D1290" t="inlineStr">
        <is>
          <t>UPPSALA LÄN</t>
        </is>
      </c>
      <c r="E1290" t="inlineStr">
        <is>
          <t>UPPSALA</t>
        </is>
      </c>
      <c r="F1290" t="inlineStr">
        <is>
          <t>Kyrkan</t>
        </is>
      </c>
      <c r="G1290" t="n">
        <v>19.3</v>
      </c>
      <c r="H1290" t="n">
        <v>0</v>
      </c>
      <c r="I1290" t="n">
        <v>0</v>
      </c>
      <c r="J1290" t="n">
        <v>0</v>
      </c>
      <c r="K1290" t="n">
        <v>0</v>
      </c>
      <c r="L1290" t="n">
        <v>0</v>
      </c>
      <c r="M1290" t="n">
        <v>0</v>
      </c>
      <c r="N1290" t="n">
        <v>0</v>
      </c>
      <c r="O1290" t="n">
        <v>0</v>
      </c>
      <c r="P1290" t="n">
        <v>0</v>
      </c>
      <c r="Q1290" t="n">
        <v>0</v>
      </c>
      <c r="R1290" s="2" t="inlineStr"/>
    </row>
    <row r="1291" ht="15" customHeight="1">
      <c r="A1291" t="inlineStr">
        <is>
          <t>A 64880-2023</t>
        </is>
      </c>
      <c r="B1291" s="1" t="n">
        <v>45282</v>
      </c>
      <c r="C1291" s="1" t="n">
        <v>45664</v>
      </c>
      <c r="D1291" t="inlineStr">
        <is>
          <t>UPPSALA LÄN</t>
        </is>
      </c>
      <c r="E1291" t="inlineStr">
        <is>
          <t>UPPSALA</t>
        </is>
      </c>
      <c r="F1291" t="inlineStr">
        <is>
          <t>Kommuner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65149-2023</t>
        </is>
      </c>
      <c r="B1292" s="1" t="n">
        <v>45288</v>
      </c>
      <c r="C1292" s="1" t="n">
        <v>45664</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45-2024</t>
        </is>
      </c>
      <c r="B1293" s="1" t="n">
        <v>45293</v>
      </c>
      <c r="C1293" s="1" t="n">
        <v>45664</v>
      </c>
      <c r="D1293" t="inlineStr">
        <is>
          <t>UPPSALA LÄN</t>
        </is>
      </c>
      <c r="E1293" t="inlineStr">
        <is>
          <t>UPPSALA</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43-2024</t>
        </is>
      </c>
      <c r="B1294" s="1" t="n">
        <v>45293</v>
      </c>
      <c r="C1294" s="1" t="n">
        <v>45664</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179-2024</t>
        </is>
      </c>
      <c r="B1295" s="1" t="n">
        <v>45294</v>
      </c>
      <c r="C1295" s="1" t="n">
        <v>45664</v>
      </c>
      <c r="D1295" t="inlineStr">
        <is>
          <t>UPPSALA LÄN</t>
        </is>
      </c>
      <c r="E1295" t="inlineStr">
        <is>
          <t>UPPSALA</t>
        </is>
      </c>
      <c r="F1295" t="inlineStr">
        <is>
          <t>Bergvik skog öst AB</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341-2024</t>
        </is>
      </c>
      <c r="B1296" s="1" t="n">
        <v>45295</v>
      </c>
      <c r="C1296" s="1" t="n">
        <v>45664</v>
      </c>
      <c r="D1296" t="inlineStr">
        <is>
          <t>UPPSALA LÄN</t>
        </is>
      </c>
      <c r="E1296" t="inlineStr">
        <is>
          <t>UPPSALA</t>
        </is>
      </c>
      <c r="F1296" t="inlineStr">
        <is>
          <t>Allmännings- och besparingsskogar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358-2024</t>
        </is>
      </c>
      <c r="B1297" s="1" t="n">
        <v>45295</v>
      </c>
      <c r="C1297" s="1" t="n">
        <v>45664</v>
      </c>
      <c r="D1297" t="inlineStr">
        <is>
          <t>UPPSALA LÄN</t>
        </is>
      </c>
      <c r="E1297" t="inlineStr">
        <is>
          <t>UPPSALA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446-2024</t>
        </is>
      </c>
      <c r="B1298" s="1" t="n">
        <v>45296</v>
      </c>
      <c r="C1298" s="1" t="n">
        <v>45664</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449-2024</t>
        </is>
      </c>
      <c r="B1299" s="1" t="n">
        <v>45296</v>
      </c>
      <c r="C1299" s="1" t="n">
        <v>45664</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c r="U1299">
        <f>HYPERLINK("https://klasma.github.io/Logging_0380/knärot/A 449-2024 karta knärot.png", "A 449-2024")</f>
        <v/>
      </c>
      <c r="V1299">
        <f>HYPERLINK("https://klasma.github.io/Logging_0380/klagomål/A 449-2024 FSC-klagomål.docx", "A 449-2024")</f>
        <v/>
      </c>
      <c r="W1299">
        <f>HYPERLINK("https://klasma.github.io/Logging_0380/klagomålsmail/A 449-2024 FSC-klagomål mail.docx", "A 449-2024")</f>
        <v/>
      </c>
      <c r="X1299">
        <f>HYPERLINK("https://klasma.github.io/Logging_0380/tillsyn/A 449-2024 tillsynsbegäran.docx", "A 449-2024")</f>
        <v/>
      </c>
      <c r="Y1299">
        <f>HYPERLINK("https://klasma.github.io/Logging_0380/tillsynsmail/A 449-2024 tillsynsbegäran mail.docx", "A 449-2024")</f>
        <v/>
      </c>
    </row>
    <row r="1300" ht="15" customHeight="1">
      <c r="A1300" t="inlineStr">
        <is>
          <t>A 600-2024</t>
        </is>
      </c>
      <c r="B1300" s="1" t="n">
        <v>45299</v>
      </c>
      <c r="C1300" s="1" t="n">
        <v>45664</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787-2024</t>
        </is>
      </c>
      <c r="B1301" s="1" t="n">
        <v>45300</v>
      </c>
      <c r="C1301" s="1" t="n">
        <v>45664</v>
      </c>
      <c r="D1301" t="inlineStr">
        <is>
          <t>UPPSALA LÄN</t>
        </is>
      </c>
      <c r="E1301" t="inlineStr">
        <is>
          <t>UPPSALA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784-2024</t>
        </is>
      </c>
      <c r="B1302" s="1" t="n">
        <v>45300</v>
      </c>
      <c r="C1302" s="1" t="n">
        <v>45664</v>
      </c>
      <c r="D1302" t="inlineStr">
        <is>
          <t>UPPSALA LÄN</t>
        </is>
      </c>
      <c r="E1302" t="inlineStr">
        <is>
          <t>UPPSALA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781-2024</t>
        </is>
      </c>
      <c r="B1303" s="1" t="n">
        <v>45300</v>
      </c>
      <c r="C1303" s="1" t="n">
        <v>45664</v>
      </c>
      <c r="D1303" t="inlineStr">
        <is>
          <t>UPPSALA LÄN</t>
        </is>
      </c>
      <c r="E1303" t="inlineStr">
        <is>
          <t>UPPSALA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1825-2024</t>
        </is>
      </c>
      <c r="B1304" s="1" t="n">
        <v>45307</v>
      </c>
      <c r="C1304" s="1" t="n">
        <v>45664</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1806-2024</t>
        </is>
      </c>
      <c r="B1305" s="1" t="n">
        <v>45307</v>
      </c>
      <c r="C1305" s="1" t="n">
        <v>45664</v>
      </c>
      <c r="D1305" t="inlineStr">
        <is>
          <t>UPPSALA LÄN</t>
        </is>
      </c>
      <c r="E1305" t="inlineStr">
        <is>
          <t>UPPSALA</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1838-2024</t>
        </is>
      </c>
      <c r="B1306" s="1" t="n">
        <v>45307</v>
      </c>
      <c r="C1306" s="1" t="n">
        <v>45664</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1994-2024</t>
        </is>
      </c>
      <c r="B1307" s="1" t="n">
        <v>45308</v>
      </c>
      <c r="C1307" s="1" t="n">
        <v>45664</v>
      </c>
      <c r="D1307" t="inlineStr">
        <is>
          <t>UPPSALA LÄN</t>
        </is>
      </c>
      <c r="E1307" t="inlineStr">
        <is>
          <t>UPPSALA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2294-2024</t>
        </is>
      </c>
      <c r="B1308" s="1" t="n">
        <v>45310</v>
      </c>
      <c r="C1308" s="1" t="n">
        <v>45664</v>
      </c>
      <c r="D1308" t="inlineStr">
        <is>
          <t>UPPSALA LÄN</t>
        </is>
      </c>
      <c r="E1308" t="inlineStr">
        <is>
          <t>UPPSALA</t>
        </is>
      </c>
      <c r="F1308" t="inlineStr">
        <is>
          <t>Allmännings- och besparingsskogar</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2327-2024</t>
        </is>
      </c>
      <c r="B1309" s="1" t="n">
        <v>45310</v>
      </c>
      <c r="C1309" s="1" t="n">
        <v>45664</v>
      </c>
      <c r="D1309" t="inlineStr">
        <is>
          <t>UPPSALA LÄN</t>
        </is>
      </c>
      <c r="E1309" t="inlineStr">
        <is>
          <t>UPPSALA</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2339-2024</t>
        </is>
      </c>
      <c r="B1310" s="1" t="n">
        <v>45310</v>
      </c>
      <c r="C1310" s="1" t="n">
        <v>45664</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2357-2024</t>
        </is>
      </c>
      <c r="B1311" s="1" t="n">
        <v>45310</v>
      </c>
      <c r="C1311" s="1" t="n">
        <v>45664</v>
      </c>
      <c r="D1311" t="inlineStr">
        <is>
          <t>UPPSALA LÄN</t>
        </is>
      </c>
      <c r="E1311" t="inlineStr">
        <is>
          <t>UPPSALA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2740-2024</t>
        </is>
      </c>
      <c r="B1312" s="1" t="n">
        <v>45314</v>
      </c>
      <c r="C1312" s="1" t="n">
        <v>45664</v>
      </c>
      <c r="D1312" t="inlineStr">
        <is>
          <t>UPPSALA LÄN</t>
        </is>
      </c>
      <c r="E1312" t="inlineStr">
        <is>
          <t>UPPSALA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2735-2024</t>
        </is>
      </c>
      <c r="B1313" s="1" t="n">
        <v>45314</v>
      </c>
      <c r="C1313" s="1" t="n">
        <v>45664</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2769-2024</t>
        </is>
      </c>
      <c r="B1314" s="1" t="n">
        <v>45314</v>
      </c>
      <c r="C1314" s="1" t="n">
        <v>45664</v>
      </c>
      <c r="D1314" t="inlineStr">
        <is>
          <t>UPPSALA LÄN</t>
        </is>
      </c>
      <c r="E1314" t="inlineStr">
        <is>
          <t>UPPSALA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2785-2024</t>
        </is>
      </c>
      <c r="B1315" s="1" t="n">
        <v>45314</v>
      </c>
      <c r="C1315" s="1" t="n">
        <v>45664</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3175-2024</t>
        </is>
      </c>
      <c r="B1316" s="1" t="n">
        <v>45316</v>
      </c>
      <c r="C1316" s="1" t="n">
        <v>45664</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3183-2024</t>
        </is>
      </c>
      <c r="B1317" s="1" t="n">
        <v>45316</v>
      </c>
      <c r="C1317" s="1" t="n">
        <v>45664</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3261-2024</t>
        </is>
      </c>
      <c r="B1318" s="1" t="n">
        <v>45317</v>
      </c>
      <c r="C1318" s="1" t="n">
        <v>45664</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3260-2024</t>
        </is>
      </c>
      <c r="B1319" s="1" t="n">
        <v>45317</v>
      </c>
      <c r="C1319" s="1" t="n">
        <v>45664</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3813-2024</t>
        </is>
      </c>
      <c r="B1320" s="1" t="n">
        <v>45321</v>
      </c>
      <c r="C1320" s="1" t="n">
        <v>45664</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4065-2024</t>
        </is>
      </c>
      <c r="B1321" s="1" t="n">
        <v>45323</v>
      </c>
      <c r="C1321" s="1" t="n">
        <v>45664</v>
      </c>
      <c r="D1321" t="inlineStr">
        <is>
          <t>UPPSALA LÄN</t>
        </is>
      </c>
      <c r="E1321" t="inlineStr">
        <is>
          <t>UPPSALA</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4216-2024</t>
        </is>
      </c>
      <c r="B1322" s="1" t="n">
        <v>45324</v>
      </c>
      <c r="C1322" s="1" t="n">
        <v>45664</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4412-2024</t>
        </is>
      </c>
      <c r="B1323" s="1" t="n">
        <v>45327</v>
      </c>
      <c r="C1323" s="1" t="n">
        <v>45664</v>
      </c>
      <c r="D1323" t="inlineStr">
        <is>
          <t>UPPSALA LÄN</t>
        </is>
      </c>
      <c r="E1323" t="inlineStr">
        <is>
          <t>UPPSALA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4425-2024</t>
        </is>
      </c>
      <c r="B1324" s="1" t="n">
        <v>45327</v>
      </c>
      <c r="C1324" s="1" t="n">
        <v>45664</v>
      </c>
      <c r="D1324" t="inlineStr">
        <is>
          <t>UPPSALA LÄN</t>
        </is>
      </c>
      <c r="E1324" t="inlineStr">
        <is>
          <t>UPPSALA</t>
        </is>
      </c>
      <c r="F1324" t="inlineStr">
        <is>
          <t>Allmännings- och besparingsskogar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4461-2024</t>
        </is>
      </c>
      <c r="B1325" s="1" t="n">
        <v>45327</v>
      </c>
      <c r="C1325" s="1" t="n">
        <v>45664</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4503-2024</t>
        </is>
      </c>
      <c r="B1326" s="1" t="n">
        <v>45327</v>
      </c>
      <c r="C1326" s="1" t="n">
        <v>45664</v>
      </c>
      <c r="D1326" t="inlineStr">
        <is>
          <t>UPPSALA LÄN</t>
        </is>
      </c>
      <c r="E1326" t="inlineStr">
        <is>
          <t>UPPSALA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4509-2024</t>
        </is>
      </c>
      <c r="B1327" s="1" t="n">
        <v>45327</v>
      </c>
      <c r="C1327" s="1" t="n">
        <v>45664</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4980-2024</t>
        </is>
      </c>
      <c r="B1328" s="1" t="n">
        <v>45329</v>
      </c>
      <c r="C1328" s="1" t="n">
        <v>45664</v>
      </c>
      <c r="D1328" t="inlineStr">
        <is>
          <t>UPPSALA LÄN</t>
        </is>
      </c>
      <c r="E1328" t="inlineStr">
        <is>
          <t>UPPSALA</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5475-2024</t>
        </is>
      </c>
      <c r="B1329" s="1" t="n">
        <v>45333</v>
      </c>
      <c r="C1329" s="1" t="n">
        <v>45664</v>
      </c>
      <c r="D1329" t="inlineStr">
        <is>
          <t>UPPSALA LÄN</t>
        </is>
      </c>
      <c r="E1329" t="inlineStr">
        <is>
          <t>UPPSALA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5848-2024</t>
        </is>
      </c>
      <c r="B1330" s="1" t="n">
        <v>45335</v>
      </c>
      <c r="C1330" s="1" t="n">
        <v>45664</v>
      </c>
      <c r="D1330" t="inlineStr">
        <is>
          <t>UPPSALA LÄN</t>
        </is>
      </c>
      <c r="E1330" t="inlineStr">
        <is>
          <t>UPPSALA</t>
        </is>
      </c>
      <c r="F1330" t="inlineStr">
        <is>
          <t>Kyrkan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5899-2024</t>
        </is>
      </c>
      <c r="B1331" s="1" t="n">
        <v>45335</v>
      </c>
      <c r="C1331" s="1" t="n">
        <v>45664</v>
      </c>
      <c r="D1331" t="inlineStr">
        <is>
          <t>UPPSALA LÄN</t>
        </is>
      </c>
      <c r="E1331" t="inlineStr">
        <is>
          <t>UPPSALA</t>
        </is>
      </c>
      <c r="F1331" t="inlineStr">
        <is>
          <t>Allmännings- och besparingsskogar</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5876-2024</t>
        </is>
      </c>
      <c r="B1332" s="1" t="n">
        <v>45335</v>
      </c>
      <c r="C1332" s="1" t="n">
        <v>45664</v>
      </c>
      <c r="D1332" t="inlineStr">
        <is>
          <t>UPPSALA LÄN</t>
        </is>
      </c>
      <c r="E1332" t="inlineStr">
        <is>
          <t>UPPSALA</t>
        </is>
      </c>
      <c r="F1332" t="inlineStr">
        <is>
          <t>Kyrkan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5896-2024</t>
        </is>
      </c>
      <c r="B1333" s="1" t="n">
        <v>45335</v>
      </c>
      <c r="C1333" s="1" t="n">
        <v>45664</v>
      </c>
      <c r="D1333" t="inlineStr">
        <is>
          <t>UPPSALA LÄN</t>
        </is>
      </c>
      <c r="E1333" t="inlineStr">
        <is>
          <t>UPPSALA</t>
        </is>
      </c>
      <c r="F1333" t="inlineStr">
        <is>
          <t>Allmännings- och besparingsskogar</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5974-2024</t>
        </is>
      </c>
      <c r="B1334" s="1" t="n">
        <v>45336</v>
      </c>
      <c r="C1334" s="1" t="n">
        <v>45664</v>
      </c>
      <c r="D1334" t="inlineStr">
        <is>
          <t>UPPSALA LÄN</t>
        </is>
      </c>
      <c r="E1334" t="inlineStr">
        <is>
          <t>UPPSALA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5975-2024</t>
        </is>
      </c>
      <c r="B1335" s="1" t="n">
        <v>45336</v>
      </c>
      <c r="C1335" s="1" t="n">
        <v>45664</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6024-2024</t>
        </is>
      </c>
      <c r="B1336" s="1" t="n">
        <v>45336</v>
      </c>
      <c r="C1336" s="1" t="n">
        <v>45664</v>
      </c>
      <c r="D1336" t="inlineStr">
        <is>
          <t>UPPSALA LÄN</t>
        </is>
      </c>
      <c r="E1336" t="inlineStr">
        <is>
          <t>UPPSALA</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6199-2024</t>
        </is>
      </c>
      <c r="B1337" s="1" t="n">
        <v>45337</v>
      </c>
      <c r="C1337" s="1" t="n">
        <v>45664</v>
      </c>
      <c r="D1337" t="inlineStr">
        <is>
          <t>UPPSALA LÄN</t>
        </is>
      </c>
      <c r="E1337" t="inlineStr">
        <is>
          <t>UPPSALA</t>
        </is>
      </c>
      <c r="F1337" t="inlineStr">
        <is>
          <t>Kyrkan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6211-2024</t>
        </is>
      </c>
      <c r="B1338" s="1" t="n">
        <v>45337</v>
      </c>
      <c r="C1338" s="1" t="n">
        <v>45664</v>
      </c>
      <c r="D1338" t="inlineStr">
        <is>
          <t>UPPSALA LÄN</t>
        </is>
      </c>
      <c r="E1338" t="inlineStr">
        <is>
          <t>UPPSALA</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6098-2024</t>
        </is>
      </c>
      <c r="B1339" s="1" t="n">
        <v>45337</v>
      </c>
      <c r="C1339" s="1" t="n">
        <v>45664</v>
      </c>
      <c r="D1339" t="inlineStr">
        <is>
          <t>UPPSALA LÄN</t>
        </is>
      </c>
      <c r="E1339" t="inlineStr">
        <is>
          <t>UPPSALA</t>
        </is>
      </c>
      <c r="F1339" t="inlineStr">
        <is>
          <t>Övriga Aktiebolag</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6363-2024</t>
        </is>
      </c>
      <c r="B1340" s="1" t="n">
        <v>45338</v>
      </c>
      <c r="C1340" s="1" t="n">
        <v>45664</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6501-2024</t>
        </is>
      </c>
      <c r="B1341" s="1" t="n">
        <v>45339</v>
      </c>
      <c r="C1341" s="1" t="n">
        <v>45664</v>
      </c>
      <c r="D1341" t="inlineStr">
        <is>
          <t>UPPSALA LÄN</t>
        </is>
      </c>
      <c r="E1341" t="inlineStr">
        <is>
          <t>UPPSALA</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6506-2024</t>
        </is>
      </c>
      <c r="B1342" s="1" t="n">
        <v>45339</v>
      </c>
      <c r="C1342" s="1" t="n">
        <v>45664</v>
      </c>
      <c r="D1342" t="inlineStr">
        <is>
          <t>UPPSALA LÄN</t>
        </is>
      </c>
      <c r="E1342" t="inlineStr">
        <is>
          <t>UPPSALA</t>
        </is>
      </c>
      <c r="F1342" t="inlineStr">
        <is>
          <t>Bergvik skog öst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6505-2024</t>
        </is>
      </c>
      <c r="B1343" s="1" t="n">
        <v>45339</v>
      </c>
      <c r="C1343" s="1" t="n">
        <v>45664</v>
      </c>
      <c r="D1343" t="inlineStr">
        <is>
          <t>UPPSALA LÄN</t>
        </is>
      </c>
      <c r="E1343" t="inlineStr">
        <is>
          <t>UPPSALA</t>
        </is>
      </c>
      <c r="F1343" t="inlineStr">
        <is>
          <t>Bergvik skog öst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6500-2024</t>
        </is>
      </c>
      <c r="B1344" s="1" t="n">
        <v>45339</v>
      </c>
      <c r="C1344" s="1" t="n">
        <v>45664</v>
      </c>
      <c r="D1344" t="inlineStr">
        <is>
          <t>UPPSALA LÄN</t>
        </is>
      </c>
      <c r="E1344" t="inlineStr">
        <is>
          <t>UPPSALA</t>
        </is>
      </c>
      <c r="F1344" t="inlineStr">
        <is>
          <t>Bergvik skog öst AB</t>
        </is>
      </c>
      <c r="G1344" t="n">
        <v>23.7</v>
      </c>
      <c r="H1344" t="n">
        <v>0</v>
      </c>
      <c r="I1344" t="n">
        <v>0</v>
      </c>
      <c r="J1344" t="n">
        <v>0</v>
      </c>
      <c r="K1344" t="n">
        <v>0</v>
      </c>
      <c r="L1344" t="n">
        <v>0</v>
      </c>
      <c r="M1344" t="n">
        <v>0</v>
      </c>
      <c r="N1344" t="n">
        <v>0</v>
      </c>
      <c r="O1344" t="n">
        <v>0</v>
      </c>
      <c r="P1344" t="n">
        <v>0</v>
      </c>
      <c r="Q1344" t="n">
        <v>0</v>
      </c>
      <c r="R1344" s="2" t="inlineStr"/>
    </row>
    <row r="1345" ht="15" customHeight="1">
      <c r="A1345" t="inlineStr">
        <is>
          <t>A 6504-2024</t>
        </is>
      </c>
      <c r="B1345" s="1" t="n">
        <v>45339</v>
      </c>
      <c r="C1345" s="1" t="n">
        <v>45664</v>
      </c>
      <c r="D1345" t="inlineStr">
        <is>
          <t>UPPSALA LÄN</t>
        </is>
      </c>
      <c r="E1345" t="inlineStr">
        <is>
          <t>UPPSALA</t>
        </is>
      </c>
      <c r="F1345" t="inlineStr">
        <is>
          <t>Bergvik skog öst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6503-2024</t>
        </is>
      </c>
      <c r="B1346" s="1" t="n">
        <v>45339</v>
      </c>
      <c r="C1346" s="1" t="n">
        <v>45664</v>
      </c>
      <c r="D1346" t="inlineStr">
        <is>
          <t>UPPSALA LÄN</t>
        </is>
      </c>
      <c r="E1346" t="inlineStr">
        <is>
          <t>UPPSALA</t>
        </is>
      </c>
      <c r="F1346" t="inlineStr">
        <is>
          <t>Bergvik skog öst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6507-2024</t>
        </is>
      </c>
      <c r="B1347" s="1" t="n">
        <v>45339</v>
      </c>
      <c r="C1347" s="1" t="n">
        <v>45664</v>
      </c>
      <c r="D1347" t="inlineStr">
        <is>
          <t>UPPSALA LÄN</t>
        </is>
      </c>
      <c r="E1347" t="inlineStr">
        <is>
          <t>UPPSALA</t>
        </is>
      </c>
      <c r="F1347" t="inlineStr">
        <is>
          <t>Bergvik skog öst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6628-2024</t>
        </is>
      </c>
      <c r="B1348" s="1" t="n">
        <v>45341</v>
      </c>
      <c r="C1348" s="1" t="n">
        <v>45664</v>
      </c>
      <c r="D1348" t="inlineStr">
        <is>
          <t>UPPSALA LÄN</t>
        </is>
      </c>
      <c r="E1348" t="inlineStr">
        <is>
          <t>UPPSALA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6630-2024</t>
        </is>
      </c>
      <c r="B1349" s="1" t="n">
        <v>45341</v>
      </c>
      <c r="C1349" s="1" t="n">
        <v>45664</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6650-2024</t>
        </is>
      </c>
      <c r="B1350" s="1" t="n">
        <v>45341</v>
      </c>
      <c r="C1350" s="1" t="n">
        <v>45664</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6676-2024</t>
        </is>
      </c>
      <c r="B1351" s="1" t="n">
        <v>45341</v>
      </c>
      <c r="C1351" s="1" t="n">
        <v>45664</v>
      </c>
      <c r="D1351" t="inlineStr">
        <is>
          <t>UPPSALA LÄN</t>
        </is>
      </c>
      <c r="E1351" t="inlineStr">
        <is>
          <t>UPPSALA</t>
        </is>
      </c>
      <c r="F1351" t="inlineStr">
        <is>
          <t>Bergvik skog öst AB</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6609-2024</t>
        </is>
      </c>
      <c r="B1352" s="1" t="n">
        <v>45341</v>
      </c>
      <c r="C1352" s="1" t="n">
        <v>45664</v>
      </c>
      <c r="D1352" t="inlineStr">
        <is>
          <t>UPPSALA LÄN</t>
        </is>
      </c>
      <c r="E1352" t="inlineStr">
        <is>
          <t>UPPSALA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6679-2024</t>
        </is>
      </c>
      <c r="B1353" s="1" t="n">
        <v>45341</v>
      </c>
      <c r="C1353" s="1" t="n">
        <v>45664</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6677-2024</t>
        </is>
      </c>
      <c r="B1354" s="1" t="n">
        <v>45341</v>
      </c>
      <c r="C1354" s="1" t="n">
        <v>45664</v>
      </c>
      <c r="D1354" t="inlineStr">
        <is>
          <t>UPPSALA LÄN</t>
        </is>
      </c>
      <c r="E1354" t="inlineStr">
        <is>
          <t>UPPSALA</t>
        </is>
      </c>
      <c r="F1354" t="inlineStr">
        <is>
          <t>Bergvik skog öst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6678-2024</t>
        </is>
      </c>
      <c r="B1355" s="1" t="n">
        <v>45341</v>
      </c>
      <c r="C1355" s="1" t="n">
        <v>45664</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6966-2024</t>
        </is>
      </c>
      <c r="B1356" s="1" t="n">
        <v>45343</v>
      </c>
      <c r="C1356" s="1" t="n">
        <v>45664</v>
      </c>
      <c r="D1356" t="inlineStr">
        <is>
          <t>UPPSALA LÄN</t>
        </is>
      </c>
      <c r="E1356" t="inlineStr">
        <is>
          <t>UPPSALA</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7253-2024</t>
        </is>
      </c>
      <c r="B1357" s="1" t="n">
        <v>45344</v>
      </c>
      <c r="C1357" s="1" t="n">
        <v>45664</v>
      </c>
      <c r="D1357" t="inlineStr">
        <is>
          <t>UPPSALA LÄN</t>
        </is>
      </c>
      <c r="E1357" t="inlineStr">
        <is>
          <t>UPPSALA</t>
        </is>
      </c>
      <c r="F1357" t="inlineStr">
        <is>
          <t>Kyrkan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7158-2024</t>
        </is>
      </c>
      <c r="B1358" s="1" t="n">
        <v>45344</v>
      </c>
      <c r="C1358" s="1" t="n">
        <v>45664</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7175-2024</t>
        </is>
      </c>
      <c r="B1359" s="1" t="n">
        <v>45344</v>
      </c>
      <c r="C1359" s="1" t="n">
        <v>45664</v>
      </c>
      <c r="D1359" t="inlineStr">
        <is>
          <t>UPPSALA LÄN</t>
        </is>
      </c>
      <c r="E1359" t="inlineStr">
        <is>
          <t>UPPSALA</t>
        </is>
      </c>
      <c r="F1359" t="inlineStr">
        <is>
          <t>Kyrkan</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7275-2024</t>
        </is>
      </c>
      <c r="B1360" s="1" t="n">
        <v>45344</v>
      </c>
      <c r="C1360" s="1" t="n">
        <v>45664</v>
      </c>
      <c r="D1360" t="inlineStr">
        <is>
          <t>UPPSALA LÄN</t>
        </is>
      </c>
      <c r="E1360" t="inlineStr">
        <is>
          <t>UPPSALA</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7226-2024</t>
        </is>
      </c>
      <c r="B1361" s="1" t="n">
        <v>45344</v>
      </c>
      <c r="C1361" s="1" t="n">
        <v>45664</v>
      </c>
      <c r="D1361" t="inlineStr">
        <is>
          <t>UPPSALA LÄN</t>
        </is>
      </c>
      <c r="E1361" t="inlineStr">
        <is>
          <t>UPPSALA</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7274-2024</t>
        </is>
      </c>
      <c r="B1362" s="1" t="n">
        <v>45344</v>
      </c>
      <c r="C1362" s="1" t="n">
        <v>45664</v>
      </c>
      <c r="D1362" t="inlineStr">
        <is>
          <t>UPPSALA LÄN</t>
        </is>
      </c>
      <c r="E1362" t="inlineStr">
        <is>
          <t>UPPSALA</t>
        </is>
      </c>
      <c r="F1362" t="inlineStr">
        <is>
          <t>Bergvik skog öst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7278-2024</t>
        </is>
      </c>
      <c r="B1363" s="1" t="n">
        <v>45344</v>
      </c>
      <c r="C1363" s="1" t="n">
        <v>45664</v>
      </c>
      <c r="D1363" t="inlineStr">
        <is>
          <t>UPPSALA LÄN</t>
        </is>
      </c>
      <c r="E1363" t="inlineStr">
        <is>
          <t>UPPSALA</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7276-2024</t>
        </is>
      </c>
      <c r="B1364" s="1" t="n">
        <v>45344</v>
      </c>
      <c r="C1364" s="1" t="n">
        <v>45664</v>
      </c>
      <c r="D1364" t="inlineStr">
        <is>
          <t>UPPSALA LÄN</t>
        </is>
      </c>
      <c r="E1364" t="inlineStr">
        <is>
          <t>UPPSALA</t>
        </is>
      </c>
      <c r="F1364" t="inlineStr">
        <is>
          <t>Bergvik skog öst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7389-2024</t>
        </is>
      </c>
      <c r="B1365" s="1" t="n">
        <v>45345</v>
      </c>
      <c r="C1365" s="1" t="n">
        <v>45664</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7390-2024</t>
        </is>
      </c>
      <c r="B1366" s="1" t="n">
        <v>45345</v>
      </c>
      <c r="C1366" s="1" t="n">
        <v>45664</v>
      </c>
      <c r="D1366" t="inlineStr">
        <is>
          <t>UPPSALA LÄN</t>
        </is>
      </c>
      <c r="E1366" t="inlineStr">
        <is>
          <t>UPPSALA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7400-2024</t>
        </is>
      </c>
      <c r="B1367" s="1" t="n">
        <v>45345</v>
      </c>
      <c r="C1367" s="1" t="n">
        <v>45664</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7388-2024</t>
        </is>
      </c>
      <c r="B1368" s="1" t="n">
        <v>45345</v>
      </c>
      <c r="C1368" s="1" t="n">
        <v>45664</v>
      </c>
      <c r="D1368" t="inlineStr">
        <is>
          <t>UPPSALA LÄN</t>
        </is>
      </c>
      <c r="E1368" t="inlineStr">
        <is>
          <t>UPPSALA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7407-2024</t>
        </is>
      </c>
      <c r="B1369" s="1" t="n">
        <v>45345</v>
      </c>
      <c r="C1369" s="1" t="n">
        <v>45664</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7403-2024</t>
        </is>
      </c>
      <c r="B1370" s="1" t="n">
        <v>45345</v>
      </c>
      <c r="C1370" s="1" t="n">
        <v>45664</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7649-2024</t>
        </is>
      </c>
      <c r="B1371" s="1" t="n">
        <v>45348</v>
      </c>
      <c r="C1371" s="1" t="n">
        <v>45664</v>
      </c>
      <c r="D1371" t="inlineStr">
        <is>
          <t>UPPSALA LÄN</t>
        </is>
      </c>
      <c r="E1371" t="inlineStr">
        <is>
          <t>UPPSALA</t>
        </is>
      </c>
      <c r="F1371" t="inlineStr">
        <is>
          <t>Kyrkan</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7654-2024</t>
        </is>
      </c>
      <c r="B1372" s="1" t="n">
        <v>45348</v>
      </c>
      <c r="C1372" s="1" t="n">
        <v>45664</v>
      </c>
      <c r="D1372" t="inlineStr">
        <is>
          <t>UPPSALA LÄN</t>
        </is>
      </c>
      <c r="E1372" t="inlineStr">
        <is>
          <t>UPPSALA</t>
        </is>
      </c>
      <c r="F1372" t="inlineStr">
        <is>
          <t>Kyrkan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7732-2024</t>
        </is>
      </c>
      <c r="B1373" s="1" t="n">
        <v>45349</v>
      </c>
      <c r="C1373" s="1" t="n">
        <v>45664</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7727-2024</t>
        </is>
      </c>
      <c r="B1374" s="1" t="n">
        <v>45349</v>
      </c>
      <c r="C1374" s="1" t="n">
        <v>45664</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7750-2024</t>
        </is>
      </c>
      <c r="B1375" s="1" t="n">
        <v>45349</v>
      </c>
      <c r="C1375" s="1" t="n">
        <v>45664</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7974-2024</t>
        </is>
      </c>
      <c r="B1376" s="1" t="n">
        <v>45350</v>
      </c>
      <c r="C1376" s="1" t="n">
        <v>45664</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8132-2024</t>
        </is>
      </c>
      <c r="B1377" s="1" t="n">
        <v>45351</v>
      </c>
      <c r="C1377" s="1" t="n">
        <v>45664</v>
      </c>
      <c r="D1377" t="inlineStr">
        <is>
          <t>UPPSALA LÄN</t>
        </is>
      </c>
      <c r="E1377" t="inlineStr">
        <is>
          <t>UPPSALA</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8109-2024</t>
        </is>
      </c>
      <c r="B1378" s="1" t="n">
        <v>45351</v>
      </c>
      <c r="C1378" s="1" t="n">
        <v>45664</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8672-2024</t>
        </is>
      </c>
      <c r="B1379" s="1" t="n">
        <v>45352</v>
      </c>
      <c r="C1379" s="1" t="n">
        <v>45664</v>
      </c>
      <c r="D1379" t="inlineStr">
        <is>
          <t>UPPSALA LÄN</t>
        </is>
      </c>
      <c r="E1379" t="inlineStr">
        <is>
          <t>UPPSALA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8338-2024</t>
        </is>
      </c>
      <c r="B1380" s="1" t="n">
        <v>45352</v>
      </c>
      <c r="C1380" s="1" t="n">
        <v>45664</v>
      </c>
      <c r="D1380" t="inlineStr">
        <is>
          <t>UPPSALA LÄN</t>
        </is>
      </c>
      <c r="E1380" t="inlineStr">
        <is>
          <t>UPPSALA</t>
        </is>
      </c>
      <c r="F1380" t="inlineStr">
        <is>
          <t>Kyrkan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9235-2024</t>
        </is>
      </c>
      <c r="B1381" s="1" t="n">
        <v>45357</v>
      </c>
      <c r="C1381" s="1" t="n">
        <v>45664</v>
      </c>
      <c r="D1381" t="inlineStr">
        <is>
          <t>UPPSALA LÄN</t>
        </is>
      </c>
      <c r="E1381" t="inlineStr">
        <is>
          <t>UPPSALA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9201-2024</t>
        </is>
      </c>
      <c r="B1382" s="1" t="n">
        <v>45358</v>
      </c>
      <c r="C1382" s="1" t="n">
        <v>45664</v>
      </c>
      <c r="D1382" t="inlineStr">
        <is>
          <t>UPPSALA LÄN</t>
        </is>
      </c>
      <c r="E1382" t="inlineStr">
        <is>
          <t>UPPSALA</t>
        </is>
      </c>
      <c r="F1382" t="inlineStr">
        <is>
          <t>Allmännings- och besparingsskogar</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9195-2024</t>
        </is>
      </c>
      <c r="B1383" s="1" t="n">
        <v>45358</v>
      </c>
      <c r="C1383" s="1" t="n">
        <v>45664</v>
      </c>
      <c r="D1383" t="inlineStr">
        <is>
          <t>UPPSALA LÄN</t>
        </is>
      </c>
      <c r="E1383" t="inlineStr">
        <is>
          <t>UPPSALA</t>
        </is>
      </c>
      <c r="F1383" t="inlineStr">
        <is>
          <t>Allmännings- och besparingsskogar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9255-2024</t>
        </is>
      </c>
      <c r="B1384" s="1" t="n">
        <v>45358</v>
      </c>
      <c r="C1384" s="1" t="n">
        <v>45664</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9428-2024</t>
        </is>
      </c>
      <c r="B1385" s="1" t="n">
        <v>45359</v>
      </c>
      <c r="C1385" s="1" t="n">
        <v>45664</v>
      </c>
      <c r="D1385" t="inlineStr">
        <is>
          <t>UPPSALA LÄN</t>
        </is>
      </c>
      <c r="E1385" t="inlineStr">
        <is>
          <t>UPPSALA</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9453-2024</t>
        </is>
      </c>
      <c r="B1386" s="1" t="n">
        <v>45359</v>
      </c>
      <c r="C1386" s="1" t="n">
        <v>45664</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9608-2024</t>
        </is>
      </c>
      <c r="B1387" s="1" t="n">
        <v>45361</v>
      </c>
      <c r="C1387" s="1" t="n">
        <v>45664</v>
      </c>
      <c r="D1387" t="inlineStr">
        <is>
          <t>UPPSALA LÄN</t>
        </is>
      </c>
      <c r="E1387" t="inlineStr">
        <is>
          <t>UPPSALA</t>
        </is>
      </c>
      <c r="F1387" t="inlineStr">
        <is>
          <t>Bergvik skog öst AB</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9609-2024</t>
        </is>
      </c>
      <c r="B1388" s="1" t="n">
        <v>45361</v>
      </c>
      <c r="C1388" s="1" t="n">
        <v>45664</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9610-2024</t>
        </is>
      </c>
      <c r="B1389" s="1" t="n">
        <v>45361</v>
      </c>
      <c r="C1389" s="1" t="n">
        <v>45664</v>
      </c>
      <c r="D1389" t="inlineStr">
        <is>
          <t>UPPSALA LÄN</t>
        </is>
      </c>
      <c r="E1389" t="inlineStr">
        <is>
          <t>UPPSALA</t>
        </is>
      </c>
      <c r="F1389" t="inlineStr">
        <is>
          <t>Bergvik skog öst AB</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9625-2024</t>
        </is>
      </c>
      <c r="B1390" s="1" t="n">
        <v>45361</v>
      </c>
      <c r="C1390" s="1" t="n">
        <v>45664</v>
      </c>
      <c r="D1390" t="inlineStr">
        <is>
          <t>UPPSALA LÄN</t>
        </is>
      </c>
      <c r="E1390" t="inlineStr">
        <is>
          <t>UPPSALA</t>
        </is>
      </c>
      <c r="F1390" t="inlineStr">
        <is>
          <t>Bergvik skog öst AB</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9611-2024</t>
        </is>
      </c>
      <c r="B1391" s="1" t="n">
        <v>45361</v>
      </c>
      <c r="C1391" s="1" t="n">
        <v>45664</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9735-2024</t>
        </is>
      </c>
      <c r="B1392" s="1" t="n">
        <v>45362</v>
      </c>
      <c r="C1392" s="1" t="n">
        <v>45664</v>
      </c>
      <c r="D1392" t="inlineStr">
        <is>
          <t>UPPSALA LÄN</t>
        </is>
      </c>
      <c r="E1392" t="inlineStr">
        <is>
          <t>UPPSALA</t>
        </is>
      </c>
      <c r="F1392" t="inlineStr">
        <is>
          <t>Bergvik skog öst AB</t>
        </is>
      </c>
      <c r="G1392" t="n">
        <v>13.6</v>
      </c>
      <c r="H1392" t="n">
        <v>0</v>
      </c>
      <c r="I1392" t="n">
        <v>0</v>
      </c>
      <c r="J1392" t="n">
        <v>0</v>
      </c>
      <c r="K1392" t="n">
        <v>0</v>
      </c>
      <c r="L1392" t="n">
        <v>0</v>
      </c>
      <c r="M1392" t="n">
        <v>0</v>
      </c>
      <c r="N1392" t="n">
        <v>0</v>
      </c>
      <c r="O1392" t="n">
        <v>0</v>
      </c>
      <c r="P1392" t="n">
        <v>0</v>
      </c>
      <c r="Q1392" t="n">
        <v>0</v>
      </c>
      <c r="R1392" s="2" t="inlineStr"/>
    </row>
    <row r="1393" ht="15" customHeight="1">
      <c r="A1393" t="inlineStr">
        <is>
          <t>A 9675-2024</t>
        </is>
      </c>
      <c r="B1393" s="1" t="n">
        <v>45362</v>
      </c>
      <c r="C1393" s="1" t="n">
        <v>45664</v>
      </c>
      <c r="D1393" t="inlineStr">
        <is>
          <t>UPPSALA LÄN</t>
        </is>
      </c>
      <c r="E1393" t="inlineStr">
        <is>
          <t>UPPSALA</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9914-2024</t>
        </is>
      </c>
      <c r="B1394" s="1" t="n">
        <v>45363</v>
      </c>
      <c r="C1394" s="1" t="n">
        <v>45664</v>
      </c>
      <c r="D1394" t="inlineStr">
        <is>
          <t>UPPSALA LÄN</t>
        </is>
      </c>
      <c r="E1394" t="inlineStr">
        <is>
          <t>UPPSALA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9917-2024</t>
        </is>
      </c>
      <c r="B1395" s="1" t="n">
        <v>45363</v>
      </c>
      <c r="C1395" s="1" t="n">
        <v>45664</v>
      </c>
      <c r="D1395" t="inlineStr">
        <is>
          <t>UPPSALA LÄN</t>
        </is>
      </c>
      <c r="E1395" t="inlineStr">
        <is>
          <t>UPPSALA</t>
        </is>
      </c>
      <c r="F1395" t="inlineStr">
        <is>
          <t>Bergvik skog väst AB</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10086-2024</t>
        </is>
      </c>
      <c r="B1396" s="1" t="n">
        <v>45364</v>
      </c>
      <c r="C1396" s="1" t="n">
        <v>45664</v>
      </c>
      <c r="D1396" t="inlineStr">
        <is>
          <t>UPPSALA LÄN</t>
        </is>
      </c>
      <c r="E1396" t="inlineStr">
        <is>
          <t>UPPSALA</t>
        </is>
      </c>
      <c r="F1396" t="inlineStr">
        <is>
          <t>Bergvik skog öst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10146-2024</t>
        </is>
      </c>
      <c r="B1397" s="1" t="n">
        <v>45364</v>
      </c>
      <c r="C1397" s="1" t="n">
        <v>45664</v>
      </c>
      <c r="D1397" t="inlineStr">
        <is>
          <t>UPPSALA LÄN</t>
        </is>
      </c>
      <c r="E1397" t="inlineStr">
        <is>
          <t>UPPSALA</t>
        </is>
      </c>
      <c r="F1397" t="inlineStr">
        <is>
          <t>Bergvik skog öst AB</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10477-2024</t>
        </is>
      </c>
      <c r="B1398" s="1" t="n">
        <v>45366</v>
      </c>
      <c r="C1398" s="1" t="n">
        <v>45664</v>
      </c>
      <c r="D1398" t="inlineStr">
        <is>
          <t>UPPSALA LÄN</t>
        </is>
      </c>
      <c r="E1398" t="inlineStr">
        <is>
          <t>UPPSALA</t>
        </is>
      </c>
      <c r="F1398" t="inlineStr">
        <is>
          <t>Holmen skog AB</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10474-2024</t>
        </is>
      </c>
      <c r="B1399" s="1" t="n">
        <v>45366</v>
      </c>
      <c r="C1399" s="1" t="n">
        <v>45664</v>
      </c>
      <c r="D1399" t="inlineStr">
        <is>
          <t>UPPSALA LÄN</t>
        </is>
      </c>
      <c r="E1399" t="inlineStr">
        <is>
          <t>UPPSALA</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10650-2024</t>
        </is>
      </c>
      <c r="B1400" s="1" t="n">
        <v>45368</v>
      </c>
      <c r="C1400" s="1" t="n">
        <v>45664</v>
      </c>
      <c r="D1400" t="inlineStr">
        <is>
          <t>UPPSALA LÄN</t>
        </is>
      </c>
      <c r="E1400" t="inlineStr">
        <is>
          <t>UPPSALA</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10651-2024</t>
        </is>
      </c>
      <c r="B1401" s="1" t="n">
        <v>45368</v>
      </c>
      <c r="C1401" s="1" t="n">
        <v>45664</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10653-2024</t>
        </is>
      </c>
      <c r="B1402" s="1" t="n">
        <v>45368</v>
      </c>
      <c r="C1402" s="1" t="n">
        <v>45664</v>
      </c>
      <c r="D1402" t="inlineStr">
        <is>
          <t>UPPSALA LÄN</t>
        </is>
      </c>
      <c r="E1402" t="inlineStr">
        <is>
          <t>UPPSALA</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10652-2024</t>
        </is>
      </c>
      <c r="B1403" s="1" t="n">
        <v>45368</v>
      </c>
      <c r="C1403" s="1" t="n">
        <v>45664</v>
      </c>
      <c r="D1403" t="inlineStr">
        <is>
          <t>UPPSALA LÄN</t>
        </is>
      </c>
      <c r="E1403" t="inlineStr">
        <is>
          <t>UPPSALA</t>
        </is>
      </c>
      <c r="F1403" t="inlineStr">
        <is>
          <t>Bergvik skog öst AB</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10827-2024</t>
        </is>
      </c>
      <c r="B1404" s="1" t="n">
        <v>45369</v>
      </c>
      <c r="C1404" s="1" t="n">
        <v>45664</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10782-2024</t>
        </is>
      </c>
      <c r="B1405" s="1" t="n">
        <v>45369</v>
      </c>
      <c r="C1405" s="1" t="n">
        <v>45664</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11169-2024</t>
        </is>
      </c>
      <c r="B1406" s="1" t="n">
        <v>45371</v>
      </c>
      <c r="C1406" s="1" t="n">
        <v>45664</v>
      </c>
      <c r="D1406" t="inlineStr">
        <is>
          <t>UPPSALA LÄN</t>
        </is>
      </c>
      <c r="E1406" t="inlineStr">
        <is>
          <t>UPPSALA</t>
        </is>
      </c>
      <c r="F1406" t="inlineStr">
        <is>
          <t>Bergvik skog öst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11173-2024</t>
        </is>
      </c>
      <c r="B1407" s="1" t="n">
        <v>45371</v>
      </c>
      <c r="C1407" s="1" t="n">
        <v>45664</v>
      </c>
      <c r="D1407" t="inlineStr">
        <is>
          <t>UPPSALA LÄN</t>
        </is>
      </c>
      <c r="E1407" t="inlineStr">
        <is>
          <t>UPPSALA</t>
        </is>
      </c>
      <c r="F1407" t="inlineStr">
        <is>
          <t>Bergvik skog öst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11159-2024</t>
        </is>
      </c>
      <c r="B1408" s="1" t="n">
        <v>45371</v>
      </c>
      <c r="C1408" s="1" t="n">
        <v>45664</v>
      </c>
      <c r="D1408" t="inlineStr">
        <is>
          <t>UPPSALA LÄN</t>
        </is>
      </c>
      <c r="E1408" t="inlineStr">
        <is>
          <t>UPPSALA</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11191-2024</t>
        </is>
      </c>
      <c r="B1409" s="1" t="n">
        <v>45371</v>
      </c>
      <c r="C1409" s="1" t="n">
        <v>45664</v>
      </c>
      <c r="D1409" t="inlineStr">
        <is>
          <t>UPPSALA LÄN</t>
        </is>
      </c>
      <c r="E1409" t="inlineStr">
        <is>
          <t>UPPSALA</t>
        </is>
      </c>
      <c r="F1409" t="inlineStr">
        <is>
          <t>Allmännings- och besparingsskogar</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11166-2024</t>
        </is>
      </c>
      <c r="B1410" s="1" t="n">
        <v>45371</v>
      </c>
      <c r="C1410" s="1" t="n">
        <v>45664</v>
      </c>
      <c r="D1410" t="inlineStr">
        <is>
          <t>UPPSALA LÄN</t>
        </is>
      </c>
      <c r="E1410" t="inlineStr">
        <is>
          <t>UPPSALA</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11201-2024</t>
        </is>
      </c>
      <c r="B1411" s="1" t="n">
        <v>45371</v>
      </c>
      <c r="C1411" s="1" t="n">
        <v>45664</v>
      </c>
      <c r="D1411" t="inlineStr">
        <is>
          <t>UPPSALA LÄN</t>
        </is>
      </c>
      <c r="E1411" t="inlineStr">
        <is>
          <t>UPPSALA</t>
        </is>
      </c>
      <c r="F1411" t="inlineStr">
        <is>
          <t>Kommuner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11277-2024</t>
        </is>
      </c>
      <c r="B1412" s="1" t="n">
        <v>45371</v>
      </c>
      <c r="C1412" s="1" t="n">
        <v>45664</v>
      </c>
      <c r="D1412" t="inlineStr">
        <is>
          <t>UPPSALA LÄN</t>
        </is>
      </c>
      <c r="E1412" t="inlineStr">
        <is>
          <t>UPPSALA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11289-2024</t>
        </is>
      </c>
      <c r="B1413" s="1" t="n">
        <v>45371</v>
      </c>
      <c r="C1413" s="1" t="n">
        <v>45664</v>
      </c>
      <c r="D1413" t="inlineStr">
        <is>
          <t>UPPSALA LÄN</t>
        </is>
      </c>
      <c r="E1413" t="inlineStr">
        <is>
          <t>UPPSALA</t>
        </is>
      </c>
      <c r="F1413" t="inlineStr">
        <is>
          <t>Allmännings- och besparingsskogar</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11200-2024</t>
        </is>
      </c>
      <c r="B1414" s="1" t="n">
        <v>45371</v>
      </c>
      <c r="C1414" s="1" t="n">
        <v>45664</v>
      </c>
      <c r="D1414" t="inlineStr">
        <is>
          <t>UPPSALA LÄN</t>
        </is>
      </c>
      <c r="E1414" t="inlineStr">
        <is>
          <t>UPPSALA</t>
        </is>
      </c>
      <c r="F1414" t="inlineStr">
        <is>
          <t>Allmännings- och besparingsskogar</t>
        </is>
      </c>
      <c r="G1414" t="n">
        <v>22.8</v>
      </c>
      <c r="H1414" t="n">
        <v>0</v>
      </c>
      <c r="I1414" t="n">
        <v>0</v>
      </c>
      <c r="J1414" t="n">
        <v>0</v>
      </c>
      <c r="K1414" t="n">
        <v>0</v>
      </c>
      <c r="L1414" t="n">
        <v>0</v>
      </c>
      <c r="M1414" t="n">
        <v>0</v>
      </c>
      <c r="N1414" t="n">
        <v>0</v>
      </c>
      <c r="O1414" t="n">
        <v>0</v>
      </c>
      <c r="P1414" t="n">
        <v>0</v>
      </c>
      <c r="Q1414" t="n">
        <v>0</v>
      </c>
      <c r="R1414" s="2" t="inlineStr"/>
    </row>
    <row r="1415" ht="15" customHeight="1">
      <c r="A1415" t="inlineStr">
        <is>
          <t>A 11260-2024</t>
        </is>
      </c>
      <c r="B1415" s="1" t="n">
        <v>45371</v>
      </c>
      <c r="C1415" s="1" t="n">
        <v>45664</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11457-2024</t>
        </is>
      </c>
      <c r="B1416" s="1" t="n">
        <v>45372</v>
      </c>
      <c r="C1416" s="1" t="n">
        <v>45664</v>
      </c>
      <c r="D1416" t="inlineStr">
        <is>
          <t>UPPSALA LÄN</t>
        </is>
      </c>
      <c r="E1416" t="inlineStr">
        <is>
          <t>UPPSALA</t>
        </is>
      </c>
      <c r="F1416" t="inlineStr">
        <is>
          <t>Bergvik skog öst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11677-2024</t>
        </is>
      </c>
      <c r="B1417" s="1" t="n">
        <v>45373</v>
      </c>
      <c r="C1417" s="1" t="n">
        <v>45664</v>
      </c>
      <c r="D1417" t="inlineStr">
        <is>
          <t>UPPSALA LÄN</t>
        </is>
      </c>
      <c r="E1417" t="inlineStr">
        <is>
          <t>UPPSALA</t>
        </is>
      </c>
      <c r="F1417" t="inlineStr">
        <is>
          <t>Holmen skog AB</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11719-2024</t>
        </is>
      </c>
      <c r="B1418" s="1" t="n">
        <v>45373</v>
      </c>
      <c r="C1418" s="1" t="n">
        <v>45664</v>
      </c>
      <c r="D1418" t="inlineStr">
        <is>
          <t>UPPSALA LÄN</t>
        </is>
      </c>
      <c r="E1418" t="inlineStr">
        <is>
          <t>UPPSALA</t>
        </is>
      </c>
      <c r="F1418" t="inlineStr">
        <is>
          <t>Holmen skog AB</t>
        </is>
      </c>
      <c r="G1418" t="n">
        <v>18.3</v>
      </c>
      <c r="H1418" t="n">
        <v>0</v>
      </c>
      <c r="I1418" t="n">
        <v>0</v>
      </c>
      <c r="J1418" t="n">
        <v>0</v>
      </c>
      <c r="K1418" t="n">
        <v>0</v>
      </c>
      <c r="L1418" t="n">
        <v>0</v>
      </c>
      <c r="M1418" t="n">
        <v>0</v>
      </c>
      <c r="N1418" t="n">
        <v>0</v>
      </c>
      <c r="O1418" t="n">
        <v>0</v>
      </c>
      <c r="P1418" t="n">
        <v>0</v>
      </c>
      <c r="Q1418" t="n">
        <v>0</v>
      </c>
      <c r="R1418" s="2" t="inlineStr"/>
    </row>
    <row r="1419" ht="15" customHeight="1">
      <c r="A1419" t="inlineStr">
        <is>
          <t>A 12345-2024</t>
        </is>
      </c>
      <c r="B1419" s="1" t="n">
        <v>45378</v>
      </c>
      <c r="C1419" s="1" t="n">
        <v>45664</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12346-2024</t>
        </is>
      </c>
      <c r="B1420" s="1" t="n">
        <v>45378</v>
      </c>
      <c r="C1420" s="1" t="n">
        <v>45664</v>
      </c>
      <c r="D1420" t="inlineStr">
        <is>
          <t>UPPSALA LÄN</t>
        </is>
      </c>
      <c r="E1420" t="inlineStr">
        <is>
          <t>UPPSALA</t>
        </is>
      </c>
      <c r="F1420" t="inlineStr">
        <is>
          <t>Bergvik skog öst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12347-2024</t>
        </is>
      </c>
      <c r="B1421" s="1" t="n">
        <v>45378</v>
      </c>
      <c r="C1421" s="1" t="n">
        <v>45664</v>
      </c>
      <c r="D1421" t="inlineStr">
        <is>
          <t>UPPSALA LÄN</t>
        </is>
      </c>
      <c r="E1421" t="inlineStr">
        <is>
          <t>UPPSALA</t>
        </is>
      </c>
      <c r="F1421" t="inlineStr">
        <is>
          <t>Bergvik skog öst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12507-2024</t>
        </is>
      </c>
      <c r="B1422" s="1" t="n">
        <v>45379</v>
      </c>
      <c r="C1422" s="1" t="n">
        <v>45664</v>
      </c>
      <c r="D1422" t="inlineStr">
        <is>
          <t>UPPSALA LÄN</t>
        </is>
      </c>
      <c r="E1422" t="inlineStr">
        <is>
          <t>UPPSALA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13100-2024</t>
        </is>
      </c>
      <c r="B1423" s="1" t="n">
        <v>45385</v>
      </c>
      <c r="C1423" s="1" t="n">
        <v>45664</v>
      </c>
      <c r="D1423" t="inlineStr">
        <is>
          <t>UPPSALA LÄN</t>
        </is>
      </c>
      <c r="E1423" t="inlineStr">
        <is>
          <t>UPPSALA</t>
        </is>
      </c>
      <c r="F1423" t="inlineStr">
        <is>
          <t>Holmen skog AB</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13305-2024</t>
        </is>
      </c>
      <c r="B1424" s="1" t="n">
        <v>45386</v>
      </c>
      <c r="C1424" s="1" t="n">
        <v>45664</v>
      </c>
      <c r="D1424" t="inlineStr">
        <is>
          <t>UPPSALA LÄN</t>
        </is>
      </c>
      <c r="E1424" t="inlineStr">
        <is>
          <t>UPPSALA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13303-2024</t>
        </is>
      </c>
      <c r="B1425" s="1" t="n">
        <v>45386</v>
      </c>
      <c r="C1425" s="1" t="n">
        <v>45664</v>
      </c>
      <c r="D1425" t="inlineStr">
        <is>
          <t>UPPSALA LÄN</t>
        </is>
      </c>
      <c r="E1425" t="inlineStr">
        <is>
          <t>UPPSALA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13302-2024</t>
        </is>
      </c>
      <c r="B1426" s="1" t="n">
        <v>45386</v>
      </c>
      <c r="C1426" s="1" t="n">
        <v>45664</v>
      </c>
      <c r="D1426" t="inlineStr">
        <is>
          <t>UPPSALA LÄN</t>
        </is>
      </c>
      <c r="E1426" t="inlineStr">
        <is>
          <t>UPPSALA</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13379-2024</t>
        </is>
      </c>
      <c r="B1427" s="1" t="n">
        <v>45387</v>
      </c>
      <c r="C1427" s="1" t="n">
        <v>45664</v>
      </c>
      <c r="D1427" t="inlineStr">
        <is>
          <t>UPPSALA LÄN</t>
        </is>
      </c>
      <c r="E1427" t="inlineStr">
        <is>
          <t>UPPSALA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13644-2024</t>
        </is>
      </c>
      <c r="B1428" s="1" t="n">
        <v>45390</v>
      </c>
      <c r="C1428" s="1" t="n">
        <v>45664</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13799-2024</t>
        </is>
      </c>
      <c r="B1429" s="1" t="n">
        <v>45391</v>
      </c>
      <c r="C1429" s="1" t="n">
        <v>45664</v>
      </c>
      <c r="D1429" t="inlineStr">
        <is>
          <t>UPPSALA LÄN</t>
        </is>
      </c>
      <c r="E1429" t="inlineStr">
        <is>
          <t>UPPSALA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14533-2024</t>
        </is>
      </c>
      <c r="B1430" s="1" t="n">
        <v>45394</v>
      </c>
      <c r="C1430" s="1" t="n">
        <v>45664</v>
      </c>
      <c r="D1430" t="inlineStr">
        <is>
          <t>UPPSALA LÄN</t>
        </is>
      </c>
      <c r="E1430" t="inlineStr">
        <is>
          <t>UPPSALA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14401-2024</t>
        </is>
      </c>
      <c r="B1431" s="1" t="n">
        <v>45394</v>
      </c>
      <c r="C1431" s="1" t="n">
        <v>45664</v>
      </c>
      <c r="D1431" t="inlineStr">
        <is>
          <t>UPPSALA LÄN</t>
        </is>
      </c>
      <c r="E1431" t="inlineStr">
        <is>
          <t>UPPSALA</t>
        </is>
      </c>
      <c r="F1431" t="inlineStr">
        <is>
          <t>Övriga statliga verk och myndigheter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14528-2024</t>
        </is>
      </c>
      <c r="B1432" s="1" t="n">
        <v>45394</v>
      </c>
      <c r="C1432" s="1" t="n">
        <v>45664</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14404-2024</t>
        </is>
      </c>
      <c r="B1433" s="1" t="n">
        <v>45394</v>
      </c>
      <c r="C1433" s="1" t="n">
        <v>45664</v>
      </c>
      <c r="D1433" t="inlineStr">
        <is>
          <t>UPPSALA LÄN</t>
        </is>
      </c>
      <c r="E1433" t="inlineStr">
        <is>
          <t>UPPSALA</t>
        </is>
      </c>
      <c r="F1433" t="inlineStr">
        <is>
          <t>Övriga statliga verk och myndigheter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14523-2024</t>
        </is>
      </c>
      <c r="B1434" s="1" t="n">
        <v>45394</v>
      </c>
      <c r="C1434" s="1" t="n">
        <v>45664</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14643-2024</t>
        </is>
      </c>
      <c r="B1435" s="1" t="n">
        <v>45397</v>
      </c>
      <c r="C1435" s="1" t="n">
        <v>45664</v>
      </c>
      <c r="D1435" t="inlineStr">
        <is>
          <t>UPPSALA LÄN</t>
        </is>
      </c>
      <c r="E1435" t="inlineStr">
        <is>
          <t>UPPSALA</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14672-2024</t>
        </is>
      </c>
      <c r="B1436" s="1" t="n">
        <v>45397</v>
      </c>
      <c r="C1436" s="1" t="n">
        <v>45664</v>
      </c>
      <c r="D1436" t="inlineStr">
        <is>
          <t>UPPSALA LÄN</t>
        </is>
      </c>
      <c r="E1436" t="inlineStr">
        <is>
          <t>UPPSALA</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15254-2024</t>
        </is>
      </c>
      <c r="B1437" s="1" t="n">
        <v>45400</v>
      </c>
      <c r="C1437" s="1" t="n">
        <v>45664</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15255-2024</t>
        </is>
      </c>
      <c r="B1438" s="1" t="n">
        <v>45400</v>
      </c>
      <c r="C1438" s="1" t="n">
        <v>45664</v>
      </c>
      <c r="D1438" t="inlineStr">
        <is>
          <t>UPPSALA LÄN</t>
        </is>
      </c>
      <c r="E1438" t="inlineStr">
        <is>
          <t>UPPSALA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15544-2024</t>
        </is>
      </c>
      <c r="B1439" s="1" t="n">
        <v>45401</v>
      </c>
      <c r="C1439" s="1" t="n">
        <v>45664</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16434-2024</t>
        </is>
      </c>
      <c r="B1440" s="1" t="n">
        <v>45407</v>
      </c>
      <c r="C1440" s="1" t="n">
        <v>45664</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16324-2024</t>
        </is>
      </c>
      <c r="B1441" s="1" t="n">
        <v>45407</v>
      </c>
      <c r="C1441" s="1" t="n">
        <v>45664</v>
      </c>
      <c r="D1441" t="inlineStr">
        <is>
          <t>UPPSALA LÄN</t>
        </is>
      </c>
      <c r="E1441" t="inlineStr">
        <is>
          <t>UPPSALA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17146-2024</t>
        </is>
      </c>
      <c r="B1442" s="1" t="n">
        <v>45412</v>
      </c>
      <c r="C1442" s="1" t="n">
        <v>45664</v>
      </c>
      <c r="D1442" t="inlineStr">
        <is>
          <t>UPPSALA LÄN</t>
        </is>
      </c>
      <c r="E1442" t="inlineStr">
        <is>
          <t>UPPSALA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17287-2024</t>
        </is>
      </c>
      <c r="B1443" s="1" t="n">
        <v>45414</v>
      </c>
      <c r="C1443" s="1" t="n">
        <v>45664</v>
      </c>
      <c r="D1443" t="inlineStr">
        <is>
          <t>UPPSALA LÄN</t>
        </is>
      </c>
      <c r="E1443" t="inlineStr">
        <is>
          <t>UPPSALA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17761-2024</t>
        </is>
      </c>
      <c r="B1444" s="1" t="n">
        <v>45418</v>
      </c>
      <c r="C1444" s="1" t="n">
        <v>45664</v>
      </c>
      <c r="D1444" t="inlineStr">
        <is>
          <t>UPPSALA LÄN</t>
        </is>
      </c>
      <c r="E1444" t="inlineStr">
        <is>
          <t>UPPSALA</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18069-2024</t>
        </is>
      </c>
      <c r="B1445" s="1" t="n">
        <v>45420</v>
      </c>
      <c r="C1445" s="1" t="n">
        <v>45664</v>
      </c>
      <c r="D1445" t="inlineStr">
        <is>
          <t>UPPSALA LÄN</t>
        </is>
      </c>
      <c r="E1445" t="inlineStr">
        <is>
          <t>UPPSALA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18354-2024</t>
        </is>
      </c>
      <c r="B1446" s="1" t="n">
        <v>45422</v>
      </c>
      <c r="C1446" s="1" t="n">
        <v>45664</v>
      </c>
      <c r="D1446" t="inlineStr">
        <is>
          <t>UPPSALA LÄN</t>
        </is>
      </c>
      <c r="E1446" t="inlineStr">
        <is>
          <t>UPPSALA</t>
        </is>
      </c>
      <c r="F1446" t="inlineStr">
        <is>
          <t>Holmen skog AB</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18607-2024</t>
        </is>
      </c>
      <c r="B1447" s="1" t="n">
        <v>45426</v>
      </c>
      <c r="C1447" s="1" t="n">
        <v>45664</v>
      </c>
      <c r="D1447" t="inlineStr">
        <is>
          <t>UPPSALA LÄN</t>
        </is>
      </c>
      <c r="E1447" t="inlineStr">
        <is>
          <t>UPPSALA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18677-2024</t>
        </is>
      </c>
      <c r="B1448" s="1" t="n">
        <v>45426</v>
      </c>
      <c r="C1448" s="1" t="n">
        <v>45664</v>
      </c>
      <c r="D1448" t="inlineStr">
        <is>
          <t>UPPSALA LÄN</t>
        </is>
      </c>
      <c r="E1448" t="inlineStr">
        <is>
          <t>UPPSALA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18667-2024</t>
        </is>
      </c>
      <c r="B1449" s="1" t="n">
        <v>45426</v>
      </c>
      <c r="C1449" s="1" t="n">
        <v>45664</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18670-2024</t>
        </is>
      </c>
      <c r="B1450" s="1" t="n">
        <v>45426</v>
      </c>
      <c r="C1450" s="1" t="n">
        <v>45664</v>
      </c>
      <c r="D1450" t="inlineStr">
        <is>
          <t>UPPSALA LÄN</t>
        </is>
      </c>
      <c r="E1450" t="inlineStr">
        <is>
          <t>UPPSALA</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18675-2024</t>
        </is>
      </c>
      <c r="B1451" s="1" t="n">
        <v>45426</v>
      </c>
      <c r="C1451" s="1" t="n">
        <v>45664</v>
      </c>
      <c r="D1451" t="inlineStr">
        <is>
          <t>UPPSALA LÄN</t>
        </is>
      </c>
      <c r="E1451" t="inlineStr">
        <is>
          <t>UPPSALA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18808-2024</t>
        </is>
      </c>
      <c r="B1452" s="1" t="n">
        <v>45426</v>
      </c>
      <c r="C1452" s="1" t="n">
        <v>45664</v>
      </c>
      <c r="D1452" t="inlineStr">
        <is>
          <t>UPPSALA LÄN</t>
        </is>
      </c>
      <c r="E1452" t="inlineStr">
        <is>
          <t>UPPSALA</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18668-2024</t>
        </is>
      </c>
      <c r="B1453" s="1" t="n">
        <v>45426</v>
      </c>
      <c r="C1453" s="1" t="n">
        <v>45664</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19164-2024</t>
        </is>
      </c>
      <c r="B1454" s="1" t="n">
        <v>45428</v>
      </c>
      <c r="C1454" s="1" t="n">
        <v>45664</v>
      </c>
      <c r="D1454" t="inlineStr">
        <is>
          <t>UPPSALA LÄN</t>
        </is>
      </c>
      <c r="E1454" t="inlineStr">
        <is>
          <t>UPPSALA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19126-2024</t>
        </is>
      </c>
      <c r="B1455" s="1" t="n">
        <v>45428</v>
      </c>
      <c r="C1455" s="1" t="n">
        <v>45664</v>
      </c>
      <c r="D1455" t="inlineStr">
        <is>
          <t>UPPSALA LÄN</t>
        </is>
      </c>
      <c r="E1455" t="inlineStr">
        <is>
          <t>UPPSALA</t>
        </is>
      </c>
      <c r="F1455" t="inlineStr">
        <is>
          <t>Allmännings- och besparingsskogar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19414-2024</t>
        </is>
      </c>
      <c r="B1456" s="1" t="n">
        <v>45429</v>
      </c>
      <c r="C1456" s="1" t="n">
        <v>45664</v>
      </c>
      <c r="D1456" t="inlineStr">
        <is>
          <t>UPPSALA LÄN</t>
        </is>
      </c>
      <c r="E1456" t="inlineStr">
        <is>
          <t>UPPSALA</t>
        </is>
      </c>
      <c r="F1456" t="inlineStr">
        <is>
          <t>Kyrkan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19539-2024</t>
        </is>
      </c>
      <c r="B1457" s="1" t="n">
        <v>45429</v>
      </c>
      <c r="C1457" s="1" t="n">
        <v>45664</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20466-2024</t>
        </is>
      </c>
      <c r="B1458" s="1" t="n">
        <v>45435</v>
      </c>
      <c r="C1458" s="1" t="n">
        <v>45664</v>
      </c>
      <c r="D1458" t="inlineStr">
        <is>
          <t>UPPSALA LÄN</t>
        </is>
      </c>
      <c r="E1458" t="inlineStr">
        <is>
          <t>UPPSALA</t>
        </is>
      </c>
      <c r="F1458" t="inlineStr">
        <is>
          <t>Holmen skog AB</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20297-2024</t>
        </is>
      </c>
      <c r="B1459" s="1" t="n">
        <v>45435</v>
      </c>
      <c r="C1459" s="1" t="n">
        <v>45664</v>
      </c>
      <c r="D1459" t="inlineStr">
        <is>
          <t>UPPSALA LÄN</t>
        </is>
      </c>
      <c r="E1459" t="inlineStr">
        <is>
          <t>UPPSALA</t>
        </is>
      </c>
      <c r="F1459" t="inlineStr">
        <is>
          <t>Kyrkan</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20301-2024</t>
        </is>
      </c>
      <c r="B1460" s="1" t="n">
        <v>45435</v>
      </c>
      <c r="C1460" s="1" t="n">
        <v>45664</v>
      </c>
      <c r="D1460" t="inlineStr">
        <is>
          <t>UPPSALA LÄN</t>
        </is>
      </c>
      <c r="E1460" t="inlineStr">
        <is>
          <t>UPPSALA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20375-2024</t>
        </is>
      </c>
      <c r="B1461" s="1" t="n">
        <v>45435</v>
      </c>
      <c r="C1461" s="1" t="n">
        <v>45664</v>
      </c>
      <c r="D1461" t="inlineStr">
        <is>
          <t>UPPSALA LÄN</t>
        </is>
      </c>
      <c r="E1461" t="inlineStr">
        <is>
          <t>UPPSALA</t>
        </is>
      </c>
      <c r="F1461" t="inlineStr">
        <is>
          <t>Holmen skog AB</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20459-2024</t>
        </is>
      </c>
      <c r="B1462" s="1" t="n">
        <v>45435</v>
      </c>
      <c r="C1462" s="1" t="n">
        <v>45664</v>
      </c>
      <c r="D1462" t="inlineStr">
        <is>
          <t>UPPSALA LÄN</t>
        </is>
      </c>
      <c r="E1462" t="inlineStr">
        <is>
          <t>UPPSALA</t>
        </is>
      </c>
      <c r="F1462" t="inlineStr">
        <is>
          <t>Kyrkan</t>
        </is>
      </c>
      <c r="G1462" t="n">
        <v>15.8</v>
      </c>
      <c r="H1462" t="n">
        <v>0</v>
      </c>
      <c r="I1462" t="n">
        <v>0</v>
      </c>
      <c r="J1462" t="n">
        <v>0</v>
      </c>
      <c r="K1462" t="n">
        <v>0</v>
      </c>
      <c r="L1462" t="n">
        <v>0</v>
      </c>
      <c r="M1462" t="n">
        <v>0</v>
      </c>
      <c r="N1462" t="n">
        <v>0</v>
      </c>
      <c r="O1462" t="n">
        <v>0</v>
      </c>
      <c r="P1462" t="n">
        <v>0</v>
      </c>
      <c r="Q1462" t="n">
        <v>0</v>
      </c>
      <c r="R1462" s="2" t="inlineStr"/>
    </row>
    <row r="1463" ht="15" customHeight="1">
      <c r="A1463" t="inlineStr">
        <is>
          <t>A 20458-2024</t>
        </is>
      </c>
      <c r="B1463" s="1" t="n">
        <v>45435</v>
      </c>
      <c r="C1463" s="1" t="n">
        <v>45664</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20711-2024</t>
        </is>
      </c>
      <c r="B1464" s="1" t="n">
        <v>45436</v>
      </c>
      <c r="C1464" s="1" t="n">
        <v>45664</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20851-2024</t>
        </is>
      </c>
      <c r="B1465" s="1" t="n">
        <v>45439</v>
      </c>
      <c r="C1465" s="1" t="n">
        <v>45664</v>
      </c>
      <c r="D1465" t="inlineStr">
        <is>
          <t>UPPSALA LÄN</t>
        </is>
      </c>
      <c r="E1465" t="inlineStr">
        <is>
          <t>UPPSALA</t>
        </is>
      </c>
      <c r="F1465" t="inlineStr">
        <is>
          <t>Holmen skog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21015-2024</t>
        </is>
      </c>
      <c r="B1466" s="1" t="n">
        <v>45439</v>
      </c>
      <c r="C1466" s="1" t="n">
        <v>45664</v>
      </c>
      <c r="D1466" t="inlineStr">
        <is>
          <t>UPPSALA LÄN</t>
        </is>
      </c>
      <c r="E1466" t="inlineStr">
        <is>
          <t>UPPSALA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20903-2024</t>
        </is>
      </c>
      <c r="B1467" s="1" t="n">
        <v>45439</v>
      </c>
      <c r="C1467" s="1" t="n">
        <v>45664</v>
      </c>
      <c r="D1467" t="inlineStr">
        <is>
          <t>UPPSALA LÄN</t>
        </is>
      </c>
      <c r="E1467" t="inlineStr">
        <is>
          <t>UPPSALA</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21182-2024</t>
        </is>
      </c>
      <c r="B1468" s="1" t="n">
        <v>45440</v>
      </c>
      <c r="C1468" s="1" t="n">
        <v>45664</v>
      </c>
      <c r="D1468" t="inlineStr">
        <is>
          <t>UPPSALA LÄN</t>
        </is>
      </c>
      <c r="E1468" t="inlineStr">
        <is>
          <t>UPPSALA</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21310-2024</t>
        </is>
      </c>
      <c r="B1469" s="1" t="n">
        <v>45440</v>
      </c>
      <c r="C1469" s="1" t="n">
        <v>45664</v>
      </c>
      <c r="D1469" t="inlineStr">
        <is>
          <t>UPPSALA LÄN</t>
        </is>
      </c>
      <c r="E1469" t="inlineStr">
        <is>
          <t>UPPSALA</t>
        </is>
      </c>
      <c r="F1469" t="inlineStr">
        <is>
          <t>Holmen skog AB</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21526-2024</t>
        </is>
      </c>
      <c r="B1470" s="1" t="n">
        <v>45441</v>
      </c>
      <c r="C1470" s="1" t="n">
        <v>45664</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21555-2024</t>
        </is>
      </c>
      <c r="B1471" s="1" t="n">
        <v>45441</v>
      </c>
      <c r="C1471" s="1" t="n">
        <v>45664</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21657-2024</t>
        </is>
      </c>
      <c r="B1472" s="1" t="n">
        <v>45442</v>
      </c>
      <c r="C1472" s="1" t="n">
        <v>45664</v>
      </c>
      <c r="D1472" t="inlineStr">
        <is>
          <t>UPPSALA LÄN</t>
        </is>
      </c>
      <c r="E1472" t="inlineStr">
        <is>
          <t>UPPSALA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21786-2024</t>
        </is>
      </c>
      <c r="B1473" s="1" t="n">
        <v>45442</v>
      </c>
      <c r="C1473" s="1" t="n">
        <v>45664</v>
      </c>
      <c r="D1473" t="inlineStr">
        <is>
          <t>UPPSALA LÄN</t>
        </is>
      </c>
      <c r="E1473" t="inlineStr">
        <is>
          <t>UPPSALA</t>
        </is>
      </c>
      <c r="F1473" t="inlineStr">
        <is>
          <t>Allmännings- och besparingsskogar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21641-2024</t>
        </is>
      </c>
      <c r="B1474" s="1" t="n">
        <v>45442</v>
      </c>
      <c r="C1474" s="1" t="n">
        <v>45664</v>
      </c>
      <c r="D1474" t="inlineStr">
        <is>
          <t>UPPSALA LÄN</t>
        </is>
      </c>
      <c r="E1474" t="inlineStr">
        <is>
          <t>UPPSALA</t>
        </is>
      </c>
      <c r="F1474" t="inlineStr">
        <is>
          <t>Kyrkan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21859-2024</t>
        </is>
      </c>
      <c r="B1475" s="1" t="n">
        <v>45443</v>
      </c>
      <c r="C1475" s="1" t="n">
        <v>45664</v>
      </c>
      <c r="D1475" t="inlineStr">
        <is>
          <t>UPPSALA LÄN</t>
        </is>
      </c>
      <c r="E1475" t="inlineStr">
        <is>
          <t>UPPSALA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22431-2024</t>
        </is>
      </c>
      <c r="B1476" s="1" t="n">
        <v>45446</v>
      </c>
      <c r="C1476" s="1" t="n">
        <v>45664</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22437-2024</t>
        </is>
      </c>
      <c r="B1477" s="1" t="n">
        <v>45446</v>
      </c>
      <c r="C1477" s="1" t="n">
        <v>45664</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22433-2024</t>
        </is>
      </c>
      <c r="B1478" s="1" t="n">
        <v>45446</v>
      </c>
      <c r="C1478" s="1" t="n">
        <v>45664</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22432-2024</t>
        </is>
      </c>
      <c r="B1479" s="1" t="n">
        <v>45446</v>
      </c>
      <c r="C1479" s="1" t="n">
        <v>45664</v>
      </c>
      <c r="D1479" t="inlineStr">
        <is>
          <t>UPPSALA LÄN</t>
        </is>
      </c>
      <c r="E1479" t="inlineStr">
        <is>
          <t>UPPSALA</t>
        </is>
      </c>
      <c r="F1479" t="inlineStr">
        <is>
          <t>Bergvik skog öst AB</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22900-2024</t>
        </is>
      </c>
      <c r="B1480" s="1" t="n">
        <v>45448</v>
      </c>
      <c r="C1480" s="1" t="n">
        <v>45664</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23291-2024</t>
        </is>
      </c>
      <c r="B1481" s="1" t="n">
        <v>45453</v>
      </c>
      <c r="C1481" s="1" t="n">
        <v>45664</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23494-2024</t>
        </is>
      </c>
      <c r="B1482" s="1" t="n">
        <v>45453</v>
      </c>
      <c r="C1482" s="1" t="n">
        <v>45664</v>
      </c>
      <c r="D1482" t="inlineStr">
        <is>
          <t>UPPSALA LÄN</t>
        </is>
      </c>
      <c r="E1482" t="inlineStr">
        <is>
          <t>UPPSALA</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24098-2024</t>
        </is>
      </c>
      <c r="B1483" s="1" t="n">
        <v>45456</v>
      </c>
      <c r="C1483" s="1" t="n">
        <v>45664</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24091-2024</t>
        </is>
      </c>
      <c r="B1484" s="1" t="n">
        <v>45456</v>
      </c>
      <c r="C1484" s="1" t="n">
        <v>45664</v>
      </c>
      <c r="D1484" t="inlineStr">
        <is>
          <t>UPPSALA LÄN</t>
        </is>
      </c>
      <c r="E1484" t="inlineStr">
        <is>
          <t>UPPSALA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24787-2024</t>
        </is>
      </c>
      <c r="B1485" s="1" t="n">
        <v>45460</v>
      </c>
      <c r="C1485" s="1" t="n">
        <v>45664</v>
      </c>
      <c r="D1485" t="inlineStr">
        <is>
          <t>UPPSALA LÄN</t>
        </is>
      </c>
      <c r="E1485" t="inlineStr">
        <is>
          <t>UPPSALA</t>
        </is>
      </c>
      <c r="F1485" t="inlineStr">
        <is>
          <t>Övriga Aktiebolag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25539-2024</t>
        </is>
      </c>
      <c r="B1486" s="1" t="n">
        <v>45463</v>
      </c>
      <c r="C1486" s="1" t="n">
        <v>45664</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25537-2024</t>
        </is>
      </c>
      <c r="B1487" s="1" t="n">
        <v>45463</v>
      </c>
      <c r="C1487" s="1" t="n">
        <v>45664</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25536-2024</t>
        </is>
      </c>
      <c r="B1488" s="1" t="n">
        <v>45463</v>
      </c>
      <c r="C1488" s="1" t="n">
        <v>45664</v>
      </c>
      <c r="D1488" t="inlineStr">
        <is>
          <t>UPPSALA LÄN</t>
        </is>
      </c>
      <c r="E1488" t="inlineStr">
        <is>
          <t>UPPSALA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25487-2024</t>
        </is>
      </c>
      <c r="B1489" s="1" t="n">
        <v>45463</v>
      </c>
      <c r="C1489" s="1" t="n">
        <v>45664</v>
      </c>
      <c r="D1489" t="inlineStr">
        <is>
          <t>UPPSALA LÄN</t>
        </is>
      </c>
      <c r="E1489" t="inlineStr">
        <is>
          <t>UPPSALA</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25403-2024</t>
        </is>
      </c>
      <c r="B1490" s="1" t="n">
        <v>45463</v>
      </c>
      <c r="C1490" s="1" t="n">
        <v>45664</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25490-2024</t>
        </is>
      </c>
      <c r="B1491" s="1" t="n">
        <v>45463</v>
      </c>
      <c r="C1491" s="1" t="n">
        <v>45664</v>
      </c>
      <c r="D1491" t="inlineStr">
        <is>
          <t>UPPSALA LÄN</t>
        </is>
      </c>
      <c r="E1491" t="inlineStr">
        <is>
          <t>UPPSALA</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26099-2024</t>
        </is>
      </c>
      <c r="B1492" s="1" t="n">
        <v>45468</v>
      </c>
      <c r="C1492" s="1" t="n">
        <v>45664</v>
      </c>
      <c r="D1492" t="inlineStr">
        <is>
          <t>UPPSALA LÄN</t>
        </is>
      </c>
      <c r="E1492" t="inlineStr">
        <is>
          <t>UPPSALA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27476-2024</t>
        </is>
      </c>
      <c r="B1493" s="1" t="n">
        <v>45474</v>
      </c>
      <c r="C1493" s="1" t="n">
        <v>45664</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27473-2024</t>
        </is>
      </c>
      <c r="B1494" s="1" t="n">
        <v>45474</v>
      </c>
      <c r="C1494" s="1" t="n">
        <v>45664</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27442-2024</t>
        </is>
      </c>
      <c r="B1495" s="1" t="n">
        <v>45474</v>
      </c>
      <c r="C1495" s="1" t="n">
        <v>45664</v>
      </c>
      <c r="D1495" t="inlineStr">
        <is>
          <t>UPPSALA LÄN</t>
        </is>
      </c>
      <c r="E1495" t="inlineStr">
        <is>
          <t>UPPSALA</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27474-2024</t>
        </is>
      </c>
      <c r="B1496" s="1" t="n">
        <v>45474</v>
      </c>
      <c r="C1496" s="1" t="n">
        <v>45664</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27498-2024</t>
        </is>
      </c>
      <c r="B1497" s="1" t="n">
        <v>45474</v>
      </c>
      <c r="C1497" s="1" t="n">
        <v>45664</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27857-2024</t>
        </is>
      </c>
      <c r="B1498" s="1" t="n">
        <v>45475</v>
      </c>
      <c r="C1498" s="1" t="n">
        <v>45664</v>
      </c>
      <c r="D1498" t="inlineStr">
        <is>
          <t>UPPSALA LÄN</t>
        </is>
      </c>
      <c r="E1498" t="inlineStr">
        <is>
          <t>UPPSALA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27994-2024</t>
        </is>
      </c>
      <c r="B1499" s="1" t="n">
        <v>45476</v>
      </c>
      <c r="C1499" s="1" t="n">
        <v>45664</v>
      </c>
      <c r="D1499" t="inlineStr">
        <is>
          <t>UPPSALA LÄN</t>
        </is>
      </c>
      <c r="E1499" t="inlineStr">
        <is>
          <t>UPPSALA</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27981-2024</t>
        </is>
      </c>
      <c r="B1500" s="1" t="n">
        <v>45476</v>
      </c>
      <c r="C1500" s="1" t="n">
        <v>45664</v>
      </c>
      <c r="D1500" t="inlineStr">
        <is>
          <t>UPPSALA LÄN</t>
        </is>
      </c>
      <c r="E1500" t="inlineStr">
        <is>
          <t>UPPSALA</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27973-2024</t>
        </is>
      </c>
      <c r="B1501" s="1" t="n">
        <v>45476</v>
      </c>
      <c r="C1501" s="1" t="n">
        <v>45664</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28453-2024</t>
        </is>
      </c>
      <c r="B1502" s="1" t="n">
        <v>45477</v>
      </c>
      <c r="C1502" s="1" t="n">
        <v>45664</v>
      </c>
      <c r="D1502" t="inlineStr">
        <is>
          <t>UPPSALA LÄN</t>
        </is>
      </c>
      <c r="E1502" t="inlineStr">
        <is>
          <t>UPPSALA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28825-2024</t>
        </is>
      </c>
      <c r="B1503" s="1" t="n">
        <v>45478</v>
      </c>
      <c r="C1503" s="1" t="n">
        <v>45664</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28782-2024</t>
        </is>
      </c>
      <c r="B1504" s="1" t="n">
        <v>45478</v>
      </c>
      <c r="C1504" s="1" t="n">
        <v>45664</v>
      </c>
      <c r="D1504" t="inlineStr">
        <is>
          <t>UPPSALA LÄN</t>
        </is>
      </c>
      <c r="E1504" t="inlineStr">
        <is>
          <t>UPPSALA</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29081-2024</t>
        </is>
      </c>
      <c r="B1505" s="1" t="n">
        <v>45481</v>
      </c>
      <c r="C1505" s="1" t="n">
        <v>45664</v>
      </c>
      <c r="D1505" t="inlineStr">
        <is>
          <t>UPPSALA LÄN</t>
        </is>
      </c>
      <c r="E1505" t="inlineStr">
        <is>
          <t>UPPSALA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29082-2024</t>
        </is>
      </c>
      <c r="B1506" s="1" t="n">
        <v>45481</v>
      </c>
      <c r="C1506" s="1" t="n">
        <v>45664</v>
      </c>
      <c r="D1506" t="inlineStr">
        <is>
          <t>UPPSALA LÄN</t>
        </is>
      </c>
      <c r="E1506" t="inlineStr">
        <is>
          <t>UPPSALA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29164-2024</t>
        </is>
      </c>
      <c r="B1507" s="1" t="n">
        <v>45482</v>
      </c>
      <c r="C1507" s="1" t="n">
        <v>45664</v>
      </c>
      <c r="D1507" t="inlineStr">
        <is>
          <t>UPPSALA LÄN</t>
        </is>
      </c>
      <c r="E1507" t="inlineStr">
        <is>
          <t>UPPSALA</t>
        </is>
      </c>
      <c r="F1507" t="inlineStr">
        <is>
          <t>Allmännings- och besparingsskogar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30079-2024</t>
        </is>
      </c>
      <c r="B1508" s="1" t="n">
        <v>45489</v>
      </c>
      <c r="C1508" s="1" t="n">
        <v>45664</v>
      </c>
      <c r="D1508" t="inlineStr">
        <is>
          <t>UPPSALA LÄN</t>
        </is>
      </c>
      <c r="E1508" t="inlineStr">
        <is>
          <t>UPPSALA</t>
        </is>
      </c>
      <c r="F1508" t="inlineStr">
        <is>
          <t>Holmen skog AB</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30319-2024</t>
        </is>
      </c>
      <c r="B1509" s="1" t="n">
        <v>45490</v>
      </c>
      <c r="C1509" s="1" t="n">
        <v>45664</v>
      </c>
      <c r="D1509" t="inlineStr">
        <is>
          <t>UPPSALA LÄN</t>
        </is>
      </c>
      <c r="E1509" t="inlineStr">
        <is>
          <t>UPPSALA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31717-2024</t>
        </is>
      </c>
      <c r="B1510" s="1" t="n">
        <v>45509</v>
      </c>
      <c r="C1510" s="1" t="n">
        <v>45664</v>
      </c>
      <c r="D1510" t="inlineStr">
        <is>
          <t>UPPSALA LÄN</t>
        </is>
      </c>
      <c r="E1510" t="inlineStr">
        <is>
          <t>UPPSALA</t>
        </is>
      </c>
      <c r="F1510" t="inlineStr">
        <is>
          <t>Bergvik skog öst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32119-2024</t>
        </is>
      </c>
      <c r="B1511" s="1" t="n">
        <v>45511</v>
      </c>
      <c r="C1511" s="1" t="n">
        <v>45664</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32127-2024</t>
        </is>
      </c>
      <c r="B1512" s="1" t="n">
        <v>45511</v>
      </c>
      <c r="C1512" s="1" t="n">
        <v>45664</v>
      </c>
      <c r="D1512" t="inlineStr">
        <is>
          <t>UPPSALA LÄN</t>
        </is>
      </c>
      <c r="E1512" t="inlineStr">
        <is>
          <t>UPPSALA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32106-2024</t>
        </is>
      </c>
      <c r="B1513" s="1" t="n">
        <v>45511</v>
      </c>
      <c r="C1513" s="1" t="n">
        <v>45664</v>
      </c>
      <c r="D1513" t="inlineStr">
        <is>
          <t>UPPSALA LÄN</t>
        </is>
      </c>
      <c r="E1513" t="inlineStr">
        <is>
          <t>UPPSALA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32117-2024</t>
        </is>
      </c>
      <c r="B1514" s="1" t="n">
        <v>45511</v>
      </c>
      <c r="C1514" s="1" t="n">
        <v>45664</v>
      </c>
      <c r="D1514" t="inlineStr">
        <is>
          <t>UPPSALA LÄN</t>
        </is>
      </c>
      <c r="E1514" t="inlineStr">
        <is>
          <t>UPPSALA</t>
        </is>
      </c>
      <c r="F1514" t="inlineStr">
        <is>
          <t>Allmännings- och besparingsskogar</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32554-2024</t>
        </is>
      </c>
      <c r="B1515" s="1" t="n">
        <v>45513</v>
      </c>
      <c r="C1515" s="1" t="n">
        <v>45664</v>
      </c>
      <c r="D1515" t="inlineStr">
        <is>
          <t>UPPSALA LÄN</t>
        </is>
      </c>
      <c r="E1515" t="inlineStr">
        <is>
          <t>UPPSALA</t>
        </is>
      </c>
      <c r="F1515" t="inlineStr">
        <is>
          <t>Bergvik skog öst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32553-2024</t>
        </is>
      </c>
      <c r="B1516" s="1" t="n">
        <v>45513</v>
      </c>
      <c r="C1516" s="1" t="n">
        <v>45664</v>
      </c>
      <c r="D1516" t="inlineStr">
        <is>
          <t>UPPSALA LÄN</t>
        </is>
      </c>
      <c r="E1516" t="inlineStr">
        <is>
          <t>UPPSALA</t>
        </is>
      </c>
      <c r="F1516" t="inlineStr">
        <is>
          <t>Bergvik skog öst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33622-2024</t>
        </is>
      </c>
      <c r="B1517" s="1" t="n">
        <v>45520</v>
      </c>
      <c r="C1517" s="1" t="n">
        <v>45664</v>
      </c>
      <c r="D1517" t="inlineStr">
        <is>
          <t>UPPSALA LÄN</t>
        </is>
      </c>
      <c r="E1517" t="inlineStr">
        <is>
          <t>UPPSALA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33667-2024</t>
        </is>
      </c>
      <c r="B1518" s="1" t="n">
        <v>45520</v>
      </c>
      <c r="C1518" s="1" t="n">
        <v>45664</v>
      </c>
      <c r="D1518" t="inlineStr">
        <is>
          <t>UPPSALA LÄN</t>
        </is>
      </c>
      <c r="E1518" t="inlineStr">
        <is>
          <t>UPPSALA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33816-2024</t>
        </is>
      </c>
      <c r="B1519" s="1" t="n">
        <v>45520</v>
      </c>
      <c r="C1519" s="1" t="n">
        <v>45664</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33939-2024</t>
        </is>
      </c>
      <c r="B1520" s="1" t="n">
        <v>45523</v>
      </c>
      <c r="C1520" s="1" t="n">
        <v>45664</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34147-2024</t>
        </is>
      </c>
      <c r="B1521" s="1" t="n">
        <v>45524</v>
      </c>
      <c r="C1521" s="1" t="n">
        <v>45664</v>
      </c>
      <c r="D1521" t="inlineStr">
        <is>
          <t>UPPSALA LÄN</t>
        </is>
      </c>
      <c r="E1521" t="inlineStr">
        <is>
          <t>UPPSALA</t>
        </is>
      </c>
      <c r="F1521" t="inlineStr">
        <is>
          <t>Allmännings- och besparingsskogar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34114-2024</t>
        </is>
      </c>
      <c r="B1522" s="1" t="n">
        <v>45524</v>
      </c>
      <c r="C1522" s="1" t="n">
        <v>45664</v>
      </c>
      <c r="D1522" t="inlineStr">
        <is>
          <t>UPPSALA LÄN</t>
        </is>
      </c>
      <c r="E1522" t="inlineStr">
        <is>
          <t>UPPSALA</t>
        </is>
      </c>
      <c r="F1522" t="inlineStr">
        <is>
          <t>Allmännings- och besparingsskogar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34520-2024</t>
        </is>
      </c>
      <c r="B1523" s="1" t="n">
        <v>45525</v>
      </c>
      <c r="C1523" s="1" t="n">
        <v>45664</v>
      </c>
      <c r="D1523" t="inlineStr">
        <is>
          <t>UPPSALA LÄN</t>
        </is>
      </c>
      <c r="E1523" t="inlineStr">
        <is>
          <t>UPPSALA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34656-2024</t>
        </is>
      </c>
      <c r="B1524" s="1" t="n">
        <v>45526</v>
      </c>
      <c r="C1524" s="1" t="n">
        <v>45664</v>
      </c>
      <c r="D1524" t="inlineStr">
        <is>
          <t>UPPSALA LÄN</t>
        </is>
      </c>
      <c r="E1524" t="inlineStr">
        <is>
          <t>UPPSALA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34623-2024</t>
        </is>
      </c>
      <c r="B1525" s="1" t="n">
        <v>45526</v>
      </c>
      <c r="C1525" s="1" t="n">
        <v>45664</v>
      </c>
      <c r="D1525" t="inlineStr">
        <is>
          <t>UPPSALA LÄN</t>
        </is>
      </c>
      <c r="E1525" t="inlineStr">
        <is>
          <t>UPPSALA</t>
        </is>
      </c>
      <c r="G1525" t="n">
        <v>21.5</v>
      </c>
      <c r="H1525" t="n">
        <v>0</v>
      </c>
      <c r="I1525" t="n">
        <v>0</v>
      </c>
      <c r="J1525" t="n">
        <v>0</v>
      </c>
      <c r="K1525" t="n">
        <v>0</v>
      </c>
      <c r="L1525" t="n">
        <v>0</v>
      </c>
      <c r="M1525" t="n">
        <v>0</v>
      </c>
      <c r="N1525" t="n">
        <v>0</v>
      </c>
      <c r="O1525" t="n">
        <v>0</v>
      </c>
      <c r="P1525" t="n">
        <v>0</v>
      </c>
      <c r="Q1525" t="n">
        <v>0</v>
      </c>
      <c r="R1525" s="2" t="inlineStr"/>
    </row>
    <row r="1526" ht="15" customHeight="1">
      <c r="A1526" t="inlineStr">
        <is>
          <t>A 35830-2024</t>
        </is>
      </c>
      <c r="B1526" s="1" t="n">
        <v>45532</v>
      </c>
      <c r="C1526" s="1" t="n">
        <v>45664</v>
      </c>
      <c r="D1526" t="inlineStr">
        <is>
          <t>UPPSALA LÄN</t>
        </is>
      </c>
      <c r="E1526" t="inlineStr">
        <is>
          <t>UPPSALA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36015-2024</t>
        </is>
      </c>
      <c r="B1527" s="1" t="n">
        <v>45533</v>
      </c>
      <c r="C1527" s="1" t="n">
        <v>45664</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36029-2024</t>
        </is>
      </c>
      <c r="B1528" s="1" t="n">
        <v>45533</v>
      </c>
      <c r="C1528" s="1" t="n">
        <v>45664</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36041-2024</t>
        </is>
      </c>
      <c r="B1529" s="1" t="n">
        <v>45533</v>
      </c>
      <c r="C1529" s="1" t="n">
        <v>45664</v>
      </c>
      <c r="D1529" t="inlineStr">
        <is>
          <t>UPPSALA LÄN</t>
        </is>
      </c>
      <c r="E1529" t="inlineStr">
        <is>
          <t>UPPSALA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37032-2024</t>
        </is>
      </c>
      <c r="B1530" s="1" t="n">
        <v>45539</v>
      </c>
      <c r="C1530" s="1" t="n">
        <v>45664</v>
      </c>
      <c r="D1530" t="inlineStr">
        <is>
          <t>UPPSALA LÄN</t>
        </is>
      </c>
      <c r="E1530" t="inlineStr">
        <is>
          <t>UPPSALA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37033-2024</t>
        </is>
      </c>
      <c r="B1531" s="1" t="n">
        <v>45539</v>
      </c>
      <c r="C1531" s="1" t="n">
        <v>45664</v>
      </c>
      <c r="D1531" t="inlineStr">
        <is>
          <t>UPPSALA LÄN</t>
        </is>
      </c>
      <c r="E1531" t="inlineStr">
        <is>
          <t>UPPSALA</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37307-2024</t>
        </is>
      </c>
      <c r="B1532" s="1" t="n">
        <v>45540</v>
      </c>
      <c r="C1532" s="1" t="n">
        <v>45664</v>
      </c>
      <c r="D1532" t="inlineStr">
        <is>
          <t>UPPSALA LÄN</t>
        </is>
      </c>
      <c r="E1532" t="inlineStr">
        <is>
          <t>UPPSALA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37568-2024</t>
        </is>
      </c>
      <c r="B1533" s="1" t="n">
        <v>45541</v>
      </c>
      <c r="C1533" s="1" t="n">
        <v>45664</v>
      </c>
      <c r="D1533" t="inlineStr">
        <is>
          <t>UPPSALA LÄN</t>
        </is>
      </c>
      <c r="E1533" t="inlineStr">
        <is>
          <t>UPPSALA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37666-2024</t>
        </is>
      </c>
      <c r="B1534" s="1" t="n">
        <v>45541</v>
      </c>
      <c r="C1534" s="1" t="n">
        <v>45664</v>
      </c>
      <c r="D1534" t="inlineStr">
        <is>
          <t>UPPSALA LÄN</t>
        </is>
      </c>
      <c r="E1534" t="inlineStr">
        <is>
          <t>UPPSALA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37579-2024</t>
        </is>
      </c>
      <c r="B1535" s="1" t="n">
        <v>45541</v>
      </c>
      <c r="C1535" s="1" t="n">
        <v>45664</v>
      </c>
      <c r="D1535" t="inlineStr">
        <is>
          <t>UPPSALA LÄN</t>
        </is>
      </c>
      <c r="E1535" t="inlineStr">
        <is>
          <t>UPPSALA</t>
        </is>
      </c>
      <c r="G1535" t="n">
        <v>22.8</v>
      </c>
      <c r="H1535" t="n">
        <v>0</v>
      </c>
      <c r="I1535" t="n">
        <v>0</v>
      </c>
      <c r="J1535" t="n">
        <v>0</v>
      </c>
      <c r="K1535" t="n">
        <v>0</v>
      </c>
      <c r="L1535" t="n">
        <v>0</v>
      </c>
      <c r="M1535" t="n">
        <v>0</v>
      </c>
      <c r="N1535" t="n">
        <v>0</v>
      </c>
      <c r="O1535" t="n">
        <v>0</v>
      </c>
      <c r="P1535" t="n">
        <v>0</v>
      </c>
      <c r="Q1535" t="n">
        <v>0</v>
      </c>
      <c r="R1535" s="2" t="inlineStr"/>
    </row>
    <row r="1536" ht="15" customHeight="1">
      <c r="A1536" t="inlineStr">
        <is>
          <t>A 37671-2024</t>
        </is>
      </c>
      <c r="B1536" s="1" t="n">
        <v>45541</v>
      </c>
      <c r="C1536" s="1" t="n">
        <v>45664</v>
      </c>
      <c r="D1536" t="inlineStr">
        <is>
          <t>UPPSALA LÄN</t>
        </is>
      </c>
      <c r="E1536" t="inlineStr">
        <is>
          <t>UPPSALA</t>
        </is>
      </c>
      <c r="F1536" t="inlineStr">
        <is>
          <t>Övriga Aktiebolag</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38119-2024</t>
        </is>
      </c>
      <c r="B1537" s="1" t="n">
        <v>45545</v>
      </c>
      <c r="C1537" s="1" t="n">
        <v>45664</v>
      </c>
      <c r="D1537" t="inlineStr">
        <is>
          <t>UPPSALA LÄN</t>
        </is>
      </c>
      <c r="E1537" t="inlineStr">
        <is>
          <t>UPPSALA</t>
        </is>
      </c>
      <c r="F1537" t="inlineStr">
        <is>
          <t>Övriga Aktiebolag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38958-2024</t>
        </is>
      </c>
      <c r="B1538" s="1" t="n">
        <v>45548</v>
      </c>
      <c r="C1538" s="1" t="n">
        <v>45664</v>
      </c>
      <c r="D1538" t="inlineStr">
        <is>
          <t>UPPSALA LÄN</t>
        </is>
      </c>
      <c r="E1538" t="inlineStr">
        <is>
          <t>UPPSALA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39007-2024</t>
        </is>
      </c>
      <c r="B1539" s="1" t="n">
        <v>45548</v>
      </c>
      <c r="C1539" s="1" t="n">
        <v>45664</v>
      </c>
      <c r="D1539" t="inlineStr">
        <is>
          <t>UPPSALA LÄN</t>
        </is>
      </c>
      <c r="E1539" t="inlineStr">
        <is>
          <t>UPPSALA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39359-2024</t>
        </is>
      </c>
      <c r="B1540" s="1" t="n">
        <v>45551</v>
      </c>
      <c r="C1540" s="1" t="n">
        <v>45664</v>
      </c>
      <c r="D1540" t="inlineStr">
        <is>
          <t>UPPSALA LÄN</t>
        </is>
      </c>
      <c r="E1540" t="inlineStr">
        <is>
          <t>UPPSALA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39818-2024</t>
        </is>
      </c>
      <c r="B1541" s="1" t="n">
        <v>45552</v>
      </c>
      <c r="C1541" s="1" t="n">
        <v>45664</v>
      </c>
      <c r="D1541" t="inlineStr">
        <is>
          <t>UPPSALA LÄN</t>
        </is>
      </c>
      <c r="E1541" t="inlineStr">
        <is>
          <t>UPPSALA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39812-2024</t>
        </is>
      </c>
      <c r="B1542" s="1" t="n">
        <v>45552</v>
      </c>
      <c r="C1542" s="1" t="n">
        <v>45664</v>
      </c>
      <c r="D1542" t="inlineStr">
        <is>
          <t>UPPSALA LÄN</t>
        </is>
      </c>
      <c r="E1542" t="inlineStr">
        <is>
          <t>UPPSALA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39926-2024</t>
        </is>
      </c>
      <c r="B1543" s="1" t="n">
        <v>45553</v>
      </c>
      <c r="C1543" s="1" t="n">
        <v>45664</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40111-2024</t>
        </is>
      </c>
      <c r="B1544" s="1" t="n">
        <v>45554</v>
      </c>
      <c r="C1544" s="1" t="n">
        <v>45664</v>
      </c>
      <c r="D1544" t="inlineStr">
        <is>
          <t>UPPSALA LÄN</t>
        </is>
      </c>
      <c r="E1544" t="inlineStr">
        <is>
          <t>UPPSALA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40326-2024</t>
        </is>
      </c>
      <c r="B1545" s="1" t="n">
        <v>45554</v>
      </c>
      <c r="C1545" s="1" t="n">
        <v>45664</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40491-2024</t>
        </is>
      </c>
      <c r="B1546" s="1" t="n">
        <v>45555</v>
      </c>
      <c r="C1546" s="1" t="n">
        <v>45664</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40503-2024</t>
        </is>
      </c>
      <c r="B1547" s="1" t="n">
        <v>45555</v>
      </c>
      <c r="C1547" s="1" t="n">
        <v>45664</v>
      </c>
      <c r="D1547" t="inlineStr">
        <is>
          <t>UPPSALA LÄN</t>
        </is>
      </c>
      <c r="E1547" t="inlineStr">
        <is>
          <t>UPPSALA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40701-2024</t>
        </is>
      </c>
      <c r="B1548" s="1" t="n">
        <v>45558</v>
      </c>
      <c r="C1548" s="1" t="n">
        <v>45664</v>
      </c>
      <c r="D1548" t="inlineStr">
        <is>
          <t>UPPSALA LÄN</t>
        </is>
      </c>
      <c r="E1548" t="inlineStr">
        <is>
          <t>UPPSALA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40753-2024</t>
        </is>
      </c>
      <c r="B1549" s="1" t="n">
        <v>45558</v>
      </c>
      <c r="C1549" s="1" t="n">
        <v>45664</v>
      </c>
      <c r="D1549" t="inlineStr">
        <is>
          <t>UPPSALA LÄN</t>
        </is>
      </c>
      <c r="E1549" t="inlineStr">
        <is>
          <t>UPPSALA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42276-2024</t>
        </is>
      </c>
      <c r="B1550" s="1" t="n">
        <v>45562</v>
      </c>
      <c r="C1550" s="1" t="n">
        <v>45664</v>
      </c>
      <c r="D1550" t="inlineStr">
        <is>
          <t>UPPSALA LÄN</t>
        </is>
      </c>
      <c r="E1550" t="inlineStr">
        <is>
          <t>UPPSALA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42146-2024</t>
        </is>
      </c>
      <c r="B1551" s="1" t="n">
        <v>45562</v>
      </c>
      <c r="C1551" s="1" t="n">
        <v>45664</v>
      </c>
      <c r="D1551" t="inlineStr">
        <is>
          <t>UPPSALA LÄN</t>
        </is>
      </c>
      <c r="E1551" t="inlineStr">
        <is>
          <t>UPPSALA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42259-2024</t>
        </is>
      </c>
      <c r="B1552" s="1" t="n">
        <v>45562</v>
      </c>
      <c r="C1552" s="1" t="n">
        <v>45664</v>
      </c>
      <c r="D1552" t="inlineStr">
        <is>
          <t>UPPSALA LÄN</t>
        </is>
      </c>
      <c r="E1552" t="inlineStr">
        <is>
          <t>UPPSALA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42143-2024</t>
        </is>
      </c>
      <c r="B1553" s="1" t="n">
        <v>45562</v>
      </c>
      <c r="C1553" s="1" t="n">
        <v>45664</v>
      </c>
      <c r="D1553" t="inlineStr">
        <is>
          <t>UPPSALA LÄN</t>
        </is>
      </c>
      <c r="E1553" t="inlineStr">
        <is>
          <t>UPPSALA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43361-2024</t>
        </is>
      </c>
      <c r="B1554" s="1" t="n">
        <v>45568</v>
      </c>
      <c r="C1554" s="1" t="n">
        <v>45664</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43959-2024</t>
        </is>
      </c>
      <c r="B1555" s="1" t="n">
        <v>45572</v>
      </c>
      <c r="C1555" s="1" t="n">
        <v>45664</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43960-2024</t>
        </is>
      </c>
      <c r="B1556" s="1" t="n">
        <v>45572</v>
      </c>
      <c r="C1556" s="1" t="n">
        <v>45664</v>
      </c>
      <c r="D1556" t="inlineStr">
        <is>
          <t>UPPSALA LÄN</t>
        </is>
      </c>
      <c r="E1556" t="inlineStr">
        <is>
          <t>UPPSALA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43951-2024</t>
        </is>
      </c>
      <c r="B1557" s="1" t="n">
        <v>45572</v>
      </c>
      <c r="C1557" s="1" t="n">
        <v>45664</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44562-2024</t>
        </is>
      </c>
      <c r="B1558" s="1" t="n">
        <v>45574</v>
      </c>
      <c r="C1558" s="1" t="n">
        <v>45664</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44550-2024</t>
        </is>
      </c>
      <c r="B1559" s="1" t="n">
        <v>45574</v>
      </c>
      <c r="C1559" s="1" t="n">
        <v>45664</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44563-2024</t>
        </is>
      </c>
      <c r="B1560" s="1" t="n">
        <v>45574</v>
      </c>
      <c r="C1560" s="1" t="n">
        <v>45664</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44847-2024</t>
        </is>
      </c>
      <c r="B1561" s="1" t="n">
        <v>45574</v>
      </c>
      <c r="C1561" s="1" t="n">
        <v>45664</v>
      </c>
      <c r="D1561" t="inlineStr">
        <is>
          <t>UPPSALA LÄN</t>
        </is>
      </c>
      <c r="E1561" t="inlineStr">
        <is>
          <t>UPPSALA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44560-2024</t>
        </is>
      </c>
      <c r="B1562" s="1" t="n">
        <v>45574</v>
      </c>
      <c r="C1562" s="1" t="n">
        <v>45664</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44946-2024</t>
        </is>
      </c>
      <c r="B1563" s="1" t="n">
        <v>45575</v>
      </c>
      <c r="C1563" s="1" t="n">
        <v>45664</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45878-2024</t>
        </is>
      </c>
      <c r="B1564" s="1" t="n">
        <v>45580</v>
      </c>
      <c r="C1564" s="1" t="n">
        <v>45664</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46728-2024</t>
        </is>
      </c>
      <c r="B1565" s="1" t="n">
        <v>45583</v>
      </c>
      <c r="C1565" s="1" t="n">
        <v>45664</v>
      </c>
      <c r="D1565" t="inlineStr">
        <is>
          <t>UPPSALA LÄN</t>
        </is>
      </c>
      <c r="E1565" t="inlineStr">
        <is>
          <t>UPPSALA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46796-2024</t>
        </is>
      </c>
      <c r="B1566" s="1" t="n">
        <v>45583</v>
      </c>
      <c r="C1566" s="1" t="n">
        <v>45664</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46745-2024</t>
        </is>
      </c>
      <c r="B1567" s="1" t="n">
        <v>45583</v>
      </c>
      <c r="C1567" s="1" t="n">
        <v>45664</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46743-2024</t>
        </is>
      </c>
      <c r="B1568" s="1" t="n">
        <v>45583</v>
      </c>
      <c r="C1568" s="1" t="n">
        <v>45664</v>
      </c>
      <c r="D1568" t="inlineStr">
        <is>
          <t>UPPSALA LÄN</t>
        </is>
      </c>
      <c r="E1568" t="inlineStr">
        <is>
          <t>UPPSALA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46751-2024</t>
        </is>
      </c>
      <c r="B1569" s="1" t="n">
        <v>45583</v>
      </c>
      <c r="C1569" s="1" t="n">
        <v>45664</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46794-2024</t>
        </is>
      </c>
      <c r="B1570" s="1" t="n">
        <v>45583</v>
      </c>
      <c r="C1570" s="1" t="n">
        <v>45664</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46791-2024</t>
        </is>
      </c>
      <c r="B1571" s="1" t="n">
        <v>45583</v>
      </c>
      <c r="C1571" s="1" t="n">
        <v>45664</v>
      </c>
      <c r="D1571" t="inlineStr">
        <is>
          <t>UPPSALA LÄN</t>
        </is>
      </c>
      <c r="E1571" t="inlineStr">
        <is>
          <t>UPPSALA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46730-2024</t>
        </is>
      </c>
      <c r="B1572" s="1" t="n">
        <v>45583</v>
      </c>
      <c r="C1572" s="1" t="n">
        <v>45664</v>
      </c>
      <c r="D1572" t="inlineStr">
        <is>
          <t>UPPSALA LÄN</t>
        </is>
      </c>
      <c r="E1572" t="inlineStr">
        <is>
          <t>UPPSALA</t>
        </is>
      </c>
      <c r="F1572" t="inlineStr">
        <is>
          <t>Sveaskog</t>
        </is>
      </c>
      <c r="G1572" t="n">
        <v>6.5</v>
      </c>
      <c r="H1572" t="n">
        <v>0</v>
      </c>
      <c r="I1572" t="n">
        <v>0</v>
      </c>
      <c r="J1572" t="n">
        <v>0</v>
      </c>
      <c r="K1572" t="n">
        <v>0</v>
      </c>
      <c r="L1572" t="n">
        <v>0</v>
      </c>
      <c r="M1572" t="n">
        <v>0</v>
      </c>
      <c r="N1572" t="n">
        <v>0</v>
      </c>
      <c r="O1572" t="n">
        <v>0</v>
      </c>
      <c r="P1572" t="n">
        <v>0</v>
      </c>
      <c r="Q1572" t="n">
        <v>0</v>
      </c>
      <c r="R1572" s="2" t="inlineStr"/>
      <c r="U1572">
        <f>HYPERLINK("https://klasma.github.io/Logging_0380/knärot/A 46730-2024 karta knärot.png", "A 46730-2024")</f>
        <v/>
      </c>
      <c r="V1572">
        <f>HYPERLINK("https://klasma.github.io/Logging_0380/klagomål/A 46730-2024 FSC-klagomål.docx", "A 46730-2024")</f>
        <v/>
      </c>
      <c r="W1572">
        <f>HYPERLINK("https://klasma.github.io/Logging_0380/klagomålsmail/A 46730-2024 FSC-klagomål mail.docx", "A 46730-2024")</f>
        <v/>
      </c>
      <c r="X1572">
        <f>HYPERLINK("https://klasma.github.io/Logging_0380/tillsyn/A 46730-2024 tillsynsbegäran.docx", "A 46730-2024")</f>
        <v/>
      </c>
      <c r="Y1572">
        <f>HYPERLINK("https://klasma.github.io/Logging_0380/tillsynsmail/A 46730-2024 tillsynsbegäran mail.docx", "A 46730-2024")</f>
        <v/>
      </c>
    </row>
    <row r="1573" ht="15" customHeight="1">
      <c r="A1573" t="inlineStr">
        <is>
          <t>A 46821-2024</t>
        </is>
      </c>
      <c r="B1573" s="1" t="n">
        <v>45583</v>
      </c>
      <c r="C1573" s="1" t="n">
        <v>45664</v>
      </c>
      <c r="D1573" t="inlineStr">
        <is>
          <t>UPPSALA LÄN</t>
        </is>
      </c>
      <c r="E1573" t="inlineStr">
        <is>
          <t>UPPSALA</t>
        </is>
      </c>
      <c r="F1573" t="inlineStr">
        <is>
          <t>Holmen skog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46748-2024</t>
        </is>
      </c>
      <c r="B1574" s="1" t="n">
        <v>45583</v>
      </c>
      <c r="C1574" s="1" t="n">
        <v>45664</v>
      </c>
      <c r="D1574" t="inlineStr">
        <is>
          <t>UPPSALA LÄN</t>
        </is>
      </c>
      <c r="E1574" t="inlineStr">
        <is>
          <t>UPPSALA</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46700-2024</t>
        </is>
      </c>
      <c r="B1575" s="1" t="n">
        <v>45583</v>
      </c>
      <c r="C1575" s="1" t="n">
        <v>45664</v>
      </c>
      <c r="D1575" t="inlineStr">
        <is>
          <t>UPPSALA LÄN</t>
        </is>
      </c>
      <c r="E1575" t="inlineStr">
        <is>
          <t>UPPSALA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46925-2024</t>
        </is>
      </c>
      <c r="B1576" s="1" t="n">
        <v>45584</v>
      </c>
      <c r="C1576" s="1" t="n">
        <v>45664</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47169-2024</t>
        </is>
      </c>
      <c r="B1577" s="1" t="n">
        <v>45586</v>
      </c>
      <c r="C1577" s="1" t="n">
        <v>45664</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47052-2024</t>
        </is>
      </c>
      <c r="B1578" s="1" t="n">
        <v>45586</v>
      </c>
      <c r="C1578" s="1" t="n">
        <v>45664</v>
      </c>
      <c r="D1578" t="inlineStr">
        <is>
          <t>UPPSALA LÄN</t>
        </is>
      </c>
      <c r="E1578" t="inlineStr">
        <is>
          <t>UPPSALA</t>
        </is>
      </c>
      <c r="F1578" t="inlineStr">
        <is>
          <t>Holmen skog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47288-2024</t>
        </is>
      </c>
      <c r="B1579" s="1" t="n">
        <v>45587</v>
      </c>
      <c r="C1579" s="1" t="n">
        <v>45664</v>
      </c>
      <c r="D1579" t="inlineStr">
        <is>
          <t>UPPSALA LÄN</t>
        </is>
      </c>
      <c r="E1579" t="inlineStr">
        <is>
          <t>UPPSALA</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48154-2024</t>
        </is>
      </c>
      <c r="B1580" s="1" t="n">
        <v>45589</v>
      </c>
      <c r="C1580" s="1" t="n">
        <v>45664</v>
      </c>
      <c r="D1580" t="inlineStr">
        <is>
          <t>UPPSALA LÄN</t>
        </is>
      </c>
      <c r="E1580" t="inlineStr">
        <is>
          <t>UPPSALA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48153-2024</t>
        </is>
      </c>
      <c r="B1581" s="1" t="n">
        <v>45589</v>
      </c>
      <c r="C1581" s="1" t="n">
        <v>45664</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48073-2024</t>
        </is>
      </c>
      <c r="B1582" s="1" t="n">
        <v>45589</v>
      </c>
      <c r="C1582" s="1" t="n">
        <v>45664</v>
      </c>
      <c r="D1582" t="inlineStr">
        <is>
          <t>UPPSALA LÄN</t>
        </is>
      </c>
      <c r="E1582" t="inlineStr">
        <is>
          <t>UPPSALA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49158-2024</t>
        </is>
      </c>
      <c r="B1583" s="1" t="n">
        <v>45594</v>
      </c>
      <c r="C1583" s="1" t="n">
        <v>45664</v>
      </c>
      <c r="D1583" t="inlineStr">
        <is>
          <t>UPPSALA LÄN</t>
        </is>
      </c>
      <c r="E1583" t="inlineStr">
        <is>
          <t>UPPSALA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49012-2024</t>
        </is>
      </c>
      <c r="B1584" s="1" t="n">
        <v>45594</v>
      </c>
      <c r="C1584" s="1" t="n">
        <v>45664</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49050-2024</t>
        </is>
      </c>
      <c r="B1585" s="1" t="n">
        <v>45594</v>
      </c>
      <c r="C1585" s="1" t="n">
        <v>45664</v>
      </c>
      <c r="D1585" t="inlineStr">
        <is>
          <t>UPPSALA LÄN</t>
        </is>
      </c>
      <c r="E1585" t="inlineStr">
        <is>
          <t>UPPSALA</t>
        </is>
      </c>
      <c r="F1585" t="inlineStr">
        <is>
          <t>Övriga statliga verk och myndigheter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49180-2024</t>
        </is>
      </c>
      <c r="B1586" s="1" t="n">
        <v>45595</v>
      </c>
      <c r="C1586" s="1" t="n">
        <v>45664</v>
      </c>
      <c r="D1586" t="inlineStr">
        <is>
          <t>UPPSALA LÄN</t>
        </is>
      </c>
      <c r="E1586" t="inlineStr">
        <is>
          <t>UPPSALA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50037-2024</t>
        </is>
      </c>
      <c r="B1587" s="1" t="n">
        <v>45599</v>
      </c>
      <c r="C1587" s="1" t="n">
        <v>45664</v>
      </c>
      <c r="D1587" t="inlineStr">
        <is>
          <t>UPPSALA LÄN</t>
        </is>
      </c>
      <c r="E1587" t="inlineStr">
        <is>
          <t>UPPSALA</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50535-2024</t>
        </is>
      </c>
      <c r="B1588" s="1" t="n">
        <v>45600</v>
      </c>
      <c r="C1588" s="1" t="n">
        <v>45664</v>
      </c>
      <c r="D1588" t="inlineStr">
        <is>
          <t>UPPSALA LÄN</t>
        </is>
      </c>
      <c r="E1588" t="inlineStr">
        <is>
          <t>UPPSALA</t>
        </is>
      </c>
      <c r="F1588" t="inlineStr">
        <is>
          <t>Övriga statliga verk och myndigheter</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50196-2024</t>
        </is>
      </c>
      <c r="B1589" s="1" t="n">
        <v>45600</v>
      </c>
      <c r="C1589" s="1" t="n">
        <v>45664</v>
      </c>
      <c r="D1589" t="inlineStr">
        <is>
          <t>UPPSALA LÄN</t>
        </is>
      </c>
      <c r="E1589" t="inlineStr">
        <is>
          <t>UPPSALA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50463-2024</t>
        </is>
      </c>
      <c r="B1590" s="1" t="n">
        <v>45601</v>
      </c>
      <c r="C1590" s="1" t="n">
        <v>45664</v>
      </c>
      <c r="D1590" t="inlineStr">
        <is>
          <t>UPPSALA LÄN</t>
        </is>
      </c>
      <c r="E1590" t="inlineStr">
        <is>
          <t>UPPSALA</t>
        </is>
      </c>
      <c r="F1590" t="inlineStr">
        <is>
          <t>Allmännings- och besparingsskogar</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50669-2024</t>
        </is>
      </c>
      <c r="B1591" s="1" t="n">
        <v>45601</v>
      </c>
      <c r="C1591" s="1" t="n">
        <v>45664</v>
      </c>
      <c r="D1591" t="inlineStr">
        <is>
          <t>UPPSALA LÄN</t>
        </is>
      </c>
      <c r="E1591" t="inlineStr">
        <is>
          <t>UPPSALA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50834-2024</t>
        </is>
      </c>
      <c r="B1592" s="1" t="n">
        <v>45602</v>
      </c>
      <c r="C1592" s="1" t="n">
        <v>45664</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45664</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51483-2024</t>
        </is>
      </c>
      <c r="B1594" s="1" t="n">
        <v>45604</v>
      </c>
      <c r="C1594" s="1" t="n">
        <v>45664</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51485-2024</t>
        </is>
      </c>
      <c r="B1595" s="1" t="n">
        <v>45604</v>
      </c>
      <c r="C1595" s="1" t="n">
        <v>45664</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45664</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52094-2024</t>
        </is>
      </c>
      <c r="B1597" s="1" t="n">
        <v>45608</v>
      </c>
      <c r="C1597" s="1" t="n">
        <v>45664</v>
      </c>
      <c r="D1597" t="inlineStr">
        <is>
          <t>UPPSALA LÄN</t>
        </is>
      </c>
      <c r="E1597" t="inlineStr">
        <is>
          <t>UPPSALA</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52093-2024</t>
        </is>
      </c>
      <c r="B1598" s="1" t="n">
        <v>45608</v>
      </c>
      <c r="C1598" s="1" t="n">
        <v>45664</v>
      </c>
      <c r="D1598" t="inlineStr">
        <is>
          <t>UPPSALA LÄN</t>
        </is>
      </c>
      <c r="E1598" t="inlineStr">
        <is>
          <t>UPPSALA</t>
        </is>
      </c>
      <c r="F1598" t="inlineStr">
        <is>
          <t>Bergvik skog öst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52456-2024</t>
        </is>
      </c>
      <c r="B1599" s="1" t="n">
        <v>45609</v>
      </c>
      <c r="C1599" s="1" t="n">
        <v>45664</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52466-2024</t>
        </is>
      </c>
      <c r="B1600" s="1" t="n">
        <v>45609</v>
      </c>
      <c r="C1600" s="1" t="n">
        <v>45664</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45664</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53058-2024</t>
        </is>
      </c>
      <c r="B1602" s="1" t="n">
        <v>45611</v>
      </c>
      <c r="C1602" s="1" t="n">
        <v>45664</v>
      </c>
      <c r="D1602" t="inlineStr">
        <is>
          <t>UPPSALA LÄN</t>
        </is>
      </c>
      <c r="E1602" t="inlineStr">
        <is>
          <t>UPPSALA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53615-2024</t>
        </is>
      </c>
      <c r="B1603" s="1" t="n">
        <v>45611</v>
      </c>
      <c r="C1603" s="1" t="n">
        <v>45664</v>
      </c>
      <c r="D1603" t="inlineStr">
        <is>
          <t>UPPSALA LÄN</t>
        </is>
      </c>
      <c r="E1603" t="inlineStr">
        <is>
          <t>UPPSALA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45664</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45664</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45664</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45664</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53384-2024</t>
        </is>
      </c>
      <c r="B1608" s="1" t="n">
        <v>45614</v>
      </c>
      <c r="C1608" s="1" t="n">
        <v>45664</v>
      </c>
      <c r="D1608" t="inlineStr">
        <is>
          <t>UPPSALA LÄN</t>
        </is>
      </c>
      <c r="E1608" t="inlineStr">
        <is>
          <t>UPPSALA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53266-2024</t>
        </is>
      </c>
      <c r="B1609" s="1" t="n">
        <v>45614</v>
      </c>
      <c r="C1609" s="1" t="n">
        <v>45664</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53921-2024</t>
        </is>
      </c>
      <c r="B1610" s="1" t="n">
        <v>45615</v>
      </c>
      <c r="C1610" s="1" t="n">
        <v>45664</v>
      </c>
      <c r="D1610" t="inlineStr">
        <is>
          <t>UPPSALA LÄN</t>
        </is>
      </c>
      <c r="E1610" t="inlineStr">
        <is>
          <t>UPPSALA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54512-2024</t>
        </is>
      </c>
      <c r="B1611" s="1" t="n">
        <v>45617</v>
      </c>
      <c r="C1611" s="1" t="n">
        <v>45664</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54924-2024</t>
        </is>
      </c>
      <c r="B1612" s="1" t="n">
        <v>45618</v>
      </c>
      <c r="C1612" s="1" t="n">
        <v>45664</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56050-2024</t>
        </is>
      </c>
      <c r="B1613" s="1" t="n">
        <v>45624</v>
      </c>
      <c r="C1613" s="1" t="n">
        <v>45664</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56067-2024</t>
        </is>
      </c>
      <c r="B1614" s="1" t="n">
        <v>45624</v>
      </c>
      <c r="C1614" s="1" t="n">
        <v>45664</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56084-2024</t>
        </is>
      </c>
      <c r="B1615" s="1" t="n">
        <v>45624</v>
      </c>
      <c r="C1615" s="1" t="n">
        <v>45664</v>
      </c>
      <c r="D1615" t="inlineStr">
        <is>
          <t>UPPSALA LÄN</t>
        </is>
      </c>
      <c r="E1615" t="inlineStr">
        <is>
          <t>UPPSALA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56564-2024</t>
        </is>
      </c>
      <c r="B1616" s="1" t="n">
        <v>45625</v>
      </c>
      <c r="C1616" s="1" t="n">
        <v>45664</v>
      </c>
      <c r="D1616" t="inlineStr">
        <is>
          <t>UPPSALA LÄN</t>
        </is>
      </c>
      <c r="E1616" t="inlineStr">
        <is>
          <t>UPPSALA</t>
        </is>
      </c>
      <c r="F1616" t="inlineStr">
        <is>
          <t>Övriga Aktiebolag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57614-2024</t>
        </is>
      </c>
      <c r="B1617" s="1" t="n">
        <v>45630</v>
      </c>
      <c r="C1617" s="1" t="n">
        <v>45664</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57618-2024</t>
        </is>
      </c>
      <c r="B1618" s="1" t="n">
        <v>45630</v>
      </c>
      <c r="C1618" s="1" t="n">
        <v>45664</v>
      </c>
      <c r="D1618" t="inlineStr">
        <is>
          <t>UPPSALA LÄN</t>
        </is>
      </c>
      <c r="E1618" t="inlineStr">
        <is>
          <t>UPPSALA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57643-2024</t>
        </is>
      </c>
      <c r="B1619" s="1" t="n">
        <v>45630</v>
      </c>
      <c r="C1619" s="1" t="n">
        <v>45664</v>
      </c>
      <c r="D1619" t="inlineStr">
        <is>
          <t>UPPSALA LÄN</t>
        </is>
      </c>
      <c r="E1619" t="inlineStr">
        <is>
          <t>UPPSALA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57871-2024</t>
        </is>
      </c>
      <c r="B1620" s="1" t="n">
        <v>45631</v>
      </c>
      <c r="C1620" s="1" t="n">
        <v>45664</v>
      </c>
      <c r="D1620" t="inlineStr">
        <is>
          <t>UPPSALA LÄN</t>
        </is>
      </c>
      <c r="E1620" t="inlineStr">
        <is>
          <t>UPPSALA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58187-2024</t>
        </is>
      </c>
      <c r="B1621" s="1" t="n">
        <v>45632</v>
      </c>
      <c r="C1621" s="1" t="n">
        <v>45664</v>
      </c>
      <c r="D1621" t="inlineStr">
        <is>
          <t>UPPSALA LÄN</t>
        </is>
      </c>
      <c r="E1621" t="inlineStr">
        <is>
          <t>UPPSALA</t>
        </is>
      </c>
      <c r="F1621" t="inlineStr">
        <is>
          <t>Bergvik skog väst AB</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58188-2024</t>
        </is>
      </c>
      <c r="B1622" s="1" t="n">
        <v>45632</v>
      </c>
      <c r="C1622" s="1" t="n">
        <v>45664</v>
      </c>
      <c r="D1622" t="inlineStr">
        <is>
          <t>UPPSALA LÄN</t>
        </is>
      </c>
      <c r="E1622" t="inlineStr">
        <is>
          <t>UPPSALA</t>
        </is>
      </c>
      <c r="F1622" t="inlineStr">
        <is>
          <t>Bergvik skog väst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59098-2024</t>
        </is>
      </c>
      <c r="B1623" s="1" t="n">
        <v>45636</v>
      </c>
      <c r="C1623" s="1" t="n">
        <v>45664</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59114-2024</t>
        </is>
      </c>
      <c r="B1624" s="1" t="n">
        <v>45637</v>
      </c>
      <c r="C1624" s="1" t="n">
        <v>45664</v>
      </c>
      <c r="D1624" t="inlineStr">
        <is>
          <t>UPPSALA LÄN</t>
        </is>
      </c>
      <c r="E1624" t="inlineStr">
        <is>
          <t>UPPSALA</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59116-2024</t>
        </is>
      </c>
      <c r="B1625" s="1" t="n">
        <v>45637</v>
      </c>
      <c r="C1625" s="1" t="n">
        <v>45664</v>
      </c>
      <c r="D1625" t="inlineStr">
        <is>
          <t>UPPSALA LÄN</t>
        </is>
      </c>
      <c r="E1625" t="inlineStr">
        <is>
          <t>UPPSALA</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59158-2024</t>
        </is>
      </c>
      <c r="B1626" s="1" t="n">
        <v>45637</v>
      </c>
      <c r="C1626" s="1" t="n">
        <v>45664</v>
      </c>
      <c r="D1626" t="inlineStr">
        <is>
          <t>UPPSALA LÄN</t>
        </is>
      </c>
      <c r="E1626" t="inlineStr">
        <is>
          <t>UPPSALA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59562-2024</t>
        </is>
      </c>
      <c r="B1627" s="1" t="n">
        <v>45638</v>
      </c>
      <c r="C1627" s="1" t="n">
        <v>45664</v>
      </c>
      <c r="D1627" t="inlineStr">
        <is>
          <t>UPPSALA LÄN</t>
        </is>
      </c>
      <c r="E1627" t="inlineStr">
        <is>
          <t>UPPSALA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59358-2024</t>
        </is>
      </c>
      <c r="B1628" s="1" t="n">
        <v>45638</v>
      </c>
      <c r="C1628" s="1" t="n">
        <v>45664</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45664</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59587-2024</t>
        </is>
      </c>
      <c r="B1630" s="1" t="n">
        <v>45638</v>
      </c>
      <c r="C1630" s="1" t="n">
        <v>45664</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45664</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60003-2024</t>
        </is>
      </c>
      <c r="B1632" s="1" t="n">
        <v>45642</v>
      </c>
      <c r="C1632" s="1" t="n">
        <v>45664</v>
      </c>
      <c r="D1632" t="inlineStr">
        <is>
          <t>UPPSALA LÄN</t>
        </is>
      </c>
      <c r="E1632" t="inlineStr">
        <is>
          <t>UPPSALA</t>
        </is>
      </c>
      <c r="F1632" t="inlineStr">
        <is>
          <t>Bergvik skog väst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45664</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59996-2024</t>
        </is>
      </c>
      <c r="B1634" s="1" t="n">
        <v>45642</v>
      </c>
      <c r="C1634" s="1" t="n">
        <v>45664</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60445-2024</t>
        </is>
      </c>
      <c r="B1635" s="1" t="n">
        <v>45643</v>
      </c>
      <c r="C1635" s="1" t="n">
        <v>45664</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60691-2024</t>
        </is>
      </c>
      <c r="B1636" s="1" t="n">
        <v>45644</v>
      </c>
      <c r="C1636" s="1" t="n">
        <v>45664</v>
      </c>
      <c r="D1636" t="inlineStr">
        <is>
          <t>UPPSALA LÄN</t>
        </is>
      </c>
      <c r="E1636" t="inlineStr">
        <is>
          <t>UPPSALA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45664</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45664</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60807-2024</t>
        </is>
      </c>
      <c r="B1639" s="1" t="n">
        <v>45644</v>
      </c>
      <c r="C1639" s="1" t="n">
        <v>45664</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60820-2024</t>
        </is>
      </c>
      <c r="B1640" s="1" t="n">
        <v>45644</v>
      </c>
      <c r="C1640" s="1" t="n">
        <v>45664</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60729-2024</t>
        </is>
      </c>
      <c r="B1641" s="1" t="n">
        <v>45644</v>
      </c>
      <c r="C1641" s="1" t="n">
        <v>45664</v>
      </c>
      <c r="D1641" t="inlineStr">
        <is>
          <t>UPPSALA LÄN</t>
        </is>
      </c>
      <c r="E1641" t="inlineStr">
        <is>
          <t>UPPSALA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60811-2024</t>
        </is>
      </c>
      <c r="B1642" s="1" t="n">
        <v>45644</v>
      </c>
      <c r="C1642" s="1" t="n">
        <v>45664</v>
      </c>
      <c r="D1642" t="inlineStr">
        <is>
          <t>UPPSALA LÄN</t>
        </is>
      </c>
      <c r="E1642" t="inlineStr">
        <is>
          <t>UPPSALA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61071-2024</t>
        </is>
      </c>
      <c r="B1643" s="1" t="n">
        <v>45645</v>
      </c>
      <c r="C1643" s="1" t="n">
        <v>45664</v>
      </c>
      <c r="D1643" t="inlineStr">
        <is>
          <t>UPPSALA LÄN</t>
        </is>
      </c>
      <c r="E1643" t="inlineStr">
        <is>
          <t>UPPSALA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45664</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60954-2024</t>
        </is>
      </c>
      <c r="B1645" s="1" t="n">
        <v>45645</v>
      </c>
      <c r="C1645" s="1" t="n">
        <v>45664</v>
      </c>
      <c r="D1645" t="inlineStr">
        <is>
          <t>UPPSALA LÄN</t>
        </is>
      </c>
      <c r="E1645" t="inlineStr">
        <is>
          <t>UPPSALA</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61574-2024</t>
        </is>
      </c>
      <c r="B1646" s="1" t="n">
        <v>45646</v>
      </c>
      <c r="C1646" s="1" t="n">
        <v>45664</v>
      </c>
      <c r="D1646" t="inlineStr">
        <is>
          <t>UPPSALA LÄN</t>
        </is>
      </c>
      <c r="E1646" t="inlineStr">
        <is>
          <t>UPPSALA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45664</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62044-2024</t>
        </is>
      </c>
      <c r="B1648" s="1" t="n">
        <v>45656</v>
      </c>
      <c r="C1648" s="1" t="n">
        <v>45664</v>
      </c>
      <c r="D1648" t="inlineStr">
        <is>
          <t>UPPSALA LÄN</t>
        </is>
      </c>
      <c r="E1648" t="inlineStr">
        <is>
          <t>UPPSALA</t>
        </is>
      </c>
      <c r="F1648" t="inlineStr">
        <is>
          <t>Övriga statliga verk och myndigheter</t>
        </is>
      </c>
      <c r="G1648" t="n">
        <v>11.6</v>
      </c>
      <c r="H1648" t="n">
        <v>0</v>
      </c>
      <c r="I1648" t="n">
        <v>0</v>
      </c>
      <c r="J1648" t="n">
        <v>0</v>
      </c>
      <c r="K1648" t="n">
        <v>0</v>
      </c>
      <c r="L1648" t="n">
        <v>0</v>
      </c>
      <c r="M1648" t="n">
        <v>0</v>
      </c>
      <c r="N1648" t="n">
        <v>0</v>
      </c>
      <c r="O1648" t="n">
        <v>0</v>
      </c>
      <c r="P1648" t="n">
        <v>0</v>
      </c>
      <c r="Q1648" t="n">
        <v>0</v>
      </c>
      <c r="R1648" s="2" t="inlineStr"/>
    </row>
    <row r="1649">
      <c r="A1649" t="inlineStr">
        <is>
          <t>A 62054-2024</t>
        </is>
      </c>
      <c r="B1649" s="1" t="n">
        <v>45656</v>
      </c>
      <c r="C1649" s="1" t="n">
        <v>45664</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2025-01-07T15:47:20Z</dcterms:created>
  <dcterms:modified xmlns:dcterms="http://purl.org/dc/terms/" xmlns:xsi="http://www.w3.org/2001/XMLSchema-instance" xsi:type="dcterms:W3CDTF">2025-01-07T15:47:22Z</dcterms:modified>
</cp:coreProperties>
</file>