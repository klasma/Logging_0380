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45757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45757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45757</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45757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45757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45757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45757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45757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45757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45757</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45757</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45757</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45757</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45757</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45757</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45757</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45757</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45757</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45757</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45757</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45757</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45757</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45757</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45757</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45757</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45757</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45757</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45757</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45757</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45757</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45757</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45757</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HYPERLINK("https://klasma.github.io/Logging_030380/artfynd/A 9406-2025 artfynd.xlsx", "A 9406-2025")</f>
        <v/>
      </c>
      <c r="T33">
        <f>HYPERLINK("https://klasma.github.io/Logging_030380/kartor/A 9406-2025 karta.png", "A 9406-2025")</f>
        <v/>
      </c>
      <c r="V33">
        <f>HYPERLINK("https://klasma.github.io/Logging_030380/klagomål/A 9406-2025 FSC-klagomål.docx", "A 9406-2025")</f>
        <v/>
      </c>
      <c r="W33">
        <f>HYPERLINK("https://klasma.github.io/Logging_030380/klagomålsmail/A 9406-2025 FSC-klagomål mail.docx", "A 9406-2025")</f>
        <v/>
      </c>
      <c r="X33">
        <f>HYPERLINK("https://klasma.github.io/Logging_030380/tillsyn/A 9406-2025 tillsynsbegäran.docx", "A 9406-2025")</f>
        <v/>
      </c>
      <c r="Y33">
        <f>HYPERLINK("https://klasma.github.io/Logging_030380/tillsynsmail/A 9406-2025 tillsynsbegäran mail.docx", "A 9406-2025")</f>
        <v/>
      </c>
      <c r="Z33">
        <f>HYPERLINK("https://klasma.github.io/Logging_030380/fåglar/A 9406-2025 prioriterade fågelarter.docx", "A 9406-2025")</f>
        <v/>
      </c>
    </row>
    <row r="34" ht="15" customHeight="1">
      <c r="A34" t="inlineStr">
        <is>
          <t>A 33012-2021</t>
        </is>
      </c>
      <c r="B34" s="1" t="n">
        <v>44376</v>
      </c>
      <c r="C34" s="1" t="n">
        <v>45757</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45757</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45757</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45757</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45757</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45757</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45757</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45757</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45757</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45757</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45757</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45757</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45757</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45757</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45757</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45757</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45757</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45757</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45757</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45757</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45757</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45757</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45757</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45757</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HYPERLINK("https://klasma.github.io/Logging_030380/artfynd/A 13546-2025 artfynd.xlsx", "A 13546-2025")</f>
        <v/>
      </c>
      <c r="T57">
        <f>HYPERLINK("https://klasma.github.io/Logging_030380/kartor/A 13546-2025 karta.png", "A 13546-2025")</f>
        <v/>
      </c>
      <c r="V57">
        <f>HYPERLINK("https://klasma.github.io/Logging_030380/klagomål/A 13546-2025 FSC-klagomål.docx", "A 13546-2025")</f>
        <v/>
      </c>
      <c r="W57">
        <f>HYPERLINK("https://klasma.github.io/Logging_030380/klagomålsmail/A 13546-2025 FSC-klagomål mail.docx", "A 13546-2025")</f>
        <v/>
      </c>
      <c r="X57">
        <f>HYPERLINK("https://klasma.github.io/Logging_030380/tillsyn/A 13546-2025 tillsynsbegäran.docx", "A 13546-2025")</f>
        <v/>
      </c>
      <c r="Y57">
        <f>HYPERLINK("https://klasma.github.io/Logging_030380/tillsynsmail/A 13546-2025 tillsynsbegäran mail.docx", "A 13546-2025")</f>
        <v/>
      </c>
    </row>
    <row r="58" ht="15" customHeight="1">
      <c r="A58" t="inlineStr">
        <is>
          <t>A 4116-2020</t>
        </is>
      </c>
      <c r="B58" s="1" t="n">
        <v>43857</v>
      </c>
      <c r="C58" s="1" t="n">
        <v>45757</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45757</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45757</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45757</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45757</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45757</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45757</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45757</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45757</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45757</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45757</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45757</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45757</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45757</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45757</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45757</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45757</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45757</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45757</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45757</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45757</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45757</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45757</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45757</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45757</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45757</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45757</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45757</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45757</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45757</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45757</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45757</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45757</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45757</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45757</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45757</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45757</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45757</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45757</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45757</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45757</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45757</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45757</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45757</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45757</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45757</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45757</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45757</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45757</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45757</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45757</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45757</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45757</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45757</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45757</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45757</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45757</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45757</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45757</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45757</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45757</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45757</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45757</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45757</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45757</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45757</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HYPERLINK("https://klasma.github.io/Logging_030380/artfynd/A 9401-2025 artfynd.xlsx", "A 9401-2025")</f>
        <v/>
      </c>
      <c r="T123">
        <f>HYPERLINK("https://klasma.github.io/Logging_030380/kartor/A 9401-2025 karta.png", "A 9401-2025")</f>
        <v/>
      </c>
      <c r="V123">
        <f>HYPERLINK("https://klasma.github.io/Logging_030380/klagomål/A 9401-2025 FSC-klagomål.docx", "A 9401-2025")</f>
        <v/>
      </c>
      <c r="W123">
        <f>HYPERLINK("https://klasma.github.io/Logging_030380/klagomålsmail/A 9401-2025 FSC-klagomål mail.docx", "A 9401-2025")</f>
        <v/>
      </c>
      <c r="X123">
        <f>HYPERLINK("https://klasma.github.io/Logging_030380/tillsyn/A 9401-2025 tillsynsbegäran.docx", "A 9401-2025")</f>
        <v/>
      </c>
      <c r="Y123">
        <f>HYPERLINK("https://klasma.github.io/Logging_030380/tillsynsmail/A 9401-2025 tillsynsbegäran mail.docx", "A 9401-2025")</f>
        <v/>
      </c>
    </row>
    <row r="124" ht="15" customHeight="1">
      <c r="A124" t="inlineStr">
        <is>
          <t>A 21862-2019</t>
        </is>
      </c>
      <c r="B124" s="1" t="n">
        <v>43583</v>
      </c>
      <c r="C124" s="1" t="n">
        <v>45757</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45757</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45757</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45757</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45757</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45757</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45757</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45757</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45757</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45757</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45757</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45757</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45757</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45757</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45757</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45757</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45757</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45757</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45757</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45757</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45757</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45757</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45757</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45757</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45757</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45757</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45757</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45757</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45757</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45757</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45757</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45757</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45757</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45757</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45757</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45757</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45757</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45757</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45757</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45757</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45757</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45757</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45757</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45757</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45757</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45757</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45757</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45757</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45757</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45757</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45757</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45757</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45757</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45757</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45757</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45757</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45757</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45757</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45757</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45757</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45757</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45757</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45757</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45757</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45757</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45757</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45757</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45757</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45757</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45757</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45757</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45757</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45757</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45757</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45757</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45757</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45757</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45757</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45757</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45757</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HYPERLINK("https://klasma.github.io/Logging_030380/artfynd/A 13526-2025 artfynd.xlsx", "A 13526-2025")</f>
        <v/>
      </c>
      <c r="T203">
        <f>HYPERLINK("https://klasma.github.io/Logging_030380/kartor/A 13526-2025 karta.png", "A 13526-2025")</f>
        <v/>
      </c>
      <c r="V203">
        <f>HYPERLINK("https://klasma.github.io/Logging_030380/klagomål/A 13526-2025 FSC-klagomål.docx", "A 13526-2025")</f>
        <v/>
      </c>
      <c r="W203">
        <f>HYPERLINK("https://klasma.github.io/Logging_030380/klagomålsmail/A 13526-2025 FSC-klagomål mail.docx", "A 13526-2025")</f>
        <v/>
      </c>
      <c r="X203">
        <f>HYPERLINK("https://klasma.github.io/Logging_030380/tillsyn/A 13526-2025 tillsynsbegäran.docx", "A 13526-2025")</f>
        <v/>
      </c>
      <c r="Y203">
        <f>HYPERLINK("https://klasma.github.io/Logging_030380/tillsynsmail/A 13526-2025 tillsynsbegäran mail.docx", "A 13526-2025")</f>
        <v/>
      </c>
    </row>
    <row r="204" ht="15" customHeight="1">
      <c r="A204" t="inlineStr">
        <is>
          <t>A 17828-2019</t>
        </is>
      </c>
      <c r="B204" s="1" t="n">
        <v>43556</v>
      </c>
      <c r="C204" s="1" t="n">
        <v>45757</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45757</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45757</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45757</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45757</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45757</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45757</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45757</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45757</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45757</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45757</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45757</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45757</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45757</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45757</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45757</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45757</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45757</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45757</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45757</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45757</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45757</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45757</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45757</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45757</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45757</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45757</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45757</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45757</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45757</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45757</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45757</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45757</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45757</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45757</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45757</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45757</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45757</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45757</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45757</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45757</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45757</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45757</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45757</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45757</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45757</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45757</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45757</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45757</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45757</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45757</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45757</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45757</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45757</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45757</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45757</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45757</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45757</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45757</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45757</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45757</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45757</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45757</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45757</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45757</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45757</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45757</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45757</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45757</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45757</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45757</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45757</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45757</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45757</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45757</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45757</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45757</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45757</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45757</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45757</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45757</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45757</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45757</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45757</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45757</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45757</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45757</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45757</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45757</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45757</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45757</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45757</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45757</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45757</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45757</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45757</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45757</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45757</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45757</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45757</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45757</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45757</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45757</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45757</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45757</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45757</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45757</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45757</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45757</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45757</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45757</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45757</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45757</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45757</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45757</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45757</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45757</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45757</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45757</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45757</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45757</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45757</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45757</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45757</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45757</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45757</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45757</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45757</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45757</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45757</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45757</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45757</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45757</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45757</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45757</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45757</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45757</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45757</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45757</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45757</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45757</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45757</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45757</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45757</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45757</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45757</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45757</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45757</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45757</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45757</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45757</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45757</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45757</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45757</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45757</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45757</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45757</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45757</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45757</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45757</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45757</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45757</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45757</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45757</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45757</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45757</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45757</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45757</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45757</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45757</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45757</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45757</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45757</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45757</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45757</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45757</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45757</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45757</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45757</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45757</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45757</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45757</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45757</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45757</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45757</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45757</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45757</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45757</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45757</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45757</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45757</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45757</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45757</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45757</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45757</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45757</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45757</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45757</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45757</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45757</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45757</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45757</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45757</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45757</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45757</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45757</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45757</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45757</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45757</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45757</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45757</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45757</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45757</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45757</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45757</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45757</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45757</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45757</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45757</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45757</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45757</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45757</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45757</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45757</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45757</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45757</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45757</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45757</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45757</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45757</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45757</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45757</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45757</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45757</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45757</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45757</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45757</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45757</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45757</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45757</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45757</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45757</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45757</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45757</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45757</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45757</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45757</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45757</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45757</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45757</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45757</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45757</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45757</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45757</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45757</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45757</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45757</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45757</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45757</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45757</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45757</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45757</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45757</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45757</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45757</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45757</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45757</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45757</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45757</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45757</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45757</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45757</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45757</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45757</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45757</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45757</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45757</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45757</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45757</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45757</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45757</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45757</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45757</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45757</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45757</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45757</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45757</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45757</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45757</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45757</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45757</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45757</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45757</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45757</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45757</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45757</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45757</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45757</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45757</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45757</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45757</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45757</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45757</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45757</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45757</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45757</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45757</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45757</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45757</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45757</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45757</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45757</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45757</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45757</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45757</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45757</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45757</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45757</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45757</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45757</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45757</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45757</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45757</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45757</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45757</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45757</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45757</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45757</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45757</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45757</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45757</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45757</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45757</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45757</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45757</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45757</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45757</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45757</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45757</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45757</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45757</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45757</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45757</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45757</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45757</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45757</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45757</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45757</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45757</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45757</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45757</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45757</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45757</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45757</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45757</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45757</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45757</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45757</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45757</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45757</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45757</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45757</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45757</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45757</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45757</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45757</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45757</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45757</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45757</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45757</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45757</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45757</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45757</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45757</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45757</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45757</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45757</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45757</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45757</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45757</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45757</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45757</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45757</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45757</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45757</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45757</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45757</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45757</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45757</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45757</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45757</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45757</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45757</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45757</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45757</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45757</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45757</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45757</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45757</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45757</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45757</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45757</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45757</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45757</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45757</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45757</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45757</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45757</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45757</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45757</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45757</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45757</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45757</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45757</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45757</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45757</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45757</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45757</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45757</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45757</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45757</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45757</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45757</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45757</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45757</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45757</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45757</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45757</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45757</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45757</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45757</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45757</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45757</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45757</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45757</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45757</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45757</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45757</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45757</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45757</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45757</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45757</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45757</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45757</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45757</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45757</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45757</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45757</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45757</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45757</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45757</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45757</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45757</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45757</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45757</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45757</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45757</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45757</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45757</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45757</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45757</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45757</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45757</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45757</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45757</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45757</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45757</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45757</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45757</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45757</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45757</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45757</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45757</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45757</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45757</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45757</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45757</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45757</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45757</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45757</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45757</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45757</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45757</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45757</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45757</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45757</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45757</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45757</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45757</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45757</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45757</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45757</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45757</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45757</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45757</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45757</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45757</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45757</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45757</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45757</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45757</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45757</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45757</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45757</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45757</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45757</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45757</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45757</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45757</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45757</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45757</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45757</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45757</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45757</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45757</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45757</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45757</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45757</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45757</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45757</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45757</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45757</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45757</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45757</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45757</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45757</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45757</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45757</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45757</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45757</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45757</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45757</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45757</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45757</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45757</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45757</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45757</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45757</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45757</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45757</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45757</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45757</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45757</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45757</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45757</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45757</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45757</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45757</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45757</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45757</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45757</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45757</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45757</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45757</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45757</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45757</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45757</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45757</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45757</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45757</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45757</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45757</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45757</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45757</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45757</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45757</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45757</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45757</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45757</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45757</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45757</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45757</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45757</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45757</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45757</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45757</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45757</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45757</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45757</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45757</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45757</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45757</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45757</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45757</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45757</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45757</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45757</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45757</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45757</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45757</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45757</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45757</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45757</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45757</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45757</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45757</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45757</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45757</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45757</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45757</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45757</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45757</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45757</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45757</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45757</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45757</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45757</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45757</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45757</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45757</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45757</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45757</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45757</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45757</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45757</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45757</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45757</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45757</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45757</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45757</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45757</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45757</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45757</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45757</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45757</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45757</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45757</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45757</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45757</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45757</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45757</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45757</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45757</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45757</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45757</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45757</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45757</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45757</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45757</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45757</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45757</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45757</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45757</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45757</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45757</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45757</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45757</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45757</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45757</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45757</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45757</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45757</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45757</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45757</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45757</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45757</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45757</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45757</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45757</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45757</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45757</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45757</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45757</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45757</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45757</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45757</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45757</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45757</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45757</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45757</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45757</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45757</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45757</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45757</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45757</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45757</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45757</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45757</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45757</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45757</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45757</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45757</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45757</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45757</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45757</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45757</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45757</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45757</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45757</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45757</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45757</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45757</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45757</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45757</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45757</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45757</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45757</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45757</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45757</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45757</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45757</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45757</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45757</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45757</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45757</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45757</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45757</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45757</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45757</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45757</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45757</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45757</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45757</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45757</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45757</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45757</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45757</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45757</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45757</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45757</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45757</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45757</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45757</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45757</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45757</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45757</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45757</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45757</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45757</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45757</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45757</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45757</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45757</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45757</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45757</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45757</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45757</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45757</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45757</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45757</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45757</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45757</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45757</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45757</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45757</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45757</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45757</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45757</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45757</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45757</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45757</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45757</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45757</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45757</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45757</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45757</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45757</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45757</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45757</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45757</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45757</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45757</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45757</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45757</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45757</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45757</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45757</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45757</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45757</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45757</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45757</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45757</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45757</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45757</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45757</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45757</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45757</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45757</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45757</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45757</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45757</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45757</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45757</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45757</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45757</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45757</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45757</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45757</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45757</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45757</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45757</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45757</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45757</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45757</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45757</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45757</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45757</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45757</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45757</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45757</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45757</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45757</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45757</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45757</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45757</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45757</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45757</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45757</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45757</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45757</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45757</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45757</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45757</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45757</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45757</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45757</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45757</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45757</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45757</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45757</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45757</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45757</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45757</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45757</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45757</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45757</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45757</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45757</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45757</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45757</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45757</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45757</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45757</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45757</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45757</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45757</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45757</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45757</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45757</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45757</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45757</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45757</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45757</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45757</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45757</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45757</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45757</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45757</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45757</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45757</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45757</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45757</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45757</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45757</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45757</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45757</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45757</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45757</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45757</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45757</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45757</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45757</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45757</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45757</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45757</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45757</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45757</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45757</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45757</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45757</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45757</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45757</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45757</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45757</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45757</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45757</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45757</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45757</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45757</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45757</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45757</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45757</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45757</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45757</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45757</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45757</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45757</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45757</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45757</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45757</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45757</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45757</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45757</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45757</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45757</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45757</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45757</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45757</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45757</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45757</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45757</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45757</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45757</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45757</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45757</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45757</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45757</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45757</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45757</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45757</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45757</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45757</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45757</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45757</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45757</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45757</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45757</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45757</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45757</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45757</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45757</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45757</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45757</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45757</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45757</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45757</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45757</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45757</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45757</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45757</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45757</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45757</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45757</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45757</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45757</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45757</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45757</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45757</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45757</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45757</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45757</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45757</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45757</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45757</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45757</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45757</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45757</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45757</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45757</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45757</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45757</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45757</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45757</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45757</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45757</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45757</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45757</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45757</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45757</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45757</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45757</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45757</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45757</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45757</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45757</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45757</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45757</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45757</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45757</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45757</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45757</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45757</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45757</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45757</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45757</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45757</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45757</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45757</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45757</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45757</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45757</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45757</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45757</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45757</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45757</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45757</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45757</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45757</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45757</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45757</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45757</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45757</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45757</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45757</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45757</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45757</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45757</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45757</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45757</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45757</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45757</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45757</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45757</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45757</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45757</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45757</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45757</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45757</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45757</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45757</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45757</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45757</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45757</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45757</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45757</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45757</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45757</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45757</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45757</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45757</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45757</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45757</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45757</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45757</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45757</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45757</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45757</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45757</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45757</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45757</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45757</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45757</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45757</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45757</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45757</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45757</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45757</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45757</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45757</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45757</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45757</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45757</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45757</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45757</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45757</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45757</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45757</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45757</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45757</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45757</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45757</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45757</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45757</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45757</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45757</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45757</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45757</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45757</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45757</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45757</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45757</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45757</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45757</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45757</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45757</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45757</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45757</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45757</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45757</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45757</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45757</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45757</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45757</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45757</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45757</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45757</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45757</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45757</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45757</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45757</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45757</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45757</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45757</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45757</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45757</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45757</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45757</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45757</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45757</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45757</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45757</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45757</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45757</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45757</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45757</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45757</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45757</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45757</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45757</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45757</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45757</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45757</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45757</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45757</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45757</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45757</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45757</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45757</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45757</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45757</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45757</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45757</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45757</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45757</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45757</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45757</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45757</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45757</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45757</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45757</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45757</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45757</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45757</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45757</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45757</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45757</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45757</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45757</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45757</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45757</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45757</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45757</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45757</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45757</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45757</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45757</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45757</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45757</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45757</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45757</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45757</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45757</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45757</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45757</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45757</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45757</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45757</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45757</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45757</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45757</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45757</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45757</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45757</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45757</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45757</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45757</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45757</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45757</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45757</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45757</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45757</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45757</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45757</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45757</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45757</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45757</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45757</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45757</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45757</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45757</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45757</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45757</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45757</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45757</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45757</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45757</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45757</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45757</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45757</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45757</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45757</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45757</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45757</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45757</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45757</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45757</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45757</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45757</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45757</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45757</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45757</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45757</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45757</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45757</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45757</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45757</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45757</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45757</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45757</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45757</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45757</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45757</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45757</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45757</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45757</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45757</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45757</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45757</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45757</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45757</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45757</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45757</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45757</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45757</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45757</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45757</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45757</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45757</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45757</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45757</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45757</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45757</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45757</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45757</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45757</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45757</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45757</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45757</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45757</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45757</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45757</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45757</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45757</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45757</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45757</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45757</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45757</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45757</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45757</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45757</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45757</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45757</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45757</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45757</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45757</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45757</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45757</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45757</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45757</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45757</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45757</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45757</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45757</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45757</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45757</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45757</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45757</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45757</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45757</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45757</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45757</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45757</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45757</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45757</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45757</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45757</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45757</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45757</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45757</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45757</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45757</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45757</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45757</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45757</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45757</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45757</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45757</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45757</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45757</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45757</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45757</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45757</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45757</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45757</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45757</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45757</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45757</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45757</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45757</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45757</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45757</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45757</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45757</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45757</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45757</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45757</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45757</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45757</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45757</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45757</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45757</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45757</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45757</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45757</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45757</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45757</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45757</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45757</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45757</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45757</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45757</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45757</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45757</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45757</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45757</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45757</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45757</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45757</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45757</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45757</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45757</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45757</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45757</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45757</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45757</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45757</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45757</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45757</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45757</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45757</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45757</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45757</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45757</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45757</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45757</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45757</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45757</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45757</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45757</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45757</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45757</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45757</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45757</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45757</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45757</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45757</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45757</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45757</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45757</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45757</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45757</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45757</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45757</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45757</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45757</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45757</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45757</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45757</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45757</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45757</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45757</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45757</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45757</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45757</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45757</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45757</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45757</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45757</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45757</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45757</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45757</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45757</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45757</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45757</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45757</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45757</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45757</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45757</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45757</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45757</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45757</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45757</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45757</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45757</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45757</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45757</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45757</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45757</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45757</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45757</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45757</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45757</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45757</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45757</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45757</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45757</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45757</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45757</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45757</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45757</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45757</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45757</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45757</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45757</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45757</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45757</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45757</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45757</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45757</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45757</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45757</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45757</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45757</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45757</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45757</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45757</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45757</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45757</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45757</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45757</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45757</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45757</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45757</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45757</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45757</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45757</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45757</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45757</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45757</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45757</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45757</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45757</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45757</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45757</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45757</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45757</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45757</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45757</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45757</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45757</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45757</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45757</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45757</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45757</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45757</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45757</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45757</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45757</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45757</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45757</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45757</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45757</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45757</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45757</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45757</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45757</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45757</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45757</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45757</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45757</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45757</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45757</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45757</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45757</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45757</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45757</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45757</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45757</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45757</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45757</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45757</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45757</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45757</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45757</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45757</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45757</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45757</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45757</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45757</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45757</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45757</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45757</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45757</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45757</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45757</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45757</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45757</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45757</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45757</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45757</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45757</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45757</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45757</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45757</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45757</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45757</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45757</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45757</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45757</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45757</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45757</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45757</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45757</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45757</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45757</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45757</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45757</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45757</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45757</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45757</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45757</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45757</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45757</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45757</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45757</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45757</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45757</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45757</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9982-2025</t>
        </is>
      </c>
      <c r="B1722" s="1" t="n">
        <v>45719</v>
      </c>
      <c r="C1722" s="1" t="n">
        <v>45757</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9984-2025</t>
        </is>
      </c>
      <c r="B1723" s="1" t="n">
        <v>45719</v>
      </c>
      <c r="C1723" s="1" t="n">
        <v>45757</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45757</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9991-2025</t>
        </is>
      </c>
      <c r="B1725" s="1" t="n">
        <v>45719</v>
      </c>
      <c r="C1725" s="1" t="n">
        <v>45757</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9981-2025</t>
        </is>
      </c>
      <c r="B1726" s="1" t="n">
        <v>45719</v>
      </c>
      <c r="C1726" s="1" t="n">
        <v>45757</v>
      </c>
      <c r="D1726" t="inlineStr">
        <is>
          <t>UPPSALA LÄN</t>
        </is>
      </c>
      <c r="E1726" t="inlineStr">
        <is>
          <t>UPPSALA</t>
        </is>
      </c>
      <c r="F1726" t="inlineStr">
        <is>
          <t>Kyrkan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9995-2025</t>
        </is>
      </c>
      <c r="B1727" s="1" t="n">
        <v>45719</v>
      </c>
      <c r="C1727" s="1" t="n">
        <v>45757</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45757</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45757</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10488-2025</t>
        </is>
      </c>
      <c r="B1730" s="1" t="n">
        <v>45721</v>
      </c>
      <c r="C1730" s="1" t="n">
        <v>45757</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10490-2025</t>
        </is>
      </c>
      <c r="B1731" s="1" t="n">
        <v>45721</v>
      </c>
      <c r="C1731" s="1" t="n">
        <v>45757</v>
      </c>
      <c r="D1731" t="inlineStr">
        <is>
          <t>UPPSALA LÄN</t>
        </is>
      </c>
      <c r="E1731" t="inlineStr">
        <is>
          <t>UPPSALA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45757</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45757</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11119-2025</t>
        </is>
      </c>
      <c r="B1734" s="1" t="n">
        <v>45723</v>
      </c>
      <c r="C1734" s="1" t="n">
        <v>45757</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45757</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45757</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45757</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12282-2025</t>
        </is>
      </c>
      <c r="B1738" s="1" t="n">
        <v>45729</v>
      </c>
      <c r="C1738" s="1" t="n">
        <v>45757</v>
      </c>
      <c r="D1738" t="inlineStr">
        <is>
          <t>UPPSALA LÄN</t>
        </is>
      </c>
      <c r="E1738" t="inlineStr">
        <is>
          <t>UPPSALA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12211-2025</t>
        </is>
      </c>
      <c r="B1739" s="1" t="n">
        <v>45729</v>
      </c>
      <c r="C1739" s="1" t="n">
        <v>45757</v>
      </c>
      <c r="D1739" t="inlineStr">
        <is>
          <t>UPPSALA LÄN</t>
        </is>
      </c>
      <c r="E1739" t="inlineStr">
        <is>
          <t>UPPSALA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12209-2025</t>
        </is>
      </c>
      <c r="B1740" s="1" t="n">
        <v>45729</v>
      </c>
      <c r="C1740" s="1" t="n">
        <v>45757</v>
      </c>
      <c r="D1740" t="inlineStr">
        <is>
          <t>UPPSALA LÄN</t>
        </is>
      </c>
      <c r="E1740" t="inlineStr">
        <is>
          <t>UPPSALA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12287-2025</t>
        </is>
      </c>
      <c r="B1741" s="1" t="n">
        <v>45729</v>
      </c>
      <c r="C1741" s="1" t="n">
        <v>45757</v>
      </c>
      <c r="D1741" t="inlineStr">
        <is>
          <t>UPPSALA LÄN</t>
        </is>
      </c>
      <c r="E1741" t="inlineStr">
        <is>
          <t>UPPSALA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12284-2025</t>
        </is>
      </c>
      <c r="B1742" s="1" t="n">
        <v>45729</v>
      </c>
      <c r="C1742" s="1" t="n">
        <v>45757</v>
      </c>
      <c r="D1742" t="inlineStr">
        <is>
          <t>UPPSALA LÄN</t>
        </is>
      </c>
      <c r="E1742" t="inlineStr">
        <is>
          <t>UPPSALA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45757</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45757</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45757</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45757</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45757</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13502-2025</t>
        </is>
      </c>
      <c r="B1748" s="1" t="n">
        <v>45736</v>
      </c>
      <c r="C1748" s="1" t="n">
        <v>45757</v>
      </c>
      <c r="D1748" t="inlineStr">
        <is>
          <t>UPPSALA LÄN</t>
        </is>
      </c>
      <c r="E1748" t="inlineStr">
        <is>
          <t>UPPSALA</t>
        </is>
      </c>
      <c r="F1748" t="inlineStr">
        <is>
          <t>Allmännings- och besparingsskogar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13590-2025</t>
        </is>
      </c>
      <c r="B1749" s="1" t="n">
        <v>45736</v>
      </c>
      <c r="C1749" s="1" t="n">
        <v>45757</v>
      </c>
      <c r="D1749" t="inlineStr">
        <is>
          <t>UPPSALA LÄN</t>
        </is>
      </c>
      <c r="E1749" t="inlineStr">
        <is>
          <t>UPPSALA</t>
        </is>
      </c>
      <c r="F1749" t="inlineStr">
        <is>
          <t>Allmännings- och besparingsskogar</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13602-2025</t>
        </is>
      </c>
      <c r="B1750" s="1" t="n">
        <v>45736</v>
      </c>
      <c r="C1750" s="1" t="n">
        <v>45757</v>
      </c>
      <c r="D1750" t="inlineStr">
        <is>
          <t>UPPSALA LÄN</t>
        </is>
      </c>
      <c r="E1750" t="inlineStr">
        <is>
          <t>UPPSALA</t>
        </is>
      </c>
      <c r="F1750" t="inlineStr">
        <is>
          <t>Allmännings- och besparingsskogar</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13594-2025</t>
        </is>
      </c>
      <c r="B1751" s="1" t="n">
        <v>45736</v>
      </c>
      <c r="C1751" s="1" t="n">
        <v>45757</v>
      </c>
      <c r="D1751" t="inlineStr">
        <is>
          <t>UPPSALA LÄN</t>
        </is>
      </c>
      <c r="E1751" t="inlineStr">
        <is>
          <t>UPPSALA</t>
        </is>
      </c>
      <c r="F1751" t="inlineStr">
        <is>
          <t>Allmännings- och besparingsskogar</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45757</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45757</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45757</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45757</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v>
      </c>
      <c r="C1756" s="1" t="n">
        <v>45757</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14652-2025</t>
        </is>
      </c>
      <c r="B1757" s="1" t="n">
        <v>45742</v>
      </c>
      <c r="C1757" s="1" t="n">
        <v>45757</v>
      </c>
      <c r="D1757" t="inlineStr">
        <is>
          <t>UPPSALA LÄN</t>
        </is>
      </c>
      <c r="E1757" t="inlineStr">
        <is>
          <t>UPPSALA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14907-2025</t>
        </is>
      </c>
      <c r="B1758" s="1" t="n">
        <v>45743</v>
      </c>
      <c r="C1758" s="1" t="n">
        <v>45757</v>
      </c>
      <c r="D1758" t="inlineStr">
        <is>
          <t>UPPSALA LÄN</t>
        </is>
      </c>
      <c r="E1758" t="inlineStr">
        <is>
          <t>UPPSALA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15264-2025</t>
        </is>
      </c>
      <c r="B1759" s="1" t="n">
        <v>45744</v>
      </c>
      <c r="C1759" s="1" t="n">
        <v>45757</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15473-2025</t>
        </is>
      </c>
      <c r="B1760" s="1" t="n">
        <v>45747</v>
      </c>
      <c r="C1760" s="1" t="n">
        <v>45757</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15937-2025</t>
        </is>
      </c>
      <c r="B1761" s="1" t="n">
        <v>45749</v>
      </c>
      <c r="C1761" s="1" t="n">
        <v>45757</v>
      </c>
      <c r="D1761" t="inlineStr">
        <is>
          <t>UPPSALA LÄN</t>
        </is>
      </c>
      <c r="E1761" t="inlineStr">
        <is>
          <t>UPPSALA</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16288-2025</t>
        </is>
      </c>
      <c r="B1762" s="1" t="n">
        <v>45751</v>
      </c>
      <c r="C1762" s="1" t="n">
        <v>45757</v>
      </c>
      <c r="D1762" t="inlineStr">
        <is>
          <t>UPPSALA LÄN</t>
        </is>
      </c>
      <c r="E1762" t="inlineStr">
        <is>
          <t>UPPSALA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17211-2025</t>
        </is>
      </c>
      <c r="B1763" s="1" t="n">
        <v>45756</v>
      </c>
      <c r="C1763" s="1" t="n">
        <v>45757</v>
      </c>
      <c r="D1763" t="inlineStr">
        <is>
          <t>UPPSALA LÄN</t>
        </is>
      </c>
      <c r="E1763" t="inlineStr">
        <is>
          <t>UPPSALA</t>
        </is>
      </c>
      <c r="G1763" t="n">
        <v>1.2</v>
      </c>
      <c r="H1763" t="n">
        <v>0</v>
      </c>
      <c r="I1763" t="n">
        <v>0</v>
      </c>
      <c r="J1763" t="n">
        <v>0</v>
      </c>
      <c r="K1763" t="n">
        <v>0</v>
      </c>
      <c r="L1763" t="n">
        <v>0</v>
      </c>
      <c r="M1763" t="n">
        <v>0</v>
      </c>
      <c r="N1763" t="n">
        <v>0</v>
      </c>
      <c r="O1763" t="n">
        <v>0</v>
      </c>
      <c r="P1763" t="n">
        <v>0</v>
      </c>
      <c r="Q1763" t="n">
        <v>0</v>
      </c>
      <c r="R1763" s="2" t="inlineStr"/>
    </row>
    <row r="1764">
      <c r="A1764" t="inlineStr">
        <is>
          <t>A 17250-2025</t>
        </is>
      </c>
      <c r="B1764" s="1" t="n">
        <v>45756</v>
      </c>
      <c r="C1764" s="1" t="n">
        <v>45757</v>
      </c>
      <c r="D1764" t="inlineStr">
        <is>
          <t>UPPSALA LÄN</t>
        </is>
      </c>
      <c r="E1764" t="inlineStr">
        <is>
          <t>UPPSALA</t>
        </is>
      </c>
      <c r="G1764" t="n">
        <v>2.2</v>
      </c>
      <c r="H1764" t="n">
        <v>0</v>
      </c>
      <c r="I1764" t="n">
        <v>0</v>
      </c>
      <c r="J1764" t="n">
        <v>0</v>
      </c>
      <c r="K1764" t="n">
        <v>0</v>
      </c>
      <c r="L1764" t="n">
        <v>0</v>
      </c>
      <c r="M1764" t="n">
        <v>0</v>
      </c>
      <c r="N1764" t="n">
        <v>0</v>
      </c>
      <c r="O1764" t="n">
        <v>0</v>
      </c>
      <c r="P1764" t="n">
        <v>0</v>
      </c>
      <c r="Q1764" t="n">
        <v>0</v>
      </c>
      <c r="R1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2025-04-10T16:16:47Z</dcterms:created>
  <dcterms:modified xmlns:dcterms="http://purl.org/dc/terms/" xmlns:xsi="http://www.w3.org/2001/XMLSchema-instance" xsi:type="dcterms:W3CDTF">2025-04-10T16:16:49Z</dcterms:modified>
</cp:coreProperties>
</file>