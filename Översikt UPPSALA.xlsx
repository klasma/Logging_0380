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46222</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46222</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46222</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46222</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46222</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46222</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46222</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46222</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46222</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46222</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46222</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46222</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46222</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46222</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Y17">
        <f>HYPERLINK("https://klasma.github.io/Logging_0380/klagomål/A 63008-2025 FSC-klagomål.docx", "A 63008-2025")</f>
        <v/>
      </c>
      <c r="Z17">
        <f>HYPERLINK("https://klasma.github.io/Logging_0380/klagomålsmail/A 63008-2025 FSC-klagomål mail.docx", "A 63008-2025")</f>
        <v/>
      </c>
      <c r="AA17">
        <f>HYPERLINK("https://klasma.github.io/Logging_0380/tillsyn/A 63008-2025 tillsynsbegäran.docx", "A 63008-2025")</f>
        <v/>
      </c>
      <c r="AB17">
        <f>HYPERLINK("https://klasma.github.io/Logging_0380/tillsynsmail/A 63008-2025 tillsynsbegäran mail.docx", "A 63008-2025")</f>
        <v/>
      </c>
      <c r="AC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46222</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Y18">
        <f>HYPERLINK("https://klasma.github.io/Logging_0380/klagomål/A 10368-2022 FSC-klagomål.docx", "A 10368-2022")</f>
        <v/>
      </c>
      <c r="Z18">
        <f>HYPERLINK("https://klasma.github.io/Logging_0380/klagomålsmail/A 10368-2022 FSC-klagomål mail.docx", "A 10368-2022")</f>
        <v/>
      </c>
      <c r="AA18">
        <f>HYPERLINK("https://klasma.github.io/Logging_0380/tillsyn/A 10368-2022 tillsynsbegäran.docx", "A 10368-2022")</f>
        <v/>
      </c>
      <c r="AB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46222</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46222</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46222</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46222</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62998-2025</t>
        </is>
      </c>
      <c r="B23" t="inlineStr">
        <is>
          <t>avverkningsanmälan</t>
        </is>
      </c>
      <c r="C23" t="inlineStr">
        <is>
          <t>Föryngringsavverkning</t>
        </is>
      </c>
      <c r="D23" s="1" t="n">
        <v>46009</v>
      </c>
      <c r="E23" s="1" t="n">
        <v>46222</v>
      </c>
      <c r="F23" t="inlineStr">
        <is>
          <t>UPPSALA LÄN</t>
        </is>
      </c>
      <c r="G23" t="inlineStr">
        <is>
          <t>UPPSALA</t>
        </is>
      </c>
      <c r="I23" t="n">
        <v>10.8</v>
      </c>
      <c r="J23" t="n">
        <v>5</v>
      </c>
      <c r="K23" t="n">
        <v>10</v>
      </c>
      <c r="L23" t="n">
        <v>3</v>
      </c>
      <c r="M23" t="n">
        <v>1</v>
      </c>
      <c r="N23" t="n">
        <v>0</v>
      </c>
      <c r="O23" t="n">
        <v>0</v>
      </c>
      <c r="P23" t="n">
        <v>0</v>
      </c>
      <c r="Q23" t="n">
        <v>4</v>
      </c>
      <c r="R23" t="n">
        <v>1</v>
      </c>
      <c r="S23" t="n">
        <v>17</v>
      </c>
      <c r="T23" t="n">
        <v>31</v>
      </c>
      <c r="U23" s="2" t="inlineStr">
        <is>
          <t>Knärot
Fjällig taggsvamp s.str.
Rynkskinn
Vedtrappmossa
Bronshjon
Flagellkvastmossa
Granbräken
Grön sköldmossa
Grönpyrola
Gullgröppa
Rödgul trumpetsvamp
Skinnlav
Stubbspretmossa
Svavelriska
Blåsippa
Spillkråka
Fläcknycklar</t>
        </is>
      </c>
      <c r="V23">
        <f>HYPERLINK("https://klasma.github.io/Logging_0380/artfynd/A 62998-2025 artfynd.xlsx", "A 62998-2025")</f>
        <v/>
      </c>
      <c r="W23">
        <f>HYPERLINK("https://klasma.github.io/Logging_0380/kartor/A 62998-2025 karta.png", "A 62998-2025")</f>
        <v/>
      </c>
      <c r="X23">
        <f>HYPERLINK("https://klasma.github.io/Logging_0380/knärot/A 62998-2025 karta knärot.png", "A 62998-2025")</f>
        <v/>
      </c>
      <c r="Y23">
        <f>HYPERLINK("https://klasma.github.io/Logging_0380/klagomål/A 62998-2025 FSC-klagomål.docx", "A 62998-2025")</f>
        <v/>
      </c>
      <c r="Z23">
        <f>HYPERLINK("https://klasma.github.io/Logging_0380/klagomålsmail/A 62998-2025 FSC-klagomål mail.docx", "A 62998-2025")</f>
        <v/>
      </c>
      <c r="AA23">
        <f>HYPERLINK("https://klasma.github.io/Logging_0380/tillsyn/A 62998-2025 tillsynsbegäran.docx", "A 62998-2025")</f>
        <v/>
      </c>
      <c r="AB23">
        <f>HYPERLINK("https://klasma.github.io/Logging_0380/tillsynsmail/A 62998-2025 tillsynsbegäran mail.docx", "A 62998-2025")</f>
        <v/>
      </c>
      <c r="AC23">
        <f>HYPERLINK("https://klasma.github.io/Logging_0380/fåglar/A 62998-2025 prioriterade fågelarter.docx", "A 62998-2025")</f>
        <v/>
      </c>
    </row>
    <row r="24" ht="15" customHeight="1">
      <c r="A24" t="inlineStr">
        <is>
          <t>A 25609-2025</t>
        </is>
      </c>
      <c r="B24" t="inlineStr">
        <is>
          <t>avverkningsanmälan</t>
        </is>
      </c>
      <c r="C24" t="inlineStr">
        <is>
          <t>Föryngringsavverkning</t>
        </is>
      </c>
      <c r="D24" s="1" t="n">
        <v>45803</v>
      </c>
      <c r="E24" s="1" t="n">
        <v>46222</v>
      </c>
      <c r="F24" t="inlineStr">
        <is>
          <t>UPPSALA LÄN</t>
        </is>
      </c>
      <c r="G24" t="inlineStr">
        <is>
          <t>UPPSALA</t>
        </is>
      </c>
      <c r="H24" t="inlineStr">
        <is>
          <t>Holmen skog AB</t>
        </is>
      </c>
      <c r="I24" t="n">
        <v>4.5</v>
      </c>
      <c r="J24" t="n">
        <v>6</v>
      </c>
      <c r="K24" t="n">
        <v>9</v>
      </c>
      <c r="L24" t="n">
        <v>2</v>
      </c>
      <c r="M24" t="n">
        <v>2</v>
      </c>
      <c r="N24" t="n">
        <v>0</v>
      </c>
      <c r="O24" t="n">
        <v>0</v>
      </c>
      <c r="P24" t="n">
        <v>0</v>
      </c>
      <c r="Q24" t="n">
        <v>4</v>
      </c>
      <c r="R24" t="n">
        <v>2</v>
      </c>
      <c r="S24" t="n">
        <v>17</v>
      </c>
      <c r="T24" t="n">
        <v>117</v>
      </c>
      <c r="U24" s="2" t="inlineStr">
        <is>
          <t>Knärot
Laxporing
Talltita
Vedtrappmossa
Blodticka
Blomkålssvamp
Brandticka
Bronshjon
Grönpyrola
Jättesvampmal
Mindre märgborre
Thomsons trägnagare
Vågbandad barkbock
Blåsippa
Spillkråka
Fläcknycklar
Revlummer</t>
        </is>
      </c>
      <c r="V24">
        <f>HYPERLINK("https://klasma.github.io/Logging_0380/artfynd/A 25609-2025 artfynd.xlsx", "A 25609-2025")</f>
        <v/>
      </c>
      <c r="W24">
        <f>HYPERLINK("https://klasma.github.io/Logging_0380/kartor/A 25609-2025 karta.png", "A 25609-2025")</f>
        <v/>
      </c>
      <c r="X24">
        <f>HYPERLINK("https://klasma.github.io/Logging_0380/knärot/A 25609-2025 karta knärot.png", "A 25609-2025")</f>
        <v/>
      </c>
      <c r="Y24">
        <f>HYPERLINK("https://klasma.github.io/Logging_0380/klagomål/A 25609-2025 FSC-klagomål.docx", "A 25609-2025")</f>
        <v/>
      </c>
      <c r="Z24">
        <f>HYPERLINK("https://klasma.github.io/Logging_0380/klagomålsmail/A 25609-2025 FSC-klagomål mail.docx", "A 25609-2025")</f>
        <v/>
      </c>
      <c r="AA24">
        <f>HYPERLINK("https://klasma.github.io/Logging_0380/tillsyn/A 25609-2025 tillsynsbegäran.docx", "A 25609-2025")</f>
        <v/>
      </c>
      <c r="AB24">
        <f>HYPERLINK("https://klasma.github.io/Logging_0380/tillsynsmail/A 25609-2025 tillsynsbegäran mail.docx", "A 25609-2025")</f>
        <v/>
      </c>
      <c r="AC24">
        <f>HYPERLINK("https://klasma.github.io/Logging_0380/fåglar/A 25609-2025 prioriterade fågelarter.docx", "A 25609-2025")</f>
        <v/>
      </c>
    </row>
    <row r="25" ht="15" customHeight="1">
      <c r="A25" t="inlineStr">
        <is>
          <t>A 11833-2025</t>
        </is>
      </c>
      <c r="B25" t="inlineStr">
        <is>
          <t>avverkningsanmälan</t>
        </is>
      </c>
      <c r="C25" t="inlineStr">
        <is>
          <t>Föryngringsavverkning</t>
        </is>
      </c>
      <c r="D25" s="1" t="n">
        <v>45728</v>
      </c>
      <c r="E25" s="1" t="n">
        <v>46222</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11833-2025 artfynd.xlsx", "A 11833-2025")</f>
        <v/>
      </c>
      <c r="W25">
        <f>HYPERLINK("https://klasma.github.io/Logging_0380/kartor/A 11833-2025 karta.png", "A 11833-2025")</f>
        <v/>
      </c>
      <c r="X25">
        <f>HYPERLINK("https://klasma.github.io/Logging_0380/knärot/A 11833-2025 karta knärot.png", "A 11833-2025")</f>
        <v/>
      </c>
      <c r="Y25">
        <f>HYPERLINK("https://klasma.github.io/Logging_0380/klagomål/A 11833-2025 FSC-klagomål.docx", "A 11833-2025")</f>
        <v/>
      </c>
      <c r="Z25">
        <f>HYPERLINK("https://klasma.github.io/Logging_0380/klagomålsmail/A 11833-2025 FSC-klagomål mail.docx", "A 11833-2025")</f>
        <v/>
      </c>
      <c r="AA25">
        <f>HYPERLINK("https://klasma.github.io/Logging_0380/tillsyn/A 11833-2025 tillsynsbegäran.docx", "A 11833-2025")</f>
        <v/>
      </c>
      <c r="AB25">
        <f>HYPERLINK("https://klasma.github.io/Logging_0380/tillsynsmail/A 11833-2025 tillsynsbegäran mail.docx", "A 11833-2025")</f>
        <v/>
      </c>
      <c r="AC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46222</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s="2" t="inlineStr">
        <is>
          <t>Ostticka
Grönhjon
Rynkskinn
Större flatbagge
Tallticka
Talltita
Ullticka
Barkticka
Brandticka
Bronshjon
Granbarkgnagare
Gullgröppa
Jättesvampmal
Trådticka
Vågbandad barkbock
Blåsippa
Spillkråka</t>
        </is>
      </c>
      <c r="V26">
        <f>HYPERLINK("https://klasma.github.io/Logging_0380/artfynd/A 4451-2026 artfynd.xlsx", "A 4451-2026")</f>
        <v/>
      </c>
      <c r="W26">
        <f>HYPERLINK("https://klasma.github.io/Logging_0380/kartor/A 4451-2026 karta.png", "A 4451-2026")</f>
        <v/>
      </c>
      <c r="Y26">
        <f>HYPERLINK("https://klasma.github.io/Logging_0380/klagomål/A 4451-2026 FSC-klagomål.docx", "A 4451-2026")</f>
        <v/>
      </c>
      <c r="Z26">
        <f>HYPERLINK("https://klasma.github.io/Logging_0380/klagomålsmail/A 4451-2026 FSC-klagomål mail.docx", "A 4451-2026")</f>
        <v/>
      </c>
      <c r="AA26">
        <f>HYPERLINK("https://klasma.github.io/Logging_0380/tillsyn/A 4451-2026 tillsynsbegäran.docx", "A 4451-2026")</f>
        <v/>
      </c>
      <c r="AB26">
        <f>HYPERLINK("https://klasma.github.io/Logging_0380/tillsynsmail/A 4451-2026 tillsynsbegäran mail.docx", "A 4451-2026")</f>
        <v/>
      </c>
      <c r="AC26">
        <f>HYPERLINK("https://klasma.github.io/Logging_0380/fåglar/A 4451-2026 prioriterade fågelarter.docx", "A 4451-2026")</f>
        <v/>
      </c>
    </row>
    <row r="27" ht="15" customHeight="1">
      <c r="A27" t="inlineStr">
        <is>
          <t>A 9409-2025</t>
        </is>
      </c>
      <c r="B27" t="inlineStr">
        <is>
          <t>avverkningsanmälan</t>
        </is>
      </c>
      <c r="C27" t="inlineStr">
        <is>
          <t>Föryngringsavverkning</t>
        </is>
      </c>
      <c r="D27" s="1" t="n">
        <v>45715</v>
      </c>
      <c r="E27" s="1" t="n">
        <v>46222</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s="2" t="inlineStr">
        <is>
          <t>Garnlav
Knärot
Dvärgbägarlav
Kattfotslav
Kolflarnlav
Talltita
Ullticka
Vedskivlav
Vedtrappmossa
Flagellkvastmossa
Grovticka
Grönpyrola
Rostfläck
Järpe
Spillkråka
Tjäder
Kungsfågel</t>
        </is>
      </c>
      <c r="V27">
        <f>HYPERLINK("https://klasma.github.io/Logging_0380/artfynd/A 9409-2025 artfynd.xlsx", "A 9409-2025")</f>
        <v/>
      </c>
      <c r="W27">
        <f>HYPERLINK("https://klasma.github.io/Logging_0380/kartor/A 9409-2025 karta.png", "A 9409-2025")</f>
        <v/>
      </c>
      <c r="X27">
        <f>HYPERLINK("https://klasma.github.io/Logging_0380/knärot/A 9409-2025 karta knärot.png", "A 9409-2025")</f>
        <v/>
      </c>
      <c r="Y27">
        <f>HYPERLINK("https://klasma.github.io/Logging_0380/klagomål/A 9409-2025 FSC-klagomål.docx", "A 9409-2025")</f>
        <v/>
      </c>
      <c r="Z27">
        <f>HYPERLINK("https://klasma.github.io/Logging_0380/klagomålsmail/A 9409-2025 FSC-klagomål mail.docx", "A 9409-2025")</f>
        <v/>
      </c>
      <c r="AA27">
        <f>HYPERLINK("https://klasma.github.io/Logging_0380/tillsyn/A 9409-2025 tillsynsbegäran.docx", "A 9409-2025")</f>
        <v/>
      </c>
      <c r="AB27">
        <f>HYPERLINK("https://klasma.github.io/Logging_0380/tillsynsmail/A 9409-2025 tillsynsbegäran mail.docx", "A 9409-2025")</f>
        <v/>
      </c>
      <c r="AC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46222</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Y28">
        <f>HYPERLINK("https://klasma.github.io/Logging_0380/klagomål/A 22547-2026 FSC-klagomål.docx", "A 22547-2026")</f>
        <v/>
      </c>
      <c r="Z28">
        <f>HYPERLINK("https://klasma.github.io/Logging_0380/klagomålsmail/A 22547-2026 FSC-klagomål mail.docx", "A 22547-2026")</f>
        <v/>
      </c>
      <c r="AA28">
        <f>HYPERLINK("https://klasma.github.io/Logging_0380/tillsyn/A 22547-2026 tillsynsbegäran.docx", "A 22547-2026")</f>
        <v/>
      </c>
      <c r="AB28">
        <f>HYPERLINK("https://klasma.github.io/Logging_0380/tillsynsmail/A 22547-2026 tillsynsbegäran mail.docx", "A 22547-2026")</f>
        <v/>
      </c>
      <c r="AC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46222</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Y29">
        <f>HYPERLINK("https://klasma.github.io/Logging_0380/klagomål/A 17679-2026 FSC-klagomål.docx", "A 17679-2026")</f>
        <v/>
      </c>
      <c r="Z29">
        <f>HYPERLINK("https://klasma.github.io/Logging_0380/klagomålsmail/A 17679-2026 FSC-klagomål mail.docx", "A 17679-2026")</f>
        <v/>
      </c>
      <c r="AA29">
        <f>HYPERLINK("https://klasma.github.io/Logging_0380/tillsyn/A 17679-2026 tillsynsbegäran.docx", "A 17679-2026")</f>
        <v/>
      </c>
      <c r="AB29">
        <f>HYPERLINK("https://klasma.github.io/Logging_0380/tillsynsmail/A 17679-2026 tillsynsbegäran mail.docx", "A 17679-2026")</f>
        <v/>
      </c>
      <c r="AC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46222</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46222</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46222</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s="2" t="inlineStr">
        <is>
          <t>Knärot
Grönhjon
Ullticka
Vågticka
Bronshjon
Fällmossa
Granbarkgnagare
Grönpyrola
Guldlockmossa
Grönsiska
Kungsfågel
Åkergroda
Vanlig groda
Revlummer</t>
        </is>
      </c>
      <c r="V32">
        <f>HYPERLINK("https://klasma.github.io/Logging_0380/artfynd/A 25143-2023 artfynd.xlsx", "A 25143-2023")</f>
        <v/>
      </c>
      <c r="W32">
        <f>HYPERLINK("https://klasma.github.io/Logging_0380/kartor/A 25143-2023 karta.png", "A 25143-2023")</f>
        <v/>
      </c>
      <c r="X32">
        <f>HYPERLINK("https://klasma.github.io/Logging_0380/knärot/A 25143-2023 karta knärot.png", "A 25143-2023")</f>
        <v/>
      </c>
      <c r="Y32">
        <f>HYPERLINK("https://klasma.github.io/Logging_0380/klagomål/A 25143-2023 FSC-klagomål.docx", "A 25143-2023")</f>
        <v/>
      </c>
      <c r="Z32">
        <f>HYPERLINK("https://klasma.github.io/Logging_0380/klagomålsmail/A 25143-2023 FSC-klagomål mail.docx", "A 25143-2023")</f>
        <v/>
      </c>
      <c r="AA32">
        <f>HYPERLINK("https://klasma.github.io/Logging_0380/tillsyn/A 25143-2023 tillsynsbegäran.docx", "A 25143-2023")</f>
        <v/>
      </c>
      <c r="AB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46222</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s="2" t="inlineStr">
        <is>
          <t>Kranssalvia
Cinnoberbagge
Sanddådra
Gullklöver
Gulsparv
Motaggsvamp
Riddarsporre
Skogshare
Sminkrot
Mindre märgborre
Blåsippa
Spillkråka
Åkergroda
Vanlig padda</t>
        </is>
      </c>
      <c r="V33">
        <f>HYPERLINK("https://klasma.github.io/Logging_0380/artfynd/A 37004-2025 artfynd.xlsx", "A 37004-2025")</f>
        <v/>
      </c>
      <c r="W33">
        <f>HYPERLINK("https://klasma.github.io/Logging_0380/kartor/A 37004-2025 karta.png", "A 37004-2025")</f>
        <v/>
      </c>
      <c r="Y33">
        <f>HYPERLINK("https://klasma.github.io/Logging_0380/klagomål/A 37004-2025 FSC-klagomål.docx", "A 37004-2025")</f>
        <v/>
      </c>
      <c r="Z33">
        <f>HYPERLINK("https://klasma.github.io/Logging_0380/klagomålsmail/A 37004-2025 FSC-klagomål mail.docx", "A 37004-2025")</f>
        <v/>
      </c>
      <c r="AA33">
        <f>HYPERLINK("https://klasma.github.io/Logging_0380/tillsyn/A 37004-2025 tillsynsbegäran.docx", "A 37004-2025")</f>
        <v/>
      </c>
      <c r="AB33">
        <f>HYPERLINK("https://klasma.github.io/Logging_0380/tillsynsmail/A 37004-2025 tillsynsbegäran mail.docx", "A 37004-2025")</f>
        <v/>
      </c>
      <c r="AC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46222</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s="2" t="inlineStr">
        <is>
          <t>Aspgelélav
Blek fingersvamp
Kandelabersvamp
Vit vedfingersvamp
Aspvedgnagare
Barkticka
Granbarkgnagare
Grön sköldmossa
Jättesvampmal
Korallblylav
Rödgul trumpetsvamp
Skinnlav
Vedticka
Zontaggsvamp</t>
        </is>
      </c>
      <c r="V34">
        <f>HYPERLINK("https://klasma.github.io/Logging_0380/artfynd/A 26460-2023 artfynd.xlsx", "A 26460-2023")</f>
        <v/>
      </c>
      <c r="W34">
        <f>HYPERLINK("https://klasma.github.io/Logging_0380/kartor/A 26460-2023 karta.png", "A 26460-2023")</f>
        <v/>
      </c>
      <c r="X34">
        <f>HYPERLINK("https://klasma.github.io/Logging_0380/knärot/A 26460-2023 karta knärot.png", "A 26460-2023")</f>
        <v/>
      </c>
      <c r="Y34">
        <f>HYPERLINK("https://klasma.github.io/Logging_0380/klagomål/A 26460-2023 FSC-klagomål.docx", "A 26460-2023")</f>
        <v/>
      </c>
      <c r="Z34">
        <f>HYPERLINK("https://klasma.github.io/Logging_0380/klagomålsmail/A 26460-2023 FSC-klagomål mail.docx", "A 26460-2023")</f>
        <v/>
      </c>
      <c r="AA34">
        <f>HYPERLINK("https://klasma.github.io/Logging_0380/tillsyn/A 26460-2023 tillsynsbegäran.docx", "A 26460-2023")</f>
        <v/>
      </c>
      <c r="AB34">
        <f>HYPERLINK("https://klasma.github.io/Logging_0380/tillsynsmail/A 26460-2023 tillsynsbegäran mail.docx", "A 26460-2023")</f>
        <v/>
      </c>
    </row>
    <row r="35" ht="15" customHeight="1">
      <c r="A35" t="inlineStr">
        <is>
          <t>A 21809-2024</t>
        </is>
      </c>
      <c r="B35" t="inlineStr">
        <is>
          <t>avverkningsanmälan</t>
        </is>
      </c>
      <c r="C35" t="inlineStr">
        <is>
          <t>Avverkning för annat ändamål</t>
        </is>
      </c>
      <c r="D35" s="1" t="n">
        <v>45442</v>
      </c>
      <c r="E35" s="1" t="n">
        <v>46222</v>
      </c>
      <c r="F35" t="inlineStr">
        <is>
          <t>UPPSALA LÄN</t>
        </is>
      </c>
      <c r="G35" t="inlineStr">
        <is>
          <t>UPPSALA</t>
        </is>
      </c>
      <c r="H35" t="inlineStr">
        <is>
          <t>Övriga statliga verk och myndigheter</t>
        </is>
      </c>
      <c r="I35" t="n">
        <v>6.6</v>
      </c>
      <c r="J35" t="n">
        <v>8</v>
      </c>
      <c r="K35" t="n">
        <v>1</v>
      </c>
      <c r="L35" t="n">
        <v>6</v>
      </c>
      <c r="M35" t="n">
        <v>3</v>
      </c>
      <c r="N35" t="n">
        <v>0</v>
      </c>
      <c r="O35" t="n">
        <v>0</v>
      </c>
      <c r="P35" t="n">
        <v>0</v>
      </c>
      <c r="Q35" t="n">
        <v>9</v>
      </c>
      <c r="R35" t="n">
        <v>3</v>
      </c>
      <c r="S35" t="n">
        <v>13</v>
      </c>
      <c r="T35" t="n">
        <v>21</v>
      </c>
      <c r="U35" s="2" t="inlineStr">
        <is>
          <t>Bredbrämad bastardsvärmare
Cinnoberbagge
Igelkott
Brunlångöra
Järnsparv
Mindre tåtelsmygare
Nordfladdermus
Tallticka
Turkduva
Vågbandad barkbock
Blåsippa
Dvärgpipistrell
Vattenfladdermus</t>
        </is>
      </c>
      <c r="V35">
        <f>HYPERLINK("https://klasma.github.io/Logging_0380/artfynd/A 21809-2024 artfynd.xlsx", "A 21809-2024")</f>
        <v/>
      </c>
      <c r="W35">
        <f>HYPERLINK("https://klasma.github.io/Logging_0380/kartor/A 21809-2024 karta.png", "A 21809-2024")</f>
        <v/>
      </c>
      <c r="Y35">
        <f>HYPERLINK("https://klasma.github.io/Logging_0380/klagomål/A 21809-2024 FSC-klagomål.docx", "A 21809-2024")</f>
        <v/>
      </c>
      <c r="Z35">
        <f>HYPERLINK("https://klasma.github.io/Logging_0380/klagomålsmail/A 21809-2024 FSC-klagomål mail.docx", "A 21809-2024")</f>
        <v/>
      </c>
      <c r="AA35">
        <f>HYPERLINK("https://klasma.github.io/Logging_0380/tillsyn/A 21809-2024 tillsynsbegäran.docx", "A 21809-2024")</f>
        <v/>
      </c>
      <c r="AB35">
        <f>HYPERLINK("https://klasma.github.io/Logging_0380/tillsynsmail/A 21809-2024 tillsynsbegäran mail.docx", "A 21809-2024")</f>
        <v/>
      </c>
      <c r="AC35">
        <f>HYPERLINK("https://klasma.github.io/Logging_0380/fåglar/A 21809-2024 prioriterade fågelarter.docx", "A 21809-2024")</f>
        <v/>
      </c>
    </row>
    <row r="36" ht="15" customHeight="1">
      <c r="A36" t="inlineStr">
        <is>
          <t>A 69711-2021</t>
        </is>
      </c>
      <c r="B36" t="inlineStr">
        <is>
          <t>avverkningsanmälan</t>
        </is>
      </c>
      <c r="C36" t="inlineStr">
        <is>
          <t>Föryngringsavverkning</t>
        </is>
      </c>
      <c r="D36" s="1" t="n">
        <v>44532</v>
      </c>
      <c r="E36" s="1" t="n">
        <v>46222</v>
      </c>
      <c r="F36" t="inlineStr">
        <is>
          <t>UPPSALA LÄN</t>
        </is>
      </c>
      <c r="G36" t="inlineStr">
        <is>
          <t>UPPSALA</t>
        </is>
      </c>
      <c r="I36" t="n">
        <v>10.2</v>
      </c>
      <c r="J36" t="n">
        <v>2</v>
      </c>
      <c r="K36" t="n">
        <v>7</v>
      </c>
      <c r="L36" t="n">
        <v>5</v>
      </c>
      <c r="M36" t="n">
        <v>0</v>
      </c>
      <c r="N36" t="n">
        <v>0</v>
      </c>
      <c r="O36" t="n">
        <v>0</v>
      </c>
      <c r="P36" t="n">
        <v>0</v>
      </c>
      <c r="Q36" t="n">
        <v>5</v>
      </c>
      <c r="R36" t="n">
        <v>0</v>
      </c>
      <c r="S36" t="n">
        <v>13</v>
      </c>
      <c r="T36" t="n">
        <v>35</v>
      </c>
      <c r="U36" s="2" t="inlineStr">
        <is>
          <t>Motaggsvamp
Rynkskinn
Talltita
Ullticka
Vedtrappmossa
Brandticka
Dvärgtufs
Granbarkgnagare
Rödgul trumpetsvamp
Skinnlav
Trådticka
Vedticka
Tjäder</t>
        </is>
      </c>
      <c r="V36">
        <f>HYPERLINK("https://klasma.github.io/Logging_0380/artfynd/A 69711-2021 artfynd.xlsx", "A 69711-2021")</f>
        <v/>
      </c>
      <c r="W36">
        <f>HYPERLINK("https://klasma.github.io/Logging_0380/kartor/A 69711-2021 karta.png", "A 69711-2021")</f>
        <v/>
      </c>
      <c r="Y36">
        <f>HYPERLINK("https://klasma.github.io/Logging_0380/klagomål/A 69711-2021 FSC-klagomål.docx", "A 69711-2021")</f>
        <v/>
      </c>
      <c r="Z36">
        <f>HYPERLINK("https://klasma.github.io/Logging_0380/klagomålsmail/A 69711-2021 FSC-klagomål mail.docx", "A 69711-2021")</f>
        <v/>
      </c>
      <c r="AA36">
        <f>HYPERLINK("https://klasma.github.io/Logging_0380/tillsyn/A 69711-2021 tillsynsbegäran.docx", "A 69711-2021")</f>
        <v/>
      </c>
      <c r="AB36">
        <f>HYPERLINK("https://klasma.github.io/Logging_0380/tillsynsmail/A 69711-2021 tillsynsbegäran mail.docx", "A 69711-2021")</f>
        <v/>
      </c>
      <c r="AC36">
        <f>HYPERLINK("https://klasma.github.io/Logging_0380/fåglar/A 69711-2021 prioriterade fågelarter.docx", "A 69711-2021")</f>
        <v/>
      </c>
    </row>
    <row r="37" ht="15" customHeight="1">
      <c r="A37" t="inlineStr">
        <is>
          <t>A 25604-2025</t>
        </is>
      </c>
      <c r="B37" t="inlineStr">
        <is>
          <t>avverkningsanmälan</t>
        </is>
      </c>
      <c r="C37" t="inlineStr">
        <is>
          <t>Föryngringsavverkning</t>
        </is>
      </c>
      <c r="D37" s="1" t="n">
        <v>45803</v>
      </c>
      <c r="E37" s="1" t="n">
        <v>46222</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3100-2024</t>
        </is>
      </c>
      <c r="B38" t="inlineStr">
        <is>
          <t>avverkningsanmälan</t>
        </is>
      </c>
      <c r="C38" t="inlineStr">
        <is>
          <t>Föryngringsavverkning</t>
        </is>
      </c>
      <c r="D38" s="1" t="n">
        <v>45316</v>
      </c>
      <c r="E38" s="1" t="n">
        <v>46222</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s="2" t="inlineStr">
        <is>
          <t>Entita
Järnsparv
Talltita
Brandticka
Kärrkammossa
Nästrot
Underviol
Blåsippa
Grönsiska
Kungsfågel
Ärtsångare
Mindre vattensalamander
Vanlig groda</t>
        </is>
      </c>
      <c r="V38">
        <f>HYPERLINK("https://klasma.github.io/Logging_0380/artfynd/A 3100-2024 artfynd.xlsx", "A 3100-2024")</f>
        <v/>
      </c>
      <c r="W38">
        <f>HYPERLINK("https://klasma.github.io/Logging_0380/kartor/A 3100-2024 karta.png", "A 3100-2024")</f>
        <v/>
      </c>
      <c r="Y38">
        <f>HYPERLINK("https://klasma.github.io/Logging_0380/klagomål/A 3100-2024 FSC-klagomål.docx", "A 3100-2024")</f>
        <v/>
      </c>
      <c r="Z38">
        <f>HYPERLINK("https://klasma.github.io/Logging_0380/klagomålsmail/A 3100-2024 FSC-klagomål mail.docx", "A 3100-2024")</f>
        <v/>
      </c>
      <c r="AA38">
        <f>HYPERLINK("https://klasma.github.io/Logging_0380/tillsyn/A 3100-2024 tillsynsbegäran.docx", "A 3100-2024")</f>
        <v/>
      </c>
      <c r="AB38">
        <f>HYPERLINK("https://klasma.github.io/Logging_0380/tillsynsmail/A 3100-2024 tillsynsbegäran mail.docx", "A 3100-2024")</f>
        <v/>
      </c>
      <c r="AC38">
        <f>HYPERLINK("https://klasma.github.io/Logging_0380/fåglar/A 3100-2024 prioriterade fågelarter.docx", "A 3100-2024")</f>
        <v/>
      </c>
    </row>
    <row r="39" ht="15" customHeight="1">
      <c r="A39" t="inlineStr">
        <is>
          <t>A 2021-2022</t>
        </is>
      </c>
      <c r="B39" t="inlineStr">
        <is>
          <t>avverkningsanmälan</t>
        </is>
      </c>
      <c r="C39" t="inlineStr">
        <is>
          <t>Föryngringsavverkning</t>
        </is>
      </c>
      <c r="D39" s="1" t="n">
        <v>44575</v>
      </c>
      <c r="E39" s="1" t="n">
        <v>46222</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Y39">
        <f>HYPERLINK("https://klasma.github.io/Logging_0380/klagomål/A 2021-2022 FSC-klagomål.docx", "A 2021-2022")</f>
        <v/>
      </c>
      <c r="Z39">
        <f>HYPERLINK("https://klasma.github.io/Logging_0380/klagomålsmail/A 2021-2022 FSC-klagomål mail.docx", "A 2021-2022")</f>
        <v/>
      </c>
      <c r="AA39">
        <f>HYPERLINK("https://klasma.github.io/Logging_0380/tillsyn/A 2021-2022 tillsynsbegäran.docx", "A 2021-2022")</f>
        <v/>
      </c>
      <c r="AB39">
        <f>HYPERLINK("https://klasma.github.io/Logging_0380/tillsynsmail/A 2021-2022 tillsynsbegäran mail.docx", "A 2021-2022")</f>
        <v/>
      </c>
      <c r="AC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46222</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HYPERLINK("https://klasma.github.io/Logging_0380/knärot/A 46162-2023 karta knärot.png", "A 46162-2023")</f>
        <v/>
      </c>
      <c r="Y40">
        <f>HYPERLINK("https://klasma.github.io/Logging_0380/klagomål/A 46162-2023 FSC-klagomål.docx", "A 46162-2023")</f>
        <v/>
      </c>
      <c r="Z40">
        <f>HYPERLINK("https://klasma.github.io/Logging_0380/klagomålsmail/A 46162-2023 FSC-klagomål mail.docx", "A 46162-2023")</f>
        <v/>
      </c>
      <c r="AA40">
        <f>HYPERLINK("https://klasma.github.io/Logging_0380/tillsyn/A 46162-2023 tillsynsbegäran.docx", "A 46162-2023")</f>
        <v/>
      </c>
      <c r="AB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46222</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HYPERLINK("https://klasma.github.io/Logging_0380/knärot/A 47453-2023 karta knärot.png", "A 47453-2023")</f>
        <v/>
      </c>
      <c r="Y41">
        <f>HYPERLINK("https://klasma.github.io/Logging_0380/klagomål/A 47453-2023 FSC-klagomål.docx", "A 47453-2023")</f>
        <v/>
      </c>
      <c r="Z41">
        <f>HYPERLINK("https://klasma.github.io/Logging_0380/klagomålsmail/A 47453-2023 FSC-klagomål mail.docx", "A 47453-2023")</f>
        <v/>
      </c>
      <c r="AA41">
        <f>HYPERLINK("https://klasma.github.io/Logging_0380/tillsyn/A 47453-2023 tillsynsbegäran.docx", "A 47453-2023")</f>
        <v/>
      </c>
      <c r="AB41">
        <f>HYPERLINK("https://klasma.github.io/Logging_0380/tillsynsmail/A 47453-2023 tillsynsbegäran mail.docx", "A 47453-2023")</f>
        <v/>
      </c>
      <c r="AC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46222</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46222</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Y43">
        <f>HYPERLINK("https://klasma.github.io/Logging_0380/klagomål/A 9401-2025 FSC-klagomål.docx", "A 9401-2025")</f>
        <v/>
      </c>
      <c r="Z43">
        <f>HYPERLINK("https://klasma.github.io/Logging_0380/klagomålsmail/A 9401-2025 FSC-klagomål mail.docx", "A 9401-2025")</f>
        <v/>
      </c>
      <c r="AA43">
        <f>HYPERLINK("https://klasma.github.io/Logging_0380/tillsyn/A 9401-2025 tillsynsbegäran.docx", "A 9401-2025")</f>
        <v/>
      </c>
      <c r="AB43">
        <f>HYPERLINK("https://klasma.github.io/Logging_0380/tillsynsmail/A 9401-2025 tillsynsbegäran mail.docx", "A 9401-2025")</f>
        <v/>
      </c>
      <c r="AC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46222</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46222</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46222</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s="2" t="inlineStr">
        <is>
          <t>Brandticka
Grovticka
Springkorn
Blåsippa
Brudborste
Hässlebrodd
Ormbär
Spillkråka
Tjäder
Grön mosaikslända
Vanlig groda</t>
        </is>
      </c>
      <c r="V46">
        <f>HYPERLINK("https://klasma.github.io/Logging_0380/artfynd/A 23584-2026 artfynd.xlsx", "A 23584-2026")</f>
        <v/>
      </c>
      <c r="W46">
        <f>HYPERLINK("https://klasma.github.io/Logging_0380/kartor/A 23584-2026 karta.png", "A 23584-2026")</f>
        <v/>
      </c>
      <c r="Y46">
        <f>HYPERLINK("https://klasma.github.io/Logging_0380/klagomål/A 23584-2026 FSC-klagomål.docx", "A 23584-2026")</f>
        <v/>
      </c>
      <c r="Z46">
        <f>HYPERLINK("https://klasma.github.io/Logging_0380/klagomålsmail/A 23584-2026 FSC-klagomål mail.docx", "A 23584-2026")</f>
        <v/>
      </c>
      <c r="AA46">
        <f>HYPERLINK("https://klasma.github.io/Logging_0380/tillsyn/A 23584-2026 tillsynsbegäran.docx", "A 23584-2026")</f>
        <v/>
      </c>
      <c r="AB46">
        <f>HYPERLINK("https://klasma.github.io/Logging_0380/tillsynsmail/A 23584-2026 tillsynsbegäran mail.docx", "A 23584-2026")</f>
        <v/>
      </c>
      <c r="AC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46222</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46222</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46222</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46222</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46222</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s="2" t="inlineStr">
        <is>
          <t>Liten hornflikmossa
Fjällig taggsvamp s.str.
Vedtrappmossa
Vårärt
Grön sköldmossa
Stubbspretmossa
Svavelriska
Trubbfjädermossa
Underviol
Blåsippa</t>
        </is>
      </c>
      <c r="V51">
        <f>HYPERLINK("https://klasma.github.io/Logging_0380/artfynd/A 14466-2026 artfynd.xlsx", "A 14466-2026")</f>
        <v/>
      </c>
      <c r="W51">
        <f>HYPERLINK("https://klasma.github.io/Logging_0380/kartor/A 14466-2026 karta.png", "A 14466-2026")</f>
        <v/>
      </c>
      <c r="Y51">
        <f>HYPERLINK("https://klasma.github.io/Logging_0380/klagomål/A 14466-2026 FSC-klagomål.docx", "A 14466-2026")</f>
        <v/>
      </c>
      <c r="Z51">
        <f>HYPERLINK("https://klasma.github.io/Logging_0380/klagomålsmail/A 14466-2026 FSC-klagomål mail.docx", "A 14466-2026")</f>
        <v/>
      </c>
      <c r="AA51">
        <f>HYPERLINK("https://klasma.github.io/Logging_0380/tillsyn/A 14466-2026 tillsynsbegäran.docx", "A 14466-2026")</f>
        <v/>
      </c>
      <c r="AB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46222</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s="2" t="inlineStr">
        <is>
          <t>Gränsticka
Knärot
Gransotdyna
Talltita
Vedtrappmossa
Brandticka
Bronshjon
Granbarkgnagare
Spillkråka
Revlummer</t>
        </is>
      </c>
      <c r="V52">
        <f>HYPERLINK("https://klasma.github.io/Logging_0380/artfynd/A 9206-2024 artfynd.xlsx", "A 9206-2024")</f>
        <v/>
      </c>
      <c r="W52">
        <f>HYPERLINK("https://klasma.github.io/Logging_0380/kartor/A 9206-2024 karta.png", "A 9206-2024")</f>
        <v/>
      </c>
      <c r="X52">
        <f>HYPERLINK("https://klasma.github.io/Logging_0380/knärot/A 9206-2024 karta knärot.png", "A 9206-2024")</f>
        <v/>
      </c>
      <c r="Y52">
        <f>HYPERLINK("https://klasma.github.io/Logging_0380/klagomål/A 9206-2024 FSC-klagomål.docx", "A 9206-2024")</f>
        <v/>
      </c>
      <c r="Z52">
        <f>HYPERLINK("https://klasma.github.io/Logging_0380/klagomålsmail/A 9206-2024 FSC-klagomål mail.docx", "A 9206-2024")</f>
        <v/>
      </c>
      <c r="AA52">
        <f>HYPERLINK("https://klasma.github.io/Logging_0380/tillsyn/A 9206-2024 tillsynsbegäran.docx", "A 9206-2024")</f>
        <v/>
      </c>
      <c r="AB52">
        <f>HYPERLINK("https://klasma.github.io/Logging_0380/tillsynsmail/A 9206-2024 tillsynsbegäran mail.docx", "A 9206-2024")</f>
        <v/>
      </c>
      <c r="AC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46222</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s="2" t="inlineStr">
        <is>
          <t>Knärot
Tallticka
Talltita
Ullticka
Björksplintborre
Vedticka
Vågbandad barkbock
Spillkråka
Lopplummer (aggregat)
Revlummer</t>
        </is>
      </c>
      <c r="V53">
        <f>HYPERLINK("https://klasma.github.io/Logging_0380/artfynd/A 59539-2025 artfynd.xlsx", "A 59539-2025")</f>
        <v/>
      </c>
      <c r="W53">
        <f>HYPERLINK("https://klasma.github.io/Logging_0380/kartor/A 59539-2025 karta.png", "A 59539-2025")</f>
        <v/>
      </c>
      <c r="X53">
        <f>HYPERLINK("https://klasma.github.io/Logging_0380/knärot/A 59539-2025 karta knärot.png", "A 59539-2025")</f>
        <v/>
      </c>
      <c r="Y53">
        <f>HYPERLINK("https://klasma.github.io/Logging_0380/klagomål/A 59539-2025 FSC-klagomål.docx", "A 59539-2025")</f>
        <v/>
      </c>
      <c r="Z53">
        <f>HYPERLINK("https://klasma.github.io/Logging_0380/klagomålsmail/A 59539-2025 FSC-klagomål mail.docx", "A 59539-2025")</f>
        <v/>
      </c>
      <c r="AA53">
        <f>HYPERLINK("https://klasma.github.io/Logging_0380/tillsyn/A 59539-2025 tillsynsbegäran.docx", "A 59539-2025")</f>
        <v/>
      </c>
      <c r="AB53">
        <f>HYPERLINK("https://klasma.github.io/Logging_0380/tillsynsmail/A 59539-2025 tillsynsbegäran mail.docx", "A 59539-2025")</f>
        <v/>
      </c>
      <c r="AC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46222</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HYPERLINK("https://klasma.github.io/Logging_0380/knärot/A 24684-2026 karta knärot.png", "A 24684-2026")</f>
        <v/>
      </c>
      <c r="Y54">
        <f>HYPERLINK("https://klasma.github.io/Logging_0380/klagomål/A 24684-2026 FSC-klagomål.docx", "A 24684-2026")</f>
        <v/>
      </c>
      <c r="Z54">
        <f>HYPERLINK("https://klasma.github.io/Logging_0380/klagomålsmail/A 24684-2026 FSC-klagomål mail.docx", "A 24684-2026")</f>
        <v/>
      </c>
      <c r="AA54">
        <f>HYPERLINK("https://klasma.github.io/Logging_0380/tillsyn/A 24684-2026 tillsynsbegäran.docx", "A 24684-2026")</f>
        <v/>
      </c>
      <c r="AB54">
        <f>HYPERLINK("https://klasma.github.io/Logging_0380/tillsynsmail/A 24684-2026 tillsynsbegäran mail.docx", "A 24684-2026")</f>
        <v/>
      </c>
      <c r="AC54">
        <f>HYPERLINK("https://klasma.github.io/Logging_0380/fåglar/A 24684-2026 prioriterade fågelarter.docx", "A 24684-2026")</f>
        <v/>
      </c>
    </row>
    <row r="55" ht="15" customHeight="1">
      <c r="A55" t="inlineStr">
        <is>
          <t>A 61014-2021</t>
        </is>
      </c>
      <c r="B55" t="inlineStr">
        <is>
          <t>avverkningsanmälan</t>
        </is>
      </c>
      <c r="C55" t="inlineStr">
        <is>
          <t>Föryngringsavverkning</t>
        </is>
      </c>
      <c r="D55" s="1" t="n">
        <v>44497</v>
      </c>
      <c r="E55" s="1" t="n">
        <v>46222</v>
      </c>
      <c r="F55" t="inlineStr">
        <is>
          <t>UPPSALA LÄN</t>
        </is>
      </c>
      <c r="G55" t="inlineStr">
        <is>
          <t>UPPSALA</t>
        </is>
      </c>
      <c r="I55" t="n">
        <v>6.6</v>
      </c>
      <c r="J55" t="n">
        <v>3</v>
      </c>
      <c r="K55" t="n">
        <v>2</v>
      </c>
      <c r="L55" t="n">
        <v>3</v>
      </c>
      <c r="M55" t="n">
        <v>2</v>
      </c>
      <c r="N55" t="n">
        <v>0</v>
      </c>
      <c r="O55" t="n">
        <v>0</v>
      </c>
      <c r="P55" t="n">
        <v>0</v>
      </c>
      <c r="Q55" t="n">
        <v>5</v>
      </c>
      <c r="R55" t="n">
        <v>2</v>
      </c>
      <c r="S55" t="n">
        <v>9</v>
      </c>
      <c r="T55" t="n">
        <v>15</v>
      </c>
      <c r="U55" s="2" t="inlineStr">
        <is>
          <t>Garnlav
Knärot
Grönhjon
Rynkskinn
Ullticka
Brandticka
Vedticka
Tallbit
Kungsfågel</t>
        </is>
      </c>
      <c r="V55">
        <f>HYPERLINK("https://klasma.github.io/Logging_0380/artfynd/A 61014-2021 artfynd.xlsx", "A 61014-2021")</f>
        <v/>
      </c>
      <c r="W55">
        <f>HYPERLINK("https://klasma.github.io/Logging_0380/kartor/A 61014-2021 karta.png", "A 61014-2021")</f>
        <v/>
      </c>
      <c r="X55">
        <f>HYPERLINK("https://klasma.github.io/Logging_0380/knärot/A 61014-2021 karta knärot.png", "A 61014-2021")</f>
        <v/>
      </c>
      <c r="Y55">
        <f>HYPERLINK("https://klasma.github.io/Logging_0380/klagomål/A 61014-2021 FSC-klagomål.docx", "A 61014-2021")</f>
        <v/>
      </c>
      <c r="Z55">
        <f>HYPERLINK("https://klasma.github.io/Logging_0380/klagomålsmail/A 61014-2021 FSC-klagomål mail.docx", "A 61014-2021")</f>
        <v/>
      </c>
      <c r="AA55">
        <f>HYPERLINK("https://klasma.github.io/Logging_0380/tillsyn/A 61014-2021 tillsynsbegäran.docx", "A 61014-2021")</f>
        <v/>
      </c>
      <c r="AB55">
        <f>HYPERLINK("https://klasma.github.io/Logging_0380/tillsynsmail/A 61014-2021 tillsynsbegäran mail.docx", "A 61014-2021")</f>
        <v/>
      </c>
      <c r="AC55">
        <f>HYPERLINK("https://klasma.github.io/Logging_0380/fåglar/A 61014-2021 prioriterade fågelarter.docx", "A 61014-2021")</f>
        <v/>
      </c>
    </row>
    <row r="56" ht="15" customHeight="1">
      <c r="A56" t="inlineStr">
        <is>
          <t>A 26758-2022</t>
        </is>
      </c>
      <c r="B56" t="inlineStr">
        <is>
          <t>avverkningsanmälan</t>
        </is>
      </c>
      <c r="C56" t="inlineStr">
        <is>
          <t>Föryngringsavverkning</t>
        </is>
      </c>
      <c r="D56" s="1" t="n">
        <v>44740</v>
      </c>
      <c r="E56" s="1" t="n">
        <v>46222</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55788-2025</t>
        </is>
      </c>
      <c r="B57" t="inlineStr">
        <is>
          <t>avverkningsanmälan</t>
        </is>
      </c>
      <c r="C57" t="inlineStr">
        <is>
          <t>Föryngringsavverkning</t>
        </is>
      </c>
      <c r="D57" s="1" t="n">
        <v>45972</v>
      </c>
      <c r="E57" s="1" t="n">
        <v>46222</v>
      </c>
      <c r="F57" t="inlineStr">
        <is>
          <t>UPPSALA LÄN</t>
        </is>
      </c>
      <c r="G57" t="inlineStr">
        <is>
          <t>UPPSALA</t>
        </is>
      </c>
      <c r="H57" t="inlineStr">
        <is>
          <t>Holmen skog AB</t>
        </is>
      </c>
      <c r="I57" t="n">
        <v>6.9</v>
      </c>
      <c r="J57" t="n">
        <v>6</v>
      </c>
      <c r="K57" t="n">
        <v>0</v>
      </c>
      <c r="L57" t="n">
        <v>5</v>
      </c>
      <c r="M57" t="n">
        <v>0</v>
      </c>
      <c r="N57" t="n">
        <v>0</v>
      </c>
      <c r="O57" t="n">
        <v>0</v>
      </c>
      <c r="P57" t="n">
        <v>0</v>
      </c>
      <c r="Q57" t="n">
        <v>5</v>
      </c>
      <c r="R57" t="n">
        <v>0</v>
      </c>
      <c r="S57" t="n">
        <v>9</v>
      </c>
      <c r="T57" t="n">
        <v>16</v>
      </c>
      <c r="U57" s="2" t="inlineStr">
        <is>
          <t>Ekticka
Järnsparv
Rödbrun blekspik
Talltita
Vårärt
Blåsippa
Tjäder
Kungsfågel
Gullviva</t>
        </is>
      </c>
      <c r="V57">
        <f>HYPERLINK("https://klasma.github.io/Logging_0380/artfynd/A 55788-2025 artfynd.xlsx", "A 55788-2025")</f>
        <v/>
      </c>
      <c r="W57">
        <f>HYPERLINK("https://klasma.github.io/Logging_0380/kartor/A 55788-2025 karta.png", "A 55788-2025")</f>
        <v/>
      </c>
      <c r="Y57">
        <f>HYPERLINK("https://klasma.github.io/Logging_0380/klagomål/A 55788-2025 FSC-klagomål.docx", "A 55788-2025")</f>
        <v/>
      </c>
      <c r="Z57">
        <f>HYPERLINK("https://klasma.github.io/Logging_0380/klagomålsmail/A 55788-2025 FSC-klagomål mail.docx", "A 55788-2025")</f>
        <v/>
      </c>
      <c r="AA57">
        <f>HYPERLINK("https://klasma.github.io/Logging_0380/tillsyn/A 55788-2025 tillsynsbegäran.docx", "A 55788-2025")</f>
        <v/>
      </c>
      <c r="AB57">
        <f>HYPERLINK("https://klasma.github.io/Logging_0380/tillsynsmail/A 55788-2025 tillsynsbegäran mail.docx", "A 55788-2025")</f>
        <v/>
      </c>
      <c r="AC57">
        <f>HYPERLINK("https://klasma.github.io/Logging_0380/fåglar/A 55788-2025 prioriterade fågelarter.docx", "A 55788-2025")</f>
        <v/>
      </c>
    </row>
    <row r="58" ht="15" customHeight="1">
      <c r="A58" t="inlineStr">
        <is>
          <t>A 25608-2025</t>
        </is>
      </c>
      <c r="B58" t="inlineStr">
        <is>
          <t>avverkningsanmälan</t>
        </is>
      </c>
      <c r="C58" t="inlineStr">
        <is>
          <t>Föryngringsavverkning</t>
        </is>
      </c>
      <c r="D58" s="1" t="n">
        <v>45803</v>
      </c>
      <c r="E58" s="1" t="n">
        <v>46222</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s="2" t="inlineStr">
        <is>
          <t>Knärot
Rynkskinn
Talltita
Ullticka
Bronshjon
Stuplav
Vågbandad barkbock
Blåsippa
Spillkråka</t>
        </is>
      </c>
      <c r="V58">
        <f>HYPERLINK("https://klasma.github.io/Logging_0380/artfynd/A 25608-2025 artfynd.xlsx", "A 25608-2025")</f>
        <v/>
      </c>
      <c r="W58">
        <f>HYPERLINK("https://klasma.github.io/Logging_0380/kartor/A 25608-2025 karta.png", "A 25608-2025")</f>
        <v/>
      </c>
      <c r="X58">
        <f>HYPERLINK("https://klasma.github.io/Logging_0380/knärot/A 25608-2025 karta knärot.png", "A 25608-2025")</f>
        <v/>
      </c>
      <c r="Y58">
        <f>HYPERLINK("https://klasma.github.io/Logging_0380/klagomål/A 25608-2025 FSC-klagomål.docx", "A 25608-2025")</f>
        <v/>
      </c>
      <c r="Z58">
        <f>HYPERLINK("https://klasma.github.io/Logging_0380/klagomålsmail/A 25608-2025 FSC-klagomål mail.docx", "A 25608-2025")</f>
        <v/>
      </c>
      <c r="AA58">
        <f>HYPERLINK("https://klasma.github.io/Logging_0380/tillsyn/A 25608-2025 tillsynsbegäran.docx", "A 25608-2025")</f>
        <v/>
      </c>
      <c r="AB58">
        <f>HYPERLINK("https://klasma.github.io/Logging_0380/tillsynsmail/A 25608-2025 tillsynsbegäran mail.docx", "A 25608-2025")</f>
        <v/>
      </c>
      <c r="AC58">
        <f>HYPERLINK("https://klasma.github.io/Logging_0380/fåglar/A 25608-2025 prioriterade fågelarter.docx", "A 25608-2025")</f>
        <v/>
      </c>
    </row>
    <row r="59" ht="15" customHeight="1">
      <c r="A59" t="inlineStr">
        <is>
          <t>A 26001-2026</t>
        </is>
      </c>
      <c r="B59" t="inlineStr">
        <is>
          <t>avverkningsanmälan</t>
        </is>
      </c>
      <c r="C59" t="inlineStr">
        <is>
          <t>Föryngringsavverkning</t>
        </is>
      </c>
      <c r="D59" s="1" t="n">
        <v>46181</v>
      </c>
      <c r="E59" s="1" t="n">
        <v>46222</v>
      </c>
      <c r="F59" t="inlineStr">
        <is>
          <t>UPPSALA LÄN</t>
        </is>
      </c>
      <c r="G59" t="inlineStr">
        <is>
          <t>UPPSALA</t>
        </is>
      </c>
      <c r="H59" t="inlineStr">
        <is>
          <t>Sveaskog</t>
        </is>
      </c>
      <c r="I59" t="n">
        <v>6.4</v>
      </c>
      <c r="J59" t="n">
        <v>1</v>
      </c>
      <c r="K59" t="n">
        <v>7</v>
      </c>
      <c r="L59" t="n">
        <v>1</v>
      </c>
      <c r="M59" t="n">
        <v>0</v>
      </c>
      <c r="N59" t="n">
        <v>0</v>
      </c>
      <c r="O59" t="n">
        <v>0</v>
      </c>
      <c r="P59" t="n">
        <v>0</v>
      </c>
      <c r="Q59" t="n">
        <v>1</v>
      </c>
      <c r="R59" t="n">
        <v>0</v>
      </c>
      <c r="S59" t="n">
        <v>9</v>
      </c>
      <c r="T59" t="n">
        <v>9</v>
      </c>
      <c r="U59" s="2" t="inlineStr">
        <is>
          <t>Lunglav
Bronshjon
Bårdlav
Grönpyrola
Korallblylav
Mörk husmossa
Rökmusseron
Thomsons trägnagare
Blåsippa</t>
        </is>
      </c>
      <c r="V59">
        <f>HYPERLINK("https://klasma.github.io/Logging_0380/artfynd/A 26001-2026 artfynd.xlsx", "A 26001-2026")</f>
        <v/>
      </c>
      <c r="W59">
        <f>HYPERLINK("https://klasma.github.io/Logging_0380/kartor/A 26001-2026 karta.png", "A 26001-2026")</f>
        <v/>
      </c>
      <c r="Y59">
        <f>HYPERLINK("https://klasma.github.io/Logging_0380/klagomål/A 26001-2026 FSC-klagomål.docx", "A 26001-2026")</f>
        <v/>
      </c>
      <c r="Z59">
        <f>HYPERLINK("https://klasma.github.io/Logging_0380/klagomålsmail/A 26001-2026 FSC-klagomål mail.docx", "A 26001-2026")</f>
        <v/>
      </c>
      <c r="AA59">
        <f>HYPERLINK("https://klasma.github.io/Logging_0380/tillsyn/A 26001-2026 tillsynsbegäran.docx", "A 26001-2026")</f>
        <v/>
      </c>
      <c r="AB59">
        <f>HYPERLINK("https://klasma.github.io/Logging_0380/tillsynsmail/A 26001-2026 tillsynsbegäran mail.docx", "A 26001-2026")</f>
        <v/>
      </c>
    </row>
    <row r="60" ht="15" customHeight="1">
      <c r="A60" t="inlineStr">
        <is>
          <t>A 59538-2025</t>
        </is>
      </c>
      <c r="B60" t="inlineStr">
        <is>
          <t>avverkningsanmälan</t>
        </is>
      </c>
      <c r="C60" t="inlineStr">
        <is>
          <t>Föryngringsavverkning</t>
        </is>
      </c>
      <c r="D60" s="1" t="n">
        <v>45989</v>
      </c>
      <c r="E60" s="1" t="n">
        <v>46222</v>
      </c>
      <c r="F60" t="inlineStr">
        <is>
          <t>UPPSALA LÄN</t>
        </is>
      </c>
      <c r="G60" t="inlineStr">
        <is>
          <t>UPPSALA</t>
        </is>
      </c>
      <c r="I60" t="n">
        <v>4.3</v>
      </c>
      <c r="J60" t="n">
        <v>5</v>
      </c>
      <c r="K60" t="n">
        <v>3</v>
      </c>
      <c r="L60" t="n">
        <v>2</v>
      </c>
      <c r="M60" t="n">
        <v>1</v>
      </c>
      <c r="N60" t="n">
        <v>0</v>
      </c>
      <c r="O60" t="n">
        <v>0</v>
      </c>
      <c r="P60" t="n">
        <v>0</v>
      </c>
      <c r="Q60" t="n">
        <v>3</v>
      </c>
      <c r="R60" t="n">
        <v>1</v>
      </c>
      <c r="S60" t="n">
        <v>9</v>
      </c>
      <c r="T60" t="n">
        <v>18</v>
      </c>
      <c r="U60" s="2" t="inlineStr">
        <is>
          <t>Knärot
Talltita
Ullticka
Bronshjon
Granbarkgnagare
Vågbandad barkbock
Spillkråka
Lopplummer (aggregat)
Revlummer</t>
        </is>
      </c>
      <c r="V60">
        <f>HYPERLINK("https://klasma.github.io/Logging_0380/artfynd/A 59538-2025 artfynd.xlsx", "A 59538-2025")</f>
        <v/>
      </c>
      <c r="W60">
        <f>HYPERLINK("https://klasma.github.io/Logging_0380/kartor/A 59538-2025 karta.png", "A 59538-2025")</f>
        <v/>
      </c>
      <c r="X60">
        <f>HYPERLINK("https://klasma.github.io/Logging_0380/knärot/A 59538-2025 karta knärot.png", "A 59538-2025")</f>
        <v/>
      </c>
      <c r="Y60">
        <f>HYPERLINK("https://klasma.github.io/Logging_0380/klagomål/A 59538-2025 FSC-klagomål.docx", "A 59538-2025")</f>
        <v/>
      </c>
      <c r="Z60">
        <f>HYPERLINK("https://klasma.github.io/Logging_0380/klagomålsmail/A 59538-2025 FSC-klagomål mail.docx", "A 59538-2025")</f>
        <v/>
      </c>
      <c r="AA60">
        <f>HYPERLINK("https://klasma.github.io/Logging_0380/tillsyn/A 59538-2025 tillsynsbegäran.docx", "A 59538-2025")</f>
        <v/>
      </c>
      <c r="AB60">
        <f>HYPERLINK("https://klasma.github.io/Logging_0380/tillsynsmail/A 59538-2025 tillsynsbegäran mail.docx", "A 59538-2025")</f>
        <v/>
      </c>
      <c r="AC60">
        <f>HYPERLINK("https://klasma.github.io/Logging_0380/fåglar/A 59538-2025 prioriterade fågelarter.docx", "A 59538-2025")</f>
        <v/>
      </c>
    </row>
    <row r="61" ht="15" customHeight="1">
      <c r="A61" t="inlineStr">
        <is>
          <t>A 1725-2022</t>
        </is>
      </c>
      <c r="B61" t="inlineStr">
        <is>
          <t>avverkningsanmälan</t>
        </is>
      </c>
      <c r="C61" t="inlineStr">
        <is>
          <t>Föryngringsavverkning</t>
        </is>
      </c>
      <c r="D61" s="1" t="n">
        <v>44574</v>
      </c>
      <c r="E61" s="1" t="n">
        <v>46222</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46222</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46222</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46222</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46222</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s="2" t="inlineStr">
        <is>
          <t>Knärot
Rynkskinn
Talltita
Ullticka
Granbarkgnagare
Blåsippa
Spillkråka</t>
        </is>
      </c>
      <c r="V65">
        <f>HYPERLINK("https://klasma.github.io/Logging_0380/artfynd/A 6180-2026 artfynd.xlsx", "A 6180-2026")</f>
        <v/>
      </c>
      <c r="W65">
        <f>HYPERLINK("https://klasma.github.io/Logging_0380/kartor/A 6180-2026 karta.png", "A 6180-2026")</f>
        <v/>
      </c>
      <c r="X65">
        <f>HYPERLINK("https://klasma.github.io/Logging_0380/knärot/A 6180-2026 karta knärot.png", "A 6180-2026")</f>
        <v/>
      </c>
      <c r="Y65">
        <f>HYPERLINK("https://klasma.github.io/Logging_0380/klagomål/A 6180-2026 FSC-klagomål.docx", "A 6180-2026")</f>
        <v/>
      </c>
      <c r="Z65">
        <f>HYPERLINK("https://klasma.github.io/Logging_0380/klagomålsmail/A 6180-2026 FSC-klagomål mail.docx", "A 6180-2026")</f>
        <v/>
      </c>
      <c r="AA65">
        <f>HYPERLINK("https://klasma.github.io/Logging_0380/tillsyn/A 6180-2026 tillsynsbegäran.docx", "A 6180-2026")</f>
        <v/>
      </c>
      <c r="AB65">
        <f>HYPERLINK("https://klasma.github.io/Logging_0380/tillsynsmail/A 6180-2026 tillsynsbegäran mail.docx", "A 6180-2026")</f>
        <v/>
      </c>
      <c r="AC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46222</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s="2" t="inlineStr">
        <is>
          <t>Knärot
Vedtrappmossa
Björksplintborre
Rödgul trumpetsvamp
Vedticka
Spillkråka
Revlummer</t>
        </is>
      </c>
      <c r="V66">
        <f>HYPERLINK("https://klasma.github.io/Logging_0380/artfynd/A 58547-2025 artfynd.xlsx", "A 58547-2025")</f>
        <v/>
      </c>
      <c r="W66">
        <f>HYPERLINK("https://klasma.github.io/Logging_0380/kartor/A 58547-2025 karta.png", "A 58547-2025")</f>
        <v/>
      </c>
      <c r="X66">
        <f>HYPERLINK("https://klasma.github.io/Logging_0380/knärot/A 58547-2025 karta knärot.png", "A 58547-2025")</f>
        <v/>
      </c>
      <c r="Y66">
        <f>HYPERLINK("https://klasma.github.io/Logging_0380/klagomål/A 58547-2025 FSC-klagomål.docx", "A 58547-2025")</f>
        <v/>
      </c>
      <c r="Z66">
        <f>HYPERLINK("https://klasma.github.io/Logging_0380/klagomålsmail/A 58547-2025 FSC-klagomål mail.docx", "A 58547-2025")</f>
        <v/>
      </c>
      <c r="AA66">
        <f>HYPERLINK("https://klasma.github.io/Logging_0380/tillsyn/A 58547-2025 tillsynsbegäran.docx", "A 58547-2025")</f>
        <v/>
      </c>
      <c r="AB66">
        <f>HYPERLINK("https://klasma.github.io/Logging_0380/tillsynsmail/A 58547-2025 tillsynsbegäran mail.docx", "A 58547-2025")</f>
        <v/>
      </c>
      <c r="AC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46222</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s="2" t="inlineStr">
        <is>
          <t>Tallgångbagge
Gulsparv
Järnsparv
Blåsippa
Spillkråka
Grönsiska
Sävsparv</t>
        </is>
      </c>
      <c r="V67">
        <f>HYPERLINK("https://klasma.github.io/Logging_0380/artfynd/A 30330-2026 artfynd.xlsx", "A 30330-2026")</f>
        <v/>
      </c>
      <c r="W67">
        <f>HYPERLINK("https://klasma.github.io/Logging_0380/kartor/A 30330-2026 karta.png", "A 30330-2026")</f>
        <v/>
      </c>
      <c r="Y67">
        <f>HYPERLINK("https://klasma.github.io/Logging_0380/klagomål/A 30330-2026 FSC-klagomål.docx", "A 30330-2026")</f>
        <v/>
      </c>
      <c r="Z67">
        <f>HYPERLINK("https://klasma.github.io/Logging_0380/klagomålsmail/A 30330-2026 FSC-klagomål mail.docx", "A 30330-2026")</f>
        <v/>
      </c>
      <c r="AA67">
        <f>HYPERLINK("https://klasma.github.io/Logging_0380/tillsyn/A 30330-2026 tillsynsbegäran.docx", "A 30330-2026")</f>
        <v/>
      </c>
      <c r="AB67">
        <f>HYPERLINK("https://klasma.github.io/Logging_0380/tillsynsmail/A 30330-2026 tillsynsbegäran mail.docx", "A 30330-2026")</f>
        <v/>
      </c>
      <c r="AC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46222</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46222</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46222</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8323-2023</t>
        </is>
      </c>
      <c r="B71" t="inlineStr">
        <is>
          <t>avverkningsanmälan</t>
        </is>
      </c>
      <c r="C71" t="inlineStr">
        <is>
          <t>Föryngringsavverkning</t>
        </is>
      </c>
      <c r="D71" s="1" t="n">
        <v>44974</v>
      </c>
      <c r="E71" s="1" t="n">
        <v>46222</v>
      </c>
      <c r="F71" t="inlineStr">
        <is>
          <t>UPPSALA LÄN</t>
        </is>
      </c>
      <c r="G71" t="inlineStr">
        <is>
          <t>UPPSALA</t>
        </is>
      </c>
      <c r="I71" t="n">
        <v>9.4</v>
      </c>
      <c r="J71" t="n">
        <v>3</v>
      </c>
      <c r="K71" t="n">
        <v>2</v>
      </c>
      <c r="L71" t="n">
        <v>1</v>
      </c>
      <c r="M71" t="n">
        <v>0</v>
      </c>
      <c r="N71" t="n">
        <v>0</v>
      </c>
      <c r="O71" t="n">
        <v>0</v>
      </c>
      <c r="P71" t="n">
        <v>0</v>
      </c>
      <c r="Q71" t="n">
        <v>1</v>
      </c>
      <c r="R71" t="n">
        <v>0</v>
      </c>
      <c r="S71" t="n">
        <v>6</v>
      </c>
      <c r="T71" t="n">
        <v>6</v>
      </c>
      <c r="U71" s="2" t="inlineStr">
        <is>
          <t>Tallkötticka
Blodticka
Grönpyrola
Tjäder
Vanlig groda
Revlummer</t>
        </is>
      </c>
      <c r="V71">
        <f>HYPERLINK("https://klasma.github.io/Logging_0380/artfynd/A 8323-2023 artfynd.xlsx", "A 8323-2023")</f>
        <v/>
      </c>
      <c r="W71">
        <f>HYPERLINK("https://klasma.github.io/Logging_0380/kartor/A 8323-2023 karta.png", "A 8323-2023")</f>
        <v/>
      </c>
      <c r="Y71">
        <f>HYPERLINK("https://klasma.github.io/Logging_0380/klagomål/A 8323-2023 FSC-klagomål.docx", "A 8323-2023")</f>
        <v/>
      </c>
      <c r="Z71">
        <f>HYPERLINK("https://klasma.github.io/Logging_0380/klagomålsmail/A 8323-2023 FSC-klagomål mail.docx", "A 8323-2023")</f>
        <v/>
      </c>
      <c r="AA71">
        <f>HYPERLINK("https://klasma.github.io/Logging_0380/tillsyn/A 8323-2023 tillsynsbegäran.docx", "A 8323-2023")</f>
        <v/>
      </c>
      <c r="AB71">
        <f>HYPERLINK("https://klasma.github.io/Logging_0380/tillsynsmail/A 8323-2023 tillsynsbegäran mail.docx", "A 8323-2023")</f>
        <v/>
      </c>
      <c r="AC71">
        <f>HYPERLINK("https://klasma.github.io/Logging_0380/fåglar/A 8323-2023 prioriterade fågelarter.docx", "A 8323-2023")</f>
        <v/>
      </c>
    </row>
    <row r="72" ht="15" customHeight="1">
      <c r="A72" t="inlineStr">
        <is>
          <t>A 6602-2023</t>
        </is>
      </c>
      <c r="B72" t="inlineStr">
        <is>
          <t>avverkningsanmälan</t>
        </is>
      </c>
      <c r="C72" t="inlineStr">
        <is>
          <t>Föryngringsavverkning</t>
        </is>
      </c>
      <c r="D72" s="1" t="n">
        <v>44966</v>
      </c>
      <c r="E72" s="1" t="n">
        <v>46222</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Y72">
        <f>HYPERLINK("https://klasma.github.io/Logging_0380/klagomål/A 6602-2023 FSC-klagomål.docx", "A 6602-2023")</f>
        <v/>
      </c>
      <c r="Z72">
        <f>HYPERLINK("https://klasma.github.io/Logging_0380/klagomålsmail/A 6602-2023 FSC-klagomål mail.docx", "A 6602-2023")</f>
        <v/>
      </c>
      <c r="AA72">
        <f>HYPERLINK("https://klasma.github.io/Logging_0380/tillsyn/A 6602-2023 tillsynsbegäran.docx", "A 6602-2023")</f>
        <v/>
      </c>
      <c r="AB72">
        <f>HYPERLINK("https://klasma.github.io/Logging_0380/tillsynsmail/A 6602-2023 tillsynsbegäran mail.docx", "A 6602-2023")</f>
        <v/>
      </c>
    </row>
    <row r="73" ht="15" customHeight="1">
      <c r="A73" t="inlineStr">
        <is>
          <t>A 22534-2026</t>
        </is>
      </c>
      <c r="B73" t="inlineStr">
        <is>
          <t>avverkningsanmälan</t>
        </is>
      </c>
      <c r="C73" t="inlineStr">
        <is>
          <t>Föryngringsavverkning</t>
        </is>
      </c>
      <c r="D73" s="1" t="n">
        <v>46155</v>
      </c>
      <c r="E73" s="1" t="n">
        <v>46222</v>
      </c>
      <c r="F73" t="inlineStr">
        <is>
          <t>UPPSALA LÄN</t>
        </is>
      </c>
      <c r="G73" t="inlineStr">
        <is>
          <t>UPPSALA</t>
        </is>
      </c>
      <c r="H73" t="inlineStr">
        <is>
          <t>Allmännings- och besparingsskogar</t>
        </is>
      </c>
      <c r="I73" t="n">
        <v>9.199999999999999</v>
      </c>
      <c r="J73" t="n">
        <v>2</v>
      </c>
      <c r="K73" t="n">
        <v>3</v>
      </c>
      <c r="L73" t="n">
        <v>1</v>
      </c>
      <c r="M73" t="n">
        <v>1</v>
      </c>
      <c r="N73" t="n">
        <v>0</v>
      </c>
      <c r="O73" t="n">
        <v>0</v>
      </c>
      <c r="P73" t="n">
        <v>0</v>
      </c>
      <c r="Q73" t="n">
        <v>2</v>
      </c>
      <c r="R73" t="n">
        <v>1</v>
      </c>
      <c r="S73" t="n">
        <v>6</v>
      </c>
      <c r="T73" t="n">
        <v>23</v>
      </c>
      <c r="U73" s="2" t="inlineStr">
        <is>
          <t>Knärot
Vedtrappmossa
Björksplintborre
Granbarkgnagare
Vågbandad barkbock
Spillkråka</t>
        </is>
      </c>
      <c r="V73">
        <f>HYPERLINK("https://klasma.github.io/Logging_0380/artfynd/A 22534-2026 artfynd.xlsx", "A 22534-2026")</f>
        <v/>
      </c>
      <c r="W73">
        <f>HYPERLINK("https://klasma.github.io/Logging_0380/kartor/A 22534-2026 karta.png", "A 22534-2026")</f>
        <v/>
      </c>
      <c r="X73">
        <f>HYPERLINK("https://klasma.github.io/Logging_0380/knärot/A 22534-2026 karta knärot.png", "A 22534-2026")</f>
        <v/>
      </c>
      <c r="Y73">
        <f>HYPERLINK("https://klasma.github.io/Logging_0380/klagomål/A 22534-2026 FSC-klagomål.docx", "A 22534-2026")</f>
        <v/>
      </c>
      <c r="Z73">
        <f>HYPERLINK("https://klasma.github.io/Logging_0380/klagomålsmail/A 22534-2026 FSC-klagomål mail.docx", "A 22534-2026")</f>
        <v/>
      </c>
      <c r="AA73">
        <f>HYPERLINK("https://klasma.github.io/Logging_0380/tillsyn/A 22534-2026 tillsynsbegäran.docx", "A 22534-2026")</f>
        <v/>
      </c>
      <c r="AB73">
        <f>HYPERLINK("https://klasma.github.io/Logging_0380/tillsynsmail/A 22534-2026 tillsynsbegäran mail.docx", "A 22534-2026")</f>
        <v/>
      </c>
      <c r="AC73">
        <f>HYPERLINK("https://klasma.github.io/Logging_0380/fåglar/A 22534-2026 prioriterade fågelarter.docx", "A 22534-2026")</f>
        <v/>
      </c>
    </row>
    <row r="74" ht="15" customHeight="1">
      <c r="A74" t="inlineStr">
        <is>
          <t>A 27625-2023</t>
        </is>
      </c>
      <c r="B74" t="inlineStr">
        <is>
          <t>avverkningsanmälan</t>
        </is>
      </c>
      <c r="C74" t="inlineStr">
        <is>
          <t>Föryngringsavverkning</t>
        </is>
      </c>
      <c r="D74" s="1" t="n">
        <v>45097</v>
      </c>
      <c r="E74" s="1" t="n">
        <v>46222</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s="2" t="inlineStr">
        <is>
          <t>Fällmossa
Blåsippa
Spillkråka
Gröngöling
Törnskata
Skogsödla</t>
        </is>
      </c>
      <c r="V74">
        <f>HYPERLINK("https://klasma.github.io/Logging_0380/artfynd/A 27625-2023 artfynd.xlsx", "A 27625-2023")</f>
        <v/>
      </c>
      <c r="W74">
        <f>HYPERLINK("https://klasma.github.io/Logging_0380/kartor/A 27625-2023 karta.png", "A 27625-2023")</f>
        <v/>
      </c>
      <c r="Y74">
        <f>HYPERLINK("https://klasma.github.io/Logging_0380/klagomål/A 27625-2023 FSC-klagomål.docx", "A 27625-2023")</f>
        <v/>
      </c>
      <c r="Z74">
        <f>HYPERLINK("https://klasma.github.io/Logging_0380/klagomålsmail/A 27625-2023 FSC-klagomål mail.docx", "A 27625-2023")</f>
        <v/>
      </c>
      <c r="AA74">
        <f>HYPERLINK("https://klasma.github.io/Logging_0380/tillsyn/A 27625-2023 tillsynsbegäran.docx", "A 27625-2023")</f>
        <v/>
      </c>
      <c r="AB74">
        <f>HYPERLINK("https://klasma.github.io/Logging_0380/tillsynsmail/A 27625-2023 tillsynsbegäran mail.docx", "A 27625-2023")</f>
        <v/>
      </c>
      <c r="AC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46222</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29803-2023</t>
        </is>
      </c>
      <c r="B76" t="inlineStr">
        <is>
          <t>avverkningsanmälan</t>
        </is>
      </c>
      <c r="C76" t="inlineStr">
        <is>
          <t>Avverkning för att bevara och utveckla /försöksver</t>
        </is>
      </c>
      <c r="D76" s="1" t="n">
        <v>45107</v>
      </c>
      <c r="E76" s="1" t="n">
        <v>46222</v>
      </c>
      <c r="F76" t="inlineStr">
        <is>
          <t>UPPSALA LÄN</t>
        </is>
      </c>
      <c r="G76" t="inlineStr">
        <is>
          <t>UPPSALA</t>
        </is>
      </c>
      <c r="I76" t="n">
        <v>2.5</v>
      </c>
      <c r="J76" t="n">
        <v>0</v>
      </c>
      <c r="K76" t="n">
        <v>2</v>
      </c>
      <c r="L76" t="n">
        <v>3</v>
      </c>
      <c r="M76" t="n">
        <v>0</v>
      </c>
      <c r="N76" t="n">
        <v>0</v>
      </c>
      <c r="O76" t="n">
        <v>0</v>
      </c>
      <c r="P76" t="n">
        <v>0</v>
      </c>
      <c r="Q76" t="n">
        <v>3</v>
      </c>
      <c r="R76" t="n">
        <v>0</v>
      </c>
      <c r="S76" t="n">
        <v>5</v>
      </c>
      <c r="T76" t="n">
        <v>12</v>
      </c>
      <c r="U76" s="2" t="inlineStr">
        <is>
          <t>Barrviolspindling
Fjällig taggsvamp s.str.
Flattoppad klubbsvamp
Blomkålssvamp
Svavelriska</t>
        </is>
      </c>
      <c r="V76">
        <f>HYPERLINK("https://klasma.github.io/Logging_0380/artfynd/A 29803-2023 artfynd.xlsx", "A 29803-2023")</f>
        <v/>
      </c>
      <c r="W76">
        <f>HYPERLINK("https://klasma.github.io/Logging_0380/kartor/A 29803-2023 karta.png", "A 29803-2023")</f>
        <v/>
      </c>
      <c r="Y76">
        <f>HYPERLINK("https://klasma.github.io/Logging_0380/klagomål/A 29803-2023 FSC-klagomål.docx", "A 29803-2023")</f>
        <v/>
      </c>
      <c r="Z76">
        <f>HYPERLINK("https://klasma.github.io/Logging_0380/klagomålsmail/A 29803-2023 FSC-klagomål mail.docx", "A 29803-2023")</f>
        <v/>
      </c>
      <c r="AA76">
        <f>HYPERLINK("https://klasma.github.io/Logging_0380/tillsyn/A 29803-2023 tillsynsbegäran.docx", "A 29803-2023")</f>
        <v/>
      </c>
      <c r="AB76">
        <f>HYPERLINK("https://klasma.github.io/Logging_0380/tillsynsmail/A 29803-2023 tillsynsbegäran mail.docx", "A 29803-2023")</f>
        <v/>
      </c>
    </row>
    <row r="77" ht="15" customHeight="1">
      <c r="A77" t="inlineStr">
        <is>
          <t>A 13546-2025</t>
        </is>
      </c>
      <c r="B77" t="inlineStr">
        <is>
          <t>avverkningsanmälan</t>
        </is>
      </c>
      <c r="C77" t="inlineStr">
        <is>
          <t>Föryngringsavverkning</t>
        </is>
      </c>
      <c r="D77" s="1" t="n">
        <v>45736</v>
      </c>
      <c r="E77" s="1" t="n">
        <v>46222</v>
      </c>
      <c r="F77" t="inlineStr">
        <is>
          <t>UPPSALA LÄN</t>
        </is>
      </c>
      <c r="G77" t="inlineStr">
        <is>
          <t>UPPSALA</t>
        </is>
      </c>
      <c r="H77" t="inlineStr">
        <is>
          <t>Allmännings- och besparingsskogar</t>
        </is>
      </c>
      <c r="I77" t="n">
        <v>3.7</v>
      </c>
      <c r="J77" t="n">
        <v>1</v>
      </c>
      <c r="K77" t="n">
        <v>3</v>
      </c>
      <c r="L77" t="n">
        <v>1</v>
      </c>
      <c r="M77" t="n">
        <v>0</v>
      </c>
      <c r="N77" t="n">
        <v>0</v>
      </c>
      <c r="O77" t="n">
        <v>0</v>
      </c>
      <c r="P77" t="n">
        <v>0</v>
      </c>
      <c r="Q77" t="n">
        <v>1</v>
      </c>
      <c r="R77" t="n">
        <v>0</v>
      </c>
      <c r="S77" t="n">
        <v>5</v>
      </c>
      <c r="T77" t="n">
        <v>5</v>
      </c>
      <c r="U77" s="2" t="inlineStr">
        <is>
          <t>Ullticka
Bronshjon
Thomsons trägnagare
Vanlig flatbagge
Blåsippa</t>
        </is>
      </c>
      <c r="V77">
        <f>HYPERLINK("https://klasma.github.io/Logging_0380/artfynd/A 13546-2025 artfynd.xlsx", "A 13546-2025")</f>
        <v/>
      </c>
      <c r="W77">
        <f>HYPERLINK("https://klasma.github.io/Logging_0380/kartor/A 13546-2025 karta.png", "A 13546-2025")</f>
        <v/>
      </c>
      <c r="Y77">
        <f>HYPERLINK("https://klasma.github.io/Logging_0380/klagomål/A 13546-2025 FSC-klagomål.docx", "A 13546-2025")</f>
        <v/>
      </c>
      <c r="Z77">
        <f>HYPERLINK("https://klasma.github.io/Logging_0380/klagomålsmail/A 13546-2025 FSC-klagomål mail.docx", "A 13546-2025")</f>
        <v/>
      </c>
      <c r="AA77">
        <f>HYPERLINK("https://klasma.github.io/Logging_0380/tillsyn/A 13546-2025 tillsynsbegäran.docx", "A 13546-2025")</f>
        <v/>
      </c>
      <c r="AB77">
        <f>HYPERLINK("https://klasma.github.io/Logging_0380/tillsynsmail/A 13546-2025 tillsynsbegäran mail.docx", "A 13546-2025")</f>
        <v/>
      </c>
    </row>
    <row r="78" ht="15" customHeight="1">
      <c r="A78" t="inlineStr">
        <is>
          <t>A 63026-2025</t>
        </is>
      </c>
      <c r="B78" t="inlineStr">
        <is>
          <t>avverkningsanmälan</t>
        </is>
      </c>
      <c r="C78" t="inlineStr">
        <is>
          <t>Föryngringsavverkning</t>
        </is>
      </c>
      <c r="D78" s="1" t="n">
        <v>46009</v>
      </c>
      <c r="E78" s="1" t="n">
        <v>46222</v>
      </c>
      <c r="F78" t="inlineStr">
        <is>
          <t>UPPSALA LÄN</t>
        </is>
      </c>
      <c r="G78" t="inlineStr">
        <is>
          <t>UPPSALA</t>
        </is>
      </c>
      <c r="I78" t="n">
        <v>1.1</v>
      </c>
      <c r="J78" t="n">
        <v>2</v>
      </c>
      <c r="K78" t="n">
        <v>1</v>
      </c>
      <c r="L78" t="n">
        <v>2</v>
      </c>
      <c r="M78" t="n">
        <v>0</v>
      </c>
      <c r="N78" t="n">
        <v>0</v>
      </c>
      <c r="O78" t="n">
        <v>0</v>
      </c>
      <c r="P78" t="n">
        <v>0</v>
      </c>
      <c r="Q78" t="n">
        <v>2</v>
      </c>
      <c r="R78" t="n">
        <v>0</v>
      </c>
      <c r="S78" t="n">
        <v>5</v>
      </c>
      <c r="T78" t="n">
        <v>6</v>
      </c>
      <c r="U78" s="2" t="inlineStr">
        <is>
          <t>Rynkskinn
Ullticka
Jättesvampmal
Spillkråka
Revlummer</t>
        </is>
      </c>
      <c r="V78">
        <f>HYPERLINK("https://klasma.github.io/Logging_0380/artfynd/A 63026-2025 artfynd.xlsx", "A 63026-2025")</f>
        <v/>
      </c>
      <c r="W78">
        <f>HYPERLINK("https://klasma.github.io/Logging_0380/kartor/A 63026-2025 karta.png", "A 63026-2025")</f>
        <v/>
      </c>
      <c r="Y78">
        <f>HYPERLINK("https://klasma.github.io/Logging_0380/klagomål/A 63026-2025 FSC-klagomål.docx", "A 63026-2025")</f>
        <v/>
      </c>
      <c r="Z78">
        <f>HYPERLINK("https://klasma.github.io/Logging_0380/klagomålsmail/A 63026-2025 FSC-klagomål mail.docx", "A 63026-2025")</f>
        <v/>
      </c>
      <c r="AA78">
        <f>HYPERLINK("https://klasma.github.io/Logging_0380/tillsyn/A 63026-2025 tillsynsbegäran.docx", "A 63026-2025")</f>
        <v/>
      </c>
      <c r="AB78">
        <f>HYPERLINK("https://klasma.github.io/Logging_0380/tillsynsmail/A 63026-2025 tillsynsbegäran mail.docx", "A 63026-2025")</f>
        <v/>
      </c>
      <c r="AC78">
        <f>HYPERLINK("https://klasma.github.io/Logging_0380/fåglar/A 63026-2025 prioriterade fågelarter.docx", "A 63026-2025")</f>
        <v/>
      </c>
    </row>
    <row r="79" ht="15" customHeight="1">
      <c r="A79" t="inlineStr">
        <is>
          <t>A 53870-2025</t>
        </is>
      </c>
      <c r="B79" t="inlineStr">
        <is>
          <t>avverkningsanmälan</t>
        </is>
      </c>
      <c r="C79" t="inlineStr">
        <is>
          <t>Föryngringsavverkning</t>
        </is>
      </c>
      <c r="D79" s="1" t="n">
        <v>45961</v>
      </c>
      <c r="E79" s="1" t="n">
        <v>46222</v>
      </c>
      <c r="F79" t="inlineStr">
        <is>
          <t>UPPSALA LÄN</t>
        </is>
      </c>
      <c r="G79" t="inlineStr">
        <is>
          <t>UPPSALA</t>
        </is>
      </c>
      <c r="I79" t="n">
        <v>2.3</v>
      </c>
      <c r="J79" t="n">
        <v>3</v>
      </c>
      <c r="K79" t="n">
        <v>0</v>
      </c>
      <c r="L79" t="n">
        <v>2</v>
      </c>
      <c r="M79" t="n">
        <v>1</v>
      </c>
      <c r="N79" t="n">
        <v>0</v>
      </c>
      <c r="O79" t="n">
        <v>0</v>
      </c>
      <c r="P79" t="n">
        <v>0</v>
      </c>
      <c r="Q79" t="n">
        <v>3</v>
      </c>
      <c r="R79" t="n">
        <v>1</v>
      </c>
      <c r="S79" t="n">
        <v>5</v>
      </c>
      <c r="T79" t="n">
        <v>11</v>
      </c>
      <c r="U79" s="2" t="inlineStr">
        <is>
          <t>Knärot
Vedtrappmossa
Vitplätt
Spillkråka
Revlummer</t>
        </is>
      </c>
      <c r="V79">
        <f>HYPERLINK("https://klasma.github.io/Logging_0380/artfynd/A 53870-2025 artfynd.xlsx", "A 53870-2025")</f>
        <v/>
      </c>
      <c r="W79">
        <f>HYPERLINK("https://klasma.github.io/Logging_0380/kartor/A 53870-2025 karta.png", "A 53870-2025")</f>
        <v/>
      </c>
      <c r="X79">
        <f>HYPERLINK("https://klasma.github.io/Logging_0380/knärot/A 53870-2025 karta knärot.png", "A 53870-2025")</f>
        <v/>
      </c>
      <c r="Y79">
        <f>HYPERLINK("https://klasma.github.io/Logging_0380/klagomål/A 53870-2025 FSC-klagomål.docx", "A 53870-2025")</f>
        <v/>
      </c>
      <c r="Z79">
        <f>HYPERLINK("https://klasma.github.io/Logging_0380/klagomålsmail/A 53870-2025 FSC-klagomål mail.docx", "A 53870-2025")</f>
        <v/>
      </c>
      <c r="AA79">
        <f>HYPERLINK("https://klasma.github.io/Logging_0380/tillsyn/A 53870-2025 tillsynsbegäran.docx", "A 53870-2025")</f>
        <v/>
      </c>
      <c r="AB79">
        <f>HYPERLINK("https://klasma.github.io/Logging_0380/tillsynsmail/A 53870-2025 tillsynsbegäran mail.docx", "A 53870-2025")</f>
        <v/>
      </c>
      <c r="AC79">
        <f>HYPERLINK("https://klasma.github.io/Logging_0380/fåglar/A 53870-2025 prioriterade fågelarter.docx", "A 53870-2025")</f>
        <v/>
      </c>
    </row>
    <row r="80" ht="15" customHeight="1">
      <c r="A80" t="inlineStr">
        <is>
          <t>A 43056-2025</t>
        </is>
      </c>
      <c r="B80" t="inlineStr">
        <is>
          <t>avverkningsanmälan</t>
        </is>
      </c>
      <c r="C80" t="inlineStr">
        <is>
          <t>Föryngringsavverkning</t>
        </is>
      </c>
      <c r="D80" s="1" t="n">
        <v>45909</v>
      </c>
      <c r="E80" s="1" t="n">
        <v>46222</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s="2" t="inlineStr">
        <is>
          <t>Rynkskinn
Sparvuggla
Ullticka
Trådticka
Spillkråka</t>
        </is>
      </c>
      <c r="V80">
        <f>HYPERLINK("https://klasma.github.io/Logging_0380/artfynd/A 43056-2025 artfynd.xlsx", "A 43056-2025")</f>
        <v/>
      </c>
      <c r="W80">
        <f>HYPERLINK("https://klasma.github.io/Logging_0380/kartor/A 43056-2025 karta.png", "A 43056-2025")</f>
        <v/>
      </c>
      <c r="Y80">
        <f>HYPERLINK("https://klasma.github.io/Logging_0380/klagomål/A 43056-2025 FSC-klagomål.docx", "A 43056-2025")</f>
        <v/>
      </c>
      <c r="Z80">
        <f>HYPERLINK("https://klasma.github.io/Logging_0380/klagomålsmail/A 43056-2025 FSC-klagomål mail.docx", "A 43056-2025")</f>
        <v/>
      </c>
      <c r="AA80">
        <f>HYPERLINK("https://klasma.github.io/Logging_0380/tillsyn/A 43056-2025 tillsynsbegäran.docx", "A 43056-2025")</f>
        <v/>
      </c>
      <c r="AB80">
        <f>HYPERLINK("https://klasma.github.io/Logging_0380/tillsynsmail/A 43056-2025 tillsynsbegäran mail.docx", "A 43056-2025")</f>
        <v/>
      </c>
      <c r="AC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46222</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s="2" t="inlineStr">
        <is>
          <t>Knärot
Vedtrappmossa
Jättesvampmal
Spillkråka
Revlummer</t>
        </is>
      </c>
      <c r="V81">
        <f>HYPERLINK("https://klasma.github.io/Logging_0380/artfynd/A 53851-2025 artfynd.xlsx", "A 53851-2025")</f>
        <v/>
      </c>
      <c r="W81">
        <f>HYPERLINK("https://klasma.github.io/Logging_0380/kartor/A 53851-2025 karta.png", "A 53851-2025")</f>
        <v/>
      </c>
      <c r="X81">
        <f>HYPERLINK("https://klasma.github.io/Logging_0380/knärot/A 53851-2025 karta knärot.png", "A 53851-2025")</f>
        <v/>
      </c>
      <c r="Y81">
        <f>HYPERLINK("https://klasma.github.io/Logging_0380/klagomål/A 53851-2025 FSC-klagomål.docx", "A 53851-2025")</f>
        <v/>
      </c>
      <c r="Z81">
        <f>HYPERLINK("https://klasma.github.io/Logging_0380/klagomålsmail/A 53851-2025 FSC-klagomål mail.docx", "A 53851-2025")</f>
        <v/>
      </c>
      <c r="AA81">
        <f>HYPERLINK("https://klasma.github.io/Logging_0380/tillsyn/A 53851-2025 tillsynsbegäran.docx", "A 53851-2025")</f>
        <v/>
      </c>
      <c r="AB81">
        <f>HYPERLINK("https://klasma.github.io/Logging_0380/tillsynsmail/A 53851-2025 tillsynsbegäran mail.docx", "A 53851-2025")</f>
        <v/>
      </c>
      <c r="AC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46222</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s="2" t="inlineStr">
        <is>
          <t>Brunlångöra
Fransfladdermus
Nordfladdermus
Dvärgpipistrell
Större brunfladdermus</t>
        </is>
      </c>
      <c r="V82">
        <f>HYPERLINK("https://klasma.github.io/Logging_0380/artfynd/A 10612-2025 artfynd.xlsx", "A 10612-2025")</f>
        <v/>
      </c>
      <c r="W82">
        <f>HYPERLINK("https://klasma.github.io/Logging_0380/kartor/A 10612-2025 karta.png", "A 10612-2025")</f>
        <v/>
      </c>
      <c r="Y82">
        <f>HYPERLINK("https://klasma.github.io/Logging_0380/klagomål/A 10612-2025 FSC-klagomål.docx", "A 10612-2025")</f>
        <v/>
      </c>
      <c r="Z82">
        <f>HYPERLINK("https://klasma.github.io/Logging_0380/klagomålsmail/A 10612-2025 FSC-klagomål mail.docx", "A 10612-2025")</f>
        <v/>
      </c>
      <c r="AA82">
        <f>HYPERLINK("https://klasma.github.io/Logging_0380/tillsyn/A 10612-2025 tillsynsbegäran.docx", "A 10612-2025")</f>
        <v/>
      </c>
      <c r="AB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46222</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s="2" t="inlineStr">
        <is>
          <t>Ullticka
Grön sköldmossa
Vanlig flatbagge
Vedticka
Vanlig padda</t>
        </is>
      </c>
      <c r="V83">
        <f>HYPERLINK("https://klasma.github.io/Logging_0380/artfynd/A 23899-2026 artfynd.xlsx", "A 23899-2026")</f>
        <v/>
      </c>
      <c r="W83">
        <f>HYPERLINK("https://klasma.github.io/Logging_0380/kartor/A 23899-2026 karta.png", "A 23899-2026")</f>
        <v/>
      </c>
      <c r="Y83">
        <f>HYPERLINK("https://klasma.github.io/Logging_0380/klagomål/A 23899-2026 FSC-klagomål.docx", "A 23899-2026")</f>
        <v/>
      </c>
      <c r="Z83">
        <f>HYPERLINK("https://klasma.github.io/Logging_0380/klagomålsmail/A 23899-2026 FSC-klagomål mail.docx", "A 23899-2026")</f>
        <v/>
      </c>
      <c r="AA83">
        <f>HYPERLINK("https://klasma.github.io/Logging_0380/tillsyn/A 23899-2026 tillsynsbegäran.docx", "A 23899-2026")</f>
        <v/>
      </c>
      <c r="AB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46222</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46222</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46222</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46222</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46222</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46222</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s="2" t="inlineStr">
        <is>
          <t>Gulvit blekspik
Rynkskinn
Svartöra
Tagglergeting</t>
        </is>
      </c>
      <c r="V89">
        <f>HYPERLINK("https://klasma.github.io/Logging_0380/artfynd/A 11409-2025 artfynd.xlsx", "A 11409-2025")</f>
        <v/>
      </c>
      <c r="W89">
        <f>HYPERLINK("https://klasma.github.io/Logging_0380/kartor/A 11409-2025 karta.png", "A 11409-2025")</f>
        <v/>
      </c>
      <c r="Y89">
        <f>HYPERLINK("https://klasma.github.io/Logging_0380/klagomål/A 11409-2025 FSC-klagomål.docx", "A 11409-2025")</f>
        <v/>
      </c>
      <c r="Z89">
        <f>HYPERLINK("https://klasma.github.io/Logging_0380/klagomålsmail/A 11409-2025 FSC-klagomål mail.docx", "A 11409-2025")</f>
        <v/>
      </c>
      <c r="AA89">
        <f>HYPERLINK("https://klasma.github.io/Logging_0380/tillsyn/A 11409-2025 tillsynsbegäran.docx", "A 11409-2025")</f>
        <v/>
      </c>
      <c r="AB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46222</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42581-2025 artfynd.xlsx", "A 42581-2025")</f>
        <v/>
      </c>
      <c r="W90">
        <f>HYPERLINK("https://klasma.github.io/Logging_0380/kartor/A 42581-2025 karta.png", "A 42581-2025")</f>
        <v/>
      </c>
      <c r="Y90">
        <f>HYPERLINK("https://klasma.github.io/Logging_0380/klagomål/A 42581-2025 FSC-klagomål.docx", "A 42581-2025")</f>
        <v/>
      </c>
      <c r="Z90">
        <f>HYPERLINK("https://klasma.github.io/Logging_0380/klagomålsmail/A 42581-2025 FSC-klagomål mail.docx", "A 42581-2025")</f>
        <v/>
      </c>
      <c r="AA90">
        <f>HYPERLINK("https://klasma.github.io/Logging_0380/tillsyn/A 42581-2025 tillsynsbegäran.docx", "A 42581-2025")</f>
        <v/>
      </c>
      <c r="AB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46222</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42583-2025 artfynd.xlsx", "A 42583-2025")</f>
        <v/>
      </c>
      <c r="W91">
        <f>HYPERLINK("https://klasma.github.io/Logging_0380/kartor/A 42583-2025 karta.png", "A 42583-2025")</f>
        <v/>
      </c>
      <c r="Y91">
        <f>HYPERLINK("https://klasma.github.io/Logging_0380/klagomål/A 42583-2025 FSC-klagomål.docx", "A 42583-2025")</f>
        <v/>
      </c>
      <c r="Z91">
        <f>HYPERLINK("https://klasma.github.io/Logging_0380/klagomålsmail/A 42583-2025 FSC-klagomål mail.docx", "A 42583-2025")</f>
        <v/>
      </c>
      <c r="AA91">
        <f>HYPERLINK("https://klasma.github.io/Logging_0380/tillsyn/A 42583-2025 tillsynsbegäran.docx", "A 42583-2025")</f>
        <v/>
      </c>
      <c r="AB91">
        <f>HYPERLINK("https://klasma.github.io/Logging_0380/tillsynsmail/A 42583-2025 tillsynsbegäran mail.docx", "A 42583-2025")</f>
        <v/>
      </c>
    </row>
    <row r="92" ht="15" customHeight="1">
      <c r="A92" t="inlineStr">
        <is>
          <t>A 49015-2022</t>
        </is>
      </c>
      <c r="B92" t="inlineStr">
        <is>
          <t>avverkningsanmälan</t>
        </is>
      </c>
      <c r="C92" t="inlineStr">
        <is>
          <t>Föryngringsavverkning</t>
        </is>
      </c>
      <c r="D92" s="1" t="n">
        <v>44855</v>
      </c>
      <c r="E92" s="1" t="n">
        <v>46222</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Y92">
        <f>HYPERLINK("https://klasma.github.io/Logging_0380/klagomål/A 49015-2022 FSC-klagomål.docx", "A 49015-2022")</f>
        <v/>
      </c>
      <c r="Z92">
        <f>HYPERLINK("https://klasma.github.io/Logging_0380/klagomålsmail/A 49015-2022 FSC-klagomål mail.docx", "A 49015-2022")</f>
        <v/>
      </c>
      <c r="AA92">
        <f>HYPERLINK("https://klasma.github.io/Logging_0380/tillsyn/A 49015-2022 tillsynsbegäran.docx", "A 49015-2022")</f>
        <v/>
      </c>
      <c r="AB92">
        <f>HYPERLINK("https://klasma.github.io/Logging_0380/tillsynsmail/A 49015-2022 tillsynsbegäran mail.docx", "A 49015-2022")</f>
        <v/>
      </c>
    </row>
    <row r="93" ht="15" customHeight="1">
      <c r="A93" t="inlineStr">
        <is>
          <t>A 61374-2025</t>
        </is>
      </c>
      <c r="B93" t="inlineStr">
        <is>
          <t>avverkningsanmälan</t>
        </is>
      </c>
      <c r="C93" t="inlineStr">
        <is>
          <t>Föryngringsavverkning</t>
        </is>
      </c>
      <c r="D93" s="1" t="n">
        <v>46001</v>
      </c>
      <c r="E93" s="1" t="n">
        <v>46222</v>
      </c>
      <c r="F93" t="inlineStr">
        <is>
          <t>UPPSALA LÄN</t>
        </is>
      </c>
      <c r="G93" t="inlineStr">
        <is>
          <t>UPPSALA</t>
        </is>
      </c>
      <c r="H93" t="inlineStr">
        <is>
          <t>Holmen skog AB</t>
        </is>
      </c>
      <c r="I93" t="n">
        <v>6.2</v>
      </c>
      <c r="J93" t="n">
        <v>0</v>
      </c>
      <c r="K93" t="n">
        <v>1</v>
      </c>
      <c r="L93" t="n">
        <v>1</v>
      </c>
      <c r="M93" t="n">
        <v>1</v>
      </c>
      <c r="N93" t="n">
        <v>1</v>
      </c>
      <c r="O93" t="n">
        <v>0</v>
      </c>
      <c r="P93" t="n">
        <v>0</v>
      </c>
      <c r="Q93" t="n">
        <v>3</v>
      </c>
      <c r="R93" t="n">
        <v>2</v>
      </c>
      <c r="S93" t="n">
        <v>4</v>
      </c>
      <c r="T93" t="n">
        <v>5</v>
      </c>
      <c r="U93" s="2" t="inlineStr">
        <is>
          <t>Ask
Gulvit blekspik
Lunglav
Tibast</t>
        </is>
      </c>
      <c r="V93">
        <f>HYPERLINK("https://klasma.github.io/Logging_0380/artfynd/A 61374-2025 artfynd.xlsx", "A 61374-2025")</f>
        <v/>
      </c>
      <c r="W93">
        <f>HYPERLINK("https://klasma.github.io/Logging_0380/kartor/A 61374-2025 karta.png", "A 61374-2025")</f>
        <v/>
      </c>
      <c r="Y93">
        <f>HYPERLINK("https://klasma.github.io/Logging_0380/klagomål/A 61374-2025 FSC-klagomål.docx", "A 61374-2025")</f>
        <v/>
      </c>
      <c r="Z93">
        <f>HYPERLINK("https://klasma.github.io/Logging_0380/klagomålsmail/A 61374-2025 FSC-klagomål mail.docx", "A 61374-2025")</f>
        <v/>
      </c>
      <c r="AA93">
        <f>HYPERLINK("https://klasma.github.io/Logging_0380/tillsyn/A 61374-2025 tillsynsbegäran.docx", "A 61374-2025")</f>
        <v/>
      </c>
      <c r="AB93">
        <f>HYPERLINK("https://klasma.github.io/Logging_0380/tillsynsmail/A 61374-2025 tillsynsbegäran mail.docx", "A 61374-2025")</f>
        <v/>
      </c>
    </row>
    <row r="94" ht="15" customHeight="1">
      <c r="A94" t="inlineStr">
        <is>
          <t>A 62004-2025</t>
        </is>
      </c>
      <c r="B94" t="inlineStr">
        <is>
          <t>avverkningsanmälan</t>
        </is>
      </c>
      <c r="C94" t="inlineStr">
        <is>
          <t>Föryngringsavverkning</t>
        </is>
      </c>
      <c r="D94" s="1" t="n">
        <v>46003</v>
      </c>
      <c r="E94" s="1" t="n">
        <v>46222</v>
      </c>
      <c r="F94" t="inlineStr">
        <is>
          <t>UPPSALA LÄN</t>
        </is>
      </c>
      <c r="G94" t="inlineStr">
        <is>
          <t>UPPSALA</t>
        </is>
      </c>
      <c r="I94" t="n">
        <v>7.2</v>
      </c>
      <c r="J94" t="n">
        <v>3</v>
      </c>
      <c r="K94" t="n">
        <v>0</v>
      </c>
      <c r="L94" t="n">
        <v>1</v>
      </c>
      <c r="M94" t="n">
        <v>1</v>
      </c>
      <c r="N94" t="n">
        <v>0</v>
      </c>
      <c r="O94" t="n">
        <v>0</v>
      </c>
      <c r="P94" t="n">
        <v>0</v>
      </c>
      <c r="Q94" t="n">
        <v>2</v>
      </c>
      <c r="R94" t="n">
        <v>1</v>
      </c>
      <c r="S94" t="n">
        <v>4</v>
      </c>
      <c r="T94" t="n">
        <v>27</v>
      </c>
      <c r="U94" s="2" t="inlineStr">
        <is>
          <t>Knärot
Vedtrappmossa
Spillkråka
Revlummer</t>
        </is>
      </c>
      <c r="V94">
        <f>HYPERLINK("https://klasma.github.io/Logging_0380/artfynd/A 62004-2025 artfynd.xlsx", "A 62004-2025")</f>
        <v/>
      </c>
      <c r="W94">
        <f>HYPERLINK("https://klasma.github.io/Logging_0380/kartor/A 62004-2025 karta.png", "A 62004-2025")</f>
        <v/>
      </c>
      <c r="X94">
        <f>HYPERLINK("https://klasma.github.io/Logging_0380/knärot/A 62004-2025 karta knärot.png", "A 62004-2025")</f>
        <v/>
      </c>
      <c r="Y94">
        <f>HYPERLINK("https://klasma.github.io/Logging_0380/klagomål/A 62004-2025 FSC-klagomål.docx", "A 62004-2025")</f>
        <v/>
      </c>
      <c r="Z94">
        <f>HYPERLINK("https://klasma.github.io/Logging_0380/klagomålsmail/A 62004-2025 FSC-klagomål mail.docx", "A 62004-2025")</f>
        <v/>
      </c>
      <c r="AA94">
        <f>HYPERLINK("https://klasma.github.io/Logging_0380/tillsyn/A 62004-2025 tillsynsbegäran.docx", "A 62004-2025")</f>
        <v/>
      </c>
      <c r="AB94">
        <f>HYPERLINK("https://klasma.github.io/Logging_0380/tillsynsmail/A 62004-2025 tillsynsbegäran mail.docx", "A 62004-2025")</f>
        <v/>
      </c>
      <c r="AC94">
        <f>HYPERLINK("https://klasma.github.io/Logging_0380/fåglar/A 62004-2025 prioriterade fågelarter.docx", "A 62004-2025")</f>
        <v/>
      </c>
    </row>
    <row r="95" ht="15" customHeight="1">
      <c r="A95" t="inlineStr">
        <is>
          <t>A 2524-2026</t>
        </is>
      </c>
      <c r="B95" t="inlineStr">
        <is>
          <t>avverkningsanmälan</t>
        </is>
      </c>
      <c r="C95" t="inlineStr">
        <is>
          <t>Föryngringsavverkning</t>
        </is>
      </c>
      <c r="D95" s="1" t="n">
        <v>46037</v>
      </c>
      <c r="E95" s="1" t="n">
        <v>46222</v>
      </c>
      <c r="F95" t="inlineStr">
        <is>
          <t>UPPSALA LÄN</t>
        </is>
      </c>
      <c r="G95" t="inlineStr">
        <is>
          <t>UPPSALA</t>
        </is>
      </c>
      <c r="H95" t="inlineStr">
        <is>
          <t>Allmännings- och besparingsskogar</t>
        </is>
      </c>
      <c r="I95" t="n">
        <v>13.4</v>
      </c>
      <c r="J95" t="n">
        <v>2</v>
      </c>
      <c r="K95" t="n">
        <v>1</v>
      </c>
      <c r="L95" t="n">
        <v>1</v>
      </c>
      <c r="M95" t="n">
        <v>0</v>
      </c>
      <c r="N95" t="n">
        <v>0</v>
      </c>
      <c r="O95" t="n">
        <v>0</v>
      </c>
      <c r="P95" t="n">
        <v>0</v>
      </c>
      <c r="Q95" t="n">
        <v>1</v>
      </c>
      <c r="R95" t="n">
        <v>0</v>
      </c>
      <c r="S95" t="n">
        <v>4</v>
      </c>
      <c r="T95" t="n">
        <v>4</v>
      </c>
      <c r="U95" s="2" t="inlineStr">
        <is>
          <t>Vågticka
Blodticka
Spillkråka
Tjäder</t>
        </is>
      </c>
      <c r="V95">
        <f>HYPERLINK("https://klasma.github.io/Logging_0380/artfynd/A 2524-2026 artfynd.xlsx", "A 2524-2026")</f>
        <v/>
      </c>
      <c r="W95">
        <f>HYPERLINK("https://klasma.github.io/Logging_0380/kartor/A 2524-2026 karta.png", "A 2524-2026")</f>
        <v/>
      </c>
      <c r="Y95">
        <f>HYPERLINK("https://klasma.github.io/Logging_0380/klagomål/A 2524-2026 FSC-klagomål.docx", "A 2524-2026")</f>
        <v/>
      </c>
      <c r="Z95">
        <f>HYPERLINK("https://klasma.github.io/Logging_0380/klagomålsmail/A 2524-2026 FSC-klagomål mail.docx", "A 2524-2026")</f>
        <v/>
      </c>
      <c r="AA95">
        <f>HYPERLINK("https://klasma.github.io/Logging_0380/tillsyn/A 2524-2026 tillsynsbegäran.docx", "A 2524-2026")</f>
        <v/>
      </c>
      <c r="AB95">
        <f>HYPERLINK("https://klasma.github.io/Logging_0380/tillsynsmail/A 2524-2026 tillsynsbegäran mail.docx", "A 2524-2026")</f>
        <v/>
      </c>
      <c r="AC95">
        <f>HYPERLINK("https://klasma.github.io/Logging_0380/fåglar/A 2524-2026 prioriterade fågelarter.docx", "A 2524-2026")</f>
        <v/>
      </c>
    </row>
    <row r="96" ht="15" customHeight="1">
      <c r="A96" t="inlineStr">
        <is>
          <t>A 39741-2023</t>
        </is>
      </c>
      <c r="B96" t="inlineStr">
        <is>
          <t>avverkningsanmälan</t>
        </is>
      </c>
      <c r="C96" t="inlineStr">
        <is>
          <t>Föryngringsavverkning</t>
        </is>
      </c>
      <c r="D96" s="1" t="n">
        <v>45167</v>
      </c>
      <c r="E96" s="1" t="n">
        <v>46222</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s="2" t="inlineStr">
        <is>
          <t>Entita
Järnsparv
Bergfink
Grönsiska</t>
        </is>
      </c>
      <c r="V96">
        <f>HYPERLINK("https://klasma.github.io/Logging_0380/artfynd/A 39741-2023 artfynd.xlsx", "A 39741-2023")</f>
        <v/>
      </c>
      <c r="W96">
        <f>HYPERLINK("https://klasma.github.io/Logging_0380/kartor/A 39741-2023 karta.png", "A 39741-2023")</f>
        <v/>
      </c>
      <c r="Y96">
        <f>HYPERLINK("https://klasma.github.io/Logging_0380/klagomål/A 39741-2023 FSC-klagomål.docx", "A 39741-2023")</f>
        <v/>
      </c>
      <c r="Z96">
        <f>HYPERLINK("https://klasma.github.io/Logging_0380/klagomålsmail/A 39741-2023 FSC-klagomål mail.docx", "A 39741-2023")</f>
        <v/>
      </c>
      <c r="AA96">
        <f>HYPERLINK("https://klasma.github.io/Logging_0380/tillsyn/A 39741-2023 tillsynsbegäran.docx", "A 39741-2023")</f>
        <v/>
      </c>
      <c r="AB96">
        <f>HYPERLINK("https://klasma.github.io/Logging_0380/tillsynsmail/A 39741-2023 tillsynsbegäran mail.docx", "A 39741-2023")</f>
        <v/>
      </c>
      <c r="AC96">
        <f>HYPERLINK("https://klasma.github.io/Logging_0380/fåglar/A 39741-2023 prioriterade fågelarter.docx", "A 39741-2023")</f>
        <v/>
      </c>
    </row>
    <row r="97" ht="15" customHeight="1">
      <c r="A97" t="inlineStr">
        <is>
          <t>A 58546-2025</t>
        </is>
      </c>
      <c r="B97" t="inlineStr">
        <is>
          <t>avverkningsanmälan</t>
        </is>
      </c>
      <c r="C97" t="inlineStr">
        <is>
          <t>Föryngringsavverkning</t>
        </is>
      </c>
      <c r="D97" s="1" t="n">
        <v>45985</v>
      </c>
      <c r="E97" s="1" t="n">
        <v>46222</v>
      </c>
      <c r="F97" t="inlineStr">
        <is>
          <t>UPPSALA LÄN</t>
        </is>
      </c>
      <c r="G97" t="inlineStr">
        <is>
          <t>UPPSALA</t>
        </is>
      </c>
      <c r="I97" t="n">
        <v>0.6</v>
      </c>
      <c r="J97" t="n">
        <v>2</v>
      </c>
      <c r="K97" t="n">
        <v>1</v>
      </c>
      <c r="L97" t="n">
        <v>1</v>
      </c>
      <c r="M97" t="n">
        <v>1</v>
      </c>
      <c r="N97" t="n">
        <v>0</v>
      </c>
      <c r="O97" t="n">
        <v>0</v>
      </c>
      <c r="P97" t="n">
        <v>0</v>
      </c>
      <c r="Q97" t="n">
        <v>2</v>
      </c>
      <c r="R97" t="n">
        <v>1</v>
      </c>
      <c r="S97" t="n">
        <v>4</v>
      </c>
      <c r="T97" t="n">
        <v>13</v>
      </c>
      <c r="U97" s="2" t="inlineStr">
        <is>
          <t>Knärot
Vedtrappmossa
Rödgul trumpetsvamp
Revlummer</t>
        </is>
      </c>
      <c r="V97">
        <f>HYPERLINK("https://klasma.github.io/Logging_0380/artfynd/A 58546-2025 artfynd.xlsx", "A 58546-2025")</f>
        <v/>
      </c>
      <c r="W97">
        <f>HYPERLINK("https://klasma.github.io/Logging_0380/kartor/A 58546-2025 karta.png", "A 58546-2025")</f>
        <v/>
      </c>
      <c r="X97">
        <f>HYPERLINK("https://klasma.github.io/Logging_0380/knärot/A 58546-2025 karta knärot.png", "A 58546-2025")</f>
        <v/>
      </c>
      <c r="Y97">
        <f>HYPERLINK("https://klasma.github.io/Logging_0380/klagomål/A 58546-2025 FSC-klagomål.docx", "A 58546-2025")</f>
        <v/>
      </c>
      <c r="Z97">
        <f>HYPERLINK("https://klasma.github.io/Logging_0380/klagomålsmail/A 58546-2025 FSC-klagomål mail.docx", "A 58546-2025")</f>
        <v/>
      </c>
      <c r="AA97">
        <f>HYPERLINK("https://klasma.github.io/Logging_0380/tillsyn/A 58546-2025 tillsynsbegäran.docx", "A 58546-2025")</f>
        <v/>
      </c>
      <c r="AB97">
        <f>HYPERLINK("https://klasma.github.io/Logging_0380/tillsynsmail/A 58546-2025 tillsynsbegäran mail.docx", "A 58546-2025")</f>
        <v/>
      </c>
    </row>
    <row r="98" ht="15" customHeight="1">
      <c r="A98" t="inlineStr">
        <is>
          <t>A 22440-2026</t>
        </is>
      </c>
      <c r="B98" t="inlineStr">
        <is>
          <t>avverkningsanmälan</t>
        </is>
      </c>
      <c r="C98" t="inlineStr">
        <is>
          <t>Föryngringsavverkning</t>
        </is>
      </c>
      <c r="D98" s="1" t="n">
        <v>46155</v>
      </c>
      <c r="E98" s="1" t="n">
        <v>46222</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s="2" t="inlineStr">
        <is>
          <t>Knärot
Tallticka
Spillkråka
Revlummer</t>
        </is>
      </c>
      <c r="V98">
        <f>HYPERLINK("https://klasma.github.io/Logging_0380/artfynd/A 22440-2026 artfynd.xlsx", "A 22440-2026")</f>
        <v/>
      </c>
      <c r="W98">
        <f>HYPERLINK("https://klasma.github.io/Logging_0380/kartor/A 22440-2026 karta.png", "A 22440-2026")</f>
        <v/>
      </c>
      <c r="X98">
        <f>HYPERLINK("https://klasma.github.io/Logging_0380/knärot/A 22440-2026 karta knärot.png", "A 22440-2026")</f>
        <v/>
      </c>
      <c r="Y98">
        <f>HYPERLINK("https://klasma.github.io/Logging_0380/klagomål/A 22440-2026 FSC-klagomål.docx", "A 22440-2026")</f>
        <v/>
      </c>
      <c r="Z98">
        <f>HYPERLINK("https://klasma.github.io/Logging_0380/klagomålsmail/A 22440-2026 FSC-klagomål mail.docx", "A 22440-2026")</f>
        <v/>
      </c>
      <c r="AA98">
        <f>HYPERLINK("https://klasma.github.io/Logging_0380/tillsyn/A 22440-2026 tillsynsbegäran.docx", "A 22440-2026")</f>
        <v/>
      </c>
      <c r="AB98">
        <f>HYPERLINK("https://klasma.github.io/Logging_0380/tillsynsmail/A 22440-2026 tillsynsbegäran mail.docx", "A 22440-2026")</f>
        <v/>
      </c>
      <c r="AC98">
        <f>HYPERLINK("https://klasma.github.io/Logging_0380/fåglar/A 22440-2026 prioriterade fågelarter.docx", "A 22440-2026")</f>
        <v/>
      </c>
    </row>
    <row r="99" ht="15" customHeight="1">
      <c r="A99" t="inlineStr">
        <is>
          <t>A 60038-2021</t>
        </is>
      </c>
      <c r="B99" t="inlineStr">
        <is>
          <t>avverkningsanmälan</t>
        </is>
      </c>
      <c r="C99" t="inlineStr">
        <is>
          <t>Föryngringsavverkning</t>
        </is>
      </c>
      <c r="D99" s="1" t="n">
        <v>44495</v>
      </c>
      <c r="E99" s="1" t="n">
        <v>46222</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s="2" t="inlineStr">
        <is>
          <t>Rynkskinn
Ullticka
Fällmossa
Blåsippa</t>
        </is>
      </c>
      <c r="V99">
        <f>HYPERLINK("https://klasma.github.io/Logging_0380/artfynd/A 60038-2021 artfynd.xlsx", "A 60038-2021")</f>
        <v/>
      </c>
      <c r="W99">
        <f>HYPERLINK("https://klasma.github.io/Logging_0380/kartor/A 60038-2021 karta.png", "A 60038-2021")</f>
        <v/>
      </c>
      <c r="Y99">
        <f>HYPERLINK("https://klasma.github.io/Logging_0380/klagomål/A 60038-2021 FSC-klagomål.docx", "A 60038-2021")</f>
        <v/>
      </c>
      <c r="Z99">
        <f>HYPERLINK("https://klasma.github.io/Logging_0380/klagomålsmail/A 60038-2021 FSC-klagomål mail.docx", "A 60038-2021")</f>
        <v/>
      </c>
      <c r="AA99">
        <f>HYPERLINK("https://klasma.github.io/Logging_0380/tillsyn/A 60038-2021 tillsynsbegäran.docx", "A 60038-2021")</f>
        <v/>
      </c>
      <c r="AB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46222</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Y100">
        <f>HYPERLINK("https://klasma.github.io/Logging_0380/klagomål/A 11217-2024 FSC-klagomål.docx", "A 11217-2024")</f>
        <v/>
      </c>
      <c r="Z100">
        <f>HYPERLINK("https://klasma.github.io/Logging_0380/klagomålsmail/A 11217-2024 FSC-klagomål mail.docx", "A 11217-2024")</f>
        <v/>
      </c>
      <c r="AA100">
        <f>HYPERLINK("https://klasma.github.io/Logging_0380/tillsyn/A 11217-2024 tillsynsbegäran.docx", "A 11217-2024")</f>
        <v/>
      </c>
      <c r="AB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46222</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46222</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s="2" t="inlineStr">
        <is>
          <t>Tallticka
Ögonpyrola
Törnskata</t>
        </is>
      </c>
      <c r="V102">
        <f>HYPERLINK("https://klasma.github.io/Logging_0380/artfynd/A 63172-2023 artfynd.xlsx", "A 63172-2023")</f>
        <v/>
      </c>
      <c r="W102">
        <f>HYPERLINK("https://klasma.github.io/Logging_0380/kartor/A 63172-2023 karta.png", "A 63172-2023")</f>
        <v/>
      </c>
      <c r="Y102">
        <f>HYPERLINK("https://klasma.github.io/Logging_0380/klagomål/A 63172-2023 FSC-klagomål.docx", "A 63172-2023")</f>
        <v/>
      </c>
      <c r="Z102">
        <f>HYPERLINK("https://klasma.github.io/Logging_0380/klagomålsmail/A 63172-2023 FSC-klagomål mail.docx", "A 63172-2023")</f>
        <v/>
      </c>
      <c r="AA102">
        <f>HYPERLINK("https://klasma.github.io/Logging_0380/tillsyn/A 63172-2023 tillsynsbegäran.docx", "A 63172-2023")</f>
        <v/>
      </c>
      <c r="AB102">
        <f>HYPERLINK("https://klasma.github.io/Logging_0380/tillsynsmail/A 63172-2023 tillsynsbegäran mail.docx", "A 63172-2023")</f>
        <v/>
      </c>
      <c r="AC102">
        <f>HYPERLINK("https://klasma.github.io/Logging_0380/fåglar/A 63172-2023 prioriterade fågelarter.docx", "A 63172-2023")</f>
        <v/>
      </c>
    </row>
    <row r="103" ht="15" customHeight="1">
      <c r="A103" t="inlineStr">
        <is>
          <t>A 25660-2025</t>
        </is>
      </c>
      <c r="B103" t="inlineStr">
        <is>
          <t>avverkningsanmälan</t>
        </is>
      </c>
      <c r="C103" t="inlineStr">
        <is>
          <t>Föryngringsavverkning</t>
        </is>
      </c>
      <c r="D103" s="1" t="n">
        <v>45803</v>
      </c>
      <c r="E103" s="1" t="n">
        <v>46222</v>
      </c>
      <c r="F103" t="inlineStr">
        <is>
          <t>UPPSALA LÄN</t>
        </is>
      </c>
      <c r="G103" t="inlineStr">
        <is>
          <t>UPPSALA</t>
        </is>
      </c>
      <c r="H103" t="inlineStr">
        <is>
          <t>Holmen skog AB</t>
        </is>
      </c>
      <c r="I103" t="n">
        <v>4.8</v>
      </c>
      <c r="J103" t="n">
        <v>1</v>
      </c>
      <c r="K103" t="n">
        <v>2</v>
      </c>
      <c r="L103" t="n">
        <v>0</v>
      </c>
      <c r="M103" t="n">
        <v>0</v>
      </c>
      <c r="N103" t="n">
        <v>0</v>
      </c>
      <c r="O103" t="n">
        <v>0</v>
      </c>
      <c r="P103" t="n">
        <v>0</v>
      </c>
      <c r="Q103" t="n">
        <v>0</v>
      </c>
      <c r="R103" t="n">
        <v>0</v>
      </c>
      <c r="S103" t="n">
        <v>3</v>
      </c>
      <c r="T103" t="n">
        <v>3</v>
      </c>
      <c r="U103" s="2" t="inlineStr">
        <is>
          <t>Mindre märgborre
Skogshakmossa
Blåsippa</t>
        </is>
      </c>
      <c r="V103">
        <f>HYPERLINK("https://klasma.github.io/Logging_0380/artfynd/A 25660-2025 artfynd.xlsx", "A 25660-2025")</f>
        <v/>
      </c>
      <c r="W103">
        <f>HYPERLINK("https://klasma.github.io/Logging_0380/kartor/A 25660-2025 karta.png", "A 25660-2025")</f>
        <v/>
      </c>
      <c r="Y103">
        <f>HYPERLINK("https://klasma.github.io/Logging_0380/klagomål/A 25660-2025 FSC-klagomål.docx", "A 25660-2025")</f>
        <v/>
      </c>
      <c r="Z103">
        <f>HYPERLINK("https://klasma.github.io/Logging_0380/klagomålsmail/A 25660-2025 FSC-klagomål mail.docx", "A 25660-2025")</f>
        <v/>
      </c>
      <c r="AA103">
        <f>HYPERLINK("https://klasma.github.io/Logging_0380/tillsyn/A 25660-2025 tillsynsbegäran.docx", "A 25660-2025")</f>
        <v/>
      </c>
      <c r="AB103">
        <f>HYPERLINK("https://klasma.github.io/Logging_0380/tillsynsmail/A 25660-2025 tillsynsbegäran mail.docx", "A 25660-2025")</f>
        <v/>
      </c>
    </row>
    <row r="104" ht="15" customHeight="1">
      <c r="A104" t="inlineStr">
        <is>
          <t>A 3304-2025</t>
        </is>
      </c>
      <c r="B104" t="inlineStr">
        <is>
          <t>avverkningsanmälan</t>
        </is>
      </c>
      <c r="C104" t="inlineStr">
        <is>
          <t>Avverkning för annat ändamål</t>
        </is>
      </c>
      <c r="D104" s="1" t="n">
        <v>45679</v>
      </c>
      <c r="E104" s="1" t="n">
        <v>46222</v>
      </c>
      <c r="F104" t="inlineStr">
        <is>
          <t>UPPSALA LÄN</t>
        </is>
      </c>
      <c r="G104" t="inlineStr">
        <is>
          <t>UPPSALA</t>
        </is>
      </c>
      <c r="H104" t="inlineStr">
        <is>
          <t>Övriga statliga verk och myndigheter</t>
        </is>
      </c>
      <c r="I104" t="n">
        <v>3.8</v>
      </c>
      <c r="J104" t="n">
        <v>3</v>
      </c>
      <c r="K104" t="n">
        <v>0</v>
      </c>
      <c r="L104" t="n">
        <v>1</v>
      </c>
      <c r="M104" t="n">
        <v>0</v>
      </c>
      <c r="N104" t="n">
        <v>0</v>
      </c>
      <c r="O104" t="n">
        <v>0</v>
      </c>
      <c r="P104" t="n">
        <v>0</v>
      </c>
      <c r="Q104" t="n">
        <v>1</v>
      </c>
      <c r="R104" t="n">
        <v>0</v>
      </c>
      <c r="S104" t="n">
        <v>3</v>
      </c>
      <c r="T104" t="n">
        <v>5</v>
      </c>
      <c r="U104" s="2" t="inlineStr">
        <is>
          <t>Nordfladdermus
Blåsippa
Dvärgpipistrell</t>
        </is>
      </c>
      <c r="V104">
        <f>HYPERLINK("https://klasma.github.io/Logging_0380/artfynd/A 3304-2025 artfynd.xlsx", "A 3304-2025")</f>
        <v/>
      </c>
      <c r="W104">
        <f>HYPERLINK("https://klasma.github.io/Logging_0380/kartor/A 3304-2025 karta.png", "A 3304-2025")</f>
        <v/>
      </c>
      <c r="Y104">
        <f>HYPERLINK("https://klasma.github.io/Logging_0380/klagomål/A 3304-2025 FSC-klagomål.docx", "A 3304-2025")</f>
        <v/>
      </c>
      <c r="Z104">
        <f>HYPERLINK("https://klasma.github.io/Logging_0380/klagomålsmail/A 3304-2025 FSC-klagomål mail.docx", "A 3304-2025")</f>
        <v/>
      </c>
      <c r="AA104">
        <f>HYPERLINK("https://klasma.github.io/Logging_0380/tillsyn/A 3304-2025 tillsynsbegäran.docx", "A 3304-2025")</f>
        <v/>
      </c>
      <c r="AB104">
        <f>HYPERLINK("https://klasma.github.io/Logging_0380/tillsynsmail/A 3304-2025 tillsynsbegäran mail.docx", "A 3304-2025")</f>
        <v/>
      </c>
    </row>
    <row r="105" ht="15" customHeight="1">
      <c r="A105" t="inlineStr">
        <is>
          <t>A 43280-2025</t>
        </is>
      </c>
      <c r="B105" t="inlineStr">
        <is>
          <t>avverkningsanmälan</t>
        </is>
      </c>
      <c r="C105" t="inlineStr">
        <is>
          <t>Föryngringsavverkning</t>
        </is>
      </c>
      <c r="D105" s="1" t="n">
        <v>45910</v>
      </c>
      <c r="E105" s="1" t="n">
        <v>46222</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s="2" t="inlineStr">
        <is>
          <t>Vedtrappmossa
Svavelriska
Trådticka</t>
        </is>
      </c>
      <c r="V105">
        <f>HYPERLINK("https://klasma.github.io/Logging_0380/artfynd/A 43280-2025 artfynd.xlsx", "A 43280-2025")</f>
        <v/>
      </c>
      <c r="W105">
        <f>HYPERLINK("https://klasma.github.io/Logging_0380/kartor/A 43280-2025 karta.png", "A 43280-2025")</f>
        <v/>
      </c>
      <c r="Y105">
        <f>HYPERLINK("https://klasma.github.io/Logging_0380/klagomål/A 43280-2025 FSC-klagomål.docx", "A 43280-2025")</f>
        <v/>
      </c>
      <c r="Z105">
        <f>HYPERLINK("https://klasma.github.io/Logging_0380/klagomålsmail/A 43280-2025 FSC-klagomål mail.docx", "A 43280-2025")</f>
        <v/>
      </c>
      <c r="AA105">
        <f>HYPERLINK("https://klasma.github.io/Logging_0380/tillsyn/A 43280-2025 tillsynsbegäran.docx", "A 43280-2025")</f>
        <v/>
      </c>
      <c r="AB105">
        <f>HYPERLINK("https://klasma.github.io/Logging_0380/tillsynsmail/A 43280-2025 tillsynsbegäran mail.docx", "A 43280-2025")</f>
        <v/>
      </c>
    </row>
    <row r="106" ht="15" customHeight="1">
      <c r="A106" t="inlineStr">
        <is>
          <t>A 43278-2025</t>
        </is>
      </c>
      <c r="B106" t="inlineStr">
        <is>
          <t>avverkningsanmälan</t>
        </is>
      </c>
      <c r="C106" t="inlineStr">
        <is>
          <t>Föryngringsavverkning</t>
        </is>
      </c>
      <c r="D106" s="1" t="n">
        <v>45910</v>
      </c>
      <c r="E106" s="1" t="n">
        <v>46222</v>
      </c>
      <c r="F106" t="inlineStr">
        <is>
          <t>UPPSALA LÄN</t>
        </is>
      </c>
      <c r="G106" t="inlineStr">
        <is>
          <t>UPPSALA</t>
        </is>
      </c>
      <c r="H106" t="inlineStr">
        <is>
          <t>Kyrkan</t>
        </is>
      </c>
      <c r="I106" t="n">
        <v>2.4</v>
      </c>
      <c r="J106" t="n">
        <v>0</v>
      </c>
      <c r="K106" t="n">
        <v>2</v>
      </c>
      <c r="L106" t="n">
        <v>1</v>
      </c>
      <c r="M106" t="n">
        <v>0</v>
      </c>
      <c r="N106" t="n">
        <v>0</v>
      </c>
      <c r="O106" t="n">
        <v>0</v>
      </c>
      <c r="P106" t="n">
        <v>0</v>
      </c>
      <c r="Q106" t="n">
        <v>1</v>
      </c>
      <c r="R106" t="n">
        <v>0</v>
      </c>
      <c r="S106" t="n">
        <v>3</v>
      </c>
      <c r="T106" t="n">
        <v>6</v>
      </c>
      <c r="U106" s="2" t="inlineStr">
        <is>
          <t>Vedtrappmossa
Svavelriska
Trådticka</t>
        </is>
      </c>
      <c r="V106">
        <f>HYPERLINK("https://klasma.github.io/Logging_0380/artfynd/A 43278-2025 artfynd.xlsx", "A 43278-2025")</f>
        <v/>
      </c>
      <c r="W106">
        <f>HYPERLINK("https://klasma.github.io/Logging_0380/kartor/A 43278-2025 karta.png", "A 43278-2025")</f>
        <v/>
      </c>
      <c r="Y106">
        <f>HYPERLINK("https://klasma.github.io/Logging_0380/klagomål/A 43278-2025 FSC-klagomål.docx", "A 43278-2025")</f>
        <v/>
      </c>
      <c r="Z106">
        <f>HYPERLINK("https://klasma.github.io/Logging_0380/klagomålsmail/A 43278-2025 FSC-klagomål mail.docx", "A 43278-2025")</f>
        <v/>
      </c>
      <c r="AA106">
        <f>HYPERLINK("https://klasma.github.io/Logging_0380/tillsyn/A 43278-2025 tillsynsbegäran.docx", "A 43278-2025")</f>
        <v/>
      </c>
      <c r="AB106">
        <f>HYPERLINK("https://klasma.github.io/Logging_0380/tillsynsmail/A 43278-2025 tillsynsbegäran mail.docx", "A 43278-2025")</f>
        <v/>
      </c>
    </row>
    <row r="107" ht="15" customHeight="1">
      <c r="A107" t="inlineStr">
        <is>
          <t>A 58906-2021</t>
        </is>
      </c>
      <c r="B107" t="inlineStr">
        <is>
          <t>avverkningsanmälan</t>
        </is>
      </c>
      <c r="C107" t="inlineStr">
        <is>
          <t>Föryngringsavverkning</t>
        </is>
      </c>
      <c r="D107" s="1" t="n">
        <v>44489</v>
      </c>
      <c r="E107" s="1" t="n">
        <v>46222</v>
      </c>
      <c r="F107" t="inlineStr">
        <is>
          <t>UPPSALA LÄN</t>
        </is>
      </c>
      <c r="G107" t="inlineStr">
        <is>
          <t>UPPSALA</t>
        </is>
      </c>
      <c r="I107" t="n">
        <v>8.6</v>
      </c>
      <c r="J107" t="n">
        <v>2</v>
      </c>
      <c r="K107" t="n">
        <v>0</v>
      </c>
      <c r="L107" t="n">
        <v>2</v>
      </c>
      <c r="M107" t="n">
        <v>0</v>
      </c>
      <c r="N107" t="n">
        <v>0</v>
      </c>
      <c r="O107" t="n">
        <v>0</v>
      </c>
      <c r="P107" t="n">
        <v>0</v>
      </c>
      <c r="Q107" t="n">
        <v>2</v>
      </c>
      <c r="R107" t="n">
        <v>0</v>
      </c>
      <c r="S107" t="n">
        <v>3</v>
      </c>
      <c r="T107" t="n">
        <v>4</v>
      </c>
      <c r="U107" s="2" t="inlineStr">
        <is>
          <t>Talltita
Ullticka
Tjäder</t>
        </is>
      </c>
      <c r="V107">
        <f>HYPERLINK("https://klasma.github.io/Logging_0380/artfynd/A 58906-2021 artfynd.xlsx", "A 58906-2021")</f>
        <v/>
      </c>
      <c r="W107">
        <f>HYPERLINK("https://klasma.github.io/Logging_0380/kartor/A 58906-2021 karta.png", "A 58906-2021")</f>
        <v/>
      </c>
      <c r="Y107">
        <f>HYPERLINK("https://klasma.github.io/Logging_0380/klagomål/A 58906-2021 FSC-klagomål.docx", "A 58906-2021")</f>
        <v/>
      </c>
      <c r="Z107">
        <f>HYPERLINK("https://klasma.github.io/Logging_0380/klagomålsmail/A 58906-2021 FSC-klagomål mail.docx", "A 58906-2021")</f>
        <v/>
      </c>
      <c r="AA107">
        <f>HYPERLINK("https://klasma.github.io/Logging_0380/tillsyn/A 58906-2021 tillsynsbegäran.docx", "A 58906-2021")</f>
        <v/>
      </c>
      <c r="AB107">
        <f>HYPERLINK("https://klasma.github.io/Logging_0380/tillsynsmail/A 58906-2021 tillsynsbegäran mail.docx", "A 58906-2021")</f>
        <v/>
      </c>
      <c r="AC107">
        <f>HYPERLINK("https://klasma.github.io/Logging_0380/fåglar/A 58906-2021 prioriterade fågelarter.docx", "A 58906-2021")</f>
        <v/>
      </c>
    </row>
    <row r="108" ht="15" customHeight="1">
      <c r="A108" t="inlineStr">
        <is>
          <t>A 13085-2026</t>
        </is>
      </c>
      <c r="B108" t="inlineStr">
        <is>
          <t>avverkningsanmälan</t>
        </is>
      </c>
      <c r="C108" t="inlineStr">
        <is>
          <t>Föryngringsavverkning</t>
        </is>
      </c>
      <c r="D108" s="1" t="n">
        <v>46093</v>
      </c>
      <c r="E108" s="1" t="n">
        <v>46222</v>
      </c>
      <c r="F108" t="inlineStr">
        <is>
          <t>UPPSALA LÄN</t>
        </is>
      </c>
      <c r="G108" t="inlineStr">
        <is>
          <t>UPPSALA</t>
        </is>
      </c>
      <c r="I108" t="n">
        <v>2.2</v>
      </c>
      <c r="J108" t="n">
        <v>1</v>
      </c>
      <c r="K108" t="n">
        <v>1</v>
      </c>
      <c r="L108" t="n">
        <v>1</v>
      </c>
      <c r="M108" t="n">
        <v>0</v>
      </c>
      <c r="N108" t="n">
        <v>0</v>
      </c>
      <c r="O108" t="n">
        <v>0</v>
      </c>
      <c r="P108" t="n">
        <v>0</v>
      </c>
      <c r="Q108" t="n">
        <v>1</v>
      </c>
      <c r="R108" t="n">
        <v>0</v>
      </c>
      <c r="S108" t="n">
        <v>3</v>
      </c>
      <c r="T108" t="n">
        <v>6</v>
      </c>
      <c r="U108" s="2" t="inlineStr">
        <is>
          <t>Vårärt
Svart trolldruva
Blåsippa</t>
        </is>
      </c>
      <c r="V108">
        <f>HYPERLINK("https://klasma.github.io/Logging_0380/artfynd/A 13085-2026 artfynd.xlsx", "A 13085-2026")</f>
        <v/>
      </c>
      <c r="W108">
        <f>HYPERLINK("https://klasma.github.io/Logging_0380/kartor/A 13085-2026 karta.png", "A 13085-2026")</f>
        <v/>
      </c>
      <c r="Y108">
        <f>HYPERLINK("https://klasma.github.io/Logging_0380/klagomål/A 13085-2026 FSC-klagomål.docx", "A 13085-2026")</f>
        <v/>
      </c>
      <c r="Z108">
        <f>HYPERLINK("https://klasma.github.io/Logging_0380/klagomålsmail/A 13085-2026 FSC-klagomål mail.docx", "A 13085-2026")</f>
        <v/>
      </c>
      <c r="AA108">
        <f>HYPERLINK("https://klasma.github.io/Logging_0380/tillsyn/A 13085-2026 tillsynsbegäran.docx", "A 13085-2026")</f>
        <v/>
      </c>
      <c r="AB108">
        <f>HYPERLINK("https://klasma.github.io/Logging_0380/tillsynsmail/A 13085-2026 tillsynsbegäran mail.docx", "A 13085-2026")</f>
        <v/>
      </c>
    </row>
    <row r="109" ht="15" customHeight="1">
      <c r="A109" t="inlineStr">
        <is>
          <t>A 17277-2023</t>
        </is>
      </c>
      <c r="B109" t="inlineStr">
        <is>
          <t>avverkningsanmälan</t>
        </is>
      </c>
      <c r="C109" t="inlineStr">
        <is>
          <t>Föryngringsavverkning</t>
        </is>
      </c>
      <c r="D109" s="1" t="n">
        <v>45035</v>
      </c>
      <c r="E109" s="1" t="n">
        <v>46222</v>
      </c>
      <c r="F109" t="inlineStr">
        <is>
          <t>UPPSALA LÄN</t>
        </is>
      </c>
      <c r="G109" t="inlineStr">
        <is>
          <t>UPPSALA</t>
        </is>
      </c>
      <c r="H109" t="inlineStr">
        <is>
          <t>Övriga Aktiebolag</t>
        </is>
      </c>
      <c r="I109" t="n">
        <v>6.1</v>
      </c>
      <c r="J109" t="n">
        <v>3</v>
      </c>
      <c r="K109" t="n">
        <v>0</v>
      </c>
      <c r="L109" t="n">
        <v>1</v>
      </c>
      <c r="M109" t="n">
        <v>0</v>
      </c>
      <c r="N109" t="n">
        <v>0</v>
      </c>
      <c r="O109" t="n">
        <v>0</v>
      </c>
      <c r="P109" t="n">
        <v>0</v>
      </c>
      <c r="Q109" t="n">
        <v>1</v>
      </c>
      <c r="R109" t="n">
        <v>0</v>
      </c>
      <c r="S109" t="n">
        <v>3</v>
      </c>
      <c r="T109" t="n">
        <v>3</v>
      </c>
      <c r="U109" s="2" t="inlineStr">
        <is>
          <t>Duvhök
Slaguggla
Trana</t>
        </is>
      </c>
      <c r="V109">
        <f>HYPERLINK("https://klasma.github.io/Logging_0380/artfynd/A 17277-2023 artfynd.xlsx", "A 17277-2023")</f>
        <v/>
      </c>
      <c r="W109">
        <f>HYPERLINK("https://klasma.github.io/Logging_0380/kartor/A 17277-2023 karta.png", "A 17277-2023")</f>
        <v/>
      </c>
      <c r="Y109">
        <f>HYPERLINK("https://klasma.github.io/Logging_0380/klagomål/A 17277-2023 FSC-klagomål.docx", "A 17277-2023")</f>
        <v/>
      </c>
      <c r="Z109">
        <f>HYPERLINK("https://klasma.github.io/Logging_0380/klagomålsmail/A 17277-2023 FSC-klagomål mail.docx", "A 17277-2023")</f>
        <v/>
      </c>
      <c r="AA109">
        <f>HYPERLINK("https://klasma.github.io/Logging_0380/tillsyn/A 17277-2023 tillsynsbegäran.docx", "A 17277-2023")</f>
        <v/>
      </c>
      <c r="AB109">
        <f>HYPERLINK("https://klasma.github.io/Logging_0380/tillsynsmail/A 17277-2023 tillsynsbegäran mail.docx", "A 17277-2023")</f>
        <v/>
      </c>
      <c r="AC109">
        <f>HYPERLINK("https://klasma.github.io/Logging_0380/fåglar/A 17277-2023 prioriterade fågelarter.docx", "A 17277-2023")</f>
        <v/>
      </c>
    </row>
    <row r="110" ht="15" customHeight="1">
      <c r="A110" t="inlineStr">
        <is>
          <t>A 65659-2021</t>
        </is>
      </c>
      <c r="B110" t="inlineStr">
        <is>
          <t>avverkningsanmälan</t>
        </is>
      </c>
      <c r="C110" t="inlineStr">
        <is>
          <t>Föryngringsavverkning</t>
        </is>
      </c>
      <c r="D110" s="1" t="n">
        <v>44516</v>
      </c>
      <c r="E110" s="1" t="n">
        <v>46222</v>
      </c>
      <c r="F110" t="inlineStr">
        <is>
          <t>UPPSALA LÄN</t>
        </is>
      </c>
      <c r="G110" t="inlineStr">
        <is>
          <t>UPPSALA</t>
        </is>
      </c>
      <c r="I110" t="n">
        <v>2.2</v>
      </c>
      <c r="J110" t="n">
        <v>1</v>
      </c>
      <c r="K110" t="n">
        <v>1</v>
      </c>
      <c r="L110" t="n">
        <v>0</v>
      </c>
      <c r="M110" t="n">
        <v>0</v>
      </c>
      <c r="N110" t="n">
        <v>1</v>
      </c>
      <c r="O110" t="n">
        <v>0</v>
      </c>
      <c r="P110" t="n">
        <v>0</v>
      </c>
      <c r="Q110" t="n">
        <v>1</v>
      </c>
      <c r="R110" t="n">
        <v>1</v>
      </c>
      <c r="S110" t="n">
        <v>3</v>
      </c>
      <c r="T110" t="n">
        <v>3</v>
      </c>
      <c r="U110" s="2" t="inlineStr">
        <is>
          <t>Ask
Fällmossa
Blåsippa</t>
        </is>
      </c>
      <c r="V110">
        <f>HYPERLINK("https://klasma.github.io/Logging_0380/artfynd/A 65659-2021 artfynd.xlsx", "A 65659-2021")</f>
        <v/>
      </c>
      <c r="W110">
        <f>HYPERLINK("https://klasma.github.io/Logging_0380/kartor/A 65659-2021 karta.png", "A 65659-2021")</f>
        <v/>
      </c>
      <c r="Y110">
        <f>HYPERLINK("https://klasma.github.io/Logging_0380/klagomål/A 65659-2021 FSC-klagomål.docx", "A 65659-2021")</f>
        <v/>
      </c>
      <c r="Z110">
        <f>HYPERLINK("https://klasma.github.io/Logging_0380/klagomålsmail/A 65659-2021 FSC-klagomål mail.docx", "A 65659-2021")</f>
        <v/>
      </c>
      <c r="AA110">
        <f>HYPERLINK("https://klasma.github.io/Logging_0380/tillsyn/A 65659-2021 tillsynsbegäran.docx", "A 65659-2021")</f>
        <v/>
      </c>
      <c r="AB110">
        <f>HYPERLINK("https://klasma.github.io/Logging_0380/tillsynsmail/A 65659-2021 tillsynsbegäran mail.docx", "A 65659-2021")</f>
        <v/>
      </c>
    </row>
    <row r="111" ht="15" customHeight="1">
      <c r="A111" t="inlineStr">
        <is>
          <t>A 57793-2022</t>
        </is>
      </c>
      <c r="B111" t="inlineStr">
        <is>
          <t>avverkningsanmälan</t>
        </is>
      </c>
      <c r="C111" t="inlineStr">
        <is>
          <t>Föryngringsavverkning</t>
        </is>
      </c>
      <c r="D111" s="1" t="n">
        <v>44897</v>
      </c>
      <c r="E111" s="1" t="n">
        <v>46222</v>
      </c>
      <c r="F111" t="inlineStr">
        <is>
          <t>UPPSALA LÄN</t>
        </is>
      </c>
      <c r="G111" t="inlineStr">
        <is>
          <t>UPPSALA</t>
        </is>
      </c>
      <c r="I111" t="n">
        <v>2.9</v>
      </c>
      <c r="J111" t="n">
        <v>2</v>
      </c>
      <c r="K111" t="n">
        <v>1</v>
      </c>
      <c r="L111" t="n">
        <v>2</v>
      </c>
      <c r="M111" t="n">
        <v>0</v>
      </c>
      <c r="N111" t="n">
        <v>0</v>
      </c>
      <c r="O111" t="n">
        <v>0</v>
      </c>
      <c r="P111" t="n">
        <v>0</v>
      </c>
      <c r="Q111" t="n">
        <v>2</v>
      </c>
      <c r="R111" t="n">
        <v>0</v>
      </c>
      <c r="S111" t="n">
        <v>3</v>
      </c>
      <c r="T111" t="n">
        <v>3</v>
      </c>
      <c r="U111" s="2" t="inlineStr">
        <is>
          <t>Sparvuggla
Talltita
Blomkålssvamp</t>
        </is>
      </c>
      <c r="V111">
        <f>HYPERLINK("https://klasma.github.io/Logging_0380/artfynd/A 57793-2022 artfynd.xlsx", "A 57793-2022")</f>
        <v/>
      </c>
      <c r="W111">
        <f>HYPERLINK("https://klasma.github.io/Logging_0380/kartor/A 57793-2022 karta.png", "A 57793-2022")</f>
        <v/>
      </c>
      <c r="Y111">
        <f>HYPERLINK("https://klasma.github.io/Logging_0380/klagomål/A 57793-2022 FSC-klagomål.docx", "A 57793-2022")</f>
        <v/>
      </c>
      <c r="Z111">
        <f>HYPERLINK("https://klasma.github.io/Logging_0380/klagomålsmail/A 57793-2022 FSC-klagomål mail.docx", "A 57793-2022")</f>
        <v/>
      </c>
      <c r="AA111">
        <f>HYPERLINK("https://klasma.github.io/Logging_0380/tillsyn/A 57793-2022 tillsynsbegäran.docx", "A 57793-2022")</f>
        <v/>
      </c>
      <c r="AB111">
        <f>HYPERLINK("https://klasma.github.io/Logging_0380/tillsynsmail/A 57793-2022 tillsynsbegäran mail.docx", "A 57793-2022")</f>
        <v/>
      </c>
      <c r="AC111">
        <f>HYPERLINK("https://klasma.github.io/Logging_0380/fåglar/A 57793-2022 prioriterade fågelarter.docx", "A 57793-2022")</f>
        <v/>
      </c>
    </row>
    <row r="112" ht="15" customHeight="1">
      <c r="A112" t="inlineStr">
        <is>
          <t>A 30716-2025</t>
        </is>
      </c>
      <c r="B112" t="inlineStr">
        <is>
          <t>avverkningsanmälan</t>
        </is>
      </c>
      <c r="C112" t="inlineStr">
        <is>
          <t>Föryngringsavverkning</t>
        </is>
      </c>
      <c r="D112" s="1" t="n">
        <v>45831</v>
      </c>
      <c r="E112" s="1" t="n">
        <v>46222</v>
      </c>
      <c r="F112" t="inlineStr">
        <is>
          <t>UPPSALA LÄN</t>
        </is>
      </c>
      <c r="G112" t="inlineStr">
        <is>
          <t>UPPSALA</t>
        </is>
      </c>
      <c r="I112" t="n">
        <v>2.3</v>
      </c>
      <c r="J112" t="n">
        <v>2</v>
      </c>
      <c r="K112" t="n">
        <v>1</v>
      </c>
      <c r="L112" t="n">
        <v>1</v>
      </c>
      <c r="M112" t="n">
        <v>1</v>
      </c>
      <c r="N112" t="n">
        <v>0</v>
      </c>
      <c r="O112" t="n">
        <v>0</v>
      </c>
      <c r="P112" t="n">
        <v>0</v>
      </c>
      <c r="Q112" t="n">
        <v>2</v>
      </c>
      <c r="R112" t="n">
        <v>1</v>
      </c>
      <c r="S112" t="n">
        <v>3</v>
      </c>
      <c r="T112" t="n">
        <v>5</v>
      </c>
      <c r="U112" s="2" t="inlineStr">
        <is>
          <t>Knärot
Talltita
Skinnlav</t>
        </is>
      </c>
      <c r="V112">
        <f>HYPERLINK("https://klasma.github.io/Logging_0380/artfynd/A 30716-2025 artfynd.xlsx", "A 30716-2025")</f>
        <v/>
      </c>
      <c r="W112">
        <f>HYPERLINK("https://klasma.github.io/Logging_0380/kartor/A 30716-2025 karta.png", "A 30716-2025")</f>
        <v/>
      </c>
      <c r="X112">
        <f>HYPERLINK("https://klasma.github.io/Logging_0380/knärot/A 30716-2025 karta knärot.png", "A 30716-2025")</f>
        <v/>
      </c>
      <c r="Y112">
        <f>HYPERLINK("https://klasma.github.io/Logging_0380/klagomål/A 30716-2025 FSC-klagomål.docx", "A 30716-2025")</f>
        <v/>
      </c>
      <c r="Z112">
        <f>HYPERLINK("https://klasma.github.io/Logging_0380/klagomålsmail/A 30716-2025 FSC-klagomål mail.docx", "A 30716-2025")</f>
        <v/>
      </c>
      <c r="AA112">
        <f>HYPERLINK("https://klasma.github.io/Logging_0380/tillsyn/A 30716-2025 tillsynsbegäran.docx", "A 30716-2025")</f>
        <v/>
      </c>
      <c r="AB112">
        <f>HYPERLINK("https://klasma.github.io/Logging_0380/tillsynsmail/A 30716-2025 tillsynsbegäran mail.docx", "A 30716-2025")</f>
        <v/>
      </c>
      <c r="AC112">
        <f>HYPERLINK("https://klasma.github.io/Logging_0380/fåglar/A 30716-2025 prioriterade fågelarter.docx", "A 30716-2025")</f>
        <v/>
      </c>
    </row>
    <row r="113" ht="15" customHeight="1">
      <c r="A113" t="inlineStr">
        <is>
          <t>A 88-2024</t>
        </is>
      </c>
      <c r="B113" t="inlineStr">
        <is>
          <t>avverkningsanmälan</t>
        </is>
      </c>
      <c r="C113" t="inlineStr">
        <is>
          <t>Avverkning för annat ändamål</t>
        </is>
      </c>
      <c r="D113" s="1" t="n">
        <v>45293</v>
      </c>
      <c r="E113" s="1" t="n">
        <v>46222</v>
      </c>
      <c r="F113" t="inlineStr">
        <is>
          <t>UPPSALA LÄN</t>
        </is>
      </c>
      <c r="G113" t="inlineStr">
        <is>
          <t>UPPSALA</t>
        </is>
      </c>
      <c r="I113" t="n">
        <v>2.1</v>
      </c>
      <c r="J113" t="n">
        <v>0</v>
      </c>
      <c r="K113" t="n">
        <v>1</v>
      </c>
      <c r="L113" t="n">
        <v>1</v>
      </c>
      <c r="M113" t="n">
        <v>0</v>
      </c>
      <c r="N113" t="n">
        <v>1</v>
      </c>
      <c r="O113" t="n">
        <v>0</v>
      </c>
      <c r="P113" t="n">
        <v>0</v>
      </c>
      <c r="Q113" t="n">
        <v>2</v>
      </c>
      <c r="R113" t="n">
        <v>1</v>
      </c>
      <c r="S113" t="n">
        <v>3</v>
      </c>
      <c r="T113" t="n">
        <v>3</v>
      </c>
      <c r="U113" s="2" t="inlineStr">
        <is>
          <t>Ask
Gullklöver
Sotlav</t>
        </is>
      </c>
      <c r="V113">
        <f>HYPERLINK("https://klasma.github.io/Logging_0380/artfynd/A 88-2024 artfynd.xlsx", "A 88-2024")</f>
        <v/>
      </c>
      <c r="W113">
        <f>HYPERLINK("https://klasma.github.io/Logging_0380/kartor/A 88-2024 karta.png", "A 88-2024")</f>
        <v/>
      </c>
      <c r="Y113">
        <f>HYPERLINK("https://klasma.github.io/Logging_0380/klagomål/A 88-2024 FSC-klagomål.docx", "A 88-2024")</f>
        <v/>
      </c>
      <c r="Z113">
        <f>HYPERLINK("https://klasma.github.io/Logging_0380/klagomålsmail/A 88-2024 FSC-klagomål mail.docx", "A 88-2024")</f>
        <v/>
      </c>
      <c r="AA113">
        <f>HYPERLINK("https://klasma.github.io/Logging_0380/tillsyn/A 88-2024 tillsynsbegäran.docx", "A 88-2024")</f>
        <v/>
      </c>
      <c r="AB113">
        <f>HYPERLINK("https://klasma.github.io/Logging_0380/tillsynsmail/A 88-2024 tillsynsbegäran mail.docx", "A 88-2024")</f>
        <v/>
      </c>
    </row>
    <row r="114" ht="15" customHeight="1">
      <c r="A114" t="inlineStr">
        <is>
          <t>A 27816-2026</t>
        </is>
      </c>
      <c r="B114" t="inlineStr">
        <is>
          <t>avverkningsanmälan</t>
        </is>
      </c>
      <c r="C114" t="inlineStr">
        <is>
          <t>Föryngringsavverkning</t>
        </is>
      </c>
      <c r="D114" s="1" t="n">
        <v>46191</v>
      </c>
      <c r="E114" s="1" t="n">
        <v>46222</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s="2" t="inlineStr">
        <is>
          <t>Vedtrappmossa
Brandticka
Granbräken</t>
        </is>
      </c>
      <c r="V114">
        <f>HYPERLINK("https://klasma.github.io/Logging_0380/artfynd/A 27816-2026 artfynd.xlsx", "A 27816-2026")</f>
        <v/>
      </c>
      <c r="W114">
        <f>HYPERLINK("https://klasma.github.io/Logging_0380/kartor/A 27816-2026 karta.png", "A 27816-2026")</f>
        <v/>
      </c>
      <c r="Y114">
        <f>HYPERLINK("https://klasma.github.io/Logging_0380/klagomål/A 27816-2026 FSC-klagomål.docx", "A 27816-2026")</f>
        <v/>
      </c>
      <c r="Z114">
        <f>HYPERLINK("https://klasma.github.io/Logging_0380/klagomålsmail/A 27816-2026 FSC-klagomål mail.docx", "A 27816-2026")</f>
        <v/>
      </c>
      <c r="AA114">
        <f>HYPERLINK("https://klasma.github.io/Logging_0380/tillsyn/A 27816-2026 tillsynsbegäran.docx", "A 27816-2026")</f>
        <v/>
      </c>
      <c r="AB114">
        <f>HYPERLINK("https://klasma.github.io/Logging_0380/tillsynsmail/A 27816-2026 tillsynsbegäran mail.docx", "A 27816-2026")</f>
        <v/>
      </c>
    </row>
    <row r="115" ht="15" customHeight="1">
      <c r="A115" t="inlineStr">
        <is>
          <t>A 36471-2022</t>
        </is>
      </c>
      <c r="B115" t="inlineStr">
        <is>
          <t>avverkningsanmälan</t>
        </is>
      </c>
      <c r="C115" t="inlineStr">
        <is>
          <t>Föryngringsavverkning</t>
        </is>
      </c>
      <c r="D115" s="1" t="n">
        <v>44804</v>
      </c>
      <c r="E115" s="1" t="n">
        <v>46222</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s="2" t="inlineStr">
        <is>
          <t>Bronshjon
Spindelbock
Stor aspticka</t>
        </is>
      </c>
      <c r="V115">
        <f>HYPERLINK("https://klasma.github.io/Logging_0380/artfynd/A 36471-2022 artfynd.xlsx", "A 36471-2022")</f>
        <v/>
      </c>
      <c r="W115">
        <f>HYPERLINK("https://klasma.github.io/Logging_0380/kartor/A 36471-2022 karta.png", "A 36471-2022")</f>
        <v/>
      </c>
      <c r="Y115">
        <f>HYPERLINK("https://klasma.github.io/Logging_0380/klagomål/A 36471-2022 FSC-klagomål.docx", "A 36471-2022")</f>
        <v/>
      </c>
      <c r="Z115">
        <f>HYPERLINK("https://klasma.github.io/Logging_0380/klagomålsmail/A 36471-2022 FSC-klagomål mail.docx", "A 36471-2022")</f>
        <v/>
      </c>
      <c r="AA115">
        <f>HYPERLINK("https://klasma.github.io/Logging_0380/tillsyn/A 36471-2022 tillsynsbegäran.docx", "A 36471-2022")</f>
        <v/>
      </c>
      <c r="AB115">
        <f>HYPERLINK("https://klasma.github.io/Logging_0380/tillsynsmail/A 36471-2022 tillsynsbegäran mail.docx", "A 36471-2022")</f>
        <v/>
      </c>
    </row>
    <row r="116" ht="15" customHeight="1">
      <c r="A116" t="inlineStr">
        <is>
          <t>A 25943-2023</t>
        </is>
      </c>
      <c r="B116" t="inlineStr">
        <is>
          <t>avverkningsanmälan</t>
        </is>
      </c>
      <c r="C116" t="inlineStr">
        <is>
          <t>Föryngringsavverkning</t>
        </is>
      </c>
      <c r="D116" s="1" t="n">
        <v>45090</v>
      </c>
      <c r="E116" s="1" t="n">
        <v>46222</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s="2" t="inlineStr">
        <is>
          <t>Mindre hackspett
Vedtrappmossa
Vedticka</t>
        </is>
      </c>
      <c r="V116">
        <f>HYPERLINK("https://klasma.github.io/Logging_0380/artfynd/A 25943-2023 artfynd.xlsx", "A 25943-2023")</f>
        <v/>
      </c>
      <c r="W116">
        <f>HYPERLINK("https://klasma.github.io/Logging_0380/kartor/A 25943-2023 karta.png", "A 25943-2023")</f>
        <v/>
      </c>
      <c r="Y116">
        <f>HYPERLINK("https://klasma.github.io/Logging_0380/klagomål/A 25943-2023 FSC-klagomål.docx", "A 25943-2023")</f>
        <v/>
      </c>
      <c r="Z116">
        <f>HYPERLINK("https://klasma.github.io/Logging_0380/klagomålsmail/A 25943-2023 FSC-klagomål mail.docx", "A 25943-2023")</f>
        <v/>
      </c>
      <c r="AA116">
        <f>HYPERLINK("https://klasma.github.io/Logging_0380/tillsyn/A 25943-2023 tillsynsbegäran.docx", "A 25943-2023")</f>
        <v/>
      </c>
      <c r="AB116">
        <f>HYPERLINK("https://klasma.github.io/Logging_0380/tillsynsmail/A 25943-2023 tillsynsbegäran mail.docx", "A 25943-2023")</f>
        <v/>
      </c>
      <c r="AC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46222</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s="2" t="inlineStr">
        <is>
          <t>Grönsångare
Tallticka
Kungsfågel</t>
        </is>
      </c>
      <c r="V117">
        <f>HYPERLINK("https://klasma.github.io/Logging_0380/artfynd/A 4657-2025 artfynd.xlsx", "A 4657-2025")</f>
        <v/>
      </c>
      <c r="W117">
        <f>HYPERLINK("https://klasma.github.io/Logging_0380/kartor/A 4657-2025 karta.png", "A 4657-2025")</f>
        <v/>
      </c>
      <c r="Y117">
        <f>HYPERLINK("https://klasma.github.io/Logging_0380/klagomål/A 4657-2025 FSC-klagomål.docx", "A 4657-2025")</f>
        <v/>
      </c>
      <c r="Z117">
        <f>HYPERLINK("https://klasma.github.io/Logging_0380/klagomålsmail/A 4657-2025 FSC-klagomål mail.docx", "A 4657-2025")</f>
        <v/>
      </c>
      <c r="AA117">
        <f>HYPERLINK("https://klasma.github.io/Logging_0380/tillsyn/A 4657-2025 tillsynsbegäran.docx", "A 4657-2025")</f>
        <v/>
      </c>
      <c r="AB117">
        <f>HYPERLINK("https://klasma.github.io/Logging_0380/tillsynsmail/A 4657-2025 tillsynsbegäran mail.docx", "A 4657-2025")</f>
        <v/>
      </c>
      <c r="AC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46222</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46222</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5750-2023</t>
        </is>
      </c>
      <c r="B120" t="inlineStr">
        <is>
          <t>avverkningsanmälan</t>
        </is>
      </c>
      <c r="C120" t="inlineStr">
        <is>
          <t>Föryngringsavverkning</t>
        </is>
      </c>
      <c r="D120" s="1" t="n">
        <v>44963</v>
      </c>
      <c r="E120" s="1" t="n">
        <v>46222</v>
      </c>
      <c r="F120" t="inlineStr">
        <is>
          <t>UPPSALA LÄN</t>
        </is>
      </c>
      <c r="G120" t="inlineStr">
        <is>
          <t>UPPSALA</t>
        </is>
      </c>
      <c r="I120" t="n">
        <v>13.8</v>
      </c>
      <c r="J120" t="n">
        <v>0</v>
      </c>
      <c r="K120" t="n">
        <v>1</v>
      </c>
      <c r="L120" t="n">
        <v>0</v>
      </c>
      <c r="M120" t="n">
        <v>1</v>
      </c>
      <c r="N120" t="n">
        <v>0</v>
      </c>
      <c r="O120" t="n">
        <v>0</v>
      </c>
      <c r="P120" t="n">
        <v>0</v>
      </c>
      <c r="Q120" t="n">
        <v>1</v>
      </c>
      <c r="R120" t="n">
        <v>1</v>
      </c>
      <c r="S120" t="n">
        <v>2</v>
      </c>
      <c r="T120" t="n">
        <v>3</v>
      </c>
      <c r="U120" s="2" t="inlineStr">
        <is>
          <t>Raggbock
Bårdlav</t>
        </is>
      </c>
      <c r="V120">
        <f>HYPERLINK("https://klasma.github.io/Logging_0380/artfynd/A 5750-2023 artfynd.xlsx", "A 5750-2023")</f>
        <v/>
      </c>
      <c r="W120">
        <f>HYPERLINK("https://klasma.github.io/Logging_0380/kartor/A 5750-2023 karta.png", "A 5750-2023")</f>
        <v/>
      </c>
      <c r="Y120">
        <f>HYPERLINK("https://klasma.github.io/Logging_0380/klagomål/A 5750-2023 FSC-klagomål.docx", "A 5750-2023")</f>
        <v/>
      </c>
      <c r="Z120">
        <f>HYPERLINK("https://klasma.github.io/Logging_0380/klagomålsmail/A 5750-2023 FSC-klagomål mail.docx", "A 5750-2023")</f>
        <v/>
      </c>
      <c r="AA120">
        <f>HYPERLINK("https://klasma.github.io/Logging_0380/tillsyn/A 5750-2023 tillsynsbegäran.docx", "A 5750-2023")</f>
        <v/>
      </c>
      <c r="AB120">
        <f>HYPERLINK("https://klasma.github.io/Logging_0380/tillsynsmail/A 5750-2023 tillsynsbegäran mail.docx", "A 5750-2023")</f>
        <v/>
      </c>
    </row>
    <row r="121" ht="15" customHeight="1">
      <c r="A121" t="inlineStr">
        <is>
          <t>A 25729-2024</t>
        </is>
      </c>
      <c r="B121" t="inlineStr">
        <is>
          <t>avverkningsanmälan</t>
        </is>
      </c>
      <c r="C121" t="inlineStr">
        <is>
          <t>Föryngringsavverkning</t>
        </is>
      </c>
      <c r="D121" s="1" t="n">
        <v>45464</v>
      </c>
      <c r="E121" s="1" t="n">
        <v>46222</v>
      </c>
      <c r="F121" t="inlineStr">
        <is>
          <t>UPPSALA LÄN</t>
        </is>
      </c>
      <c r="G121" t="inlineStr">
        <is>
          <t>UPPSALA</t>
        </is>
      </c>
      <c r="I121" t="n">
        <v>22.3</v>
      </c>
      <c r="J121" t="n">
        <v>0</v>
      </c>
      <c r="K121" t="n">
        <v>1</v>
      </c>
      <c r="L121" t="n">
        <v>1</v>
      </c>
      <c r="M121" t="n">
        <v>0</v>
      </c>
      <c r="N121" t="n">
        <v>0</v>
      </c>
      <c r="O121" t="n">
        <v>0</v>
      </c>
      <c r="P121" t="n">
        <v>0</v>
      </c>
      <c r="Q121" t="n">
        <v>1</v>
      </c>
      <c r="R121" t="n">
        <v>0</v>
      </c>
      <c r="S121" t="n">
        <v>2</v>
      </c>
      <c r="T121" t="n">
        <v>2</v>
      </c>
      <c r="U121" s="2" t="inlineStr">
        <is>
          <t>Ullticka
Bronshjon</t>
        </is>
      </c>
      <c r="V121">
        <f>HYPERLINK("https://klasma.github.io/Logging_0380/artfynd/A 25729-2024 artfynd.xlsx", "A 25729-2024")</f>
        <v/>
      </c>
      <c r="W121">
        <f>HYPERLINK("https://klasma.github.io/Logging_0380/kartor/A 25729-2024 karta.png", "A 25729-2024")</f>
        <v/>
      </c>
      <c r="Y121">
        <f>HYPERLINK("https://klasma.github.io/Logging_0380/klagomål/A 25729-2024 FSC-klagomål.docx", "A 25729-2024")</f>
        <v/>
      </c>
      <c r="Z121">
        <f>HYPERLINK("https://klasma.github.io/Logging_0380/klagomålsmail/A 25729-2024 FSC-klagomål mail.docx", "A 25729-2024")</f>
        <v/>
      </c>
      <c r="AA121">
        <f>HYPERLINK("https://klasma.github.io/Logging_0380/tillsyn/A 25729-2024 tillsynsbegäran.docx", "A 25729-2024")</f>
        <v/>
      </c>
      <c r="AB121">
        <f>HYPERLINK("https://klasma.github.io/Logging_0380/tillsynsmail/A 25729-2024 tillsynsbegäran mail.docx", "A 25729-2024")</f>
        <v/>
      </c>
    </row>
    <row r="122" ht="15" customHeight="1">
      <c r="A122" t="inlineStr">
        <is>
          <t>A 6999-2023</t>
        </is>
      </c>
      <c r="B122" t="inlineStr">
        <is>
          <t>avverkningsanmälan</t>
        </is>
      </c>
      <c r="C122" t="inlineStr">
        <is>
          <t>Föryngringsavverkning</t>
        </is>
      </c>
      <c r="D122" s="1" t="n">
        <v>44967</v>
      </c>
      <c r="E122" s="1" t="n">
        <v>46222</v>
      </c>
      <c r="F122" t="inlineStr">
        <is>
          <t>UPPSALA LÄN</t>
        </is>
      </c>
      <c r="G122" t="inlineStr">
        <is>
          <t>UPPSALA</t>
        </is>
      </c>
      <c r="I122" t="n">
        <v>1</v>
      </c>
      <c r="J122" t="n">
        <v>2</v>
      </c>
      <c r="K122" t="n">
        <v>0</v>
      </c>
      <c r="L122" t="n">
        <v>0</v>
      </c>
      <c r="M122" t="n">
        <v>0</v>
      </c>
      <c r="N122" t="n">
        <v>0</v>
      </c>
      <c r="O122" t="n">
        <v>1</v>
      </c>
      <c r="P122" t="n">
        <v>0</v>
      </c>
      <c r="Q122" t="n">
        <v>1</v>
      </c>
      <c r="R122" t="n">
        <v>1</v>
      </c>
      <c r="S122" t="n">
        <v>2</v>
      </c>
      <c r="T122" t="n">
        <v>2</v>
      </c>
      <c r="U122" s="2" t="inlineStr">
        <is>
          <t>Ortolansparv
Törnskata</t>
        </is>
      </c>
      <c r="V122">
        <f>HYPERLINK("https://klasma.github.io/Logging_0380/artfynd/A 6999-2023 artfynd.xlsx", "A 6999-2023")</f>
        <v/>
      </c>
      <c r="W122">
        <f>HYPERLINK("https://klasma.github.io/Logging_0380/kartor/A 6999-2023 karta.png", "A 6999-2023")</f>
        <v/>
      </c>
      <c r="Y122">
        <f>HYPERLINK("https://klasma.github.io/Logging_0380/klagomål/A 6999-2023 FSC-klagomål.docx", "A 6999-2023")</f>
        <v/>
      </c>
      <c r="Z122">
        <f>HYPERLINK("https://klasma.github.io/Logging_0380/klagomålsmail/A 6999-2023 FSC-klagomål mail.docx", "A 6999-2023")</f>
        <v/>
      </c>
      <c r="AA122">
        <f>HYPERLINK("https://klasma.github.io/Logging_0380/tillsyn/A 6999-2023 tillsynsbegäran.docx", "A 6999-2023")</f>
        <v/>
      </c>
      <c r="AB122">
        <f>HYPERLINK("https://klasma.github.io/Logging_0380/tillsynsmail/A 6999-2023 tillsynsbegäran mail.docx", "A 6999-2023")</f>
        <v/>
      </c>
      <c r="AC122">
        <f>HYPERLINK("https://klasma.github.io/Logging_0380/fåglar/A 6999-2023 prioriterade fågelarter.docx", "A 6999-2023")</f>
        <v/>
      </c>
    </row>
    <row r="123" ht="15" customHeight="1">
      <c r="A123" t="inlineStr">
        <is>
          <t>A 44675-2023</t>
        </is>
      </c>
      <c r="B123" t="inlineStr">
        <is>
          <t>avverkningsanmälan</t>
        </is>
      </c>
      <c r="C123" t="inlineStr">
        <is>
          <t>Föryngringsavverkning</t>
        </is>
      </c>
      <c r="D123" s="1" t="n">
        <v>45189</v>
      </c>
      <c r="E123" s="1" t="n">
        <v>46222</v>
      </c>
      <c r="F123" t="inlineStr">
        <is>
          <t>UPPSALA LÄN</t>
        </is>
      </c>
      <c r="G123" t="inlineStr">
        <is>
          <t>UPPSALA</t>
        </is>
      </c>
      <c r="I123" t="n">
        <v>7.1</v>
      </c>
      <c r="J123" t="n">
        <v>2</v>
      </c>
      <c r="K123" t="n">
        <v>0</v>
      </c>
      <c r="L123" t="n">
        <v>1</v>
      </c>
      <c r="M123" t="n">
        <v>1</v>
      </c>
      <c r="N123" t="n">
        <v>0</v>
      </c>
      <c r="O123" t="n">
        <v>0</v>
      </c>
      <c r="P123" t="n">
        <v>0</v>
      </c>
      <c r="Q123" t="n">
        <v>2</v>
      </c>
      <c r="R123" t="n">
        <v>1</v>
      </c>
      <c r="S123" t="n">
        <v>2</v>
      </c>
      <c r="T123" t="n">
        <v>21</v>
      </c>
      <c r="U123" s="2" t="inlineStr">
        <is>
          <t>Knärot
Talltita</t>
        </is>
      </c>
      <c r="V123">
        <f>HYPERLINK("https://klasma.github.io/Logging_0380/artfynd/A 44675-2023 artfynd.xlsx", "A 44675-2023")</f>
        <v/>
      </c>
      <c r="W123">
        <f>HYPERLINK("https://klasma.github.io/Logging_0380/kartor/A 44675-2023 karta.png", "A 44675-2023")</f>
        <v/>
      </c>
      <c r="X123">
        <f>HYPERLINK("https://klasma.github.io/Logging_0380/knärot/A 44675-2023 karta knärot.png", "A 44675-2023")</f>
        <v/>
      </c>
      <c r="Y123">
        <f>HYPERLINK("https://klasma.github.io/Logging_0380/klagomål/A 44675-2023 FSC-klagomål.docx", "A 44675-2023")</f>
        <v/>
      </c>
      <c r="Z123">
        <f>HYPERLINK("https://klasma.github.io/Logging_0380/klagomålsmail/A 44675-2023 FSC-klagomål mail.docx", "A 44675-2023")</f>
        <v/>
      </c>
      <c r="AA123">
        <f>HYPERLINK("https://klasma.github.io/Logging_0380/tillsyn/A 44675-2023 tillsynsbegäran.docx", "A 44675-2023")</f>
        <v/>
      </c>
      <c r="AB123">
        <f>HYPERLINK("https://klasma.github.io/Logging_0380/tillsynsmail/A 44675-2023 tillsynsbegäran mail.docx", "A 44675-2023")</f>
        <v/>
      </c>
      <c r="AC123">
        <f>HYPERLINK("https://klasma.github.io/Logging_0380/fåglar/A 44675-2023 prioriterade fågelarter.docx", "A 44675-2023")</f>
        <v/>
      </c>
    </row>
    <row r="124" ht="15" customHeight="1">
      <c r="A124" t="inlineStr">
        <is>
          <t>A 35260-2025</t>
        </is>
      </c>
      <c r="B124" t="inlineStr">
        <is>
          <t>avverkningsanmälan</t>
        </is>
      </c>
      <c r="C124" t="inlineStr">
        <is>
          <t>Föryngringsavverkning</t>
        </is>
      </c>
      <c r="D124" s="1" t="n">
        <v>45853</v>
      </c>
      <c r="E124" s="1" t="n">
        <v>46222</v>
      </c>
      <c r="F124" t="inlineStr">
        <is>
          <t>UPPSALA LÄN</t>
        </is>
      </c>
      <c r="G124" t="inlineStr">
        <is>
          <t>UPPSALA</t>
        </is>
      </c>
      <c r="I124" t="n">
        <v>7.3</v>
      </c>
      <c r="J124" t="n">
        <v>0</v>
      </c>
      <c r="K124" t="n">
        <v>1</v>
      </c>
      <c r="L124" t="n">
        <v>1</v>
      </c>
      <c r="M124" t="n">
        <v>0</v>
      </c>
      <c r="N124" t="n">
        <v>0</v>
      </c>
      <c r="O124" t="n">
        <v>0</v>
      </c>
      <c r="P124" t="n">
        <v>0</v>
      </c>
      <c r="Q124" t="n">
        <v>1</v>
      </c>
      <c r="R124" t="n">
        <v>0</v>
      </c>
      <c r="S124" t="n">
        <v>2</v>
      </c>
      <c r="T124" t="n">
        <v>3</v>
      </c>
      <c r="U124" s="2" t="inlineStr">
        <is>
          <t>Gultoppig fingersvamp
Svavelriska</t>
        </is>
      </c>
      <c r="V124">
        <f>HYPERLINK("https://klasma.github.io/Logging_0380/artfynd/A 35260-2025 artfynd.xlsx", "A 35260-2025")</f>
        <v/>
      </c>
      <c r="W124">
        <f>HYPERLINK("https://klasma.github.io/Logging_0380/kartor/A 35260-2025 karta.png", "A 35260-2025")</f>
        <v/>
      </c>
      <c r="Y124">
        <f>HYPERLINK("https://klasma.github.io/Logging_0380/klagomål/A 35260-2025 FSC-klagomål.docx", "A 35260-2025")</f>
        <v/>
      </c>
      <c r="Z124">
        <f>HYPERLINK("https://klasma.github.io/Logging_0380/klagomålsmail/A 35260-2025 FSC-klagomål mail.docx", "A 35260-2025")</f>
        <v/>
      </c>
      <c r="AA124">
        <f>HYPERLINK("https://klasma.github.io/Logging_0380/tillsyn/A 35260-2025 tillsynsbegäran.docx", "A 35260-2025")</f>
        <v/>
      </c>
      <c r="AB124">
        <f>HYPERLINK("https://klasma.github.io/Logging_0380/tillsynsmail/A 35260-2025 tillsynsbegäran mail.docx", "A 35260-2025")</f>
        <v/>
      </c>
    </row>
    <row r="125" ht="15" customHeight="1">
      <c r="A125" t="inlineStr">
        <is>
          <t>A 51158-2025</t>
        </is>
      </c>
      <c r="B125" t="inlineStr">
        <is>
          <t>avverkningsanmälan</t>
        </is>
      </c>
      <c r="C125" t="inlineStr">
        <is>
          <t>Föryngringsavverkning</t>
        </is>
      </c>
      <c r="D125" s="1" t="n">
        <v>45947</v>
      </c>
      <c r="E125" s="1" t="n">
        <v>46222</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s="2" t="inlineStr">
        <is>
          <t>Liljekonvalj
Vitsippa</t>
        </is>
      </c>
      <c r="V125">
        <f>HYPERLINK("https://klasma.github.io/Logging_0380/artfynd/A 51158-2025 artfynd.xlsx", "A 51158-2025")</f>
        <v/>
      </c>
      <c r="W125">
        <f>HYPERLINK("https://klasma.github.io/Logging_0380/kartor/A 51158-2025 karta.png", "A 51158-2025")</f>
        <v/>
      </c>
      <c r="Y125">
        <f>HYPERLINK("https://klasma.github.io/Logging_0380/klagomål/A 51158-2025 FSC-klagomål.docx", "A 51158-2025")</f>
        <v/>
      </c>
      <c r="Z125">
        <f>HYPERLINK("https://klasma.github.io/Logging_0380/klagomålsmail/A 51158-2025 FSC-klagomål mail.docx", "A 51158-2025")</f>
        <v/>
      </c>
      <c r="AA125">
        <f>HYPERLINK("https://klasma.github.io/Logging_0380/tillsyn/A 51158-2025 tillsynsbegäran.docx", "A 51158-2025")</f>
        <v/>
      </c>
      <c r="AB125">
        <f>HYPERLINK("https://klasma.github.io/Logging_0380/tillsynsmail/A 51158-2025 tillsynsbegäran mail.docx", "A 51158-2025")</f>
        <v/>
      </c>
    </row>
    <row r="126" ht="15" customHeight="1">
      <c r="A126" t="inlineStr">
        <is>
          <t>A 53589-2025</t>
        </is>
      </c>
      <c r="B126" t="inlineStr">
        <is>
          <t>avverkningsanmälan</t>
        </is>
      </c>
      <c r="C126" t="inlineStr">
        <is>
          <t>Föryngringsavverkning</t>
        </is>
      </c>
      <c r="D126" s="1" t="n">
        <v>45960</v>
      </c>
      <c r="E126" s="1" t="n">
        <v>46222</v>
      </c>
      <c r="F126" t="inlineStr">
        <is>
          <t>UPPSALA LÄN</t>
        </is>
      </c>
      <c r="G126" t="inlineStr">
        <is>
          <t>UPPSALA</t>
        </is>
      </c>
      <c r="I126" t="n">
        <v>9.699999999999999</v>
      </c>
      <c r="J126" t="n">
        <v>1</v>
      </c>
      <c r="K126" t="n">
        <v>0</v>
      </c>
      <c r="L126" t="n">
        <v>1</v>
      </c>
      <c r="M126" t="n">
        <v>0</v>
      </c>
      <c r="N126" t="n">
        <v>0</v>
      </c>
      <c r="O126" t="n">
        <v>0</v>
      </c>
      <c r="P126" t="n">
        <v>0</v>
      </c>
      <c r="Q126" t="n">
        <v>1</v>
      </c>
      <c r="R126" t="n">
        <v>0</v>
      </c>
      <c r="S126" t="n">
        <v>2</v>
      </c>
      <c r="T126" t="n">
        <v>4</v>
      </c>
      <c r="U126" s="2" t="inlineStr">
        <is>
          <t>Vedtrappmossa
Spillkråka</t>
        </is>
      </c>
      <c r="V126">
        <f>HYPERLINK("https://klasma.github.io/Logging_0380/artfynd/A 53589-2025 artfynd.xlsx", "A 53589-2025")</f>
        <v/>
      </c>
      <c r="W126">
        <f>HYPERLINK("https://klasma.github.io/Logging_0380/kartor/A 53589-2025 karta.png", "A 53589-2025")</f>
        <v/>
      </c>
      <c r="Y126">
        <f>HYPERLINK("https://klasma.github.io/Logging_0380/klagomål/A 53589-2025 FSC-klagomål.docx", "A 53589-2025")</f>
        <v/>
      </c>
      <c r="Z126">
        <f>HYPERLINK("https://klasma.github.io/Logging_0380/klagomålsmail/A 53589-2025 FSC-klagomål mail.docx", "A 53589-2025")</f>
        <v/>
      </c>
      <c r="AA126">
        <f>HYPERLINK("https://klasma.github.io/Logging_0380/tillsyn/A 53589-2025 tillsynsbegäran.docx", "A 53589-2025")</f>
        <v/>
      </c>
      <c r="AB126">
        <f>HYPERLINK("https://klasma.github.io/Logging_0380/tillsynsmail/A 53589-2025 tillsynsbegäran mail.docx", "A 53589-2025")</f>
        <v/>
      </c>
      <c r="AC126">
        <f>HYPERLINK("https://klasma.github.io/Logging_0380/fåglar/A 53589-2025 prioriterade fågelarter.docx", "A 53589-2025")</f>
        <v/>
      </c>
    </row>
    <row r="127" ht="15" customHeight="1">
      <c r="A127" t="inlineStr">
        <is>
          <t>A 39933-2023</t>
        </is>
      </c>
      <c r="B127" t="inlineStr">
        <is>
          <t>avverkningsanmälan</t>
        </is>
      </c>
      <c r="C127" t="inlineStr">
        <is>
          <t>Föryngringsavverkning</t>
        </is>
      </c>
      <c r="D127" s="1" t="n">
        <v>45168</v>
      </c>
      <c r="E127" s="1" t="n">
        <v>46222</v>
      </c>
      <c r="F127" t="inlineStr">
        <is>
          <t>UPPSALA LÄN</t>
        </is>
      </c>
      <c r="G127" t="inlineStr">
        <is>
          <t>UPPSALA</t>
        </is>
      </c>
      <c r="H127" t="inlineStr">
        <is>
          <t>Holmen skog AB</t>
        </is>
      </c>
      <c r="I127" t="n">
        <v>6.3</v>
      </c>
      <c r="J127" t="n">
        <v>2</v>
      </c>
      <c r="K127" t="n">
        <v>0</v>
      </c>
      <c r="L127" t="n">
        <v>1</v>
      </c>
      <c r="M127" t="n">
        <v>0</v>
      </c>
      <c r="N127" t="n">
        <v>0</v>
      </c>
      <c r="O127" t="n">
        <v>0</v>
      </c>
      <c r="P127" t="n">
        <v>0</v>
      </c>
      <c r="Q127" t="n">
        <v>1</v>
      </c>
      <c r="R127" t="n">
        <v>0</v>
      </c>
      <c r="S127" t="n">
        <v>2</v>
      </c>
      <c r="T127" t="n">
        <v>2</v>
      </c>
      <c r="U127" s="2" t="inlineStr">
        <is>
          <t>Entita
Spillkråka</t>
        </is>
      </c>
      <c r="V127">
        <f>HYPERLINK("https://klasma.github.io/Logging_0380/artfynd/A 39933-2023 artfynd.xlsx", "A 39933-2023")</f>
        <v/>
      </c>
      <c r="W127">
        <f>HYPERLINK("https://klasma.github.io/Logging_0380/kartor/A 39933-2023 karta.png", "A 39933-2023")</f>
        <v/>
      </c>
      <c r="Y127">
        <f>HYPERLINK("https://klasma.github.io/Logging_0380/klagomål/A 39933-2023 FSC-klagomål.docx", "A 39933-2023")</f>
        <v/>
      </c>
      <c r="Z127">
        <f>HYPERLINK("https://klasma.github.io/Logging_0380/klagomålsmail/A 39933-2023 FSC-klagomål mail.docx", "A 39933-2023")</f>
        <v/>
      </c>
      <c r="AA127">
        <f>HYPERLINK("https://klasma.github.io/Logging_0380/tillsyn/A 39933-2023 tillsynsbegäran.docx", "A 39933-2023")</f>
        <v/>
      </c>
      <c r="AB127">
        <f>HYPERLINK("https://klasma.github.io/Logging_0380/tillsynsmail/A 39933-2023 tillsynsbegäran mail.docx", "A 39933-2023")</f>
        <v/>
      </c>
      <c r="AC127">
        <f>HYPERLINK("https://klasma.github.io/Logging_0380/fåglar/A 39933-2023 prioriterade fågelarter.docx", "A 39933-2023")</f>
        <v/>
      </c>
    </row>
    <row r="128" ht="15" customHeight="1">
      <c r="A128" t="inlineStr">
        <is>
          <t>A 51935-2023</t>
        </is>
      </c>
      <c r="B128" t="inlineStr">
        <is>
          <t>avverkningsanmälan</t>
        </is>
      </c>
      <c r="C128" t="inlineStr">
        <is>
          <t>Föryngringsavverkning</t>
        </is>
      </c>
      <c r="D128" s="1" t="n">
        <v>45223</v>
      </c>
      <c r="E128" s="1" t="n">
        <v>46222</v>
      </c>
      <c r="F128" t="inlineStr">
        <is>
          <t>UPPSALA LÄN</t>
        </is>
      </c>
      <c r="G128" t="inlineStr">
        <is>
          <t>UPPSALA</t>
        </is>
      </c>
      <c r="I128" t="n">
        <v>4.8</v>
      </c>
      <c r="J128" t="n">
        <v>0</v>
      </c>
      <c r="K128" t="n">
        <v>1</v>
      </c>
      <c r="L128" t="n">
        <v>0</v>
      </c>
      <c r="M128" t="n">
        <v>1</v>
      </c>
      <c r="N128" t="n">
        <v>0</v>
      </c>
      <c r="O128" t="n">
        <v>0</v>
      </c>
      <c r="P128" t="n">
        <v>0</v>
      </c>
      <c r="Q128" t="n">
        <v>1</v>
      </c>
      <c r="R128" t="n">
        <v>1</v>
      </c>
      <c r="S128" t="n">
        <v>2</v>
      </c>
      <c r="T128" t="n">
        <v>2</v>
      </c>
      <c r="U128" s="2" t="inlineStr">
        <is>
          <t>Ekpricklav
Fransig jordstjärna</t>
        </is>
      </c>
      <c r="V128">
        <f>HYPERLINK("https://klasma.github.io/Logging_0380/artfynd/A 51935-2023 artfynd.xlsx", "A 51935-2023")</f>
        <v/>
      </c>
      <c r="W128">
        <f>HYPERLINK("https://klasma.github.io/Logging_0380/kartor/A 51935-2023 karta.png", "A 51935-2023")</f>
        <v/>
      </c>
      <c r="Y128">
        <f>HYPERLINK("https://klasma.github.io/Logging_0380/klagomål/A 51935-2023 FSC-klagomål.docx", "A 51935-2023")</f>
        <v/>
      </c>
      <c r="Z128">
        <f>HYPERLINK("https://klasma.github.io/Logging_0380/klagomålsmail/A 51935-2023 FSC-klagomål mail.docx", "A 51935-2023")</f>
        <v/>
      </c>
      <c r="AA128">
        <f>HYPERLINK("https://klasma.github.io/Logging_0380/tillsyn/A 51935-2023 tillsynsbegäran.docx", "A 51935-2023")</f>
        <v/>
      </c>
      <c r="AB128">
        <f>HYPERLINK("https://klasma.github.io/Logging_0380/tillsynsmail/A 51935-2023 tillsynsbegäran mail.docx", "A 51935-2023")</f>
        <v/>
      </c>
    </row>
    <row r="129" ht="15" customHeight="1">
      <c r="A129" t="inlineStr">
        <is>
          <t>A 42134-2025</t>
        </is>
      </c>
      <c r="B129" t="inlineStr">
        <is>
          <t>avverkningsanmälan</t>
        </is>
      </c>
      <c r="C129" t="inlineStr">
        <is>
          <t>Avverkning för annat ändamål</t>
        </is>
      </c>
      <c r="D129" s="1" t="n">
        <v>45904</v>
      </c>
      <c r="E129" s="1" t="n">
        <v>46222</v>
      </c>
      <c r="F129" t="inlineStr">
        <is>
          <t>UPPSALA LÄN</t>
        </is>
      </c>
      <c r="G129" t="inlineStr">
        <is>
          <t>UPPSALA</t>
        </is>
      </c>
      <c r="I129" t="n">
        <v>0.7</v>
      </c>
      <c r="J129" t="n">
        <v>2</v>
      </c>
      <c r="K129" t="n">
        <v>0</v>
      </c>
      <c r="L129" t="n">
        <v>1</v>
      </c>
      <c r="M129" t="n">
        <v>0</v>
      </c>
      <c r="N129" t="n">
        <v>0</v>
      </c>
      <c r="O129" t="n">
        <v>0</v>
      </c>
      <c r="P129" t="n">
        <v>0</v>
      </c>
      <c r="Q129" t="n">
        <v>1</v>
      </c>
      <c r="R129" t="n">
        <v>0</v>
      </c>
      <c r="S129" t="n">
        <v>2</v>
      </c>
      <c r="T129" t="n">
        <v>2</v>
      </c>
      <c r="U129" s="2" t="inlineStr">
        <is>
          <t>Nordfladdermus
Större vattensalamander</t>
        </is>
      </c>
      <c r="V129">
        <f>HYPERLINK("https://klasma.github.io/Logging_0380/artfynd/A 42134-2025 artfynd.xlsx", "A 42134-2025")</f>
        <v/>
      </c>
      <c r="W129">
        <f>HYPERLINK("https://klasma.github.io/Logging_0380/kartor/A 42134-2025 karta.png", "A 42134-2025")</f>
        <v/>
      </c>
      <c r="Y129">
        <f>HYPERLINK("https://klasma.github.io/Logging_0380/klagomål/A 42134-2025 FSC-klagomål.docx", "A 42134-2025")</f>
        <v/>
      </c>
      <c r="Z129">
        <f>HYPERLINK("https://klasma.github.io/Logging_0380/klagomålsmail/A 42134-2025 FSC-klagomål mail.docx", "A 42134-2025")</f>
        <v/>
      </c>
      <c r="AA129">
        <f>HYPERLINK("https://klasma.github.io/Logging_0380/tillsyn/A 42134-2025 tillsynsbegäran.docx", "A 42134-2025")</f>
        <v/>
      </c>
      <c r="AB129">
        <f>HYPERLINK("https://klasma.github.io/Logging_0380/tillsynsmail/A 42134-2025 tillsynsbegäran mail.docx", "A 42134-2025")</f>
        <v/>
      </c>
    </row>
    <row r="130" ht="15" customHeight="1">
      <c r="A130" t="inlineStr">
        <is>
          <t>A 844-2025</t>
        </is>
      </c>
      <c r="B130" t="inlineStr">
        <is>
          <t>avverkningsanmälan</t>
        </is>
      </c>
      <c r="C130" t="inlineStr">
        <is>
          <t>Föryngringsavverkning</t>
        </is>
      </c>
      <c r="D130" s="1" t="n">
        <v>45665</v>
      </c>
      <c r="E130" s="1" t="n">
        <v>46222</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s="2" t="inlineStr">
        <is>
          <t>Blåsippa
Tjäder</t>
        </is>
      </c>
      <c r="V130">
        <f>HYPERLINK("https://klasma.github.io/Logging_0380/artfynd/A 844-2025 artfynd.xlsx", "A 844-2025")</f>
        <v/>
      </c>
      <c r="W130">
        <f>HYPERLINK("https://klasma.github.io/Logging_0380/kartor/A 844-2025 karta.png", "A 844-2025")</f>
        <v/>
      </c>
      <c r="Y130">
        <f>HYPERLINK("https://klasma.github.io/Logging_0380/klagomål/A 844-2025 FSC-klagomål.docx", "A 844-2025")</f>
        <v/>
      </c>
      <c r="Z130">
        <f>HYPERLINK("https://klasma.github.io/Logging_0380/klagomålsmail/A 844-2025 FSC-klagomål mail.docx", "A 844-2025")</f>
        <v/>
      </c>
      <c r="AA130">
        <f>HYPERLINK("https://klasma.github.io/Logging_0380/tillsyn/A 844-2025 tillsynsbegäran.docx", "A 844-2025")</f>
        <v/>
      </c>
      <c r="AB130">
        <f>HYPERLINK("https://klasma.github.io/Logging_0380/tillsynsmail/A 844-2025 tillsynsbegäran mail.docx", "A 844-2025")</f>
        <v/>
      </c>
      <c r="AC130">
        <f>HYPERLINK("https://klasma.github.io/Logging_0380/fåglar/A 844-2025 prioriterade fågelarter.docx", "A 844-2025")</f>
        <v/>
      </c>
    </row>
    <row r="131" ht="15" customHeight="1">
      <c r="A131" t="inlineStr">
        <is>
          <t>A 46634-2022</t>
        </is>
      </c>
      <c r="B131" t="inlineStr">
        <is>
          <t>avverkningsanmälan</t>
        </is>
      </c>
      <c r="C131" t="inlineStr">
        <is>
          <t>Föryngringsavverkning</t>
        </is>
      </c>
      <c r="D131" s="1" t="n">
        <v>44849</v>
      </c>
      <c r="E131" s="1" t="n">
        <v>46222</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s="2" t="inlineStr">
        <is>
          <t>Fjällig taggsvamp s.str.
Jättekamskivling</t>
        </is>
      </c>
      <c r="V131">
        <f>HYPERLINK("https://klasma.github.io/Logging_0380/artfynd/A 46634-2022 artfynd.xlsx", "A 46634-2022")</f>
        <v/>
      </c>
      <c r="W131">
        <f>HYPERLINK("https://klasma.github.io/Logging_0380/kartor/A 46634-2022 karta.png", "A 46634-2022")</f>
        <v/>
      </c>
      <c r="Y131">
        <f>HYPERLINK("https://klasma.github.io/Logging_0380/klagomål/A 46634-2022 FSC-klagomål.docx", "A 46634-2022")</f>
        <v/>
      </c>
      <c r="Z131">
        <f>HYPERLINK("https://klasma.github.io/Logging_0380/klagomålsmail/A 46634-2022 FSC-klagomål mail.docx", "A 46634-2022")</f>
        <v/>
      </c>
      <c r="AA131">
        <f>HYPERLINK("https://klasma.github.io/Logging_0380/tillsyn/A 46634-2022 tillsynsbegäran.docx", "A 46634-2022")</f>
        <v/>
      </c>
      <c r="AB131">
        <f>HYPERLINK("https://klasma.github.io/Logging_0380/tillsynsmail/A 46634-2022 tillsynsbegäran mail.docx", "A 46634-2022")</f>
        <v/>
      </c>
    </row>
    <row r="132" ht="15" customHeight="1">
      <c r="A132" t="inlineStr">
        <is>
          <t>A 6998-2023</t>
        </is>
      </c>
      <c r="B132" t="inlineStr">
        <is>
          <t>avverkningsanmälan</t>
        </is>
      </c>
      <c r="C132" t="inlineStr">
        <is>
          <t>Föryngringsavverkning</t>
        </is>
      </c>
      <c r="D132" s="1" t="n">
        <v>44967</v>
      </c>
      <c r="E132" s="1" t="n">
        <v>46222</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s="2" t="inlineStr">
        <is>
          <t>Blåsippa
Nattviol</t>
        </is>
      </c>
      <c r="V132">
        <f>HYPERLINK("https://klasma.github.io/Logging_0380/artfynd/A 6998-2023 artfynd.xlsx", "A 6998-2023")</f>
        <v/>
      </c>
      <c r="W132">
        <f>HYPERLINK("https://klasma.github.io/Logging_0380/kartor/A 6998-2023 karta.png", "A 6998-2023")</f>
        <v/>
      </c>
      <c r="Y132">
        <f>HYPERLINK("https://klasma.github.io/Logging_0380/klagomål/A 6998-2023 FSC-klagomål.docx", "A 6998-2023")</f>
        <v/>
      </c>
      <c r="Z132">
        <f>HYPERLINK("https://klasma.github.io/Logging_0380/klagomålsmail/A 6998-2023 FSC-klagomål mail.docx", "A 6998-2023")</f>
        <v/>
      </c>
      <c r="AA132">
        <f>HYPERLINK("https://klasma.github.io/Logging_0380/tillsyn/A 6998-2023 tillsynsbegäran.docx", "A 6998-2023")</f>
        <v/>
      </c>
      <c r="AB132">
        <f>HYPERLINK("https://klasma.github.io/Logging_0380/tillsynsmail/A 6998-2023 tillsynsbegäran mail.docx", "A 6998-2023")</f>
        <v/>
      </c>
    </row>
    <row r="133" ht="15" customHeight="1">
      <c r="A133" t="inlineStr">
        <is>
          <t>A 5755-2025</t>
        </is>
      </c>
      <c r="B133" t="inlineStr">
        <is>
          <t>avverkningsanmälan</t>
        </is>
      </c>
      <c r="C133" t="inlineStr">
        <is>
          <t>Avverkning för att bevara och utveckla /försöksver</t>
        </is>
      </c>
      <c r="D133" s="1" t="n">
        <v>45694</v>
      </c>
      <c r="E133" s="1" t="n">
        <v>46222</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s="2" t="inlineStr">
        <is>
          <t>Fällmossa
Hasselticka</t>
        </is>
      </c>
      <c r="V133">
        <f>HYPERLINK("https://klasma.github.io/Logging_0380/artfynd/A 5755-2025 artfynd.xlsx", "A 5755-2025")</f>
        <v/>
      </c>
      <c r="W133">
        <f>HYPERLINK("https://klasma.github.io/Logging_0380/kartor/A 5755-2025 karta.png", "A 5755-2025")</f>
        <v/>
      </c>
      <c r="Y133">
        <f>HYPERLINK("https://klasma.github.io/Logging_0380/klagomål/A 5755-2025 FSC-klagomål.docx", "A 5755-2025")</f>
        <v/>
      </c>
      <c r="Z133">
        <f>HYPERLINK("https://klasma.github.io/Logging_0380/klagomålsmail/A 5755-2025 FSC-klagomål mail.docx", "A 5755-2025")</f>
        <v/>
      </c>
      <c r="AA133">
        <f>HYPERLINK("https://klasma.github.io/Logging_0380/tillsyn/A 5755-2025 tillsynsbegäran.docx", "A 5755-2025")</f>
        <v/>
      </c>
      <c r="AB133">
        <f>HYPERLINK("https://klasma.github.io/Logging_0380/tillsynsmail/A 5755-2025 tillsynsbegäran mail.docx", "A 5755-2025")</f>
        <v/>
      </c>
    </row>
    <row r="134" ht="15" customHeight="1">
      <c r="A134" t="inlineStr">
        <is>
          <t>A 20712-2025</t>
        </is>
      </c>
      <c r="B134" t="inlineStr">
        <is>
          <t>avverkningsanmälan</t>
        </is>
      </c>
      <c r="C134" t="inlineStr">
        <is>
          <t>Föryngringsavverkning</t>
        </is>
      </c>
      <c r="D134" s="1" t="n">
        <v>45776</v>
      </c>
      <c r="E134" s="1" t="n">
        <v>46222</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s="2" t="inlineStr">
        <is>
          <t>Gulpudrad spiklav
Blåsippa</t>
        </is>
      </c>
      <c r="V134">
        <f>HYPERLINK("https://klasma.github.io/Logging_0380/artfynd/A 20712-2025 artfynd.xlsx", "A 20712-2025")</f>
        <v/>
      </c>
      <c r="W134">
        <f>HYPERLINK("https://klasma.github.io/Logging_0380/kartor/A 20712-2025 karta.png", "A 20712-2025")</f>
        <v/>
      </c>
      <c r="Y134">
        <f>HYPERLINK("https://klasma.github.io/Logging_0380/klagomål/A 20712-2025 FSC-klagomål.docx", "A 20712-2025")</f>
        <v/>
      </c>
      <c r="Z134">
        <f>HYPERLINK("https://klasma.github.io/Logging_0380/klagomålsmail/A 20712-2025 FSC-klagomål mail.docx", "A 20712-2025")</f>
        <v/>
      </c>
      <c r="AA134">
        <f>HYPERLINK("https://klasma.github.io/Logging_0380/tillsyn/A 20712-2025 tillsynsbegäran.docx", "A 20712-2025")</f>
        <v/>
      </c>
      <c r="AB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46222</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s="2" t="inlineStr">
        <is>
          <t>Grönfink
Gulsparv</t>
        </is>
      </c>
      <c r="V135">
        <f>HYPERLINK("https://klasma.github.io/Logging_0380/artfynd/A 19539-2024 artfynd.xlsx", "A 19539-2024")</f>
        <v/>
      </c>
      <c r="W135">
        <f>HYPERLINK("https://klasma.github.io/Logging_0380/kartor/A 19539-2024 karta.png", "A 19539-2024")</f>
        <v/>
      </c>
      <c r="Y135">
        <f>HYPERLINK("https://klasma.github.io/Logging_0380/klagomål/A 19539-2024 FSC-klagomål.docx", "A 19539-2024")</f>
        <v/>
      </c>
      <c r="Z135">
        <f>HYPERLINK("https://klasma.github.io/Logging_0380/klagomålsmail/A 19539-2024 FSC-klagomål mail.docx", "A 19539-2024")</f>
        <v/>
      </c>
      <c r="AA135">
        <f>HYPERLINK("https://klasma.github.io/Logging_0380/tillsyn/A 19539-2024 tillsynsbegäran.docx", "A 19539-2024")</f>
        <v/>
      </c>
      <c r="AB135">
        <f>HYPERLINK("https://klasma.github.io/Logging_0380/tillsynsmail/A 19539-2024 tillsynsbegäran mail.docx", "A 19539-2024")</f>
        <v/>
      </c>
      <c r="AC135">
        <f>HYPERLINK("https://klasma.github.io/Logging_0380/fåglar/A 19539-2024 prioriterade fågelarter.docx", "A 19539-2024")</f>
        <v/>
      </c>
    </row>
    <row r="136" ht="15" customHeight="1">
      <c r="A136" t="inlineStr">
        <is>
          <t>S 1389-2022</t>
        </is>
      </c>
      <c r="B136" t="inlineStr">
        <is>
          <t>samrådsanmälan</t>
        </is>
      </c>
      <c r="C136" t="inlineStr">
        <is>
          <t>Skogsgödsling</t>
        </is>
      </c>
      <c r="D136" s="1" t="n">
        <v>44630</v>
      </c>
      <c r="E136" s="1" t="n">
        <v>46222</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s="2" t="inlineStr">
        <is>
          <t>Tallkötticka
Tjäder</t>
        </is>
      </c>
      <c r="V136">
        <f>HYPERLINK("https://klasma.github.io/Logging_0380/artfynd/S 1389-2022 artfynd.xlsx", "S 1389-2022")</f>
        <v/>
      </c>
      <c r="W136">
        <f>HYPERLINK("https://klasma.github.io/Logging_0380/kartor/S 1389-2022 karta.png", "S 1389-2022")</f>
        <v/>
      </c>
      <c r="Y136">
        <f>HYPERLINK("https://klasma.github.io/Logging_0380/klagomål/S 1389-2022 FSC-klagomål.docx", "S 1389-2022")</f>
        <v/>
      </c>
      <c r="Z136">
        <f>HYPERLINK("https://klasma.github.io/Logging_0380/klagomålsmail/S 1389-2022 FSC-klagomål mail.docx", "S 1389-2022")</f>
        <v/>
      </c>
      <c r="AA136">
        <f>HYPERLINK("https://klasma.github.io/Logging_0380/tillsyn/S 1389-2022 tillsynsbegäran.docx", "S 1389-2022")</f>
        <v/>
      </c>
      <c r="AB136">
        <f>HYPERLINK("https://klasma.github.io/Logging_0380/tillsynsmail/S 1389-2022 tillsynsbegäran mail.docx", "S 1389-2022")</f>
        <v/>
      </c>
      <c r="AC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46222</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s="2" t="inlineStr">
        <is>
          <t>Blåsippa
Tjäder</t>
        </is>
      </c>
      <c r="V137">
        <f>HYPERLINK("https://klasma.github.io/Logging_0380/artfynd/S 3086-2025 artfynd.xlsx", "S 3086-2025")</f>
        <v/>
      </c>
      <c r="W137">
        <f>HYPERLINK("https://klasma.github.io/Logging_0380/kartor/S 3086-2025 karta.png", "S 3086-2025")</f>
        <v/>
      </c>
      <c r="Y137">
        <f>HYPERLINK("https://klasma.github.io/Logging_0380/klagomål/S 3086-2025 FSC-klagomål.docx", "S 3086-2025")</f>
        <v/>
      </c>
      <c r="Z137">
        <f>HYPERLINK("https://klasma.github.io/Logging_0380/klagomålsmail/S 3086-2025 FSC-klagomål mail.docx", "S 3086-2025")</f>
        <v/>
      </c>
      <c r="AA137">
        <f>HYPERLINK("https://klasma.github.io/Logging_0380/tillsyn/S 3086-2025 tillsynsbegäran.docx", "S 3086-2025")</f>
        <v/>
      </c>
      <c r="AB137">
        <f>HYPERLINK("https://klasma.github.io/Logging_0380/tillsynsmail/S 3086-2025 tillsynsbegäran mail.docx", "S 3086-2025")</f>
        <v/>
      </c>
      <c r="AC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46222</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s="2" t="inlineStr">
        <is>
          <t>Törnskata</t>
        </is>
      </c>
      <c r="V138">
        <f>HYPERLINK("https://klasma.github.io/Logging_0380/artfynd/A 22645-2022 artfynd.xlsx", "A 22645-2022")</f>
        <v/>
      </c>
      <c r="W138">
        <f>HYPERLINK("https://klasma.github.io/Logging_0380/kartor/A 22645-2022 karta.png", "A 22645-2022")</f>
        <v/>
      </c>
      <c r="Y138">
        <f>HYPERLINK("https://klasma.github.io/Logging_0380/klagomål/A 22645-2022 FSC-klagomål.docx", "A 22645-2022")</f>
        <v/>
      </c>
      <c r="Z138">
        <f>HYPERLINK("https://klasma.github.io/Logging_0380/klagomålsmail/A 22645-2022 FSC-klagomål mail.docx", "A 22645-2022")</f>
        <v/>
      </c>
      <c r="AA138">
        <f>HYPERLINK("https://klasma.github.io/Logging_0380/tillsyn/A 22645-2022 tillsynsbegäran.docx", "A 22645-2022")</f>
        <v/>
      </c>
      <c r="AB138">
        <f>HYPERLINK("https://klasma.github.io/Logging_0380/tillsynsmail/A 22645-2022 tillsynsbegäran mail.docx", "A 22645-2022")</f>
        <v/>
      </c>
      <c r="AC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46222</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s="2" t="inlineStr">
        <is>
          <t>Rödbrun blekspik</t>
        </is>
      </c>
      <c r="V139">
        <f>HYPERLINK("https://klasma.github.io/Logging_0380/artfynd/A 14255-2022 artfynd.xlsx", "A 14255-2022")</f>
        <v/>
      </c>
      <c r="W139">
        <f>HYPERLINK("https://klasma.github.io/Logging_0380/kartor/A 14255-2022 karta.png", "A 14255-2022")</f>
        <v/>
      </c>
      <c r="Y139">
        <f>HYPERLINK("https://klasma.github.io/Logging_0380/klagomål/A 14255-2022 FSC-klagomål.docx", "A 14255-2022")</f>
        <v/>
      </c>
      <c r="Z139">
        <f>HYPERLINK("https://klasma.github.io/Logging_0380/klagomålsmail/A 14255-2022 FSC-klagomål mail.docx", "A 14255-2022")</f>
        <v/>
      </c>
      <c r="AA139">
        <f>HYPERLINK("https://klasma.github.io/Logging_0380/tillsyn/A 14255-2022 tillsynsbegäran.docx", "A 14255-2022")</f>
        <v/>
      </c>
      <c r="AB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46222</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s="2" t="inlineStr">
        <is>
          <t>Fältgentiana</t>
        </is>
      </c>
      <c r="V140">
        <f>HYPERLINK("https://klasma.github.io/Logging_0380/artfynd/A 71675-2021 artfynd.xlsx", "A 71675-2021")</f>
        <v/>
      </c>
      <c r="W140">
        <f>HYPERLINK("https://klasma.github.io/Logging_0380/kartor/A 71675-2021 karta.png", "A 71675-2021")</f>
        <v/>
      </c>
      <c r="Y140">
        <f>HYPERLINK("https://klasma.github.io/Logging_0380/klagomål/A 71675-2021 FSC-klagomål.docx", "A 71675-2021")</f>
        <v/>
      </c>
      <c r="Z140">
        <f>HYPERLINK("https://klasma.github.io/Logging_0380/klagomålsmail/A 71675-2021 FSC-klagomål mail.docx", "A 71675-2021")</f>
        <v/>
      </c>
      <c r="AA140">
        <f>HYPERLINK("https://klasma.github.io/Logging_0380/tillsyn/A 71675-2021 tillsynsbegäran.docx", "A 71675-2021")</f>
        <v/>
      </c>
      <c r="AB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46222</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s="2" t="inlineStr">
        <is>
          <t>Ängsskäreplattmal</t>
        </is>
      </c>
      <c r="V141">
        <f>HYPERLINK("https://klasma.github.io/Logging_0380/artfynd/A 65964-2021 artfynd.xlsx", "A 65964-2021")</f>
        <v/>
      </c>
      <c r="W141">
        <f>HYPERLINK("https://klasma.github.io/Logging_0380/kartor/A 65964-2021 karta.png", "A 65964-2021")</f>
        <v/>
      </c>
      <c r="Y141">
        <f>HYPERLINK("https://klasma.github.io/Logging_0380/klagomål/A 65964-2021 FSC-klagomål.docx", "A 65964-2021")</f>
        <v/>
      </c>
      <c r="Z141">
        <f>HYPERLINK("https://klasma.github.io/Logging_0380/klagomålsmail/A 65964-2021 FSC-klagomål mail.docx", "A 65964-2021")</f>
        <v/>
      </c>
      <c r="AA141">
        <f>HYPERLINK("https://klasma.github.io/Logging_0380/tillsyn/A 65964-2021 tillsynsbegäran.docx", "A 65964-2021")</f>
        <v/>
      </c>
      <c r="AB141">
        <f>HYPERLINK("https://klasma.github.io/Logging_0380/tillsynsmail/A 65964-2021 tillsynsbegäran mail.docx", "A 65964-2021")</f>
        <v/>
      </c>
    </row>
    <row r="142" ht="15" customHeight="1">
      <c r="A142" t="inlineStr">
        <is>
          <t>A 46069-2022</t>
        </is>
      </c>
      <c r="B142" t="inlineStr">
        <is>
          <t>avverkningsanmälan</t>
        </is>
      </c>
      <c r="C142" t="inlineStr">
        <is>
          <t>Föryngringsavverkning</t>
        </is>
      </c>
      <c r="D142" s="1" t="n">
        <v>44847</v>
      </c>
      <c r="E142" s="1" t="n">
        <v>46222</v>
      </c>
      <c r="F142" t="inlineStr">
        <is>
          <t>UPPSALA LÄN</t>
        </is>
      </c>
      <c r="G142" t="inlineStr">
        <is>
          <t>UPPSALA</t>
        </is>
      </c>
      <c r="I142" t="n">
        <v>2.2</v>
      </c>
      <c r="J142" t="n">
        <v>0</v>
      </c>
      <c r="K142" t="n">
        <v>0</v>
      </c>
      <c r="L142" t="n">
        <v>1</v>
      </c>
      <c r="M142" t="n">
        <v>0</v>
      </c>
      <c r="N142" t="n">
        <v>0</v>
      </c>
      <c r="O142" t="n">
        <v>0</v>
      </c>
      <c r="P142" t="n">
        <v>0</v>
      </c>
      <c r="Q142" t="n">
        <v>1</v>
      </c>
      <c r="R142" t="n">
        <v>0</v>
      </c>
      <c r="S142" t="n">
        <v>1</v>
      </c>
      <c r="T142" t="n">
        <v>1</v>
      </c>
      <c r="U142" s="2" t="inlineStr">
        <is>
          <t>Fjällig taggsvamp s.str.</t>
        </is>
      </c>
      <c r="V142">
        <f>HYPERLINK("https://klasma.github.io/Logging_0380/artfynd/A 46069-2022 artfynd.xlsx", "A 46069-2022")</f>
        <v/>
      </c>
      <c r="W142">
        <f>HYPERLINK("https://klasma.github.io/Logging_0380/kartor/A 46069-2022 karta.png", "A 46069-2022")</f>
        <v/>
      </c>
      <c r="Y142">
        <f>HYPERLINK("https://klasma.github.io/Logging_0380/klagomål/A 46069-2022 FSC-klagomål.docx", "A 46069-2022")</f>
        <v/>
      </c>
      <c r="Z142">
        <f>HYPERLINK("https://klasma.github.io/Logging_0380/klagomålsmail/A 46069-2022 FSC-klagomål mail.docx", "A 46069-2022")</f>
        <v/>
      </c>
      <c r="AA142">
        <f>HYPERLINK("https://klasma.github.io/Logging_0380/tillsyn/A 46069-2022 tillsynsbegäran.docx", "A 46069-2022")</f>
        <v/>
      </c>
      <c r="AB142">
        <f>HYPERLINK("https://klasma.github.io/Logging_0380/tillsynsmail/A 46069-2022 tillsynsbegäran mail.docx", "A 46069-2022")</f>
        <v/>
      </c>
    </row>
    <row r="143" ht="15" customHeight="1">
      <c r="A143" t="inlineStr">
        <is>
          <t>A 42622-2022</t>
        </is>
      </c>
      <c r="B143" t="inlineStr">
        <is>
          <t>avverkningsanmälan</t>
        </is>
      </c>
      <c r="C143" t="inlineStr">
        <is>
          <t>Föryngringsavverkning</t>
        </is>
      </c>
      <c r="D143" s="1" t="n">
        <v>44831</v>
      </c>
      <c r="E143" s="1" t="n">
        <v>46222</v>
      </c>
      <c r="F143" t="inlineStr">
        <is>
          <t>UPPSALA LÄN</t>
        </is>
      </c>
      <c r="G143" t="inlineStr">
        <is>
          <t>UPPSALA</t>
        </is>
      </c>
      <c r="I143" t="n">
        <v>2.4</v>
      </c>
      <c r="J143" t="n">
        <v>0</v>
      </c>
      <c r="K143" t="n">
        <v>0</v>
      </c>
      <c r="L143" t="n">
        <v>1</v>
      </c>
      <c r="M143" t="n">
        <v>0</v>
      </c>
      <c r="N143" t="n">
        <v>0</v>
      </c>
      <c r="O143" t="n">
        <v>0</v>
      </c>
      <c r="P143" t="n">
        <v>0</v>
      </c>
      <c r="Q143" t="n">
        <v>1</v>
      </c>
      <c r="R143" t="n">
        <v>0</v>
      </c>
      <c r="S143" t="n">
        <v>1</v>
      </c>
      <c r="T143" t="n">
        <v>1</v>
      </c>
      <c r="U143" s="2" t="inlineStr">
        <is>
          <t>Motaggsvamp</t>
        </is>
      </c>
      <c r="V143">
        <f>HYPERLINK("https://klasma.github.io/Logging_0380/artfynd/A 42622-2022 artfynd.xlsx", "A 42622-2022")</f>
        <v/>
      </c>
      <c r="W143">
        <f>HYPERLINK("https://klasma.github.io/Logging_0380/kartor/A 42622-2022 karta.png", "A 42622-2022")</f>
        <v/>
      </c>
      <c r="Y143">
        <f>HYPERLINK("https://klasma.github.io/Logging_0380/klagomål/A 42622-2022 FSC-klagomål.docx", "A 42622-2022")</f>
        <v/>
      </c>
      <c r="Z143">
        <f>HYPERLINK("https://klasma.github.io/Logging_0380/klagomålsmail/A 42622-2022 FSC-klagomål mail.docx", "A 42622-2022")</f>
        <v/>
      </c>
      <c r="AA143">
        <f>HYPERLINK("https://klasma.github.io/Logging_0380/tillsyn/A 42622-2022 tillsynsbegäran.docx", "A 42622-2022")</f>
        <v/>
      </c>
      <c r="AB143">
        <f>HYPERLINK("https://klasma.github.io/Logging_0380/tillsynsmail/A 42622-2022 tillsynsbegäran mail.docx", "A 42622-2022")</f>
        <v/>
      </c>
    </row>
    <row r="144" ht="15" customHeight="1">
      <c r="A144" t="inlineStr">
        <is>
          <t>A 56889-2022</t>
        </is>
      </c>
      <c r="B144" t="inlineStr">
        <is>
          <t>avverkningsanmälan</t>
        </is>
      </c>
      <c r="C144" t="inlineStr">
        <is>
          <t>Föryngringsavverkning</t>
        </is>
      </c>
      <c r="D144" s="1" t="n">
        <v>44894</v>
      </c>
      <c r="E144" s="1" t="n">
        <v>46222</v>
      </c>
      <c r="F144" t="inlineStr">
        <is>
          <t>UPPSALA LÄN</t>
        </is>
      </c>
      <c r="G144" t="inlineStr">
        <is>
          <t>UPPSALA</t>
        </is>
      </c>
      <c r="H144" t="inlineStr">
        <is>
          <t>Övriga Aktiebolag</t>
        </is>
      </c>
      <c r="I144" t="n">
        <v>21.6</v>
      </c>
      <c r="J144" t="n">
        <v>1</v>
      </c>
      <c r="K144" t="n">
        <v>0</v>
      </c>
      <c r="L144" t="n">
        <v>0</v>
      </c>
      <c r="M144" t="n">
        <v>0</v>
      </c>
      <c r="N144" t="n">
        <v>0</v>
      </c>
      <c r="O144" t="n">
        <v>0</v>
      </c>
      <c r="P144" t="n">
        <v>0</v>
      </c>
      <c r="Q144" t="n">
        <v>0</v>
      </c>
      <c r="R144" t="n">
        <v>0</v>
      </c>
      <c r="S144" t="n">
        <v>1</v>
      </c>
      <c r="T144" t="n">
        <v>1</v>
      </c>
      <c r="U144" s="2" t="inlineStr">
        <is>
          <t>Vanlig padda</t>
        </is>
      </c>
      <c r="V144">
        <f>HYPERLINK("https://klasma.github.io/Logging_0380/artfynd/A 56889-2022 artfynd.xlsx", "A 56889-2022")</f>
        <v/>
      </c>
      <c r="W144">
        <f>HYPERLINK("https://klasma.github.io/Logging_0380/kartor/A 56889-2022 karta.png", "A 56889-2022")</f>
        <v/>
      </c>
      <c r="Y144">
        <f>HYPERLINK("https://klasma.github.io/Logging_0380/klagomål/A 56889-2022 FSC-klagomål.docx", "A 56889-2022")</f>
        <v/>
      </c>
      <c r="Z144">
        <f>HYPERLINK("https://klasma.github.io/Logging_0380/klagomålsmail/A 56889-2022 FSC-klagomål mail.docx", "A 56889-2022")</f>
        <v/>
      </c>
      <c r="AA144">
        <f>HYPERLINK("https://klasma.github.io/Logging_0380/tillsyn/A 56889-2022 tillsynsbegäran.docx", "A 56889-2022")</f>
        <v/>
      </c>
      <c r="AB144">
        <f>HYPERLINK("https://klasma.github.io/Logging_0380/tillsynsmail/A 56889-2022 tillsynsbegäran mail.docx", "A 56889-2022")</f>
        <v/>
      </c>
    </row>
    <row r="145" ht="15" customHeight="1">
      <c r="A145" t="inlineStr">
        <is>
          <t>A 60055-2022</t>
        </is>
      </c>
      <c r="B145" t="inlineStr">
        <is>
          <t>avverkningsanmälan</t>
        </is>
      </c>
      <c r="C145" t="inlineStr">
        <is>
          <t>Föryngringsavverkning</t>
        </is>
      </c>
      <c r="D145" s="1" t="n">
        <v>44909</v>
      </c>
      <c r="E145" s="1" t="n">
        <v>46222</v>
      </c>
      <c r="F145" t="inlineStr">
        <is>
          <t>UPPSALA LÄN</t>
        </is>
      </c>
      <c r="G145" t="inlineStr">
        <is>
          <t>UPPSALA</t>
        </is>
      </c>
      <c r="I145" t="n">
        <v>11.4</v>
      </c>
      <c r="J145" t="n">
        <v>1</v>
      </c>
      <c r="K145" t="n">
        <v>0</v>
      </c>
      <c r="L145" t="n">
        <v>0</v>
      </c>
      <c r="M145" t="n">
        <v>0</v>
      </c>
      <c r="N145" t="n">
        <v>0</v>
      </c>
      <c r="O145" t="n">
        <v>0</v>
      </c>
      <c r="P145" t="n">
        <v>0</v>
      </c>
      <c r="Q145" t="n">
        <v>0</v>
      </c>
      <c r="R145" t="n">
        <v>0</v>
      </c>
      <c r="S145" t="n">
        <v>1</v>
      </c>
      <c r="T145" t="n">
        <v>1</v>
      </c>
      <c r="U145" s="2" t="inlineStr">
        <is>
          <t>Tjäder</t>
        </is>
      </c>
      <c r="V145">
        <f>HYPERLINK("https://klasma.github.io/Logging_0380/artfynd/A 60055-2022 artfynd.xlsx", "A 60055-2022")</f>
        <v/>
      </c>
      <c r="W145">
        <f>HYPERLINK("https://klasma.github.io/Logging_0380/kartor/A 60055-2022 karta.png", "A 60055-2022")</f>
        <v/>
      </c>
      <c r="Y145">
        <f>HYPERLINK("https://klasma.github.io/Logging_0380/klagomål/A 60055-2022 FSC-klagomål.docx", "A 60055-2022")</f>
        <v/>
      </c>
      <c r="Z145">
        <f>HYPERLINK("https://klasma.github.io/Logging_0380/klagomålsmail/A 60055-2022 FSC-klagomål mail.docx", "A 60055-2022")</f>
        <v/>
      </c>
      <c r="AA145">
        <f>HYPERLINK("https://klasma.github.io/Logging_0380/tillsyn/A 60055-2022 tillsynsbegäran.docx", "A 60055-2022")</f>
        <v/>
      </c>
      <c r="AB145">
        <f>HYPERLINK("https://klasma.github.io/Logging_0380/tillsynsmail/A 60055-2022 tillsynsbegäran mail.docx", "A 60055-2022")</f>
        <v/>
      </c>
      <c r="AC145">
        <f>HYPERLINK("https://klasma.github.io/Logging_0380/fåglar/A 60055-2022 prioriterade fågelarter.docx", "A 60055-2022")</f>
        <v/>
      </c>
    </row>
    <row r="146" ht="15" customHeight="1">
      <c r="A146" t="inlineStr">
        <is>
          <t>A 58050-2021</t>
        </is>
      </c>
      <c r="B146" t="inlineStr">
        <is>
          <t>avverkningsanmälan</t>
        </is>
      </c>
      <c r="C146" t="inlineStr">
        <is>
          <t>Föryngringsavverkning</t>
        </is>
      </c>
      <c r="D146" s="1" t="n">
        <v>44487</v>
      </c>
      <c r="E146" s="1" t="n">
        <v>46222</v>
      </c>
      <c r="F146" t="inlineStr">
        <is>
          <t>UPPSALA LÄN</t>
        </is>
      </c>
      <c r="G146" t="inlineStr">
        <is>
          <t>UPPSALA</t>
        </is>
      </c>
      <c r="I146" t="n">
        <v>4.4</v>
      </c>
      <c r="J146" t="n">
        <v>0</v>
      </c>
      <c r="K146" t="n">
        <v>0</v>
      </c>
      <c r="L146" t="n">
        <v>1</v>
      </c>
      <c r="M146" t="n">
        <v>0</v>
      </c>
      <c r="N146" t="n">
        <v>0</v>
      </c>
      <c r="O146" t="n">
        <v>0</v>
      </c>
      <c r="P146" t="n">
        <v>0</v>
      </c>
      <c r="Q146" t="n">
        <v>1</v>
      </c>
      <c r="R146" t="n">
        <v>0</v>
      </c>
      <c r="S146" t="n">
        <v>1</v>
      </c>
      <c r="T146" t="n">
        <v>1</v>
      </c>
      <c r="U146" s="2" t="inlineStr">
        <is>
          <t>Ullticka</t>
        </is>
      </c>
      <c r="V146">
        <f>HYPERLINK("https://klasma.github.io/Logging_0380/artfynd/A 58050-2021 artfynd.xlsx", "A 58050-2021")</f>
        <v/>
      </c>
      <c r="W146">
        <f>HYPERLINK("https://klasma.github.io/Logging_0380/kartor/A 58050-2021 karta.png", "A 58050-2021")</f>
        <v/>
      </c>
      <c r="Y146">
        <f>HYPERLINK("https://klasma.github.io/Logging_0380/klagomål/A 58050-2021 FSC-klagomål.docx", "A 58050-2021")</f>
        <v/>
      </c>
      <c r="Z146">
        <f>HYPERLINK("https://klasma.github.io/Logging_0380/klagomålsmail/A 58050-2021 FSC-klagomål mail.docx", "A 58050-2021")</f>
        <v/>
      </c>
      <c r="AA146">
        <f>HYPERLINK("https://klasma.github.io/Logging_0380/tillsyn/A 58050-2021 tillsynsbegäran.docx", "A 58050-2021")</f>
        <v/>
      </c>
      <c r="AB146">
        <f>HYPERLINK("https://klasma.github.io/Logging_0380/tillsynsmail/A 58050-2021 tillsynsbegäran mail.docx", "A 58050-2021")</f>
        <v/>
      </c>
    </row>
    <row r="147" ht="15" customHeight="1">
      <c r="A147" t="inlineStr">
        <is>
          <t>A 60056-2022</t>
        </is>
      </c>
      <c r="B147" t="inlineStr">
        <is>
          <t>avverkningsanmälan</t>
        </is>
      </c>
      <c r="C147" t="inlineStr">
        <is>
          <t>Föryngringsavverkning</t>
        </is>
      </c>
      <c r="D147" s="1" t="n">
        <v>44909</v>
      </c>
      <c r="E147" s="1" t="n">
        <v>46222</v>
      </c>
      <c r="F147" t="inlineStr">
        <is>
          <t>UPPSALA LÄN</t>
        </is>
      </c>
      <c r="G147" t="inlineStr">
        <is>
          <t>UPPSALA</t>
        </is>
      </c>
      <c r="I147" t="n">
        <v>1.2</v>
      </c>
      <c r="J147" t="n">
        <v>1</v>
      </c>
      <c r="K147" t="n">
        <v>0</v>
      </c>
      <c r="L147" t="n">
        <v>1</v>
      </c>
      <c r="M147" t="n">
        <v>0</v>
      </c>
      <c r="N147" t="n">
        <v>0</v>
      </c>
      <c r="O147" t="n">
        <v>0</v>
      </c>
      <c r="P147" t="n">
        <v>0</v>
      </c>
      <c r="Q147" t="n">
        <v>1</v>
      </c>
      <c r="R147" t="n">
        <v>0</v>
      </c>
      <c r="S147" t="n">
        <v>1</v>
      </c>
      <c r="T147" t="n">
        <v>1</v>
      </c>
      <c r="U147" s="2" t="inlineStr">
        <is>
          <t>Nötkråka</t>
        </is>
      </c>
      <c r="V147">
        <f>HYPERLINK("https://klasma.github.io/Logging_0380/artfynd/A 60056-2022 artfynd.xlsx", "A 60056-2022")</f>
        <v/>
      </c>
      <c r="W147">
        <f>HYPERLINK("https://klasma.github.io/Logging_0380/kartor/A 60056-2022 karta.png", "A 60056-2022")</f>
        <v/>
      </c>
      <c r="Y147">
        <f>HYPERLINK("https://klasma.github.io/Logging_0380/klagomål/A 60056-2022 FSC-klagomål.docx", "A 60056-2022")</f>
        <v/>
      </c>
      <c r="Z147">
        <f>HYPERLINK("https://klasma.github.io/Logging_0380/klagomålsmail/A 60056-2022 FSC-klagomål mail.docx", "A 60056-2022")</f>
        <v/>
      </c>
      <c r="AA147">
        <f>HYPERLINK("https://klasma.github.io/Logging_0380/tillsyn/A 60056-2022 tillsynsbegäran.docx", "A 60056-2022")</f>
        <v/>
      </c>
      <c r="AB147">
        <f>HYPERLINK("https://klasma.github.io/Logging_0380/tillsynsmail/A 60056-2022 tillsynsbegäran mail.docx", "A 60056-2022")</f>
        <v/>
      </c>
      <c r="AC147">
        <f>HYPERLINK("https://klasma.github.io/Logging_0380/fåglar/A 60056-2022 prioriterade fågelarter.docx", "A 60056-2022")</f>
        <v/>
      </c>
    </row>
    <row r="148" ht="15" customHeight="1">
      <c r="A148" t="inlineStr">
        <is>
          <t>A 27848-2023</t>
        </is>
      </c>
      <c r="B148" t="inlineStr">
        <is>
          <t>avverkningsanmälan</t>
        </is>
      </c>
      <c r="C148" t="inlineStr">
        <is>
          <t>Föryngringsavverkning</t>
        </is>
      </c>
      <c r="D148" s="1" t="n">
        <v>45098</v>
      </c>
      <c r="E148" s="1" t="n">
        <v>46222</v>
      </c>
      <c r="F148" t="inlineStr">
        <is>
          <t>UPPSALA LÄN</t>
        </is>
      </c>
      <c r="G148" t="inlineStr">
        <is>
          <t>UPPSALA</t>
        </is>
      </c>
      <c r="I148" t="n">
        <v>14.3</v>
      </c>
      <c r="J148" t="n">
        <v>0</v>
      </c>
      <c r="K148" t="n">
        <v>1</v>
      </c>
      <c r="L148" t="n">
        <v>0</v>
      </c>
      <c r="M148" t="n">
        <v>0</v>
      </c>
      <c r="N148" t="n">
        <v>0</v>
      </c>
      <c r="O148" t="n">
        <v>0</v>
      </c>
      <c r="P148" t="n">
        <v>0</v>
      </c>
      <c r="Q148" t="n">
        <v>0</v>
      </c>
      <c r="R148" t="n">
        <v>0</v>
      </c>
      <c r="S148" t="n">
        <v>1</v>
      </c>
      <c r="T148" t="n">
        <v>2</v>
      </c>
      <c r="U148" s="2" t="inlineStr">
        <is>
          <t>Blåmossa</t>
        </is>
      </c>
      <c r="V148">
        <f>HYPERLINK("https://klasma.github.io/Logging_0380/artfynd/A 27848-2023 artfynd.xlsx", "A 27848-2023")</f>
        <v/>
      </c>
      <c r="W148">
        <f>HYPERLINK("https://klasma.github.io/Logging_0380/kartor/A 27848-2023 karta.png", "A 27848-2023")</f>
        <v/>
      </c>
      <c r="Y148">
        <f>HYPERLINK("https://klasma.github.io/Logging_0380/klagomål/A 27848-2023 FSC-klagomål.docx", "A 27848-2023")</f>
        <v/>
      </c>
      <c r="Z148">
        <f>HYPERLINK("https://klasma.github.io/Logging_0380/klagomålsmail/A 27848-2023 FSC-klagomål mail.docx", "A 27848-2023")</f>
        <v/>
      </c>
      <c r="AA148">
        <f>HYPERLINK("https://klasma.github.io/Logging_0380/tillsyn/A 27848-2023 tillsynsbegäran.docx", "A 27848-2023")</f>
        <v/>
      </c>
      <c r="AB148">
        <f>HYPERLINK("https://klasma.github.io/Logging_0380/tillsynsmail/A 27848-2023 tillsynsbegäran mail.docx", "A 27848-2023")</f>
        <v/>
      </c>
    </row>
    <row r="149" ht="15" customHeight="1">
      <c r="A149" t="inlineStr">
        <is>
          <t>A 16761-2022</t>
        </is>
      </c>
      <c r="B149" t="inlineStr">
        <is>
          <t>avverkningsanmälan</t>
        </is>
      </c>
      <c r="C149" t="inlineStr">
        <is>
          <t>Föryngringsavverkning</t>
        </is>
      </c>
      <c r="D149" s="1" t="n">
        <v>44673</v>
      </c>
      <c r="E149" s="1" t="n">
        <v>46222</v>
      </c>
      <c r="F149" t="inlineStr">
        <is>
          <t>UPPSALA LÄN</t>
        </is>
      </c>
      <c r="G149" t="inlineStr">
        <is>
          <t>UPPSALA</t>
        </is>
      </c>
      <c r="I149" t="n">
        <v>0.6</v>
      </c>
      <c r="J149" t="n">
        <v>1</v>
      </c>
      <c r="K149" t="n">
        <v>0</v>
      </c>
      <c r="L149" t="n">
        <v>0</v>
      </c>
      <c r="M149" t="n">
        <v>0</v>
      </c>
      <c r="N149" t="n">
        <v>0</v>
      </c>
      <c r="O149" t="n">
        <v>0</v>
      </c>
      <c r="P149" t="n">
        <v>0</v>
      </c>
      <c r="Q149" t="n">
        <v>0</v>
      </c>
      <c r="R149" t="n">
        <v>0</v>
      </c>
      <c r="S149" t="n">
        <v>1</v>
      </c>
      <c r="T149" t="n">
        <v>1</v>
      </c>
      <c r="U149" s="2" t="inlineStr">
        <is>
          <t>Trädlärka</t>
        </is>
      </c>
      <c r="V149">
        <f>HYPERLINK("https://klasma.github.io/Logging_0380/artfynd/A 16761-2022 artfynd.xlsx", "A 16761-2022")</f>
        <v/>
      </c>
      <c r="W149">
        <f>HYPERLINK("https://klasma.github.io/Logging_0380/kartor/A 16761-2022 karta.png", "A 16761-2022")</f>
        <v/>
      </c>
      <c r="Y149">
        <f>HYPERLINK("https://klasma.github.io/Logging_0380/klagomål/A 16761-2022 FSC-klagomål.docx", "A 16761-2022")</f>
        <v/>
      </c>
      <c r="Z149">
        <f>HYPERLINK("https://klasma.github.io/Logging_0380/klagomålsmail/A 16761-2022 FSC-klagomål mail.docx", "A 16761-2022")</f>
        <v/>
      </c>
      <c r="AA149">
        <f>HYPERLINK("https://klasma.github.io/Logging_0380/tillsyn/A 16761-2022 tillsynsbegäran.docx", "A 16761-2022")</f>
        <v/>
      </c>
      <c r="AB149">
        <f>HYPERLINK("https://klasma.github.io/Logging_0380/tillsynsmail/A 16761-2022 tillsynsbegäran mail.docx", "A 16761-2022")</f>
        <v/>
      </c>
      <c r="AC149">
        <f>HYPERLINK("https://klasma.github.io/Logging_0380/fåglar/A 16761-2022 prioriterade fågelarter.docx", "A 16761-2022")</f>
        <v/>
      </c>
    </row>
    <row r="150" ht="15" customHeight="1">
      <c r="A150" t="inlineStr">
        <is>
          <t>A 13526-2025</t>
        </is>
      </c>
      <c r="B150" t="inlineStr">
        <is>
          <t>avverkningsanmälan</t>
        </is>
      </c>
      <c r="C150" t="inlineStr">
        <is>
          <t>Föryngringsavverkning</t>
        </is>
      </c>
      <c r="D150" s="1" t="n">
        <v>45736</v>
      </c>
      <c r="E150" s="1" t="n">
        <v>46222</v>
      </c>
      <c r="F150" t="inlineStr">
        <is>
          <t>UPPSALA LÄN</t>
        </is>
      </c>
      <c r="G150" t="inlineStr">
        <is>
          <t>UPPSALA</t>
        </is>
      </c>
      <c r="H150" t="inlineStr">
        <is>
          <t>Allmännings- och besparingsskogar</t>
        </is>
      </c>
      <c r="I150" t="n">
        <v>3</v>
      </c>
      <c r="J150" t="n">
        <v>0</v>
      </c>
      <c r="K150" t="n">
        <v>0</v>
      </c>
      <c r="L150" t="n">
        <v>1</v>
      </c>
      <c r="M150" t="n">
        <v>0</v>
      </c>
      <c r="N150" t="n">
        <v>0</v>
      </c>
      <c r="O150" t="n">
        <v>0</v>
      </c>
      <c r="P150" t="n">
        <v>0</v>
      </c>
      <c r="Q150" t="n">
        <v>1</v>
      </c>
      <c r="R150" t="n">
        <v>0</v>
      </c>
      <c r="S150" t="n">
        <v>1</v>
      </c>
      <c r="T150" t="n">
        <v>2</v>
      </c>
      <c r="U150" s="2" t="inlineStr">
        <is>
          <t>Vedtrappmossa</t>
        </is>
      </c>
      <c r="V150">
        <f>HYPERLINK("https://klasma.github.io/Logging_0380/artfynd/A 13526-2025 artfynd.xlsx", "A 13526-2025")</f>
        <v/>
      </c>
      <c r="W150">
        <f>HYPERLINK("https://klasma.github.io/Logging_0380/kartor/A 13526-2025 karta.png", "A 13526-2025")</f>
        <v/>
      </c>
      <c r="Y150">
        <f>HYPERLINK("https://klasma.github.io/Logging_0380/klagomål/A 13526-2025 FSC-klagomål.docx", "A 13526-2025")</f>
        <v/>
      </c>
      <c r="Z150">
        <f>HYPERLINK("https://klasma.github.io/Logging_0380/klagomålsmail/A 13526-2025 FSC-klagomål mail.docx", "A 13526-2025")</f>
        <v/>
      </c>
      <c r="AA150">
        <f>HYPERLINK("https://klasma.github.io/Logging_0380/tillsyn/A 13526-2025 tillsynsbegäran.docx", "A 13526-2025")</f>
        <v/>
      </c>
      <c r="AB150">
        <f>HYPERLINK("https://klasma.github.io/Logging_0380/tillsynsmail/A 13526-2025 tillsynsbegäran mail.docx", "A 13526-2025")</f>
        <v/>
      </c>
    </row>
    <row r="151" ht="15" customHeight="1">
      <c r="A151" t="inlineStr">
        <is>
          <t>A 40568-2025</t>
        </is>
      </c>
      <c r="B151" t="inlineStr">
        <is>
          <t>avverkningsanmälan</t>
        </is>
      </c>
      <c r="C151" t="inlineStr">
        <is>
          <t>Föryngringsavverkning</t>
        </is>
      </c>
      <c r="D151" s="1" t="n">
        <v>45896</v>
      </c>
      <c r="E151" s="1" t="n">
        <v>46222</v>
      </c>
      <c r="F151" t="inlineStr">
        <is>
          <t>UPPSALA LÄN</t>
        </is>
      </c>
      <c r="G151" t="inlineStr">
        <is>
          <t>UPPSALA</t>
        </is>
      </c>
      <c r="H151" t="inlineStr">
        <is>
          <t>Kyrkan</t>
        </is>
      </c>
      <c r="I151" t="n">
        <v>2.1</v>
      </c>
      <c r="J151" t="n">
        <v>0</v>
      </c>
      <c r="K151" t="n">
        <v>1</v>
      </c>
      <c r="L151" t="n">
        <v>0</v>
      </c>
      <c r="M151" t="n">
        <v>0</v>
      </c>
      <c r="N151" t="n">
        <v>0</v>
      </c>
      <c r="O151" t="n">
        <v>0</v>
      </c>
      <c r="P151" t="n">
        <v>0</v>
      </c>
      <c r="Q151" t="n">
        <v>0</v>
      </c>
      <c r="R151" t="n">
        <v>0</v>
      </c>
      <c r="S151" t="n">
        <v>1</v>
      </c>
      <c r="T151" t="n">
        <v>1</v>
      </c>
      <c r="U151" s="2" t="inlineStr">
        <is>
          <t>Rödgul trumpetsvamp</t>
        </is>
      </c>
      <c r="V151">
        <f>HYPERLINK("https://klasma.github.io/Logging_0380/artfynd/A 40568-2025 artfynd.xlsx", "A 40568-2025")</f>
        <v/>
      </c>
      <c r="W151">
        <f>HYPERLINK("https://klasma.github.io/Logging_0380/kartor/A 40568-2025 karta.png", "A 40568-2025")</f>
        <v/>
      </c>
      <c r="Y151">
        <f>HYPERLINK("https://klasma.github.io/Logging_0380/klagomål/A 40568-2025 FSC-klagomål.docx", "A 40568-2025")</f>
        <v/>
      </c>
      <c r="Z151">
        <f>HYPERLINK("https://klasma.github.io/Logging_0380/klagomålsmail/A 40568-2025 FSC-klagomål mail.docx", "A 40568-2025")</f>
        <v/>
      </c>
      <c r="AA151">
        <f>HYPERLINK("https://klasma.github.io/Logging_0380/tillsyn/A 40568-2025 tillsynsbegäran.docx", "A 40568-2025")</f>
        <v/>
      </c>
      <c r="AB151">
        <f>HYPERLINK("https://klasma.github.io/Logging_0380/tillsynsmail/A 40568-2025 tillsynsbegäran mail.docx", "A 40568-2025")</f>
        <v/>
      </c>
    </row>
    <row r="152" ht="15" customHeight="1">
      <c r="A152" t="inlineStr">
        <is>
          <t>A 13363-2022</t>
        </is>
      </c>
      <c r="B152" t="inlineStr">
        <is>
          <t>avverkningsanmälan</t>
        </is>
      </c>
      <c r="C152" t="inlineStr">
        <is>
          <t>Föryngringsavverkning</t>
        </is>
      </c>
      <c r="D152" s="1" t="n">
        <v>44645</v>
      </c>
      <c r="E152" s="1" t="n">
        <v>46222</v>
      </c>
      <c r="F152" t="inlineStr">
        <is>
          <t>UPPSALA LÄN</t>
        </is>
      </c>
      <c r="G152" t="inlineStr">
        <is>
          <t>UPPSALA</t>
        </is>
      </c>
      <c r="H152" t="inlineStr">
        <is>
          <t>Övriga Aktiebolag</t>
        </is>
      </c>
      <c r="I152" t="n">
        <v>9.4</v>
      </c>
      <c r="J152" t="n">
        <v>1</v>
      </c>
      <c r="K152" t="n">
        <v>0</v>
      </c>
      <c r="L152" t="n">
        <v>0</v>
      </c>
      <c r="M152" t="n">
        <v>0</v>
      </c>
      <c r="N152" t="n">
        <v>0</v>
      </c>
      <c r="O152" t="n">
        <v>0</v>
      </c>
      <c r="P152" t="n">
        <v>0</v>
      </c>
      <c r="Q152" t="n">
        <v>0</v>
      </c>
      <c r="R152" t="n">
        <v>0</v>
      </c>
      <c r="S152" t="n">
        <v>1</v>
      </c>
      <c r="T152" t="n">
        <v>1</v>
      </c>
      <c r="U152" s="2" t="inlineStr">
        <is>
          <t>Huggorm</t>
        </is>
      </c>
      <c r="V152">
        <f>HYPERLINK("https://klasma.github.io/Logging_0380/artfynd/A 13363-2022 artfynd.xlsx", "A 13363-2022")</f>
        <v/>
      </c>
      <c r="W152">
        <f>HYPERLINK("https://klasma.github.io/Logging_0380/kartor/A 13363-2022 karta.png", "A 13363-2022")</f>
        <v/>
      </c>
      <c r="Y152">
        <f>HYPERLINK("https://klasma.github.io/Logging_0380/klagomål/A 13363-2022 FSC-klagomål.docx", "A 13363-2022")</f>
        <v/>
      </c>
      <c r="Z152">
        <f>HYPERLINK("https://klasma.github.io/Logging_0380/klagomålsmail/A 13363-2022 FSC-klagomål mail.docx", "A 13363-2022")</f>
        <v/>
      </c>
      <c r="AA152">
        <f>HYPERLINK("https://klasma.github.io/Logging_0380/tillsyn/A 13363-2022 tillsynsbegäran.docx", "A 13363-2022")</f>
        <v/>
      </c>
      <c r="AB152">
        <f>HYPERLINK("https://klasma.github.io/Logging_0380/tillsynsmail/A 13363-2022 tillsynsbegäran mail.docx", "A 13363-2022")</f>
        <v/>
      </c>
    </row>
    <row r="153" ht="15" customHeight="1">
      <c r="A153" t="inlineStr">
        <is>
          <t>A 44385-2025</t>
        </is>
      </c>
      <c r="B153" t="inlineStr">
        <is>
          <t>avverkningsanmälan</t>
        </is>
      </c>
      <c r="C153" t="inlineStr">
        <is>
          <t>Föryngringsavverkning</t>
        </is>
      </c>
      <c r="D153" s="1" t="n">
        <v>45916</v>
      </c>
      <c r="E153" s="1" t="n">
        <v>46222</v>
      </c>
      <c r="F153" t="inlineStr">
        <is>
          <t>UPPSALA LÄN</t>
        </is>
      </c>
      <c r="G153" t="inlineStr">
        <is>
          <t>UPPSALA</t>
        </is>
      </c>
      <c r="H153" t="inlineStr">
        <is>
          <t>Bergvik skog öst AB</t>
        </is>
      </c>
      <c r="I153" t="n">
        <v>6.8</v>
      </c>
      <c r="J153" t="n">
        <v>1</v>
      </c>
      <c r="K153" t="n">
        <v>0</v>
      </c>
      <c r="L153" t="n">
        <v>0</v>
      </c>
      <c r="M153" t="n">
        <v>0</v>
      </c>
      <c r="N153" t="n">
        <v>0</v>
      </c>
      <c r="O153" t="n">
        <v>0</v>
      </c>
      <c r="P153" t="n">
        <v>0</v>
      </c>
      <c r="Q153" t="n">
        <v>0</v>
      </c>
      <c r="R153" t="n">
        <v>0</v>
      </c>
      <c r="S153" t="n">
        <v>1</v>
      </c>
      <c r="T153" t="n">
        <v>3</v>
      </c>
      <c r="U153" s="2" t="inlineStr">
        <is>
          <t>Blåsippa</t>
        </is>
      </c>
      <c r="V153">
        <f>HYPERLINK("https://klasma.github.io/Logging_0380/artfynd/A 44385-2025 artfynd.xlsx", "A 44385-2025")</f>
        <v/>
      </c>
      <c r="W153">
        <f>HYPERLINK("https://klasma.github.io/Logging_0380/kartor/A 44385-2025 karta.png", "A 44385-2025")</f>
        <v/>
      </c>
      <c r="Y153">
        <f>HYPERLINK("https://klasma.github.io/Logging_0380/klagomål/A 44385-2025 FSC-klagomål.docx", "A 44385-2025")</f>
        <v/>
      </c>
      <c r="Z153">
        <f>HYPERLINK("https://klasma.github.io/Logging_0380/klagomålsmail/A 44385-2025 FSC-klagomål mail.docx", "A 44385-2025")</f>
        <v/>
      </c>
      <c r="AA153">
        <f>HYPERLINK("https://klasma.github.io/Logging_0380/tillsyn/A 44385-2025 tillsynsbegäran.docx", "A 44385-2025")</f>
        <v/>
      </c>
      <c r="AB153">
        <f>HYPERLINK("https://klasma.github.io/Logging_0380/tillsynsmail/A 44385-2025 tillsynsbegäran mail.docx", "A 44385-2025")</f>
        <v/>
      </c>
    </row>
    <row r="154" ht="15" customHeight="1">
      <c r="A154" t="inlineStr">
        <is>
          <t>A 5009-2023</t>
        </is>
      </c>
      <c r="B154" t="inlineStr">
        <is>
          <t>avverkningsanmälan</t>
        </is>
      </c>
      <c r="C154" t="inlineStr">
        <is>
          <t>Avverkning för annat ändamål</t>
        </is>
      </c>
      <c r="D154" s="1" t="n">
        <v>44958</v>
      </c>
      <c r="E154" s="1" t="n">
        <v>46222</v>
      </c>
      <c r="F154" t="inlineStr">
        <is>
          <t>UPPSALA LÄN</t>
        </is>
      </c>
      <c r="G154" t="inlineStr">
        <is>
          <t>UPPSALA</t>
        </is>
      </c>
      <c r="I154" t="n">
        <v>4.7</v>
      </c>
      <c r="J154" t="n">
        <v>1</v>
      </c>
      <c r="K154" t="n">
        <v>0</v>
      </c>
      <c r="L154" t="n">
        <v>0</v>
      </c>
      <c r="M154" t="n">
        <v>0</v>
      </c>
      <c r="N154" t="n">
        <v>0</v>
      </c>
      <c r="O154" t="n">
        <v>0</v>
      </c>
      <c r="P154" t="n">
        <v>0</v>
      </c>
      <c r="Q154" t="n">
        <v>0</v>
      </c>
      <c r="R154" t="n">
        <v>0</v>
      </c>
      <c r="S154" t="n">
        <v>1</v>
      </c>
      <c r="T154" t="n">
        <v>2</v>
      </c>
      <c r="U154" s="2" t="inlineStr">
        <is>
          <t>Blåsippa</t>
        </is>
      </c>
      <c r="V154">
        <f>HYPERLINK("https://klasma.github.io/Logging_0380/artfynd/A 5009-2023 artfynd.xlsx", "A 5009-2023")</f>
        <v/>
      </c>
      <c r="W154">
        <f>HYPERLINK("https://klasma.github.io/Logging_0380/kartor/A 5009-2023 karta.png", "A 5009-2023")</f>
        <v/>
      </c>
      <c r="Y154">
        <f>HYPERLINK("https://klasma.github.io/Logging_0380/klagomål/A 5009-2023 FSC-klagomål.docx", "A 5009-2023")</f>
        <v/>
      </c>
      <c r="Z154">
        <f>HYPERLINK("https://klasma.github.io/Logging_0380/klagomålsmail/A 5009-2023 FSC-klagomål mail.docx", "A 5009-2023")</f>
        <v/>
      </c>
      <c r="AA154">
        <f>HYPERLINK("https://klasma.github.io/Logging_0380/tillsyn/A 5009-2023 tillsynsbegäran.docx", "A 5009-2023")</f>
        <v/>
      </c>
      <c r="AB154">
        <f>HYPERLINK("https://klasma.github.io/Logging_0380/tillsynsmail/A 5009-2023 tillsynsbegäran mail.docx", "A 5009-2023")</f>
        <v/>
      </c>
    </row>
    <row r="155" ht="15" customHeight="1">
      <c r="A155" t="inlineStr">
        <is>
          <t>A 49164-2025</t>
        </is>
      </c>
      <c r="B155" t="inlineStr">
        <is>
          <t>avverkningsanmälan</t>
        </is>
      </c>
      <c r="C155" t="inlineStr">
        <is>
          <t>Föryngringsavverkning</t>
        </is>
      </c>
      <c r="D155" s="1" t="n">
        <v>45938</v>
      </c>
      <c r="E155" s="1" t="n">
        <v>46222</v>
      </c>
      <c r="F155" t="inlineStr">
        <is>
          <t>UPPSALA LÄN</t>
        </is>
      </c>
      <c r="G155" t="inlineStr">
        <is>
          <t>UPPSALA</t>
        </is>
      </c>
      <c r="H155" t="inlineStr">
        <is>
          <t>Kyrkan</t>
        </is>
      </c>
      <c r="I155" t="n">
        <v>1</v>
      </c>
      <c r="J155" t="n">
        <v>0</v>
      </c>
      <c r="K155" t="n">
        <v>0</v>
      </c>
      <c r="L155" t="n">
        <v>0</v>
      </c>
      <c r="M155" t="n">
        <v>1</v>
      </c>
      <c r="N155" t="n">
        <v>0</v>
      </c>
      <c r="O155" t="n">
        <v>0</v>
      </c>
      <c r="P155" t="n">
        <v>0</v>
      </c>
      <c r="Q155" t="n">
        <v>1</v>
      </c>
      <c r="R155" t="n">
        <v>1</v>
      </c>
      <c r="S155" t="n">
        <v>1</v>
      </c>
      <c r="T155" t="n">
        <v>1</v>
      </c>
      <c r="U155" s="2" t="inlineStr">
        <is>
          <t>Raggbock</t>
        </is>
      </c>
      <c r="V155">
        <f>HYPERLINK("https://klasma.github.io/Logging_0380/artfynd/A 49164-2025 artfynd.xlsx", "A 49164-2025")</f>
        <v/>
      </c>
      <c r="W155">
        <f>HYPERLINK("https://klasma.github.io/Logging_0380/kartor/A 49164-2025 karta.png", "A 49164-2025")</f>
        <v/>
      </c>
      <c r="Y155">
        <f>HYPERLINK("https://klasma.github.io/Logging_0380/klagomål/A 49164-2025 FSC-klagomål.docx", "A 49164-2025")</f>
        <v/>
      </c>
      <c r="Z155">
        <f>HYPERLINK("https://klasma.github.io/Logging_0380/klagomålsmail/A 49164-2025 FSC-klagomål mail.docx", "A 49164-2025")</f>
        <v/>
      </c>
      <c r="AA155">
        <f>HYPERLINK("https://klasma.github.io/Logging_0380/tillsyn/A 49164-2025 tillsynsbegäran.docx", "A 49164-2025")</f>
        <v/>
      </c>
      <c r="AB155">
        <f>HYPERLINK("https://klasma.github.io/Logging_0380/tillsynsmail/A 49164-2025 tillsynsbegäran mail.docx", "A 49164-2025")</f>
        <v/>
      </c>
    </row>
    <row r="156" ht="15" customHeight="1">
      <c r="A156" t="inlineStr">
        <is>
          <t>A 60954-2024</t>
        </is>
      </c>
      <c r="B156" t="inlineStr">
        <is>
          <t>avverkningsanmälan</t>
        </is>
      </c>
      <c r="C156" t="inlineStr">
        <is>
          <t>Föryngringsavverkning</t>
        </is>
      </c>
      <c r="D156" s="1" t="n">
        <v>45645</v>
      </c>
      <c r="E156" s="1" t="n">
        <v>46222</v>
      </c>
      <c r="F156" t="inlineStr">
        <is>
          <t>UPPSALA LÄN</t>
        </is>
      </c>
      <c r="G156" t="inlineStr">
        <is>
          <t>UPPSALA</t>
        </is>
      </c>
      <c r="H156" t="inlineStr">
        <is>
          <t>Kommuner</t>
        </is>
      </c>
      <c r="I156" t="n">
        <v>1</v>
      </c>
      <c r="J156" t="n">
        <v>0</v>
      </c>
      <c r="K156" t="n">
        <v>0</v>
      </c>
      <c r="L156" t="n">
        <v>0</v>
      </c>
      <c r="M156" t="n">
        <v>1</v>
      </c>
      <c r="N156" t="n">
        <v>0</v>
      </c>
      <c r="O156" t="n">
        <v>0</v>
      </c>
      <c r="P156" t="n">
        <v>0</v>
      </c>
      <c r="Q156" t="n">
        <v>1</v>
      </c>
      <c r="R156" t="n">
        <v>1</v>
      </c>
      <c r="S156" t="n">
        <v>1</v>
      </c>
      <c r="T156" t="n">
        <v>1</v>
      </c>
      <c r="U156" s="2" t="inlineStr">
        <is>
          <t>Aspsplintbock</t>
        </is>
      </c>
      <c r="V156">
        <f>HYPERLINK("https://klasma.github.io/Logging_0380/artfynd/A 60954-2024 artfynd.xlsx", "A 60954-2024")</f>
        <v/>
      </c>
      <c r="W156">
        <f>HYPERLINK("https://klasma.github.io/Logging_0380/kartor/A 60954-2024 karta.png", "A 60954-2024")</f>
        <v/>
      </c>
      <c r="Y156">
        <f>HYPERLINK("https://klasma.github.io/Logging_0380/klagomål/A 60954-2024 FSC-klagomål.docx", "A 60954-2024")</f>
        <v/>
      </c>
      <c r="Z156">
        <f>HYPERLINK("https://klasma.github.io/Logging_0380/klagomålsmail/A 60954-2024 FSC-klagomål mail.docx", "A 60954-2024")</f>
        <v/>
      </c>
      <c r="AA156">
        <f>HYPERLINK("https://klasma.github.io/Logging_0380/tillsyn/A 60954-2024 tillsynsbegäran.docx", "A 60954-2024")</f>
        <v/>
      </c>
      <c r="AB156">
        <f>HYPERLINK("https://klasma.github.io/Logging_0380/tillsynsmail/A 60954-2024 tillsynsbegäran mail.docx", "A 60954-2024")</f>
        <v/>
      </c>
    </row>
    <row r="157" ht="15" customHeight="1">
      <c r="A157" t="inlineStr">
        <is>
          <t>A 51475-2025</t>
        </is>
      </c>
      <c r="B157" t="inlineStr">
        <is>
          <t>avverkningsanmälan</t>
        </is>
      </c>
      <c r="C157" t="inlineStr">
        <is>
          <t>Avverkning för att bevara och utveckla /försöksver</t>
        </is>
      </c>
      <c r="D157" s="1" t="n">
        <v>45950</v>
      </c>
      <c r="E157" s="1" t="n">
        <v>46222</v>
      </c>
      <c r="F157" t="inlineStr">
        <is>
          <t>UPPSALA LÄN</t>
        </is>
      </c>
      <c r="G157" t="inlineStr">
        <is>
          <t>UPPSALA</t>
        </is>
      </c>
      <c r="I157" t="n">
        <v>3.3</v>
      </c>
      <c r="J157" t="n">
        <v>0</v>
      </c>
      <c r="K157" t="n">
        <v>1</v>
      </c>
      <c r="L157" t="n">
        <v>0</v>
      </c>
      <c r="M157" t="n">
        <v>0</v>
      </c>
      <c r="N157" t="n">
        <v>0</v>
      </c>
      <c r="O157" t="n">
        <v>0</v>
      </c>
      <c r="P157" t="n">
        <v>0</v>
      </c>
      <c r="Q157" t="n">
        <v>0</v>
      </c>
      <c r="R157" t="n">
        <v>0</v>
      </c>
      <c r="S157" t="n">
        <v>1</v>
      </c>
      <c r="T157" t="n">
        <v>1</v>
      </c>
      <c r="U157" s="2" t="inlineStr">
        <is>
          <t>Bronshjon</t>
        </is>
      </c>
      <c r="V157">
        <f>HYPERLINK("https://klasma.github.io/Logging_0380/artfynd/A 51475-2025 artfynd.xlsx", "A 51475-2025")</f>
        <v/>
      </c>
      <c r="W157">
        <f>HYPERLINK("https://klasma.github.io/Logging_0380/kartor/A 51475-2025 karta.png", "A 51475-2025")</f>
        <v/>
      </c>
      <c r="Y157">
        <f>HYPERLINK("https://klasma.github.io/Logging_0380/klagomål/A 51475-2025 FSC-klagomål.docx", "A 51475-2025")</f>
        <v/>
      </c>
      <c r="Z157">
        <f>HYPERLINK("https://klasma.github.io/Logging_0380/klagomålsmail/A 51475-2025 FSC-klagomål mail.docx", "A 51475-2025")</f>
        <v/>
      </c>
      <c r="AA157">
        <f>HYPERLINK("https://klasma.github.io/Logging_0380/tillsyn/A 51475-2025 tillsynsbegäran.docx", "A 51475-2025")</f>
        <v/>
      </c>
      <c r="AB157">
        <f>HYPERLINK("https://klasma.github.io/Logging_0380/tillsynsmail/A 51475-2025 tillsynsbegäran mail.docx", "A 51475-2025")</f>
        <v/>
      </c>
    </row>
    <row r="158" ht="15" customHeight="1">
      <c r="A158" t="inlineStr">
        <is>
          <t>A 9295-2023</t>
        </is>
      </c>
      <c r="B158" t="inlineStr">
        <is>
          <t>avverkningsanmälan</t>
        </is>
      </c>
      <c r="C158" t="inlineStr">
        <is>
          <t>Föryngringsavverkning</t>
        </is>
      </c>
      <c r="D158" s="1" t="n">
        <v>44980</v>
      </c>
      <c r="E158" s="1" t="n">
        <v>46222</v>
      </c>
      <c r="F158" t="inlineStr">
        <is>
          <t>UPPSALA LÄN</t>
        </is>
      </c>
      <c r="G158" t="inlineStr">
        <is>
          <t>UPPSALA</t>
        </is>
      </c>
      <c r="I158" t="n">
        <v>2.1</v>
      </c>
      <c r="J158" t="n">
        <v>1</v>
      </c>
      <c r="K158" t="n">
        <v>0</v>
      </c>
      <c r="L158" t="n">
        <v>1</v>
      </c>
      <c r="M158" t="n">
        <v>0</v>
      </c>
      <c r="N158" t="n">
        <v>0</v>
      </c>
      <c r="O158" t="n">
        <v>0</v>
      </c>
      <c r="P158" t="n">
        <v>0</v>
      </c>
      <c r="Q158" t="n">
        <v>1</v>
      </c>
      <c r="R158" t="n">
        <v>0</v>
      </c>
      <c r="S158" t="n">
        <v>1</v>
      </c>
      <c r="T158" t="n">
        <v>1</v>
      </c>
      <c r="U158" s="2" t="inlineStr">
        <is>
          <t>Sparvuggla</t>
        </is>
      </c>
      <c r="V158">
        <f>HYPERLINK("https://klasma.github.io/Logging_0380/artfynd/A 9295-2023 artfynd.xlsx", "A 9295-2023")</f>
        <v/>
      </c>
      <c r="W158">
        <f>HYPERLINK("https://klasma.github.io/Logging_0380/kartor/A 9295-2023 karta.png", "A 9295-2023")</f>
        <v/>
      </c>
      <c r="Y158">
        <f>HYPERLINK("https://klasma.github.io/Logging_0380/klagomål/A 9295-2023 FSC-klagomål.docx", "A 9295-2023")</f>
        <v/>
      </c>
      <c r="Z158">
        <f>HYPERLINK("https://klasma.github.io/Logging_0380/klagomålsmail/A 9295-2023 FSC-klagomål mail.docx", "A 9295-2023")</f>
        <v/>
      </c>
      <c r="AA158">
        <f>HYPERLINK("https://klasma.github.io/Logging_0380/tillsyn/A 9295-2023 tillsynsbegäran.docx", "A 9295-2023")</f>
        <v/>
      </c>
      <c r="AB158">
        <f>HYPERLINK("https://klasma.github.io/Logging_0380/tillsynsmail/A 9295-2023 tillsynsbegäran mail.docx", "A 9295-2023")</f>
        <v/>
      </c>
      <c r="AC158">
        <f>HYPERLINK("https://klasma.github.io/Logging_0380/fåglar/A 9295-2023 prioriterade fågelarter.docx", "A 9295-2023")</f>
        <v/>
      </c>
    </row>
    <row r="159" ht="15" customHeight="1">
      <c r="A159" t="inlineStr">
        <is>
          <t>A 9069-2026</t>
        </is>
      </c>
      <c r="B159" t="inlineStr">
        <is>
          <t>avverkningsanmälan</t>
        </is>
      </c>
      <c r="C159" t="inlineStr">
        <is>
          <t>Föryngringsavverkning</t>
        </is>
      </c>
      <c r="D159" s="1" t="n">
        <v>46069</v>
      </c>
      <c r="E159" s="1" t="n">
        <v>46222</v>
      </c>
      <c r="F159" t="inlineStr">
        <is>
          <t>UPPSALA LÄN</t>
        </is>
      </c>
      <c r="G159" t="inlineStr">
        <is>
          <t>UPPSALA</t>
        </is>
      </c>
      <c r="H159" t="inlineStr">
        <is>
          <t>Holmen skog AB</t>
        </is>
      </c>
      <c r="I159" t="n">
        <v>4.9</v>
      </c>
      <c r="J159" t="n">
        <v>1</v>
      </c>
      <c r="K159" t="n">
        <v>0</v>
      </c>
      <c r="L159" t="n">
        <v>0</v>
      </c>
      <c r="M159" t="n">
        <v>0</v>
      </c>
      <c r="N159" t="n">
        <v>0</v>
      </c>
      <c r="O159" t="n">
        <v>0</v>
      </c>
      <c r="P159" t="n">
        <v>0</v>
      </c>
      <c r="Q159" t="n">
        <v>0</v>
      </c>
      <c r="R159" t="n">
        <v>0</v>
      </c>
      <c r="S159" t="n">
        <v>1</v>
      </c>
      <c r="T159" t="n">
        <v>1</v>
      </c>
      <c r="U159" s="2" t="inlineStr">
        <is>
          <t>Gröngöling</t>
        </is>
      </c>
      <c r="V159">
        <f>HYPERLINK("https://klasma.github.io/Logging_0380/artfynd/A 9069-2026 artfynd.xlsx", "A 9069-2026")</f>
        <v/>
      </c>
      <c r="W159">
        <f>HYPERLINK("https://klasma.github.io/Logging_0380/kartor/A 9069-2026 karta.png", "A 9069-2026")</f>
        <v/>
      </c>
      <c r="Y159">
        <f>HYPERLINK("https://klasma.github.io/Logging_0380/klagomål/A 9069-2026 FSC-klagomål.docx", "A 9069-2026")</f>
        <v/>
      </c>
      <c r="Z159">
        <f>HYPERLINK("https://klasma.github.io/Logging_0380/klagomålsmail/A 9069-2026 FSC-klagomål mail.docx", "A 9069-2026")</f>
        <v/>
      </c>
      <c r="AA159">
        <f>HYPERLINK("https://klasma.github.io/Logging_0380/tillsyn/A 9069-2026 tillsynsbegäran.docx", "A 9069-2026")</f>
        <v/>
      </c>
      <c r="AB159">
        <f>HYPERLINK("https://klasma.github.io/Logging_0380/tillsynsmail/A 9069-2026 tillsynsbegäran mail.docx", "A 9069-2026")</f>
        <v/>
      </c>
    </row>
    <row r="160" ht="15" customHeight="1">
      <c r="A160" t="inlineStr">
        <is>
          <t>A 21657-2024</t>
        </is>
      </c>
      <c r="B160" t="inlineStr">
        <is>
          <t>avverkningsanmälan</t>
        </is>
      </c>
      <c r="C160" t="inlineStr">
        <is>
          <t>Föryngringsavverkning</t>
        </is>
      </c>
      <c r="D160" s="1" t="n">
        <v>45442</v>
      </c>
      <c r="E160" s="1" t="n">
        <v>46222</v>
      </c>
      <c r="F160" t="inlineStr">
        <is>
          <t>UPPSALA LÄN</t>
        </is>
      </c>
      <c r="G160" t="inlineStr">
        <is>
          <t>UPPSALA</t>
        </is>
      </c>
      <c r="I160" t="n">
        <v>5.7</v>
      </c>
      <c r="J160" t="n">
        <v>1</v>
      </c>
      <c r="K160" t="n">
        <v>0</v>
      </c>
      <c r="L160" t="n">
        <v>0</v>
      </c>
      <c r="M160" t="n">
        <v>0</v>
      </c>
      <c r="N160" t="n">
        <v>0</v>
      </c>
      <c r="O160" t="n">
        <v>0</v>
      </c>
      <c r="P160" t="n">
        <v>0</v>
      </c>
      <c r="Q160" t="n">
        <v>0</v>
      </c>
      <c r="R160" t="n">
        <v>0</v>
      </c>
      <c r="S160" t="n">
        <v>1</v>
      </c>
      <c r="T160" t="n">
        <v>1</v>
      </c>
      <c r="U160" s="2" t="inlineStr">
        <is>
          <t>Kungsfågel</t>
        </is>
      </c>
      <c r="V160">
        <f>HYPERLINK("https://klasma.github.io/Logging_0380/artfynd/A 21657-2024 artfynd.xlsx", "A 21657-2024")</f>
        <v/>
      </c>
      <c r="W160">
        <f>HYPERLINK("https://klasma.github.io/Logging_0380/kartor/A 21657-2024 karta.png", "A 21657-2024")</f>
        <v/>
      </c>
      <c r="Y160">
        <f>HYPERLINK("https://klasma.github.io/Logging_0380/klagomål/A 21657-2024 FSC-klagomål.docx", "A 21657-2024")</f>
        <v/>
      </c>
      <c r="Z160">
        <f>HYPERLINK("https://klasma.github.io/Logging_0380/klagomålsmail/A 21657-2024 FSC-klagomål mail.docx", "A 21657-2024")</f>
        <v/>
      </c>
      <c r="AA160">
        <f>HYPERLINK("https://klasma.github.io/Logging_0380/tillsyn/A 21657-2024 tillsynsbegäran.docx", "A 21657-2024")</f>
        <v/>
      </c>
      <c r="AB160">
        <f>HYPERLINK("https://klasma.github.io/Logging_0380/tillsynsmail/A 21657-2024 tillsynsbegäran mail.docx", "A 21657-2024")</f>
        <v/>
      </c>
    </row>
    <row r="161" ht="15" customHeight="1">
      <c r="A161" t="inlineStr">
        <is>
          <t>A 52849-2021</t>
        </is>
      </c>
      <c r="B161" t="inlineStr">
        <is>
          <t>avverkningsanmälan</t>
        </is>
      </c>
      <c r="C161" t="inlineStr">
        <is>
          <t>Föryngringsavverkning</t>
        </is>
      </c>
      <c r="D161" s="1" t="n">
        <v>44467</v>
      </c>
      <c r="E161" s="1" t="n">
        <v>46222</v>
      </c>
      <c r="F161" t="inlineStr">
        <is>
          <t>UPPSALA LÄN</t>
        </is>
      </c>
      <c r="G161" t="inlineStr">
        <is>
          <t>UPPSALA</t>
        </is>
      </c>
      <c r="H161" t="inlineStr">
        <is>
          <t>Övriga Aktiebolag</t>
        </is>
      </c>
      <c r="I161" t="n">
        <v>3.3</v>
      </c>
      <c r="J161" t="n">
        <v>0</v>
      </c>
      <c r="K161" t="n">
        <v>0</v>
      </c>
      <c r="L161" t="n">
        <v>1</v>
      </c>
      <c r="M161" t="n">
        <v>0</v>
      </c>
      <c r="N161" t="n">
        <v>0</v>
      </c>
      <c r="O161" t="n">
        <v>0</v>
      </c>
      <c r="P161" t="n">
        <v>0</v>
      </c>
      <c r="Q161" t="n">
        <v>1</v>
      </c>
      <c r="R161" t="n">
        <v>0</v>
      </c>
      <c r="S161" t="n">
        <v>1</v>
      </c>
      <c r="T161" t="n">
        <v>1</v>
      </c>
      <c r="U161" s="2" t="inlineStr">
        <is>
          <t>Skogshare</t>
        </is>
      </c>
      <c r="V161">
        <f>HYPERLINK("https://klasma.github.io/Logging_0380/artfynd/A 52849-2021 artfynd.xlsx", "A 52849-2021")</f>
        <v/>
      </c>
      <c r="W161">
        <f>HYPERLINK("https://klasma.github.io/Logging_0380/kartor/A 52849-2021 karta.png", "A 52849-2021")</f>
        <v/>
      </c>
      <c r="Y161">
        <f>HYPERLINK("https://klasma.github.io/Logging_0380/klagomål/A 52849-2021 FSC-klagomål.docx", "A 52849-2021")</f>
        <v/>
      </c>
      <c r="Z161">
        <f>HYPERLINK("https://klasma.github.io/Logging_0380/klagomålsmail/A 52849-2021 FSC-klagomål mail.docx", "A 52849-2021")</f>
        <v/>
      </c>
      <c r="AA161">
        <f>HYPERLINK("https://klasma.github.io/Logging_0380/tillsyn/A 52849-2021 tillsynsbegäran.docx", "A 52849-2021")</f>
        <v/>
      </c>
      <c r="AB161">
        <f>HYPERLINK("https://klasma.github.io/Logging_0380/tillsynsmail/A 52849-2021 tillsynsbegäran mail.docx", "A 52849-2021")</f>
        <v/>
      </c>
    </row>
    <row r="162" ht="15" customHeight="1">
      <c r="A162" t="inlineStr">
        <is>
          <t>A 17484-2025</t>
        </is>
      </c>
      <c r="B162" t="inlineStr">
        <is>
          <t>avverkningsanmälan</t>
        </is>
      </c>
      <c r="C162" t="inlineStr">
        <is>
          <t>Föryngringsavverkning</t>
        </is>
      </c>
      <c r="D162" s="1" t="n">
        <v>45757</v>
      </c>
      <c r="E162" s="1" t="n">
        <v>46222</v>
      </c>
      <c r="F162" t="inlineStr">
        <is>
          <t>UPPSALA LÄN</t>
        </is>
      </c>
      <c r="G162" t="inlineStr">
        <is>
          <t>UPPSALA</t>
        </is>
      </c>
      <c r="I162" t="n">
        <v>13.1</v>
      </c>
      <c r="J162" t="n">
        <v>1</v>
      </c>
      <c r="K162" t="n">
        <v>0</v>
      </c>
      <c r="L162" t="n">
        <v>0</v>
      </c>
      <c r="M162" t="n">
        <v>0</v>
      </c>
      <c r="N162" t="n">
        <v>0</v>
      </c>
      <c r="O162" t="n">
        <v>0</v>
      </c>
      <c r="P162" t="n">
        <v>0</v>
      </c>
      <c r="Q162" t="n">
        <v>0</v>
      </c>
      <c r="R162" t="n">
        <v>0</v>
      </c>
      <c r="S162" t="n">
        <v>1</v>
      </c>
      <c r="T162" t="n">
        <v>1</v>
      </c>
      <c r="U162" s="2" t="inlineStr">
        <is>
          <t>Fläcknycklar</t>
        </is>
      </c>
      <c r="V162">
        <f>HYPERLINK("https://klasma.github.io/Logging_0380/artfynd/A 17484-2025 artfynd.xlsx", "A 17484-2025")</f>
        <v/>
      </c>
      <c r="W162">
        <f>HYPERLINK("https://klasma.github.io/Logging_0380/kartor/A 17484-2025 karta.png", "A 17484-2025")</f>
        <v/>
      </c>
      <c r="Y162">
        <f>HYPERLINK("https://klasma.github.io/Logging_0380/klagomål/A 17484-2025 FSC-klagomål.docx", "A 17484-2025")</f>
        <v/>
      </c>
      <c r="Z162">
        <f>HYPERLINK("https://klasma.github.io/Logging_0380/klagomålsmail/A 17484-2025 FSC-klagomål mail.docx", "A 17484-2025")</f>
        <v/>
      </c>
      <c r="AA162">
        <f>HYPERLINK("https://klasma.github.io/Logging_0380/tillsyn/A 17484-2025 tillsynsbegäran.docx", "A 17484-2025")</f>
        <v/>
      </c>
      <c r="AB162">
        <f>HYPERLINK("https://klasma.github.io/Logging_0380/tillsynsmail/A 17484-2025 tillsynsbegäran mail.docx", "A 17484-2025")</f>
        <v/>
      </c>
    </row>
    <row r="163" ht="15" customHeight="1">
      <c r="A163" t="inlineStr">
        <is>
          <t>A 61818-2022</t>
        </is>
      </c>
      <c r="B163" t="inlineStr">
        <is>
          <t>avverkningsanmälan</t>
        </is>
      </c>
      <c r="C163" t="inlineStr">
        <is>
          <t>Föryngringsavverkning</t>
        </is>
      </c>
      <c r="D163" s="1" t="n">
        <v>44917</v>
      </c>
      <c r="E163" s="1" t="n">
        <v>46222</v>
      </c>
      <c r="F163" t="inlineStr">
        <is>
          <t>UPPSALA LÄN</t>
        </is>
      </c>
      <c r="G163" t="inlineStr">
        <is>
          <t>UPPSALA</t>
        </is>
      </c>
      <c r="H163" t="inlineStr">
        <is>
          <t>Holmen skog AB</t>
        </is>
      </c>
      <c r="I163" t="n">
        <v>0.8</v>
      </c>
      <c r="J163" t="n">
        <v>0</v>
      </c>
      <c r="K163" t="n">
        <v>0</v>
      </c>
      <c r="L163" t="n">
        <v>1</v>
      </c>
      <c r="M163" t="n">
        <v>0</v>
      </c>
      <c r="N163" t="n">
        <v>0</v>
      </c>
      <c r="O163" t="n">
        <v>0</v>
      </c>
      <c r="P163" t="n">
        <v>0</v>
      </c>
      <c r="Q163" t="n">
        <v>1</v>
      </c>
      <c r="R163" t="n">
        <v>0</v>
      </c>
      <c r="S163" t="n">
        <v>1</v>
      </c>
      <c r="T163" t="n">
        <v>2</v>
      </c>
      <c r="U163" s="2" t="inlineStr">
        <is>
          <t>Blekticka</t>
        </is>
      </c>
      <c r="V163">
        <f>HYPERLINK("https://klasma.github.io/Logging_0380/artfynd/A 61818-2022 artfynd.xlsx", "A 61818-2022")</f>
        <v/>
      </c>
      <c r="W163">
        <f>HYPERLINK("https://klasma.github.io/Logging_0380/kartor/A 61818-2022 karta.png", "A 61818-2022")</f>
        <v/>
      </c>
      <c r="Y163">
        <f>HYPERLINK("https://klasma.github.io/Logging_0380/klagomål/A 61818-2022 FSC-klagomål.docx", "A 61818-2022")</f>
        <v/>
      </c>
      <c r="Z163">
        <f>HYPERLINK("https://klasma.github.io/Logging_0380/klagomålsmail/A 61818-2022 FSC-klagomål mail.docx", "A 61818-2022")</f>
        <v/>
      </c>
      <c r="AA163">
        <f>HYPERLINK("https://klasma.github.io/Logging_0380/tillsyn/A 61818-2022 tillsynsbegäran.docx", "A 61818-2022")</f>
        <v/>
      </c>
      <c r="AB163">
        <f>HYPERLINK("https://klasma.github.io/Logging_0380/tillsynsmail/A 61818-2022 tillsynsbegäran mail.docx", "A 61818-2022")</f>
        <v/>
      </c>
    </row>
    <row r="164" ht="15" customHeight="1">
      <c r="A164" t="inlineStr">
        <is>
          <t>A 29902-2023</t>
        </is>
      </c>
      <c r="B164" t="inlineStr">
        <is>
          <t>avverkningsanmälan</t>
        </is>
      </c>
      <c r="C164" t="inlineStr">
        <is>
          <t>Föryngringsavverkning</t>
        </is>
      </c>
      <c r="D164" s="1" t="n">
        <v>45107</v>
      </c>
      <c r="E164" s="1" t="n">
        <v>46222</v>
      </c>
      <c r="F164" t="inlineStr">
        <is>
          <t>UPPSALA LÄN</t>
        </is>
      </c>
      <c r="G164" t="inlineStr">
        <is>
          <t>UPPSALA</t>
        </is>
      </c>
      <c r="H164" t="inlineStr">
        <is>
          <t>Kyrkan</t>
        </is>
      </c>
      <c r="I164" t="n">
        <v>10.6</v>
      </c>
      <c r="J164" t="n">
        <v>1</v>
      </c>
      <c r="K164" t="n">
        <v>0</v>
      </c>
      <c r="L164" t="n">
        <v>0</v>
      </c>
      <c r="M164" t="n">
        <v>0</v>
      </c>
      <c r="N164" t="n">
        <v>0</v>
      </c>
      <c r="O164" t="n">
        <v>0</v>
      </c>
      <c r="P164" t="n">
        <v>0</v>
      </c>
      <c r="Q164" t="n">
        <v>0</v>
      </c>
      <c r="R164" t="n">
        <v>0</v>
      </c>
      <c r="S164" t="n">
        <v>1</v>
      </c>
      <c r="T164" t="n">
        <v>1</v>
      </c>
      <c r="U164" s="2" t="inlineStr">
        <is>
          <t>Järpe</t>
        </is>
      </c>
      <c r="V164">
        <f>HYPERLINK("https://klasma.github.io/Logging_0380/artfynd/A 29902-2023 artfynd.xlsx", "A 29902-2023")</f>
        <v/>
      </c>
      <c r="W164">
        <f>HYPERLINK("https://klasma.github.io/Logging_0380/kartor/A 29902-2023 karta.png", "A 29902-2023")</f>
        <v/>
      </c>
      <c r="Y164">
        <f>HYPERLINK("https://klasma.github.io/Logging_0380/klagomål/A 29902-2023 FSC-klagomål.docx", "A 29902-2023")</f>
        <v/>
      </c>
      <c r="Z164">
        <f>HYPERLINK("https://klasma.github.io/Logging_0380/klagomålsmail/A 29902-2023 FSC-klagomål mail.docx", "A 29902-2023")</f>
        <v/>
      </c>
      <c r="AA164">
        <f>HYPERLINK("https://klasma.github.io/Logging_0380/tillsyn/A 29902-2023 tillsynsbegäran.docx", "A 29902-2023")</f>
        <v/>
      </c>
      <c r="AB164">
        <f>HYPERLINK("https://klasma.github.io/Logging_0380/tillsynsmail/A 29902-2023 tillsynsbegäran mail.docx", "A 29902-2023")</f>
        <v/>
      </c>
      <c r="AC164">
        <f>HYPERLINK("https://klasma.github.io/Logging_0380/fåglar/A 29902-2023 prioriterade fågelarter.docx", "A 29902-2023")</f>
        <v/>
      </c>
    </row>
    <row r="165" ht="15" customHeight="1">
      <c r="A165" t="inlineStr">
        <is>
          <t>A 3183-2024</t>
        </is>
      </c>
      <c r="B165" t="inlineStr">
        <is>
          <t>avverkningsanmälan</t>
        </is>
      </c>
      <c r="C165" t="inlineStr">
        <is>
          <t>Föryngringsavverkning</t>
        </is>
      </c>
      <c r="D165" s="1" t="n">
        <v>45316</v>
      </c>
      <c r="E165" s="1" t="n">
        <v>46222</v>
      </c>
      <c r="F165" t="inlineStr">
        <is>
          <t>UPPSALA LÄN</t>
        </is>
      </c>
      <c r="G165" t="inlineStr">
        <is>
          <t>UPPSALA</t>
        </is>
      </c>
      <c r="H165" t="inlineStr">
        <is>
          <t>Bergvik skog öst AB</t>
        </is>
      </c>
      <c r="I165" t="n">
        <v>1.8</v>
      </c>
      <c r="J165" t="n">
        <v>1</v>
      </c>
      <c r="K165" t="n">
        <v>0</v>
      </c>
      <c r="L165" t="n">
        <v>1</v>
      </c>
      <c r="M165" t="n">
        <v>0</v>
      </c>
      <c r="N165" t="n">
        <v>0</v>
      </c>
      <c r="O165" t="n">
        <v>0</v>
      </c>
      <c r="P165" t="n">
        <v>0</v>
      </c>
      <c r="Q165" t="n">
        <v>1</v>
      </c>
      <c r="R165" t="n">
        <v>0</v>
      </c>
      <c r="S165" t="n">
        <v>1</v>
      </c>
      <c r="T165" t="n">
        <v>1</v>
      </c>
      <c r="U165" s="2" t="inlineStr">
        <is>
          <t>Järnsparv</t>
        </is>
      </c>
      <c r="V165">
        <f>HYPERLINK("https://klasma.github.io/Logging_0380/artfynd/A 3183-2024 artfynd.xlsx", "A 3183-2024")</f>
        <v/>
      </c>
      <c r="W165">
        <f>HYPERLINK("https://klasma.github.io/Logging_0380/kartor/A 3183-2024 karta.png", "A 3183-2024")</f>
        <v/>
      </c>
      <c r="Y165">
        <f>HYPERLINK("https://klasma.github.io/Logging_0380/klagomål/A 3183-2024 FSC-klagomål.docx", "A 3183-2024")</f>
        <v/>
      </c>
      <c r="Z165">
        <f>HYPERLINK("https://klasma.github.io/Logging_0380/klagomålsmail/A 3183-2024 FSC-klagomål mail.docx", "A 3183-2024")</f>
        <v/>
      </c>
      <c r="AA165">
        <f>HYPERLINK("https://klasma.github.io/Logging_0380/tillsyn/A 3183-2024 tillsynsbegäran.docx", "A 3183-2024")</f>
        <v/>
      </c>
      <c r="AB165">
        <f>HYPERLINK("https://klasma.github.io/Logging_0380/tillsynsmail/A 3183-2024 tillsynsbegäran mail.docx", "A 3183-2024")</f>
        <v/>
      </c>
      <c r="AC165">
        <f>HYPERLINK("https://klasma.github.io/Logging_0380/fåglar/A 3183-2024 prioriterade fågelarter.docx", "A 3183-2024")</f>
        <v/>
      </c>
    </row>
    <row r="166" ht="15" customHeight="1">
      <c r="A166" t="inlineStr">
        <is>
          <t>A 63075-2025</t>
        </is>
      </c>
      <c r="B166" t="inlineStr">
        <is>
          <t>avverkningsanmälan</t>
        </is>
      </c>
      <c r="C166" t="inlineStr">
        <is>
          <t>Föryngringsavverkning</t>
        </is>
      </c>
      <c r="D166" s="1" t="n">
        <v>46009</v>
      </c>
      <c r="E166" s="1" t="n">
        <v>46222</v>
      </c>
      <c r="F166" t="inlineStr">
        <is>
          <t>UPPSALA LÄN</t>
        </is>
      </c>
      <c r="G166" t="inlineStr">
        <is>
          <t>UPPSALA</t>
        </is>
      </c>
      <c r="H166" t="inlineStr">
        <is>
          <t>Övriga statliga verk och myndigheter</t>
        </is>
      </c>
      <c r="I166" t="n">
        <v>4</v>
      </c>
      <c r="J166" t="n">
        <v>1</v>
      </c>
      <c r="K166" t="n">
        <v>0</v>
      </c>
      <c r="L166" t="n">
        <v>1</v>
      </c>
      <c r="M166" t="n">
        <v>0</v>
      </c>
      <c r="N166" t="n">
        <v>0</v>
      </c>
      <c r="O166" t="n">
        <v>0</v>
      </c>
      <c r="P166" t="n">
        <v>0</v>
      </c>
      <c r="Q166" t="n">
        <v>1</v>
      </c>
      <c r="R166" t="n">
        <v>0</v>
      </c>
      <c r="S166" t="n">
        <v>1</v>
      </c>
      <c r="T166" t="n">
        <v>1</v>
      </c>
      <c r="U166" s="2" t="inlineStr">
        <is>
          <t>Talltita</t>
        </is>
      </c>
      <c r="V166">
        <f>HYPERLINK("https://klasma.github.io/Logging_0380/artfynd/A 63075-2025 artfynd.xlsx", "A 63075-2025")</f>
        <v/>
      </c>
      <c r="W166">
        <f>HYPERLINK("https://klasma.github.io/Logging_0380/kartor/A 63075-2025 karta.png", "A 63075-2025")</f>
        <v/>
      </c>
      <c r="Y166">
        <f>HYPERLINK("https://klasma.github.io/Logging_0380/klagomål/A 63075-2025 FSC-klagomål.docx", "A 63075-2025")</f>
        <v/>
      </c>
      <c r="Z166">
        <f>HYPERLINK("https://klasma.github.io/Logging_0380/klagomålsmail/A 63075-2025 FSC-klagomål mail.docx", "A 63075-2025")</f>
        <v/>
      </c>
      <c r="AA166">
        <f>HYPERLINK("https://klasma.github.io/Logging_0380/tillsyn/A 63075-2025 tillsynsbegäran.docx", "A 63075-2025")</f>
        <v/>
      </c>
      <c r="AB166">
        <f>HYPERLINK("https://klasma.github.io/Logging_0380/tillsynsmail/A 63075-2025 tillsynsbegäran mail.docx", "A 63075-2025")</f>
        <v/>
      </c>
      <c r="AC166">
        <f>HYPERLINK("https://klasma.github.io/Logging_0380/fåglar/A 63075-2025 prioriterade fågelarter.docx", "A 63075-2025")</f>
        <v/>
      </c>
    </row>
    <row r="167" ht="15" customHeight="1">
      <c r="A167" t="inlineStr">
        <is>
          <t>A 17250-2025</t>
        </is>
      </c>
      <c r="B167" t="inlineStr">
        <is>
          <t>avverkningsanmälan</t>
        </is>
      </c>
      <c r="C167" t="inlineStr">
        <is>
          <t>Föryngringsavverkning</t>
        </is>
      </c>
      <c r="D167" s="1" t="n">
        <v>45756</v>
      </c>
      <c r="E167" s="1" t="n">
        <v>46222</v>
      </c>
      <c r="F167" t="inlineStr">
        <is>
          <t>UPPSALA LÄN</t>
        </is>
      </c>
      <c r="G167" t="inlineStr">
        <is>
          <t>UPPSALA</t>
        </is>
      </c>
      <c r="I167" t="n">
        <v>2.2</v>
      </c>
      <c r="J167" t="n">
        <v>0</v>
      </c>
      <c r="K167" t="n">
        <v>0</v>
      </c>
      <c r="L167" t="n">
        <v>1</v>
      </c>
      <c r="M167" t="n">
        <v>0</v>
      </c>
      <c r="N167" t="n">
        <v>0</v>
      </c>
      <c r="O167" t="n">
        <v>0</v>
      </c>
      <c r="P167" t="n">
        <v>0</v>
      </c>
      <c r="Q167" t="n">
        <v>1</v>
      </c>
      <c r="R167" t="n">
        <v>0</v>
      </c>
      <c r="S167" t="n">
        <v>1</v>
      </c>
      <c r="T167" t="n">
        <v>1</v>
      </c>
      <c r="U167" s="2" t="inlineStr">
        <is>
          <t>Vedtrappmossa</t>
        </is>
      </c>
      <c r="V167">
        <f>HYPERLINK("https://klasma.github.io/Logging_0380/artfynd/A 17250-2025 artfynd.xlsx", "A 17250-2025")</f>
        <v/>
      </c>
      <c r="W167">
        <f>HYPERLINK("https://klasma.github.io/Logging_0380/kartor/A 17250-2025 karta.png", "A 17250-2025")</f>
        <v/>
      </c>
      <c r="Y167">
        <f>HYPERLINK("https://klasma.github.io/Logging_0380/klagomål/A 17250-2025 FSC-klagomål.docx", "A 17250-2025")</f>
        <v/>
      </c>
      <c r="Z167">
        <f>HYPERLINK("https://klasma.github.io/Logging_0380/klagomålsmail/A 17250-2025 FSC-klagomål mail.docx", "A 17250-2025")</f>
        <v/>
      </c>
      <c r="AA167">
        <f>HYPERLINK("https://klasma.github.io/Logging_0380/tillsyn/A 17250-2025 tillsynsbegäran.docx", "A 17250-2025")</f>
        <v/>
      </c>
      <c r="AB167">
        <f>HYPERLINK("https://klasma.github.io/Logging_0380/tillsynsmail/A 17250-2025 tillsynsbegäran mail.docx", "A 17250-2025")</f>
        <v/>
      </c>
    </row>
    <row r="168" ht="15" customHeight="1">
      <c r="A168" t="inlineStr">
        <is>
          <t>A 15603-2026</t>
        </is>
      </c>
      <c r="B168" t="inlineStr">
        <is>
          <t>avverkningsanmälan</t>
        </is>
      </c>
      <c r="C168" t="inlineStr">
        <is>
          <t>Föryngringsavverkning</t>
        </is>
      </c>
      <c r="D168" s="1" t="n">
        <v>46106</v>
      </c>
      <c r="E168" s="1" t="n">
        <v>46222</v>
      </c>
      <c r="F168" t="inlineStr">
        <is>
          <t>UPPSALA LÄN</t>
        </is>
      </c>
      <c r="G168" t="inlineStr">
        <is>
          <t>UPPSALA</t>
        </is>
      </c>
      <c r="I168" t="n">
        <v>3.4</v>
      </c>
      <c r="J168" t="n">
        <v>0</v>
      </c>
      <c r="K168" t="n">
        <v>1</v>
      </c>
      <c r="L168" t="n">
        <v>0</v>
      </c>
      <c r="M168" t="n">
        <v>0</v>
      </c>
      <c r="N168" t="n">
        <v>0</v>
      </c>
      <c r="O168" t="n">
        <v>0</v>
      </c>
      <c r="P168" t="n">
        <v>0</v>
      </c>
      <c r="Q168" t="n">
        <v>0</v>
      </c>
      <c r="R168" t="n">
        <v>0</v>
      </c>
      <c r="S168" t="n">
        <v>1</v>
      </c>
      <c r="T168" t="n">
        <v>2</v>
      </c>
      <c r="U168" s="2" t="inlineStr">
        <is>
          <t>Svavelriska</t>
        </is>
      </c>
      <c r="V168">
        <f>HYPERLINK("https://klasma.github.io/Logging_0380/artfynd/A 15603-2026 artfynd.xlsx", "A 15603-2026")</f>
        <v/>
      </c>
      <c r="W168">
        <f>HYPERLINK("https://klasma.github.io/Logging_0380/kartor/A 15603-2026 karta.png", "A 15603-2026")</f>
        <v/>
      </c>
      <c r="Y168">
        <f>HYPERLINK("https://klasma.github.io/Logging_0380/klagomål/A 15603-2026 FSC-klagomål.docx", "A 15603-2026")</f>
        <v/>
      </c>
      <c r="Z168">
        <f>HYPERLINK("https://klasma.github.io/Logging_0380/klagomålsmail/A 15603-2026 FSC-klagomål mail.docx", "A 15603-2026")</f>
        <v/>
      </c>
      <c r="AA168">
        <f>HYPERLINK("https://klasma.github.io/Logging_0380/tillsyn/A 15603-2026 tillsynsbegäran.docx", "A 15603-2026")</f>
        <v/>
      </c>
      <c r="AB168">
        <f>HYPERLINK("https://klasma.github.io/Logging_0380/tillsynsmail/A 15603-2026 tillsynsbegäran mail.docx", "A 15603-2026")</f>
        <v/>
      </c>
    </row>
    <row r="169" ht="15" customHeight="1">
      <c r="A169" t="inlineStr">
        <is>
          <t>A 46748-2024</t>
        </is>
      </c>
      <c r="B169" t="inlineStr">
        <is>
          <t>avverkningsanmälan</t>
        </is>
      </c>
      <c r="C169" t="inlineStr">
        <is>
          <t>Föryngringsavverkning</t>
        </is>
      </c>
      <c r="D169" s="1" t="n">
        <v>45583</v>
      </c>
      <c r="E169" s="1" t="n">
        <v>46222</v>
      </c>
      <c r="F169" t="inlineStr">
        <is>
          <t>UPPSALA LÄN</t>
        </is>
      </c>
      <c r="G169" t="inlineStr">
        <is>
          <t>UPPSALA</t>
        </is>
      </c>
      <c r="H169" t="inlineStr">
        <is>
          <t>Sveaskog</t>
        </is>
      </c>
      <c r="I169" t="n">
        <v>1.1</v>
      </c>
      <c r="J169" t="n">
        <v>1</v>
      </c>
      <c r="K169" t="n">
        <v>0</v>
      </c>
      <c r="L169" t="n">
        <v>0</v>
      </c>
      <c r="M169" t="n">
        <v>0</v>
      </c>
      <c r="N169" t="n">
        <v>0</v>
      </c>
      <c r="O169" t="n">
        <v>0</v>
      </c>
      <c r="P169" t="n">
        <v>0</v>
      </c>
      <c r="Q169" t="n">
        <v>0</v>
      </c>
      <c r="R169" t="n">
        <v>0</v>
      </c>
      <c r="S169" t="n">
        <v>1</v>
      </c>
      <c r="T169" t="n">
        <v>1</v>
      </c>
      <c r="U169" s="2" t="inlineStr">
        <is>
          <t>Nattskärra</t>
        </is>
      </c>
      <c r="V169">
        <f>HYPERLINK("https://klasma.github.io/Logging_0380/artfynd/A 46748-2024 artfynd.xlsx", "A 46748-2024")</f>
        <v/>
      </c>
      <c r="W169">
        <f>HYPERLINK("https://klasma.github.io/Logging_0380/kartor/A 46748-2024 karta.png", "A 46748-2024")</f>
        <v/>
      </c>
      <c r="Y169">
        <f>HYPERLINK("https://klasma.github.io/Logging_0380/klagomål/A 46748-2024 FSC-klagomål.docx", "A 46748-2024")</f>
        <v/>
      </c>
      <c r="Z169">
        <f>HYPERLINK("https://klasma.github.io/Logging_0380/klagomålsmail/A 46748-2024 FSC-klagomål mail.docx", "A 46748-2024")</f>
        <v/>
      </c>
      <c r="AA169">
        <f>HYPERLINK("https://klasma.github.io/Logging_0380/tillsyn/A 46748-2024 tillsynsbegäran.docx", "A 46748-2024")</f>
        <v/>
      </c>
      <c r="AB169">
        <f>HYPERLINK("https://klasma.github.io/Logging_0380/tillsynsmail/A 46748-2024 tillsynsbegäran mail.docx", "A 46748-2024")</f>
        <v/>
      </c>
      <c r="AC169">
        <f>HYPERLINK("https://klasma.github.io/Logging_0380/fåglar/A 46748-2024 prioriterade fågelarter.docx", "A 46748-2024")</f>
        <v/>
      </c>
    </row>
    <row r="170" ht="15" customHeight="1">
      <c r="A170" t="inlineStr">
        <is>
          <t>A 42528-2023</t>
        </is>
      </c>
      <c r="B170" t="inlineStr">
        <is>
          <t>avverkningsanmälan</t>
        </is>
      </c>
      <c r="C170" t="inlineStr">
        <is>
          <t>Föryngringsavverkning</t>
        </is>
      </c>
      <c r="D170" s="1" t="n">
        <v>45181</v>
      </c>
      <c r="E170" s="1" t="n">
        <v>46222</v>
      </c>
      <c r="F170" t="inlineStr">
        <is>
          <t>UPPSALA LÄN</t>
        </is>
      </c>
      <c r="G170" t="inlineStr">
        <is>
          <t>UPPSALA</t>
        </is>
      </c>
      <c r="I170" t="n">
        <v>1.2</v>
      </c>
      <c r="J170" t="n">
        <v>0</v>
      </c>
      <c r="K170" t="n">
        <v>0</v>
      </c>
      <c r="L170" t="n">
        <v>1</v>
      </c>
      <c r="M170" t="n">
        <v>0</v>
      </c>
      <c r="N170" t="n">
        <v>0</v>
      </c>
      <c r="O170" t="n">
        <v>0</v>
      </c>
      <c r="P170" t="n">
        <v>0</v>
      </c>
      <c r="Q170" t="n">
        <v>1</v>
      </c>
      <c r="R170" t="n">
        <v>0</v>
      </c>
      <c r="S170" t="n">
        <v>1</v>
      </c>
      <c r="T170" t="n">
        <v>3</v>
      </c>
      <c r="U170" s="2" t="inlineStr">
        <is>
          <t>Lunglav</t>
        </is>
      </c>
      <c r="V170">
        <f>HYPERLINK("https://klasma.github.io/Logging_0380/artfynd/A 42528-2023 artfynd.xlsx", "A 42528-2023")</f>
        <v/>
      </c>
      <c r="W170">
        <f>HYPERLINK("https://klasma.github.io/Logging_0380/kartor/A 42528-2023 karta.png", "A 42528-2023")</f>
        <v/>
      </c>
      <c r="Y170">
        <f>HYPERLINK("https://klasma.github.io/Logging_0380/klagomål/A 42528-2023 FSC-klagomål.docx", "A 42528-2023")</f>
        <v/>
      </c>
      <c r="Z170">
        <f>HYPERLINK("https://klasma.github.io/Logging_0380/klagomålsmail/A 42528-2023 FSC-klagomål mail.docx", "A 42528-2023")</f>
        <v/>
      </c>
      <c r="AA170">
        <f>HYPERLINK("https://klasma.github.io/Logging_0380/tillsyn/A 42528-2023 tillsynsbegäran.docx", "A 42528-2023")</f>
        <v/>
      </c>
      <c r="AB170">
        <f>HYPERLINK("https://klasma.github.io/Logging_0380/tillsynsmail/A 42528-2023 tillsynsbegäran mail.docx", "A 42528-2023")</f>
        <v/>
      </c>
    </row>
    <row r="171" ht="15" customHeight="1">
      <c r="A171" t="inlineStr">
        <is>
          <t>A 29906-2023</t>
        </is>
      </c>
      <c r="B171" t="inlineStr">
        <is>
          <t>avverkningsanmälan</t>
        </is>
      </c>
      <c r="C171" t="inlineStr">
        <is>
          <t>Föryngringsavverkning</t>
        </is>
      </c>
      <c r="D171" s="1" t="n">
        <v>45107</v>
      </c>
      <c r="E171" s="1" t="n">
        <v>46222</v>
      </c>
      <c r="F171" t="inlineStr">
        <is>
          <t>UPPSALA LÄN</t>
        </is>
      </c>
      <c r="G171" t="inlineStr">
        <is>
          <t>UPPSALA</t>
        </is>
      </c>
      <c r="H171" t="inlineStr">
        <is>
          <t>Kyrkan</t>
        </is>
      </c>
      <c r="I171" t="n">
        <v>0.5</v>
      </c>
      <c r="J171" t="n">
        <v>0</v>
      </c>
      <c r="K171" t="n">
        <v>1</v>
      </c>
      <c r="L171" t="n">
        <v>0</v>
      </c>
      <c r="M171" t="n">
        <v>0</v>
      </c>
      <c r="N171" t="n">
        <v>0</v>
      </c>
      <c r="O171" t="n">
        <v>0</v>
      </c>
      <c r="P171" t="n">
        <v>0</v>
      </c>
      <c r="Q171" t="n">
        <v>0</v>
      </c>
      <c r="R171" t="n">
        <v>0</v>
      </c>
      <c r="S171" t="n">
        <v>1</v>
      </c>
      <c r="T171" t="n">
        <v>1</v>
      </c>
      <c r="U171" s="2" t="inlineStr">
        <is>
          <t>Sotriska</t>
        </is>
      </c>
      <c r="V171">
        <f>HYPERLINK("https://klasma.github.io/Logging_0380/artfynd/A 29906-2023 artfynd.xlsx", "A 29906-2023")</f>
        <v/>
      </c>
      <c r="W171">
        <f>HYPERLINK("https://klasma.github.io/Logging_0380/kartor/A 29906-2023 karta.png", "A 29906-2023")</f>
        <v/>
      </c>
      <c r="Y171">
        <f>HYPERLINK("https://klasma.github.io/Logging_0380/klagomål/A 29906-2023 FSC-klagomål.docx", "A 29906-2023")</f>
        <v/>
      </c>
      <c r="Z171">
        <f>HYPERLINK("https://klasma.github.io/Logging_0380/klagomålsmail/A 29906-2023 FSC-klagomål mail.docx", "A 29906-2023")</f>
        <v/>
      </c>
      <c r="AA171">
        <f>HYPERLINK("https://klasma.github.io/Logging_0380/tillsyn/A 29906-2023 tillsynsbegäran.docx", "A 29906-2023")</f>
        <v/>
      </c>
      <c r="AB171">
        <f>HYPERLINK("https://klasma.github.io/Logging_0380/tillsynsmail/A 29906-2023 tillsynsbegäran mail.docx", "A 29906-2023")</f>
        <v/>
      </c>
    </row>
    <row r="172" ht="15" customHeight="1">
      <c r="A172" t="inlineStr">
        <is>
          <t>A 59547-2024</t>
        </is>
      </c>
      <c r="B172" t="inlineStr">
        <is>
          <t>avverkningsanmälan</t>
        </is>
      </c>
      <c r="C172" t="inlineStr">
        <is>
          <t>Föryngringsavverkning</t>
        </is>
      </c>
      <c r="D172" s="1" t="n">
        <v>45638</v>
      </c>
      <c r="E172" s="1" t="n">
        <v>46222</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s="2" t="inlineStr">
        <is>
          <t>Ängsskära</t>
        </is>
      </c>
      <c r="V172">
        <f>HYPERLINK("https://klasma.github.io/Logging_0380/artfynd/A 59547-2024 artfynd.xlsx", "A 59547-2024")</f>
        <v/>
      </c>
      <c r="W172">
        <f>HYPERLINK("https://klasma.github.io/Logging_0380/kartor/A 59547-2024 karta.png", "A 59547-2024")</f>
        <v/>
      </c>
      <c r="Y172">
        <f>HYPERLINK("https://klasma.github.io/Logging_0380/klagomål/A 59547-2024 FSC-klagomål.docx", "A 59547-2024")</f>
        <v/>
      </c>
      <c r="Z172">
        <f>HYPERLINK("https://klasma.github.io/Logging_0380/klagomålsmail/A 59547-2024 FSC-klagomål mail.docx", "A 59547-2024")</f>
        <v/>
      </c>
      <c r="AA172">
        <f>HYPERLINK("https://klasma.github.io/Logging_0380/tillsyn/A 59547-2024 tillsynsbegäran.docx", "A 59547-2024")</f>
        <v/>
      </c>
      <c r="AB172">
        <f>HYPERLINK("https://klasma.github.io/Logging_0380/tillsynsmail/A 59547-2024 tillsynsbegäran mail.docx", "A 59547-2024")</f>
        <v/>
      </c>
    </row>
    <row r="173" ht="15" customHeight="1">
      <c r="A173" t="inlineStr">
        <is>
          <t>A 44815-2023</t>
        </is>
      </c>
      <c r="B173" t="inlineStr">
        <is>
          <t>avverkningsanmälan</t>
        </is>
      </c>
      <c r="C173" t="inlineStr">
        <is>
          <t>Avverkning för att bevara och utveckla /försöksver</t>
        </is>
      </c>
      <c r="D173" s="1" t="n">
        <v>45190</v>
      </c>
      <c r="E173" s="1" t="n">
        <v>46222</v>
      </c>
      <c r="F173" t="inlineStr">
        <is>
          <t>UPPSALA LÄN</t>
        </is>
      </c>
      <c r="G173" t="inlineStr">
        <is>
          <t>UPPSALA</t>
        </is>
      </c>
      <c r="I173" t="n">
        <v>2.3</v>
      </c>
      <c r="J173" t="n">
        <v>0</v>
      </c>
      <c r="K173" t="n">
        <v>0</v>
      </c>
      <c r="L173" t="n">
        <v>0</v>
      </c>
      <c r="M173" t="n">
        <v>1</v>
      </c>
      <c r="N173" t="n">
        <v>0</v>
      </c>
      <c r="O173" t="n">
        <v>0</v>
      </c>
      <c r="P173" t="n">
        <v>0</v>
      </c>
      <c r="Q173" t="n">
        <v>1</v>
      </c>
      <c r="R173" t="n">
        <v>1</v>
      </c>
      <c r="S173" t="n">
        <v>1</v>
      </c>
      <c r="T173" t="n">
        <v>1</v>
      </c>
      <c r="U173" s="2" t="inlineStr">
        <is>
          <t>Sexfläckig bastardsvärmare</t>
        </is>
      </c>
      <c r="V173">
        <f>HYPERLINK("https://klasma.github.io/Logging_0380/artfynd/A 44815-2023 artfynd.xlsx", "A 44815-2023")</f>
        <v/>
      </c>
      <c r="W173">
        <f>HYPERLINK("https://klasma.github.io/Logging_0380/kartor/A 44815-2023 karta.png", "A 44815-2023")</f>
        <v/>
      </c>
      <c r="Y173">
        <f>HYPERLINK("https://klasma.github.io/Logging_0380/klagomål/A 44815-2023 FSC-klagomål.docx", "A 44815-2023")</f>
        <v/>
      </c>
      <c r="Z173">
        <f>HYPERLINK("https://klasma.github.io/Logging_0380/klagomålsmail/A 44815-2023 FSC-klagomål mail.docx", "A 44815-2023")</f>
        <v/>
      </c>
      <c r="AA173">
        <f>HYPERLINK("https://klasma.github.io/Logging_0380/tillsyn/A 44815-2023 tillsynsbegäran.docx", "A 44815-2023")</f>
        <v/>
      </c>
      <c r="AB173">
        <f>HYPERLINK("https://klasma.github.io/Logging_0380/tillsynsmail/A 44815-2023 tillsynsbegäran mail.docx", "A 44815-2023")</f>
        <v/>
      </c>
    </row>
    <row r="174" ht="15" customHeight="1">
      <c r="A174" t="inlineStr">
        <is>
          <t>A 40872-2023</t>
        </is>
      </c>
      <c r="B174" t="inlineStr">
        <is>
          <t>avverkningsanmälan</t>
        </is>
      </c>
      <c r="C174" t="inlineStr">
        <is>
          <t>Avverkning för annat ändamål</t>
        </is>
      </c>
      <c r="D174" s="1" t="n">
        <v>45173</v>
      </c>
      <c r="E174" s="1" t="n">
        <v>46222</v>
      </c>
      <c r="F174" t="inlineStr">
        <is>
          <t>UPPSALA LÄN</t>
        </is>
      </c>
      <c r="G174" t="inlineStr">
        <is>
          <t>UPPSALA</t>
        </is>
      </c>
      <c r="I174" t="n">
        <v>1.1</v>
      </c>
      <c r="J174" t="n">
        <v>0</v>
      </c>
      <c r="K174" t="n">
        <v>1</v>
      </c>
      <c r="L174" t="n">
        <v>0</v>
      </c>
      <c r="M174" t="n">
        <v>0</v>
      </c>
      <c r="N174" t="n">
        <v>0</v>
      </c>
      <c r="O174" t="n">
        <v>0</v>
      </c>
      <c r="P174" t="n">
        <v>0</v>
      </c>
      <c r="Q174" t="n">
        <v>0</v>
      </c>
      <c r="R174" t="n">
        <v>0</v>
      </c>
      <c r="S174" t="n">
        <v>1</v>
      </c>
      <c r="T174" t="n">
        <v>1</v>
      </c>
      <c r="U174" s="2" t="inlineStr">
        <is>
          <t>Bronshjon</t>
        </is>
      </c>
      <c r="V174">
        <f>HYPERLINK("https://klasma.github.io/Logging_0380/artfynd/A 40872-2023 artfynd.xlsx", "A 40872-2023")</f>
        <v/>
      </c>
      <c r="W174">
        <f>HYPERLINK("https://klasma.github.io/Logging_0380/kartor/A 40872-2023 karta.png", "A 40872-2023")</f>
        <v/>
      </c>
      <c r="Y174">
        <f>HYPERLINK("https://klasma.github.io/Logging_0380/klagomål/A 40872-2023 FSC-klagomål.docx", "A 40872-2023")</f>
        <v/>
      </c>
      <c r="Z174">
        <f>HYPERLINK("https://klasma.github.io/Logging_0380/klagomålsmail/A 40872-2023 FSC-klagomål mail.docx", "A 40872-2023")</f>
        <v/>
      </c>
      <c r="AA174">
        <f>HYPERLINK("https://klasma.github.io/Logging_0380/tillsyn/A 40872-2023 tillsynsbegäran.docx", "A 40872-2023")</f>
        <v/>
      </c>
      <c r="AB174">
        <f>HYPERLINK("https://klasma.github.io/Logging_0380/tillsynsmail/A 40872-2023 tillsynsbegäran mail.docx", "A 40872-2023")</f>
        <v/>
      </c>
    </row>
    <row r="175" ht="15" customHeight="1">
      <c r="A175" t="inlineStr">
        <is>
          <t>A 5309-2022</t>
        </is>
      </c>
      <c r="B175" t="inlineStr">
        <is>
          <t>avverkningsanmälan</t>
        </is>
      </c>
      <c r="C175" t="inlineStr">
        <is>
          <t>Föryngringsavverkning</t>
        </is>
      </c>
      <c r="D175" s="1" t="n">
        <v>44594</v>
      </c>
      <c r="E175" s="1" t="n">
        <v>46222</v>
      </c>
      <c r="F175" t="inlineStr">
        <is>
          <t>UPPSALA LÄN</t>
        </is>
      </c>
      <c r="G175" t="inlineStr">
        <is>
          <t>UPPSALA</t>
        </is>
      </c>
      <c r="I175" t="n">
        <v>4.8</v>
      </c>
      <c r="J175" t="n">
        <v>0</v>
      </c>
      <c r="K175" t="n">
        <v>1</v>
      </c>
      <c r="L175" t="n">
        <v>0</v>
      </c>
      <c r="M175" t="n">
        <v>0</v>
      </c>
      <c r="N175" t="n">
        <v>0</v>
      </c>
      <c r="O175" t="n">
        <v>0</v>
      </c>
      <c r="P175" t="n">
        <v>0</v>
      </c>
      <c r="Q175" t="n">
        <v>0</v>
      </c>
      <c r="R175" t="n">
        <v>0</v>
      </c>
      <c r="S175" t="n">
        <v>1</v>
      </c>
      <c r="T175" t="n">
        <v>1</v>
      </c>
      <c r="U175" s="2" t="inlineStr">
        <is>
          <t>Grönpyrola</t>
        </is>
      </c>
      <c r="V175">
        <f>HYPERLINK("https://klasma.github.io/Logging_0380/artfynd/A 5309-2022 artfynd.xlsx", "A 5309-2022")</f>
        <v/>
      </c>
      <c r="W175">
        <f>HYPERLINK("https://klasma.github.io/Logging_0380/kartor/A 5309-2022 karta.png", "A 5309-2022")</f>
        <v/>
      </c>
      <c r="Y175">
        <f>HYPERLINK("https://klasma.github.io/Logging_0380/klagomål/A 5309-2022 FSC-klagomål.docx", "A 5309-2022")</f>
        <v/>
      </c>
      <c r="Z175">
        <f>HYPERLINK("https://klasma.github.io/Logging_0380/klagomålsmail/A 5309-2022 FSC-klagomål mail.docx", "A 5309-2022")</f>
        <v/>
      </c>
      <c r="AA175">
        <f>HYPERLINK("https://klasma.github.io/Logging_0380/tillsyn/A 5309-2022 tillsynsbegäran.docx", "A 5309-2022")</f>
        <v/>
      </c>
      <c r="AB175">
        <f>HYPERLINK("https://klasma.github.io/Logging_0380/tillsynsmail/A 5309-2022 tillsynsbegäran mail.docx", "A 5309-2022")</f>
        <v/>
      </c>
    </row>
    <row r="176" ht="15" customHeight="1">
      <c r="A176" t="inlineStr">
        <is>
          <t>A 37162-2021</t>
        </is>
      </c>
      <c r="B176" t="inlineStr">
        <is>
          <t>avverkningsanmälan</t>
        </is>
      </c>
      <c r="C176" t="inlineStr">
        <is>
          <t>Föryngringsavverkning</t>
        </is>
      </c>
      <c r="D176" s="1" t="n">
        <v>44395</v>
      </c>
      <c r="E176" s="1" t="n">
        <v>46222</v>
      </c>
      <c r="F176" t="inlineStr">
        <is>
          <t>UPPSALA LÄN</t>
        </is>
      </c>
      <c r="G176" t="inlineStr">
        <is>
          <t>UPPSALA</t>
        </is>
      </c>
      <c r="I176" t="n">
        <v>3.5</v>
      </c>
      <c r="J176" t="n">
        <v>0</v>
      </c>
      <c r="K176" t="n">
        <v>0</v>
      </c>
      <c r="L176" t="n">
        <v>0</v>
      </c>
      <c r="M176" t="n">
        <v>1</v>
      </c>
      <c r="N176" t="n">
        <v>0</v>
      </c>
      <c r="O176" t="n">
        <v>0</v>
      </c>
      <c r="P176" t="n">
        <v>0</v>
      </c>
      <c r="Q176" t="n">
        <v>1</v>
      </c>
      <c r="R176" t="n">
        <v>1</v>
      </c>
      <c r="S176" t="n">
        <v>1</v>
      </c>
      <c r="T176" t="n">
        <v>1</v>
      </c>
      <c r="U176" s="2" t="inlineStr">
        <is>
          <t>Igelkott</t>
        </is>
      </c>
      <c r="V176">
        <f>HYPERLINK("https://klasma.github.io/Logging_0380/artfynd/A 37162-2021 artfynd.xlsx", "A 37162-2021")</f>
        <v/>
      </c>
      <c r="W176">
        <f>HYPERLINK("https://klasma.github.io/Logging_0380/kartor/A 37162-2021 karta.png", "A 37162-2021")</f>
        <v/>
      </c>
      <c r="Y176">
        <f>HYPERLINK("https://klasma.github.io/Logging_0380/klagomål/A 37162-2021 FSC-klagomål.docx", "A 37162-2021")</f>
        <v/>
      </c>
      <c r="Z176">
        <f>HYPERLINK("https://klasma.github.io/Logging_0380/klagomålsmail/A 37162-2021 FSC-klagomål mail.docx", "A 37162-2021")</f>
        <v/>
      </c>
      <c r="AA176">
        <f>HYPERLINK("https://klasma.github.io/Logging_0380/tillsyn/A 37162-2021 tillsynsbegäran.docx", "A 37162-2021")</f>
        <v/>
      </c>
      <c r="AB176">
        <f>HYPERLINK("https://klasma.github.io/Logging_0380/tillsynsmail/A 37162-2021 tillsynsbegäran mail.docx", "A 37162-2021")</f>
        <v/>
      </c>
    </row>
    <row r="177" ht="15" customHeight="1">
      <c r="A177" t="inlineStr">
        <is>
          <t>A 41002-2023</t>
        </is>
      </c>
      <c r="B177" t="inlineStr">
        <is>
          <t>avverkningsanmälan</t>
        </is>
      </c>
      <c r="C177" t="inlineStr">
        <is>
          <t>Avverkning för att bevara och utveckla /försöksver</t>
        </is>
      </c>
      <c r="D177" s="1" t="n">
        <v>45173</v>
      </c>
      <c r="E177" s="1" t="n">
        <v>46222</v>
      </c>
      <c r="F177" t="inlineStr">
        <is>
          <t>UPPSALA LÄN</t>
        </is>
      </c>
      <c r="G177" t="inlineStr">
        <is>
          <t>UPPSALA</t>
        </is>
      </c>
      <c r="I177" t="n">
        <v>6.2</v>
      </c>
      <c r="J177" t="n">
        <v>1</v>
      </c>
      <c r="K177" t="n">
        <v>0</v>
      </c>
      <c r="L177" t="n">
        <v>0</v>
      </c>
      <c r="M177" t="n">
        <v>0</v>
      </c>
      <c r="N177" t="n">
        <v>0</v>
      </c>
      <c r="O177" t="n">
        <v>0</v>
      </c>
      <c r="P177" t="n">
        <v>0</v>
      </c>
      <c r="Q177" t="n">
        <v>0</v>
      </c>
      <c r="R177" t="n">
        <v>0</v>
      </c>
      <c r="S177" t="n">
        <v>1</v>
      </c>
      <c r="T177" t="n">
        <v>1</v>
      </c>
      <c r="U177" s="2" t="inlineStr">
        <is>
          <t>Blåsippa</t>
        </is>
      </c>
      <c r="V177">
        <f>HYPERLINK("https://klasma.github.io/Logging_0380/artfynd/A 41002-2023 artfynd.xlsx", "A 41002-2023")</f>
        <v/>
      </c>
      <c r="W177">
        <f>HYPERLINK("https://klasma.github.io/Logging_0380/kartor/A 41002-2023 karta.png", "A 41002-2023")</f>
        <v/>
      </c>
      <c r="Y177">
        <f>HYPERLINK("https://klasma.github.io/Logging_0380/klagomål/A 41002-2023 FSC-klagomål.docx", "A 41002-2023")</f>
        <v/>
      </c>
      <c r="Z177">
        <f>HYPERLINK("https://klasma.github.io/Logging_0380/klagomålsmail/A 41002-2023 FSC-klagomål mail.docx", "A 41002-2023")</f>
        <v/>
      </c>
      <c r="AA177">
        <f>HYPERLINK("https://klasma.github.io/Logging_0380/tillsyn/A 41002-2023 tillsynsbegäran.docx", "A 41002-2023")</f>
        <v/>
      </c>
      <c r="AB177">
        <f>HYPERLINK("https://klasma.github.io/Logging_0380/tillsynsmail/A 41002-2023 tillsynsbegäran mail.docx", "A 41002-2023")</f>
        <v/>
      </c>
    </row>
    <row r="178" ht="15" customHeight="1">
      <c r="A178" t="inlineStr">
        <is>
          <t>A 20709-2026</t>
        </is>
      </c>
      <c r="B178" t="inlineStr">
        <is>
          <t>avverkningsanmälan</t>
        </is>
      </c>
      <c r="C178" t="inlineStr">
        <is>
          <t>Föryngringsavverkning</t>
        </is>
      </c>
      <c r="D178" s="1" t="n">
        <v>46141</v>
      </c>
      <c r="E178" s="1" t="n">
        <v>46222</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s="2" t="inlineStr">
        <is>
          <t>Nordfladdermus</t>
        </is>
      </c>
      <c r="V178">
        <f>HYPERLINK("https://klasma.github.io/Logging_0380/artfynd/A 20709-2026 artfynd.xlsx", "A 20709-2026")</f>
        <v/>
      </c>
      <c r="W178">
        <f>HYPERLINK("https://klasma.github.io/Logging_0380/kartor/A 20709-2026 karta.png", "A 20709-2026")</f>
        <v/>
      </c>
      <c r="Y178">
        <f>HYPERLINK("https://klasma.github.io/Logging_0380/klagomål/A 20709-2026 FSC-klagomål.docx", "A 20709-2026")</f>
        <v/>
      </c>
      <c r="Z178">
        <f>HYPERLINK("https://klasma.github.io/Logging_0380/klagomålsmail/A 20709-2026 FSC-klagomål mail.docx", "A 20709-2026")</f>
        <v/>
      </c>
      <c r="AA178">
        <f>HYPERLINK("https://klasma.github.io/Logging_0380/tillsyn/A 20709-2026 tillsynsbegäran.docx", "A 20709-2026")</f>
        <v/>
      </c>
      <c r="AB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46222</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s="2" t="inlineStr">
        <is>
          <t>Nordfladdermus</t>
        </is>
      </c>
      <c r="V179">
        <f>HYPERLINK("https://klasma.github.io/Logging_0380/artfynd/A 20757-2026 artfynd.xlsx", "A 20757-2026")</f>
        <v/>
      </c>
      <c r="W179">
        <f>HYPERLINK("https://klasma.github.io/Logging_0380/kartor/A 20757-2026 karta.png", "A 20757-2026")</f>
        <v/>
      </c>
      <c r="Y179">
        <f>HYPERLINK("https://klasma.github.io/Logging_0380/klagomål/A 20757-2026 FSC-klagomål.docx", "A 20757-2026")</f>
        <v/>
      </c>
      <c r="Z179">
        <f>HYPERLINK("https://klasma.github.io/Logging_0380/klagomålsmail/A 20757-2026 FSC-klagomål mail.docx", "A 20757-2026")</f>
        <v/>
      </c>
      <c r="AA179">
        <f>HYPERLINK("https://klasma.github.io/Logging_0380/tillsyn/A 20757-2026 tillsynsbegäran.docx", "A 20757-2026")</f>
        <v/>
      </c>
      <c r="AB179">
        <f>HYPERLINK("https://klasma.github.io/Logging_0380/tillsynsmail/A 20757-2026 tillsynsbegäran mail.docx", "A 20757-2026")</f>
        <v/>
      </c>
    </row>
    <row r="180" ht="15" customHeight="1">
      <c r="A180" t="inlineStr">
        <is>
          <t>A 21738-2026</t>
        </is>
      </c>
      <c r="B180" t="inlineStr">
        <is>
          <t>avverkningsanmälan</t>
        </is>
      </c>
      <c r="C180" t="inlineStr">
        <is>
          <t>Föryngringsavverkning</t>
        </is>
      </c>
      <c r="D180" s="1" t="n">
        <v>46147</v>
      </c>
      <c r="E180" s="1" t="n">
        <v>46222</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s="2" t="inlineStr">
        <is>
          <t>Tibast</t>
        </is>
      </c>
      <c r="V180">
        <f>HYPERLINK("https://klasma.github.io/Logging_0380/artfynd/A 21738-2026 artfynd.xlsx", "A 21738-2026")</f>
        <v/>
      </c>
      <c r="W180">
        <f>HYPERLINK("https://klasma.github.io/Logging_0380/kartor/A 21738-2026 karta.png", "A 21738-2026")</f>
        <v/>
      </c>
      <c r="Y180">
        <f>HYPERLINK("https://klasma.github.io/Logging_0380/klagomål/A 21738-2026 FSC-klagomål.docx", "A 21738-2026")</f>
        <v/>
      </c>
      <c r="Z180">
        <f>HYPERLINK("https://klasma.github.io/Logging_0380/klagomålsmail/A 21738-2026 FSC-klagomål mail.docx", "A 21738-2026")</f>
        <v/>
      </c>
      <c r="AA180">
        <f>HYPERLINK("https://klasma.github.io/Logging_0380/tillsyn/A 21738-2026 tillsynsbegäran.docx", "A 21738-2026")</f>
        <v/>
      </c>
      <c r="AB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46222</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s="2" t="inlineStr">
        <is>
          <t>Väddnätfjäril</t>
        </is>
      </c>
      <c r="V181">
        <f>HYPERLINK("https://klasma.github.io/Logging_0380/artfynd/A 22223-2026 artfynd.xlsx", "A 22223-2026")</f>
        <v/>
      </c>
      <c r="W181">
        <f>HYPERLINK("https://klasma.github.io/Logging_0380/kartor/A 22223-2026 karta.png", "A 22223-2026")</f>
        <v/>
      </c>
      <c r="Y181">
        <f>HYPERLINK("https://klasma.github.io/Logging_0380/klagomål/A 22223-2026 FSC-klagomål.docx", "A 22223-2026")</f>
        <v/>
      </c>
      <c r="Z181">
        <f>HYPERLINK("https://klasma.github.io/Logging_0380/klagomålsmail/A 22223-2026 FSC-klagomål mail.docx", "A 22223-2026")</f>
        <v/>
      </c>
      <c r="AA181">
        <f>HYPERLINK("https://klasma.github.io/Logging_0380/tillsyn/A 22223-2026 tillsynsbegäran.docx", "A 22223-2026")</f>
        <v/>
      </c>
      <c r="AB181">
        <f>HYPERLINK("https://klasma.github.io/Logging_0380/tillsynsmail/A 22223-2026 tillsynsbegäran mail.docx", "A 22223-2026")</f>
        <v/>
      </c>
    </row>
    <row r="182" ht="15" customHeight="1">
      <c r="A182" t="inlineStr">
        <is>
          <t>A 61830-2022</t>
        </is>
      </c>
      <c r="B182" t="inlineStr">
        <is>
          <t>avverkningsanmälan</t>
        </is>
      </c>
      <c r="C182" t="inlineStr">
        <is>
          <t>Föryngringsavverkning</t>
        </is>
      </c>
      <c r="D182" s="1" t="n">
        <v>44917</v>
      </c>
      <c r="E182" s="1" t="n">
        <v>46222</v>
      </c>
      <c r="F182" t="inlineStr">
        <is>
          <t>UPPSALA LÄN</t>
        </is>
      </c>
      <c r="G182" t="inlineStr">
        <is>
          <t>UPPSALA</t>
        </is>
      </c>
      <c r="H182" t="inlineStr">
        <is>
          <t>Holmen skog AB</t>
        </is>
      </c>
      <c r="I182" t="n">
        <v>1.1</v>
      </c>
      <c r="J182" t="n">
        <v>0</v>
      </c>
      <c r="K182" t="n">
        <v>0</v>
      </c>
      <c r="L182" t="n">
        <v>1</v>
      </c>
      <c r="M182" t="n">
        <v>0</v>
      </c>
      <c r="N182" t="n">
        <v>0</v>
      </c>
      <c r="O182" t="n">
        <v>0</v>
      </c>
      <c r="P182" t="n">
        <v>0</v>
      </c>
      <c r="Q182" t="n">
        <v>1</v>
      </c>
      <c r="R182" t="n">
        <v>0</v>
      </c>
      <c r="S182" t="n">
        <v>1</v>
      </c>
      <c r="T182" t="n">
        <v>1</v>
      </c>
      <c r="U182" s="2" t="inlineStr">
        <is>
          <t>Rödbrun blekspik</t>
        </is>
      </c>
      <c r="V182">
        <f>HYPERLINK("https://klasma.github.io/Logging_0380/artfynd/A 61830-2022 artfynd.xlsx", "A 61830-2022")</f>
        <v/>
      </c>
      <c r="W182">
        <f>HYPERLINK("https://klasma.github.io/Logging_0380/kartor/A 61830-2022 karta.png", "A 61830-2022")</f>
        <v/>
      </c>
      <c r="Y182">
        <f>HYPERLINK("https://klasma.github.io/Logging_0380/klagomål/A 61830-2022 FSC-klagomål.docx", "A 61830-2022")</f>
        <v/>
      </c>
      <c r="Z182">
        <f>HYPERLINK("https://klasma.github.io/Logging_0380/klagomålsmail/A 61830-2022 FSC-klagomål mail.docx", "A 61830-2022")</f>
        <v/>
      </c>
      <c r="AA182">
        <f>HYPERLINK("https://klasma.github.io/Logging_0380/tillsyn/A 61830-2022 tillsynsbegäran.docx", "A 61830-2022")</f>
        <v/>
      </c>
      <c r="AB182">
        <f>HYPERLINK("https://klasma.github.io/Logging_0380/tillsynsmail/A 61830-2022 tillsynsbegäran mail.docx", "A 61830-2022")</f>
        <v/>
      </c>
    </row>
    <row r="183" ht="15" customHeight="1">
      <c r="A183" t="inlineStr">
        <is>
          <t>A 2729-2024</t>
        </is>
      </c>
      <c r="B183" t="inlineStr">
        <is>
          <t>avverkningsanmälan</t>
        </is>
      </c>
      <c r="C183" t="inlineStr">
        <is>
          <t>Föryngringsavverkning</t>
        </is>
      </c>
      <c r="D183" s="1" t="n">
        <v>45314</v>
      </c>
      <c r="E183" s="1" t="n">
        <v>46222</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s="2" t="inlineStr">
        <is>
          <t>Revlummer</t>
        </is>
      </c>
      <c r="V183">
        <f>HYPERLINK("https://klasma.github.io/Logging_0380/artfynd/A 2729-2024 artfynd.xlsx", "A 2729-2024")</f>
        <v/>
      </c>
      <c r="W183">
        <f>HYPERLINK("https://klasma.github.io/Logging_0380/kartor/A 2729-2024 karta.png", "A 2729-2024")</f>
        <v/>
      </c>
      <c r="Y183">
        <f>HYPERLINK("https://klasma.github.io/Logging_0380/klagomål/A 2729-2024 FSC-klagomål.docx", "A 2729-2024")</f>
        <v/>
      </c>
      <c r="Z183">
        <f>HYPERLINK("https://klasma.github.io/Logging_0380/klagomålsmail/A 2729-2024 FSC-klagomål mail.docx", "A 2729-2024")</f>
        <v/>
      </c>
      <c r="AA183">
        <f>HYPERLINK("https://klasma.github.io/Logging_0380/tillsyn/A 2729-2024 tillsynsbegäran.docx", "A 2729-2024")</f>
        <v/>
      </c>
      <c r="AB183">
        <f>HYPERLINK("https://klasma.github.io/Logging_0380/tillsynsmail/A 2729-2024 tillsynsbegäran mail.docx", "A 2729-2024")</f>
        <v/>
      </c>
    </row>
    <row r="184" ht="15" customHeight="1">
      <c r="A184" t="inlineStr">
        <is>
          <t>A 28892-2026</t>
        </is>
      </c>
      <c r="B184" t="inlineStr">
        <is>
          <t>avverkningsanmälan</t>
        </is>
      </c>
      <c r="C184" t="inlineStr">
        <is>
          <t>Föryngringsavverkning</t>
        </is>
      </c>
      <c r="D184" s="1" t="n">
        <v>46199</v>
      </c>
      <c r="E184" s="1" t="n">
        <v>46222</v>
      </c>
      <c r="F184" t="inlineStr">
        <is>
          <t>UPPSALA LÄN</t>
        </is>
      </c>
      <c r="G184" t="inlineStr">
        <is>
          <t>UPPSALA</t>
        </is>
      </c>
      <c r="I184" t="n">
        <v>11</v>
      </c>
      <c r="J184" t="n">
        <v>0</v>
      </c>
      <c r="K184" t="n">
        <v>0</v>
      </c>
      <c r="L184" t="n">
        <v>1</v>
      </c>
      <c r="M184" t="n">
        <v>0</v>
      </c>
      <c r="N184" t="n">
        <v>0</v>
      </c>
      <c r="O184" t="n">
        <v>0</v>
      </c>
      <c r="P184" t="n">
        <v>0</v>
      </c>
      <c r="Q184" t="n">
        <v>1</v>
      </c>
      <c r="R184" t="n">
        <v>0</v>
      </c>
      <c r="S184" t="n">
        <v>1</v>
      </c>
      <c r="T184" t="n">
        <v>1</v>
      </c>
      <c r="U184" s="2" t="inlineStr">
        <is>
          <t>Vedtrappmossa</t>
        </is>
      </c>
      <c r="V184">
        <f>HYPERLINK("https://klasma.github.io/Logging_0380/artfynd/A 28892-2026 artfynd.xlsx", "A 28892-2026")</f>
        <v/>
      </c>
      <c r="W184">
        <f>HYPERLINK("https://klasma.github.io/Logging_0380/kartor/A 28892-2026 karta.png", "A 28892-2026")</f>
        <v/>
      </c>
      <c r="Y184">
        <f>HYPERLINK("https://klasma.github.io/Logging_0380/klagomål/A 28892-2026 FSC-klagomål.docx", "A 28892-2026")</f>
        <v/>
      </c>
      <c r="Z184">
        <f>HYPERLINK("https://klasma.github.io/Logging_0380/klagomålsmail/A 28892-2026 FSC-klagomål mail.docx", "A 28892-2026")</f>
        <v/>
      </c>
      <c r="AA184">
        <f>HYPERLINK("https://klasma.github.io/Logging_0380/tillsyn/A 28892-2026 tillsynsbegäran.docx", "A 28892-2026")</f>
        <v/>
      </c>
      <c r="AB184">
        <f>HYPERLINK("https://klasma.github.io/Logging_0380/tillsynsmail/A 28892-2026 tillsynsbegäran mail.docx", "A 28892-2026")</f>
        <v/>
      </c>
    </row>
    <row r="185" ht="15" customHeight="1">
      <c r="A185" t="inlineStr">
        <is>
          <t>A 32688-2023</t>
        </is>
      </c>
      <c r="B185" t="inlineStr">
        <is>
          <t>avverkningsanmälan</t>
        </is>
      </c>
      <c r="C185" t="inlineStr">
        <is>
          <t>Föryngringsavverkning</t>
        </is>
      </c>
      <c r="D185" s="1" t="n">
        <v>45121</v>
      </c>
      <c r="E185" s="1" t="n">
        <v>46222</v>
      </c>
      <c r="F185" t="inlineStr">
        <is>
          <t>UPPSALA LÄN</t>
        </is>
      </c>
      <c r="G185" t="inlineStr">
        <is>
          <t>UPPSALA</t>
        </is>
      </c>
      <c r="H185" t="inlineStr">
        <is>
          <t>Holmen skog AB</t>
        </is>
      </c>
      <c r="I185" t="n">
        <v>4.3</v>
      </c>
      <c r="J185" t="n">
        <v>1</v>
      </c>
      <c r="K185" t="n">
        <v>0</v>
      </c>
      <c r="L185" t="n">
        <v>0</v>
      </c>
      <c r="M185" t="n">
        <v>0</v>
      </c>
      <c r="N185" t="n">
        <v>0</v>
      </c>
      <c r="O185" t="n">
        <v>0</v>
      </c>
      <c r="P185" t="n">
        <v>0</v>
      </c>
      <c r="Q185" t="n">
        <v>0</v>
      </c>
      <c r="R185" t="n">
        <v>0</v>
      </c>
      <c r="S185" t="n">
        <v>1</v>
      </c>
      <c r="T185" t="n">
        <v>1</v>
      </c>
      <c r="U185" s="2" t="inlineStr">
        <is>
          <t>Blåsippa</t>
        </is>
      </c>
      <c r="V185">
        <f>HYPERLINK("https://klasma.github.io/Logging_0380/artfynd/A 32688-2023 artfynd.xlsx", "A 32688-2023")</f>
        <v/>
      </c>
      <c r="W185">
        <f>HYPERLINK("https://klasma.github.io/Logging_0380/kartor/A 32688-2023 karta.png", "A 32688-2023")</f>
        <v/>
      </c>
      <c r="Y185">
        <f>HYPERLINK("https://klasma.github.io/Logging_0380/klagomål/A 32688-2023 FSC-klagomål.docx", "A 32688-2023")</f>
        <v/>
      </c>
      <c r="Z185">
        <f>HYPERLINK("https://klasma.github.io/Logging_0380/klagomålsmail/A 32688-2023 FSC-klagomål mail.docx", "A 32688-2023")</f>
        <v/>
      </c>
      <c r="AA185">
        <f>HYPERLINK("https://klasma.github.io/Logging_0380/tillsyn/A 32688-2023 tillsynsbegäran.docx", "A 32688-2023")</f>
        <v/>
      </c>
      <c r="AB185">
        <f>HYPERLINK("https://klasma.github.io/Logging_0380/tillsynsmail/A 32688-2023 tillsynsbegäran mail.docx", "A 32688-2023")</f>
        <v/>
      </c>
    </row>
    <row r="186" ht="15" customHeight="1">
      <c r="A186" t="inlineStr">
        <is>
          <t>A 29277-2026</t>
        </is>
      </c>
      <c r="B186" t="inlineStr">
        <is>
          <t>avverkningsanmälan</t>
        </is>
      </c>
      <c r="C186" t="inlineStr">
        <is>
          <t>Föryngringsavverkning</t>
        </is>
      </c>
      <c r="D186" s="1" t="n">
        <v>46202</v>
      </c>
      <c r="E186" s="1" t="n">
        <v>46222</v>
      </c>
      <c r="F186" t="inlineStr">
        <is>
          <t>UPPSALA LÄN</t>
        </is>
      </c>
      <c r="G186" t="inlineStr">
        <is>
          <t>UPPSALA</t>
        </is>
      </c>
      <c r="I186" t="n">
        <v>4.9</v>
      </c>
      <c r="J186" t="n">
        <v>1</v>
      </c>
      <c r="K186" t="n">
        <v>0</v>
      </c>
      <c r="L186" t="n">
        <v>0</v>
      </c>
      <c r="M186" t="n">
        <v>0</v>
      </c>
      <c r="N186" t="n">
        <v>0</v>
      </c>
      <c r="O186" t="n">
        <v>0</v>
      </c>
      <c r="P186" t="n">
        <v>0</v>
      </c>
      <c r="Q186" t="n">
        <v>0</v>
      </c>
      <c r="R186" t="n">
        <v>0</v>
      </c>
      <c r="S186" t="n">
        <v>1</v>
      </c>
      <c r="T186" t="n">
        <v>1</v>
      </c>
      <c r="U186" s="2" t="inlineStr">
        <is>
          <t>Järpe</t>
        </is>
      </c>
      <c r="V186">
        <f>HYPERLINK("https://klasma.github.io/Logging_0380/artfynd/A 29277-2026 artfynd.xlsx", "A 29277-2026")</f>
        <v/>
      </c>
      <c r="W186">
        <f>HYPERLINK("https://klasma.github.io/Logging_0380/kartor/A 29277-2026 karta.png", "A 29277-2026")</f>
        <v/>
      </c>
      <c r="Y186">
        <f>HYPERLINK("https://klasma.github.io/Logging_0380/klagomål/A 29277-2026 FSC-klagomål.docx", "A 29277-2026")</f>
        <v/>
      </c>
      <c r="Z186">
        <f>HYPERLINK("https://klasma.github.io/Logging_0380/klagomålsmail/A 29277-2026 FSC-klagomål mail.docx", "A 29277-2026")</f>
        <v/>
      </c>
      <c r="AA186">
        <f>HYPERLINK("https://klasma.github.io/Logging_0380/tillsyn/A 29277-2026 tillsynsbegäran.docx", "A 29277-2026")</f>
        <v/>
      </c>
      <c r="AB186">
        <f>HYPERLINK("https://klasma.github.io/Logging_0380/tillsynsmail/A 29277-2026 tillsynsbegäran mail.docx", "A 29277-2026")</f>
        <v/>
      </c>
      <c r="AC186">
        <f>HYPERLINK("https://klasma.github.io/Logging_0380/fåglar/A 29277-2026 prioriterade fågelarter.docx", "A 29277-2026")</f>
        <v/>
      </c>
    </row>
    <row r="187" ht="15" customHeight="1">
      <c r="A187" t="inlineStr">
        <is>
          <t>A 55021-2022</t>
        </is>
      </c>
      <c r="B187" t="inlineStr">
        <is>
          <t>avverkningsanmälan</t>
        </is>
      </c>
      <c r="C187" t="inlineStr">
        <is>
          <t>Föryngringsavverkning</t>
        </is>
      </c>
      <c r="D187" s="1" t="n">
        <v>44886</v>
      </c>
      <c r="E187" s="1" t="n">
        <v>46222</v>
      </c>
      <c r="F187" t="inlineStr">
        <is>
          <t>UPPSALA LÄN</t>
        </is>
      </c>
      <c r="G187" t="inlineStr">
        <is>
          <t>UPPSALA</t>
        </is>
      </c>
      <c r="I187" t="n">
        <v>1.2</v>
      </c>
      <c r="J187" t="n">
        <v>1</v>
      </c>
      <c r="K187" t="n">
        <v>0</v>
      </c>
      <c r="L187" t="n">
        <v>0</v>
      </c>
      <c r="M187" t="n">
        <v>0</v>
      </c>
      <c r="N187" t="n">
        <v>0</v>
      </c>
      <c r="O187" t="n">
        <v>0</v>
      </c>
      <c r="P187" t="n">
        <v>0</v>
      </c>
      <c r="Q187" t="n">
        <v>0</v>
      </c>
      <c r="R187" t="n">
        <v>0</v>
      </c>
      <c r="S187" t="n">
        <v>1</v>
      </c>
      <c r="T187" t="n">
        <v>1</v>
      </c>
      <c r="U187" s="2" t="inlineStr">
        <is>
          <t>Vanlig snok</t>
        </is>
      </c>
      <c r="V187">
        <f>HYPERLINK("https://klasma.github.io/Logging_0380/artfynd/A 55021-2022 artfynd.xlsx", "A 55021-2022")</f>
        <v/>
      </c>
      <c r="W187">
        <f>HYPERLINK("https://klasma.github.io/Logging_0380/kartor/A 55021-2022 karta.png", "A 55021-2022")</f>
        <v/>
      </c>
      <c r="Y187">
        <f>HYPERLINK("https://klasma.github.io/Logging_0380/klagomål/A 55021-2022 FSC-klagomål.docx", "A 55021-2022")</f>
        <v/>
      </c>
      <c r="Z187">
        <f>HYPERLINK("https://klasma.github.io/Logging_0380/klagomålsmail/A 55021-2022 FSC-klagomål mail.docx", "A 55021-2022")</f>
        <v/>
      </c>
      <c r="AA187">
        <f>HYPERLINK("https://klasma.github.io/Logging_0380/tillsyn/A 55021-2022 tillsynsbegäran.docx", "A 55021-2022")</f>
        <v/>
      </c>
      <c r="AB187">
        <f>HYPERLINK("https://klasma.github.io/Logging_0380/tillsynsmail/A 55021-2022 tillsynsbegäran mail.docx", "A 55021-2022")</f>
        <v/>
      </c>
    </row>
    <row r="188" ht="15" customHeight="1">
      <c r="A188" t="inlineStr">
        <is>
          <t>A 22883-2026</t>
        </is>
      </c>
      <c r="B188" t="inlineStr">
        <is>
          <t>avverkningsanmälan</t>
        </is>
      </c>
      <c r="C188" t="inlineStr">
        <is>
          <t>Föryngringsavverkning</t>
        </is>
      </c>
      <c r="D188" s="1" t="n">
        <v>46160</v>
      </c>
      <c r="E188" s="1" t="n">
        <v>46222</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s="2" t="inlineStr">
        <is>
          <t>Vedtrappmossa</t>
        </is>
      </c>
      <c r="V188">
        <f>HYPERLINK("https://klasma.github.io/Logging_0380/artfynd/A 22883-2026 artfynd.xlsx", "A 22883-2026")</f>
        <v/>
      </c>
      <c r="W188">
        <f>HYPERLINK("https://klasma.github.io/Logging_0380/kartor/A 22883-2026 karta.png", "A 22883-2026")</f>
        <v/>
      </c>
      <c r="Y188">
        <f>HYPERLINK("https://klasma.github.io/Logging_0380/klagomål/A 22883-2026 FSC-klagomål.docx", "A 22883-2026")</f>
        <v/>
      </c>
      <c r="Z188">
        <f>HYPERLINK("https://klasma.github.io/Logging_0380/klagomålsmail/A 22883-2026 FSC-klagomål mail.docx", "A 22883-2026")</f>
        <v/>
      </c>
      <c r="AA188">
        <f>HYPERLINK("https://klasma.github.io/Logging_0380/tillsyn/A 22883-2026 tillsynsbegäran.docx", "A 22883-2026")</f>
        <v/>
      </c>
      <c r="AB188">
        <f>HYPERLINK("https://klasma.github.io/Logging_0380/tillsynsmail/A 22883-2026 tillsynsbegäran mail.docx", "A 22883-2026")</f>
        <v/>
      </c>
    </row>
    <row r="189" ht="15" customHeight="1">
      <c r="A189" t="inlineStr">
        <is>
          <t>A 1731-2022</t>
        </is>
      </c>
      <c r="B189" t="inlineStr">
        <is>
          <t>avverkningsanmälan</t>
        </is>
      </c>
      <c r="C189" t="inlineStr">
        <is>
          <t>Föryngringsavverkning</t>
        </is>
      </c>
      <c r="D189" s="1" t="n">
        <v>44574</v>
      </c>
      <c r="E189" s="1" t="n">
        <v>46222</v>
      </c>
      <c r="F189" t="inlineStr">
        <is>
          <t>UPPSALA LÄN</t>
        </is>
      </c>
      <c r="G189" t="inlineStr">
        <is>
          <t>UPPSALA</t>
        </is>
      </c>
      <c r="I189" t="n">
        <v>10.1</v>
      </c>
      <c r="J189" t="n">
        <v>1</v>
      </c>
      <c r="K189" t="n">
        <v>0</v>
      </c>
      <c r="L189" t="n">
        <v>0</v>
      </c>
      <c r="M189" t="n">
        <v>0</v>
      </c>
      <c r="N189" t="n">
        <v>0</v>
      </c>
      <c r="O189" t="n">
        <v>0</v>
      </c>
      <c r="P189" t="n">
        <v>0</v>
      </c>
      <c r="Q189" t="n">
        <v>0</v>
      </c>
      <c r="R189" t="n">
        <v>0</v>
      </c>
      <c r="S189" t="n">
        <v>1</v>
      </c>
      <c r="T189" t="n">
        <v>1</v>
      </c>
      <c r="U189" s="2" t="inlineStr">
        <is>
          <t>Vanlig snok</t>
        </is>
      </c>
      <c r="V189">
        <f>HYPERLINK("https://klasma.github.io/Logging_0380/artfynd/A 1731-2022 artfynd.xlsx", "A 1731-2022")</f>
        <v/>
      </c>
      <c r="W189">
        <f>HYPERLINK("https://klasma.github.io/Logging_0380/kartor/A 1731-2022 karta.png", "A 1731-2022")</f>
        <v/>
      </c>
      <c r="Y189">
        <f>HYPERLINK("https://klasma.github.io/Logging_0380/klagomål/A 1731-2022 FSC-klagomål.docx", "A 1731-2022")</f>
        <v/>
      </c>
      <c r="Z189">
        <f>HYPERLINK("https://klasma.github.io/Logging_0380/klagomålsmail/A 1731-2022 FSC-klagomål mail.docx", "A 1731-2022")</f>
        <v/>
      </c>
      <c r="AA189">
        <f>HYPERLINK("https://klasma.github.io/Logging_0380/tillsyn/A 1731-2022 tillsynsbegäran.docx", "A 1731-2022")</f>
        <v/>
      </c>
      <c r="AB189">
        <f>HYPERLINK("https://klasma.github.io/Logging_0380/tillsynsmail/A 1731-2022 tillsynsbegäran mail.docx", "A 1731-2022")</f>
        <v/>
      </c>
    </row>
    <row r="190" ht="15" customHeight="1">
      <c r="A190" t="inlineStr">
        <is>
          <t>A 30843-2026</t>
        </is>
      </c>
      <c r="B190" t="inlineStr">
        <is>
          <t>avverkningsanmälan</t>
        </is>
      </c>
      <c r="C190" t="inlineStr">
        <is>
          <t>Föryngringsavverkning</t>
        </is>
      </c>
      <c r="D190" s="1" t="n">
        <v>46212</v>
      </c>
      <c r="E190" s="1" t="n">
        <v>46222</v>
      </c>
      <c r="F190" t="inlineStr">
        <is>
          <t>UPPSALA LÄN</t>
        </is>
      </c>
      <c r="G190" t="inlineStr">
        <is>
          <t>UPPSALA</t>
        </is>
      </c>
      <c r="H190" t="inlineStr">
        <is>
          <t>Övriga Aktiebolag</t>
        </is>
      </c>
      <c r="I190" t="n">
        <v>5.2</v>
      </c>
      <c r="J190" t="n">
        <v>0</v>
      </c>
      <c r="K190" t="n">
        <v>1</v>
      </c>
      <c r="L190" t="n">
        <v>0</v>
      </c>
      <c r="M190" t="n">
        <v>0</v>
      </c>
      <c r="N190" t="n">
        <v>0</v>
      </c>
      <c r="O190" t="n">
        <v>0</v>
      </c>
      <c r="P190" t="n">
        <v>0</v>
      </c>
      <c r="Q190" t="n">
        <v>0</v>
      </c>
      <c r="R190" t="n">
        <v>0</v>
      </c>
      <c r="S190" t="n">
        <v>1</v>
      </c>
      <c r="T190" t="n">
        <v>1</v>
      </c>
      <c r="U190" s="2" t="inlineStr">
        <is>
          <t>Scharlakansvårskål agg.</t>
        </is>
      </c>
      <c r="V190">
        <f>HYPERLINK("https://klasma.github.io/Logging_0380/artfynd/A 30843-2026 artfynd.xlsx", "A 30843-2026")</f>
        <v/>
      </c>
      <c r="W190">
        <f>HYPERLINK("https://klasma.github.io/Logging_0380/kartor/A 30843-2026 karta.png", "A 30843-2026")</f>
        <v/>
      </c>
      <c r="Y190">
        <f>HYPERLINK("https://klasma.github.io/Logging_0380/klagomål/A 30843-2026 FSC-klagomål.docx", "A 30843-2026")</f>
        <v/>
      </c>
      <c r="Z190">
        <f>HYPERLINK("https://klasma.github.io/Logging_0380/klagomålsmail/A 30843-2026 FSC-klagomål mail.docx", "A 30843-2026")</f>
        <v/>
      </c>
      <c r="AA190">
        <f>HYPERLINK("https://klasma.github.io/Logging_0380/tillsyn/A 30843-2026 tillsynsbegäran.docx", "A 30843-2026")</f>
        <v/>
      </c>
      <c r="AB190">
        <f>HYPERLINK("https://klasma.github.io/Logging_0380/tillsynsmail/A 30843-2026 tillsynsbegäran mail.docx", "A 30843-2026")</f>
        <v/>
      </c>
    </row>
    <row r="191" ht="15" customHeight="1">
      <c r="A191" t="inlineStr">
        <is>
          <t>A 25754-2026</t>
        </is>
      </c>
      <c r="B191" t="inlineStr">
        <is>
          <t>avverkningsanmälan</t>
        </is>
      </c>
      <c r="C191" t="inlineStr">
        <is>
          <t>Föryngringsavverkning</t>
        </is>
      </c>
      <c r="D191" s="1" t="n">
        <v>46178</v>
      </c>
      <c r="E191" s="1" t="n">
        <v>46222</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s="2" t="inlineStr">
        <is>
          <t>Fjällig taggsvamp s.str.</t>
        </is>
      </c>
      <c r="V191">
        <f>HYPERLINK("https://klasma.github.io/Logging_0380/artfynd/A 25754-2026 artfynd.xlsx", "A 25754-2026")</f>
        <v/>
      </c>
      <c r="W191">
        <f>HYPERLINK("https://klasma.github.io/Logging_0380/kartor/A 25754-2026 karta.png", "A 25754-2026")</f>
        <v/>
      </c>
      <c r="Y191">
        <f>HYPERLINK("https://klasma.github.io/Logging_0380/klagomål/A 25754-2026 FSC-klagomål.docx", "A 25754-2026")</f>
        <v/>
      </c>
      <c r="Z191">
        <f>HYPERLINK("https://klasma.github.io/Logging_0380/klagomålsmail/A 25754-2026 FSC-klagomål mail.docx", "A 25754-2026")</f>
        <v/>
      </c>
      <c r="AA191">
        <f>HYPERLINK("https://klasma.github.io/Logging_0380/tillsyn/A 25754-2026 tillsynsbegäran.docx", "A 25754-2026")</f>
        <v/>
      </c>
      <c r="AB191">
        <f>HYPERLINK("https://klasma.github.io/Logging_0380/tillsynsmail/A 25754-2026 tillsynsbegäran mail.docx", "A 25754-2026")</f>
        <v/>
      </c>
    </row>
    <row r="192" ht="15" customHeight="1">
      <c r="A192" t="inlineStr">
        <is>
          <t>A 13093-2024</t>
        </is>
      </c>
      <c r="B192" t="inlineStr">
        <is>
          <t>avverkningsanmälan</t>
        </is>
      </c>
      <c r="C192" t="inlineStr">
        <is>
          <t>Föryngringsavverkning</t>
        </is>
      </c>
      <c r="D192" s="1" t="n">
        <v>45385</v>
      </c>
      <c r="E192" s="1" t="n">
        <v>46222</v>
      </c>
      <c r="F192" t="inlineStr">
        <is>
          <t>UPPSALA LÄN</t>
        </is>
      </c>
      <c r="G192" t="inlineStr">
        <is>
          <t>UPPSALA</t>
        </is>
      </c>
      <c r="I192" t="n">
        <v>1.1</v>
      </c>
      <c r="J192" t="n">
        <v>1</v>
      </c>
      <c r="K192" t="n">
        <v>1</v>
      </c>
      <c r="L192" t="n">
        <v>0</v>
      </c>
      <c r="M192" t="n">
        <v>0</v>
      </c>
      <c r="N192" t="n">
        <v>0</v>
      </c>
      <c r="O192" t="n">
        <v>0</v>
      </c>
      <c r="P192" t="n">
        <v>0</v>
      </c>
      <c r="Q192" t="n">
        <v>0</v>
      </c>
      <c r="R192" t="n">
        <v>0</v>
      </c>
      <c r="S192" t="n">
        <v>1</v>
      </c>
      <c r="T192" t="n">
        <v>1</v>
      </c>
      <c r="U192" s="2" t="inlineStr">
        <is>
          <t>Skogsknipprot</t>
        </is>
      </c>
      <c r="V192">
        <f>HYPERLINK("https://klasma.github.io/Logging_0380/artfynd/A 13093-2024 artfynd.xlsx", "A 13093-2024")</f>
        <v/>
      </c>
      <c r="W192">
        <f>HYPERLINK("https://klasma.github.io/Logging_0380/kartor/A 13093-2024 karta.png", "A 13093-2024")</f>
        <v/>
      </c>
      <c r="Y192">
        <f>HYPERLINK("https://klasma.github.io/Logging_0380/klagomål/A 13093-2024 FSC-klagomål.docx", "A 13093-2024")</f>
        <v/>
      </c>
      <c r="Z192">
        <f>HYPERLINK("https://klasma.github.io/Logging_0380/klagomålsmail/A 13093-2024 FSC-klagomål mail.docx", "A 13093-2024")</f>
        <v/>
      </c>
      <c r="AA192">
        <f>HYPERLINK("https://klasma.github.io/Logging_0380/tillsyn/A 13093-2024 tillsynsbegäran.docx", "A 13093-2024")</f>
        <v/>
      </c>
      <c r="AB192">
        <f>HYPERLINK("https://klasma.github.io/Logging_0380/tillsynsmail/A 13093-2024 tillsynsbegäran mail.docx", "A 13093-2024")</f>
        <v/>
      </c>
    </row>
    <row r="193" ht="15" customHeight="1">
      <c r="A193" t="inlineStr">
        <is>
          <t>A 53266-2024</t>
        </is>
      </c>
      <c r="B193" t="inlineStr">
        <is>
          <t>avverkningsanmälan</t>
        </is>
      </c>
      <c r="C193" t="inlineStr">
        <is>
          <t>Föryngringsavverkning</t>
        </is>
      </c>
      <c r="D193" s="1" t="n">
        <v>45614</v>
      </c>
      <c r="E193" s="1" t="n">
        <v>46222</v>
      </c>
      <c r="F193" t="inlineStr">
        <is>
          <t>UPPSALA LÄN</t>
        </is>
      </c>
      <c r="G193" t="inlineStr">
        <is>
          <t>UPPSALA</t>
        </is>
      </c>
      <c r="I193" t="n">
        <v>0.9</v>
      </c>
      <c r="J193" t="n">
        <v>1</v>
      </c>
      <c r="K193" t="n">
        <v>0</v>
      </c>
      <c r="L193" t="n">
        <v>1</v>
      </c>
      <c r="M193" t="n">
        <v>0</v>
      </c>
      <c r="N193" t="n">
        <v>0</v>
      </c>
      <c r="O193" t="n">
        <v>0</v>
      </c>
      <c r="P193" t="n">
        <v>0</v>
      </c>
      <c r="Q193" t="n">
        <v>1</v>
      </c>
      <c r="R193" t="n">
        <v>0</v>
      </c>
      <c r="S193" t="n">
        <v>1</v>
      </c>
      <c r="T193" t="n">
        <v>1</v>
      </c>
      <c r="U193" s="2" t="inlineStr">
        <is>
          <t>Gulsparv</t>
        </is>
      </c>
      <c r="V193">
        <f>HYPERLINK("https://klasma.github.io/Logging_0380/artfynd/A 53266-2024 artfynd.xlsx", "A 53266-2024")</f>
        <v/>
      </c>
      <c r="W193">
        <f>HYPERLINK("https://klasma.github.io/Logging_0380/kartor/A 53266-2024 karta.png", "A 53266-2024")</f>
        <v/>
      </c>
      <c r="Y193">
        <f>HYPERLINK("https://klasma.github.io/Logging_0380/klagomål/A 53266-2024 FSC-klagomål.docx", "A 53266-2024")</f>
        <v/>
      </c>
      <c r="Z193">
        <f>HYPERLINK("https://klasma.github.io/Logging_0380/klagomålsmail/A 53266-2024 FSC-klagomål mail.docx", "A 53266-2024")</f>
        <v/>
      </c>
      <c r="AA193">
        <f>HYPERLINK("https://klasma.github.io/Logging_0380/tillsyn/A 53266-2024 tillsynsbegäran.docx", "A 53266-2024")</f>
        <v/>
      </c>
      <c r="AB193">
        <f>HYPERLINK("https://klasma.github.io/Logging_0380/tillsynsmail/A 53266-2024 tillsynsbegäran mail.docx", "A 53266-2024")</f>
        <v/>
      </c>
      <c r="AC193">
        <f>HYPERLINK("https://klasma.github.io/Logging_0380/fåglar/A 53266-2024 prioriterade fågelarter.docx", "A 53266-2024")</f>
        <v/>
      </c>
    </row>
    <row r="194" ht="15" customHeight="1">
      <c r="A194" t="inlineStr">
        <is>
          <t>S 1381-2022</t>
        </is>
      </c>
      <c r="B194" t="inlineStr">
        <is>
          <t>samrådsanmälan</t>
        </is>
      </c>
      <c r="C194" t="inlineStr">
        <is>
          <t>Skogsgödsling</t>
        </is>
      </c>
      <c r="D194" s="1" t="n">
        <v>44630</v>
      </c>
      <c r="E194" s="1" t="n">
        <v>46222</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46222</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46222</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46222</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46222</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46222</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46222</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6863-2022</t>
        </is>
      </c>
      <c r="B201" t="inlineStr">
        <is>
          <t>avverkningsanmälan</t>
        </is>
      </c>
      <c r="C201" t="inlineStr">
        <is>
          <t>Föryngringsavverkning</t>
        </is>
      </c>
      <c r="D201" s="1" t="n">
        <v>44602</v>
      </c>
      <c r="E201" s="1" t="n">
        <v>46222</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65811-2021</t>
        </is>
      </c>
      <c r="B202" t="inlineStr">
        <is>
          <t>avverkningsanmälan</t>
        </is>
      </c>
      <c r="C202" t="inlineStr">
        <is>
          <t>Föryngringsavverkning</t>
        </is>
      </c>
      <c r="D202" s="1" t="n">
        <v>44517</v>
      </c>
      <c r="E202" s="1" t="n">
        <v>46222</v>
      </c>
      <c r="F202" t="inlineStr">
        <is>
          <t>UPPSALA LÄN</t>
        </is>
      </c>
      <c r="G202" t="inlineStr">
        <is>
          <t>UPPSALA</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612-2022</t>
        </is>
      </c>
      <c r="B203" t="inlineStr">
        <is>
          <t>avverkningsanmälan</t>
        </is>
      </c>
      <c r="C203" t="inlineStr">
        <is>
          <t>Föryngringsavverkning</t>
        </is>
      </c>
      <c r="D203" s="1" t="n">
        <v>44567</v>
      </c>
      <c r="E203" s="1" t="n">
        <v>46222</v>
      </c>
      <c r="F203" t="inlineStr">
        <is>
          <t>UPPSALA LÄN</t>
        </is>
      </c>
      <c r="G203" t="inlineStr">
        <is>
          <t>UPPSALA</t>
        </is>
      </c>
      <c r="H203" t="inlineStr">
        <is>
          <t>Holmen skog AB</t>
        </is>
      </c>
      <c r="I203" t="n">
        <v>6.6</v>
      </c>
      <c r="J203" t="n">
        <v>0</v>
      </c>
      <c r="K203" t="n">
        <v>0</v>
      </c>
      <c r="L203" t="n">
        <v>0</v>
      </c>
      <c r="M203" t="n">
        <v>0</v>
      </c>
      <c r="N203" t="n">
        <v>0</v>
      </c>
      <c r="O203" t="n">
        <v>0</v>
      </c>
      <c r="P203" t="n">
        <v>0</v>
      </c>
      <c r="Q203" t="n">
        <v>0</v>
      </c>
      <c r="R203" t="n">
        <v>0</v>
      </c>
      <c r="S203" t="n">
        <v>0</v>
      </c>
      <c r="T203" t="n">
        <v>0</v>
      </c>
      <c r="U203" s="2" t="inlineStr"/>
    </row>
    <row r="204" ht="15" customHeight="1">
      <c r="A204" t="inlineStr">
        <is>
          <t>A 38469-2021</t>
        </is>
      </c>
      <c r="B204" t="inlineStr">
        <is>
          <t>avverkningsanmälan</t>
        </is>
      </c>
      <c r="C204" t="inlineStr">
        <is>
          <t>Föryngringsavverkning</t>
        </is>
      </c>
      <c r="D204" s="1" t="n">
        <v>44407</v>
      </c>
      <c r="E204" s="1" t="n">
        <v>46222</v>
      </c>
      <c r="F204" t="inlineStr">
        <is>
          <t>UPPSALA LÄN</t>
        </is>
      </c>
      <c r="G204" t="inlineStr">
        <is>
          <t>UPPSALA</t>
        </is>
      </c>
      <c r="H204" t="inlineStr">
        <is>
          <t>Bergvik skog öst AB</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72225-2021</t>
        </is>
      </c>
      <c r="B205" t="inlineStr">
        <is>
          <t>avverkningsanmälan</t>
        </is>
      </c>
      <c r="C205" t="inlineStr">
        <is>
          <t>Föryngringsavverkning</t>
        </is>
      </c>
      <c r="D205" s="1" t="n">
        <v>44544</v>
      </c>
      <c r="E205" s="1" t="n">
        <v>46222</v>
      </c>
      <c r="F205" t="inlineStr">
        <is>
          <t>UPPSALA LÄN</t>
        </is>
      </c>
      <c r="G205" t="inlineStr">
        <is>
          <t>UPPSALA</t>
        </is>
      </c>
      <c r="I205" t="n">
        <v>6.2</v>
      </c>
      <c r="J205" t="n">
        <v>0</v>
      </c>
      <c r="K205" t="n">
        <v>0</v>
      </c>
      <c r="L205" t="n">
        <v>0</v>
      </c>
      <c r="M205" t="n">
        <v>0</v>
      </c>
      <c r="N205" t="n">
        <v>0</v>
      </c>
      <c r="O205" t="n">
        <v>0</v>
      </c>
      <c r="P205" t="n">
        <v>0</v>
      </c>
      <c r="Q205" t="n">
        <v>0</v>
      </c>
      <c r="R205" t="n">
        <v>0</v>
      </c>
      <c r="S205" t="n">
        <v>0</v>
      </c>
      <c r="T205" t="n">
        <v>0</v>
      </c>
      <c r="U205" s="2" t="inlineStr"/>
    </row>
    <row r="206" ht="15" customHeight="1">
      <c r="A206" t="inlineStr">
        <is>
          <t>A 68139-2021</t>
        </is>
      </c>
      <c r="B206" t="inlineStr">
        <is>
          <t>avverkningsanmälan</t>
        </is>
      </c>
      <c r="C206" t="inlineStr">
        <is>
          <t>Föryngringsavverkning</t>
        </is>
      </c>
      <c r="D206" s="1" t="n">
        <v>44526</v>
      </c>
      <c r="E206" s="1" t="n">
        <v>46222</v>
      </c>
      <c r="F206" t="inlineStr">
        <is>
          <t>UPPSALA LÄN</t>
        </is>
      </c>
      <c r="G206" t="inlineStr">
        <is>
          <t>UPPSALA</t>
        </is>
      </c>
      <c r="H206" t="inlineStr">
        <is>
          <t>Bergvik skog öst AB</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46222</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46222</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46222</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752-2022</t>
        </is>
      </c>
      <c r="B210" t="inlineStr">
        <is>
          <t>avverkningsanmälan</t>
        </is>
      </c>
      <c r="C210" t="inlineStr">
        <is>
          <t>Föryngringsavverkning</t>
        </is>
      </c>
      <c r="D210" s="1" t="n">
        <v>44569</v>
      </c>
      <c r="E210" s="1" t="n">
        <v>46222</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57890-2021</t>
        </is>
      </c>
      <c r="B211" t="inlineStr">
        <is>
          <t>avverkningsanmälan</t>
        </is>
      </c>
      <c r="C211" t="inlineStr">
        <is>
          <t>Föryngringsavverkning</t>
        </is>
      </c>
      <c r="D211" s="1" t="n">
        <v>44486</v>
      </c>
      <c r="E211" s="1" t="n">
        <v>46222</v>
      </c>
      <c r="F211" t="inlineStr">
        <is>
          <t>UPPSALA LÄN</t>
        </is>
      </c>
      <c r="G211" t="inlineStr">
        <is>
          <t>UPPSALA</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15583-2022</t>
        </is>
      </c>
      <c r="B212" t="inlineStr">
        <is>
          <t>avverkningsanmälan</t>
        </is>
      </c>
      <c r="C212" t="inlineStr">
        <is>
          <t>Föryngringsavverkning</t>
        </is>
      </c>
      <c r="D212" s="1" t="n">
        <v>44662</v>
      </c>
      <c r="E212" s="1" t="n">
        <v>46222</v>
      </c>
      <c r="F212" t="inlineStr">
        <is>
          <t>UPPSALA LÄN</t>
        </is>
      </c>
      <c r="G212" t="inlineStr">
        <is>
          <t>UPPSALA</t>
        </is>
      </c>
      <c r="H212" t="inlineStr">
        <is>
          <t>Övriga Aktiebolag</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46222</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46222</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46222</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7124-2022</t>
        </is>
      </c>
      <c r="B216" t="inlineStr">
        <is>
          <t>avverkningsanmälan</t>
        </is>
      </c>
      <c r="C216" t="inlineStr">
        <is>
          <t>Föryngringsavverkning</t>
        </is>
      </c>
      <c r="D216" s="1" t="n">
        <v>44603</v>
      </c>
      <c r="E216" s="1" t="n">
        <v>46222</v>
      </c>
      <c r="F216" t="inlineStr">
        <is>
          <t>UPPSALA LÄN</t>
        </is>
      </c>
      <c r="G216" t="inlineStr">
        <is>
          <t>UPPSALA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20764-2022</t>
        </is>
      </c>
      <c r="B217" t="inlineStr">
        <is>
          <t>avverkningsanmälan</t>
        </is>
      </c>
      <c r="C217" t="inlineStr">
        <is>
          <t>Föryngringsavverkning</t>
        </is>
      </c>
      <c r="D217" s="1" t="n">
        <v>44700</v>
      </c>
      <c r="E217" s="1" t="n">
        <v>46222</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44265-2022</t>
        </is>
      </c>
      <c r="B218" t="inlineStr">
        <is>
          <t>avverkningsanmälan</t>
        </is>
      </c>
      <c r="C218" t="inlineStr">
        <is>
          <t>Föryngringsavverkning</t>
        </is>
      </c>
      <c r="D218" s="1" t="n">
        <v>44839</v>
      </c>
      <c r="E218" s="1" t="n">
        <v>46222</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46222</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46222</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46222</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46222</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46222</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46222</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46222</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70032-2021</t>
        </is>
      </c>
      <c r="B226" t="inlineStr">
        <is>
          <t>avverkningsanmälan</t>
        </is>
      </c>
      <c r="C226" t="inlineStr">
        <is>
          <t>Föryngringsavverkning</t>
        </is>
      </c>
      <c r="D226" s="1" t="n">
        <v>44533</v>
      </c>
      <c r="E226" s="1" t="n">
        <v>46222</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21228-2022</t>
        </is>
      </c>
      <c r="B227" t="inlineStr">
        <is>
          <t>avverkningsanmälan</t>
        </is>
      </c>
      <c r="C227" t="inlineStr">
        <is>
          <t>Föryngringsavverkning</t>
        </is>
      </c>
      <c r="D227" s="1" t="n">
        <v>44704</v>
      </c>
      <c r="E227" s="1" t="n">
        <v>46222</v>
      </c>
      <c r="F227" t="inlineStr">
        <is>
          <t>UPPSALA LÄN</t>
        </is>
      </c>
      <c r="G227" t="inlineStr">
        <is>
          <t>UPPSALA</t>
        </is>
      </c>
      <c r="I227" t="n">
        <v>0.2</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46222</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46222</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46222</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46222</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46222</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46222</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46222</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46222</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46222</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46222</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46222</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62865-2021</t>
        </is>
      </c>
      <c r="B239" t="inlineStr">
        <is>
          <t>avverkningsanmälan</t>
        </is>
      </c>
      <c r="C239" t="inlineStr">
        <is>
          <t>Föryngringsavverkning</t>
        </is>
      </c>
      <c r="D239" s="1" t="n">
        <v>44504</v>
      </c>
      <c r="E239" s="1" t="n">
        <v>46222</v>
      </c>
      <c r="F239" t="inlineStr">
        <is>
          <t>UPPSALA LÄN</t>
        </is>
      </c>
      <c r="G239" t="inlineStr">
        <is>
          <t>UPPSALA</t>
        </is>
      </c>
      <c r="H239" t="inlineStr">
        <is>
          <t>Bergvik skog öst AB</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29134-2022</t>
        </is>
      </c>
      <c r="B240" t="inlineStr">
        <is>
          <t>avverkningsanmälan</t>
        </is>
      </c>
      <c r="C240" t="inlineStr">
        <is>
          <t>Föryngringsavverkning</t>
        </is>
      </c>
      <c r="D240" s="1" t="n">
        <v>44750</v>
      </c>
      <c r="E240" s="1" t="n">
        <v>46222</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13009-2022</t>
        </is>
      </c>
      <c r="B241" t="inlineStr">
        <is>
          <t>avverkningsanmälan</t>
        </is>
      </c>
      <c r="C241" t="inlineStr">
        <is>
          <t>Föryngringsavverkning</t>
        </is>
      </c>
      <c r="D241" s="1" t="n">
        <v>44643</v>
      </c>
      <c r="E241" s="1" t="n">
        <v>46222</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45849-2022</t>
        </is>
      </c>
      <c r="B242" t="inlineStr">
        <is>
          <t>avverkningsanmälan</t>
        </is>
      </c>
      <c r="C242" t="inlineStr">
        <is>
          <t>Föryngringsavverkning</t>
        </is>
      </c>
      <c r="D242" s="1" t="n">
        <v>44846</v>
      </c>
      <c r="E242" s="1" t="n">
        <v>46222</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46222</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46222</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46222</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46079-2022</t>
        </is>
      </c>
      <c r="B246" t="inlineStr">
        <is>
          <t>avverkningsanmälan</t>
        </is>
      </c>
      <c r="C246" t="inlineStr">
        <is>
          <t>Föryngringsavverkning</t>
        </is>
      </c>
      <c r="D246" s="1" t="n">
        <v>44847</v>
      </c>
      <c r="E246" s="1" t="n">
        <v>46222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21394-2022</t>
        </is>
      </c>
      <c r="B247" t="inlineStr">
        <is>
          <t>avverkningsanmälan</t>
        </is>
      </c>
      <c r="C247" t="inlineStr">
        <is>
          <t>Föryngringsavverkning</t>
        </is>
      </c>
      <c r="D247" s="1" t="n">
        <v>44705</v>
      </c>
      <c r="E247" s="1" t="n">
        <v>46222</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55823-2021</t>
        </is>
      </c>
      <c r="B248" t="inlineStr">
        <is>
          <t>avverkningsanmälan</t>
        </is>
      </c>
      <c r="C248" t="inlineStr">
        <is>
          <t>Föryngringsavverkning</t>
        </is>
      </c>
      <c r="D248" s="1" t="n">
        <v>44476</v>
      </c>
      <c r="E248" s="1" t="n">
        <v>46222</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46222</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46222</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46222</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46222</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46222</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46222</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46222</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874-2022</t>
        </is>
      </c>
      <c r="B256" t="inlineStr">
        <is>
          <t>avverkningsanmälan</t>
        </is>
      </c>
      <c r="C256" t="inlineStr">
        <is>
          <t>Föryngringsavverkning</t>
        </is>
      </c>
      <c r="D256" s="1" t="n">
        <v>44571</v>
      </c>
      <c r="E256" s="1" t="n">
        <v>46222</v>
      </c>
      <c r="F256" t="inlineStr">
        <is>
          <t>UPPSALA LÄN</t>
        </is>
      </c>
      <c r="G256" t="inlineStr">
        <is>
          <t>UPPSALA</t>
        </is>
      </c>
      <c r="I256" t="n">
        <v>7.2</v>
      </c>
      <c r="J256" t="n">
        <v>0</v>
      </c>
      <c r="K256" t="n">
        <v>0</v>
      </c>
      <c r="L256" t="n">
        <v>0</v>
      </c>
      <c r="M256" t="n">
        <v>0</v>
      </c>
      <c r="N256" t="n">
        <v>0</v>
      </c>
      <c r="O256" t="n">
        <v>0</v>
      </c>
      <c r="P256" t="n">
        <v>0</v>
      </c>
      <c r="Q256" t="n">
        <v>0</v>
      </c>
      <c r="R256" t="n">
        <v>0</v>
      </c>
      <c r="S256" t="n">
        <v>0</v>
      </c>
      <c r="T256" t="n">
        <v>0</v>
      </c>
      <c r="U256" s="2" t="inlineStr"/>
    </row>
    <row r="257" ht="15" customHeight="1">
      <c r="A257" t="inlineStr">
        <is>
          <t>A 51050-2021</t>
        </is>
      </c>
      <c r="B257" t="inlineStr">
        <is>
          <t>avverkningsanmälan</t>
        </is>
      </c>
      <c r="C257" t="inlineStr">
        <is>
          <t>Föryngringsavverkning</t>
        </is>
      </c>
      <c r="D257" s="1" t="n">
        <v>44459</v>
      </c>
      <c r="E257" s="1" t="n">
        <v>46222</v>
      </c>
      <c r="F257" t="inlineStr">
        <is>
          <t>UPPSALA LÄN</t>
        </is>
      </c>
      <c r="G257" t="inlineStr">
        <is>
          <t>UPPSALA</t>
        </is>
      </c>
      <c r="H257" t="inlineStr">
        <is>
          <t>Övriga Aktiebolag</t>
        </is>
      </c>
      <c r="I257" t="n">
        <v>7.5</v>
      </c>
      <c r="J257" t="n">
        <v>0</v>
      </c>
      <c r="K257" t="n">
        <v>0</v>
      </c>
      <c r="L257" t="n">
        <v>0</v>
      </c>
      <c r="M257" t="n">
        <v>0</v>
      </c>
      <c r="N257" t="n">
        <v>0</v>
      </c>
      <c r="O257" t="n">
        <v>0</v>
      </c>
      <c r="P257" t="n">
        <v>0</v>
      </c>
      <c r="Q257" t="n">
        <v>0</v>
      </c>
      <c r="R257" t="n">
        <v>0</v>
      </c>
      <c r="S257" t="n">
        <v>0</v>
      </c>
      <c r="T257" t="n">
        <v>0</v>
      </c>
      <c r="U257" s="2" t="inlineStr"/>
    </row>
    <row r="258" ht="15" customHeight="1">
      <c r="A258" t="inlineStr">
        <is>
          <t>A 11693-2022</t>
        </is>
      </c>
      <c r="B258" t="inlineStr">
        <is>
          <t>avverkningsanmälan</t>
        </is>
      </c>
      <c r="C258" t="inlineStr">
        <is>
          <t>Föryngringsavverkning</t>
        </is>
      </c>
      <c r="D258" s="1" t="n">
        <v>44634</v>
      </c>
      <c r="E258" s="1" t="n">
        <v>46222</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20265-2022</t>
        </is>
      </c>
      <c r="B259" t="inlineStr">
        <is>
          <t>avverkningsanmälan</t>
        </is>
      </c>
      <c r="C259" t="inlineStr">
        <is>
          <t>Föryngringsavverkning</t>
        </is>
      </c>
      <c r="D259" s="1" t="n">
        <v>44698</v>
      </c>
      <c r="E259" s="1" t="n">
        <v>46222</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50092-2022</t>
        </is>
      </c>
      <c r="B260" t="inlineStr">
        <is>
          <t>avverkningsanmälan</t>
        </is>
      </c>
      <c r="C260" t="inlineStr">
        <is>
          <t>Föryngringsavverkning</t>
        </is>
      </c>
      <c r="D260" s="1" t="n">
        <v>44865</v>
      </c>
      <c r="E260" s="1" t="n">
        <v>46222</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51396-2021</t>
        </is>
      </c>
      <c r="B261" t="inlineStr">
        <is>
          <t>avverkningsanmälan</t>
        </is>
      </c>
      <c r="C261" t="inlineStr">
        <is>
          <t>Föryngringsavverkning</t>
        </is>
      </c>
      <c r="D261" s="1" t="n">
        <v>44461</v>
      </c>
      <c r="E261" s="1" t="n">
        <v>46222</v>
      </c>
      <c r="F261" t="inlineStr">
        <is>
          <t>UPPSALA LÄN</t>
        </is>
      </c>
      <c r="G261" t="inlineStr">
        <is>
          <t>UPPSALA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5996-2022</t>
        </is>
      </c>
      <c r="B262" t="inlineStr">
        <is>
          <t>avverkningsanmälan</t>
        </is>
      </c>
      <c r="C262" t="inlineStr">
        <is>
          <t>Föryngringsavverkning</t>
        </is>
      </c>
      <c r="D262" s="1" t="n">
        <v>44599</v>
      </c>
      <c r="E262" s="1" t="n">
        <v>46222</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5081-2022</t>
        </is>
      </c>
      <c r="B263" t="inlineStr">
        <is>
          <t>avverkningsanmälan</t>
        </is>
      </c>
      <c r="C263" t="inlineStr">
        <is>
          <t>Föryngringsavverkning</t>
        </is>
      </c>
      <c r="D263" s="1" t="n">
        <v>44593</v>
      </c>
      <c r="E263" s="1" t="n">
        <v>46222</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56463-2021</t>
        </is>
      </c>
      <c r="B264" t="inlineStr">
        <is>
          <t>avverkningsanmälan</t>
        </is>
      </c>
      <c r="C264" t="inlineStr">
        <is>
          <t>Avverkning för annat ändamål</t>
        </is>
      </c>
      <c r="D264" s="1" t="n">
        <v>44479</v>
      </c>
      <c r="E264" s="1" t="n">
        <v>46222</v>
      </c>
      <c r="F264" t="inlineStr">
        <is>
          <t>UPPSALA LÄN</t>
        </is>
      </c>
      <c r="G264" t="inlineStr">
        <is>
          <t>UPPSALA</t>
        </is>
      </c>
      <c r="I264" t="n">
        <v>6.4</v>
      </c>
      <c r="J264" t="n">
        <v>0</v>
      </c>
      <c r="K264" t="n">
        <v>0</v>
      </c>
      <c r="L264" t="n">
        <v>0</v>
      </c>
      <c r="M264" t="n">
        <v>0</v>
      </c>
      <c r="N264" t="n">
        <v>0</v>
      </c>
      <c r="O264" t="n">
        <v>0</v>
      </c>
      <c r="P264" t="n">
        <v>0</v>
      </c>
      <c r="Q264" t="n">
        <v>0</v>
      </c>
      <c r="R264" t="n">
        <v>0</v>
      </c>
      <c r="S264" t="n">
        <v>0</v>
      </c>
      <c r="T264" t="n">
        <v>0</v>
      </c>
      <c r="U264" s="2" t="inlineStr"/>
    </row>
    <row r="265" ht="15" customHeight="1">
      <c r="A265" t="inlineStr">
        <is>
          <t>A 71643-2021</t>
        </is>
      </c>
      <c r="B265" t="inlineStr">
        <is>
          <t>avverkningsanmälan</t>
        </is>
      </c>
      <c r="C265" t="inlineStr">
        <is>
          <t>Föryngringsavverkning</t>
        </is>
      </c>
      <c r="D265" s="1" t="n">
        <v>44543</v>
      </c>
      <c r="E265" s="1" t="n">
        <v>46222</v>
      </c>
      <c r="F265" t="inlineStr">
        <is>
          <t>UPPSALA LÄN</t>
        </is>
      </c>
      <c r="G265" t="inlineStr">
        <is>
          <t>UPPSALA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60032-2021</t>
        </is>
      </c>
      <c r="B266" t="inlineStr">
        <is>
          <t>avverkningsanmälan</t>
        </is>
      </c>
      <c r="C266" t="inlineStr">
        <is>
          <t>Föryngringsavverkning</t>
        </is>
      </c>
      <c r="D266" s="1" t="n">
        <v>44495</v>
      </c>
      <c r="E266" s="1" t="n">
        <v>46222</v>
      </c>
      <c r="F266" t="inlineStr">
        <is>
          <t>UPPSALA LÄN</t>
        </is>
      </c>
      <c r="G266" t="inlineStr">
        <is>
          <t>UPPSALA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66927-2021</t>
        </is>
      </c>
      <c r="B267" t="inlineStr">
        <is>
          <t>avverkningsanmälan</t>
        </is>
      </c>
      <c r="C267" t="inlineStr">
        <is>
          <t>Föryngringsavverkning</t>
        </is>
      </c>
      <c r="D267" s="1" t="n">
        <v>44522</v>
      </c>
      <c r="E267" s="1" t="n">
        <v>46222</v>
      </c>
      <c r="F267" t="inlineStr">
        <is>
          <t>UPPSALA LÄN</t>
        </is>
      </c>
      <c r="G267" t="inlineStr">
        <is>
          <t>UPPSALA</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46293-2022</t>
        </is>
      </c>
      <c r="B268" t="inlineStr">
        <is>
          <t>avverkningsanmälan</t>
        </is>
      </c>
      <c r="C268" t="inlineStr">
        <is>
          <t>Föryngringsavverkning</t>
        </is>
      </c>
      <c r="D268" s="1" t="n">
        <v>44847</v>
      </c>
      <c r="E268" s="1" t="n">
        <v>46222</v>
      </c>
      <c r="F268" t="inlineStr">
        <is>
          <t>UPPSALA LÄN</t>
        </is>
      </c>
      <c r="G268" t="inlineStr">
        <is>
          <t>UPPSALA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29277-2022</t>
        </is>
      </c>
      <c r="B269" t="inlineStr">
        <is>
          <t>avverkningsanmälan</t>
        </is>
      </c>
      <c r="C269" t="inlineStr">
        <is>
          <t>Föryngringsavverkning</t>
        </is>
      </c>
      <c r="D269" s="1" t="n">
        <v>44750</v>
      </c>
      <c r="E269" s="1" t="n">
        <v>46222</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18330-2022</t>
        </is>
      </c>
      <c r="B270" t="inlineStr">
        <is>
          <t>avverkningsanmälan</t>
        </is>
      </c>
      <c r="C270" t="inlineStr">
        <is>
          <t>Föryngringsavverkning</t>
        </is>
      </c>
      <c r="D270" s="1" t="n">
        <v>44685</v>
      </c>
      <c r="E270" s="1" t="n">
        <v>46222</v>
      </c>
      <c r="F270" t="inlineStr">
        <is>
          <t>UPPSALA LÄN</t>
        </is>
      </c>
      <c r="G270" t="inlineStr">
        <is>
          <t>UPPSALA</t>
        </is>
      </c>
      <c r="H270" t="inlineStr">
        <is>
          <t>Bergvik skog öst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25745-2022</t>
        </is>
      </c>
      <c r="B271" t="inlineStr">
        <is>
          <t>avverkningsanmälan</t>
        </is>
      </c>
      <c r="C271" t="inlineStr">
        <is>
          <t>Föryngringsavverkning</t>
        </is>
      </c>
      <c r="D271" s="1" t="n">
        <v>44733</v>
      </c>
      <c r="E271" s="1" t="n">
        <v>46222</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22021-2022</t>
        </is>
      </c>
      <c r="B272" t="inlineStr">
        <is>
          <t>avverkningsanmälan</t>
        </is>
      </c>
      <c r="C272" t="inlineStr">
        <is>
          <t>Föryngringsavverkning</t>
        </is>
      </c>
      <c r="D272" s="1" t="n">
        <v>44711</v>
      </c>
      <c r="E272" s="1" t="n">
        <v>46222</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27763-2022</t>
        </is>
      </c>
      <c r="B273" t="inlineStr">
        <is>
          <t>avverkningsanmälan</t>
        </is>
      </c>
      <c r="C273" t="inlineStr">
        <is>
          <t>Föryngringsavverkning</t>
        </is>
      </c>
      <c r="D273" s="1" t="n">
        <v>44743</v>
      </c>
      <c r="E273" s="1" t="n">
        <v>46222</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10411-2022</t>
        </is>
      </c>
      <c r="B274" t="inlineStr">
        <is>
          <t>avverkningsanmälan</t>
        </is>
      </c>
      <c r="C274" t="inlineStr">
        <is>
          <t>Föryngringsavverkning</t>
        </is>
      </c>
      <c r="D274" s="1" t="n">
        <v>44623</v>
      </c>
      <c r="E274" s="1" t="n">
        <v>46222</v>
      </c>
      <c r="F274" t="inlineStr">
        <is>
          <t>UPPSALA LÄN</t>
        </is>
      </c>
      <c r="G274" t="inlineStr">
        <is>
          <t>UPPSALA</t>
        </is>
      </c>
      <c r="H274" t="inlineStr">
        <is>
          <t>Övriga Aktiebolag</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25120-2022</t>
        </is>
      </c>
      <c r="B275" t="inlineStr">
        <is>
          <t>avverkningsanmälan</t>
        </is>
      </c>
      <c r="C275" t="inlineStr">
        <is>
          <t>Avverkning för annat ändamål</t>
        </is>
      </c>
      <c r="D275" s="1" t="n">
        <v>44729</v>
      </c>
      <c r="E275" s="1" t="n">
        <v>46222</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15377-2022</t>
        </is>
      </c>
      <c r="B276" t="inlineStr">
        <is>
          <t>avverkningsanmälan</t>
        </is>
      </c>
      <c r="C276" t="inlineStr">
        <is>
          <t>Föryngringsavverkning</t>
        </is>
      </c>
      <c r="D276" s="1" t="n">
        <v>44659</v>
      </c>
      <c r="E276" s="1" t="n">
        <v>46222</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34061-2022</t>
        </is>
      </c>
      <c r="B277" t="inlineStr">
        <is>
          <t>avverkningsanmälan</t>
        </is>
      </c>
      <c r="C277" t="inlineStr">
        <is>
          <t>Föryngringsavverkning</t>
        </is>
      </c>
      <c r="D277" s="1" t="n">
        <v>44791</v>
      </c>
      <c r="E277" s="1" t="n">
        <v>46222</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10464-2022</t>
        </is>
      </c>
      <c r="B278" t="inlineStr">
        <is>
          <t>avverkningsanmälan</t>
        </is>
      </c>
      <c r="C278" t="inlineStr">
        <is>
          <t>Föryngringsavverkning</t>
        </is>
      </c>
      <c r="D278" s="1" t="n">
        <v>44623</v>
      </c>
      <c r="E278" s="1" t="n">
        <v>46222</v>
      </c>
      <c r="F278" t="inlineStr">
        <is>
          <t>UPPSALA LÄN</t>
        </is>
      </c>
      <c r="G278" t="inlineStr">
        <is>
          <t>UPPSALA</t>
        </is>
      </c>
      <c r="H278" t="inlineStr">
        <is>
          <t>Övriga Aktiebolag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35411-2022</t>
        </is>
      </c>
      <c r="B279" t="inlineStr">
        <is>
          <t>avverkningsanmälan</t>
        </is>
      </c>
      <c r="C279" t="inlineStr">
        <is>
          <t>Föryngringsavverkning</t>
        </is>
      </c>
      <c r="D279" s="1" t="n">
        <v>44798</v>
      </c>
      <c r="E279" s="1" t="n">
        <v>46222</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43855-2023</t>
        </is>
      </c>
      <c r="B280" t="inlineStr">
        <is>
          <t>avverkningsanmälan</t>
        </is>
      </c>
      <c r="C280" t="inlineStr">
        <is>
          <t>Föryngringsavverkning</t>
        </is>
      </c>
      <c r="D280" s="1" t="n">
        <v>45187</v>
      </c>
      <c r="E280" s="1" t="n">
        <v>46222</v>
      </c>
      <c r="F280" t="inlineStr">
        <is>
          <t>UPPSALA LÄN</t>
        </is>
      </c>
      <c r="G280" t="inlineStr">
        <is>
          <t>UPPSALA</t>
        </is>
      </c>
      <c r="H280" t="inlineStr">
        <is>
          <t>Bergvik skog öst AB</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11173-2024</t>
        </is>
      </c>
      <c r="B281" t="inlineStr">
        <is>
          <t>avverkningsanmälan</t>
        </is>
      </c>
      <c r="C281" t="inlineStr">
        <is>
          <t>Föryngringsavverkning</t>
        </is>
      </c>
      <c r="D281" s="1" t="n">
        <v>45371</v>
      </c>
      <c r="E281" s="1" t="n">
        <v>46222</v>
      </c>
      <c r="F281" t="inlineStr">
        <is>
          <t>UPPSALA LÄN</t>
        </is>
      </c>
      <c r="G281" t="inlineStr">
        <is>
          <t>UPPSALA</t>
        </is>
      </c>
      <c r="H281" t="inlineStr">
        <is>
          <t>Bergvik skog öst AB</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19513-2023</t>
        </is>
      </c>
      <c r="B282" t="inlineStr">
        <is>
          <t>avverkningsanmälan</t>
        </is>
      </c>
      <c r="C282" t="inlineStr">
        <is>
          <t>Föryngringsavverkning</t>
        </is>
      </c>
      <c r="D282" s="1" t="n">
        <v>45050</v>
      </c>
      <c r="E282" s="1" t="n">
        <v>46222</v>
      </c>
      <c r="F282" t="inlineStr">
        <is>
          <t>UPPSALA LÄN</t>
        </is>
      </c>
      <c r="G282" t="inlineStr">
        <is>
          <t>UPPSALA</t>
        </is>
      </c>
      <c r="I282" t="n">
        <v>6.6</v>
      </c>
      <c r="J282" t="n">
        <v>0</v>
      </c>
      <c r="K282" t="n">
        <v>0</v>
      </c>
      <c r="L282" t="n">
        <v>0</v>
      </c>
      <c r="M282" t="n">
        <v>0</v>
      </c>
      <c r="N282" t="n">
        <v>0</v>
      </c>
      <c r="O282" t="n">
        <v>0</v>
      </c>
      <c r="P282" t="n">
        <v>0</v>
      </c>
      <c r="Q282" t="n">
        <v>0</v>
      </c>
      <c r="R282" t="n">
        <v>0</v>
      </c>
      <c r="S282" t="n">
        <v>0</v>
      </c>
      <c r="T282" t="n">
        <v>0</v>
      </c>
      <c r="U282" s="2" t="inlineStr"/>
    </row>
    <row r="283" ht="15" customHeight="1">
      <c r="A283" t="inlineStr">
        <is>
          <t>A 48588-2022</t>
        </is>
      </c>
      <c r="B283" t="inlineStr">
        <is>
          <t>avverkningsanmälan</t>
        </is>
      </c>
      <c r="C283" t="inlineStr">
        <is>
          <t>Föryngringsavverkning</t>
        </is>
      </c>
      <c r="D283" s="1" t="n">
        <v>44859</v>
      </c>
      <c r="E283" s="1" t="n">
        <v>46222</v>
      </c>
      <c r="F283" t="inlineStr">
        <is>
          <t>UPPSALA LÄN</t>
        </is>
      </c>
      <c r="G283" t="inlineStr">
        <is>
          <t>UPPSALA</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43032-2022</t>
        </is>
      </c>
      <c r="B284" t="inlineStr">
        <is>
          <t>avverkningsanmälan</t>
        </is>
      </c>
      <c r="C284" t="inlineStr">
        <is>
          <t>Föryngringsavverkning</t>
        </is>
      </c>
      <c r="D284" s="1" t="n">
        <v>44832</v>
      </c>
      <c r="E284" s="1" t="n">
        <v>46222</v>
      </c>
      <c r="F284" t="inlineStr">
        <is>
          <t>UPPSALA LÄN</t>
        </is>
      </c>
      <c r="G284" t="inlineStr">
        <is>
          <t>UPPSALA</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48571-2023</t>
        </is>
      </c>
      <c r="B285" t="inlineStr">
        <is>
          <t>avverkningsanmälan</t>
        </is>
      </c>
      <c r="C285" t="inlineStr">
        <is>
          <t>Föryngringsavverkning</t>
        </is>
      </c>
      <c r="D285" s="1" t="n">
        <v>45208</v>
      </c>
      <c r="E285" s="1" t="n">
        <v>46222</v>
      </c>
      <c r="F285" t="inlineStr">
        <is>
          <t>UPPSALA LÄN</t>
        </is>
      </c>
      <c r="G285" t="inlineStr">
        <is>
          <t>UPPSALA</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54715-2022</t>
        </is>
      </c>
      <c r="B286" t="inlineStr">
        <is>
          <t>avverkningsanmälan</t>
        </is>
      </c>
      <c r="C286" t="inlineStr">
        <is>
          <t>Föryngringsavverkning</t>
        </is>
      </c>
      <c r="D286" s="1" t="n">
        <v>44883</v>
      </c>
      <c r="E286" s="1" t="n">
        <v>46222</v>
      </c>
      <c r="F286" t="inlineStr">
        <is>
          <t>UPPSALA LÄN</t>
        </is>
      </c>
      <c r="G286" t="inlineStr">
        <is>
          <t>UPPSALA</t>
        </is>
      </c>
      <c r="H286" t="inlineStr">
        <is>
          <t>Övriga Aktiebolag</t>
        </is>
      </c>
      <c r="I286" t="n">
        <v>9.5</v>
      </c>
      <c r="J286" t="n">
        <v>0</v>
      </c>
      <c r="K286" t="n">
        <v>0</v>
      </c>
      <c r="L286" t="n">
        <v>0</v>
      </c>
      <c r="M286" t="n">
        <v>0</v>
      </c>
      <c r="N286" t="n">
        <v>0</v>
      </c>
      <c r="O286" t="n">
        <v>0</v>
      </c>
      <c r="P286" t="n">
        <v>0</v>
      </c>
      <c r="Q286" t="n">
        <v>0</v>
      </c>
      <c r="R286" t="n">
        <v>0</v>
      </c>
      <c r="S286" t="n">
        <v>0</v>
      </c>
      <c r="T286" t="n">
        <v>0</v>
      </c>
      <c r="U286" s="2" t="inlineStr"/>
    </row>
    <row r="287" ht="15" customHeight="1">
      <c r="A287" t="inlineStr">
        <is>
          <t>A 50954-2022</t>
        </is>
      </c>
      <c r="B287" t="inlineStr">
        <is>
          <t>avverkningsanmälan</t>
        </is>
      </c>
      <c r="C287" t="inlineStr">
        <is>
          <t>Föryngringsavverkning</t>
        </is>
      </c>
      <c r="D287" s="1" t="n">
        <v>44866</v>
      </c>
      <c r="E287" s="1" t="n">
        <v>46222</v>
      </c>
      <c r="F287" t="inlineStr">
        <is>
          <t>UPPSALA LÄN</t>
        </is>
      </c>
      <c r="G287" t="inlineStr">
        <is>
          <t>UPPSALA</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51749-2023</t>
        </is>
      </c>
      <c r="B288" t="inlineStr">
        <is>
          <t>avverkningsanmälan</t>
        </is>
      </c>
      <c r="C288" t="inlineStr">
        <is>
          <t>Avverkning för annat ändamål</t>
        </is>
      </c>
      <c r="D288" s="1" t="n">
        <v>45222</v>
      </c>
      <c r="E288" s="1" t="n">
        <v>46222</v>
      </c>
      <c r="F288" t="inlineStr">
        <is>
          <t>UPPSALA LÄN</t>
        </is>
      </c>
      <c r="G288" t="inlineStr">
        <is>
          <t>UPPSALA</t>
        </is>
      </c>
      <c r="I288" t="n">
        <v>3.6</v>
      </c>
      <c r="J288" t="n">
        <v>0</v>
      </c>
      <c r="K288" t="n">
        <v>0</v>
      </c>
      <c r="L288" t="n">
        <v>0</v>
      </c>
      <c r="M288" t="n">
        <v>0</v>
      </c>
      <c r="N288" t="n">
        <v>0</v>
      </c>
      <c r="O288" t="n">
        <v>0</v>
      </c>
      <c r="P288" t="n">
        <v>0</v>
      </c>
      <c r="Q288" t="n">
        <v>0</v>
      </c>
      <c r="R288" t="n">
        <v>0</v>
      </c>
      <c r="S288" t="n">
        <v>0</v>
      </c>
      <c r="T288" t="n">
        <v>0</v>
      </c>
      <c r="U288" s="2" t="inlineStr"/>
    </row>
    <row r="289" ht="15" customHeight="1">
      <c r="A289" t="inlineStr">
        <is>
          <t>A 60444-2023</t>
        </is>
      </c>
      <c r="B289" t="inlineStr">
        <is>
          <t>avverkningsanmälan</t>
        </is>
      </c>
      <c r="C289" t="inlineStr">
        <is>
          <t>Föryngringsavverkning</t>
        </is>
      </c>
      <c r="D289" s="1" t="n">
        <v>45259</v>
      </c>
      <c r="E289" s="1" t="n">
        <v>46222</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46920-2021</t>
        </is>
      </c>
      <c r="B290" t="inlineStr">
        <is>
          <t>avverkningsanmälan</t>
        </is>
      </c>
      <c r="C290" t="inlineStr">
        <is>
          <t>Föryngringsavverkning</t>
        </is>
      </c>
      <c r="D290" s="1" t="n">
        <v>44446</v>
      </c>
      <c r="E290" s="1" t="n">
        <v>46222</v>
      </c>
      <c r="F290" t="inlineStr">
        <is>
          <t>UPPSALA LÄN</t>
        </is>
      </c>
      <c r="G290" t="inlineStr">
        <is>
          <t>UPPSALA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27068-2023</t>
        </is>
      </c>
      <c r="B291" t="inlineStr">
        <is>
          <t>avverkningsanmälan</t>
        </is>
      </c>
      <c r="C291" t="inlineStr">
        <is>
          <t>Föryngringsavverkning</t>
        </is>
      </c>
      <c r="D291" s="1" t="n">
        <v>45096</v>
      </c>
      <c r="E291" s="1" t="n">
        <v>46222</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17658-2025</t>
        </is>
      </c>
      <c r="B292" t="inlineStr">
        <is>
          <t>avverkningsanmälan</t>
        </is>
      </c>
      <c r="C292" t="inlineStr">
        <is>
          <t>Avverkning för att bevara och utveckla /försöksver</t>
        </is>
      </c>
      <c r="D292" s="1" t="n">
        <v>45758</v>
      </c>
      <c r="E292" s="1" t="n">
        <v>46222</v>
      </c>
      <c r="F292" t="inlineStr">
        <is>
          <t>UPPSALA LÄN</t>
        </is>
      </c>
      <c r="G292" t="inlineStr">
        <is>
          <t>UPPSALA</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73531-2021</t>
        </is>
      </c>
      <c r="B293" t="inlineStr">
        <is>
          <t>avverkningsanmälan</t>
        </is>
      </c>
      <c r="C293" t="inlineStr">
        <is>
          <t>Föryngringsavverkning</t>
        </is>
      </c>
      <c r="D293" s="1" t="n">
        <v>44551</v>
      </c>
      <c r="E293" s="1" t="n">
        <v>46222</v>
      </c>
      <c r="F293" t="inlineStr">
        <is>
          <t>UPPSALA LÄN</t>
        </is>
      </c>
      <c r="G293" t="inlineStr">
        <is>
          <t>UPPSALA</t>
        </is>
      </c>
      <c r="H293" t="inlineStr">
        <is>
          <t>Holmen skog AB</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4509-2024</t>
        </is>
      </c>
      <c r="B294" t="inlineStr">
        <is>
          <t>avverkningsanmälan</t>
        </is>
      </c>
      <c r="C294" t="inlineStr">
        <is>
          <t>Föryngringsavverkning</t>
        </is>
      </c>
      <c r="D294" s="1" t="n">
        <v>45327</v>
      </c>
      <c r="E294" s="1" t="n">
        <v>46222</v>
      </c>
      <c r="F294" t="inlineStr">
        <is>
          <t>UPPSALA LÄN</t>
        </is>
      </c>
      <c r="G294" t="inlineStr">
        <is>
          <t>UPPSALA</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37588-2022</t>
        </is>
      </c>
      <c r="B295" t="inlineStr">
        <is>
          <t>avverkningsanmälan</t>
        </is>
      </c>
      <c r="C295" t="inlineStr">
        <is>
          <t>Föryngringsavverkning</t>
        </is>
      </c>
      <c r="D295" s="1" t="n">
        <v>44809</v>
      </c>
      <c r="E295" s="1" t="n">
        <v>46222</v>
      </c>
      <c r="F295" t="inlineStr">
        <is>
          <t>UPPSALA LÄN</t>
        </is>
      </c>
      <c r="G295" t="inlineStr">
        <is>
          <t>UPPSALA</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37670-2022</t>
        </is>
      </c>
      <c r="B296" t="inlineStr">
        <is>
          <t>avverkningsanmälan</t>
        </is>
      </c>
      <c r="C296" t="inlineStr">
        <is>
          <t>Föryngringsavverkning</t>
        </is>
      </c>
      <c r="D296" s="1" t="n">
        <v>44810</v>
      </c>
      <c r="E296" s="1" t="n">
        <v>46222</v>
      </c>
      <c r="F296" t="inlineStr">
        <is>
          <t>UPPSALA LÄN</t>
        </is>
      </c>
      <c r="G296" t="inlineStr">
        <is>
          <t>UPPSALA</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53900-2023</t>
        </is>
      </c>
      <c r="B297" t="inlineStr">
        <is>
          <t>avverkningsanmälan</t>
        </is>
      </c>
      <c r="C297" t="inlineStr">
        <is>
          <t>Föryngringsavverkning</t>
        </is>
      </c>
      <c r="D297" s="1" t="n">
        <v>45231</v>
      </c>
      <c r="E297" s="1" t="n">
        <v>46222</v>
      </c>
      <c r="F297" t="inlineStr">
        <is>
          <t>UPPSALA LÄN</t>
        </is>
      </c>
      <c r="G297" t="inlineStr">
        <is>
          <t>UPPSALA</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60781-2023</t>
        </is>
      </c>
      <c r="B298" t="inlineStr">
        <is>
          <t>avverkningsanmälan</t>
        </is>
      </c>
      <c r="C298" t="inlineStr">
        <is>
          <t>Föryngringsavverkning</t>
        </is>
      </c>
      <c r="D298" s="1" t="n">
        <v>45259</v>
      </c>
      <c r="E298" s="1" t="n">
        <v>46222</v>
      </c>
      <c r="F298" t="inlineStr">
        <is>
          <t>UPPSALA LÄN</t>
        </is>
      </c>
      <c r="G298" t="inlineStr">
        <is>
          <t>UPPSALA</t>
        </is>
      </c>
      <c r="I298" t="n">
        <v>4.1</v>
      </c>
      <c r="J298" t="n">
        <v>0</v>
      </c>
      <c r="K298" t="n">
        <v>0</v>
      </c>
      <c r="L298" t="n">
        <v>0</v>
      </c>
      <c r="M298" t="n">
        <v>0</v>
      </c>
      <c r="N298" t="n">
        <v>0</v>
      </c>
      <c r="O298" t="n">
        <v>0</v>
      </c>
      <c r="P298" t="n">
        <v>0</v>
      </c>
      <c r="Q298" t="n">
        <v>0</v>
      </c>
      <c r="R298" t="n">
        <v>0</v>
      </c>
      <c r="S298" t="n">
        <v>0</v>
      </c>
      <c r="T298" t="n">
        <v>0</v>
      </c>
      <c r="U298" s="2" t="inlineStr"/>
    </row>
    <row r="299" ht="15" customHeight="1">
      <c r="A299" t="inlineStr">
        <is>
          <t>A 60714-2023</t>
        </is>
      </c>
      <c r="B299" t="inlineStr">
        <is>
          <t>avverkningsanmälan</t>
        </is>
      </c>
      <c r="C299" t="inlineStr">
        <is>
          <t>Föryngringsavverkning</t>
        </is>
      </c>
      <c r="D299" s="1" t="n">
        <v>45259</v>
      </c>
      <c r="E299" s="1" t="n">
        <v>46222</v>
      </c>
      <c r="F299" t="inlineStr">
        <is>
          <t>UPPSALA LÄN</t>
        </is>
      </c>
      <c r="G299" t="inlineStr">
        <is>
          <t>UPPSALA</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6677-2024</t>
        </is>
      </c>
      <c r="B300" t="inlineStr">
        <is>
          <t>avverkningsanmälan</t>
        </is>
      </c>
      <c r="C300" t="inlineStr">
        <is>
          <t>Föryngringsavverkning</t>
        </is>
      </c>
      <c r="D300" s="1" t="n">
        <v>45341</v>
      </c>
      <c r="E300" s="1" t="n">
        <v>46222</v>
      </c>
      <c r="F300" t="inlineStr">
        <is>
          <t>UPPSALA LÄN</t>
        </is>
      </c>
      <c r="G300" t="inlineStr">
        <is>
          <t>UPPSALA</t>
        </is>
      </c>
      <c r="H300" t="inlineStr">
        <is>
          <t>Bergvik skog öst AB</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6630-2024</t>
        </is>
      </c>
      <c r="B301" t="inlineStr">
        <is>
          <t>avverkningsanmälan</t>
        </is>
      </c>
      <c r="C301" t="inlineStr">
        <is>
          <t>Föryngringsavverkning</t>
        </is>
      </c>
      <c r="D301" s="1" t="n">
        <v>45341</v>
      </c>
      <c r="E301" s="1" t="n">
        <v>46222</v>
      </c>
      <c r="F301" t="inlineStr">
        <is>
          <t>UPPSALA LÄN</t>
        </is>
      </c>
      <c r="G301" t="inlineStr">
        <is>
          <t>UPPSALA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44315-2021</t>
        </is>
      </c>
      <c r="B302" t="inlineStr">
        <is>
          <t>avverkningsanmälan</t>
        </is>
      </c>
      <c r="C302" t="inlineStr">
        <is>
          <t>Föryngringsavverkning</t>
        </is>
      </c>
      <c r="D302" s="1" t="n">
        <v>44435</v>
      </c>
      <c r="E302" s="1" t="n">
        <v>46222</v>
      </c>
      <c r="F302" t="inlineStr">
        <is>
          <t>UPPSALA LÄN</t>
        </is>
      </c>
      <c r="G302" t="inlineStr">
        <is>
          <t>UPPSALA</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6851-2022</t>
        </is>
      </c>
      <c r="B303" t="inlineStr">
        <is>
          <t>avverkningsanmälan</t>
        </is>
      </c>
      <c r="C303" t="inlineStr">
        <is>
          <t>Föryngringsavverkning</t>
        </is>
      </c>
      <c r="D303" s="1" t="n">
        <v>44602</v>
      </c>
      <c r="E303" s="1" t="n">
        <v>46222</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1032-2023</t>
        </is>
      </c>
      <c r="B304" t="inlineStr">
        <is>
          <t>avverkningsanmälan</t>
        </is>
      </c>
      <c r="C304" t="inlineStr">
        <is>
          <t>Avverkning för annat ändamål</t>
        </is>
      </c>
      <c r="D304" s="1" t="n">
        <v>44935</v>
      </c>
      <c r="E304" s="1" t="n">
        <v>46222</v>
      </c>
      <c r="F304" t="inlineStr">
        <is>
          <t>UPPSALA LÄN</t>
        </is>
      </c>
      <c r="G304" t="inlineStr">
        <is>
          <t>UPPSALA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63011-2021</t>
        </is>
      </c>
      <c r="B305" t="inlineStr">
        <is>
          <t>avverkningsanmälan</t>
        </is>
      </c>
      <c r="C305" t="inlineStr">
        <is>
          <t>Avverkning för annat ändamål</t>
        </is>
      </c>
      <c r="D305" s="1" t="n">
        <v>44504</v>
      </c>
      <c r="E305" s="1" t="n">
        <v>46222</v>
      </c>
      <c r="F305" t="inlineStr">
        <is>
          <t>UPPSALA LÄN</t>
        </is>
      </c>
      <c r="G305" t="inlineStr">
        <is>
          <t>UPPSALA</t>
        </is>
      </c>
      <c r="I305" t="n">
        <v>11.2</v>
      </c>
      <c r="J305" t="n">
        <v>0</v>
      </c>
      <c r="K305" t="n">
        <v>0</v>
      </c>
      <c r="L305" t="n">
        <v>0</v>
      </c>
      <c r="M305" t="n">
        <v>0</v>
      </c>
      <c r="N305" t="n">
        <v>0</v>
      </c>
      <c r="O305" t="n">
        <v>0</v>
      </c>
      <c r="P305" t="n">
        <v>0</v>
      </c>
      <c r="Q305" t="n">
        <v>0</v>
      </c>
      <c r="R305" t="n">
        <v>0</v>
      </c>
      <c r="S305" t="n">
        <v>0</v>
      </c>
      <c r="T305" t="n">
        <v>0</v>
      </c>
      <c r="U305" s="2" t="inlineStr"/>
    </row>
    <row r="306" ht="15" customHeight="1">
      <c r="A306" t="inlineStr">
        <is>
          <t>A 9398-2023</t>
        </is>
      </c>
      <c r="B306" t="inlineStr">
        <is>
          <t>avverkningsanmälan</t>
        </is>
      </c>
      <c r="C306" t="inlineStr">
        <is>
          <t>Föryngringsavverkning</t>
        </is>
      </c>
      <c r="D306" s="1" t="n">
        <v>44977</v>
      </c>
      <c r="E306" s="1" t="n">
        <v>46222</v>
      </c>
      <c r="F306" t="inlineStr">
        <is>
          <t>UPPSALA LÄN</t>
        </is>
      </c>
      <c r="G306" t="inlineStr">
        <is>
          <t>UPPSALA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10674-2022</t>
        </is>
      </c>
      <c r="B307" t="inlineStr">
        <is>
          <t>avverkningsanmälan</t>
        </is>
      </c>
      <c r="C307" t="inlineStr">
        <is>
          <t>Föryngringsavverkning</t>
        </is>
      </c>
      <c r="D307" s="1" t="n">
        <v>44624</v>
      </c>
      <c r="E307" s="1" t="n">
        <v>46222</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7611-2023</t>
        </is>
      </c>
      <c r="B308" t="inlineStr">
        <is>
          <t>avverkningsanmälan</t>
        </is>
      </c>
      <c r="C308" t="inlineStr">
        <is>
          <t>Föryngringsavverkning</t>
        </is>
      </c>
      <c r="D308" s="1" t="n">
        <v>44967</v>
      </c>
      <c r="E308" s="1" t="n">
        <v>46222</v>
      </c>
      <c r="F308" t="inlineStr">
        <is>
          <t>UPPSALA LÄN</t>
        </is>
      </c>
      <c r="G308" t="inlineStr">
        <is>
          <t>UPPSALA</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23291-2024</t>
        </is>
      </c>
      <c r="B309" t="inlineStr">
        <is>
          <t>avverkningsanmälan</t>
        </is>
      </c>
      <c r="C309" t="inlineStr">
        <is>
          <t>Föryngringsavverkning</t>
        </is>
      </c>
      <c r="D309" s="1" t="n">
        <v>45453</v>
      </c>
      <c r="E309" s="1" t="n">
        <v>46222</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54924-2024</t>
        </is>
      </c>
      <c r="B310" t="inlineStr">
        <is>
          <t>avverkningsanmälan</t>
        </is>
      </c>
      <c r="C310" t="inlineStr">
        <is>
          <t>Föryngringsavverkning</t>
        </is>
      </c>
      <c r="D310" s="1" t="n">
        <v>45618</v>
      </c>
      <c r="E310" s="1" t="n">
        <v>46222</v>
      </c>
      <c r="F310" t="inlineStr">
        <is>
          <t>UPPSALA LÄN</t>
        </is>
      </c>
      <c r="G310" t="inlineStr">
        <is>
          <t>UPPSALA</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12293-2022</t>
        </is>
      </c>
      <c r="B311" t="inlineStr">
        <is>
          <t>avverkningsanmälan</t>
        </is>
      </c>
      <c r="C311" t="inlineStr">
        <is>
          <t>Föryngringsavverkning</t>
        </is>
      </c>
      <c r="D311" s="1" t="n">
        <v>44637</v>
      </c>
      <c r="E311" s="1" t="n">
        <v>46222</v>
      </c>
      <c r="F311" t="inlineStr">
        <is>
          <t>UPPSALA LÄN</t>
        </is>
      </c>
      <c r="G311" t="inlineStr">
        <is>
          <t>UPPSALA</t>
        </is>
      </c>
      <c r="H311" t="inlineStr">
        <is>
          <t>Kommuner</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5989-2022</t>
        </is>
      </c>
      <c r="B312" t="inlineStr">
        <is>
          <t>avverkningsanmälan</t>
        </is>
      </c>
      <c r="C312" t="inlineStr">
        <is>
          <t>Föryngringsavverkning</t>
        </is>
      </c>
      <c r="D312" s="1" t="n">
        <v>44599</v>
      </c>
      <c r="E312" s="1" t="n">
        <v>46222</v>
      </c>
      <c r="F312" t="inlineStr">
        <is>
          <t>UPPSALA LÄN</t>
        </is>
      </c>
      <c r="G312" t="inlineStr">
        <is>
          <t>UPPSALA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5006-2022</t>
        </is>
      </c>
      <c r="B313" t="inlineStr">
        <is>
          <t>avverkningsanmälan</t>
        </is>
      </c>
      <c r="C313" t="inlineStr">
        <is>
          <t>Föryngringsavverkning</t>
        </is>
      </c>
      <c r="D313" s="1" t="n">
        <v>44593</v>
      </c>
      <c r="E313" s="1" t="n">
        <v>46222</v>
      </c>
      <c r="F313" t="inlineStr">
        <is>
          <t>UPPSALA LÄN</t>
        </is>
      </c>
      <c r="G313" t="inlineStr">
        <is>
          <t>UPPSALA</t>
        </is>
      </c>
      <c r="H313" t="inlineStr">
        <is>
          <t>BillerudKorsnäs AB</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5007-2022</t>
        </is>
      </c>
      <c r="B314" t="inlineStr">
        <is>
          <t>avverkningsanmälan</t>
        </is>
      </c>
      <c r="C314" t="inlineStr">
        <is>
          <t>Föryngringsavverkning</t>
        </is>
      </c>
      <c r="D314" s="1" t="n">
        <v>44593</v>
      </c>
      <c r="E314" s="1" t="n">
        <v>46222</v>
      </c>
      <c r="F314" t="inlineStr">
        <is>
          <t>UPPSALA LÄN</t>
        </is>
      </c>
      <c r="G314" t="inlineStr">
        <is>
          <t>UPPSALA</t>
        </is>
      </c>
      <c r="H314" t="inlineStr">
        <is>
          <t>BillerudKorsnäs AB</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34114-2024</t>
        </is>
      </c>
      <c r="B315" t="inlineStr">
        <is>
          <t>avverkningsanmälan</t>
        </is>
      </c>
      <c r="C315" t="inlineStr">
        <is>
          <t>Föryngringsavverkning</t>
        </is>
      </c>
      <c r="D315" s="1" t="n">
        <v>45524</v>
      </c>
      <c r="E315" s="1" t="n">
        <v>46222</v>
      </c>
      <c r="F315" t="inlineStr">
        <is>
          <t>UPPSALA LÄN</t>
        </is>
      </c>
      <c r="G315" t="inlineStr">
        <is>
          <t>UPPSALA</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7276-2024</t>
        </is>
      </c>
      <c r="B316" t="inlineStr">
        <is>
          <t>avverkningsanmälan</t>
        </is>
      </c>
      <c r="C316" t="inlineStr">
        <is>
          <t>Föryngringsavverkning</t>
        </is>
      </c>
      <c r="D316" s="1" t="n">
        <v>45344</v>
      </c>
      <c r="E316" s="1" t="n">
        <v>46222</v>
      </c>
      <c r="F316" t="inlineStr">
        <is>
          <t>UPPSALA LÄN</t>
        </is>
      </c>
      <c r="G316" t="inlineStr">
        <is>
          <t>UPPSALA</t>
        </is>
      </c>
      <c r="H316" t="inlineStr">
        <is>
          <t>Bergvik skog öst AB</t>
        </is>
      </c>
      <c r="I316" t="n">
        <v>0.2</v>
      </c>
      <c r="J316" t="n">
        <v>0</v>
      </c>
      <c r="K316" t="n">
        <v>0</v>
      </c>
      <c r="L316" t="n">
        <v>0</v>
      </c>
      <c r="M316" t="n">
        <v>0</v>
      </c>
      <c r="N316" t="n">
        <v>0</v>
      </c>
      <c r="O316" t="n">
        <v>0</v>
      </c>
      <c r="P316" t="n">
        <v>0</v>
      </c>
      <c r="Q316" t="n">
        <v>0</v>
      </c>
      <c r="R316" t="n">
        <v>0</v>
      </c>
      <c r="S316" t="n">
        <v>0</v>
      </c>
      <c r="T316" t="n">
        <v>0</v>
      </c>
      <c r="U316" s="2" t="inlineStr"/>
    </row>
    <row r="317" ht="15" customHeight="1">
      <c r="A317" t="inlineStr">
        <is>
          <t>A 3040-2023</t>
        </is>
      </c>
      <c r="B317" t="inlineStr">
        <is>
          <t>avverkningsanmälan</t>
        </is>
      </c>
      <c r="C317" t="inlineStr">
        <is>
          <t>Föryngringsavverkning</t>
        </is>
      </c>
      <c r="D317" s="1" t="n">
        <v>44946</v>
      </c>
      <c r="E317" s="1" t="n">
        <v>46222</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18607-2024</t>
        </is>
      </c>
      <c r="B318" t="inlineStr">
        <is>
          <t>avverkningsanmälan</t>
        </is>
      </c>
      <c r="C318" t="inlineStr">
        <is>
          <t>Föryngringsavverkning</t>
        </is>
      </c>
      <c r="D318" s="1" t="n">
        <v>45425</v>
      </c>
      <c r="E318" s="1" t="n">
        <v>46222</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54813-2022</t>
        </is>
      </c>
      <c r="B319" t="inlineStr">
        <is>
          <t>avverkningsanmälan</t>
        </is>
      </c>
      <c r="C319" t="inlineStr">
        <is>
          <t>Föryngringsavverkning</t>
        </is>
      </c>
      <c r="D319" s="1" t="n">
        <v>44883</v>
      </c>
      <c r="E319" s="1" t="n">
        <v>46222</v>
      </c>
      <c r="F319" t="inlineStr">
        <is>
          <t>UPPSALA LÄN</t>
        </is>
      </c>
      <c r="G319" t="inlineStr">
        <is>
          <t>UPPSALA</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46635-2022</t>
        </is>
      </c>
      <c r="B320" t="inlineStr">
        <is>
          <t>avverkningsanmälan</t>
        </is>
      </c>
      <c r="C320" t="inlineStr">
        <is>
          <t>Föryngringsavverkning</t>
        </is>
      </c>
      <c r="D320" s="1" t="n">
        <v>44849</v>
      </c>
      <c r="E320" s="1" t="n">
        <v>46222</v>
      </c>
      <c r="F320" t="inlineStr">
        <is>
          <t>UPPSALA LÄN</t>
        </is>
      </c>
      <c r="G320" t="inlineStr">
        <is>
          <t>UPPSALA</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45592-2023</t>
        </is>
      </c>
      <c r="B321" t="inlineStr">
        <is>
          <t>avverkningsanmälan</t>
        </is>
      </c>
      <c r="C321" t="inlineStr">
        <is>
          <t>Föryngringsavverkning</t>
        </is>
      </c>
      <c r="D321" s="1" t="n">
        <v>45194</v>
      </c>
      <c r="E321" s="1" t="n">
        <v>46222</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42124-2021</t>
        </is>
      </c>
      <c r="B322" t="inlineStr">
        <is>
          <t>avverkningsanmälan</t>
        </is>
      </c>
      <c r="C322" t="inlineStr">
        <is>
          <t>Föryngringsavverkning</t>
        </is>
      </c>
      <c r="D322" s="1" t="n">
        <v>44426</v>
      </c>
      <c r="E322" s="1" t="n">
        <v>46222</v>
      </c>
      <c r="F322" t="inlineStr">
        <is>
          <t>UPPSALA LÄN</t>
        </is>
      </c>
      <c r="G322" t="inlineStr">
        <is>
          <t>UPPSALA</t>
        </is>
      </c>
      <c r="I322" t="n">
        <v>6.3</v>
      </c>
      <c r="J322" t="n">
        <v>0</v>
      </c>
      <c r="K322" t="n">
        <v>0</v>
      </c>
      <c r="L322" t="n">
        <v>0</v>
      </c>
      <c r="M322" t="n">
        <v>0</v>
      </c>
      <c r="N322" t="n">
        <v>0</v>
      </c>
      <c r="O322" t="n">
        <v>0</v>
      </c>
      <c r="P322" t="n">
        <v>0</v>
      </c>
      <c r="Q322" t="n">
        <v>0</v>
      </c>
      <c r="R322" t="n">
        <v>0</v>
      </c>
      <c r="S322" t="n">
        <v>0</v>
      </c>
      <c r="T322" t="n">
        <v>0</v>
      </c>
      <c r="U322" s="2" t="inlineStr"/>
    </row>
    <row r="323" ht="15" customHeight="1">
      <c r="A323" t="inlineStr">
        <is>
          <t>A 32127-2024</t>
        </is>
      </c>
      <c r="B323" t="inlineStr">
        <is>
          <t>avverkningsanmälan</t>
        </is>
      </c>
      <c r="C323" t="inlineStr">
        <is>
          <t>Avverkning för att bevara och utveckla /försöksver</t>
        </is>
      </c>
      <c r="D323" s="1" t="n">
        <v>45511</v>
      </c>
      <c r="E323" s="1" t="n">
        <v>46222</v>
      </c>
      <c r="F323" t="inlineStr">
        <is>
          <t>UPPSALA LÄN</t>
        </is>
      </c>
      <c r="G323" t="inlineStr">
        <is>
          <t>UPPSALA</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7899-2022</t>
        </is>
      </c>
      <c r="B324" t="inlineStr">
        <is>
          <t>avverkningsanmälan</t>
        </is>
      </c>
      <c r="C324" t="inlineStr">
        <is>
          <t>Föryngringsavverkning</t>
        </is>
      </c>
      <c r="D324" s="1" t="n">
        <v>44608</v>
      </c>
      <c r="E324" s="1" t="n">
        <v>46222</v>
      </c>
      <c r="F324" t="inlineStr">
        <is>
          <t>UPPSALA LÄN</t>
        </is>
      </c>
      <c r="G324" t="inlineStr">
        <is>
          <t>UPPSALA</t>
        </is>
      </c>
      <c r="H324" t="inlineStr">
        <is>
          <t>Övriga Aktiebolag</t>
        </is>
      </c>
      <c r="I324" t="n">
        <v>7.1</v>
      </c>
      <c r="J324" t="n">
        <v>0</v>
      </c>
      <c r="K324" t="n">
        <v>0</v>
      </c>
      <c r="L324" t="n">
        <v>0</v>
      </c>
      <c r="M324" t="n">
        <v>0</v>
      </c>
      <c r="N324" t="n">
        <v>0</v>
      </c>
      <c r="O324" t="n">
        <v>0</v>
      </c>
      <c r="P324" t="n">
        <v>0</v>
      </c>
      <c r="Q324" t="n">
        <v>0</v>
      </c>
      <c r="R324" t="n">
        <v>0</v>
      </c>
      <c r="S324" t="n">
        <v>0</v>
      </c>
      <c r="T324" t="n">
        <v>0</v>
      </c>
      <c r="U324" s="2" t="inlineStr"/>
    </row>
    <row r="325" ht="15" customHeight="1">
      <c r="A325" t="inlineStr">
        <is>
          <t>A 47316-2023</t>
        </is>
      </c>
      <c r="B325" t="inlineStr">
        <is>
          <t>avverkningsanmälan</t>
        </is>
      </c>
      <c r="C325" t="inlineStr">
        <is>
          <t>Föryngringsavverkning</t>
        </is>
      </c>
      <c r="D325" s="1" t="n">
        <v>45202</v>
      </c>
      <c r="E325" s="1" t="n">
        <v>46222</v>
      </c>
      <c r="F325" t="inlineStr">
        <is>
          <t>UPPSALA LÄN</t>
        </is>
      </c>
      <c r="G325" t="inlineStr">
        <is>
          <t>UPPSALA</t>
        </is>
      </c>
      <c r="H325" t="inlineStr">
        <is>
          <t>Bergvik skog öst AB</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49996-2023</t>
        </is>
      </c>
      <c r="B326" t="inlineStr">
        <is>
          <t>avverkningsanmälan</t>
        </is>
      </c>
      <c r="C326" t="inlineStr">
        <is>
          <t>Föryngringsavverkning</t>
        </is>
      </c>
      <c r="D326" s="1" t="n">
        <v>45215</v>
      </c>
      <c r="E326" s="1" t="n">
        <v>46222</v>
      </c>
      <c r="F326" t="inlineStr">
        <is>
          <t>UPPSALA LÄN</t>
        </is>
      </c>
      <c r="G326" t="inlineStr">
        <is>
          <t>UPPSALA</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39818-2024</t>
        </is>
      </c>
      <c r="B327" t="inlineStr">
        <is>
          <t>avverkningsanmälan</t>
        </is>
      </c>
      <c r="C327" t="inlineStr">
        <is>
          <t>Föryngringsavverkning</t>
        </is>
      </c>
      <c r="D327" s="1" t="n">
        <v>45552</v>
      </c>
      <c r="E327" s="1" t="n">
        <v>46222</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26740-2025</t>
        </is>
      </c>
      <c r="B328" t="inlineStr">
        <is>
          <t>avverkningsanmälan</t>
        </is>
      </c>
      <c r="C328" t="inlineStr">
        <is>
          <t>Föryngringsavverkning</t>
        </is>
      </c>
      <c r="D328" s="1" t="n">
        <v>45809</v>
      </c>
      <c r="E328" s="1" t="n">
        <v>46222</v>
      </c>
      <c r="F328" t="inlineStr">
        <is>
          <t>UPPSALA LÄN</t>
        </is>
      </c>
      <c r="G328" t="inlineStr">
        <is>
          <t>UPPSALA</t>
        </is>
      </c>
      <c r="H328" t="inlineStr">
        <is>
          <t>Övriga Aktiebolag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23494-2024</t>
        </is>
      </c>
      <c r="B329" t="inlineStr">
        <is>
          <t>avverkningsanmälan</t>
        </is>
      </c>
      <c r="C329" t="inlineStr">
        <is>
          <t>Föryngringsavverkning</t>
        </is>
      </c>
      <c r="D329" s="1" t="n">
        <v>45453</v>
      </c>
      <c r="E329" s="1" t="n">
        <v>46222</v>
      </c>
      <c r="F329" t="inlineStr">
        <is>
          <t>UPPSALA LÄN</t>
        </is>
      </c>
      <c r="G329" t="inlineStr">
        <is>
          <t>UPPSALA</t>
        </is>
      </c>
      <c r="H329" t="inlineStr">
        <is>
          <t>Kyrkan</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26713-2025</t>
        </is>
      </c>
      <c r="B330" t="inlineStr">
        <is>
          <t>avverkningsanmälan</t>
        </is>
      </c>
      <c r="C330" t="inlineStr">
        <is>
          <t>Föryngringsavverkning</t>
        </is>
      </c>
      <c r="D330" s="1" t="n">
        <v>45809</v>
      </c>
      <c r="E330" s="1" t="n">
        <v>46222</v>
      </c>
      <c r="F330" t="inlineStr">
        <is>
          <t>UPPSALA LÄN</t>
        </is>
      </c>
      <c r="G330" t="inlineStr">
        <is>
          <t>UPPSALA</t>
        </is>
      </c>
      <c r="I330" t="n">
        <v>3.8</v>
      </c>
      <c r="J330" t="n">
        <v>0</v>
      </c>
      <c r="K330" t="n">
        <v>0</v>
      </c>
      <c r="L330" t="n">
        <v>0</v>
      </c>
      <c r="M330" t="n">
        <v>0</v>
      </c>
      <c r="N330" t="n">
        <v>0</v>
      </c>
      <c r="O330" t="n">
        <v>0</v>
      </c>
      <c r="P330" t="n">
        <v>0</v>
      </c>
      <c r="Q330" t="n">
        <v>0</v>
      </c>
      <c r="R330" t="n">
        <v>0</v>
      </c>
      <c r="S330" t="n">
        <v>0</v>
      </c>
      <c r="T330" t="n">
        <v>0</v>
      </c>
      <c r="U330" s="2" t="inlineStr"/>
    </row>
    <row r="331" ht="15" customHeight="1">
      <c r="A331" t="inlineStr">
        <is>
          <t>A 5663-2023</t>
        </is>
      </c>
      <c r="B331" t="inlineStr">
        <is>
          <t>avverkningsanmälan</t>
        </is>
      </c>
      <c r="C331" t="inlineStr">
        <is>
          <t>Föryngringsavverkning</t>
        </is>
      </c>
      <c r="D331" s="1" t="n">
        <v>44960</v>
      </c>
      <c r="E331" s="1" t="n">
        <v>46222</v>
      </c>
      <c r="F331" t="inlineStr">
        <is>
          <t>UPPSALA LÄN</t>
        </is>
      </c>
      <c r="G331" t="inlineStr">
        <is>
          <t>UPPSALA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5675-2023</t>
        </is>
      </c>
      <c r="B332" t="inlineStr">
        <is>
          <t>avverkningsanmälan</t>
        </is>
      </c>
      <c r="C332" t="inlineStr">
        <is>
          <t>Föryngringsavverkning</t>
        </is>
      </c>
      <c r="D332" s="1" t="n">
        <v>44960</v>
      </c>
      <c r="E332" s="1" t="n">
        <v>46222</v>
      </c>
      <c r="F332" t="inlineStr">
        <is>
          <t>UPPSALA LÄN</t>
        </is>
      </c>
      <c r="G332" t="inlineStr">
        <is>
          <t>UPPSALA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27265-2025</t>
        </is>
      </c>
      <c r="B333" t="inlineStr">
        <is>
          <t>avverkningsanmälan</t>
        </is>
      </c>
      <c r="C333" t="inlineStr">
        <is>
          <t>Föryngringsavverkning</t>
        </is>
      </c>
      <c r="D333" s="1" t="n">
        <v>45812</v>
      </c>
      <c r="E333" s="1" t="n">
        <v>46222</v>
      </c>
      <c r="F333" t="inlineStr">
        <is>
          <t>UPPSALA LÄN</t>
        </is>
      </c>
      <c r="G333" t="inlineStr">
        <is>
          <t>UPPSALA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10489-2025</t>
        </is>
      </c>
      <c r="B334" t="inlineStr">
        <is>
          <t>avverkningsanmälan</t>
        </is>
      </c>
      <c r="C334" t="inlineStr">
        <is>
          <t>Föryngringsavverkning</t>
        </is>
      </c>
      <c r="D334" s="1" t="n">
        <v>45721</v>
      </c>
      <c r="E334" s="1" t="n">
        <v>46222</v>
      </c>
      <c r="F334" t="inlineStr">
        <is>
          <t>UPPSALA LÄN</t>
        </is>
      </c>
      <c r="G334" t="inlineStr">
        <is>
          <t>UPPSALA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74019-2021</t>
        </is>
      </c>
      <c r="B335" t="inlineStr">
        <is>
          <t>avverkningsanmälan</t>
        </is>
      </c>
      <c r="C335" t="inlineStr">
        <is>
          <t>Avverkning för att bevara och utveckla /försöksver</t>
        </is>
      </c>
      <c r="D335" s="1" t="n">
        <v>44553</v>
      </c>
      <c r="E335" s="1" t="n">
        <v>46222</v>
      </c>
      <c r="F335" t="inlineStr">
        <is>
          <t>UPPSALA LÄN</t>
        </is>
      </c>
      <c r="G335" t="inlineStr">
        <is>
          <t>UPPSALA</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5006-2022</t>
        </is>
      </c>
      <c r="B336" t="inlineStr">
        <is>
          <t>avverkningsanmälan</t>
        </is>
      </c>
      <c r="C336" t="inlineStr">
        <is>
          <t>Föryngringsavverkning</t>
        </is>
      </c>
      <c r="D336" s="1" t="n">
        <v>44593</v>
      </c>
      <c r="E336" s="1" t="n">
        <v>46222</v>
      </c>
      <c r="F336" t="inlineStr">
        <is>
          <t>UPPSALA LÄN</t>
        </is>
      </c>
      <c r="G336" t="inlineStr">
        <is>
          <t>UPPSALA</t>
        </is>
      </c>
      <c r="H336" t="inlineStr">
        <is>
          <t>BillerudKorsnäs AB</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53906-2023</t>
        </is>
      </c>
      <c r="B337" t="inlineStr">
        <is>
          <t>avverkningsanmälan</t>
        </is>
      </c>
      <c r="C337" t="inlineStr">
        <is>
          <t>Föryngringsavverkning</t>
        </is>
      </c>
      <c r="D337" s="1" t="n">
        <v>45231</v>
      </c>
      <c r="E337" s="1" t="n">
        <v>46222</v>
      </c>
      <c r="F337" t="inlineStr">
        <is>
          <t>UPPSALA LÄN</t>
        </is>
      </c>
      <c r="G337" t="inlineStr">
        <is>
          <t>UPPSALA</t>
        </is>
      </c>
      <c r="I337" t="n">
        <v>13.2</v>
      </c>
      <c r="J337" t="n">
        <v>0</v>
      </c>
      <c r="K337" t="n">
        <v>0</v>
      </c>
      <c r="L337" t="n">
        <v>0</v>
      </c>
      <c r="M337" t="n">
        <v>0</v>
      </c>
      <c r="N337" t="n">
        <v>0</v>
      </c>
      <c r="O337" t="n">
        <v>0</v>
      </c>
      <c r="P337" t="n">
        <v>0</v>
      </c>
      <c r="Q337" t="n">
        <v>0</v>
      </c>
      <c r="R337" t="n">
        <v>0</v>
      </c>
      <c r="S337" t="n">
        <v>0</v>
      </c>
      <c r="T337" t="n">
        <v>0</v>
      </c>
      <c r="U337" s="2" t="inlineStr"/>
    </row>
    <row r="338" ht="15" customHeight="1">
      <c r="A338" t="inlineStr">
        <is>
          <t>A 1975-2022</t>
        </is>
      </c>
      <c r="B338" t="inlineStr">
        <is>
          <t>avverkningsanmälan</t>
        </is>
      </c>
      <c r="C338" t="inlineStr">
        <is>
          <t>Avverkning för att bevara och utveckla /försöksver</t>
        </is>
      </c>
      <c r="D338" s="1" t="n">
        <v>44575</v>
      </c>
      <c r="E338" s="1" t="n">
        <v>46222</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27622-2023</t>
        </is>
      </c>
      <c r="B339" t="inlineStr">
        <is>
          <t>avverkningsanmälan</t>
        </is>
      </c>
      <c r="C339" t="inlineStr">
        <is>
          <t>Föryngringsavverkning</t>
        </is>
      </c>
      <c r="D339" s="1" t="n">
        <v>45097</v>
      </c>
      <c r="E339" s="1" t="n">
        <v>46222</v>
      </c>
      <c r="F339" t="inlineStr">
        <is>
          <t>UPPSALA LÄN</t>
        </is>
      </c>
      <c r="G339" t="inlineStr">
        <is>
          <t>UPPSALA</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28121-2025</t>
        </is>
      </c>
      <c r="B340" t="inlineStr">
        <is>
          <t>avverkningsanmälan</t>
        </is>
      </c>
      <c r="C340" t="inlineStr">
        <is>
          <t>Föryngringsavverkning</t>
        </is>
      </c>
      <c r="D340" s="1" t="n">
        <v>45817</v>
      </c>
      <c r="E340" s="1" t="n">
        <v>46222</v>
      </c>
      <c r="F340" t="inlineStr">
        <is>
          <t>UPPSALA LÄN</t>
        </is>
      </c>
      <c r="G340" t="inlineStr">
        <is>
          <t>UPPSALA</t>
        </is>
      </c>
      <c r="I340" t="n">
        <v>5.6</v>
      </c>
      <c r="J340" t="n">
        <v>0</v>
      </c>
      <c r="K340" t="n">
        <v>0</v>
      </c>
      <c r="L340" t="n">
        <v>0</v>
      </c>
      <c r="M340" t="n">
        <v>0</v>
      </c>
      <c r="N340" t="n">
        <v>0</v>
      </c>
      <c r="O340" t="n">
        <v>0</v>
      </c>
      <c r="P340" t="n">
        <v>0</v>
      </c>
      <c r="Q340" t="n">
        <v>0</v>
      </c>
      <c r="R340" t="n">
        <v>0</v>
      </c>
      <c r="S340" t="n">
        <v>0</v>
      </c>
      <c r="T340" t="n">
        <v>0</v>
      </c>
      <c r="U340" s="2" t="inlineStr"/>
    </row>
    <row r="341" ht="15" customHeight="1">
      <c r="A341" t="inlineStr">
        <is>
          <t>A 32928-2025</t>
        </is>
      </c>
      <c r="B341" t="inlineStr">
        <is>
          <t>avverkningsanmälan</t>
        </is>
      </c>
      <c r="C341" t="inlineStr">
        <is>
          <t>Föryngringsavverkning</t>
        </is>
      </c>
      <c r="D341" s="1" t="n">
        <v>45839</v>
      </c>
      <c r="E341" s="1" t="n">
        <v>46222</v>
      </c>
      <c r="F341" t="inlineStr">
        <is>
          <t>UPPSALA LÄN</t>
        </is>
      </c>
      <c r="G341" t="inlineStr">
        <is>
          <t>UPPSALA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56679-2022</t>
        </is>
      </c>
      <c r="B342" t="inlineStr">
        <is>
          <t>avverkningsanmälan</t>
        </is>
      </c>
      <c r="C342" t="inlineStr">
        <is>
          <t>Föryngringsavverkning</t>
        </is>
      </c>
      <c r="D342" s="1" t="n">
        <v>44893</v>
      </c>
      <c r="E342" s="1" t="n">
        <v>46222</v>
      </c>
      <c r="F342" t="inlineStr">
        <is>
          <t>UPPSALA LÄN</t>
        </is>
      </c>
      <c r="G342" t="inlineStr">
        <is>
          <t>UPPSALA</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27922-2025</t>
        </is>
      </c>
      <c r="B343" t="inlineStr">
        <is>
          <t>avverkningsanmälan</t>
        </is>
      </c>
      <c r="C343" t="inlineStr">
        <is>
          <t>Avverkning för annat ändamål</t>
        </is>
      </c>
      <c r="D343" s="1" t="n">
        <v>45817</v>
      </c>
      <c r="E343" s="1" t="n">
        <v>46222</v>
      </c>
      <c r="F343" t="inlineStr">
        <is>
          <t>UPPSALA LÄN</t>
        </is>
      </c>
      <c r="G343" t="inlineStr">
        <is>
          <t>UPPSALA</t>
        </is>
      </c>
      <c r="H343" t="inlineStr">
        <is>
          <t>Övriga Aktiebolag</t>
        </is>
      </c>
      <c r="I343" t="n">
        <v>0.1</v>
      </c>
      <c r="J343" t="n">
        <v>0</v>
      </c>
      <c r="K343" t="n">
        <v>0</v>
      </c>
      <c r="L343" t="n">
        <v>0</v>
      </c>
      <c r="M343" t="n">
        <v>0</v>
      </c>
      <c r="N343" t="n">
        <v>0</v>
      </c>
      <c r="O343" t="n">
        <v>0</v>
      </c>
      <c r="P343" t="n">
        <v>0</v>
      </c>
      <c r="Q343" t="n">
        <v>0</v>
      </c>
      <c r="R343" t="n">
        <v>0</v>
      </c>
      <c r="S343" t="n">
        <v>0</v>
      </c>
      <c r="T343" t="n">
        <v>0</v>
      </c>
      <c r="U343" s="2" t="inlineStr"/>
    </row>
    <row r="344" ht="15" customHeight="1">
      <c r="A344" t="inlineStr">
        <is>
          <t>A 10827-2024</t>
        </is>
      </c>
      <c r="B344" t="inlineStr">
        <is>
          <t>avverkningsanmälan</t>
        </is>
      </c>
      <c r="C344" t="inlineStr">
        <is>
          <t>Föryngringsavverkning</t>
        </is>
      </c>
      <c r="D344" s="1" t="n">
        <v>45369</v>
      </c>
      <c r="E344" s="1" t="n">
        <v>46222</v>
      </c>
      <c r="F344" t="inlineStr">
        <is>
          <t>UPPSALA LÄN</t>
        </is>
      </c>
      <c r="G344" t="inlineStr">
        <is>
          <t>UPPSALA</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59133-2022</t>
        </is>
      </c>
      <c r="B345" t="inlineStr">
        <is>
          <t>avverkningsanmälan</t>
        </is>
      </c>
      <c r="C345" t="inlineStr">
        <is>
          <t>Föryngringsavverkning</t>
        </is>
      </c>
      <c r="D345" s="1" t="n">
        <v>44904</v>
      </c>
      <c r="E345" s="1" t="n">
        <v>46222</v>
      </c>
      <c r="F345" t="inlineStr">
        <is>
          <t>UPPSALA LÄN</t>
        </is>
      </c>
      <c r="G345" t="inlineStr">
        <is>
          <t>UPPSALA</t>
        </is>
      </c>
      <c r="H345" t="inlineStr">
        <is>
          <t>Sveaskog</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28876-2025</t>
        </is>
      </c>
      <c r="B346" t="inlineStr">
        <is>
          <t>avverkningsanmälan</t>
        </is>
      </c>
      <c r="C346" t="inlineStr">
        <is>
          <t>Föryngringsavverkning</t>
        </is>
      </c>
      <c r="D346" s="1" t="n">
        <v>45820</v>
      </c>
      <c r="E346" s="1" t="n">
        <v>46222</v>
      </c>
      <c r="F346" t="inlineStr">
        <is>
          <t>UPPSALA LÄN</t>
        </is>
      </c>
      <c r="G346" t="inlineStr">
        <is>
          <t>UPPSALA</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15310-2022</t>
        </is>
      </c>
      <c r="B347" t="inlineStr">
        <is>
          <t>avverkningsanmälan</t>
        </is>
      </c>
      <c r="C347" t="inlineStr">
        <is>
          <t>Föryngringsavverkning</t>
        </is>
      </c>
      <c r="D347" s="1" t="n">
        <v>44659</v>
      </c>
      <c r="E347" s="1" t="n">
        <v>46222</v>
      </c>
      <c r="F347" t="inlineStr">
        <is>
          <t>UPPSALA LÄN</t>
        </is>
      </c>
      <c r="G347" t="inlineStr">
        <is>
          <t>UPPSALA</t>
        </is>
      </c>
      <c r="H347" t="inlineStr">
        <is>
          <t>Bergvik skog öst AB</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29047-2025</t>
        </is>
      </c>
      <c r="B348" t="inlineStr">
        <is>
          <t>avverkningsanmälan</t>
        </is>
      </c>
      <c r="C348" t="inlineStr">
        <is>
          <t>Föryngringsavverkning</t>
        </is>
      </c>
      <c r="D348" s="1" t="n">
        <v>45821</v>
      </c>
      <c r="E348" s="1" t="n">
        <v>46222</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29030-2025</t>
        </is>
      </c>
      <c r="B349" t="inlineStr">
        <is>
          <t>avverkningsanmälan</t>
        </is>
      </c>
      <c r="C349" t="inlineStr">
        <is>
          <t>Föryngringsavverkning</t>
        </is>
      </c>
      <c r="D349" s="1" t="n">
        <v>45821</v>
      </c>
      <c r="E349" s="1" t="n">
        <v>46222</v>
      </c>
      <c r="F349" t="inlineStr">
        <is>
          <t>UPPSALA LÄN</t>
        </is>
      </c>
      <c r="G349" t="inlineStr">
        <is>
          <t>UPPSALA</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12507-2024</t>
        </is>
      </c>
      <c r="B350" t="inlineStr">
        <is>
          <t>avverkningsanmälan</t>
        </is>
      </c>
      <c r="C350" t="inlineStr">
        <is>
          <t>Föryngringsavverkning</t>
        </is>
      </c>
      <c r="D350" s="1" t="n">
        <v>45379</v>
      </c>
      <c r="E350" s="1" t="n">
        <v>46222</v>
      </c>
      <c r="F350" t="inlineStr">
        <is>
          <t>UPPSALA LÄN</t>
        </is>
      </c>
      <c r="G350" t="inlineStr">
        <is>
          <t>UPPSALA</t>
        </is>
      </c>
      <c r="I350" t="n">
        <v>4.6</v>
      </c>
      <c r="J350" t="n">
        <v>0</v>
      </c>
      <c r="K350" t="n">
        <v>0</v>
      </c>
      <c r="L350" t="n">
        <v>0</v>
      </c>
      <c r="M350" t="n">
        <v>0</v>
      </c>
      <c r="N350" t="n">
        <v>0</v>
      </c>
      <c r="O350" t="n">
        <v>0</v>
      </c>
      <c r="P350" t="n">
        <v>0</v>
      </c>
      <c r="Q350" t="n">
        <v>0</v>
      </c>
      <c r="R350" t="n">
        <v>0</v>
      </c>
      <c r="S350" t="n">
        <v>0</v>
      </c>
      <c r="T350" t="n">
        <v>0</v>
      </c>
      <c r="U350" s="2" t="inlineStr"/>
    </row>
    <row r="351" ht="15" customHeight="1">
      <c r="A351" t="inlineStr">
        <is>
          <t>A 60702-2022</t>
        </is>
      </c>
      <c r="B351" t="inlineStr">
        <is>
          <t>avverkningsanmälan</t>
        </is>
      </c>
      <c r="C351" t="inlineStr">
        <is>
          <t>Föryngringsavverkning</t>
        </is>
      </c>
      <c r="D351" s="1" t="n">
        <v>44912</v>
      </c>
      <c r="E351" s="1" t="n">
        <v>46222</v>
      </c>
      <c r="F351" t="inlineStr">
        <is>
          <t>UPPSALA LÄN</t>
        </is>
      </c>
      <c r="G351" t="inlineStr">
        <is>
          <t>UPPSALA</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8933-2022</t>
        </is>
      </c>
      <c r="B352" t="inlineStr">
        <is>
          <t>avverkningsanmälan</t>
        </is>
      </c>
      <c r="C352" t="inlineStr">
        <is>
          <t>Föryngringsavverkning</t>
        </is>
      </c>
      <c r="D352" s="1" t="n">
        <v>44614</v>
      </c>
      <c r="E352" s="1" t="n">
        <v>46222</v>
      </c>
      <c r="F352" t="inlineStr">
        <is>
          <t>UPPSALA LÄN</t>
        </is>
      </c>
      <c r="G352" t="inlineStr">
        <is>
          <t>UPPSALA</t>
        </is>
      </c>
      <c r="H352" t="inlineStr">
        <is>
          <t>Holmen skog AB</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21859-2024</t>
        </is>
      </c>
      <c r="B353" t="inlineStr">
        <is>
          <t>avverkningsanmälan</t>
        </is>
      </c>
      <c r="C353" t="inlineStr">
        <is>
          <t>Föryngringsavverkning</t>
        </is>
      </c>
      <c r="D353" s="1" t="n">
        <v>45443</v>
      </c>
      <c r="E353" s="1" t="n">
        <v>46222</v>
      </c>
      <c r="F353" t="inlineStr">
        <is>
          <t>UPPSALA LÄN</t>
        </is>
      </c>
      <c r="G353" t="inlineStr">
        <is>
          <t>UPPSALA</t>
        </is>
      </c>
      <c r="H353" t="inlineStr">
        <is>
          <t>Kyrkan</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6930-2023</t>
        </is>
      </c>
      <c r="B354" t="inlineStr">
        <is>
          <t>avverkningsanmälan</t>
        </is>
      </c>
      <c r="C354" t="inlineStr">
        <is>
          <t>Föryngringsavverkning</t>
        </is>
      </c>
      <c r="D354" s="1" t="n">
        <v>44967</v>
      </c>
      <c r="E354" s="1" t="n">
        <v>46222</v>
      </c>
      <c r="F354" t="inlineStr">
        <is>
          <t>UPPSALA LÄN</t>
        </is>
      </c>
      <c r="G354" t="inlineStr">
        <is>
          <t>UPPSALA</t>
        </is>
      </c>
      <c r="I354" t="n">
        <v>8.800000000000001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59489-2023</t>
        </is>
      </c>
      <c r="B355" t="inlineStr">
        <is>
          <t>avverkningsanmälan</t>
        </is>
      </c>
      <c r="C355" t="inlineStr">
        <is>
          <t>Föryngringsavverkning</t>
        </is>
      </c>
      <c r="D355" s="1" t="n">
        <v>45254</v>
      </c>
      <c r="E355" s="1" t="n">
        <v>46222</v>
      </c>
      <c r="F355" t="inlineStr">
        <is>
          <t>UPPSALA LÄN</t>
        </is>
      </c>
      <c r="G355" t="inlineStr">
        <is>
          <t>UPPSALA</t>
        </is>
      </c>
      <c r="I355" t="n">
        <v>6.5</v>
      </c>
      <c r="J355" t="n">
        <v>0</v>
      </c>
      <c r="K355" t="n">
        <v>0</v>
      </c>
      <c r="L355" t="n">
        <v>0</v>
      </c>
      <c r="M355" t="n">
        <v>0</v>
      </c>
      <c r="N355" t="n">
        <v>0</v>
      </c>
      <c r="O355" t="n">
        <v>0</v>
      </c>
      <c r="P355" t="n">
        <v>0</v>
      </c>
      <c r="Q355" t="n">
        <v>0</v>
      </c>
      <c r="R355" t="n">
        <v>0</v>
      </c>
      <c r="S355" t="n">
        <v>0</v>
      </c>
      <c r="T355" t="n">
        <v>0</v>
      </c>
      <c r="U355" s="2" t="inlineStr"/>
    </row>
    <row r="356" ht="15" customHeight="1">
      <c r="A356" t="inlineStr">
        <is>
          <t>A 47287-2023</t>
        </is>
      </c>
      <c r="B356" t="inlineStr">
        <is>
          <t>avverkningsanmälan</t>
        </is>
      </c>
      <c r="C356" t="inlineStr">
        <is>
          <t>Avverkning för annat ändamål</t>
        </is>
      </c>
      <c r="D356" s="1" t="n">
        <v>45202</v>
      </c>
      <c r="E356" s="1" t="n">
        <v>46222</v>
      </c>
      <c r="F356" t="inlineStr">
        <is>
          <t>UPPSALA LÄN</t>
        </is>
      </c>
      <c r="G356" t="inlineStr">
        <is>
          <t>UPPSALA</t>
        </is>
      </c>
      <c r="H356" t="inlineStr">
        <is>
          <t>Holmen skog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30585-2025</t>
        </is>
      </c>
      <c r="B357" t="inlineStr">
        <is>
          <t>avverkningsanmälan</t>
        </is>
      </c>
      <c r="C357" t="inlineStr">
        <is>
          <t>Föryngringsavverkning</t>
        </is>
      </c>
      <c r="D357" s="1" t="n">
        <v>45831</v>
      </c>
      <c r="E357" s="1" t="n">
        <v>46222</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30839-2025</t>
        </is>
      </c>
      <c r="B358" t="inlineStr">
        <is>
          <t>avverkningsanmälan</t>
        </is>
      </c>
      <c r="C358" t="inlineStr">
        <is>
          <t>Föryngringsavverkning</t>
        </is>
      </c>
      <c r="D358" s="1" t="n">
        <v>45831</v>
      </c>
      <c r="E358" s="1" t="n">
        <v>46222</v>
      </c>
      <c r="F358" t="inlineStr">
        <is>
          <t>UPPSALA LÄN</t>
        </is>
      </c>
      <c r="G358" t="inlineStr">
        <is>
          <t>UPPSALA</t>
        </is>
      </c>
      <c r="H358" t="inlineStr">
        <is>
          <t>Kyrkan</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30898-2025</t>
        </is>
      </c>
      <c r="B359" t="inlineStr">
        <is>
          <t>avverkningsanmälan</t>
        </is>
      </c>
      <c r="C359" t="inlineStr">
        <is>
          <t>Föryngringsavverkning</t>
        </is>
      </c>
      <c r="D359" s="1" t="n">
        <v>45832</v>
      </c>
      <c r="E359" s="1" t="n">
        <v>46222</v>
      </c>
      <c r="F359" t="inlineStr">
        <is>
          <t>UPPSALA LÄN</t>
        </is>
      </c>
      <c r="G359" t="inlineStr">
        <is>
          <t>UPPSALA</t>
        </is>
      </c>
      <c r="H359" t="inlineStr">
        <is>
          <t>Kyrkan</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30567-2025</t>
        </is>
      </c>
      <c r="B360" t="inlineStr">
        <is>
          <t>avverkningsanmälan</t>
        </is>
      </c>
      <c r="C360" t="inlineStr">
        <is>
          <t>Föryngringsavverkning</t>
        </is>
      </c>
      <c r="D360" s="1" t="n">
        <v>45831</v>
      </c>
      <c r="E360" s="1" t="n">
        <v>46222</v>
      </c>
      <c r="F360" t="inlineStr">
        <is>
          <t>UPPSALA LÄN</t>
        </is>
      </c>
      <c r="G360" t="inlineStr">
        <is>
          <t>UPPSALA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30897-2025</t>
        </is>
      </c>
      <c r="B361" t="inlineStr">
        <is>
          <t>avverkningsanmälan</t>
        </is>
      </c>
      <c r="C361" t="inlineStr">
        <is>
          <t>Föryngringsavverkning</t>
        </is>
      </c>
      <c r="D361" s="1" t="n">
        <v>45832</v>
      </c>
      <c r="E361" s="1" t="n">
        <v>46222</v>
      </c>
      <c r="F361" t="inlineStr">
        <is>
          <t>UPPSALA LÄN</t>
        </is>
      </c>
      <c r="G361" t="inlineStr">
        <is>
          <t>UPPSALA</t>
        </is>
      </c>
      <c r="H361" t="inlineStr">
        <is>
          <t>Kyrkan</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30838-2025</t>
        </is>
      </c>
      <c r="B362" t="inlineStr">
        <is>
          <t>avverkningsanmälan</t>
        </is>
      </c>
      <c r="C362" t="inlineStr">
        <is>
          <t>Föryngringsavverkning</t>
        </is>
      </c>
      <c r="D362" s="1" t="n">
        <v>45831</v>
      </c>
      <c r="E362" s="1" t="n">
        <v>46222</v>
      </c>
      <c r="F362" t="inlineStr">
        <is>
          <t>UPPSALA LÄN</t>
        </is>
      </c>
      <c r="G362" t="inlineStr">
        <is>
          <t>UPPSALA</t>
        </is>
      </c>
      <c r="H362" t="inlineStr">
        <is>
          <t>Kyrkan</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42084-2025</t>
        </is>
      </c>
      <c r="B363" t="inlineStr">
        <is>
          <t>avverkningsanmälan</t>
        </is>
      </c>
      <c r="C363" t="inlineStr">
        <is>
          <t>Föryngringsavverkning</t>
        </is>
      </c>
      <c r="D363" s="1" t="n">
        <v>45903</v>
      </c>
      <c r="E363" s="1" t="n">
        <v>46222</v>
      </c>
      <c r="F363" t="inlineStr">
        <is>
          <t>UPPSALA LÄN</t>
        </is>
      </c>
      <c r="G363" t="inlineStr">
        <is>
          <t>UPPSALA</t>
        </is>
      </c>
      <c r="H363" t="inlineStr">
        <is>
          <t>Bergvik skog öst AB</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42085-2025</t>
        </is>
      </c>
      <c r="B364" t="inlineStr">
        <is>
          <t>avverkningsanmälan</t>
        </is>
      </c>
      <c r="C364" t="inlineStr">
        <is>
          <t>Föryngringsavverkning</t>
        </is>
      </c>
      <c r="D364" s="1" t="n">
        <v>45903</v>
      </c>
      <c r="E364" s="1" t="n">
        <v>46222</v>
      </c>
      <c r="F364" t="inlineStr">
        <is>
          <t>UPPSALA LÄN</t>
        </is>
      </c>
      <c r="G364" t="inlineStr">
        <is>
          <t>UPPSALA</t>
        </is>
      </c>
      <c r="H364" t="inlineStr">
        <is>
          <t>Bergvik skog öst AB</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64855-2021</t>
        </is>
      </c>
      <c r="B365" t="inlineStr">
        <is>
          <t>avverkningsanmälan</t>
        </is>
      </c>
      <c r="C365" t="inlineStr">
        <is>
          <t>Föryngringsavverkning</t>
        </is>
      </c>
      <c r="D365" s="1" t="n">
        <v>44512</v>
      </c>
      <c r="E365" s="1" t="n">
        <v>46222</v>
      </c>
      <c r="F365" t="inlineStr">
        <is>
          <t>UPPSALA LÄN</t>
        </is>
      </c>
      <c r="G365" t="inlineStr">
        <is>
          <t>UPPSALA</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13644-2024</t>
        </is>
      </c>
      <c r="B366" t="inlineStr">
        <is>
          <t>avverkningsanmälan</t>
        </is>
      </c>
      <c r="C366" t="inlineStr">
        <is>
          <t>Avverkning för annat ändamål</t>
        </is>
      </c>
      <c r="D366" s="1" t="n">
        <v>45390</v>
      </c>
      <c r="E366" s="1" t="n">
        <v>46222</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9592-2022</t>
        </is>
      </c>
      <c r="B367" t="inlineStr">
        <is>
          <t>avverkningsanmälan</t>
        </is>
      </c>
      <c r="C367" t="inlineStr">
        <is>
          <t>Föryngringsavverkning</t>
        </is>
      </c>
      <c r="D367" s="1" t="n">
        <v>44617</v>
      </c>
      <c r="E367" s="1" t="n">
        <v>46222</v>
      </c>
      <c r="F367" t="inlineStr">
        <is>
          <t>UPPSALA LÄN</t>
        </is>
      </c>
      <c r="G367" t="inlineStr">
        <is>
          <t>UPPSALA</t>
        </is>
      </c>
      <c r="I367" t="n">
        <v>7.5</v>
      </c>
      <c r="J367" t="n">
        <v>0</v>
      </c>
      <c r="K367" t="n">
        <v>0</v>
      </c>
      <c r="L367" t="n">
        <v>0</v>
      </c>
      <c r="M367" t="n">
        <v>0</v>
      </c>
      <c r="N367" t="n">
        <v>0</v>
      </c>
      <c r="O367" t="n">
        <v>0</v>
      </c>
      <c r="P367" t="n">
        <v>0</v>
      </c>
      <c r="Q367" t="n">
        <v>0</v>
      </c>
      <c r="R367" t="n">
        <v>0</v>
      </c>
      <c r="S367" t="n">
        <v>0</v>
      </c>
      <c r="T367" t="n">
        <v>0</v>
      </c>
      <c r="U367" s="2" t="inlineStr"/>
    </row>
    <row r="368" ht="15" customHeight="1">
      <c r="A368" t="inlineStr">
        <is>
          <t>A 42541-2025</t>
        </is>
      </c>
      <c r="B368" t="inlineStr">
        <is>
          <t>avverkningsanmälan</t>
        </is>
      </c>
      <c r="C368" t="inlineStr">
        <is>
          <t>Föryngringsavverkning</t>
        </is>
      </c>
      <c r="D368" s="1" t="n">
        <v>45905</v>
      </c>
      <c r="E368" s="1" t="n">
        <v>46222</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8473-2023</t>
        </is>
      </c>
      <c r="B369" t="inlineStr">
        <is>
          <t>avverkningsanmälan</t>
        </is>
      </c>
      <c r="C369" t="inlineStr">
        <is>
          <t>Avverkning för att bevara och utveckla /försöksver</t>
        </is>
      </c>
      <c r="D369" s="1" t="n">
        <v>44977</v>
      </c>
      <c r="E369" s="1" t="n">
        <v>46222</v>
      </c>
      <c r="F369" t="inlineStr">
        <is>
          <t>UPPSALA LÄN</t>
        </is>
      </c>
      <c r="G369" t="inlineStr">
        <is>
          <t>UPPSALA</t>
        </is>
      </c>
      <c r="H369" t="inlineStr">
        <is>
          <t>Holmen skog AB</t>
        </is>
      </c>
      <c r="I369" t="n">
        <v>3.6</v>
      </c>
      <c r="J369" t="n">
        <v>0</v>
      </c>
      <c r="K369" t="n">
        <v>0</v>
      </c>
      <c r="L369" t="n">
        <v>0</v>
      </c>
      <c r="M369" t="n">
        <v>0</v>
      </c>
      <c r="N369" t="n">
        <v>0</v>
      </c>
      <c r="O369" t="n">
        <v>0</v>
      </c>
      <c r="P369" t="n">
        <v>0</v>
      </c>
      <c r="Q369" t="n">
        <v>0</v>
      </c>
      <c r="R369" t="n">
        <v>0</v>
      </c>
      <c r="S369" t="n">
        <v>0</v>
      </c>
      <c r="T369" t="n">
        <v>0</v>
      </c>
      <c r="U369" s="2" t="inlineStr"/>
    </row>
    <row r="370" ht="15" customHeight="1">
      <c r="A370" t="inlineStr">
        <is>
          <t>A 22431-2024</t>
        </is>
      </c>
      <c r="B370" t="inlineStr">
        <is>
          <t>avverkningsanmälan</t>
        </is>
      </c>
      <c r="C370" t="inlineStr">
        <is>
          <t>Föryngringsavverkning</t>
        </is>
      </c>
      <c r="D370" s="1" t="n">
        <v>45446</v>
      </c>
      <c r="E370" s="1" t="n">
        <v>46222</v>
      </c>
      <c r="F370" t="inlineStr">
        <is>
          <t>UPPSALA LÄN</t>
        </is>
      </c>
      <c r="G370" t="inlineStr">
        <is>
          <t>UPPSALA</t>
        </is>
      </c>
      <c r="H370" t="inlineStr">
        <is>
          <t>Bergvik skog öst AB</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43893-2025</t>
        </is>
      </c>
      <c r="B371" t="inlineStr">
        <is>
          <t>avverkningsanmälan</t>
        </is>
      </c>
      <c r="C371" t="inlineStr">
        <is>
          <t>Föryngringsavverkning</t>
        </is>
      </c>
      <c r="D371" s="1" t="n">
        <v>45912</v>
      </c>
      <c r="E371" s="1" t="n">
        <v>46222</v>
      </c>
      <c r="F371" t="inlineStr">
        <is>
          <t>UPPSALA LÄN</t>
        </is>
      </c>
      <c r="G371" t="inlineStr">
        <is>
          <t>UPPSALA</t>
        </is>
      </c>
      <c r="H371" t="inlineStr">
        <is>
          <t>Kyrkan</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18677-2024</t>
        </is>
      </c>
      <c r="B372" t="inlineStr">
        <is>
          <t>avverkningsanmälan</t>
        </is>
      </c>
      <c r="C372" t="inlineStr">
        <is>
          <t>Föryngringsavverkning</t>
        </is>
      </c>
      <c r="D372" s="1" t="n">
        <v>45426</v>
      </c>
      <c r="E372" s="1" t="n">
        <v>46222</v>
      </c>
      <c r="F372" t="inlineStr">
        <is>
          <t>UPPSALA LÄN</t>
        </is>
      </c>
      <c r="G372" t="inlineStr">
        <is>
          <t>UPPSALA</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11739-2023</t>
        </is>
      </c>
      <c r="B373" t="inlineStr">
        <is>
          <t>avverkningsanmälan</t>
        </is>
      </c>
      <c r="C373" t="inlineStr">
        <is>
          <t>Föryngringsavverkning</t>
        </is>
      </c>
      <c r="D373" s="1" t="n">
        <v>44993</v>
      </c>
      <c r="E373" s="1" t="n">
        <v>46222</v>
      </c>
      <c r="F373" t="inlineStr">
        <is>
          <t>UPPSALA LÄN</t>
        </is>
      </c>
      <c r="G373" t="inlineStr">
        <is>
          <t>UPPSALA</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5629-2026</t>
        </is>
      </c>
      <c r="B374" t="inlineStr">
        <is>
          <t>avverkningsanmälan</t>
        </is>
      </c>
      <c r="C374" t="inlineStr">
        <is>
          <t>Föryngringsavverkning</t>
        </is>
      </c>
      <c r="D374" s="1" t="n">
        <v>46051</v>
      </c>
      <c r="E374" s="1" t="n">
        <v>46222</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44226-2025</t>
        </is>
      </c>
      <c r="B375" t="inlineStr">
        <is>
          <t>avverkningsanmälan</t>
        </is>
      </c>
      <c r="C375" t="inlineStr">
        <is>
          <t>Föryngringsavverkning</t>
        </is>
      </c>
      <c r="D375" s="1" t="n">
        <v>45915</v>
      </c>
      <c r="E375" s="1" t="n">
        <v>46222</v>
      </c>
      <c r="F375" t="inlineStr">
        <is>
          <t>UPPSALA LÄN</t>
        </is>
      </c>
      <c r="G375" t="inlineStr">
        <is>
          <t>UPPSALA</t>
        </is>
      </c>
      <c r="H375" t="inlineStr">
        <is>
          <t>Kyrkan</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28958-2025</t>
        </is>
      </c>
      <c r="B376" t="inlineStr">
        <is>
          <t>avverkningsanmälan</t>
        </is>
      </c>
      <c r="C376" t="inlineStr">
        <is>
          <t>Föryngringsavverkning</t>
        </is>
      </c>
      <c r="D376" s="1" t="n">
        <v>45821</v>
      </c>
      <c r="E376" s="1" t="n">
        <v>46222</v>
      </c>
      <c r="F376" t="inlineStr">
        <is>
          <t>UPPSALA LÄN</t>
        </is>
      </c>
      <c r="G376" t="inlineStr">
        <is>
          <t>UPPSALA</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33261-2025</t>
        </is>
      </c>
      <c r="B377" t="inlineStr">
        <is>
          <t>avverkningsanmälan</t>
        </is>
      </c>
      <c r="C377" t="inlineStr">
        <is>
          <t>Föryngringsavverkning</t>
        </is>
      </c>
      <c r="D377" s="1" t="n">
        <v>45840</v>
      </c>
      <c r="E377" s="1" t="n">
        <v>46222</v>
      </c>
      <c r="F377" t="inlineStr">
        <is>
          <t>UPPSALA LÄN</t>
        </is>
      </c>
      <c r="G377" t="inlineStr">
        <is>
          <t>UPPSALA</t>
        </is>
      </c>
      <c r="I377" t="n">
        <v>3.4</v>
      </c>
      <c r="J377" t="n">
        <v>0</v>
      </c>
      <c r="K377" t="n">
        <v>0</v>
      </c>
      <c r="L377" t="n">
        <v>0</v>
      </c>
      <c r="M377" t="n">
        <v>0</v>
      </c>
      <c r="N377" t="n">
        <v>0</v>
      </c>
      <c r="O377" t="n">
        <v>0</v>
      </c>
      <c r="P377" t="n">
        <v>0</v>
      </c>
      <c r="Q377" t="n">
        <v>0</v>
      </c>
      <c r="R377" t="n">
        <v>0</v>
      </c>
      <c r="S377" t="n">
        <v>0</v>
      </c>
      <c r="T377" t="n">
        <v>0</v>
      </c>
      <c r="U377" s="2" t="inlineStr"/>
    </row>
    <row r="378" ht="15" customHeight="1">
      <c r="A378" t="inlineStr">
        <is>
          <t>A 25776-2022</t>
        </is>
      </c>
      <c r="B378" t="inlineStr">
        <is>
          <t>avverkningsanmälan</t>
        </is>
      </c>
      <c r="C378" t="inlineStr">
        <is>
          <t>Föryngringsavverkning</t>
        </is>
      </c>
      <c r="D378" s="1" t="n">
        <v>44733</v>
      </c>
      <c r="E378" s="1" t="n">
        <v>46222</v>
      </c>
      <c r="F378" t="inlineStr">
        <is>
          <t>UPPSALA LÄN</t>
        </is>
      </c>
      <c r="G378" t="inlineStr">
        <is>
          <t>UPPSALA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44470-2025</t>
        </is>
      </c>
      <c r="B379" t="inlineStr">
        <is>
          <t>avverkningsanmälan</t>
        </is>
      </c>
      <c r="C379" t="inlineStr">
        <is>
          <t>Föryngringsavverkning</t>
        </is>
      </c>
      <c r="D379" s="1" t="n">
        <v>45916</v>
      </c>
      <c r="E379" s="1" t="n">
        <v>46222</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44813-2025</t>
        </is>
      </c>
      <c r="B380" t="inlineStr">
        <is>
          <t>avverkningsanmälan</t>
        </is>
      </c>
      <c r="C380" t="inlineStr">
        <is>
          <t>Avverkning för att bevara och utveckla /försöksver</t>
        </is>
      </c>
      <c r="D380" s="1" t="n">
        <v>45918</v>
      </c>
      <c r="E380" s="1" t="n">
        <v>46222</v>
      </c>
      <c r="F380" t="inlineStr">
        <is>
          <t>UPPSALA LÄN</t>
        </is>
      </c>
      <c r="G380" t="inlineStr">
        <is>
          <t>UPPSALA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11568-2023</t>
        </is>
      </c>
      <c r="B381" t="inlineStr">
        <is>
          <t>avverkningsanmälan</t>
        </is>
      </c>
      <c r="C381" t="inlineStr">
        <is>
          <t>Föryngringsavverkning</t>
        </is>
      </c>
      <c r="D381" s="1" t="n">
        <v>44994</v>
      </c>
      <c r="E381" s="1" t="n">
        <v>46222</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45405-2025</t>
        </is>
      </c>
      <c r="B382" t="inlineStr">
        <is>
          <t>avverkningsanmälan</t>
        </is>
      </c>
      <c r="C382" t="inlineStr">
        <is>
          <t>Föryngringsavverkning</t>
        </is>
      </c>
      <c r="D382" s="1" t="n">
        <v>45922</v>
      </c>
      <c r="E382" s="1" t="n">
        <v>46222</v>
      </c>
      <c r="F382" t="inlineStr">
        <is>
          <t>UPPSALA LÄN</t>
        </is>
      </c>
      <c r="G382" t="inlineStr">
        <is>
          <t>UPPSALA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3314-2025</t>
        </is>
      </c>
      <c r="B383" t="inlineStr">
        <is>
          <t>avverkningsanmälan</t>
        </is>
      </c>
      <c r="C383" t="inlineStr">
        <is>
          <t>Föryngringsavverkning</t>
        </is>
      </c>
      <c r="D383" s="1" t="n">
        <v>45679</v>
      </c>
      <c r="E383" s="1" t="n">
        <v>46222</v>
      </c>
      <c r="F383" t="inlineStr">
        <is>
          <t>UPPSALA LÄN</t>
        </is>
      </c>
      <c r="G383" t="inlineStr">
        <is>
          <t>UPPSALA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5687-2026</t>
        </is>
      </c>
      <c r="B384" t="inlineStr">
        <is>
          <t>avverkningsanmälan</t>
        </is>
      </c>
      <c r="C384" t="inlineStr">
        <is>
          <t>Föryngringsavverkning</t>
        </is>
      </c>
      <c r="D384" s="1" t="n">
        <v>46051</v>
      </c>
      <c r="E384" s="1" t="n">
        <v>46222</v>
      </c>
      <c r="F384" t="inlineStr">
        <is>
          <t>UPPSALA LÄN</t>
        </is>
      </c>
      <c r="G384" t="inlineStr">
        <is>
          <t>UPPSALA</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45519-2025</t>
        </is>
      </c>
      <c r="B385" t="inlineStr">
        <is>
          <t>avverkningsanmälan</t>
        </is>
      </c>
      <c r="C385" t="inlineStr">
        <is>
          <t>Avverkning för annat ändamål</t>
        </is>
      </c>
      <c r="D385" s="1" t="n">
        <v>45922</v>
      </c>
      <c r="E385" s="1" t="n">
        <v>46222</v>
      </c>
      <c r="F385" t="inlineStr">
        <is>
          <t>UPPSALA LÄN</t>
        </is>
      </c>
      <c r="G385" t="inlineStr">
        <is>
          <t>UPPSALA</t>
        </is>
      </c>
      <c r="I385" t="n">
        <v>0.3</v>
      </c>
      <c r="J385" t="n">
        <v>0</v>
      </c>
      <c r="K385" t="n">
        <v>0</v>
      </c>
      <c r="L385" t="n">
        <v>0</v>
      </c>
      <c r="M385" t="n">
        <v>0</v>
      </c>
      <c r="N385" t="n">
        <v>0</v>
      </c>
      <c r="O385" t="n">
        <v>0</v>
      </c>
      <c r="P385" t="n">
        <v>0</v>
      </c>
      <c r="Q385" t="n">
        <v>0</v>
      </c>
      <c r="R385" t="n">
        <v>0</v>
      </c>
      <c r="S385" t="n">
        <v>0</v>
      </c>
      <c r="T385" t="n">
        <v>0</v>
      </c>
      <c r="U385" s="2" t="inlineStr"/>
    </row>
    <row r="386" ht="15" customHeight="1">
      <c r="A386" t="inlineStr">
        <is>
          <t>A 18625-2025</t>
        </is>
      </c>
      <c r="B386" t="inlineStr">
        <is>
          <t>avverkningsanmälan</t>
        </is>
      </c>
      <c r="C386" t="inlineStr">
        <is>
          <t>Föryngringsavverkning</t>
        </is>
      </c>
      <c r="D386" s="1" t="n">
        <v>45763</v>
      </c>
      <c r="E386" s="1" t="n">
        <v>46222</v>
      </c>
      <c r="F386" t="inlineStr">
        <is>
          <t>UPPSALA LÄN</t>
        </is>
      </c>
      <c r="G386" t="inlineStr">
        <is>
          <t>UPPSALA</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16126-2022</t>
        </is>
      </c>
      <c r="B387" t="inlineStr">
        <is>
          <t>avverkningsanmälan</t>
        </is>
      </c>
      <c r="C387" t="inlineStr">
        <is>
          <t>Föryngringsavverkning</t>
        </is>
      </c>
      <c r="D387" s="1" t="n">
        <v>44665</v>
      </c>
      <c r="E387" s="1" t="n">
        <v>46222</v>
      </c>
      <c r="F387" t="inlineStr">
        <is>
          <t>UPPSALA LÄN</t>
        </is>
      </c>
      <c r="G387" t="inlineStr">
        <is>
          <t>UPPSALA</t>
        </is>
      </c>
      <c r="H387" t="inlineStr">
        <is>
          <t>Bergvik skog öst AB</t>
        </is>
      </c>
      <c r="I387" t="n">
        <v>4.4</v>
      </c>
      <c r="J387" t="n">
        <v>0</v>
      </c>
      <c r="K387" t="n">
        <v>0</v>
      </c>
      <c r="L387" t="n">
        <v>0</v>
      </c>
      <c r="M387" t="n">
        <v>0</v>
      </c>
      <c r="N387" t="n">
        <v>0</v>
      </c>
      <c r="O387" t="n">
        <v>0</v>
      </c>
      <c r="P387" t="n">
        <v>0</v>
      </c>
      <c r="Q387" t="n">
        <v>0</v>
      </c>
      <c r="R387" t="n">
        <v>0</v>
      </c>
      <c r="S387" t="n">
        <v>0</v>
      </c>
      <c r="T387" t="n">
        <v>0</v>
      </c>
      <c r="U387" s="2" t="inlineStr"/>
    </row>
    <row r="388" ht="15" customHeight="1">
      <c r="A388" t="inlineStr">
        <is>
          <t>A 21935-2023</t>
        </is>
      </c>
      <c r="B388" t="inlineStr">
        <is>
          <t>avverkningsanmälan</t>
        </is>
      </c>
      <c r="C388" t="inlineStr">
        <is>
          <t>Föryngringsavverkning</t>
        </is>
      </c>
      <c r="D388" s="1" t="n">
        <v>45068</v>
      </c>
      <c r="E388" s="1" t="n">
        <v>46222</v>
      </c>
      <c r="F388" t="inlineStr">
        <is>
          <t>UPPSALA LÄN</t>
        </is>
      </c>
      <c r="G388" t="inlineStr">
        <is>
          <t>UPPSALA</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45904-2025</t>
        </is>
      </c>
      <c r="B389" t="inlineStr">
        <is>
          <t>avverkningsanmälan</t>
        </is>
      </c>
      <c r="C389" t="inlineStr">
        <is>
          <t>Föryngringsavverkning</t>
        </is>
      </c>
      <c r="D389" s="1" t="n">
        <v>45923</v>
      </c>
      <c r="E389" s="1" t="n">
        <v>46222</v>
      </c>
      <c r="F389" t="inlineStr">
        <is>
          <t>UPPSALA LÄN</t>
        </is>
      </c>
      <c r="G389" t="inlineStr">
        <is>
          <t>UPPSALA</t>
        </is>
      </c>
      <c r="H389" t="inlineStr">
        <is>
          <t>Kyrkan</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6360-2026</t>
        </is>
      </c>
      <c r="B390" t="inlineStr">
        <is>
          <t>avverkningsanmälan</t>
        </is>
      </c>
      <c r="C390" t="inlineStr">
        <is>
          <t>Föryngringsavverkning</t>
        </is>
      </c>
      <c r="D390" s="1" t="n">
        <v>46055</v>
      </c>
      <c r="E390" s="1" t="n">
        <v>46222</v>
      </c>
      <c r="F390" t="inlineStr">
        <is>
          <t>UPPSALA LÄN</t>
        </is>
      </c>
      <c r="G390" t="inlineStr">
        <is>
          <t>UPPSALA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45903-2025</t>
        </is>
      </c>
      <c r="B391" t="inlineStr">
        <is>
          <t>avverkningsanmälan</t>
        </is>
      </c>
      <c r="C391" t="inlineStr">
        <is>
          <t>Föryngringsavverkning</t>
        </is>
      </c>
      <c r="D391" s="1" t="n">
        <v>45923</v>
      </c>
      <c r="E391" s="1" t="n">
        <v>46222</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9914-2024</t>
        </is>
      </c>
      <c r="B392" t="inlineStr">
        <is>
          <t>avverkningsanmälan</t>
        </is>
      </c>
      <c r="C392" t="inlineStr">
        <is>
          <t>Föryngringsavverkning</t>
        </is>
      </c>
      <c r="D392" s="1" t="n">
        <v>45363</v>
      </c>
      <c r="E392" s="1" t="n">
        <v>46222</v>
      </c>
      <c r="F392" t="inlineStr">
        <is>
          <t>UPPSALA LÄN</t>
        </is>
      </c>
      <c r="G392" t="inlineStr">
        <is>
          <t>UPPSALA</t>
        </is>
      </c>
      <c r="H392" t="inlineStr">
        <is>
          <t>Bergvik skog väst AB</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46773-2025</t>
        </is>
      </c>
      <c r="B393" t="inlineStr">
        <is>
          <t>avverkningsanmälan</t>
        </is>
      </c>
      <c r="C393" t="inlineStr">
        <is>
          <t>Föryngringsavverkning</t>
        </is>
      </c>
      <c r="D393" s="1" t="n">
        <v>45926</v>
      </c>
      <c r="E393" s="1" t="n">
        <v>46222</v>
      </c>
      <c r="F393" t="inlineStr">
        <is>
          <t>UPPSALA LÄN</t>
        </is>
      </c>
      <c r="G393" t="inlineStr">
        <is>
          <t>UPPSALA</t>
        </is>
      </c>
      <c r="H393" t="inlineStr">
        <is>
          <t>Kyrkan</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7002-2023</t>
        </is>
      </c>
      <c r="B394" t="inlineStr">
        <is>
          <t>avverkningsanmälan</t>
        </is>
      </c>
      <c r="C394" t="inlineStr">
        <is>
          <t>Föryngringsavverkning</t>
        </is>
      </c>
      <c r="D394" s="1" t="n">
        <v>44967</v>
      </c>
      <c r="E394" s="1" t="n">
        <v>46222</v>
      </c>
      <c r="F394" t="inlineStr">
        <is>
          <t>UPPSALA LÄN</t>
        </is>
      </c>
      <c r="G394" t="inlineStr">
        <is>
          <t>UPPSALA</t>
        </is>
      </c>
      <c r="I394" t="n">
        <v>5</v>
      </c>
      <c r="J394" t="n">
        <v>0</v>
      </c>
      <c r="K394" t="n">
        <v>0</v>
      </c>
      <c r="L394" t="n">
        <v>0</v>
      </c>
      <c r="M394" t="n">
        <v>0</v>
      </c>
      <c r="N394" t="n">
        <v>0</v>
      </c>
      <c r="O394" t="n">
        <v>0</v>
      </c>
      <c r="P394" t="n">
        <v>0</v>
      </c>
      <c r="Q394" t="n">
        <v>0</v>
      </c>
      <c r="R394" t="n">
        <v>0</v>
      </c>
      <c r="S394" t="n">
        <v>0</v>
      </c>
      <c r="T394" t="n">
        <v>0</v>
      </c>
      <c r="U394" s="2" t="inlineStr"/>
    </row>
    <row r="395" ht="15" customHeight="1">
      <c r="A395" t="inlineStr">
        <is>
          <t>A 60820-2024</t>
        </is>
      </c>
      <c r="B395" t="inlineStr">
        <is>
          <t>avverkningsanmälan</t>
        </is>
      </c>
      <c r="C395" t="inlineStr">
        <is>
          <t>Föryngringsavverkning</t>
        </is>
      </c>
      <c r="D395" s="1" t="n">
        <v>45644</v>
      </c>
      <c r="E395" s="1" t="n">
        <v>46222</v>
      </c>
      <c r="F395" t="inlineStr">
        <is>
          <t>UPPSALA LÄN</t>
        </is>
      </c>
      <c r="G395" t="inlineStr">
        <is>
          <t>UPPSALA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18675-2024</t>
        </is>
      </c>
      <c r="B396" t="inlineStr">
        <is>
          <t>avverkningsanmälan</t>
        </is>
      </c>
      <c r="C396" t="inlineStr">
        <is>
          <t>Föryngringsavverkning</t>
        </is>
      </c>
      <c r="D396" s="1" t="n">
        <v>45426</v>
      </c>
      <c r="E396" s="1" t="n">
        <v>46222</v>
      </c>
      <c r="F396" t="inlineStr">
        <is>
          <t>UPPSALA LÄN</t>
        </is>
      </c>
      <c r="G396" t="inlineStr">
        <is>
          <t>UPPSALA</t>
        </is>
      </c>
      <c r="I396" t="n">
        <v>8.1</v>
      </c>
      <c r="J396" t="n">
        <v>0</v>
      </c>
      <c r="K396" t="n">
        <v>0</v>
      </c>
      <c r="L396" t="n">
        <v>0</v>
      </c>
      <c r="M396" t="n">
        <v>0</v>
      </c>
      <c r="N396" t="n">
        <v>0</v>
      </c>
      <c r="O396" t="n">
        <v>0</v>
      </c>
      <c r="P396" t="n">
        <v>0</v>
      </c>
      <c r="Q396" t="n">
        <v>0</v>
      </c>
      <c r="R396" t="n">
        <v>0</v>
      </c>
      <c r="S396" t="n">
        <v>0</v>
      </c>
      <c r="T396" t="n">
        <v>0</v>
      </c>
      <c r="U396" s="2" t="inlineStr"/>
    </row>
    <row r="397" ht="15" customHeight="1">
      <c r="A397" t="inlineStr">
        <is>
          <t>A 35148-2025</t>
        </is>
      </c>
      <c r="B397" t="inlineStr">
        <is>
          <t>avverkningsanmälan</t>
        </is>
      </c>
      <c r="C397" t="inlineStr">
        <is>
          <t>Föryngringsavverkning</t>
        </is>
      </c>
      <c r="D397" s="1" t="n">
        <v>45852</v>
      </c>
      <c r="E397" s="1" t="n">
        <v>46222</v>
      </c>
      <c r="F397" t="inlineStr">
        <is>
          <t>UPPSALA LÄN</t>
        </is>
      </c>
      <c r="G397" t="inlineStr">
        <is>
          <t>UPPSALA</t>
        </is>
      </c>
      <c r="H397" t="inlineStr">
        <is>
          <t>Holmen skog AB</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35056-2025</t>
        </is>
      </c>
      <c r="B398" t="inlineStr">
        <is>
          <t>avverkningsanmälan</t>
        </is>
      </c>
      <c r="C398" t="inlineStr">
        <is>
          <t>Föryngringsavverkning</t>
        </is>
      </c>
      <c r="D398" s="1" t="n">
        <v>45852</v>
      </c>
      <c r="E398" s="1" t="n">
        <v>46222</v>
      </c>
      <c r="F398" t="inlineStr">
        <is>
          <t>UPPSALA LÄN</t>
        </is>
      </c>
      <c r="G398" t="inlineStr">
        <is>
          <t>UPPSALA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35053-2025</t>
        </is>
      </c>
      <c r="B399" t="inlineStr">
        <is>
          <t>avverkningsanmälan</t>
        </is>
      </c>
      <c r="C399" t="inlineStr">
        <is>
          <t>Föryngringsavverkning</t>
        </is>
      </c>
      <c r="D399" s="1" t="n">
        <v>45852</v>
      </c>
      <c r="E399" s="1" t="n">
        <v>46222</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46571-2025</t>
        </is>
      </c>
      <c r="B400" t="inlineStr">
        <is>
          <t>avverkningsanmälan</t>
        </is>
      </c>
      <c r="C400" t="inlineStr">
        <is>
          <t>Föryngringsavverkning</t>
        </is>
      </c>
      <c r="D400" s="1" t="n">
        <v>45926</v>
      </c>
      <c r="E400" s="1" t="n">
        <v>46222</v>
      </c>
      <c r="F400" t="inlineStr">
        <is>
          <t>UPPSALA LÄN</t>
        </is>
      </c>
      <c r="G400" t="inlineStr">
        <is>
          <t>UPPSALA</t>
        </is>
      </c>
      <c r="H400" t="inlineStr">
        <is>
          <t>Bergvik skog öst AB</t>
        </is>
      </c>
      <c r="I400" t="n">
        <v>11.1</v>
      </c>
      <c r="J400" t="n">
        <v>0</v>
      </c>
      <c r="K400" t="n">
        <v>0</v>
      </c>
      <c r="L400" t="n">
        <v>0</v>
      </c>
      <c r="M400" t="n">
        <v>0</v>
      </c>
      <c r="N400" t="n">
        <v>0</v>
      </c>
      <c r="O400" t="n">
        <v>0</v>
      </c>
      <c r="P400" t="n">
        <v>0</v>
      </c>
      <c r="Q400" t="n">
        <v>0</v>
      </c>
      <c r="R400" t="n">
        <v>0</v>
      </c>
      <c r="S400" t="n">
        <v>0</v>
      </c>
      <c r="T400" t="n">
        <v>0</v>
      </c>
      <c r="U400" s="2" t="inlineStr"/>
    </row>
    <row r="401" ht="15" customHeight="1">
      <c r="A401" t="inlineStr">
        <is>
          <t>A 46564-2025</t>
        </is>
      </c>
      <c r="B401" t="inlineStr">
        <is>
          <t>avverkningsanmälan</t>
        </is>
      </c>
      <c r="C401" t="inlineStr">
        <is>
          <t>Föryngringsavverkning</t>
        </is>
      </c>
      <c r="D401" s="1" t="n">
        <v>45926</v>
      </c>
      <c r="E401" s="1" t="n">
        <v>46222</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46565-2025</t>
        </is>
      </c>
      <c r="B402" t="inlineStr">
        <is>
          <t>avverkningsanmälan</t>
        </is>
      </c>
      <c r="C402" t="inlineStr">
        <is>
          <t>Föryngringsavverkning</t>
        </is>
      </c>
      <c r="D402" s="1" t="n">
        <v>45926</v>
      </c>
      <c r="E402" s="1" t="n">
        <v>46222</v>
      </c>
      <c r="F402" t="inlineStr">
        <is>
          <t>UPPSALA LÄN</t>
        </is>
      </c>
      <c r="G402" t="inlineStr">
        <is>
          <t>UPPSALA</t>
        </is>
      </c>
      <c r="H402" t="inlineStr">
        <is>
          <t>Bergvik skog öst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367-2023</t>
        </is>
      </c>
      <c r="B403" t="inlineStr">
        <is>
          <t>avverkningsanmälan</t>
        </is>
      </c>
      <c r="C403" t="inlineStr">
        <is>
          <t>Föryngringsavverkning</t>
        </is>
      </c>
      <c r="D403" s="1" t="n">
        <v>44929</v>
      </c>
      <c r="E403" s="1" t="n">
        <v>46222</v>
      </c>
      <c r="F403" t="inlineStr">
        <is>
          <t>UPPSALA LÄN</t>
        </is>
      </c>
      <c r="G403" t="inlineStr">
        <is>
          <t>UPPSALA</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35150-2025</t>
        </is>
      </c>
      <c r="B404" t="inlineStr">
        <is>
          <t>avverkningsanmälan</t>
        </is>
      </c>
      <c r="C404" t="inlineStr">
        <is>
          <t>Föryngringsavverkning</t>
        </is>
      </c>
      <c r="D404" s="1" t="n">
        <v>45852</v>
      </c>
      <c r="E404" s="1" t="n">
        <v>46222</v>
      </c>
      <c r="F404" t="inlineStr">
        <is>
          <t>UPPSALA LÄN</t>
        </is>
      </c>
      <c r="G404" t="inlineStr">
        <is>
          <t>UPPSALA</t>
        </is>
      </c>
      <c r="H404" t="inlineStr">
        <is>
          <t>Holmen skog AB</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53384-2024</t>
        </is>
      </c>
      <c r="B405" t="inlineStr">
        <is>
          <t>avverkningsanmälan</t>
        </is>
      </c>
      <c r="C405" t="inlineStr">
        <is>
          <t>Föryngringsavverkning</t>
        </is>
      </c>
      <c r="D405" s="1" t="n">
        <v>45614</v>
      </c>
      <c r="E405" s="1" t="n">
        <v>46222</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46775-2025</t>
        </is>
      </c>
      <c r="B406" t="inlineStr">
        <is>
          <t>avverkningsanmälan</t>
        </is>
      </c>
      <c r="C406" t="inlineStr">
        <is>
          <t>Föryngringsavverkning</t>
        </is>
      </c>
      <c r="D406" s="1" t="n">
        <v>45926</v>
      </c>
      <c r="E406" s="1" t="n">
        <v>46222</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46772-2025</t>
        </is>
      </c>
      <c r="B407" t="inlineStr">
        <is>
          <t>avverkningsanmälan</t>
        </is>
      </c>
      <c r="C407" t="inlineStr">
        <is>
          <t>Föryngringsavverkning</t>
        </is>
      </c>
      <c r="D407" s="1" t="n">
        <v>45926</v>
      </c>
      <c r="E407" s="1" t="n">
        <v>46222</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12414-2025</t>
        </is>
      </c>
      <c r="B408" t="inlineStr">
        <is>
          <t>avverkningsanmälan</t>
        </is>
      </c>
      <c r="C408" t="inlineStr">
        <is>
          <t>Föryngringsavverkning</t>
        </is>
      </c>
      <c r="D408" s="1" t="n">
        <v>45730</v>
      </c>
      <c r="E408" s="1" t="n">
        <v>46222</v>
      </c>
      <c r="F408" t="inlineStr">
        <is>
          <t>UPPSALA LÄN</t>
        </is>
      </c>
      <c r="G408" t="inlineStr">
        <is>
          <t>UPPSALA</t>
        </is>
      </c>
      <c r="H408" t="inlineStr">
        <is>
          <t>Övriga statliga verk och myndigheter</t>
        </is>
      </c>
      <c r="I408" t="n">
        <v>6.8</v>
      </c>
      <c r="J408" t="n">
        <v>0</v>
      </c>
      <c r="K408" t="n">
        <v>0</v>
      </c>
      <c r="L408" t="n">
        <v>0</v>
      </c>
      <c r="M408" t="n">
        <v>0</v>
      </c>
      <c r="N408" t="n">
        <v>0</v>
      </c>
      <c r="O408" t="n">
        <v>0</v>
      </c>
      <c r="P408" t="n">
        <v>0</v>
      </c>
      <c r="Q408" t="n">
        <v>0</v>
      </c>
      <c r="R408" t="n">
        <v>0</v>
      </c>
      <c r="S408" t="n">
        <v>0</v>
      </c>
      <c r="T408" t="n">
        <v>0</v>
      </c>
      <c r="U408" s="2" t="inlineStr"/>
    </row>
    <row r="409" ht="15" customHeight="1">
      <c r="A409" t="inlineStr">
        <is>
          <t>A 35510-2025</t>
        </is>
      </c>
      <c r="B409" t="inlineStr">
        <is>
          <t>avverkningsanmälan</t>
        </is>
      </c>
      <c r="C409" t="inlineStr">
        <is>
          <t>Föryngringsavverkning</t>
        </is>
      </c>
      <c r="D409" s="1" t="n">
        <v>45856</v>
      </c>
      <c r="E409" s="1" t="n">
        <v>46222</v>
      </c>
      <c r="F409" t="inlineStr">
        <is>
          <t>UPPSALA LÄN</t>
        </is>
      </c>
      <c r="G409" t="inlineStr">
        <is>
          <t>UPPSALA</t>
        </is>
      </c>
      <c r="H409" t="inlineStr">
        <is>
          <t>Bergvik skog öst AB</t>
        </is>
      </c>
      <c r="I409" t="n">
        <v>0.3</v>
      </c>
      <c r="J409" t="n">
        <v>0</v>
      </c>
      <c r="K409" t="n">
        <v>0</v>
      </c>
      <c r="L409" t="n">
        <v>0</v>
      </c>
      <c r="M409" t="n">
        <v>0</v>
      </c>
      <c r="N409" t="n">
        <v>0</v>
      </c>
      <c r="O409" t="n">
        <v>0</v>
      </c>
      <c r="P409" t="n">
        <v>0</v>
      </c>
      <c r="Q409" t="n">
        <v>0</v>
      </c>
      <c r="R409" t="n">
        <v>0</v>
      </c>
      <c r="S409" t="n">
        <v>0</v>
      </c>
      <c r="T409" t="n">
        <v>0</v>
      </c>
      <c r="U409" s="2" t="inlineStr"/>
    </row>
    <row r="410" ht="15" customHeight="1">
      <c r="A410" t="inlineStr">
        <is>
          <t>A 53365-2024</t>
        </is>
      </c>
      <c r="B410" t="inlineStr">
        <is>
          <t>avverkningsanmälan</t>
        </is>
      </c>
      <c r="C410" t="inlineStr">
        <is>
          <t>Föryngringsavverkning</t>
        </is>
      </c>
      <c r="D410" s="1" t="n">
        <v>45614</v>
      </c>
      <c r="E410" s="1" t="n">
        <v>46222</v>
      </c>
      <c r="F410" t="inlineStr">
        <is>
          <t>UPPSALA LÄN</t>
        </is>
      </c>
      <c r="G410" t="inlineStr">
        <is>
          <t>UPPSALA</t>
        </is>
      </c>
      <c r="H410" t="inlineStr">
        <is>
          <t>Allmännings- och besparingsskogar</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6187-2026</t>
        </is>
      </c>
      <c r="B411" t="inlineStr">
        <is>
          <t>avverkningsanmälan</t>
        </is>
      </c>
      <c r="C411" t="inlineStr">
        <is>
          <t>Föryngringsavverkning</t>
        </is>
      </c>
      <c r="D411" s="1" t="n">
        <v>46055</v>
      </c>
      <c r="E411" s="1" t="n">
        <v>46222</v>
      </c>
      <c r="F411" t="inlineStr">
        <is>
          <t>UPPSALA LÄN</t>
        </is>
      </c>
      <c r="G411" t="inlineStr">
        <is>
          <t>UPPSALA</t>
        </is>
      </c>
      <c r="H411" t="inlineStr">
        <is>
          <t>Allmännings- och besparingsskogar</t>
        </is>
      </c>
      <c r="I411" t="n">
        <v>10.6</v>
      </c>
      <c r="J411" t="n">
        <v>0</v>
      </c>
      <c r="K411" t="n">
        <v>0</v>
      </c>
      <c r="L411" t="n">
        <v>0</v>
      </c>
      <c r="M411" t="n">
        <v>0</v>
      </c>
      <c r="N411" t="n">
        <v>0</v>
      </c>
      <c r="O411" t="n">
        <v>0</v>
      </c>
      <c r="P411" t="n">
        <v>0</v>
      </c>
      <c r="Q411" t="n">
        <v>0</v>
      </c>
      <c r="R411" t="n">
        <v>0</v>
      </c>
      <c r="S411" t="n">
        <v>0</v>
      </c>
      <c r="T411" t="n">
        <v>0</v>
      </c>
      <c r="U411" s="2" t="inlineStr"/>
    </row>
    <row r="412" ht="15" customHeight="1">
      <c r="A412" t="inlineStr">
        <is>
          <t>A 47131-2025</t>
        </is>
      </c>
      <c r="B412" t="inlineStr">
        <is>
          <t>avverkningsanmälan</t>
        </is>
      </c>
      <c r="C412" t="inlineStr">
        <is>
          <t>Föryngringsavverkning</t>
        </is>
      </c>
      <c r="D412" s="1" t="n">
        <v>45929</v>
      </c>
      <c r="E412" s="1" t="n">
        <v>46222</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47132-2025</t>
        </is>
      </c>
      <c r="B413" t="inlineStr">
        <is>
          <t>avverkningsanmälan</t>
        </is>
      </c>
      <c r="C413" t="inlineStr">
        <is>
          <t>Föryngringsavverkning</t>
        </is>
      </c>
      <c r="D413" s="1" t="n">
        <v>45929</v>
      </c>
      <c r="E413" s="1" t="n">
        <v>46222</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47840-2025</t>
        </is>
      </c>
      <c r="B414" t="inlineStr">
        <is>
          <t>avverkningsanmälan</t>
        </is>
      </c>
      <c r="C414" t="inlineStr">
        <is>
          <t>Föryngringsavverkning</t>
        </is>
      </c>
      <c r="D414" s="1" t="n">
        <v>45932</v>
      </c>
      <c r="E414" s="1" t="n">
        <v>46222</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47557-2025</t>
        </is>
      </c>
      <c r="B415" t="inlineStr">
        <is>
          <t>avverkningsanmälan</t>
        </is>
      </c>
      <c r="C415" t="inlineStr">
        <is>
          <t>Föryngringsavverkning</t>
        </is>
      </c>
      <c r="D415" s="1" t="n">
        <v>45931</v>
      </c>
      <c r="E415" s="1" t="n">
        <v>46222</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47978-2025</t>
        </is>
      </c>
      <c r="B416" t="inlineStr">
        <is>
          <t>avverkningsanmälan</t>
        </is>
      </c>
      <c r="C416" t="inlineStr">
        <is>
          <t>Föryngringsavverkning</t>
        </is>
      </c>
      <c r="D416" s="1" t="n">
        <v>45932</v>
      </c>
      <c r="E416" s="1" t="n">
        <v>46222</v>
      </c>
      <c r="F416" t="inlineStr">
        <is>
          <t>UPPSALA LÄN</t>
        </is>
      </c>
      <c r="G416" t="inlineStr">
        <is>
          <t>UPPSALA</t>
        </is>
      </c>
      <c r="H416" t="inlineStr">
        <is>
          <t>Allmännings- och besparingsskogar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18443-2023</t>
        </is>
      </c>
      <c r="B417" t="inlineStr">
        <is>
          <t>avverkningsanmälan</t>
        </is>
      </c>
      <c r="C417" t="inlineStr">
        <is>
          <t>Föryngringsavverkning</t>
        </is>
      </c>
      <c r="D417" s="1" t="n">
        <v>45042</v>
      </c>
      <c r="E417" s="1" t="n">
        <v>46222</v>
      </c>
      <c r="F417" t="inlineStr">
        <is>
          <t>UPPSALA LÄN</t>
        </is>
      </c>
      <c r="G417" t="inlineStr">
        <is>
          <t>UPPSALA</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8090-2022</t>
        </is>
      </c>
      <c r="B418" t="inlineStr">
        <is>
          <t>avverkningsanmälan</t>
        </is>
      </c>
      <c r="C418" t="inlineStr">
        <is>
          <t>Föryngringsavverkning</t>
        </is>
      </c>
      <c r="D418" s="1" t="n">
        <v>44608</v>
      </c>
      <c r="E418" s="1" t="n">
        <v>46222</v>
      </c>
      <c r="F418" t="inlineStr">
        <is>
          <t>UPPSALA LÄN</t>
        </is>
      </c>
      <c r="G418" t="inlineStr">
        <is>
          <t>UPPSALA</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47558-2025</t>
        </is>
      </c>
      <c r="B419" t="inlineStr">
        <is>
          <t>avverkningsanmälan</t>
        </is>
      </c>
      <c r="C419" t="inlineStr">
        <is>
          <t>Föryngringsavverkning</t>
        </is>
      </c>
      <c r="D419" s="1" t="n">
        <v>45931</v>
      </c>
      <c r="E419" s="1" t="n">
        <v>46222</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60047-2022</t>
        </is>
      </c>
      <c r="B420" t="inlineStr">
        <is>
          <t>avverkningsanmälan</t>
        </is>
      </c>
      <c r="C420" t="inlineStr">
        <is>
          <t>Föryngringsavverkning</t>
        </is>
      </c>
      <c r="D420" s="1" t="n">
        <v>44909</v>
      </c>
      <c r="E420" s="1" t="n">
        <v>46222</v>
      </c>
      <c r="F420" t="inlineStr">
        <is>
          <t>UPPSALA LÄN</t>
        </is>
      </c>
      <c r="G420" t="inlineStr">
        <is>
          <t>UPPSALA</t>
        </is>
      </c>
      <c r="H420" t="inlineStr">
        <is>
          <t>Kyrkan</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47999-2025</t>
        </is>
      </c>
      <c r="B421" t="inlineStr">
        <is>
          <t>avverkningsanmälan</t>
        </is>
      </c>
      <c r="C421" t="inlineStr">
        <is>
          <t>Föryngringsavverkning</t>
        </is>
      </c>
      <c r="D421" s="1" t="n">
        <v>45932</v>
      </c>
      <c r="E421" s="1" t="n">
        <v>46222</v>
      </c>
      <c r="F421" t="inlineStr">
        <is>
          <t>UPPSALA LÄN</t>
        </is>
      </c>
      <c r="G421" t="inlineStr">
        <is>
          <t>UPPSALA</t>
        </is>
      </c>
      <c r="H421" t="inlineStr">
        <is>
          <t>Allmännings- och besparingsskogar</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29799-2023</t>
        </is>
      </c>
      <c r="B422" t="inlineStr">
        <is>
          <t>avverkningsanmälan</t>
        </is>
      </c>
      <c r="C422" t="inlineStr">
        <is>
          <t>Avverkning för att bevara och utveckla /försöksver</t>
        </is>
      </c>
      <c r="D422" s="1" t="n">
        <v>45107</v>
      </c>
      <c r="E422" s="1" t="n">
        <v>46222</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7727-2024</t>
        </is>
      </c>
      <c r="B423" t="inlineStr">
        <is>
          <t>avverkningsanmälan</t>
        </is>
      </c>
      <c r="C423" t="inlineStr">
        <is>
          <t>Föryngringsavverkning</t>
        </is>
      </c>
      <c r="D423" s="1" t="n">
        <v>45349</v>
      </c>
      <c r="E423" s="1" t="n">
        <v>46222</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25462-2023</t>
        </is>
      </c>
      <c r="B424" t="inlineStr">
        <is>
          <t>avverkningsanmälan</t>
        </is>
      </c>
      <c r="C424" t="inlineStr">
        <is>
          <t>Föryngringsavverkning</t>
        </is>
      </c>
      <c r="D424" s="1" t="n">
        <v>45089</v>
      </c>
      <c r="E424" s="1" t="n">
        <v>46222</v>
      </c>
      <c r="F424" t="inlineStr">
        <is>
          <t>UPPSALA LÄN</t>
        </is>
      </c>
      <c r="G424" t="inlineStr">
        <is>
          <t>UPPSALA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30616-2025</t>
        </is>
      </c>
      <c r="B425" t="inlineStr">
        <is>
          <t>avverkningsanmälan</t>
        </is>
      </c>
      <c r="C425" t="inlineStr">
        <is>
          <t>Föryngringsavverkning</t>
        </is>
      </c>
      <c r="D425" s="1" t="n">
        <v>45831</v>
      </c>
      <c r="E425" s="1" t="n">
        <v>46222</v>
      </c>
      <c r="F425" t="inlineStr">
        <is>
          <t>UPPSALA LÄN</t>
        </is>
      </c>
      <c r="G425" t="inlineStr">
        <is>
          <t>UPPSALA</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7002-2026</t>
        </is>
      </c>
      <c r="B426" t="inlineStr">
        <is>
          <t>avverkningsanmälan</t>
        </is>
      </c>
      <c r="C426" t="inlineStr">
        <is>
          <t>Föryngringsavverkning</t>
        </is>
      </c>
      <c r="D426" s="1" t="n">
        <v>46057</v>
      </c>
      <c r="E426" s="1" t="n">
        <v>46222</v>
      </c>
      <c r="F426" t="inlineStr">
        <is>
          <t>UPPSALA LÄN</t>
        </is>
      </c>
      <c r="G426" t="inlineStr">
        <is>
          <t>UPPSALA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49098-2025</t>
        </is>
      </c>
      <c r="B427" t="inlineStr">
        <is>
          <t>avverkningsanmälan</t>
        </is>
      </c>
      <c r="C427" t="inlineStr">
        <is>
          <t>Föryngringsavverkning</t>
        </is>
      </c>
      <c r="D427" s="1" t="n">
        <v>45937</v>
      </c>
      <c r="E427" s="1" t="n">
        <v>46222</v>
      </c>
      <c r="F427" t="inlineStr">
        <is>
          <t>UPPSALA LÄN</t>
        </is>
      </c>
      <c r="G427" t="inlineStr">
        <is>
          <t>UPPSALA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49160-2025</t>
        </is>
      </c>
      <c r="B428" t="inlineStr">
        <is>
          <t>avverkningsanmälan</t>
        </is>
      </c>
      <c r="C428" t="inlineStr">
        <is>
          <t>Föryngringsavverkning</t>
        </is>
      </c>
      <c r="D428" s="1" t="n">
        <v>45938</v>
      </c>
      <c r="E428" s="1" t="n">
        <v>46222</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49940-2025</t>
        </is>
      </c>
      <c r="B429" t="inlineStr">
        <is>
          <t>avverkningsanmälan</t>
        </is>
      </c>
      <c r="C429" t="inlineStr">
        <is>
          <t>Föryngringsavverkning</t>
        </is>
      </c>
      <c r="D429" s="1" t="n">
        <v>45940</v>
      </c>
      <c r="E429" s="1" t="n">
        <v>46222</v>
      </c>
      <c r="F429" t="inlineStr">
        <is>
          <t>UPPSALA LÄN</t>
        </is>
      </c>
      <c r="G429" t="inlineStr">
        <is>
          <t>UPPSALA</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37010-2025</t>
        </is>
      </c>
      <c r="B430" t="inlineStr">
        <is>
          <t>avverkningsanmälan</t>
        </is>
      </c>
      <c r="C430" t="inlineStr">
        <is>
          <t>Föryngringsavverkning</t>
        </is>
      </c>
      <c r="D430" s="1" t="n">
        <v>45874</v>
      </c>
      <c r="E430" s="1" t="n">
        <v>46222</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49990-2025</t>
        </is>
      </c>
      <c r="B431" t="inlineStr">
        <is>
          <t>avverkningsanmälan</t>
        </is>
      </c>
      <c r="C431" t="inlineStr">
        <is>
          <t>Föryngringsavverkning</t>
        </is>
      </c>
      <c r="D431" s="1" t="n">
        <v>45942</v>
      </c>
      <c r="E431" s="1" t="n">
        <v>46222</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50232-2025</t>
        </is>
      </c>
      <c r="B432" t="inlineStr">
        <is>
          <t>avverkningsanmälan</t>
        </is>
      </c>
      <c r="C432" t="inlineStr">
        <is>
          <t>Föryngringsavverkning</t>
        </is>
      </c>
      <c r="D432" s="1" t="n">
        <v>45943</v>
      </c>
      <c r="E432" s="1" t="n">
        <v>46222</v>
      </c>
      <c r="F432" t="inlineStr">
        <is>
          <t>UPPSALA LÄN</t>
        </is>
      </c>
      <c r="G432" t="inlineStr">
        <is>
          <t>UPPSALA</t>
        </is>
      </c>
      <c r="H432" t="inlineStr">
        <is>
          <t>Holmen skog AB</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37856-2025</t>
        </is>
      </c>
      <c r="B433" t="inlineStr">
        <is>
          <t>avverkningsanmälan</t>
        </is>
      </c>
      <c r="C433" t="inlineStr">
        <is>
          <t>Föryngringsavverkning</t>
        </is>
      </c>
      <c r="D433" s="1" t="n">
        <v>45881</v>
      </c>
      <c r="E433" s="1" t="n">
        <v>46222</v>
      </c>
      <c r="F433" t="inlineStr">
        <is>
          <t>UPPSALA LÄN</t>
        </is>
      </c>
      <c r="G433" t="inlineStr">
        <is>
          <t>UPPSALA</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38113-2025</t>
        </is>
      </c>
      <c r="B434" t="inlineStr">
        <is>
          <t>avverkningsanmälan</t>
        </is>
      </c>
      <c r="C434" t="inlineStr">
        <is>
          <t>Föryngringsavverkning</t>
        </is>
      </c>
      <c r="D434" s="1" t="n">
        <v>45882</v>
      </c>
      <c r="E434" s="1" t="n">
        <v>46222</v>
      </c>
      <c r="F434" t="inlineStr">
        <is>
          <t>UPPSALA LÄN</t>
        </is>
      </c>
      <c r="G434" t="inlineStr">
        <is>
          <t>UPPSALA</t>
        </is>
      </c>
      <c r="I434" t="n">
        <v>5.8</v>
      </c>
      <c r="J434" t="n">
        <v>0</v>
      </c>
      <c r="K434" t="n">
        <v>0</v>
      </c>
      <c r="L434" t="n">
        <v>0</v>
      </c>
      <c r="M434" t="n">
        <v>0</v>
      </c>
      <c r="N434" t="n">
        <v>0</v>
      </c>
      <c r="O434" t="n">
        <v>0</v>
      </c>
      <c r="P434" t="n">
        <v>0</v>
      </c>
      <c r="Q434" t="n">
        <v>0</v>
      </c>
      <c r="R434" t="n">
        <v>0</v>
      </c>
      <c r="S434" t="n">
        <v>0</v>
      </c>
      <c r="T434" t="n">
        <v>0</v>
      </c>
      <c r="U434" s="2" t="inlineStr"/>
    </row>
    <row r="435" ht="15" customHeight="1">
      <c r="A435" t="inlineStr">
        <is>
          <t>A 41112-2025</t>
        </is>
      </c>
      <c r="B435" t="inlineStr">
        <is>
          <t>avverkningsanmälan</t>
        </is>
      </c>
      <c r="C435" t="inlineStr">
        <is>
          <t>Föryngringsavverkning</t>
        </is>
      </c>
      <c r="D435" s="1" t="n">
        <v>45898</v>
      </c>
      <c r="E435" s="1" t="n">
        <v>46222</v>
      </c>
      <c r="F435" t="inlineStr">
        <is>
          <t>UPPSALA LÄN</t>
        </is>
      </c>
      <c r="G435" t="inlineStr">
        <is>
          <t>UPPSALA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7555-2026</t>
        </is>
      </c>
      <c r="B436" t="inlineStr">
        <is>
          <t>avverkningsanmälan</t>
        </is>
      </c>
      <c r="C436" t="inlineStr">
        <is>
          <t>Föryngringsavverkning</t>
        </is>
      </c>
      <c r="D436" s="1" t="n">
        <v>46059</v>
      </c>
      <c r="E436" s="1" t="n">
        <v>46222</v>
      </c>
      <c r="F436" t="inlineStr">
        <is>
          <t>UPPSALA LÄN</t>
        </is>
      </c>
      <c r="G436" t="inlineStr">
        <is>
          <t>UPPSALA</t>
        </is>
      </c>
      <c r="H436" t="inlineStr">
        <is>
          <t>Bergvik skog öst AB</t>
        </is>
      </c>
      <c r="I436" t="n">
        <v>4.4</v>
      </c>
      <c r="J436" t="n">
        <v>0</v>
      </c>
      <c r="K436" t="n">
        <v>0</v>
      </c>
      <c r="L436" t="n">
        <v>0</v>
      </c>
      <c r="M436" t="n">
        <v>0</v>
      </c>
      <c r="N436" t="n">
        <v>0</v>
      </c>
      <c r="O436" t="n">
        <v>0</v>
      </c>
      <c r="P436" t="n">
        <v>0</v>
      </c>
      <c r="Q436" t="n">
        <v>0</v>
      </c>
      <c r="R436" t="n">
        <v>0</v>
      </c>
      <c r="S436" t="n">
        <v>0</v>
      </c>
      <c r="T436" t="n">
        <v>0</v>
      </c>
      <c r="U436" s="2" t="inlineStr"/>
    </row>
    <row r="437" ht="15" customHeight="1">
      <c r="A437" t="inlineStr">
        <is>
          <t>A 50708-2025</t>
        </is>
      </c>
      <c r="B437" t="inlineStr">
        <is>
          <t>avverkningsanmälan</t>
        </is>
      </c>
      <c r="C437" t="inlineStr">
        <is>
          <t>Föryngringsavverkning</t>
        </is>
      </c>
      <c r="D437" s="1" t="n">
        <v>45946</v>
      </c>
      <c r="E437" s="1" t="n">
        <v>46222</v>
      </c>
      <c r="F437" t="inlineStr">
        <is>
          <t>UPPSALA LÄN</t>
        </is>
      </c>
      <c r="G437" t="inlineStr">
        <is>
          <t>UPPSALA</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31157-2023</t>
        </is>
      </c>
      <c r="B438" t="inlineStr">
        <is>
          <t>avverkningsanmälan</t>
        </is>
      </c>
      <c r="C438" t="inlineStr">
        <is>
          <t>Föryngringsavverkning</t>
        </is>
      </c>
      <c r="D438" s="1" t="n">
        <v>45113</v>
      </c>
      <c r="E438" s="1" t="n">
        <v>46222</v>
      </c>
      <c r="F438" t="inlineStr">
        <is>
          <t>UPPSALA LÄN</t>
        </is>
      </c>
      <c r="G438" t="inlineStr">
        <is>
          <t>UPPSALA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31161-2023</t>
        </is>
      </c>
      <c r="B439" t="inlineStr">
        <is>
          <t>avverkningsanmälan</t>
        </is>
      </c>
      <c r="C439" t="inlineStr">
        <is>
          <t>Föryngringsavverkning</t>
        </is>
      </c>
      <c r="D439" s="1" t="n">
        <v>45113</v>
      </c>
      <c r="E439" s="1" t="n">
        <v>46222</v>
      </c>
      <c r="F439" t="inlineStr">
        <is>
          <t>UPPSALA LÄN</t>
        </is>
      </c>
      <c r="G439" t="inlineStr">
        <is>
          <t>UPPSALA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7739-2026</t>
        </is>
      </c>
      <c r="B440" t="inlineStr">
        <is>
          <t>avverkningsanmälan</t>
        </is>
      </c>
      <c r="C440" t="inlineStr">
        <is>
          <t>Föryngringsavverkning</t>
        </is>
      </c>
      <c r="D440" s="1" t="n">
        <v>46062</v>
      </c>
      <c r="E440" s="1" t="n">
        <v>46222</v>
      </c>
      <c r="F440" t="inlineStr">
        <is>
          <t>UPPSALA LÄN</t>
        </is>
      </c>
      <c r="G440" t="inlineStr">
        <is>
          <t>UPPSALA</t>
        </is>
      </c>
      <c r="I440" t="n">
        <v>7.2</v>
      </c>
      <c r="J440" t="n">
        <v>0</v>
      </c>
      <c r="K440" t="n">
        <v>0</v>
      </c>
      <c r="L440" t="n">
        <v>0</v>
      </c>
      <c r="M440" t="n">
        <v>0</v>
      </c>
      <c r="N440" t="n">
        <v>0</v>
      </c>
      <c r="O440" t="n">
        <v>0</v>
      </c>
      <c r="P440" t="n">
        <v>0</v>
      </c>
      <c r="Q440" t="n">
        <v>0</v>
      </c>
      <c r="R440" t="n">
        <v>0</v>
      </c>
      <c r="S440" t="n">
        <v>0</v>
      </c>
      <c r="T440" t="n">
        <v>0</v>
      </c>
      <c r="U440" s="2" t="inlineStr"/>
    </row>
    <row r="441" ht="15" customHeight="1">
      <c r="A441" t="inlineStr">
        <is>
          <t>A 51090-2025</t>
        </is>
      </c>
      <c r="B441" t="inlineStr">
        <is>
          <t>avverkningsanmälan</t>
        </is>
      </c>
      <c r="C441" t="inlineStr">
        <is>
          <t>Föryngringsavverkning</t>
        </is>
      </c>
      <c r="D441" s="1" t="n">
        <v>45947</v>
      </c>
      <c r="E441" s="1" t="n">
        <v>46222</v>
      </c>
      <c r="F441" t="inlineStr">
        <is>
          <t>UPPSALA LÄN</t>
        </is>
      </c>
      <c r="G441" t="inlineStr">
        <is>
          <t>UPPSALA</t>
        </is>
      </c>
      <c r="H441" t="inlineStr">
        <is>
          <t>Övriga Aktiebolag</t>
        </is>
      </c>
      <c r="I441" t="n">
        <v>17.5</v>
      </c>
      <c r="J441" t="n">
        <v>0</v>
      </c>
      <c r="K441" t="n">
        <v>0</v>
      </c>
      <c r="L441" t="n">
        <v>0</v>
      </c>
      <c r="M441" t="n">
        <v>0</v>
      </c>
      <c r="N441" t="n">
        <v>0</v>
      </c>
      <c r="O441" t="n">
        <v>0</v>
      </c>
      <c r="P441" t="n">
        <v>0</v>
      </c>
      <c r="Q441" t="n">
        <v>0</v>
      </c>
      <c r="R441" t="n">
        <v>0</v>
      </c>
      <c r="S441" t="n">
        <v>0</v>
      </c>
      <c r="T441" t="n">
        <v>0</v>
      </c>
      <c r="U441" s="2" t="inlineStr"/>
    </row>
    <row r="442" ht="15" customHeight="1">
      <c r="A442" t="inlineStr">
        <is>
          <t>A 7865-2026</t>
        </is>
      </c>
      <c r="B442" t="inlineStr">
        <is>
          <t>avverkningsanmälan</t>
        </is>
      </c>
      <c r="C442" t="inlineStr">
        <is>
          <t>Föryngringsavverkning</t>
        </is>
      </c>
      <c r="D442" s="1" t="n">
        <v>46062</v>
      </c>
      <c r="E442" s="1" t="n">
        <v>46222</v>
      </c>
      <c r="F442" t="inlineStr">
        <is>
          <t>UPPSALA LÄN</t>
        </is>
      </c>
      <c r="G442" t="inlineStr">
        <is>
          <t>UPPSALA</t>
        </is>
      </c>
      <c r="H442" t="inlineStr">
        <is>
          <t>Bergvik skog öst AB</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7866-2026</t>
        </is>
      </c>
      <c r="B443" t="inlineStr">
        <is>
          <t>avverkningsanmälan</t>
        </is>
      </c>
      <c r="C443" t="inlineStr">
        <is>
          <t>Föryngringsavverkning</t>
        </is>
      </c>
      <c r="D443" s="1" t="n">
        <v>46062</v>
      </c>
      <c r="E443" s="1" t="n">
        <v>46222</v>
      </c>
      <c r="F443" t="inlineStr">
        <is>
          <t>UPPSALA LÄN</t>
        </is>
      </c>
      <c r="G443" t="inlineStr">
        <is>
          <t>UPPSALA</t>
        </is>
      </c>
      <c r="H443" t="inlineStr">
        <is>
          <t>Bergvik skog öst AB</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17593-2025</t>
        </is>
      </c>
      <c r="B444" t="inlineStr">
        <is>
          <t>avverkningsanmälan</t>
        </is>
      </c>
      <c r="C444" t="inlineStr">
        <is>
          <t>Föryngringsavverkning</t>
        </is>
      </c>
      <c r="D444" s="1" t="n">
        <v>45757</v>
      </c>
      <c r="E444" s="1" t="n">
        <v>46222</v>
      </c>
      <c r="F444" t="inlineStr">
        <is>
          <t>UPPSALA LÄN</t>
        </is>
      </c>
      <c r="G444" t="inlineStr">
        <is>
          <t>UPPSALA</t>
        </is>
      </c>
      <c r="I444" t="n">
        <v>3.6</v>
      </c>
      <c r="J444" t="n">
        <v>0</v>
      </c>
      <c r="K444" t="n">
        <v>0</v>
      </c>
      <c r="L444" t="n">
        <v>0</v>
      </c>
      <c r="M444" t="n">
        <v>0</v>
      </c>
      <c r="N444" t="n">
        <v>0</v>
      </c>
      <c r="O444" t="n">
        <v>0</v>
      </c>
      <c r="P444" t="n">
        <v>0</v>
      </c>
      <c r="Q444" t="n">
        <v>0</v>
      </c>
      <c r="R444" t="n">
        <v>0</v>
      </c>
      <c r="S444" t="n">
        <v>0</v>
      </c>
      <c r="T444" t="n">
        <v>0</v>
      </c>
      <c r="U444" s="2" t="inlineStr"/>
    </row>
    <row r="445" ht="15" customHeight="1">
      <c r="A445" t="inlineStr">
        <is>
          <t>A 50949-2025</t>
        </is>
      </c>
      <c r="B445" t="inlineStr">
        <is>
          <t>avverkningsanmälan</t>
        </is>
      </c>
      <c r="C445" t="inlineStr">
        <is>
          <t>Föryngringsavverkning</t>
        </is>
      </c>
      <c r="D445" s="1" t="n">
        <v>45946</v>
      </c>
      <c r="E445" s="1" t="n">
        <v>46222</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50951-2025</t>
        </is>
      </c>
      <c r="B446" t="inlineStr">
        <is>
          <t>avverkningsanmälan</t>
        </is>
      </c>
      <c r="C446" t="inlineStr">
        <is>
          <t>Föryngringsavverkning</t>
        </is>
      </c>
      <c r="D446" s="1" t="n">
        <v>45946</v>
      </c>
      <c r="E446" s="1" t="n">
        <v>46222</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51505-2025</t>
        </is>
      </c>
      <c r="B447" t="inlineStr">
        <is>
          <t>avverkningsanmälan</t>
        </is>
      </c>
      <c r="C447" t="inlineStr">
        <is>
          <t>Föryngringsavverkning</t>
        </is>
      </c>
      <c r="D447" s="1" t="n">
        <v>45950</v>
      </c>
      <c r="E447" s="1" t="n">
        <v>46222</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s="2" t="inlineStr"/>
    </row>
    <row r="448" ht="15" customHeight="1">
      <c r="A448" t="inlineStr">
        <is>
          <t>A 51275-2025</t>
        </is>
      </c>
      <c r="B448" t="inlineStr">
        <is>
          <t>avverkningsanmälan</t>
        </is>
      </c>
      <c r="C448" t="inlineStr">
        <is>
          <t>Avverkning för annat ändamål</t>
        </is>
      </c>
      <c r="D448" s="1" t="n">
        <v>45949</v>
      </c>
      <c r="E448" s="1" t="n">
        <v>46222</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51493-2025</t>
        </is>
      </c>
      <c r="B449" t="inlineStr">
        <is>
          <t>avverkningsanmälan</t>
        </is>
      </c>
      <c r="C449" t="inlineStr">
        <is>
          <t>Avverkning för att bevara och utveckla /försöksver</t>
        </is>
      </c>
      <c r="D449" s="1" t="n">
        <v>45950</v>
      </c>
      <c r="E449" s="1" t="n">
        <v>46222</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7867-2026</t>
        </is>
      </c>
      <c r="B450" t="inlineStr">
        <is>
          <t>avverkningsanmälan</t>
        </is>
      </c>
      <c r="C450" t="inlineStr">
        <is>
          <t>Föryngringsavverkning</t>
        </is>
      </c>
      <c r="D450" s="1" t="n">
        <v>46062</v>
      </c>
      <c r="E450" s="1" t="n">
        <v>46222</v>
      </c>
      <c r="F450" t="inlineStr">
        <is>
          <t>UPPSALA LÄN</t>
        </is>
      </c>
      <c r="G450" t="inlineStr">
        <is>
          <t>UPPSALA</t>
        </is>
      </c>
      <c r="H450" t="inlineStr">
        <is>
          <t>Bergvik skog öst AB</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8364-2026</t>
        </is>
      </c>
      <c r="B451" t="inlineStr">
        <is>
          <t>avverkningsanmälan</t>
        </is>
      </c>
      <c r="C451" t="inlineStr">
        <is>
          <t>Avverkning för annat ändamål</t>
        </is>
      </c>
      <c r="D451" s="1" t="n">
        <v>46064</v>
      </c>
      <c r="E451" s="1" t="n">
        <v>46222</v>
      </c>
      <c r="F451" t="inlineStr">
        <is>
          <t>UPPSALA LÄN</t>
        </is>
      </c>
      <c r="G451" t="inlineStr">
        <is>
          <t>UPPSALA</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13128-2022</t>
        </is>
      </c>
      <c r="B452" t="inlineStr">
        <is>
          <t>avverkningsanmälan</t>
        </is>
      </c>
      <c r="C452" t="inlineStr">
        <is>
          <t>Föryngringsavverkning</t>
        </is>
      </c>
      <c r="D452" s="1" t="n">
        <v>44644</v>
      </c>
      <c r="E452" s="1" t="n">
        <v>46222</v>
      </c>
      <c r="F452" t="inlineStr">
        <is>
          <t>UPPSALA LÄN</t>
        </is>
      </c>
      <c r="G452" t="inlineStr">
        <is>
          <t>UPPSALA</t>
        </is>
      </c>
      <c r="H452" t="inlineStr">
        <is>
          <t>Övriga Aktiebolag</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52517-2025</t>
        </is>
      </c>
      <c r="B453" t="inlineStr">
        <is>
          <t>avverkningsanmälan</t>
        </is>
      </c>
      <c r="C453" t="inlineStr">
        <is>
          <t>Föryngringsavverkning</t>
        </is>
      </c>
      <c r="D453" s="1" t="n">
        <v>45954</v>
      </c>
      <c r="E453" s="1" t="n">
        <v>46222</v>
      </c>
      <c r="F453" t="inlineStr">
        <is>
          <t>UPPSALA LÄN</t>
        </is>
      </c>
      <c r="G453" t="inlineStr">
        <is>
          <t>UPPSALA</t>
        </is>
      </c>
      <c r="I453" t="n">
        <v>10.3</v>
      </c>
      <c r="J453" t="n">
        <v>0</v>
      </c>
      <c r="K453" t="n">
        <v>0</v>
      </c>
      <c r="L453" t="n">
        <v>0</v>
      </c>
      <c r="M453" t="n">
        <v>0</v>
      </c>
      <c r="N453" t="n">
        <v>0</v>
      </c>
      <c r="O453" t="n">
        <v>0</v>
      </c>
      <c r="P453" t="n">
        <v>0</v>
      </c>
      <c r="Q453" t="n">
        <v>0</v>
      </c>
      <c r="R453" t="n">
        <v>0</v>
      </c>
      <c r="S453" t="n">
        <v>0</v>
      </c>
      <c r="T453" t="n">
        <v>0</v>
      </c>
      <c r="U453" s="2" t="inlineStr"/>
    </row>
    <row r="454" ht="15" customHeight="1">
      <c r="A454" t="inlineStr">
        <is>
          <t>A 8582-2026</t>
        </is>
      </c>
      <c r="B454" t="inlineStr">
        <is>
          <t>avverkningsanmälan</t>
        </is>
      </c>
      <c r="C454" t="inlineStr">
        <is>
          <t>Föryngringsavverkning</t>
        </is>
      </c>
      <c r="D454" s="1" t="n">
        <v>46065</v>
      </c>
      <c r="E454" s="1" t="n">
        <v>46222</v>
      </c>
      <c r="F454" t="inlineStr">
        <is>
          <t>UPPSALA LÄN</t>
        </is>
      </c>
      <c r="G454" t="inlineStr">
        <is>
          <t>UPPSALA</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37763-2021</t>
        </is>
      </c>
      <c r="B455" t="inlineStr">
        <is>
          <t>avverkningsanmälan</t>
        </is>
      </c>
      <c r="C455" t="inlineStr">
        <is>
          <t>Föryngringsavverkning</t>
        </is>
      </c>
      <c r="D455" s="1" t="n">
        <v>44400</v>
      </c>
      <c r="E455" s="1" t="n">
        <v>46222</v>
      </c>
      <c r="F455" t="inlineStr">
        <is>
          <t>UPPSALA LÄN</t>
        </is>
      </c>
      <c r="G455" t="inlineStr">
        <is>
          <t>UPPSALA</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37820-2021</t>
        </is>
      </c>
      <c r="B456" t="inlineStr">
        <is>
          <t>avverkningsanmälan</t>
        </is>
      </c>
      <c r="C456" t="inlineStr">
        <is>
          <t>Föryngringsavverkning</t>
        </is>
      </c>
      <c r="D456" s="1" t="n">
        <v>44403</v>
      </c>
      <c r="E456" s="1" t="n">
        <v>46222</v>
      </c>
      <c r="F456" t="inlineStr">
        <is>
          <t>UPPSALA LÄN</t>
        </is>
      </c>
      <c r="G456" t="inlineStr">
        <is>
          <t>UPPSALA</t>
        </is>
      </c>
      <c r="H456" t="inlineStr">
        <is>
          <t>Bergvik skog öst AB</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52523-2025</t>
        </is>
      </c>
      <c r="B457" t="inlineStr">
        <is>
          <t>avverkningsanmälan</t>
        </is>
      </c>
      <c r="C457" t="inlineStr">
        <is>
          <t>Föryngringsavverkning</t>
        </is>
      </c>
      <c r="D457" s="1" t="n">
        <v>45954</v>
      </c>
      <c r="E457" s="1" t="n">
        <v>46222</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52429-2025</t>
        </is>
      </c>
      <c r="B458" t="inlineStr">
        <is>
          <t>avverkningsanmälan</t>
        </is>
      </c>
      <c r="C458" t="inlineStr">
        <is>
          <t>Föryngringsavverkning</t>
        </is>
      </c>
      <c r="D458" s="1" t="n">
        <v>45954</v>
      </c>
      <c r="E458" s="1" t="n">
        <v>46222</v>
      </c>
      <c r="F458" t="inlineStr">
        <is>
          <t>UPPSALA LÄN</t>
        </is>
      </c>
      <c r="G458" t="inlineStr">
        <is>
          <t>UPPSALA</t>
        </is>
      </c>
      <c r="I458" t="n">
        <v>16.6</v>
      </c>
      <c r="J458" t="n">
        <v>0</v>
      </c>
      <c r="K458" t="n">
        <v>0</v>
      </c>
      <c r="L458" t="n">
        <v>0</v>
      </c>
      <c r="M458" t="n">
        <v>0</v>
      </c>
      <c r="N458" t="n">
        <v>0</v>
      </c>
      <c r="O458" t="n">
        <v>0</v>
      </c>
      <c r="P458" t="n">
        <v>0</v>
      </c>
      <c r="Q458" t="n">
        <v>0</v>
      </c>
      <c r="R458" t="n">
        <v>0</v>
      </c>
      <c r="S458" t="n">
        <v>0</v>
      </c>
      <c r="T458" t="n">
        <v>0</v>
      </c>
      <c r="U458" s="2" t="inlineStr"/>
    </row>
    <row r="459" ht="15" customHeight="1">
      <c r="A459" t="inlineStr">
        <is>
          <t>A 53161-2025</t>
        </is>
      </c>
      <c r="B459" t="inlineStr">
        <is>
          <t>avverkningsanmälan</t>
        </is>
      </c>
      <c r="C459" t="inlineStr">
        <is>
          <t>Föryngringsavverkning</t>
        </is>
      </c>
      <c r="D459" s="1" t="n">
        <v>45958</v>
      </c>
      <c r="E459" s="1" t="n">
        <v>46222</v>
      </c>
      <c r="F459" t="inlineStr">
        <is>
          <t>UPPSALA LÄN</t>
        </is>
      </c>
      <c r="G459" t="inlineStr">
        <is>
          <t>UPPSALA</t>
        </is>
      </c>
      <c r="H459" t="inlineStr">
        <is>
          <t>Bergvik skog väst AB</t>
        </is>
      </c>
      <c r="I459" t="n">
        <v>14.5</v>
      </c>
      <c r="J459" t="n">
        <v>0</v>
      </c>
      <c r="K459" t="n">
        <v>0</v>
      </c>
      <c r="L459" t="n">
        <v>0</v>
      </c>
      <c r="M459" t="n">
        <v>0</v>
      </c>
      <c r="N459" t="n">
        <v>0</v>
      </c>
      <c r="O459" t="n">
        <v>0</v>
      </c>
      <c r="P459" t="n">
        <v>0</v>
      </c>
      <c r="Q459" t="n">
        <v>0</v>
      </c>
      <c r="R459" t="n">
        <v>0</v>
      </c>
      <c r="S459" t="n">
        <v>0</v>
      </c>
      <c r="T459" t="n">
        <v>0</v>
      </c>
      <c r="U459" s="2" t="inlineStr"/>
    </row>
    <row r="460" ht="15" customHeight="1">
      <c r="A460" t="inlineStr">
        <is>
          <t>A 53248-2025</t>
        </is>
      </c>
      <c r="B460" t="inlineStr">
        <is>
          <t>avverkningsanmälan</t>
        </is>
      </c>
      <c r="C460" t="inlineStr">
        <is>
          <t>Föryngringsavverkning</t>
        </is>
      </c>
      <c r="D460" s="1" t="n">
        <v>45958</v>
      </c>
      <c r="E460" s="1" t="n">
        <v>46222</v>
      </c>
      <c r="F460" t="inlineStr">
        <is>
          <t>UPPSALA LÄN</t>
        </is>
      </c>
      <c r="G460" t="inlineStr">
        <is>
          <t>UPPSALA</t>
        </is>
      </c>
      <c r="H460" t="inlineStr">
        <is>
          <t>Bergvik skog väst AB</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53224-2025</t>
        </is>
      </c>
      <c r="B461" t="inlineStr">
        <is>
          <t>avverkningsanmälan</t>
        </is>
      </c>
      <c r="C461" t="inlineStr">
        <is>
          <t>Föryngringsavverkning</t>
        </is>
      </c>
      <c r="D461" s="1" t="n">
        <v>45958</v>
      </c>
      <c r="E461" s="1" t="n">
        <v>46222</v>
      </c>
      <c r="F461" t="inlineStr">
        <is>
          <t>UPPSALA LÄN</t>
        </is>
      </c>
      <c r="G461" t="inlineStr">
        <is>
          <t>UPPSALA</t>
        </is>
      </c>
      <c r="H461" t="inlineStr">
        <is>
          <t>Bergvik skog väst AB</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53230-2025</t>
        </is>
      </c>
      <c r="B462" t="inlineStr">
        <is>
          <t>avverkningsanmälan</t>
        </is>
      </c>
      <c r="C462" t="inlineStr">
        <is>
          <t>Föryngringsavverkning</t>
        </is>
      </c>
      <c r="D462" s="1" t="n">
        <v>45958</v>
      </c>
      <c r="E462" s="1" t="n">
        <v>46222</v>
      </c>
      <c r="F462" t="inlineStr">
        <is>
          <t>UPPSALA LÄN</t>
        </is>
      </c>
      <c r="G462" t="inlineStr">
        <is>
          <t>UPPSALA</t>
        </is>
      </c>
      <c r="H462" t="inlineStr">
        <is>
          <t>Bergvik skog väst AB</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53242-2025</t>
        </is>
      </c>
      <c r="B463" t="inlineStr">
        <is>
          <t>avverkningsanmälan</t>
        </is>
      </c>
      <c r="C463" t="inlineStr">
        <is>
          <t>Föryngringsavverkning</t>
        </is>
      </c>
      <c r="D463" s="1" t="n">
        <v>45958</v>
      </c>
      <c r="E463" s="1" t="n">
        <v>46222</v>
      </c>
      <c r="F463" t="inlineStr">
        <is>
          <t>UPPSALA LÄN</t>
        </is>
      </c>
      <c r="G463" t="inlineStr">
        <is>
          <t>UPPSALA</t>
        </is>
      </c>
      <c r="H463" t="inlineStr">
        <is>
          <t>Bergvik skog väst AB</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53234-2025</t>
        </is>
      </c>
      <c r="B464" t="inlineStr">
        <is>
          <t>avverkningsanmälan</t>
        </is>
      </c>
      <c r="C464" t="inlineStr">
        <is>
          <t>Föryngringsavverkning</t>
        </is>
      </c>
      <c r="D464" s="1" t="n">
        <v>45958</v>
      </c>
      <c r="E464" s="1" t="n">
        <v>46222</v>
      </c>
      <c r="F464" t="inlineStr">
        <is>
          <t>UPPSALA LÄN</t>
        </is>
      </c>
      <c r="G464" t="inlineStr">
        <is>
          <t>UPPSALA</t>
        </is>
      </c>
      <c r="H464" t="inlineStr">
        <is>
          <t>Bergvik skog väst AB</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53235-2025</t>
        </is>
      </c>
      <c r="B465" t="inlineStr">
        <is>
          <t>avverkningsanmälan</t>
        </is>
      </c>
      <c r="C465" t="inlineStr">
        <is>
          <t>Föryngringsavverkning</t>
        </is>
      </c>
      <c r="D465" s="1" t="n">
        <v>45958</v>
      </c>
      <c r="E465" s="1" t="n">
        <v>46222</v>
      </c>
      <c r="F465" t="inlineStr">
        <is>
          <t>UPPSALA LÄN</t>
        </is>
      </c>
      <c r="G465" t="inlineStr">
        <is>
          <t>UPPSALA</t>
        </is>
      </c>
      <c r="H465" t="inlineStr">
        <is>
          <t>Bergvik skog väst AB</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8500-2026</t>
        </is>
      </c>
      <c r="B466" t="inlineStr">
        <is>
          <t>avverkningsanmälan</t>
        </is>
      </c>
      <c r="C466" t="inlineStr">
        <is>
          <t>Föryngringsavverkning</t>
        </is>
      </c>
      <c r="D466" s="1" t="n">
        <v>46065</v>
      </c>
      <c r="E466" s="1" t="n">
        <v>46222</v>
      </c>
      <c r="F466" t="inlineStr">
        <is>
          <t>UPPSALA LÄN</t>
        </is>
      </c>
      <c r="G466" t="inlineStr">
        <is>
          <t>UPPSALA</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63307-2021</t>
        </is>
      </c>
      <c r="B467" t="inlineStr">
        <is>
          <t>avverkningsanmälan</t>
        </is>
      </c>
      <c r="C467" t="inlineStr">
        <is>
          <t>Föryngringsavverkning</t>
        </is>
      </c>
      <c r="D467" s="1" t="n">
        <v>44508</v>
      </c>
      <c r="E467" s="1" t="n">
        <v>46222</v>
      </c>
      <c r="F467" t="inlineStr">
        <is>
          <t>UPPSALA LÄN</t>
        </is>
      </c>
      <c r="G467" t="inlineStr">
        <is>
          <t>UPPSALA</t>
        </is>
      </c>
      <c r="H467" t="inlineStr">
        <is>
          <t>Bergvik skog öst AB</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53228-2025</t>
        </is>
      </c>
      <c r="B468" t="inlineStr">
        <is>
          <t>avverkningsanmälan</t>
        </is>
      </c>
      <c r="C468" t="inlineStr">
        <is>
          <t>Föryngringsavverkning</t>
        </is>
      </c>
      <c r="D468" s="1" t="n">
        <v>45958</v>
      </c>
      <c r="E468" s="1" t="n">
        <v>46222</v>
      </c>
      <c r="F468" t="inlineStr">
        <is>
          <t>UPPSALA LÄN</t>
        </is>
      </c>
      <c r="G468" t="inlineStr">
        <is>
          <t>UPPSALA</t>
        </is>
      </c>
      <c r="H468" t="inlineStr">
        <is>
          <t>Bergvik skog väst AB</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53238-2025</t>
        </is>
      </c>
      <c r="B469" t="inlineStr">
        <is>
          <t>avverkningsanmälan</t>
        </is>
      </c>
      <c r="C469" t="inlineStr">
        <is>
          <t>Föryngringsavverkning</t>
        </is>
      </c>
      <c r="D469" s="1" t="n">
        <v>45958</v>
      </c>
      <c r="E469" s="1" t="n">
        <v>46222</v>
      </c>
      <c r="F469" t="inlineStr">
        <is>
          <t>UPPSALA LÄN</t>
        </is>
      </c>
      <c r="G469" t="inlineStr">
        <is>
          <t>UPPSALA</t>
        </is>
      </c>
      <c r="H469" t="inlineStr">
        <is>
          <t>Bergvik skog väst AB</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66690-2021</t>
        </is>
      </c>
      <c r="B470" t="inlineStr">
        <is>
          <t>avverkningsanmälan</t>
        </is>
      </c>
      <c r="C470" t="inlineStr">
        <is>
          <t>Föryngringsavverkning</t>
        </is>
      </c>
      <c r="D470" s="1" t="n">
        <v>44519</v>
      </c>
      <c r="E470" s="1" t="n">
        <v>46222</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27912-2023</t>
        </is>
      </c>
      <c r="B471" t="inlineStr">
        <is>
          <t>avverkningsanmälan</t>
        </is>
      </c>
      <c r="C471" t="inlineStr">
        <is>
          <t>Föryngringsavverkning</t>
        </is>
      </c>
      <c r="D471" s="1" t="n">
        <v>45098</v>
      </c>
      <c r="E471" s="1" t="n">
        <v>46222</v>
      </c>
      <c r="F471" t="inlineStr">
        <is>
          <t>UPPSALA LÄN</t>
        </is>
      </c>
      <c r="G471" t="inlineStr">
        <is>
          <t>UPPSALA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53423-2025</t>
        </is>
      </c>
      <c r="B472" t="inlineStr">
        <is>
          <t>avverkningsanmälan</t>
        </is>
      </c>
      <c r="C472" t="inlineStr">
        <is>
          <t>Föryngringsavverkning</t>
        </is>
      </c>
      <c r="D472" s="1" t="n">
        <v>45959</v>
      </c>
      <c r="E472" s="1" t="n">
        <v>46222</v>
      </c>
      <c r="F472" t="inlineStr">
        <is>
          <t>UPPSALA LÄN</t>
        </is>
      </c>
      <c r="G472" t="inlineStr">
        <is>
          <t>UPPSALA</t>
        </is>
      </c>
      <c r="H472" t="inlineStr">
        <is>
          <t>Övriga Aktiebolag</t>
        </is>
      </c>
      <c r="I472" t="n">
        <v>23.6</v>
      </c>
      <c r="J472" t="n">
        <v>0</v>
      </c>
      <c r="K472" t="n">
        <v>0</v>
      </c>
      <c r="L472" t="n">
        <v>0</v>
      </c>
      <c r="M472" t="n">
        <v>0</v>
      </c>
      <c r="N472" t="n">
        <v>0</v>
      </c>
      <c r="O472" t="n">
        <v>0</v>
      </c>
      <c r="P472" t="n">
        <v>0</v>
      </c>
      <c r="Q472" t="n">
        <v>0</v>
      </c>
      <c r="R472" t="n">
        <v>0</v>
      </c>
      <c r="S472" t="n">
        <v>0</v>
      </c>
      <c r="T472" t="n">
        <v>0</v>
      </c>
      <c r="U472" s="2" t="inlineStr"/>
    </row>
    <row r="473" ht="15" customHeight="1">
      <c r="A473" t="inlineStr">
        <is>
          <t>A 5764-2025</t>
        </is>
      </c>
      <c r="B473" t="inlineStr">
        <is>
          <t>avverkningsanmälan</t>
        </is>
      </c>
      <c r="C473" t="inlineStr">
        <is>
          <t>Avverkning för att bevara och utveckla /försöksver</t>
        </is>
      </c>
      <c r="D473" s="1" t="n">
        <v>45694</v>
      </c>
      <c r="E473" s="1" t="n">
        <v>46222</v>
      </c>
      <c r="F473" t="inlineStr">
        <is>
          <t>UPPSALA LÄN</t>
        </is>
      </c>
      <c r="G473" t="inlineStr">
        <is>
          <t>UPPSALA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40100-2022</t>
        </is>
      </c>
      <c r="B474" t="inlineStr">
        <is>
          <t>avverkningsanmälan</t>
        </is>
      </c>
      <c r="C474" t="inlineStr">
        <is>
          <t>Föryngringsavverkning</t>
        </is>
      </c>
      <c r="D474" s="1" t="n">
        <v>44820</v>
      </c>
      <c r="E474" s="1" t="n">
        <v>46222</v>
      </c>
      <c r="F474" t="inlineStr">
        <is>
          <t>UPPSALA LÄN</t>
        </is>
      </c>
      <c r="G474" t="inlineStr">
        <is>
          <t>UPPSALA</t>
        </is>
      </c>
      <c r="H474" t="inlineStr">
        <is>
          <t>Övriga Aktiebolag</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53891-2025</t>
        </is>
      </c>
      <c r="B475" t="inlineStr">
        <is>
          <t>avverkningsanmälan</t>
        </is>
      </c>
      <c r="C475" t="inlineStr">
        <is>
          <t>Föryngringsavverkning</t>
        </is>
      </c>
      <c r="D475" s="1" t="n">
        <v>45961</v>
      </c>
      <c r="E475" s="1" t="n">
        <v>46222</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53886-2025</t>
        </is>
      </c>
      <c r="B476" t="inlineStr">
        <is>
          <t>avverkningsanmälan</t>
        </is>
      </c>
      <c r="C476" t="inlineStr">
        <is>
          <t>Föryngringsavverkning</t>
        </is>
      </c>
      <c r="D476" s="1" t="n">
        <v>45961</v>
      </c>
      <c r="E476" s="1" t="n">
        <v>46222</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21727-2023</t>
        </is>
      </c>
      <c r="B477" t="inlineStr">
        <is>
          <t>avverkningsanmälan</t>
        </is>
      </c>
      <c r="C477" t="inlineStr">
        <is>
          <t>Föryngringsavverkning</t>
        </is>
      </c>
      <c r="D477" s="1" t="n">
        <v>45065</v>
      </c>
      <c r="E477" s="1" t="n">
        <v>46222</v>
      </c>
      <c r="F477" t="inlineStr">
        <is>
          <t>UPPSALA LÄN</t>
        </is>
      </c>
      <c r="G477" t="inlineStr">
        <is>
          <t>UPPSALA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69698-2021</t>
        </is>
      </c>
      <c r="B478" t="inlineStr">
        <is>
          <t>avverkningsanmälan</t>
        </is>
      </c>
      <c r="C478" t="inlineStr">
        <is>
          <t>Föryngringsavverkning</t>
        </is>
      </c>
      <c r="D478" s="1" t="n">
        <v>44532</v>
      </c>
      <c r="E478" s="1" t="n">
        <v>46222</v>
      </c>
      <c r="F478" t="inlineStr">
        <is>
          <t>UPPSALA LÄN</t>
        </is>
      </c>
      <c r="G478" t="inlineStr">
        <is>
          <t>UPPSALA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10223-2026</t>
        </is>
      </c>
      <c r="B479" t="inlineStr">
        <is>
          <t>avverkningsanmälan</t>
        </is>
      </c>
      <c r="C479" t="inlineStr">
        <is>
          <t>Föryngringsavverkning</t>
        </is>
      </c>
      <c r="D479" s="1" t="n">
        <v>46076</v>
      </c>
      <c r="E479" s="1" t="n">
        <v>46222</v>
      </c>
      <c r="F479" t="inlineStr">
        <is>
          <t>UPPSALA LÄN</t>
        </is>
      </c>
      <c r="G479" t="inlineStr">
        <is>
          <t>UPPSALA</t>
        </is>
      </c>
      <c r="H479" t="inlineStr">
        <is>
          <t>Holmen skog AB</t>
        </is>
      </c>
      <c r="I479" t="n">
        <v>3.5</v>
      </c>
      <c r="J479" t="n">
        <v>0</v>
      </c>
      <c r="K479" t="n">
        <v>0</v>
      </c>
      <c r="L479" t="n">
        <v>0</v>
      </c>
      <c r="M479" t="n">
        <v>0</v>
      </c>
      <c r="N479" t="n">
        <v>0</v>
      </c>
      <c r="O479" t="n">
        <v>0</v>
      </c>
      <c r="P479" t="n">
        <v>0</v>
      </c>
      <c r="Q479" t="n">
        <v>0</v>
      </c>
      <c r="R479" t="n">
        <v>0</v>
      </c>
      <c r="S479" t="n">
        <v>0</v>
      </c>
      <c r="T479" t="n">
        <v>0</v>
      </c>
      <c r="U479" s="2" t="inlineStr"/>
    </row>
    <row r="480" ht="15" customHeight="1">
      <c r="A480" t="inlineStr">
        <is>
          <t>A 54393-2025</t>
        </is>
      </c>
      <c r="B480" t="inlineStr">
        <is>
          <t>avverkningsanmälan</t>
        </is>
      </c>
      <c r="C480" t="inlineStr">
        <is>
          <t>Föryngringsavverkning</t>
        </is>
      </c>
      <c r="D480" s="1" t="n">
        <v>45965</v>
      </c>
      <c r="E480" s="1" t="n">
        <v>46222</v>
      </c>
      <c r="F480" t="inlineStr">
        <is>
          <t>UPPSALA LÄN</t>
        </is>
      </c>
      <c r="G480" t="inlineStr">
        <is>
          <t>UPPSALA</t>
        </is>
      </c>
      <c r="H480" t="inlineStr">
        <is>
          <t>Kyrkan</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20102-2023</t>
        </is>
      </c>
      <c r="B481" t="inlineStr">
        <is>
          <t>avverkningsanmälan</t>
        </is>
      </c>
      <c r="C481" t="inlineStr">
        <is>
          <t>Föryngringsavverkning</t>
        </is>
      </c>
      <c r="D481" s="1" t="n">
        <v>45054</v>
      </c>
      <c r="E481" s="1" t="n">
        <v>46222</v>
      </c>
      <c r="F481" t="inlineStr">
        <is>
          <t>UPPSALA LÄN</t>
        </is>
      </c>
      <c r="G481" t="inlineStr">
        <is>
          <t>UPPSALA</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19017-2023</t>
        </is>
      </c>
      <c r="B482" t="inlineStr">
        <is>
          <t>avverkningsanmälan</t>
        </is>
      </c>
      <c r="C482" t="inlineStr">
        <is>
          <t>Föryngringsavverkning</t>
        </is>
      </c>
      <c r="D482" s="1" t="n">
        <v>45047</v>
      </c>
      <c r="E482" s="1" t="n">
        <v>46222</v>
      </c>
      <c r="F482" t="inlineStr">
        <is>
          <t>UPPSALA LÄN</t>
        </is>
      </c>
      <c r="G482" t="inlineStr">
        <is>
          <t>UPPSALA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55357-2025</t>
        </is>
      </c>
      <c r="B483" t="inlineStr">
        <is>
          <t>avverkningsanmälan</t>
        </is>
      </c>
      <c r="C483" t="inlineStr">
        <is>
          <t>Föryngringsavverkning</t>
        </is>
      </c>
      <c r="D483" s="1" t="n">
        <v>45971</v>
      </c>
      <c r="E483" s="1" t="n">
        <v>46222</v>
      </c>
      <c r="F483" t="inlineStr">
        <is>
          <t>UPPSALA LÄN</t>
        </is>
      </c>
      <c r="G483" t="inlineStr">
        <is>
          <t>UPPSALA</t>
        </is>
      </c>
      <c r="I483" t="n">
        <v>6</v>
      </c>
      <c r="J483" t="n">
        <v>0</v>
      </c>
      <c r="K483" t="n">
        <v>0</v>
      </c>
      <c r="L483" t="n">
        <v>0</v>
      </c>
      <c r="M483" t="n">
        <v>0</v>
      </c>
      <c r="N483" t="n">
        <v>0</v>
      </c>
      <c r="O483" t="n">
        <v>0</v>
      </c>
      <c r="P483" t="n">
        <v>0</v>
      </c>
      <c r="Q483" t="n">
        <v>0</v>
      </c>
      <c r="R483" t="n">
        <v>0</v>
      </c>
      <c r="S483" t="n">
        <v>0</v>
      </c>
      <c r="T483" t="n">
        <v>0</v>
      </c>
      <c r="U483" s="2" t="inlineStr"/>
    </row>
    <row r="484" ht="15" customHeight="1">
      <c r="A484" t="inlineStr">
        <is>
          <t>A 55862-2022</t>
        </is>
      </c>
      <c r="B484" t="inlineStr">
        <is>
          <t>avverkningsanmälan</t>
        </is>
      </c>
      <c r="C484" t="inlineStr">
        <is>
          <t>Föryngringsavverkning</t>
        </is>
      </c>
      <c r="D484" s="1" t="n">
        <v>44888</v>
      </c>
      <c r="E484" s="1" t="n">
        <v>46222</v>
      </c>
      <c r="F484" t="inlineStr">
        <is>
          <t>UPPSALA LÄN</t>
        </is>
      </c>
      <c r="G484" t="inlineStr">
        <is>
          <t>UPPSALA</t>
        </is>
      </c>
      <c r="H484" t="inlineStr">
        <is>
          <t>Bergvik skog öst AB</t>
        </is>
      </c>
      <c r="I484" t="n">
        <v>1.6</v>
      </c>
      <c r="J484" t="n">
        <v>0</v>
      </c>
      <c r="K484" t="n">
        <v>0</v>
      </c>
      <c r="L484" t="n">
        <v>0</v>
      </c>
      <c r="M484" t="n">
        <v>0</v>
      </c>
      <c r="N484" t="n">
        <v>0</v>
      </c>
      <c r="O484" t="n">
        <v>0</v>
      </c>
      <c r="P484" t="n">
        <v>0</v>
      </c>
      <c r="Q484" t="n">
        <v>0</v>
      </c>
      <c r="R484" t="n">
        <v>0</v>
      </c>
      <c r="S484" t="n">
        <v>0</v>
      </c>
      <c r="T484" t="n">
        <v>0</v>
      </c>
      <c r="U484" s="2" t="inlineStr"/>
    </row>
    <row r="485" ht="15" customHeight="1">
      <c r="A485" t="inlineStr">
        <is>
          <t>A 55594-2025</t>
        </is>
      </c>
      <c r="B485" t="inlineStr">
        <is>
          <t>avverkningsanmälan</t>
        </is>
      </c>
      <c r="C485" t="inlineStr">
        <is>
          <t>Föryngringsavverkning</t>
        </is>
      </c>
      <c r="D485" s="1" t="n">
        <v>45971</v>
      </c>
      <c r="E485" s="1" t="n">
        <v>46222</v>
      </c>
      <c r="F485" t="inlineStr">
        <is>
          <t>UPPSALA LÄN</t>
        </is>
      </c>
      <c r="G485" t="inlineStr">
        <is>
          <t>UPPSALA</t>
        </is>
      </c>
      <c r="H485" t="inlineStr">
        <is>
          <t>Allmännings- och besparingsskogar</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55732-2025</t>
        </is>
      </c>
      <c r="B486" t="inlineStr">
        <is>
          <t>avverkningsanmälan</t>
        </is>
      </c>
      <c r="C486" t="inlineStr">
        <is>
          <t>Föryngringsavverkning</t>
        </is>
      </c>
      <c r="D486" s="1" t="n">
        <v>45972</v>
      </c>
      <c r="E486" s="1" t="n">
        <v>46222</v>
      </c>
      <c r="F486" t="inlineStr">
        <is>
          <t>UPPSALA LÄN</t>
        </is>
      </c>
      <c r="G486" t="inlineStr">
        <is>
          <t>UPPSALA</t>
        </is>
      </c>
      <c r="I486" t="n">
        <v>10.9</v>
      </c>
      <c r="J486" t="n">
        <v>0</v>
      </c>
      <c r="K486" t="n">
        <v>0</v>
      </c>
      <c r="L486" t="n">
        <v>0</v>
      </c>
      <c r="M486" t="n">
        <v>0</v>
      </c>
      <c r="N486" t="n">
        <v>0</v>
      </c>
      <c r="O486" t="n">
        <v>0</v>
      </c>
      <c r="P486" t="n">
        <v>0</v>
      </c>
      <c r="Q486" t="n">
        <v>0</v>
      </c>
      <c r="R486" t="n">
        <v>0</v>
      </c>
      <c r="S486" t="n">
        <v>0</v>
      </c>
      <c r="T486" t="n">
        <v>0</v>
      </c>
      <c r="U486" s="2" t="inlineStr"/>
    </row>
    <row r="487" ht="15" customHeight="1">
      <c r="A487" t="inlineStr">
        <is>
          <t>A 33191-2023</t>
        </is>
      </c>
      <c r="B487" t="inlineStr">
        <is>
          <t>avverkningsanmälan</t>
        </is>
      </c>
      <c r="C487" t="inlineStr">
        <is>
          <t>Föryngringsavverkning</t>
        </is>
      </c>
      <c r="D487" s="1" t="n">
        <v>45127</v>
      </c>
      <c r="E487" s="1" t="n">
        <v>46222</v>
      </c>
      <c r="F487" t="inlineStr">
        <is>
          <t>UPPSALA LÄN</t>
        </is>
      </c>
      <c r="G487" t="inlineStr">
        <is>
          <t>UPPSALA</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19139-2023</t>
        </is>
      </c>
      <c r="B488" t="inlineStr">
        <is>
          <t>avverkningsanmälan</t>
        </is>
      </c>
      <c r="C488" t="inlineStr">
        <is>
          <t>Föryngringsavverkning</t>
        </is>
      </c>
      <c r="D488" s="1" t="n">
        <v>45048</v>
      </c>
      <c r="E488" s="1" t="n">
        <v>46222</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11276-2026</t>
        </is>
      </c>
      <c r="B489" t="inlineStr">
        <is>
          <t>avverkningsanmälan</t>
        </is>
      </c>
      <c r="C489" t="inlineStr">
        <is>
          <t>Föryngringsavverkning</t>
        </is>
      </c>
      <c r="D489" s="1" t="n">
        <v>46080</v>
      </c>
      <c r="E489" s="1" t="n">
        <v>46222</v>
      </c>
      <c r="F489" t="inlineStr">
        <is>
          <t>UPPSALA LÄN</t>
        </is>
      </c>
      <c r="G489" t="inlineStr">
        <is>
          <t>UPPSALA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56620-2025</t>
        </is>
      </c>
      <c r="B490" t="inlineStr">
        <is>
          <t>avverkningsanmälan</t>
        </is>
      </c>
      <c r="C490" t="inlineStr">
        <is>
          <t>Föryngringsavverkning</t>
        </is>
      </c>
      <c r="D490" s="1" t="n">
        <v>45975</v>
      </c>
      <c r="E490" s="1" t="n">
        <v>46222</v>
      </c>
      <c r="F490" t="inlineStr">
        <is>
          <t>UPPSALA LÄN</t>
        </is>
      </c>
      <c r="G490" t="inlineStr">
        <is>
          <t>UPPSALA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46807-2022</t>
        </is>
      </c>
      <c r="B491" t="inlineStr">
        <is>
          <t>avverkningsanmälan</t>
        </is>
      </c>
      <c r="C491" t="inlineStr">
        <is>
          <t>Föryngringsavverkning</t>
        </is>
      </c>
      <c r="D491" s="1" t="n">
        <v>44848</v>
      </c>
      <c r="E491" s="1" t="n">
        <v>46222</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60814-2023</t>
        </is>
      </c>
      <c r="B492" t="inlineStr">
        <is>
          <t>avverkningsanmälan</t>
        </is>
      </c>
      <c r="C492" t="inlineStr">
        <is>
          <t>Föryngringsavverkning</t>
        </is>
      </c>
      <c r="D492" s="1" t="n">
        <v>45259</v>
      </c>
      <c r="E492" s="1" t="n">
        <v>46222</v>
      </c>
      <c r="F492" t="inlineStr">
        <is>
          <t>UPPSALA LÄN</t>
        </is>
      </c>
      <c r="G492" t="inlineStr">
        <is>
          <t>UPPSALA</t>
        </is>
      </c>
      <c r="I492" t="n">
        <v>5.9</v>
      </c>
      <c r="J492" t="n">
        <v>0</v>
      </c>
      <c r="K492" t="n">
        <v>0</v>
      </c>
      <c r="L492" t="n">
        <v>0</v>
      </c>
      <c r="M492" t="n">
        <v>0</v>
      </c>
      <c r="N492" t="n">
        <v>0</v>
      </c>
      <c r="O492" t="n">
        <v>0</v>
      </c>
      <c r="P492" t="n">
        <v>0</v>
      </c>
      <c r="Q492" t="n">
        <v>0</v>
      </c>
      <c r="R492" t="n">
        <v>0</v>
      </c>
      <c r="S492" t="n">
        <v>0</v>
      </c>
      <c r="T492" t="n">
        <v>0</v>
      </c>
      <c r="U492" s="2" t="inlineStr"/>
    </row>
    <row r="493" ht="15" customHeight="1">
      <c r="A493" t="inlineStr">
        <is>
          <t>A 56656-2025</t>
        </is>
      </c>
      <c r="B493" t="inlineStr">
        <is>
          <t>avverkningsanmälan</t>
        </is>
      </c>
      <c r="C493" t="inlineStr">
        <is>
          <t>Föryngringsavverkning</t>
        </is>
      </c>
      <c r="D493" s="1" t="n">
        <v>45975</v>
      </c>
      <c r="E493" s="1" t="n">
        <v>46222</v>
      </c>
      <c r="F493" t="inlineStr">
        <is>
          <t>UPPSALA LÄN</t>
        </is>
      </c>
      <c r="G493" t="inlineStr">
        <is>
          <t>UPPSALA</t>
        </is>
      </c>
      <c r="H493" t="inlineStr">
        <is>
          <t>Övriga Aktiebolag</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56466-2025</t>
        </is>
      </c>
      <c r="B494" t="inlineStr">
        <is>
          <t>avverkningsanmälan</t>
        </is>
      </c>
      <c r="C494" t="inlineStr">
        <is>
          <t>Föryngringsavverkning</t>
        </is>
      </c>
      <c r="D494" s="1" t="n">
        <v>45975</v>
      </c>
      <c r="E494" s="1" t="n">
        <v>46222</v>
      </c>
      <c r="F494" t="inlineStr">
        <is>
          <t>UPPSALA LÄN</t>
        </is>
      </c>
      <c r="G494" t="inlineStr">
        <is>
          <t>UPPSALA</t>
        </is>
      </c>
      <c r="H494" t="inlineStr">
        <is>
          <t>Holmen skog AB</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11915-2026</t>
        </is>
      </c>
      <c r="B495" t="inlineStr">
        <is>
          <t>avverkningsanmälan</t>
        </is>
      </c>
      <c r="C495" t="inlineStr">
        <is>
          <t>Föryngringsavverkning</t>
        </is>
      </c>
      <c r="D495" s="1" t="n">
        <v>46085</v>
      </c>
      <c r="E495" s="1" t="n">
        <v>46222</v>
      </c>
      <c r="F495" t="inlineStr">
        <is>
          <t>UPPSALA LÄN</t>
        </is>
      </c>
      <c r="G495" t="inlineStr">
        <is>
          <t>UPPSALA</t>
        </is>
      </c>
      <c r="I495" t="n">
        <v>7.3</v>
      </c>
      <c r="J495" t="n">
        <v>0</v>
      </c>
      <c r="K495" t="n">
        <v>0</v>
      </c>
      <c r="L495" t="n">
        <v>0</v>
      </c>
      <c r="M495" t="n">
        <v>0</v>
      </c>
      <c r="N495" t="n">
        <v>0</v>
      </c>
      <c r="O495" t="n">
        <v>0</v>
      </c>
      <c r="P495" t="n">
        <v>0</v>
      </c>
      <c r="Q495" t="n">
        <v>0</v>
      </c>
      <c r="R495" t="n">
        <v>0</v>
      </c>
      <c r="S495" t="n">
        <v>0</v>
      </c>
      <c r="T495" t="n">
        <v>0</v>
      </c>
      <c r="U495" s="2" t="inlineStr"/>
    </row>
    <row r="496" ht="15" customHeight="1">
      <c r="A496" t="inlineStr">
        <is>
          <t>A 40507-2021</t>
        </is>
      </c>
      <c r="B496" t="inlineStr">
        <is>
          <t>avverkningsanmälan</t>
        </is>
      </c>
      <c r="C496" t="inlineStr">
        <is>
          <t>Föryngringsavverkning</t>
        </is>
      </c>
      <c r="D496" s="1" t="n">
        <v>44420</v>
      </c>
      <c r="E496" s="1" t="n">
        <v>46222</v>
      </c>
      <c r="F496" t="inlineStr">
        <is>
          <t>UPPSALA LÄN</t>
        </is>
      </c>
      <c r="G496" t="inlineStr">
        <is>
          <t>UPPSALA</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58104-2025</t>
        </is>
      </c>
      <c r="B497" t="inlineStr">
        <is>
          <t>avverkningsanmälan</t>
        </is>
      </c>
      <c r="C497" t="inlineStr">
        <is>
          <t>Föryngringsavverkning</t>
        </is>
      </c>
      <c r="D497" s="1" t="n">
        <v>45982</v>
      </c>
      <c r="E497" s="1" t="n">
        <v>46222</v>
      </c>
      <c r="F497" t="inlineStr">
        <is>
          <t>UPPSALA LÄN</t>
        </is>
      </c>
      <c r="G497" t="inlineStr">
        <is>
          <t>UPPSALA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57796-2025</t>
        </is>
      </c>
      <c r="B498" t="inlineStr">
        <is>
          <t>avverkningsanmälan</t>
        </is>
      </c>
      <c r="C498" t="inlineStr">
        <is>
          <t>Föryngringsavverkning</t>
        </is>
      </c>
      <c r="D498" s="1" t="n">
        <v>45981</v>
      </c>
      <c r="E498" s="1" t="n">
        <v>46222</v>
      </c>
      <c r="F498" t="inlineStr">
        <is>
          <t>UPPSALA LÄN</t>
        </is>
      </c>
      <c r="G498" t="inlineStr">
        <is>
          <t>UPPSALA</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11744-2023</t>
        </is>
      </c>
      <c r="B499" t="inlineStr">
        <is>
          <t>avverkningsanmälan</t>
        </is>
      </c>
      <c r="C499" t="inlineStr">
        <is>
          <t>Föryngringsavverkning</t>
        </is>
      </c>
      <c r="D499" s="1" t="n">
        <v>44993</v>
      </c>
      <c r="E499" s="1" t="n">
        <v>46222</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57827-2025</t>
        </is>
      </c>
      <c r="B500" t="inlineStr">
        <is>
          <t>avverkningsanmälan</t>
        </is>
      </c>
      <c r="C500" t="inlineStr">
        <is>
          <t>Föryngringsavverkning</t>
        </is>
      </c>
      <c r="D500" s="1" t="n">
        <v>45981</v>
      </c>
      <c r="E500" s="1" t="n">
        <v>46222</v>
      </c>
      <c r="F500" t="inlineStr">
        <is>
          <t>UPPSALA LÄN</t>
        </is>
      </c>
      <c r="G500" t="inlineStr">
        <is>
          <t>UPPSALA</t>
        </is>
      </c>
      <c r="H500" t="inlineStr">
        <is>
          <t>Kyrkan</t>
        </is>
      </c>
      <c r="I500" t="n">
        <v>2.9</v>
      </c>
      <c r="J500" t="n">
        <v>0</v>
      </c>
      <c r="K500" t="n">
        <v>0</v>
      </c>
      <c r="L500" t="n">
        <v>0</v>
      </c>
      <c r="M500" t="n">
        <v>0</v>
      </c>
      <c r="N500" t="n">
        <v>0</v>
      </c>
      <c r="O500" t="n">
        <v>0</v>
      </c>
      <c r="P500" t="n">
        <v>0</v>
      </c>
      <c r="Q500" t="n">
        <v>0</v>
      </c>
      <c r="R500" t="n">
        <v>0</v>
      </c>
      <c r="S500" t="n">
        <v>0</v>
      </c>
      <c r="T500" t="n">
        <v>0</v>
      </c>
      <c r="U500" s="2" t="inlineStr"/>
    </row>
    <row r="501" ht="15" customHeight="1">
      <c r="A501" t="inlineStr">
        <is>
          <t>A 57836-2025</t>
        </is>
      </c>
      <c r="B501" t="inlineStr">
        <is>
          <t>avverkningsanmälan</t>
        </is>
      </c>
      <c r="C501" t="inlineStr">
        <is>
          <t>Föryngringsavverkning</t>
        </is>
      </c>
      <c r="D501" s="1" t="n">
        <v>45981</v>
      </c>
      <c r="E501" s="1" t="n">
        <v>46222</v>
      </c>
      <c r="F501" t="inlineStr">
        <is>
          <t>UPPSALA LÄN</t>
        </is>
      </c>
      <c r="G501" t="inlineStr">
        <is>
          <t>UPPSALA</t>
        </is>
      </c>
      <c r="H501" t="inlineStr">
        <is>
          <t>Kyrkan</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8498-2026</t>
        </is>
      </c>
      <c r="B502" t="inlineStr">
        <is>
          <t>avverkningsanmälan</t>
        </is>
      </c>
      <c r="C502" t="inlineStr">
        <is>
          <t>Föryngringsavverkning</t>
        </is>
      </c>
      <c r="D502" s="1" t="n">
        <v>46065</v>
      </c>
      <c r="E502" s="1" t="n">
        <v>46222</v>
      </c>
      <c r="F502" t="inlineStr">
        <is>
          <t>UPPSALA LÄN</t>
        </is>
      </c>
      <c r="G502" t="inlineStr">
        <is>
          <t>UPPSALA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53206-2025</t>
        </is>
      </c>
      <c r="B503" t="inlineStr">
        <is>
          <t>avverkningsanmälan</t>
        </is>
      </c>
      <c r="C503" t="inlineStr">
        <is>
          <t>Föryngringsavverkning</t>
        </is>
      </c>
      <c r="D503" s="1" t="n">
        <v>45958</v>
      </c>
      <c r="E503" s="1" t="n">
        <v>46222</v>
      </c>
      <c r="F503" t="inlineStr">
        <is>
          <t>UPPSALA LÄN</t>
        </is>
      </c>
      <c r="G503" t="inlineStr">
        <is>
          <t>UPPSALA</t>
        </is>
      </c>
      <c r="H503" t="inlineStr">
        <is>
          <t>Bergvik skog väst AB</t>
        </is>
      </c>
      <c r="I503" t="n">
        <v>18.6</v>
      </c>
      <c r="J503" t="n">
        <v>0</v>
      </c>
      <c r="K503" t="n">
        <v>0</v>
      </c>
      <c r="L503" t="n">
        <v>0</v>
      </c>
      <c r="M503" t="n">
        <v>0</v>
      </c>
      <c r="N503" t="n">
        <v>0</v>
      </c>
      <c r="O503" t="n">
        <v>0</v>
      </c>
      <c r="P503" t="n">
        <v>0</v>
      </c>
      <c r="Q503" t="n">
        <v>0</v>
      </c>
      <c r="R503" t="n">
        <v>0</v>
      </c>
      <c r="S503" t="n">
        <v>0</v>
      </c>
      <c r="T503" t="n">
        <v>0</v>
      </c>
      <c r="U503" s="2" t="inlineStr"/>
    </row>
    <row r="504" ht="15" customHeight="1">
      <c r="A504" t="inlineStr">
        <is>
          <t>A 57789-2025</t>
        </is>
      </c>
      <c r="B504" t="inlineStr">
        <is>
          <t>avverkningsanmälan</t>
        </is>
      </c>
      <c r="C504" t="inlineStr">
        <is>
          <t>Föryngringsavverkning</t>
        </is>
      </c>
      <c r="D504" s="1" t="n">
        <v>45981</v>
      </c>
      <c r="E504" s="1" t="n">
        <v>46222</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69432-2021</t>
        </is>
      </c>
      <c r="B505" t="inlineStr">
        <is>
          <t>avverkningsanmälan</t>
        </is>
      </c>
      <c r="C505" t="inlineStr">
        <is>
          <t>Föryngringsavverkning</t>
        </is>
      </c>
      <c r="D505" s="1" t="n">
        <v>44531</v>
      </c>
      <c r="E505" s="1" t="n">
        <v>46222</v>
      </c>
      <c r="F505" t="inlineStr">
        <is>
          <t>UPPSALA LÄN</t>
        </is>
      </c>
      <c r="G505" t="inlineStr">
        <is>
          <t>UPPSALA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12416-2026</t>
        </is>
      </c>
      <c r="B506" t="inlineStr">
        <is>
          <t>avverkningsanmälan</t>
        </is>
      </c>
      <c r="C506" t="inlineStr">
        <is>
          <t>Föryngringsavverkning</t>
        </is>
      </c>
      <c r="D506" s="1" t="n">
        <v>46090</v>
      </c>
      <c r="E506" s="1" t="n">
        <v>46222</v>
      </c>
      <c r="F506" t="inlineStr">
        <is>
          <t>UPPSALA LÄN</t>
        </is>
      </c>
      <c r="G506" t="inlineStr">
        <is>
          <t>UPPSALA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58193-2025</t>
        </is>
      </c>
      <c r="B507" t="inlineStr">
        <is>
          <t>avverkningsanmälan</t>
        </is>
      </c>
      <c r="C507" t="inlineStr">
        <is>
          <t>Föryngringsavverkning</t>
        </is>
      </c>
      <c r="D507" s="1" t="n">
        <v>45983</v>
      </c>
      <c r="E507" s="1" t="n">
        <v>46222</v>
      </c>
      <c r="F507" t="inlineStr">
        <is>
          <t>UPPSALA LÄN</t>
        </is>
      </c>
      <c r="G507" t="inlineStr">
        <is>
          <t>UPPSALA</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12770-2026</t>
        </is>
      </c>
      <c r="B508" t="inlineStr">
        <is>
          <t>avverkningsanmälan</t>
        </is>
      </c>
      <c r="C508" t="inlineStr">
        <is>
          <t>Föryngringsavverkning</t>
        </is>
      </c>
      <c r="D508" s="1" t="n">
        <v>46091</v>
      </c>
      <c r="E508" s="1" t="n">
        <v>46222</v>
      </c>
      <c r="F508" t="inlineStr">
        <is>
          <t>UPPSALA LÄN</t>
        </is>
      </c>
      <c r="G508" t="inlineStr">
        <is>
          <t>UPPSALA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12772-2026</t>
        </is>
      </c>
      <c r="B509" t="inlineStr">
        <is>
          <t>avverkningsanmälan</t>
        </is>
      </c>
      <c r="C509" t="inlineStr">
        <is>
          <t>Föryngringsavverkning</t>
        </is>
      </c>
      <c r="D509" s="1" t="n">
        <v>46091</v>
      </c>
      <c r="E509" s="1" t="n">
        <v>46222</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7556-2026</t>
        </is>
      </c>
      <c r="B510" t="inlineStr">
        <is>
          <t>avverkningsanmälan</t>
        </is>
      </c>
      <c r="C510" t="inlineStr">
        <is>
          <t>Föryngringsavverkning</t>
        </is>
      </c>
      <c r="D510" s="1" t="n">
        <v>46059</v>
      </c>
      <c r="E510" s="1" t="n">
        <v>46222</v>
      </c>
      <c r="F510" t="inlineStr">
        <is>
          <t>UPPSALA LÄN</t>
        </is>
      </c>
      <c r="G510" t="inlineStr">
        <is>
          <t>UPPSALA</t>
        </is>
      </c>
      <c r="H510" t="inlineStr">
        <is>
          <t>Bergvik skog öst AB</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69691-2021</t>
        </is>
      </c>
      <c r="B511" t="inlineStr">
        <is>
          <t>avverkningsanmälan</t>
        </is>
      </c>
      <c r="C511" t="inlineStr">
        <is>
          <t>Föryngringsavverkning</t>
        </is>
      </c>
      <c r="D511" s="1" t="n">
        <v>44532</v>
      </c>
      <c r="E511" s="1" t="n">
        <v>46222</v>
      </c>
      <c r="F511" t="inlineStr">
        <is>
          <t>UPPSALA LÄN</t>
        </is>
      </c>
      <c r="G511" t="inlineStr">
        <is>
          <t>UPPSALA</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59207-2025</t>
        </is>
      </c>
      <c r="B512" t="inlineStr">
        <is>
          <t>avverkningsanmälan</t>
        </is>
      </c>
      <c r="C512" t="inlineStr">
        <is>
          <t>Föryngringsavverkning</t>
        </is>
      </c>
      <c r="D512" s="1" t="n">
        <v>45988</v>
      </c>
      <c r="E512" s="1" t="n">
        <v>46222</v>
      </c>
      <c r="F512" t="inlineStr">
        <is>
          <t>UPPSALA LÄN</t>
        </is>
      </c>
      <c r="G512" t="inlineStr">
        <is>
          <t>UPPSALA</t>
        </is>
      </c>
      <c r="H512" t="inlineStr">
        <is>
          <t>Kyrkan</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12409-2026</t>
        </is>
      </c>
      <c r="B513" t="inlineStr">
        <is>
          <t>avverkningsanmälan</t>
        </is>
      </c>
      <c r="C513" t="inlineStr">
        <is>
          <t>Föryngringsavverkning</t>
        </is>
      </c>
      <c r="D513" s="1" t="n">
        <v>46090</v>
      </c>
      <c r="E513" s="1" t="n">
        <v>46222</v>
      </c>
      <c r="F513" t="inlineStr">
        <is>
          <t>UPPSALA LÄN</t>
        </is>
      </c>
      <c r="G513" t="inlineStr">
        <is>
          <t>UPPSALA</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12702-2026</t>
        </is>
      </c>
      <c r="B514" t="inlineStr">
        <is>
          <t>avverkningsanmälan</t>
        </is>
      </c>
      <c r="C514" t="inlineStr">
        <is>
          <t>Föryngringsavverkning</t>
        </is>
      </c>
      <c r="D514" s="1" t="n">
        <v>46091</v>
      </c>
      <c r="E514" s="1" t="n">
        <v>46222</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59779-2025</t>
        </is>
      </c>
      <c r="B515" t="inlineStr">
        <is>
          <t>avverkningsanmälan</t>
        </is>
      </c>
      <c r="C515" t="inlineStr">
        <is>
          <t>Föryngringsavverkning</t>
        </is>
      </c>
      <c r="D515" s="1" t="n">
        <v>45992</v>
      </c>
      <c r="E515" s="1" t="n">
        <v>46222</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59688-2025</t>
        </is>
      </c>
      <c r="B516" t="inlineStr">
        <is>
          <t>avverkningsanmälan</t>
        </is>
      </c>
      <c r="C516" t="inlineStr">
        <is>
          <t>Föryngringsavverkning</t>
        </is>
      </c>
      <c r="D516" s="1" t="n">
        <v>45992</v>
      </c>
      <c r="E516" s="1" t="n">
        <v>46222</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12769-2026</t>
        </is>
      </c>
      <c r="B517" t="inlineStr">
        <is>
          <t>avverkningsanmälan</t>
        </is>
      </c>
      <c r="C517" t="inlineStr">
        <is>
          <t>Föryngringsavverkning</t>
        </is>
      </c>
      <c r="D517" s="1" t="n">
        <v>46091</v>
      </c>
      <c r="E517" s="1" t="n">
        <v>46222</v>
      </c>
      <c r="F517" t="inlineStr">
        <is>
          <t>UPPSALA LÄN</t>
        </is>
      </c>
      <c r="G517" t="inlineStr">
        <is>
          <t>UPPSALA</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12771-2026</t>
        </is>
      </c>
      <c r="B518" t="inlineStr">
        <is>
          <t>avverkningsanmälan</t>
        </is>
      </c>
      <c r="C518" t="inlineStr">
        <is>
          <t>Föryngringsavverkning</t>
        </is>
      </c>
      <c r="D518" s="1" t="n">
        <v>46091</v>
      </c>
      <c r="E518" s="1" t="n">
        <v>46222</v>
      </c>
      <c r="F518" t="inlineStr">
        <is>
          <t>UPPSALA LÄN</t>
        </is>
      </c>
      <c r="G518" t="inlineStr">
        <is>
          <t>UPPSALA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12697-2026</t>
        </is>
      </c>
      <c r="B519" t="inlineStr">
        <is>
          <t>avverkningsanmälan</t>
        </is>
      </c>
      <c r="C519" t="inlineStr">
        <is>
          <t>Föryngringsavverkning</t>
        </is>
      </c>
      <c r="D519" s="1" t="n">
        <v>46091</v>
      </c>
      <c r="E519" s="1" t="n">
        <v>46222</v>
      </c>
      <c r="F519" t="inlineStr">
        <is>
          <t>UPPSALA LÄN</t>
        </is>
      </c>
      <c r="G519" t="inlineStr">
        <is>
          <t>UPPSALA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13075-2026</t>
        </is>
      </c>
      <c r="B520" t="inlineStr">
        <is>
          <t>avverkningsanmälan</t>
        </is>
      </c>
      <c r="C520" t="inlineStr">
        <is>
          <t>Föryngringsavverkning</t>
        </is>
      </c>
      <c r="D520" s="1" t="n">
        <v>46093</v>
      </c>
      <c r="E520" s="1" t="n">
        <v>46222</v>
      </c>
      <c r="F520" t="inlineStr">
        <is>
          <t>UPPSALA LÄN</t>
        </is>
      </c>
      <c r="G520" t="inlineStr">
        <is>
          <t>UPPSALA</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17587-2025</t>
        </is>
      </c>
      <c r="B521" t="inlineStr">
        <is>
          <t>avverkningsanmälan</t>
        </is>
      </c>
      <c r="C521" t="inlineStr">
        <is>
          <t>Föryngringsavverkning</t>
        </is>
      </c>
      <c r="D521" s="1" t="n">
        <v>45757</v>
      </c>
      <c r="E521" s="1" t="n">
        <v>46222</v>
      </c>
      <c r="F521" t="inlineStr">
        <is>
          <t>UPPSALA LÄN</t>
        </is>
      </c>
      <c r="G521" t="inlineStr">
        <is>
          <t>UPPSALA</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24012-2023</t>
        </is>
      </c>
      <c r="B522" t="inlineStr">
        <is>
          <t>avverkningsanmälan</t>
        </is>
      </c>
      <c r="C522" t="inlineStr">
        <is>
          <t>Föryngringsavverkning</t>
        </is>
      </c>
      <c r="D522" s="1" t="n">
        <v>45078</v>
      </c>
      <c r="E522" s="1" t="n">
        <v>46222</v>
      </c>
      <c r="F522" t="inlineStr">
        <is>
          <t>UPPSALA LÄN</t>
        </is>
      </c>
      <c r="G522" t="inlineStr">
        <is>
          <t>UPPSALA</t>
        </is>
      </c>
      <c r="H522" t="inlineStr">
        <is>
          <t>Kyrkan</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13404-2026</t>
        </is>
      </c>
      <c r="B523" t="inlineStr">
        <is>
          <t>avverkningsanmälan</t>
        </is>
      </c>
      <c r="C523" t="inlineStr">
        <is>
          <t>Föryngringsavverkning</t>
        </is>
      </c>
      <c r="D523" s="1" t="n">
        <v>46094</v>
      </c>
      <c r="E523" s="1" t="n">
        <v>46222</v>
      </c>
      <c r="F523" t="inlineStr">
        <is>
          <t>UPPSALA LÄN</t>
        </is>
      </c>
      <c r="G523" t="inlineStr">
        <is>
          <t>UPPSALA</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13485-2026</t>
        </is>
      </c>
      <c r="B524" t="inlineStr">
        <is>
          <t>avverkningsanmälan</t>
        </is>
      </c>
      <c r="C524" t="inlineStr">
        <is>
          <t>Föryngringsavverkning</t>
        </is>
      </c>
      <c r="D524" s="1" t="n">
        <v>46094</v>
      </c>
      <c r="E524" s="1" t="n">
        <v>46222</v>
      </c>
      <c r="F524" t="inlineStr">
        <is>
          <t>UPPSALA LÄN</t>
        </is>
      </c>
      <c r="G524" t="inlineStr">
        <is>
          <t>UPPSALA</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13337-2026</t>
        </is>
      </c>
      <c r="B525" t="inlineStr">
        <is>
          <t>avverkningsanmälan</t>
        </is>
      </c>
      <c r="C525" t="inlineStr">
        <is>
          <t>Föryngringsavverkning</t>
        </is>
      </c>
      <c r="D525" s="1" t="n">
        <v>46094</v>
      </c>
      <c r="E525" s="1" t="n">
        <v>46222</v>
      </c>
      <c r="F525" t="inlineStr">
        <is>
          <t>UPPSALA LÄN</t>
        </is>
      </c>
      <c r="G525" t="inlineStr">
        <is>
          <t>UPPSALA</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13433-2026</t>
        </is>
      </c>
      <c r="B526" t="inlineStr">
        <is>
          <t>avverkningsanmälan</t>
        </is>
      </c>
      <c r="C526" t="inlineStr">
        <is>
          <t>Föryngringsavverkning</t>
        </is>
      </c>
      <c r="D526" s="1" t="n">
        <v>46094</v>
      </c>
      <c r="E526" s="1" t="n">
        <v>46222</v>
      </c>
      <c r="F526" t="inlineStr">
        <is>
          <t>UPPSALA LÄN</t>
        </is>
      </c>
      <c r="G526" t="inlineStr">
        <is>
          <t>UPPSALA</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13607-2026</t>
        </is>
      </c>
      <c r="B527" t="inlineStr">
        <is>
          <t>avverkningsanmälan</t>
        </is>
      </c>
      <c r="C527" t="inlineStr">
        <is>
          <t>Föryngringsavverkning</t>
        </is>
      </c>
      <c r="D527" s="1" t="n">
        <v>46097</v>
      </c>
      <c r="E527" s="1" t="n">
        <v>46222</v>
      </c>
      <c r="F527" t="inlineStr">
        <is>
          <t>UPPSALA LÄN</t>
        </is>
      </c>
      <c r="G527" t="inlineStr">
        <is>
          <t>UPPSALA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60356-2025</t>
        </is>
      </c>
      <c r="B528" t="inlineStr">
        <is>
          <t>avverkningsanmälan</t>
        </is>
      </c>
      <c r="C528" t="inlineStr">
        <is>
          <t>Föryngringsavverkning</t>
        </is>
      </c>
      <c r="D528" s="1" t="n">
        <v>45995</v>
      </c>
      <c r="E528" s="1" t="n">
        <v>46222</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13434-2026</t>
        </is>
      </c>
      <c r="B529" t="inlineStr">
        <is>
          <t>avverkningsanmälan</t>
        </is>
      </c>
      <c r="C529" t="inlineStr">
        <is>
          <t>Föryngringsavverkning</t>
        </is>
      </c>
      <c r="D529" s="1" t="n">
        <v>46094</v>
      </c>
      <c r="E529" s="1" t="n">
        <v>46222</v>
      </c>
      <c r="F529" t="inlineStr">
        <is>
          <t>UPPSALA LÄN</t>
        </is>
      </c>
      <c r="G529" t="inlineStr">
        <is>
          <t>UPPSALA</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60512-2025</t>
        </is>
      </c>
      <c r="B530" t="inlineStr">
        <is>
          <t>avverkningsanmälan</t>
        </is>
      </c>
      <c r="C530" t="inlineStr">
        <is>
          <t>Föryngringsavverkning</t>
        </is>
      </c>
      <c r="D530" s="1" t="n">
        <v>45995</v>
      </c>
      <c r="E530" s="1" t="n">
        <v>46222</v>
      </c>
      <c r="F530" t="inlineStr">
        <is>
          <t>UPPSALA LÄN</t>
        </is>
      </c>
      <c r="G530" t="inlineStr">
        <is>
          <t>UPPSALA</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13536-2026</t>
        </is>
      </c>
      <c r="B531" t="inlineStr">
        <is>
          <t>avverkningsanmälan</t>
        </is>
      </c>
      <c r="C531" t="inlineStr">
        <is>
          <t>Föryngringsavverkning</t>
        </is>
      </c>
      <c r="D531" s="1" t="n">
        <v>46094</v>
      </c>
      <c r="E531" s="1" t="n">
        <v>46222</v>
      </c>
      <c r="F531" t="inlineStr">
        <is>
          <t>UPPSALA LÄN</t>
        </is>
      </c>
      <c r="G531" t="inlineStr">
        <is>
          <t>UPPSALA</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58965-2025</t>
        </is>
      </c>
      <c r="B532" t="inlineStr">
        <is>
          <t>avverkningsanmälan</t>
        </is>
      </c>
      <c r="C532" t="inlineStr">
        <is>
          <t>Avverkning för annat ändamål</t>
        </is>
      </c>
      <c r="D532" s="1" t="n">
        <v>45987</v>
      </c>
      <c r="E532" s="1" t="n">
        <v>46222</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s="2" t="inlineStr"/>
    </row>
    <row r="533" ht="15" customHeight="1">
      <c r="A533" t="inlineStr">
        <is>
          <t>A 47221-2023</t>
        </is>
      </c>
      <c r="B533" t="inlineStr">
        <is>
          <t>avverkningsanmälan</t>
        </is>
      </c>
      <c r="C533" t="inlineStr">
        <is>
          <t>Föryngringsavverkning</t>
        </is>
      </c>
      <c r="D533" s="1" t="n">
        <v>45202</v>
      </c>
      <c r="E533" s="1" t="n">
        <v>46222</v>
      </c>
      <c r="F533" t="inlineStr">
        <is>
          <t>UPPSALA LÄN</t>
        </is>
      </c>
      <c r="G533" t="inlineStr">
        <is>
          <t>UPPSALA</t>
        </is>
      </c>
      <c r="I533" t="n">
        <v>8.6</v>
      </c>
      <c r="J533" t="n">
        <v>0</v>
      </c>
      <c r="K533" t="n">
        <v>0</v>
      </c>
      <c r="L533" t="n">
        <v>0</v>
      </c>
      <c r="M533" t="n">
        <v>0</v>
      </c>
      <c r="N533" t="n">
        <v>0</v>
      </c>
      <c r="O533" t="n">
        <v>0</v>
      </c>
      <c r="P533" t="n">
        <v>0</v>
      </c>
      <c r="Q533" t="n">
        <v>0</v>
      </c>
      <c r="R533" t="n">
        <v>0</v>
      </c>
      <c r="S533" t="n">
        <v>0</v>
      </c>
      <c r="T533" t="n">
        <v>0</v>
      </c>
      <c r="U533" s="2" t="inlineStr"/>
    </row>
    <row r="534" ht="15" customHeight="1">
      <c r="A534" t="inlineStr">
        <is>
          <t>A 13934-2026</t>
        </is>
      </c>
      <c r="B534" t="inlineStr">
        <is>
          <t>avverkningsanmälan</t>
        </is>
      </c>
      <c r="C534" t="inlineStr">
        <is>
          <t>Föryngringsavverkning</t>
        </is>
      </c>
      <c r="D534" s="1" t="n">
        <v>46098</v>
      </c>
      <c r="E534" s="1" t="n">
        <v>46222</v>
      </c>
      <c r="F534" t="inlineStr">
        <is>
          <t>UPPSALA LÄN</t>
        </is>
      </c>
      <c r="G534" t="inlineStr">
        <is>
          <t>UPPSALA</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58023-2022</t>
        </is>
      </c>
      <c r="B535" t="inlineStr">
        <is>
          <t>avverkningsanmälan</t>
        </is>
      </c>
      <c r="C535" t="inlineStr">
        <is>
          <t>Föryngringsavverkning</t>
        </is>
      </c>
      <c r="D535" s="1" t="n">
        <v>44900</v>
      </c>
      <c r="E535" s="1" t="n">
        <v>46222</v>
      </c>
      <c r="F535" t="inlineStr">
        <is>
          <t>UPPSALA LÄN</t>
        </is>
      </c>
      <c r="G535" t="inlineStr">
        <is>
          <t>UPPSALA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45878-2024</t>
        </is>
      </c>
      <c r="B536" t="inlineStr">
        <is>
          <t>avverkningsanmälan</t>
        </is>
      </c>
      <c r="C536" t="inlineStr">
        <is>
          <t>Föryngringsavverkning</t>
        </is>
      </c>
      <c r="D536" s="1" t="n">
        <v>45580</v>
      </c>
      <c r="E536" s="1" t="n">
        <v>46222</v>
      </c>
      <c r="F536" t="inlineStr">
        <is>
          <t>UPPSALA LÄN</t>
        </is>
      </c>
      <c r="G536" t="inlineStr">
        <is>
          <t>UPPSALA</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5374-2023</t>
        </is>
      </c>
      <c r="B537" t="inlineStr">
        <is>
          <t>avverkningsanmälan</t>
        </is>
      </c>
      <c r="C537" t="inlineStr">
        <is>
          <t>Avverkning för annat ändamål</t>
        </is>
      </c>
      <c r="D537" s="1" t="n">
        <v>44944</v>
      </c>
      <c r="E537" s="1" t="n">
        <v>46222</v>
      </c>
      <c r="F537" t="inlineStr">
        <is>
          <t>UPPSALA LÄN</t>
        </is>
      </c>
      <c r="G537" t="inlineStr">
        <is>
          <t>UPPSALA</t>
        </is>
      </c>
      <c r="I537" t="n">
        <v>3.5</v>
      </c>
      <c r="J537" t="n">
        <v>0</v>
      </c>
      <c r="K537" t="n">
        <v>0</v>
      </c>
      <c r="L537" t="n">
        <v>0</v>
      </c>
      <c r="M537" t="n">
        <v>0</v>
      </c>
      <c r="N537" t="n">
        <v>0</v>
      </c>
      <c r="O537" t="n">
        <v>0</v>
      </c>
      <c r="P537" t="n">
        <v>0</v>
      </c>
      <c r="Q537" t="n">
        <v>0</v>
      </c>
      <c r="R537" t="n">
        <v>0</v>
      </c>
      <c r="S537" t="n">
        <v>0</v>
      </c>
      <c r="T537" t="n">
        <v>0</v>
      </c>
      <c r="U537" s="2" t="inlineStr"/>
    </row>
    <row r="538" ht="15" customHeight="1">
      <c r="A538" t="inlineStr">
        <is>
          <t>A 341-2024</t>
        </is>
      </c>
      <c r="B538" t="inlineStr">
        <is>
          <t>avverkningsanmälan</t>
        </is>
      </c>
      <c r="C538" t="inlineStr">
        <is>
          <t>Föryngringsavverkning</t>
        </is>
      </c>
      <c r="D538" s="1" t="n">
        <v>45295</v>
      </c>
      <c r="E538" s="1" t="n">
        <v>46222</v>
      </c>
      <c r="F538" t="inlineStr">
        <is>
          <t>UPPSALA LÄN</t>
        </is>
      </c>
      <c r="G538" t="inlineStr">
        <is>
          <t>UPPSALA</t>
        </is>
      </c>
      <c r="H538" t="inlineStr">
        <is>
          <t>Allmännings- och besparingsskogar</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57770-2025</t>
        </is>
      </c>
      <c r="B539" t="inlineStr">
        <is>
          <t>avverkningsanmälan</t>
        </is>
      </c>
      <c r="C539" t="inlineStr">
        <is>
          <t>Föryngringsavverkning</t>
        </is>
      </c>
      <c r="D539" s="1" t="n">
        <v>45981</v>
      </c>
      <c r="E539" s="1" t="n">
        <v>46222</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40111-2024</t>
        </is>
      </c>
      <c r="B540" t="inlineStr">
        <is>
          <t>avverkningsanmälan</t>
        </is>
      </c>
      <c r="C540" t="inlineStr">
        <is>
          <t>Föryngringsavverkning</t>
        </is>
      </c>
      <c r="D540" s="1" t="n">
        <v>45554</v>
      </c>
      <c r="E540" s="1" t="n">
        <v>46222</v>
      </c>
      <c r="F540" t="inlineStr">
        <is>
          <t>UPPSALA LÄN</t>
        </is>
      </c>
      <c r="G540" t="inlineStr">
        <is>
          <t>UPPSALA</t>
        </is>
      </c>
      <c r="I540" t="n">
        <v>3.7</v>
      </c>
      <c r="J540" t="n">
        <v>0</v>
      </c>
      <c r="K540" t="n">
        <v>0</v>
      </c>
      <c r="L540" t="n">
        <v>0</v>
      </c>
      <c r="M540" t="n">
        <v>0</v>
      </c>
      <c r="N540" t="n">
        <v>0</v>
      </c>
      <c r="O540" t="n">
        <v>0</v>
      </c>
      <c r="P540" t="n">
        <v>0</v>
      </c>
      <c r="Q540" t="n">
        <v>0</v>
      </c>
      <c r="R540" t="n">
        <v>0</v>
      </c>
      <c r="S540" t="n">
        <v>0</v>
      </c>
      <c r="T540" t="n">
        <v>0</v>
      </c>
      <c r="U540" s="2" t="inlineStr"/>
    </row>
    <row r="541" ht="15" customHeight="1">
      <c r="A541" t="inlineStr">
        <is>
          <t>A 38865-2022</t>
        </is>
      </c>
      <c r="B541" t="inlineStr">
        <is>
          <t>avverkningsanmälan</t>
        </is>
      </c>
      <c r="C541" t="inlineStr">
        <is>
          <t>Föryngringsavverkning</t>
        </is>
      </c>
      <c r="D541" s="1" t="n">
        <v>44816</v>
      </c>
      <c r="E541" s="1" t="n">
        <v>46222</v>
      </c>
      <c r="F541" t="inlineStr">
        <is>
          <t>UPPSALA LÄN</t>
        </is>
      </c>
      <c r="G541" t="inlineStr">
        <is>
          <t>UPPSALA</t>
        </is>
      </c>
      <c r="I541" t="n">
        <v>14.6</v>
      </c>
      <c r="J541" t="n">
        <v>0</v>
      </c>
      <c r="K541" t="n">
        <v>0</v>
      </c>
      <c r="L541" t="n">
        <v>0</v>
      </c>
      <c r="M541" t="n">
        <v>0</v>
      </c>
      <c r="N541" t="n">
        <v>0</v>
      </c>
      <c r="O541" t="n">
        <v>0</v>
      </c>
      <c r="P541" t="n">
        <v>0</v>
      </c>
      <c r="Q541" t="n">
        <v>0</v>
      </c>
      <c r="R541" t="n">
        <v>0</v>
      </c>
      <c r="S541" t="n">
        <v>0</v>
      </c>
      <c r="T541" t="n">
        <v>0</v>
      </c>
      <c r="U541" s="2" t="inlineStr"/>
    </row>
    <row r="542" ht="15" customHeight="1">
      <c r="A542" t="inlineStr">
        <is>
          <t>A 18717-2025</t>
        </is>
      </c>
      <c r="B542" t="inlineStr">
        <is>
          <t>avverkningsanmälan</t>
        </is>
      </c>
      <c r="C542" t="inlineStr">
        <is>
          <t>Föryngringsavverkning</t>
        </is>
      </c>
      <c r="D542" s="1" t="n">
        <v>45763</v>
      </c>
      <c r="E542" s="1" t="n">
        <v>46222</v>
      </c>
      <c r="F542" t="inlineStr">
        <is>
          <t>UPPSALA LÄN</t>
        </is>
      </c>
      <c r="G542" t="inlineStr">
        <is>
          <t>UPPSALA</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3261-2024</t>
        </is>
      </c>
      <c r="B543" t="inlineStr">
        <is>
          <t>avverkningsanmälan</t>
        </is>
      </c>
      <c r="C543" t="inlineStr">
        <is>
          <t>Föryngringsavverkning</t>
        </is>
      </c>
      <c r="D543" s="1" t="n">
        <v>45317</v>
      </c>
      <c r="E543" s="1" t="n">
        <v>46222</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63059-2025</t>
        </is>
      </c>
      <c r="B544" t="inlineStr">
        <is>
          <t>avverkningsanmälan</t>
        </is>
      </c>
      <c r="C544" t="inlineStr">
        <is>
          <t>Föryngringsavverkning</t>
        </is>
      </c>
      <c r="D544" s="1" t="n">
        <v>46009</v>
      </c>
      <c r="E544" s="1" t="n">
        <v>46222</v>
      </c>
      <c r="F544" t="inlineStr">
        <is>
          <t>UPPSALA LÄN</t>
        </is>
      </c>
      <c r="G544" t="inlineStr">
        <is>
          <t>UPPSALA</t>
        </is>
      </c>
      <c r="I544" t="n">
        <v>15.4</v>
      </c>
      <c r="J544" t="n">
        <v>0</v>
      </c>
      <c r="K544" t="n">
        <v>0</v>
      </c>
      <c r="L544" t="n">
        <v>0</v>
      </c>
      <c r="M544" t="n">
        <v>0</v>
      </c>
      <c r="N544" t="n">
        <v>0</v>
      </c>
      <c r="O544" t="n">
        <v>0</v>
      </c>
      <c r="P544" t="n">
        <v>0</v>
      </c>
      <c r="Q544" t="n">
        <v>0</v>
      </c>
      <c r="R544" t="n">
        <v>0</v>
      </c>
      <c r="S544" t="n">
        <v>0</v>
      </c>
      <c r="T544" t="n">
        <v>0</v>
      </c>
      <c r="U544" s="2" t="inlineStr"/>
    </row>
    <row r="545" ht="15" customHeight="1">
      <c r="A545" t="inlineStr">
        <is>
          <t>A 1838-2024</t>
        </is>
      </c>
      <c r="B545" t="inlineStr">
        <is>
          <t>avverkningsanmälan</t>
        </is>
      </c>
      <c r="C545" t="inlineStr">
        <is>
          <t>Föryngringsavverkning</t>
        </is>
      </c>
      <c r="D545" s="1" t="n">
        <v>45307</v>
      </c>
      <c r="E545" s="1" t="n">
        <v>46222</v>
      </c>
      <c r="F545" t="inlineStr">
        <is>
          <t>UPPSALA LÄN</t>
        </is>
      </c>
      <c r="G545" t="inlineStr">
        <is>
          <t>UPPSALA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29019-2023</t>
        </is>
      </c>
      <c r="B546" t="inlineStr">
        <is>
          <t>avverkningsanmälan</t>
        </is>
      </c>
      <c r="C546" t="inlineStr">
        <is>
          <t>Föryngringsavverkning</t>
        </is>
      </c>
      <c r="D546" s="1" t="n">
        <v>45104</v>
      </c>
      <c r="E546" s="1" t="n">
        <v>46222</v>
      </c>
      <c r="F546" t="inlineStr">
        <is>
          <t>UPPSALA LÄN</t>
        </is>
      </c>
      <c r="G546" t="inlineStr">
        <is>
          <t>UPPSALA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63532-2025</t>
        </is>
      </c>
      <c r="B547" t="inlineStr">
        <is>
          <t>avverkningsanmälan</t>
        </is>
      </c>
      <c r="C547" t="inlineStr">
        <is>
          <t>Föryngringsavverkning</t>
        </is>
      </c>
      <c r="D547" s="1" t="n">
        <v>46013</v>
      </c>
      <c r="E547" s="1" t="n">
        <v>46222</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s="2" t="inlineStr"/>
    </row>
    <row r="548" ht="15" customHeight="1">
      <c r="A548" t="inlineStr">
        <is>
          <t>A 33689-2023</t>
        </is>
      </c>
      <c r="B548" t="inlineStr">
        <is>
          <t>avverkningsanmälan</t>
        </is>
      </c>
      <c r="C548" t="inlineStr">
        <is>
          <t>Avverkning för annat ändamål</t>
        </is>
      </c>
      <c r="D548" s="1" t="n">
        <v>45119</v>
      </c>
      <c r="E548" s="1" t="n">
        <v>46222</v>
      </c>
      <c r="F548" t="inlineStr">
        <is>
          <t>UPPSALA LÄN</t>
        </is>
      </c>
      <c r="G548" t="inlineStr">
        <is>
          <t>UPPSALA</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63669-2025</t>
        </is>
      </c>
      <c r="B549" t="inlineStr">
        <is>
          <t>avverkningsanmälan</t>
        </is>
      </c>
      <c r="C549" t="inlineStr">
        <is>
          <t>Föryngringsavverkning</t>
        </is>
      </c>
      <c r="D549" s="1" t="n">
        <v>46014</v>
      </c>
      <c r="E549" s="1" t="n">
        <v>46222</v>
      </c>
      <c r="F549" t="inlineStr">
        <is>
          <t>UPPSALA LÄN</t>
        </is>
      </c>
      <c r="G549" t="inlineStr">
        <is>
          <t>UPPSALA</t>
        </is>
      </c>
      <c r="I549" t="n">
        <v>5.4</v>
      </c>
      <c r="J549" t="n">
        <v>0</v>
      </c>
      <c r="K549" t="n">
        <v>0</v>
      </c>
      <c r="L549" t="n">
        <v>0</v>
      </c>
      <c r="M549" t="n">
        <v>0</v>
      </c>
      <c r="N549" t="n">
        <v>0</v>
      </c>
      <c r="O549" t="n">
        <v>0</v>
      </c>
      <c r="P549" t="n">
        <v>0</v>
      </c>
      <c r="Q549" t="n">
        <v>0</v>
      </c>
      <c r="R549" t="n">
        <v>0</v>
      </c>
      <c r="S549" t="n">
        <v>0</v>
      </c>
      <c r="T549" t="n">
        <v>0</v>
      </c>
      <c r="U549" s="2" t="inlineStr"/>
    </row>
    <row r="550" ht="15" customHeight="1">
      <c r="A550" t="inlineStr">
        <is>
          <t>A 55275-2025</t>
        </is>
      </c>
      <c r="B550" t="inlineStr">
        <is>
          <t>avverkningsanmälan</t>
        </is>
      </c>
      <c r="C550" t="inlineStr">
        <is>
          <t>Föryngringsavverkning</t>
        </is>
      </c>
      <c r="D550" s="1" t="n">
        <v>45968</v>
      </c>
      <c r="E550" s="1" t="n">
        <v>46222</v>
      </c>
      <c r="F550" t="inlineStr">
        <is>
          <t>UPPSALA LÄN</t>
        </is>
      </c>
      <c r="G550" t="inlineStr">
        <is>
          <t>UPPSALA</t>
        </is>
      </c>
      <c r="H550" t="inlineStr">
        <is>
          <t>Allmännings- och besparingsskogar</t>
        </is>
      </c>
      <c r="I550" t="n">
        <v>13.2</v>
      </c>
      <c r="J550" t="n">
        <v>0</v>
      </c>
      <c r="K550" t="n">
        <v>0</v>
      </c>
      <c r="L550" t="n">
        <v>0</v>
      </c>
      <c r="M550" t="n">
        <v>0</v>
      </c>
      <c r="N550" t="n">
        <v>0</v>
      </c>
      <c r="O550" t="n">
        <v>0</v>
      </c>
      <c r="P550" t="n">
        <v>0</v>
      </c>
      <c r="Q550" t="n">
        <v>0</v>
      </c>
      <c r="R550" t="n">
        <v>0</v>
      </c>
      <c r="S550" t="n">
        <v>0</v>
      </c>
      <c r="T550" t="n">
        <v>0</v>
      </c>
      <c r="U550" s="2" t="inlineStr"/>
    </row>
    <row r="551" ht="15" customHeight="1">
      <c r="A551" t="inlineStr">
        <is>
          <t>A 61805-2021</t>
        </is>
      </c>
      <c r="B551" t="inlineStr">
        <is>
          <t>avverkningsanmälan</t>
        </is>
      </c>
      <c r="C551" t="inlineStr">
        <is>
          <t>Föryngringsavverkning</t>
        </is>
      </c>
      <c r="D551" s="1" t="n">
        <v>44501</v>
      </c>
      <c r="E551" s="1" t="n">
        <v>46222</v>
      </c>
      <c r="F551" t="inlineStr">
        <is>
          <t>UPPSALA LÄN</t>
        </is>
      </c>
      <c r="G551" t="inlineStr">
        <is>
          <t>UPPSALA</t>
        </is>
      </c>
      <c r="H551" t="inlineStr">
        <is>
          <t>Bergvik skog öst AB</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17211-2025</t>
        </is>
      </c>
      <c r="B552" t="inlineStr">
        <is>
          <t>avverkningsanmälan</t>
        </is>
      </c>
      <c r="C552" t="inlineStr">
        <is>
          <t>Föryngringsavverkning</t>
        </is>
      </c>
      <c r="D552" s="1" t="n">
        <v>45756</v>
      </c>
      <c r="E552" s="1" t="n">
        <v>46222</v>
      </c>
      <c r="F552" t="inlineStr">
        <is>
          <t>UPPSALA LÄN</t>
        </is>
      </c>
      <c r="G552" t="inlineStr">
        <is>
          <t>UPPSALA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918-2026</t>
        </is>
      </c>
      <c r="B553" t="inlineStr">
        <is>
          <t>avverkningsanmälan</t>
        </is>
      </c>
      <c r="C553" t="inlineStr">
        <is>
          <t>Föryngringsavverkning</t>
        </is>
      </c>
      <c r="D553" s="1" t="n">
        <v>46030</v>
      </c>
      <c r="E553" s="1" t="n">
        <v>46222</v>
      </c>
      <c r="F553" t="inlineStr">
        <is>
          <t>UPPSALA LÄN</t>
        </is>
      </c>
      <c r="G553" t="inlineStr">
        <is>
          <t>UPPSALA</t>
        </is>
      </c>
      <c r="H553" t="inlineStr">
        <is>
          <t>Övriga statliga verk och myndigheter</t>
        </is>
      </c>
      <c r="I553" t="n">
        <v>15.1</v>
      </c>
      <c r="J553" t="n">
        <v>0</v>
      </c>
      <c r="K553" t="n">
        <v>0</v>
      </c>
      <c r="L553" t="n">
        <v>0</v>
      </c>
      <c r="M553" t="n">
        <v>0</v>
      </c>
      <c r="N553" t="n">
        <v>0</v>
      </c>
      <c r="O553" t="n">
        <v>0</v>
      </c>
      <c r="P553" t="n">
        <v>0</v>
      </c>
      <c r="Q553" t="n">
        <v>0</v>
      </c>
      <c r="R553" t="n">
        <v>0</v>
      </c>
      <c r="S553" t="n">
        <v>0</v>
      </c>
      <c r="T553" t="n">
        <v>0</v>
      </c>
      <c r="U553" s="2" t="inlineStr"/>
    </row>
    <row r="554" ht="15" customHeight="1">
      <c r="A554" t="inlineStr">
        <is>
          <t>A 73326-2021</t>
        </is>
      </c>
      <c r="B554" t="inlineStr">
        <is>
          <t>avverkningsanmälan</t>
        </is>
      </c>
      <c r="C554" t="inlineStr">
        <is>
          <t>Föryngringsavverkning</t>
        </is>
      </c>
      <c r="D554" s="1" t="n">
        <v>44548</v>
      </c>
      <c r="E554" s="1" t="n">
        <v>46222</v>
      </c>
      <c r="F554" t="inlineStr">
        <is>
          <t>UPPSALA LÄN</t>
        </is>
      </c>
      <c r="G554" t="inlineStr">
        <is>
          <t>UPPSALA</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73044-2021</t>
        </is>
      </c>
      <c r="B555" t="inlineStr">
        <is>
          <t>avverkningsanmälan</t>
        </is>
      </c>
      <c r="C555" t="inlineStr">
        <is>
          <t>Föryngringsavverkning</t>
        </is>
      </c>
      <c r="D555" s="1" t="n">
        <v>44550</v>
      </c>
      <c r="E555" s="1" t="n">
        <v>46222</v>
      </c>
      <c r="F555" t="inlineStr">
        <is>
          <t>UPPSALA LÄN</t>
        </is>
      </c>
      <c r="G555" t="inlineStr">
        <is>
          <t>UPPSALA</t>
        </is>
      </c>
      <c r="H555" t="inlineStr">
        <is>
          <t>Sveaskog</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968-2026</t>
        </is>
      </c>
      <c r="B556" t="inlineStr">
        <is>
          <t>avverkningsanmälan</t>
        </is>
      </c>
      <c r="C556" t="inlineStr">
        <is>
          <t>Föryngringsavverkning</t>
        </is>
      </c>
      <c r="D556" s="1" t="n">
        <v>46030</v>
      </c>
      <c r="E556" s="1" t="n">
        <v>46222</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482-2026</t>
        </is>
      </c>
      <c r="B557" t="inlineStr">
        <is>
          <t>avverkningsanmälan</t>
        </is>
      </c>
      <c r="C557" t="inlineStr">
        <is>
          <t>Föryngringsavverkning</t>
        </is>
      </c>
      <c r="D557" s="1" t="n">
        <v>46029</v>
      </c>
      <c r="E557" s="1" t="n">
        <v>46222</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s="2" t="inlineStr"/>
    </row>
    <row r="558" ht="15" customHeight="1">
      <c r="A558" t="inlineStr">
        <is>
          <t>A 9313-2023</t>
        </is>
      </c>
      <c r="B558" t="inlineStr">
        <is>
          <t>avverkningsanmälan</t>
        </is>
      </c>
      <c r="C558" t="inlineStr">
        <is>
          <t>Föryngringsavverkning</t>
        </is>
      </c>
      <c r="D558" s="1" t="n">
        <v>44980</v>
      </c>
      <c r="E558" s="1" t="n">
        <v>46222</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59521-2023</t>
        </is>
      </c>
      <c r="B559" t="inlineStr">
        <is>
          <t>avverkningsanmälan</t>
        </is>
      </c>
      <c r="C559" t="inlineStr">
        <is>
          <t>Föryngringsavverkning</t>
        </is>
      </c>
      <c r="D559" s="1" t="n">
        <v>45254</v>
      </c>
      <c r="E559" s="1" t="n">
        <v>46222</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1390-2026</t>
        </is>
      </c>
      <c r="B560" t="inlineStr">
        <is>
          <t>avverkningsanmälan</t>
        </is>
      </c>
      <c r="C560" t="inlineStr">
        <is>
          <t>Föryngringsavverkning</t>
        </is>
      </c>
      <c r="D560" s="1" t="n">
        <v>46031</v>
      </c>
      <c r="E560" s="1" t="n">
        <v>46222</v>
      </c>
      <c r="F560" t="inlineStr">
        <is>
          <t>UPPSALA LÄN</t>
        </is>
      </c>
      <c r="G560" t="inlineStr">
        <is>
          <t>UPPSALA</t>
        </is>
      </c>
      <c r="I560" t="n">
        <v>7.9</v>
      </c>
      <c r="J560" t="n">
        <v>0</v>
      </c>
      <c r="K560" t="n">
        <v>0</v>
      </c>
      <c r="L560" t="n">
        <v>0</v>
      </c>
      <c r="M560" t="n">
        <v>0</v>
      </c>
      <c r="N560" t="n">
        <v>0</v>
      </c>
      <c r="O560" t="n">
        <v>0</v>
      </c>
      <c r="P560" t="n">
        <v>0</v>
      </c>
      <c r="Q560" t="n">
        <v>0</v>
      </c>
      <c r="R560" t="n">
        <v>0</v>
      </c>
      <c r="S560" t="n">
        <v>0</v>
      </c>
      <c r="T560" t="n">
        <v>0</v>
      </c>
      <c r="U560" s="2" t="inlineStr"/>
    </row>
    <row r="561" ht="15" customHeight="1">
      <c r="A561" t="inlineStr">
        <is>
          <t>A 53615-2024</t>
        </is>
      </c>
      <c r="B561" t="inlineStr">
        <is>
          <t>avverkningsanmälan</t>
        </is>
      </c>
      <c r="C561" t="inlineStr">
        <is>
          <t>Föryngringsavverkning</t>
        </is>
      </c>
      <c r="D561" s="1" t="n">
        <v>45611</v>
      </c>
      <c r="E561" s="1" t="n">
        <v>46222</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15935-2026</t>
        </is>
      </c>
      <c r="B562" t="inlineStr">
        <is>
          <t>avverkningsanmälan</t>
        </is>
      </c>
      <c r="C562" t="inlineStr">
        <is>
          <t>Föryngringsavverkning</t>
        </is>
      </c>
      <c r="D562" s="1" t="n">
        <v>46107</v>
      </c>
      <c r="E562" s="1" t="n">
        <v>46222</v>
      </c>
      <c r="F562" t="inlineStr">
        <is>
          <t>UPPSALA LÄN</t>
        </is>
      </c>
      <c r="G562" t="inlineStr">
        <is>
          <t>UPPSALA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15940-2026</t>
        </is>
      </c>
      <c r="B563" t="inlineStr">
        <is>
          <t>avverkningsanmälan</t>
        </is>
      </c>
      <c r="C563" t="inlineStr">
        <is>
          <t>Föryngringsavverkning</t>
        </is>
      </c>
      <c r="D563" s="1" t="n">
        <v>46107</v>
      </c>
      <c r="E563" s="1" t="n">
        <v>46222</v>
      </c>
      <c r="F563" t="inlineStr">
        <is>
          <t>UPPSALA LÄN</t>
        </is>
      </c>
      <c r="G563" t="inlineStr">
        <is>
          <t>UPPSALA</t>
        </is>
      </c>
      <c r="I563" t="n">
        <v>19.9</v>
      </c>
      <c r="J563" t="n">
        <v>0</v>
      </c>
      <c r="K563" t="n">
        <v>0</v>
      </c>
      <c r="L563" t="n">
        <v>0</v>
      </c>
      <c r="M563" t="n">
        <v>0</v>
      </c>
      <c r="N563" t="n">
        <v>0</v>
      </c>
      <c r="O563" t="n">
        <v>0</v>
      </c>
      <c r="P563" t="n">
        <v>0</v>
      </c>
      <c r="Q563" t="n">
        <v>0</v>
      </c>
      <c r="R563" t="n">
        <v>0</v>
      </c>
      <c r="S563" t="n">
        <v>0</v>
      </c>
      <c r="T563" t="n">
        <v>0</v>
      </c>
      <c r="U563" s="2" t="inlineStr"/>
    </row>
    <row r="564" ht="15" customHeight="1">
      <c r="A564" t="inlineStr">
        <is>
          <t>A 7226-2024</t>
        </is>
      </c>
      <c r="B564" t="inlineStr">
        <is>
          <t>avverkningsanmälan</t>
        </is>
      </c>
      <c r="C564" t="inlineStr">
        <is>
          <t>Föryngringsavverkning</t>
        </is>
      </c>
      <c r="D564" s="1" t="n">
        <v>45344</v>
      </c>
      <c r="E564" s="1" t="n">
        <v>46222</v>
      </c>
      <c r="F564" t="inlineStr">
        <is>
          <t>UPPSALA LÄN</t>
        </is>
      </c>
      <c r="G564" t="inlineStr">
        <is>
          <t>UPPSALA</t>
        </is>
      </c>
      <c r="H564" t="inlineStr">
        <is>
          <t>Kyrkan</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29901-2023</t>
        </is>
      </c>
      <c r="B565" t="inlineStr">
        <is>
          <t>avverkningsanmälan</t>
        </is>
      </c>
      <c r="C565" t="inlineStr">
        <is>
          <t>Föryngringsavverkning</t>
        </is>
      </c>
      <c r="D565" s="1" t="n">
        <v>45107</v>
      </c>
      <c r="E565" s="1" t="n">
        <v>46222</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29926-2023</t>
        </is>
      </c>
      <c r="B566" t="inlineStr">
        <is>
          <t>avverkningsanmälan</t>
        </is>
      </c>
      <c r="C566" t="inlineStr">
        <is>
          <t>Föryngringsavverkning</t>
        </is>
      </c>
      <c r="D566" s="1" t="n">
        <v>45107</v>
      </c>
      <c r="E566" s="1" t="n">
        <v>46222</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29927-2023</t>
        </is>
      </c>
      <c r="B567" t="inlineStr">
        <is>
          <t>avverkningsanmälan</t>
        </is>
      </c>
      <c r="C567" t="inlineStr">
        <is>
          <t>Föryngringsavverkning</t>
        </is>
      </c>
      <c r="D567" s="1" t="n">
        <v>45107</v>
      </c>
      <c r="E567" s="1" t="n">
        <v>46222</v>
      </c>
      <c r="F567" t="inlineStr">
        <is>
          <t>UPPSALA LÄN</t>
        </is>
      </c>
      <c r="G567" t="inlineStr">
        <is>
          <t>UPPSALA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7253-2024</t>
        </is>
      </c>
      <c r="B568" t="inlineStr">
        <is>
          <t>avverkningsanmälan</t>
        </is>
      </c>
      <c r="C568" t="inlineStr">
        <is>
          <t>Föryngringsavverkning</t>
        </is>
      </c>
      <c r="D568" s="1" t="n">
        <v>45344</v>
      </c>
      <c r="E568" s="1" t="n">
        <v>46222</v>
      </c>
      <c r="F568" t="inlineStr">
        <is>
          <t>UPPSALA LÄN</t>
        </is>
      </c>
      <c r="G568" t="inlineStr">
        <is>
          <t>UPPSALA</t>
        </is>
      </c>
      <c r="H568" t="inlineStr">
        <is>
          <t>Kyrkan</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39148-2022</t>
        </is>
      </c>
      <c r="B569" t="inlineStr">
        <is>
          <t>avverkningsanmälan</t>
        </is>
      </c>
      <c r="C569" t="inlineStr">
        <is>
          <t>Föryngringsavverkning</t>
        </is>
      </c>
      <c r="D569" s="1" t="n">
        <v>44816</v>
      </c>
      <c r="E569" s="1" t="n">
        <v>46222</v>
      </c>
      <c r="F569" t="inlineStr">
        <is>
          <t>UPPSALA LÄN</t>
        </is>
      </c>
      <c r="G569" t="inlineStr">
        <is>
          <t>UPPSALA</t>
        </is>
      </c>
      <c r="H569" t="inlineStr">
        <is>
          <t>Övriga statliga verk och myndigheter</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15753-2026</t>
        </is>
      </c>
      <c r="B570" t="inlineStr">
        <is>
          <t>avverkningsanmälan</t>
        </is>
      </c>
      <c r="C570" t="inlineStr">
        <is>
          <t>Föryngringsavverkning</t>
        </is>
      </c>
      <c r="D570" s="1" t="n">
        <v>46107</v>
      </c>
      <c r="E570" s="1" t="n">
        <v>46222</v>
      </c>
      <c r="F570" t="inlineStr">
        <is>
          <t>UPPSALA LÄN</t>
        </is>
      </c>
      <c r="G570" t="inlineStr">
        <is>
          <t>UPPSALA</t>
        </is>
      </c>
      <c r="H570" t="inlineStr">
        <is>
          <t>Allmännings- och besparingsskogar</t>
        </is>
      </c>
      <c r="I570" t="n">
        <v>2.7</v>
      </c>
      <c r="J570" t="n">
        <v>0</v>
      </c>
      <c r="K570" t="n">
        <v>0</v>
      </c>
      <c r="L570" t="n">
        <v>0</v>
      </c>
      <c r="M570" t="n">
        <v>0</v>
      </c>
      <c r="N570" t="n">
        <v>0</v>
      </c>
      <c r="O570" t="n">
        <v>0</v>
      </c>
      <c r="P570" t="n">
        <v>0</v>
      </c>
      <c r="Q570" t="n">
        <v>0</v>
      </c>
      <c r="R570" t="n">
        <v>0</v>
      </c>
      <c r="S570" t="n">
        <v>0</v>
      </c>
      <c r="T570" t="n">
        <v>0</v>
      </c>
      <c r="U570" s="2" t="inlineStr"/>
      <c r="X570">
        <f>HYPERLINK("https://klasma.github.io/Logging_0380/knärot/A 15753-2026 karta knärot.png", "A 15753-2026")</f>
        <v/>
      </c>
      <c r="Y570">
        <f>HYPERLINK("https://klasma.github.io/Logging_0380/klagomål/A 15753-2026 FSC-klagomål.docx", "A 15753-2026")</f>
        <v/>
      </c>
      <c r="Z570">
        <f>HYPERLINK("https://klasma.github.io/Logging_0380/klagomålsmail/A 15753-2026 FSC-klagomål mail.docx", "A 15753-2026")</f>
        <v/>
      </c>
      <c r="AA570">
        <f>HYPERLINK("https://klasma.github.io/Logging_0380/tillsyn/A 15753-2026 tillsynsbegäran.docx", "A 15753-2026")</f>
        <v/>
      </c>
      <c r="AB570">
        <f>HYPERLINK("https://klasma.github.io/Logging_0380/tillsynsmail/A 15753-2026 tillsynsbegäran mail.docx", "A 15753-2026")</f>
        <v/>
      </c>
    </row>
    <row r="571" ht="15" customHeight="1">
      <c r="A571" t="inlineStr">
        <is>
          <t>A 34509-2023</t>
        </is>
      </c>
      <c r="B571" t="inlineStr">
        <is>
          <t>avverkningsanmälan</t>
        </is>
      </c>
      <c r="C571" t="inlineStr">
        <is>
          <t>Avverkning för annat ändamål</t>
        </is>
      </c>
      <c r="D571" s="1" t="n">
        <v>45133</v>
      </c>
      <c r="E571" s="1" t="n">
        <v>46222</v>
      </c>
      <c r="F571" t="inlineStr">
        <is>
          <t>UPPSALA LÄN</t>
        </is>
      </c>
      <c r="G571" t="inlineStr">
        <is>
          <t>UPPSALA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27119-2023</t>
        </is>
      </c>
      <c r="B572" t="inlineStr">
        <is>
          <t>avverkningsanmälan</t>
        </is>
      </c>
      <c r="C572" t="inlineStr">
        <is>
          <t>Föryngringsavverkning</t>
        </is>
      </c>
      <c r="D572" s="1" t="n">
        <v>45096</v>
      </c>
      <c r="E572" s="1" t="n">
        <v>46222</v>
      </c>
      <c r="F572" t="inlineStr">
        <is>
          <t>UPPSALA LÄN</t>
        </is>
      </c>
      <c r="G572" t="inlineStr">
        <is>
          <t>UPPSALA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27903-2023</t>
        </is>
      </c>
      <c r="B573" t="inlineStr">
        <is>
          <t>avverkningsanmälan</t>
        </is>
      </c>
      <c r="C573" t="inlineStr">
        <is>
          <t>Föryngringsavverkning</t>
        </is>
      </c>
      <c r="D573" s="1" t="n">
        <v>45098</v>
      </c>
      <c r="E573" s="1" t="n">
        <v>46222</v>
      </c>
      <c r="F573" t="inlineStr">
        <is>
          <t>UPPSALA LÄN</t>
        </is>
      </c>
      <c r="G573" t="inlineStr">
        <is>
          <t>UPPSALA</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72224-2021</t>
        </is>
      </c>
      <c r="B574" t="inlineStr">
        <is>
          <t>avverkningsanmälan</t>
        </is>
      </c>
      <c r="C574" t="inlineStr">
        <is>
          <t>Föryngringsavverkning</t>
        </is>
      </c>
      <c r="D574" s="1" t="n">
        <v>44544</v>
      </c>
      <c r="E574" s="1" t="n">
        <v>46222</v>
      </c>
      <c r="F574" t="inlineStr">
        <is>
          <t>UPPSALA LÄN</t>
        </is>
      </c>
      <c r="G574" t="inlineStr">
        <is>
          <t>UPPSALA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66686-2021</t>
        </is>
      </c>
      <c r="B575" t="inlineStr">
        <is>
          <t>avverkningsanmälan</t>
        </is>
      </c>
      <c r="C575" t="inlineStr">
        <is>
          <t>Föryngringsavverkning</t>
        </is>
      </c>
      <c r="D575" s="1" t="n">
        <v>44519</v>
      </c>
      <c r="E575" s="1" t="n">
        <v>46222</v>
      </c>
      <c r="F575" t="inlineStr">
        <is>
          <t>UPPSALA LÄN</t>
        </is>
      </c>
      <c r="G575" t="inlineStr">
        <is>
          <t>UPPSALA</t>
        </is>
      </c>
      <c r="I575" t="n">
        <v>6.4</v>
      </c>
      <c r="J575" t="n">
        <v>0</v>
      </c>
      <c r="K575" t="n">
        <v>0</v>
      </c>
      <c r="L575" t="n">
        <v>0</v>
      </c>
      <c r="M575" t="n">
        <v>0</v>
      </c>
      <c r="N575" t="n">
        <v>0</v>
      </c>
      <c r="O575" t="n">
        <v>0</v>
      </c>
      <c r="P575" t="n">
        <v>0</v>
      </c>
      <c r="Q575" t="n">
        <v>0</v>
      </c>
      <c r="R575" t="n">
        <v>0</v>
      </c>
      <c r="S575" t="n">
        <v>0</v>
      </c>
      <c r="T575" t="n">
        <v>0</v>
      </c>
      <c r="U575" s="2" t="inlineStr"/>
    </row>
    <row r="576" ht="15" customHeight="1">
      <c r="A576" t="inlineStr">
        <is>
          <t>A 38934-2023</t>
        </is>
      </c>
      <c r="B576" t="inlineStr">
        <is>
          <t>avverkningsanmälan</t>
        </is>
      </c>
      <c r="C576" t="inlineStr">
        <is>
          <t>Föryngringsavverkning</t>
        </is>
      </c>
      <c r="D576" s="1" t="n">
        <v>45163</v>
      </c>
      <c r="E576" s="1" t="n">
        <v>46222</v>
      </c>
      <c r="F576" t="inlineStr">
        <is>
          <t>UPPSALA LÄN</t>
        </is>
      </c>
      <c r="G576" t="inlineStr">
        <is>
          <t>UPPSALA</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27125-2023</t>
        </is>
      </c>
      <c r="B577" t="inlineStr">
        <is>
          <t>avverkningsanmälan</t>
        </is>
      </c>
      <c r="C577" t="inlineStr">
        <is>
          <t>Föryngringsavverkning</t>
        </is>
      </c>
      <c r="D577" s="1" t="n">
        <v>45096</v>
      </c>
      <c r="E577" s="1" t="n">
        <v>46222</v>
      </c>
      <c r="F577" t="inlineStr">
        <is>
          <t>UPPSALA LÄN</t>
        </is>
      </c>
      <c r="G577" t="inlineStr">
        <is>
          <t>UPPSALA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16396-2026</t>
        </is>
      </c>
      <c r="B578" t="inlineStr">
        <is>
          <t>avverkningsanmälan</t>
        </is>
      </c>
      <c r="C578" t="inlineStr">
        <is>
          <t>Föryngringsavverkning</t>
        </is>
      </c>
      <c r="D578" s="1" t="n">
        <v>46111</v>
      </c>
      <c r="E578" s="1" t="n">
        <v>46222</v>
      </c>
      <c r="F578" t="inlineStr">
        <is>
          <t>UPPSALA LÄN</t>
        </is>
      </c>
      <c r="G578" t="inlineStr">
        <is>
          <t>UPPSALA</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16403-2026</t>
        </is>
      </c>
      <c r="B579" t="inlineStr">
        <is>
          <t>avverkningsanmälan</t>
        </is>
      </c>
      <c r="C579" t="inlineStr">
        <is>
          <t>Föryngringsavverkning</t>
        </is>
      </c>
      <c r="D579" s="1" t="n">
        <v>46111</v>
      </c>
      <c r="E579" s="1" t="n">
        <v>46222</v>
      </c>
      <c r="F579" t="inlineStr">
        <is>
          <t>UPPSALA LÄN</t>
        </is>
      </c>
      <c r="G579" t="inlineStr">
        <is>
          <t>UPPSALA</t>
        </is>
      </c>
      <c r="I579" t="n">
        <v>4.5</v>
      </c>
      <c r="J579" t="n">
        <v>0</v>
      </c>
      <c r="K579" t="n">
        <v>0</v>
      </c>
      <c r="L579" t="n">
        <v>0</v>
      </c>
      <c r="M579" t="n">
        <v>0</v>
      </c>
      <c r="N579" t="n">
        <v>0</v>
      </c>
      <c r="O579" t="n">
        <v>0</v>
      </c>
      <c r="P579" t="n">
        <v>0</v>
      </c>
      <c r="Q579" t="n">
        <v>0</v>
      </c>
      <c r="R579" t="n">
        <v>0</v>
      </c>
      <c r="S579" t="n">
        <v>0</v>
      </c>
      <c r="T579" t="n">
        <v>0</v>
      </c>
      <c r="U579" s="2" t="inlineStr"/>
    </row>
    <row r="580" ht="15" customHeight="1">
      <c r="A580" t="inlineStr">
        <is>
          <t>A 16390-2026</t>
        </is>
      </c>
      <c r="B580" t="inlineStr">
        <is>
          <t>avverkningsanmälan</t>
        </is>
      </c>
      <c r="C580" t="inlineStr">
        <is>
          <t>Föryngringsavverkning</t>
        </is>
      </c>
      <c r="D580" s="1" t="n">
        <v>46111</v>
      </c>
      <c r="E580" s="1" t="n">
        <v>46222</v>
      </c>
      <c r="F580" t="inlineStr">
        <is>
          <t>UPPSALA LÄN</t>
        </is>
      </c>
      <c r="G580" t="inlineStr">
        <is>
          <t>UPPSALA</t>
        </is>
      </c>
      <c r="I580" t="n">
        <v>4.5</v>
      </c>
      <c r="J580" t="n">
        <v>0</v>
      </c>
      <c r="K580" t="n">
        <v>0</v>
      </c>
      <c r="L580" t="n">
        <v>0</v>
      </c>
      <c r="M580" t="n">
        <v>0</v>
      </c>
      <c r="N580" t="n">
        <v>0</v>
      </c>
      <c r="O580" t="n">
        <v>0</v>
      </c>
      <c r="P580" t="n">
        <v>0</v>
      </c>
      <c r="Q580" t="n">
        <v>0</v>
      </c>
      <c r="R580" t="n">
        <v>0</v>
      </c>
      <c r="S580" t="n">
        <v>0</v>
      </c>
      <c r="T580" t="n">
        <v>0</v>
      </c>
      <c r="U580" s="2" t="inlineStr"/>
    </row>
    <row r="581" ht="15" customHeight="1">
      <c r="A581" t="inlineStr">
        <is>
          <t>A 16139-2026</t>
        </is>
      </c>
      <c r="B581" t="inlineStr">
        <is>
          <t>avverkningsanmälan</t>
        </is>
      </c>
      <c r="C581" t="inlineStr">
        <is>
          <t>Föryngringsavverkning</t>
        </is>
      </c>
      <c r="D581" s="1" t="n">
        <v>46108</v>
      </c>
      <c r="E581" s="1" t="n">
        <v>46222</v>
      </c>
      <c r="F581" t="inlineStr">
        <is>
          <t>UPPSALA LÄN</t>
        </is>
      </c>
      <c r="G581" t="inlineStr">
        <is>
          <t>UPPSALA</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17131-2026</t>
        </is>
      </c>
      <c r="B582" t="inlineStr">
        <is>
          <t>avverkningsanmälan</t>
        </is>
      </c>
      <c r="C582" t="inlineStr">
        <is>
          <t>Föryngringsavverkning</t>
        </is>
      </c>
      <c r="D582" s="1" t="n">
        <v>46114</v>
      </c>
      <c r="E582" s="1" t="n">
        <v>46222</v>
      </c>
      <c r="F582" t="inlineStr">
        <is>
          <t>UPPSALA LÄN</t>
        </is>
      </c>
      <c r="G582" t="inlineStr">
        <is>
          <t>UPPSALA</t>
        </is>
      </c>
      <c r="H582" t="inlineStr">
        <is>
          <t>Bergvik skog öst AB</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17217-2026</t>
        </is>
      </c>
      <c r="B583" t="inlineStr">
        <is>
          <t>avverkningsanmälan</t>
        </is>
      </c>
      <c r="C583" t="inlineStr">
        <is>
          <t>Föryngringsavverkning</t>
        </is>
      </c>
      <c r="D583" s="1" t="n">
        <v>46119</v>
      </c>
      <c r="E583" s="1" t="n">
        <v>46222</v>
      </c>
      <c r="F583" t="inlineStr">
        <is>
          <t>UPPSALA LÄN</t>
        </is>
      </c>
      <c r="G583" t="inlineStr">
        <is>
          <t>UPPSALA</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6989-2022</t>
        </is>
      </c>
      <c r="B584" t="inlineStr">
        <is>
          <t>avverkningsanmälan</t>
        </is>
      </c>
      <c r="C584" t="inlineStr">
        <is>
          <t>Föryngringsavverkning</t>
        </is>
      </c>
      <c r="D584" s="1" t="n">
        <v>44603</v>
      </c>
      <c r="E584" s="1" t="n">
        <v>46222</v>
      </c>
      <c r="F584" t="inlineStr">
        <is>
          <t>UPPSALA LÄN</t>
        </is>
      </c>
      <c r="G584" t="inlineStr">
        <is>
          <t>UPPSALA</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38190-2023</t>
        </is>
      </c>
      <c r="B585" t="inlineStr">
        <is>
          <t>avverkningsanmälan</t>
        </is>
      </c>
      <c r="C585" t="inlineStr">
        <is>
          <t>Avverkning för annat ändamål</t>
        </is>
      </c>
      <c r="D585" s="1" t="n">
        <v>45161</v>
      </c>
      <c r="E585" s="1" t="n">
        <v>46222</v>
      </c>
      <c r="F585" t="inlineStr">
        <is>
          <t>UPPSALA LÄN</t>
        </is>
      </c>
      <c r="G585" t="inlineStr">
        <is>
          <t>UPPSALA</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17218-2026</t>
        </is>
      </c>
      <c r="B586" t="inlineStr">
        <is>
          <t>avverkningsanmälan</t>
        </is>
      </c>
      <c r="C586" t="inlineStr">
        <is>
          <t>Föryngringsavverkning</t>
        </is>
      </c>
      <c r="D586" s="1" t="n">
        <v>46119</v>
      </c>
      <c r="E586" s="1" t="n">
        <v>46222</v>
      </c>
      <c r="F586" t="inlineStr">
        <is>
          <t>UPPSALA LÄN</t>
        </is>
      </c>
      <c r="G586" t="inlineStr">
        <is>
          <t>UPPSALA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34147-2024</t>
        </is>
      </c>
      <c r="B587" t="inlineStr">
        <is>
          <t>avverkningsanmälan</t>
        </is>
      </c>
      <c r="C587" t="inlineStr">
        <is>
          <t>Föryngringsavverkning</t>
        </is>
      </c>
      <c r="D587" s="1" t="n">
        <v>45524</v>
      </c>
      <c r="E587" s="1" t="n">
        <v>46222</v>
      </c>
      <c r="F587" t="inlineStr">
        <is>
          <t>UPPSALA LÄN</t>
        </is>
      </c>
      <c r="G587" t="inlineStr">
        <is>
          <t>UPPSALA</t>
        </is>
      </c>
      <c r="H587" t="inlineStr">
        <is>
          <t>Allmännings- och besparingsskogar</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11224-2022</t>
        </is>
      </c>
      <c r="B588" t="inlineStr">
        <is>
          <t>avverkningsanmälan</t>
        </is>
      </c>
      <c r="C588" t="inlineStr">
        <is>
          <t>Föryngringsavverkning</t>
        </is>
      </c>
      <c r="D588" s="1" t="n">
        <v>44629</v>
      </c>
      <c r="E588" s="1" t="n">
        <v>46222</v>
      </c>
      <c r="F588" t="inlineStr">
        <is>
          <t>UPPSALA LÄN</t>
        </is>
      </c>
      <c r="G588" t="inlineStr">
        <is>
          <t>UPPSALA</t>
        </is>
      </c>
      <c r="H588" t="inlineStr">
        <is>
          <t>Bergvik skog öst AB</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26099-2024</t>
        </is>
      </c>
      <c r="B589" t="inlineStr">
        <is>
          <t>avverkningsanmälan</t>
        </is>
      </c>
      <c r="C589" t="inlineStr">
        <is>
          <t>Föryngringsavverkning</t>
        </is>
      </c>
      <c r="D589" s="1" t="n">
        <v>45468</v>
      </c>
      <c r="E589" s="1" t="n">
        <v>46222</v>
      </c>
      <c r="F589" t="inlineStr">
        <is>
          <t>UPPSALA LÄN</t>
        </is>
      </c>
      <c r="G589" t="inlineStr">
        <is>
          <t>UPPSALA</t>
        </is>
      </c>
      <c r="I589" t="n">
        <v>0.3</v>
      </c>
      <c r="J589" t="n">
        <v>0</v>
      </c>
      <c r="K589" t="n">
        <v>0</v>
      </c>
      <c r="L589" t="n">
        <v>0</v>
      </c>
      <c r="M589" t="n">
        <v>0</v>
      </c>
      <c r="N589" t="n">
        <v>0</v>
      </c>
      <c r="O589" t="n">
        <v>0</v>
      </c>
      <c r="P589" t="n">
        <v>0</v>
      </c>
      <c r="Q589" t="n">
        <v>0</v>
      </c>
      <c r="R589" t="n">
        <v>0</v>
      </c>
      <c r="S589" t="n">
        <v>0</v>
      </c>
      <c r="T589" t="n">
        <v>0</v>
      </c>
      <c r="U589" s="2" t="inlineStr"/>
    </row>
    <row r="590" ht="15" customHeight="1">
      <c r="A590" t="inlineStr">
        <is>
          <t>A 17788-2023</t>
        </is>
      </c>
      <c r="B590" t="inlineStr">
        <is>
          <t>avverkningsanmälan</t>
        </is>
      </c>
      <c r="C590" t="inlineStr">
        <is>
          <t>Föryngringsavverkning</t>
        </is>
      </c>
      <c r="D590" s="1" t="n">
        <v>45037</v>
      </c>
      <c r="E590" s="1" t="n">
        <v>46222</v>
      </c>
      <c r="F590" t="inlineStr">
        <is>
          <t>UPPSALA LÄN</t>
        </is>
      </c>
      <c r="G590" t="inlineStr">
        <is>
          <t>UPPSALA</t>
        </is>
      </c>
      <c r="H590" t="inlineStr">
        <is>
          <t>Övriga Aktiebolag</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33941-2023</t>
        </is>
      </c>
      <c r="B591" t="inlineStr">
        <is>
          <t>avverkningsanmälan</t>
        </is>
      </c>
      <c r="C591" t="inlineStr">
        <is>
          <t>Föryngringsavverkning</t>
        </is>
      </c>
      <c r="D591" s="1" t="n">
        <v>45134</v>
      </c>
      <c r="E591" s="1" t="n">
        <v>46222</v>
      </c>
      <c r="F591" t="inlineStr">
        <is>
          <t>UPPSALA LÄN</t>
        </is>
      </c>
      <c r="G591" t="inlineStr">
        <is>
          <t>UPPSALA</t>
        </is>
      </c>
      <c r="H591" t="inlineStr">
        <is>
          <t>Holmen skog AB</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17899-2026</t>
        </is>
      </c>
      <c r="B592" t="inlineStr">
        <is>
          <t>avverkningsanmälan</t>
        </is>
      </c>
      <c r="C592" t="inlineStr">
        <is>
          <t>Föryngringsavverkning</t>
        </is>
      </c>
      <c r="D592" s="1" t="n">
        <v>46122</v>
      </c>
      <c r="E592" s="1" t="n">
        <v>46222</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70031-2021</t>
        </is>
      </c>
      <c r="B593" t="inlineStr">
        <is>
          <t>avverkningsanmälan</t>
        </is>
      </c>
      <c r="C593" t="inlineStr">
        <is>
          <t>Föryngringsavverkning</t>
        </is>
      </c>
      <c r="D593" s="1" t="n">
        <v>44533</v>
      </c>
      <c r="E593" s="1" t="n">
        <v>46222</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17898-2026</t>
        </is>
      </c>
      <c r="B594" t="inlineStr">
        <is>
          <t>avverkningsanmälan</t>
        </is>
      </c>
      <c r="C594" t="inlineStr">
        <is>
          <t>Avverkning för att bevara och utveckla /försöksver</t>
        </is>
      </c>
      <c r="D594" s="1" t="n">
        <v>46122</v>
      </c>
      <c r="E594" s="1" t="n">
        <v>46222</v>
      </c>
      <c r="F594" t="inlineStr">
        <is>
          <t>UPPSALA LÄN</t>
        </is>
      </c>
      <c r="G594" t="inlineStr">
        <is>
          <t>UPPSALA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70228-2021</t>
        </is>
      </c>
      <c r="B595" t="inlineStr">
        <is>
          <t>avverkningsanmälan</t>
        </is>
      </c>
      <c r="C595" t="inlineStr">
        <is>
          <t>Föryngringsavverkning</t>
        </is>
      </c>
      <c r="D595" s="1" t="n">
        <v>44535</v>
      </c>
      <c r="E595" s="1" t="n">
        <v>46222</v>
      </c>
      <c r="F595" t="inlineStr">
        <is>
          <t>UPPSALA LÄN</t>
        </is>
      </c>
      <c r="G595" t="inlineStr">
        <is>
          <t>UPPSALA</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12221-2022</t>
        </is>
      </c>
      <c r="B596" t="inlineStr">
        <is>
          <t>avverkningsanmälan</t>
        </is>
      </c>
      <c r="C596" t="inlineStr">
        <is>
          <t>Föryngringsavverkning</t>
        </is>
      </c>
      <c r="D596" s="1" t="n">
        <v>44637</v>
      </c>
      <c r="E596" s="1" t="n">
        <v>46222</v>
      </c>
      <c r="F596" t="inlineStr">
        <is>
          <t>UPPSALA LÄN</t>
        </is>
      </c>
      <c r="G596" t="inlineStr">
        <is>
          <t>UPPSALA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38493-2023</t>
        </is>
      </c>
      <c r="B597" t="inlineStr">
        <is>
          <t>avverkningsanmälan</t>
        </is>
      </c>
      <c r="C597" t="inlineStr">
        <is>
          <t>Föryngringsavverkning</t>
        </is>
      </c>
      <c r="D597" s="1" t="n">
        <v>45162</v>
      </c>
      <c r="E597" s="1" t="n">
        <v>46222</v>
      </c>
      <c r="F597" t="inlineStr">
        <is>
          <t>UPPSALA LÄN</t>
        </is>
      </c>
      <c r="G597" t="inlineStr">
        <is>
          <t>UPPSALA</t>
        </is>
      </c>
      <c r="H597" t="inlineStr">
        <is>
          <t>Allmännings- och besparingsskogar</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35142-2023</t>
        </is>
      </c>
      <c r="B598" t="inlineStr">
        <is>
          <t>avverkningsanmälan</t>
        </is>
      </c>
      <c r="C598" t="inlineStr">
        <is>
          <t>Avverkning för annat ändamål</t>
        </is>
      </c>
      <c r="D598" s="1" t="n">
        <v>45145</v>
      </c>
      <c r="E598" s="1" t="n">
        <v>46222</v>
      </c>
      <c r="F598" t="inlineStr">
        <is>
          <t>UPPSALA LÄN</t>
        </is>
      </c>
      <c r="G598" t="inlineStr">
        <is>
          <t>UPPSALA</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47083-2023</t>
        </is>
      </c>
      <c r="B599" t="inlineStr">
        <is>
          <t>avverkningsanmälan</t>
        </is>
      </c>
      <c r="C599" t="inlineStr">
        <is>
          <t>Föryngringsavverkning</t>
        </is>
      </c>
      <c r="D599" s="1" t="n">
        <v>45201</v>
      </c>
      <c r="E599" s="1" t="n">
        <v>46222</v>
      </c>
      <c r="F599" t="inlineStr">
        <is>
          <t>UPPSALA LÄN</t>
        </is>
      </c>
      <c r="G599" t="inlineStr">
        <is>
          <t>UPPSALA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9255-2024</t>
        </is>
      </c>
      <c r="B600" t="inlineStr">
        <is>
          <t>avverkningsanmälan</t>
        </is>
      </c>
      <c r="C600" t="inlineStr">
        <is>
          <t>Avverkning för annat ändamål</t>
        </is>
      </c>
      <c r="D600" s="1" t="n">
        <v>45358</v>
      </c>
      <c r="E600" s="1" t="n">
        <v>46222</v>
      </c>
      <c r="F600" t="inlineStr">
        <is>
          <t>UPPSALA LÄN</t>
        </is>
      </c>
      <c r="G600" t="inlineStr">
        <is>
          <t>UPPSALA</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66983-2021</t>
        </is>
      </c>
      <c r="B601" t="inlineStr">
        <is>
          <t>avverkningsanmälan</t>
        </is>
      </c>
      <c r="C601" t="inlineStr">
        <is>
          <t>Avverkning för annat ändamål</t>
        </is>
      </c>
      <c r="D601" s="1" t="n">
        <v>44522</v>
      </c>
      <c r="E601" s="1" t="n">
        <v>46222</v>
      </c>
      <c r="F601" t="inlineStr">
        <is>
          <t>UPPSALA LÄN</t>
        </is>
      </c>
      <c r="G601" t="inlineStr">
        <is>
          <t>UPPSALA</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19257-2026</t>
        </is>
      </c>
      <c r="B602" t="inlineStr">
        <is>
          <t>avverkningsanmälan</t>
        </is>
      </c>
      <c r="C602" t="inlineStr">
        <is>
          <t>Föryngringsavverkning</t>
        </is>
      </c>
      <c r="D602" s="1" t="n">
        <v>46132</v>
      </c>
      <c r="E602" s="1" t="n">
        <v>46222</v>
      </c>
      <c r="F602" t="inlineStr">
        <is>
          <t>UPPSALA LÄN</t>
        </is>
      </c>
      <c r="G602" t="inlineStr">
        <is>
          <t>UPPSALA</t>
        </is>
      </c>
      <c r="H602" t="inlineStr">
        <is>
          <t>Bergvik skog öst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9242-2022</t>
        </is>
      </c>
      <c r="B603" t="inlineStr">
        <is>
          <t>avverkningsanmälan</t>
        </is>
      </c>
      <c r="C603" t="inlineStr">
        <is>
          <t>Föryngringsavverkning</t>
        </is>
      </c>
      <c r="D603" s="1" t="n">
        <v>44616</v>
      </c>
      <c r="E603" s="1" t="n">
        <v>46222</v>
      </c>
      <c r="F603" t="inlineStr">
        <is>
          <t>UPPSALA LÄN</t>
        </is>
      </c>
      <c r="G603" t="inlineStr">
        <is>
          <t>UPPSALA</t>
        </is>
      </c>
      <c r="H603" t="inlineStr">
        <is>
          <t>Övriga Aktiebolag</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19229-2026</t>
        </is>
      </c>
      <c r="B604" t="inlineStr">
        <is>
          <t>avverkningsanmälan</t>
        </is>
      </c>
      <c r="C604" t="inlineStr">
        <is>
          <t>Föryngringsavverkning</t>
        </is>
      </c>
      <c r="D604" s="1" t="n">
        <v>46132</v>
      </c>
      <c r="E604" s="1" t="n">
        <v>46222</v>
      </c>
      <c r="F604" t="inlineStr">
        <is>
          <t>UPPSALA LÄN</t>
        </is>
      </c>
      <c r="G604" t="inlineStr">
        <is>
          <t>UPPSALA</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19342-2026</t>
        </is>
      </c>
      <c r="B605" t="inlineStr">
        <is>
          <t>avverkningsanmälan</t>
        </is>
      </c>
      <c r="C605" t="inlineStr">
        <is>
          <t>Föryngringsavverkning</t>
        </is>
      </c>
      <c r="D605" s="1" t="n">
        <v>46133</v>
      </c>
      <c r="E605" s="1" t="n">
        <v>46222</v>
      </c>
      <c r="F605" t="inlineStr">
        <is>
          <t>UPPSALA LÄN</t>
        </is>
      </c>
      <c r="G605" t="inlineStr">
        <is>
          <t>UPPSALA</t>
        </is>
      </c>
      <c r="I605" t="n">
        <v>6</v>
      </c>
      <c r="J605" t="n">
        <v>0</v>
      </c>
      <c r="K605" t="n">
        <v>0</v>
      </c>
      <c r="L605" t="n">
        <v>0</v>
      </c>
      <c r="M605" t="n">
        <v>0</v>
      </c>
      <c r="N605" t="n">
        <v>0</v>
      </c>
      <c r="O605" t="n">
        <v>0</v>
      </c>
      <c r="P605" t="n">
        <v>0</v>
      </c>
      <c r="Q605" t="n">
        <v>0</v>
      </c>
      <c r="R605" t="n">
        <v>0</v>
      </c>
      <c r="S605" t="n">
        <v>0</v>
      </c>
      <c r="T605" t="n">
        <v>0</v>
      </c>
      <c r="U605" s="2" t="inlineStr"/>
    </row>
    <row r="606" ht="15" customHeight="1">
      <c r="A606" t="inlineStr">
        <is>
          <t>A 19264-2026</t>
        </is>
      </c>
      <c r="B606" t="inlineStr">
        <is>
          <t>avverkningsanmälan</t>
        </is>
      </c>
      <c r="C606" t="inlineStr">
        <is>
          <t>Föryngringsavverkning</t>
        </is>
      </c>
      <c r="D606" s="1" t="n">
        <v>46132</v>
      </c>
      <c r="E606" s="1" t="n">
        <v>46222</v>
      </c>
      <c r="F606" t="inlineStr">
        <is>
          <t>UPPSALA LÄN</t>
        </is>
      </c>
      <c r="G606" t="inlineStr">
        <is>
          <t>UPPSALA</t>
        </is>
      </c>
      <c r="H606" t="inlineStr">
        <is>
          <t>Bergvik skog öst AB</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19263-2026</t>
        </is>
      </c>
      <c r="B607" t="inlineStr">
        <is>
          <t>avverkningsanmälan</t>
        </is>
      </c>
      <c r="C607" t="inlineStr">
        <is>
          <t>Föryngringsavverkning</t>
        </is>
      </c>
      <c r="D607" s="1" t="n">
        <v>46132</v>
      </c>
      <c r="E607" s="1" t="n">
        <v>46222</v>
      </c>
      <c r="F607" t="inlineStr">
        <is>
          <t>UPPSALA LÄN</t>
        </is>
      </c>
      <c r="G607" t="inlineStr">
        <is>
          <t>UPPSALA</t>
        </is>
      </c>
      <c r="H607" t="inlineStr">
        <is>
          <t>Bergvik skog öst AB</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42063-2023</t>
        </is>
      </c>
      <c r="B608" t="inlineStr">
        <is>
          <t>avverkningsanmälan</t>
        </is>
      </c>
      <c r="C608" t="inlineStr">
        <is>
          <t>Föryngringsavverkning</t>
        </is>
      </c>
      <c r="D608" s="1" t="n">
        <v>45177</v>
      </c>
      <c r="E608" s="1" t="n">
        <v>46222</v>
      </c>
      <c r="F608" t="inlineStr">
        <is>
          <t>UPPSALA LÄN</t>
        </is>
      </c>
      <c r="G608" t="inlineStr">
        <is>
          <t>UPPSALA</t>
        </is>
      </c>
      <c r="I608" t="n">
        <v>5.6</v>
      </c>
      <c r="J608" t="n">
        <v>0</v>
      </c>
      <c r="K608" t="n">
        <v>0</v>
      </c>
      <c r="L608" t="n">
        <v>0</v>
      </c>
      <c r="M608" t="n">
        <v>0</v>
      </c>
      <c r="N608" t="n">
        <v>0</v>
      </c>
      <c r="O608" t="n">
        <v>0</v>
      </c>
      <c r="P608" t="n">
        <v>0</v>
      </c>
      <c r="Q608" t="n">
        <v>0</v>
      </c>
      <c r="R608" t="n">
        <v>0</v>
      </c>
      <c r="S608" t="n">
        <v>0</v>
      </c>
      <c r="T608" t="n">
        <v>0</v>
      </c>
      <c r="U608" s="2" t="inlineStr"/>
    </row>
    <row r="609" ht="15" customHeight="1">
      <c r="A609" t="inlineStr">
        <is>
          <t>A 19329-2026</t>
        </is>
      </c>
      <c r="B609" t="inlineStr">
        <is>
          <t>avverkningsanmälan</t>
        </is>
      </c>
      <c r="C609" t="inlineStr">
        <is>
          <t>Föryngringsavverkning</t>
        </is>
      </c>
      <c r="D609" s="1" t="n">
        <v>46133</v>
      </c>
      <c r="E609" s="1" t="n">
        <v>46222</v>
      </c>
      <c r="F609" t="inlineStr">
        <is>
          <t>UPPSALA LÄN</t>
        </is>
      </c>
      <c r="G609" t="inlineStr">
        <is>
          <t>UPPSALA</t>
        </is>
      </c>
      <c r="H609" t="inlineStr">
        <is>
          <t>Bergvik skog öst AB</t>
        </is>
      </c>
      <c r="I609" t="n">
        <v>7.8</v>
      </c>
      <c r="J609" t="n">
        <v>0</v>
      </c>
      <c r="K609" t="n">
        <v>0</v>
      </c>
      <c r="L609" t="n">
        <v>0</v>
      </c>
      <c r="M609" t="n">
        <v>0</v>
      </c>
      <c r="N609" t="n">
        <v>0</v>
      </c>
      <c r="O609" t="n">
        <v>0</v>
      </c>
      <c r="P609" t="n">
        <v>0</v>
      </c>
      <c r="Q609" t="n">
        <v>0</v>
      </c>
      <c r="R609" t="n">
        <v>0</v>
      </c>
      <c r="S609" t="n">
        <v>0</v>
      </c>
      <c r="T609" t="n">
        <v>0</v>
      </c>
      <c r="U609" s="2" t="inlineStr"/>
    </row>
    <row r="610" ht="15" customHeight="1">
      <c r="A610" t="inlineStr">
        <is>
          <t>A 19265-2026</t>
        </is>
      </c>
      <c r="B610" t="inlineStr">
        <is>
          <t>avverkningsanmälan</t>
        </is>
      </c>
      <c r="C610" t="inlineStr">
        <is>
          <t>Föryngringsavverkning</t>
        </is>
      </c>
      <c r="D610" s="1" t="n">
        <v>46132</v>
      </c>
      <c r="E610" s="1" t="n">
        <v>46222</v>
      </c>
      <c r="F610" t="inlineStr">
        <is>
          <t>UPPSALA LÄN</t>
        </is>
      </c>
      <c r="G610" t="inlineStr">
        <is>
          <t>UPPSALA</t>
        </is>
      </c>
      <c r="H610" t="inlineStr">
        <is>
          <t>Bergvik skog öst AB</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18781-2025</t>
        </is>
      </c>
      <c r="B611" t="inlineStr">
        <is>
          <t>avverkningsanmälan</t>
        </is>
      </c>
      <c r="C611" t="inlineStr">
        <is>
          <t>Föryngringsavverkning</t>
        </is>
      </c>
      <c r="D611" s="1" t="n">
        <v>45763</v>
      </c>
      <c r="E611" s="1" t="n">
        <v>46222</v>
      </c>
      <c r="F611" t="inlineStr">
        <is>
          <t>UPPSALA LÄN</t>
        </is>
      </c>
      <c r="G611" t="inlineStr">
        <is>
          <t>UPPSALA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49463-2025</t>
        </is>
      </c>
      <c r="B612" t="inlineStr">
        <is>
          <t>avverkningsanmälan</t>
        </is>
      </c>
      <c r="C612" t="inlineStr">
        <is>
          <t>Föryngringsavverkning</t>
        </is>
      </c>
      <c r="D612" s="1" t="n">
        <v>45939</v>
      </c>
      <c r="E612" s="1" t="n">
        <v>46222</v>
      </c>
      <c r="F612" t="inlineStr">
        <is>
          <t>UPPSALA LÄN</t>
        </is>
      </c>
      <c r="G612" t="inlineStr">
        <is>
          <t>UPPSALA</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38034-2025</t>
        </is>
      </c>
      <c r="B613" t="inlineStr">
        <is>
          <t>avverkningsanmälan</t>
        </is>
      </c>
      <c r="C613" t="inlineStr">
        <is>
          <t>Föryngringsavverkning</t>
        </is>
      </c>
      <c r="D613" s="1" t="n">
        <v>45882</v>
      </c>
      <c r="E613" s="1" t="n">
        <v>46222</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37626-2023</t>
        </is>
      </c>
      <c r="B614" t="inlineStr">
        <is>
          <t>avverkningsanmälan</t>
        </is>
      </c>
      <c r="C614" t="inlineStr">
        <is>
          <t>Föryngringsavverkning</t>
        </is>
      </c>
      <c r="D614" s="1" t="n">
        <v>45159</v>
      </c>
      <c r="E614" s="1" t="n">
        <v>46222</v>
      </c>
      <c r="F614" t="inlineStr">
        <is>
          <t>UPPSALA LÄN</t>
        </is>
      </c>
      <c r="G614" t="inlineStr">
        <is>
          <t>UPPSALA</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17232-2022</t>
        </is>
      </c>
      <c r="B615" t="inlineStr">
        <is>
          <t>avverkningsanmälan</t>
        </is>
      </c>
      <c r="C615" t="inlineStr">
        <is>
          <t>Föryngringsavverkning</t>
        </is>
      </c>
      <c r="D615" s="1" t="n">
        <v>44678</v>
      </c>
      <c r="E615" s="1" t="n">
        <v>46222</v>
      </c>
      <c r="F615" t="inlineStr">
        <is>
          <t>UPPSALA LÄN</t>
        </is>
      </c>
      <c r="G615" t="inlineStr">
        <is>
          <t>UPPSALA</t>
        </is>
      </c>
      <c r="H615" t="inlineStr">
        <is>
          <t>Övriga Aktiebolag</t>
        </is>
      </c>
      <c r="I615" t="n">
        <v>7.4</v>
      </c>
      <c r="J615" t="n">
        <v>0</v>
      </c>
      <c r="K615" t="n">
        <v>0</v>
      </c>
      <c r="L615" t="n">
        <v>0</v>
      </c>
      <c r="M615" t="n">
        <v>0</v>
      </c>
      <c r="N615" t="n">
        <v>0</v>
      </c>
      <c r="O615" t="n">
        <v>0</v>
      </c>
      <c r="P615" t="n">
        <v>0</v>
      </c>
      <c r="Q615" t="n">
        <v>0</v>
      </c>
      <c r="R615" t="n">
        <v>0</v>
      </c>
      <c r="S615" t="n">
        <v>0</v>
      </c>
      <c r="T615" t="n">
        <v>0</v>
      </c>
      <c r="U615" s="2" t="inlineStr"/>
    </row>
    <row r="616" ht="15" customHeight="1">
      <c r="A616" t="inlineStr">
        <is>
          <t>A 8404-2022</t>
        </is>
      </c>
      <c r="B616" t="inlineStr">
        <is>
          <t>avverkningsanmälan</t>
        </is>
      </c>
      <c r="C616" t="inlineStr">
        <is>
          <t>Föryngringsavverkning</t>
        </is>
      </c>
      <c r="D616" s="1" t="n">
        <v>44610</v>
      </c>
      <c r="E616" s="1" t="n">
        <v>46222</v>
      </c>
      <c r="F616" t="inlineStr">
        <is>
          <t>UPPSALA LÄN</t>
        </is>
      </c>
      <c r="G616" t="inlineStr">
        <is>
          <t>UPPSALA</t>
        </is>
      </c>
      <c r="H616" t="inlineStr">
        <is>
          <t>Allmännings- och besparingsskogar</t>
        </is>
      </c>
      <c r="I616" t="n">
        <v>5.4</v>
      </c>
      <c r="J616" t="n">
        <v>0</v>
      </c>
      <c r="K616" t="n">
        <v>0</v>
      </c>
      <c r="L616" t="n">
        <v>0</v>
      </c>
      <c r="M616" t="n">
        <v>0</v>
      </c>
      <c r="N616" t="n">
        <v>0</v>
      </c>
      <c r="O616" t="n">
        <v>0</v>
      </c>
      <c r="P616" t="n">
        <v>0</v>
      </c>
      <c r="Q616" t="n">
        <v>0</v>
      </c>
      <c r="R616" t="n">
        <v>0</v>
      </c>
      <c r="S616" t="n">
        <v>0</v>
      </c>
      <c r="T616" t="n">
        <v>0</v>
      </c>
      <c r="U616" s="2" t="inlineStr"/>
    </row>
    <row r="617" ht="15" customHeight="1">
      <c r="A617" t="inlineStr">
        <is>
          <t>A 53921-2024</t>
        </is>
      </c>
      <c r="B617" t="inlineStr">
        <is>
          <t>avverkningsanmälan</t>
        </is>
      </c>
      <c r="C617" t="inlineStr">
        <is>
          <t>Föryngringsavverkning</t>
        </is>
      </c>
      <c r="D617" s="1" t="n">
        <v>45615</v>
      </c>
      <c r="E617" s="1" t="n">
        <v>46222</v>
      </c>
      <c r="F617" t="inlineStr">
        <is>
          <t>UPPSALA LÄN</t>
        </is>
      </c>
      <c r="G617" t="inlineStr">
        <is>
          <t>UPPSALA</t>
        </is>
      </c>
      <c r="I617" t="n">
        <v>8.1</v>
      </c>
      <c r="J617" t="n">
        <v>0</v>
      </c>
      <c r="K617" t="n">
        <v>0</v>
      </c>
      <c r="L617" t="n">
        <v>0</v>
      </c>
      <c r="M617" t="n">
        <v>0</v>
      </c>
      <c r="N617" t="n">
        <v>0</v>
      </c>
      <c r="O617" t="n">
        <v>0</v>
      </c>
      <c r="P617" t="n">
        <v>0</v>
      </c>
      <c r="Q617" t="n">
        <v>0</v>
      </c>
      <c r="R617" t="n">
        <v>0</v>
      </c>
      <c r="S617" t="n">
        <v>0</v>
      </c>
      <c r="T617" t="n">
        <v>0</v>
      </c>
      <c r="U617" s="2" t="inlineStr"/>
    </row>
    <row r="618" ht="15" customHeight="1">
      <c r="A618" t="inlineStr">
        <is>
          <t>A 59562-2024</t>
        </is>
      </c>
      <c r="B618" t="inlineStr">
        <is>
          <t>avverkningsanmälan</t>
        </is>
      </c>
      <c r="C618" t="inlineStr">
        <is>
          <t>Föryngringsavverkning</t>
        </is>
      </c>
      <c r="D618" s="1" t="n">
        <v>45638</v>
      </c>
      <c r="E618" s="1" t="n">
        <v>46222</v>
      </c>
      <c r="F618" t="inlineStr">
        <is>
          <t>UPPSALA LÄN</t>
        </is>
      </c>
      <c r="G618" t="inlineStr">
        <is>
          <t>UPPSALA</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17596-2025</t>
        </is>
      </c>
      <c r="B619" t="inlineStr">
        <is>
          <t>avverkningsanmälan</t>
        </is>
      </c>
      <c r="C619" t="inlineStr">
        <is>
          <t>Föryngringsavverkning</t>
        </is>
      </c>
      <c r="D619" s="1" t="n">
        <v>45757</v>
      </c>
      <c r="E619" s="1" t="n">
        <v>46222</v>
      </c>
      <c r="F619" t="inlineStr">
        <is>
          <t>UPPSALA LÄN</t>
        </is>
      </c>
      <c r="G619" t="inlineStr">
        <is>
          <t>UPPSALA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19885-2026</t>
        </is>
      </c>
      <c r="B620" t="inlineStr">
        <is>
          <t>avverkningsanmälan</t>
        </is>
      </c>
      <c r="C620" t="inlineStr">
        <is>
          <t>Avverkning för annat ändamål</t>
        </is>
      </c>
      <c r="D620" s="1" t="n">
        <v>46135</v>
      </c>
      <c r="E620" s="1" t="n">
        <v>46222</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60698-2024</t>
        </is>
      </c>
      <c r="B621" t="inlineStr">
        <is>
          <t>avverkningsanmälan</t>
        </is>
      </c>
      <c r="C621" t="inlineStr">
        <is>
          <t>Föryngringsavverkning</t>
        </is>
      </c>
      <c r="D621" s="1" t="n">
        <v>45644</v>
      </c>
      <c r="E621" s="1" t="n">
        <v>46222</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44115-2023</t>
        </is>
      </c>
      <c r="B622" t="inlineStr">
        <is>
          <t>avverkningsanmälan</t>
        </is>
      </c>
      <c r="C622" t="inlineStr">
        <is>
          <t>Föryngringsavverkning</t>
        </is>
      </c>
      <c r="D622" s="1" t="n">
        <v>45188</v>
      </c>
      <c r="E622" s="1" t="n">
        <v>46222</v>
      </c>
      <c r="F622" t="inlineStr">
        <is>
          <t>UPPSALA LÄN</t>
        </is>
      </c>
      <c r="G622" t="inlineStr">
        <is>
          <t>UPPSALA</t>
        </is>
      </c>
      <c r="H622" t="inlineStr">
        <is>
          <t>Holmen skog AB</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42772-2022</t>
        </is>
      </c>
      <c r="B623" t="inlineStr">
        <is>
          <t>avverkningsanmälan</t>
        </is>
      </c>
      <c r="C623" t="inlineStr">
        <is>
          <t>Föryngringsavverkning</t>
        </is>
      </c>
      <c r="D623" s="1" t="n">
        <v>44832</v>
      </c>
      <c r="E623" s="1" t="n">
        <v>46222</v>
      </c>
      <c r="F623" t="inlineStr">
        <is>
          <t>UPPSALA LÄN</t>
        </is>
      </c>
      <c r="G623" t="inlineStr">
        <is>
          <t>UPPSALA</t>
        </is>
      </c>
      <c r="I623" t="n">
        <v>17.7</v>
      </c>
      <c r="J623" t="n">
        <v>0</v>
      </c>
      <c r="K623" t="n">
        <v>0</v>
      </c>
      <c r="L623" t="n">
        <v>0</v>
      </c>
      <c r="M623" t="n">
        <v>0</v>
      </c>
      <c r="N623" t="n">
        <v>0</v>
      </c>
      <c r="O623" t="n">
        <v>0</v>
      </c>
      <c r="P623" t="n">
        <v>0</v>
      </c>
      <c r="Q623" t="n">
        <v>0</v>
      </c>
      <c r="R623" t="n">
        <v>0</v>
      </c>
      <c r="S623" t="n">
        <v>0</v>
      </c>
      <c r="T623" t="n">
        <v>0</v>
      </c>
      <c r="U623" s="2" t="inlineStr"/>
    </row>
    <row r="624" ht="15" customHeight="1">
      <c r="A624" t="inlineStr">
        <is>
          <t>A 6363-2024</t>
        </is>
      </c>
      <c r="B624" t="inlineStr">
        <is>
          <t>avverkningsanmälan</t>
        </is>
      </c>
      <c r="C624" t="inlineStr">
        <is>
          <t>Föryngringsavverkning</t>
        </is>
      </c>
      <c r="D624" s="1" t="n">
        <v>45338</v>
      </c>
      <c r="E624" s="1" t="n">
        <v>46222</v>
      </c>
      <c r="F624" t="inlineStr">
        <is>
          <t>UPPSALA LÄN</t>
        </is>
      </c>
      <c r="G624" t="inlineStr">
        <is>
          <t>UPPSALA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10490-2025</t>
        </is>
      </c>
      <c r="B625" t="inlineStr">
        <is>
          <t>avverkningsanmälan</t>
        </is>
      </c>
      <c r="C625" t="inlineStr">
        <is>
          <t>Föryngringsavverkning</t>
        </is>
      </c>
      <c r="D625" s="1" t="n">
        <v>45721</v>
      </c>
      <c r="E625" s="1" t="n">
        <v>46222</v>
      </c>
      <c r="F625" t="inlineStr">
        <is>
          <t>UPPSALA LÄN</t>
        </is>
      </c>
      <c r="G625" t="inlineStr">
        <is>
          <t>UPPSALA</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39529-2025</t>
        </is>
      </c>
      <c r="B626" t="inlineStr">
        <is>
          <t>avverkningsanmälan</t>
        </is>
      </c>
      <c r="C626" t="inlineStr">
        <is>
          <t>Föryngringsavverkning</t>
        </is>
      </c>
      <c r="D626" s="1" t="n">
        <v>45890</v>
      </c>
      <c r="E626" s="1" t="n">
        <v>46222</v>
      </c>
      <c r="F626" t="inlineStr">
        <is>
          <t>UPPSALA LÄN</t>
        </is>
      </c>
      <c r="G626" t="inlineStr">
        <is>
          <t>UPPSALA</t>
        </is>
      </c>
      <c r="H626" t="inlineStr">
        <is>
          <t>Allmännings- och besparingsskogar</t>
        </is>
      </c>
      <c r="I626" t="n">
        <v>3.9</v>
      </c>
      <c r="J626" t="n">
        <v>0</v>
      </c>
      <c r="K626" t="n">
        <v>0</v>
      </c>
      <c r="L626" t="n">
        <v>0</v>
      </c>
      <c r="M626" t="n">
        <v>0</v>
      </c>
      <c r="N626" t="n">
        <v>0</v>
      </c>
      <c r="O626" t="n">
        <v>0</v>
      </c>
      <c r="P626" t="n">
        <v>0</v>
      </c>
      <c r="Q626" t="n">
        <v>0</v>
      </c>
      <c r="R626" t="n">
        <v>0</v>
      </c>
      <c r="S626" t="n">
        <v>0</v>
      </c>
      <c r="T626" t="n">
        <v>0</v>
      </c>
      <c r="U626" s="2" t="inlineStr"/>
    </row>
    <row r="627" ht="15" customHeight="1">
      <c r="A627" t="inlineStr">
        <is>
          <t>A 5814-2026</t>
        </is>
      </c>
      <c r="B627" t="inlineStr">
        <is>
          <t>avverkningsanmälan</t>
        </is>
      </c>
      <c r="C627" t="inlineStr">
        <is>
          <t>Föryngringsavverkning</t>
        </is>
      </c>
      <c r="D627" s="1" t="n">
        <v>46051</v>
      </c>
      <c r="E627" s="1" t="n">
        <v>46222</v>
      </c>
      <c r="F627" t="inlineStr">
        <is>
          <t>UPPSALA LÄN</t>
        </is>
      </c>
      <c r="G627" t="inlineStr">
        <is>
          <t>UPPSALA</t>
        </is>
      </c>
      <c r="H627" t="inlineStr">
        <is>
          <t>Kommuner</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35906-2023</t>
        </is>
      </c>
      <c r="B628" t="inlineStr">
        <is>
          <t>avverkningsanmälan</t>
        </is>
      </c>
      <c r="C628" t="inlineStr">
        <is>
          <t>Föryngringsavverkning</t>
        </is>
      </c>
      <c r="D628" s="1" t="n">
        <v>45148</v>
      </c>
      <c r="E628" s="1" t="n">
        <v>46222</v>
      </c>
      <c r="F628" t="inlineStr">
        <is>
          <t>UPPSALA LÄN</t>
        </is>
      </c>
      <c r="G628" t="inlineStr">
        <is>
          <t>UPPSALA</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35914-2023</t>
        </is>
      </c>
      <c r="B629" t="inlineStr">
        <is>
          <t>avverkningsanmälan</t>
        </is>
      </c>
      <c r="C629" t="inlineStr">
        <is>
          <t>Föryngringsavverkning</t>
        </is>
      </c>
      <c r="D629" s="1" t="n">
        <v>45148</v>
      </c>
      <c r="E629" s="1" t="n">
        <v>46222</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35916-2023</t>
        </is>
      </c>
      <c r="B630" t="inlineStr">
        <is>
          <t>avverkningsanmälan</t>
        </is>
      </c>
      <c r="C630" t="inlineStr">
        <is>
          <t>Föryngringsavverkning</t>
        </is>
      </c>
      <c r="D630" s="1" t="n">
        <v>45148</v>
      </c>
      <c r="E630" s="1" t="n">
        <v>46222</v>
      </c>
      <c r="F630" t="inlineStr">
        <is>
          <t>UPPSALA LÄN</t>
        </is>
      </c>
      <c r="G630" t="inlineStr">
        <is>
          <t>UPPSALA</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4312-2022</t>
        </is>
      </c>
      <c r="B631" t="inlineStr">
        <is>
          <t>avverkningsanmälan</t>
        </is>
      </c>
      <c r="C631" t="inlineStr">
        <is>
          <t>Föryngringsavverkning</t>
        </is>
      </c>
      <c r="D631" s="1" t="n">
        <v>44588</v>
      </c>
      <c r="E631" s="1" t="n">
        <v>46222</v>
      </c>
      <c r="F631" t="inlineStr">
        <is>
          <t>UPPSALA LÄN</t>
        </is>
      </c>
      <c r="G631" t="inlineStr">
        <is>
          <t>UPPSALA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4065-2024</t>
        </is>
      </c>
      <c r="B632" t="inlineStr">
        <is>
          <t>avverkningsanmälan</t>
        </is>
      </c>
      <c r="C632" t="inlineStr">
        <is>
          <t>Föryngringsavverkning</t>
        </is>
      </c>
      <c r="D632" s="1" t="n">
        <v>45323</v>
      </c>
      <c r="E632" s="1" t="n">
        <v>46222</v>
      </c>
      <c r="F632" t="inlineStr">
        <is>
          <t>UPPSALA LÄN</t>
        </is>
      </c>
      <c r="G632" t="inlineStr">
        <is>
          <t>UPPSALA</t>
        </is>
      </c>
      <c r="H632" t="inlineStr">
        <is>
          <t>Holmen skog AB</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45662-2023</t>
        </is>
      </c>
      <c r="B633" t="inlineStr">
        <is>
          <t>avverkningsanmälan</t>
        </is>
      </c>
      <c r="C633" t="inlineStr">
        <is>
          <t>Föryngringsavverkning</t>
        </is>
      </c>
      <c r="D633" s="1" t="n">
        <v>45194</v>
      </c>
      <c r="E633" s="1" t="n">
        <v>46222</v>
      </c>
      <c r="F633" t="inlineStr">
        <is>
          <t>UPPSALA LÄN</t>
        </is>
      </c>
      <c r="G633" t="inlineStr">
        <is>
          <t>UPPSALA</t>
        </is>
      </c>
      <c r="H633" t="inlineStr">
        <is>
          <t>Bergvik skog öst AB</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35978-2025</t>
        </is>
      </c>
      <c r="B634" t="inlineStr">
        <is>
          <t>avverkningsanmälan</t>
        </is>
      </c>
      <c r="C634" t="inlineStr">
        <is>
          <t>Föryngringsavverkning</t>
        </is>
      </c>
      <c r="D634" s="1" t="n">
        <v>45863</v>
      </c>
      <c r="E634" s="1" t="n">
        <v>46222</v>
      </c>
      <c r="F634" t="inlineStr">
        <is>
          <t>UPPSALA LÄN</t>
        </is>
      </c>
      <c r="G634" t="inlineStr">
        <is>
          <t>UPPSALA</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37352-2025</t>
        </is>
      </c>
      <c r="B635" t="inlineStr">
        <is>
          <t>avverkningsanmälan</t>
        </is>
      </c>
      <c r="C635" t="inlineStr">
        <is>
          <t>Föryngringsavverkning</t>
        </is>
      </c>
      <c r="D635" s="1" t="n">
        <v>45876</v>
      </c>
      <c r="E635" s="1" t="n">
        <v>46222</v>
      </c>
      <c r="F635" t="inlineStr">
        <is>
          <t>UPPSALA LÄN</t>
        </is>
      </c>
      <c r="G635" t="inlineStr">
        <is>
          <t>UPPSALA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6541-2025</t>
        </is>
      </c>
      <c r="B636" t="inlineStr">
        <is>
          <t>avverkningsanmälan</t>
        </is>
      </c>
      <c r="C636" t="inlineStr">
        <is>
          <t>Föryngringsavverkning</t>
        </is>
      </c>
      <c r="D636" s="1" t="n">
        <v>45699</v>
      </c>
      <c r="E636" s="1" t="n">
        <v>46222</v>
      </c>
      <c r="F636" t="inlineStr">
        <is>
          <t>UPPSALA LÄN</t>
        </is>
      </c>
      <c r="G636" t="inlineStr">
        <is>
          <t>UPPSALA</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50463-2024</t>
        </is>
      </c>
      <c r="B637" t="inlineStr">
        <is>
          <t>avverkningsanmälan</t>
        </is>
      </c>
      <c r="C637" t="inlineStr">
        <is>
          <t>Föryngringsavverkning</t>
        </is>
      </c>
      <c r="D637" s="1" t="n">
        <v>45601</v>
      </c>
      <c r="E637" s="1" t="n">
        <v>46222</v>
      </c>
      <c r="F637" t="inlineStr">
        <is>
          <t>UPPSALA LÄN</t>
        </is>
      </c>
      <c r="G637" t="inlineStr">
        <is>
          <t>UPPSALA</t>
        </is>
      </c>
      <c r="H637" t="inlineStr">
        <is>
          <t>Allmännings- och besparingsskogar</t>
        </is>
      </c>
      <c r="I637" t="n">
        <v>12.6</v>
      </c>
      <c r="J637" t="n">
        <v>0</v>
      </c>
      <c r="K637" t="n">
        <v>0</v>
      </c>
      <c r="L637" t="n">
        <v>0</v>
      </c>
      <c r="M637" t="n">
        <v>0</v>
      </c>
      <c r="N637" t="n">
        <v>0</v>
      </c>
      <c r="O637" t="n">
        <v>0</v>
      </c>
      <c r="P637" t="n">
        <v>0</v>
      </c>
      <c r="Q637" t="n">
        <v>0</v>
      </c>
      <c r="R637" t="n">
        <v>0</v>
      </c>
      <c r="S637" t="n">
        <v>0</v>
      </c>
      <c r="T637" t="n">
        <v>0</v>
      </c>
      <c r="U637" s="2" t="inlineStr"/>
    </row>
    <row r="638" ht="15" customHeight="1">
      <c r="A638" t="inlineStr">
        <is>
          <t>A 49937-2025</t>
        </is>
      </c>
      <c r="B638" t="inlineStr">
        <is>
          <t>avverkningsanmälan</t>
        </is>
      </c>
      <c r="C638" t="inlineStr">
        <is>
          <t>Föryngringsavverkning</t>
        </is>
      </c>
      <c r="D638" s="1" t="n">
        <v>45940</v>
      </c>
      <c r="E638" s="1" t="n">
        <v>46222</v>
      </c>
      <c r="F638" t="inlineStr">
        <is>
          <t>UPPSALA LÄN</t>
        </is>
      </c>
      <c r="G638" t="inlineStr">
        <is>
          <t>UPPSALA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5189-2022</t>
        </is>
      </c>
      <c r="B639" t="inlineStr">
        <is>
          <t>avverkningsanmälan</t>
        </is>
      </c>
      <c r="C639" t="inlineStr">
        <is>
          <t>Föryngringsavverkning</t>
        </is>
      </c>
      <c r="D639" s="1" t="n">
        <v>44594</v>
      </c>
      <c r="E639" s="1" t="n">
        <v>46222</v>
      </c>
      <c r="F639" t="inlineStr">
        <is>
          <t>UPPSALA LÄN</t>
        </is>
      </c>
      <c r="G639" t="inlineStr">
        <is>
          <t>UPPSALA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6012-2025</t>
        </is>
      </c>
      <c r="B640" t="inlineStr">
        <is>
          <t>avverkningsanmälan</t>
        </is>
      </c>
      <c r="C640" t="inlineStr">
        <is>
          <t>Föryngringsavverkning</t>
        </is>
      </c>
      <c r="D640" s="1" t="n">
        <v>45695</v>
      </c>
      <c r="E640" s="1" t="n">
        <v>46222</v>
      </c>
      <c r="F640" t="inlineStr">
        <is>
          <t>UPPSALA LÄN</t>
        </is>
      </c>
      <c r="G640" t="inlineStr">
        <is>
          <t>UPPSALA</t>
        </is>
      </c>
      <c r="H640" t="inlineStr">
        <is>
          <t>Övriga Aktiebolag</t>
        </is>
      </c>
      <c r="I640" t="n">
        <v>14.3</v>
      </c>
      <c r="J640" t="n">
        <v>0</v>
      </c>
      <c r="K640" t="n">
        <v>0</v>
      </c>
      <c r="L640" t="n">
        <v>0</v>
      </c>
      <c r="M640" t="n">
        <v>0</v>
      </c>
      <c r="N640" t="n">
        <v>0</v>
      </c>
      <c r="O640" t="n">
        <v>0</v>
      </c>
      <c r="P640" t="n">
        <v>0</v>
      </c>
      <c r="Q640" t="n">
        <v>0</v>
      </c>
      <c r="R640" t="n">
        <v>0</v>
      </c>
      <c r="S640" t="n">
        <v>0</v>
      </c>
      <c r="T640" t="n">
        <v>0</v>
      </c>
      <c r="U640" s="2" t="inlineStr"/>
    </row>
    <row r="641" ht="15" customHeight="1">
      <c r="A641" t="inlineStr">
        <is>
          <t>A 11201-2024</t>
        </is>
      </c>
      <c r="B641" t="inlineStr">
        <is>
          <t>avverkningsanmälan</t>
        </is>
      </c>
      <c r="C641" t="inlineStr">
        <is>
          <t>Föryngringsavverkning</t>
        </is>
      </c>
      <c r="D641" s="1" t="n">
        <v>45371</v>
      </c>
      <c r="E641" s="1" t="n">
        <v>46222</v>
      </c>
      <c r="F641" t="inlineStr">
        <is>
          <t>UPPSALA LÄN</t>
        </is>
      </c>
      <c r="G641" t="inlineStr">
        <is>
          <t>UPPSALA</t>
        </is>
      </c>
      <c r="H641" t="inlineStr">
        <is>
          <t>Kommuner</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2790-2025</t>
        </is>
      </c>
      <c r="B642" t="inlineStr">
        <is>
          <t>avverkningsanmälan</t>
        </is>
      </c>
      <c r="C642" t="inlineStr">
        <is>
          <t>Avverkning för annat ändamål</t>
        </is>
      </c>
      <c r="D642" s="1" t="n">
        <v>45677</v>
      </c>
      <c r="E642" s="1" t="n">
        <v>46222</v>
      </c>
      <c r="F642" t="inlineStr">
        <is>
          <t>UPPSALA LÄN</t>
        </is>
      </c>
      <c r="G642" t="inlineStr">
        <is>
          <t>UPPSALA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11162-2022</t>
        </is>
      </c>
      <c r="B643" t="inlineStr">
        <is>
          <t>avverkningsanmälan</t>
        </is>
      </c>
      <c r="C643" t="inlineStr">
        <is>
          <t>Föryngringsavverkning</t>
        </is>
      </c>
      <c r="D643" s="1" t="n">
        <v>44629</v>
      </c>
      <c r="E643" s="1" t="n">
        <v>46222</v>
      </c>
      <c r="F643" t="inlineStr">
        <is>
          <t>UPPSALA LÄN</t>
        </is>
      </c>
      <c r="G643" t="inlineStr">
        <is>
          <t>UPPSALA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19345-2025</t>
        </is>
      </c>
      <c r="B644" t="inlineStr">
        <is>
          <t>avverkningsanmälan</t>
        </is>
      </c>
      <c r="C644" t="inlineStr">
        <is>
          <t>Föryngringsavverkning</t>
        </is>
      </c>
      <c r="D644" s="1" t="n">
        <v>45769</v>
      </c>
      <c r="E644" s="1" t="n">
        <v>46222</v>
      </c>
      <c r="F644" t="inlineStr">
        <is>
          <t>UPPSALA LÄN</t>
        </is>
      </c>
      <c r="G644" t="inlineStr">
        <is>
          <t>UPPSALA</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8132-2024</t>
        </is>
      </c>
      <c r="B645" t="inlineStr">
        <is>
          <t>avverkningsanmälan</t>
        </is>
      </c>
      <c r="C645" t="inlineStr">
        <is>
          <t>Föryngringsavverkning</t>
        </is>
      </c>
      <c r="D645" s="1" t="n">
        <v>45351</v>
      </c>
      <c r="E645" s="1" t="n">
        <v>46222</v>
      </c>
      <c r="F645" t="inlineStr">
        <is>
          <t>UPPSALA LÄN</t>
        </is>
      </c>
      <c r="G645" t="inlineStr">
        <is>
          <t>UPPSALA</t>
        </is>
      </c>
      <c r="H645" t="inlineStr">
        <is>
          <t>Övriga Aktiebolag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20087-2023</t>
        </is>
      </c>
      <c r="B646" t="inlineStr">
        <is>
          <t>avverkningsanmälan</t>
        </is>
      </c>
      <c r="C646" t="inlineStr">
        <is>
          <t>Föryngringsavverkning</t>
        </is>
      </c>
      <c r="D646" s="1" t="n">
        <v>45054</v>
      </c>
      <c r="E646" s="1" t="n">
        <v>46222</v>
      </c>
      <c r="F646" t="inlineStr">
        <is>
          <t>UPPSALA LÄN</t>
        </is>
      </c>
      <c r="G646" t="inlineStr">
        <is>
          <t>UPPSALA</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61463-2024</t>
        </is>
      </c>
      <c r="B647" t="inlineStr">
        <is>
          <t>avverkningsanmälan</t>
        </is>
      </c>
      <c r="C647" t="inlineStr">
        <is>
          <t>Föryngringsavverkning</t>
        </is>
      </c>
      <c r="D647" s="1" t="n">
        <v>45646</v>
      </c>
      <c r="E647" s="1" t="n">
        <v>46222</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45575-2023</t>
        </is>
      </c>
      <c r="B648" t="inlineStr">
        <is>
          <t>avverkningsanmälan</t>
        </is>
      </c>
      <c r="C648" t="inlineStr">
        <is>
          <t>Föryngringsavverkning</t>
        </is>
      </c>
      <c r="D648" s="1" t="n">
        <v>45194</v>
      </c>
      <c r="E648" s="1" t="n">
        <v>46222</v>
      </c>
      <c r="F648" t="inlineStr">
        <is>
          <t>UPPSALA LÄN</t>
        </is>
      </c>
      <c r="G648" t="inlineStr">
        <is>
          <t>UPPSALA</t>
        </is>
      </c>
      <c r="H648" t="inlineStr">
        <is>
          <t>Bergvik skog öst AB</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39865-2022</t>
        </is>
      </c>
      <c r="B649" t="inlineStr">
        <is>
          <t>avverkningsanmälan</t>
        </is>
      </c>
      <c r="C649" t="inlineStr">
        <is>
          <t>Föryngringsavverkning</t>
        </is>
      </c>
      <c r="D649" s="1" t="n">
        <v>44819</v>
      </c>
      <c r="E649" s="1" t="n">
        <v>46222</v>
      </c>
      <c r="F649" t="inlineStr">
        <is>
          <t>UPPSALA LÄN</t>
        </is>
      </c>
      <c r="G649" t="inlineStr">
        <is>
          <t>UPPSALA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20206-2023</t>
        </is>
      </c>
      <c r="B650" t="inlineStr">
        <is>
          <t>avverkningsanmälan</t>
        </is>
      </c>
      <c r="C650" t="inlineStr">
        <is>
          <t>Föryngringsavverkning</t>
        </is>
      </c>
      <c r="D650" s="1" t="n">
        <v>45055</v>
      </c>
      <c r="E650" s="1" t="n">
        <v>46222</v>
      </c>
      <c r="F650" t="inlineStr">
        <is>
          <t>UPPSALA LÄN</t>
        </is>
      </c>
      <c r="G650" t="inlineStr">
        <is>
          <t>UPPSALA</t>
        </is>
      </c>
      <c r="I650" t="n">
        <v>5.7</v>
      </c>
      <c r="J650" t="n">
        <v>0</v>
      </c>
      <c r="K650" t="n">
        <v>0</v>
      </c>
      <c r="L650" t="n">
        <v>0</v>
      </c>
      <c r="M650" t="n">
        <v>0</v>
      </c>
      <c r="N650" t="n">
        <v>0</v>
      </c>
      <c r="O650" t="n">
        <v>0</v>
      </c>
      <c r="P650" t="n">
        <v>0</v>
      </c>
      <c r="Q650" t="n">
        <v>0</v>
      </c>
      <c r="R650" t="n">
        <v>0</v>
      </c>
      <c r="S650" t="n">
        <v>0</v>
      </c>
      <c r="T650" t="n">
        <v>0</v>
      </c>
      <c r="U650" s="2" t="inlineStr"/>
    </row>
    <row r="651" ht="15" customHeight="1">
      <c r="A651" t="inlineStr">
        <is>
          <t>A 43029-2023</t>
        </is>
      </c>
      <c r="B651" t="inlineStr">
        <is>
          <t>avverkningsanmälan</t>
        </is>
      </c>
      <c r="C651" t="inlineStr">
        <is>
          <t>Föryngringsavverkning</t>
        </is>
      </c>
      <c r="D651" s="1" t="n">
        <v>45182</v>
      </c>
      <c r="E651" s="1" t="n">
        <v>46222</v>
      </c>
      <c r="F651" t="inlineStr">
        <is>
          <t>UPPSALA LÄN</t>
        </is>
      </c>
      <c r="G651" t="inlineStr">
        <is>
          <t>UPPSALA</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43031-2023</t>
        </is>
      </c>
      <c r="B652" t="inlineStr">
        <is>
          <t>avverkningsanmälan</t>
        </is>
      </c>
      <c r="C652" t="inlineStr">
        <is>
          <t>Föryngringsavverkning</t>
        </is>
      </c>
      <c r="D652" s="1" t="n">
        <v>45182</v>
      </c>
      <c r="E652" s="1" t="n">
        <v>46222</v>
      </c>
      <c r="F652" t="inlineStr">
        <is>
          <t>UPPSALA LÄN</t>
        </is>
      </c>
      <c r="G652" t="inlineStr">
        <is>
          <t>UPPSALA</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35155-2025</t>
        </is>
      </c>
      <c r="B653" t="inlineStr">
        <is>
          <t>avverkningsanmälan</t>
        </is>
      </c>
      <c r="C653" t="inlineStr">
        <is>
          <t>Föryngringsavverkning</t>
        </is>
      </c>
      <c r="D653" s="1" t="n">
        <v>45852</v>
      </c>
      <c r="E653" s="1" t="n">
        <v>46222</v>
      </c>
      <c r="F653" t="inlineStr">
        <is>
          <t>UPPSALA LÄN</t>
        </is>
      </c>
      <c r="G653" t="inlineStr">
        <is>
          <t>UPPSALA</t>
        </is>
      </c>
      <c r="H653" t="inlineStr">
        <is>
          <t>Holmen skog AB</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26762-2023</t>
        </is>
      </c>
      <c r="B654" t="inlineStr">
        <is>
          <t>avverkningsanmälan</t>
        </is>
      </c>
      <c r="C654" t="inlineStr">
        <is>
          <t>Föryngringsavverkning</t>
        </is>
      </c>
      <c r="D654" s="1" t="n">
        <v>45093</v>
      </c>
      <c r="E654" s="1" t="n">
        <v>46222</v>
      </c>
      <c r="F654" t="inlineStr">
        <is>
          <t>UPPSALA LÄN</t>
        </is>
      </c>
      <c r="G654" t="inlineStr">
        <is>
          <t>UPPSALA</t>
        </is>
      </c>
      <c r="H654" t="inlineStr">
        <is>
          <t>Sveaskog</t>
        </is>
      </c>
      <c r="I654" t="n">
        <v>0.8</v>
      </c>
      <c r="J654" t="n">
        <v>0</v>
      </c>
      <c r="K654" t="n">
        <v>0</v>
      </c>
      <c r="L654" t="n">
        <v>0</v>
      </c>
      <c r="M654" t="n">
        <v>0</v>
      </c>
      <c r="N654" t="n">
        <v>0</v>
      </c>
      <c r="O654" t="n">
        <v>0</v>
      </c>
      <c r="P654" t="n">
        <v>0</v>
      </c>
      <c r="Q654" t="n">
        <v>0</v>
      </c>
      <c r="R654" t="n">
        <v>0</v>
      </c>
      <c r="S654" t="n">
        <v>0</v>
      </c>
      <c r="T654" t="n">
        <v>0</v>
      </c>
      <c r="U654" s="2" t="inlineStr"/>
    </row>
    <row r="655" ht="15" customHeight="1">
      <c r="A655" t="inlineStr">
        <is>
          <t>A 32479-2025</t>
        </is>
      </c>
      <c r="B655" t="inlineStr">
        <is>
          <t>avverkningsanmälan</t>
        </is>
      </c>
      <c r="C655" t="inlineStr">
        <is>
          <t>Föryngringsavverkning</t>
        </is>
      </c>
      <c r="D655" s="1" t="n">
        <v>45838</v>
      </c>
      <c r="E655" s="1" t="n">
        <v>46222</v>
      </c>
      <c r="F655" t="inlineStr">
        <is>
          <t>UPPSALA LÄN</t>
        </is>
      </c>
      <c r="G655" t="inlineStr">
        <is>
          <t>UPPSALA</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16434-2024</t>
        </is>
      </c>
      <c r="B656" t="inlineStr">
        <is>
          <t>avverkningsanmälan</t>
        </is>
      </c>
      <c r="C656" t="inlineStr">
        <is>
          <t>Föryngringsavverkning</t>
        </is>
      </c>
      <c r="D656" s="1" t="n">
        <v>45407</v>
      </c>
      <c r="E656" s="1" t="n">
        <v>46222</v>
      </c>
      <c r="F656" t="inlineStr">
        <is>
          <t>UPPSALA LÄN</t>
        </is>
      </c>
      <c r="G656" t="inlineStr">
        <is>
          <t>UPPSALA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44080-2023</t>
        </is>
      </c>
      <c r="B657" t="inlineStr">
        <is>
          <t>avverkningsanmälan</t>
        </is>
      </c>
      <c r="C657" t="inlineStr">
        <is>
          <t>Föryngringsavverkning</t>
        </is>
      </c>
      <c r="D657" s="1" t="n">
        <v>45188</v>
      </c>
      <c r="E657" s="1" t="n">
        <v>46222</v>
      </c>
      <c r="F657" t="inlineStr">
        <is>
          <t>UPPSALA LÄN</t>
        </is>
      </c>
      <c r="G657" t="inlineStr">
        <is>
          <t>UPPSALA</t>
        </is>
      </c>
      <c r="I657" t="n">
        <v>13.3</v>
      </c>
      <c r="J657" t="n">
        <v>0</v>
      </c>
      <c r="K657" t="n">
        <v>0</v>
      </c>
      <c r="L657" t="n">
        <v>0</v>
      </c>
      <c r="M657" t="n">
        <v>0</v>
      </c>
      <c r="N657" t="n">
        <v>0</v>
      </c>
      <c r="O657" t="n">
        <v>0</v>
      </c>
      <c r="P657" t="n">
        <v>0</v>
      </c>
      <c r="Q657" t="n">
        <v>0</v>
      </c>
      <c r="R657" t="n">
        <v>0</v>
      </c>
      <c r="S657" t="n">
        <v>0</v>
      </c>
      <c r="T657" t="n">
        <v>0</v>
      </c>
      <c r="U657" s="2" t="inlineStr"/>
    </row>
    <row r="658" ht="15" customHeight="1">
      <c r="A658" t="inlineStr">
        <is>
          <t>A 53963-2023</t>
        </is>
      </c>
      <c r="B658" t="inlineStr">
        <is>
          <t>avverkningsanmälan</t>
        </is>
      </c>
      <c r="C658" t="inlineStr">
        <is>
          <t>Föryngringsavverkning</t>
        </is>
      </c>
      <c r="D658" s="1" t="n">
        <v>45231</v>
      </c>
      <c r="E658" s="1" t="n">
        <v>46222</v>
      </c>
      <c r="F658" t="inlineStr">
        <is>
          <t>UPPSALA LÄN</t>
        </is>
      </c>
      <c r="G658" t="inlineStr">
        <is>
          <t>UPPSALA</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2897-2025</t>
        </is>
      </c>
      <c r="B659" t="inlineStr">
        <is>
          <t>avverkningsanmälan</t>
        </is>
      </c>
      <c r="C659" t="inlineStr">
        <is>
          <t>Föryngringsavverkning</t>
        </is>
      </c>
      <c r="D659" s="1" t="n">
        <v>45677</v>
      </c>
      <c r="E659" s="1" t="n">
        <v>46222</v>
      </c>
      <c r="F659" t="inlineStr">
        <is>
          <t>UPPSALA LÄN</t>
        </is>
      </c>
      <c r="G659" t="inlineStr">
        <is>
          <t>UPPSALA</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24098-2024</t>
        </is>
      </c>
      <c r="B660" t="inlineStr">
        <is>
          <t>avverkningsanmälan</t>
        </is>
      </c>
      <c r="C660" t="inlineStr">
        <is>
          <t>Föryngringsavverkning</t>
        </is>
      </c>
      <c r="D660" s="1" t="n">
        <v>45456</v>
      </c>
      <c r="E660" s="1" t="n">
        <v>46222</v>
      </c>
      <c r="F660" t="inlineStr">
        <is>
          <t>UPPSALA LÄN</t>
        </is>
      </c>
      <c r="G660" t="inlineStr">
        <is>
          <t>UPPSALA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6059-2025</t>
        </is>
      </c>
      <c r="B661" t="inlineStr">
        <is>
          <t>avverkningsanmälan</t>
        </is>
      </c>
      <c r="C661" t="inlineStr">
        <is>
          <t>Föryngringsavverkning</t>
        </is>
      </c>
      <c r="D661" s="1" t="n">
        <v>45695</v>
      </c>
      <c r="E661" s="1" t="n">
        <v>46222</v>
      </c>
      <c r="F661" t="inlineStr">
        <is>
          <t>UPPSALA LÄN</t>
        </is>
      </c>
      <c r="G661" t="inlineStr">
        <is>
          <t>UPPSALA</t>
        </is>
      </c>
      <c r="H661" t="inlineStr">
        <is>
          <t>Bergvik skog öst AB</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54724-2025</t>
        </is>
      </c>
      <c r="B662" t="inlineStr">
        <is>
          <t>avverkningsanmälan</t>
        </is>
      </c>
      <c r="C662" t="inlineStr">
        <is>
          <t>Föryngringsavverkning</t>
        </is>
      </c>
      <c r="D662" s="1" t="n">
        <v>45966</v>
      </c>
      <c r="E662" s="1" t="n">
        <v>46222</v>
      </c>
      <c r="F662" t="inlineStr">
        <is>
          <t>UPPSALA LÄN</t>
        </is>
      </c>
      <c r="G662" t="inlineStr">
        <is>
          <t>UPPSALA</t>
        </is>
      </c>
      <c r="H662" t="inlineStr">
        <is>
          <t>Bergvik skog öst AB</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46202-2024</t>
        </is>
      </c>
      <c r="B663" t="inlineStr">
        <is>
          <t>avverkningsanmälan</t>
        </is>
      </c>
      <c r="C663" t="inlineStr">
        <is>
          <t>Föryngringsavverkning</t>
        </is>
      </c>
      <c r="D663" s="1" t="n">
        <v>45581</v>
      </c>
      <c r="E663" s="1" t="n">
        <v>46222</v>
      </c>
      <c r="F663" t="inlineStr">
        <is>
          <t>UPPSALA LÄN</t>
        </is>
      </c>
      <c r="G663" t="inlineStr">
        <is>
          <t>UPPSALA</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41444-2025</t>
        </is>
      </c>
      <c r="B664" t="inlineStr">
        <is>
          <t>avverkningsanmälan</t>
        </is>
      </c>
      <c r="C664" t="inlineStr">
        <is>
          <t>Föryngringsavverkning</t>
        </is>
      </c>
      <c r="D664" s="1" t="n">
        <v>45901</v>
      </c>
      <c r="E664" s="1" t="n">
        <v>46222</v>
      </c>
      <c r="F664" t="inlineStr">
        <is>
          <t>UPPSALA LÄN</t>
        </is>
      </c>
      <c r="G664" t="inlineStr">
        <is>
          <t>UPPSALA</t>
        </is>
      </c>
      <c r="H664" t="inlineStr">
        <is>
          <t>Kyrkan</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20499-2026</t>
        </is>
      </c>
      <c r="B665" t="inlineStr">
        <is>
          <t>avverkningsanmälan</t>
        </is>
      </c>
      <c r="C665" t="inlineStr">
        <is>
          <t>Föryngringsavverkning</t>
        </is>
      </c>
      <c r="D665" s="1" t="n">
        <v>46140</v>
      </c>
      <c r="E665" s="1" t="n">
        <v>46222</v>
      </c>
      <c r="F665" t="inlineStr">
        <is>
          <t>UPPSALA LÄN</t>
        </is>
      </c>
      <c r="G665" t="inlineStr">
        <is>
          <t>UPPSALA</t>
        </is>
      </c>
      <c r="H665" t="inlineStr">
        <is>
          <t>Allmännings- och besparingsskogar</t>
        </is>
      </c>
      <c r="I665" t="n">
        <v>13.5</v>
      </c>
      <c r="J665" t="n">
        <v>0</v>
      </c>
      <c r="K665" t="n">
        <v>0</v>
      </c>
      <c r="L665" t="n">
        <v>0</v>
      </c>
      <c r="M665" t="n">
        <v>0</v>
      </c>
      <c r="N665" t="n">
        <v>0</v>
      </c>
      <c r="O665" t="n">
        <v>0</v>
      </c>
      <c r="P665" t="n">
        <v>0</v>
      </c>
      <c r="Q665" t="n">
        <v>0</v>
      </c>
      <c r="R665" t="n">
        <v>0</v>
      </c>
      <c r="S665" t="n">
        <v>0</v>
      </c>
      <c r="T665" t="n">
        <v>0</v>
      </c>
      <c r="U665" s="2" t="inlineStr"/>
    </row>
    <row r="666" ht="15" customHeight="1">
      <c r="A666" t="inlineStr">
        <is>
          <t>A 50395-2023</t>
        </is>
      </c>
      <c r="B666" t="inlineStr">
        <is>
          <t>avverkningsanmälan</t>
        </is>
      </c>
      <c r="C666" t="inlineStr">
        <is>
          <t>Föryngringsavverkning</t>
        </is>
      </c>
      <c r="D666" s="1" t="n">
        <v>45216</v>
      </c>
      <c r="E666" s="1" t="n">
        <v>46222</v>
      </c>
      <c r="F666" t="inlineStr">
        <is>
          <t>UPPSALA LÄN</t>
        </is>
      </c>
      <c r="G666" t="inlineStr">
        <is>
          <t>UPPSALA</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50473-2023</t>
        </is>
      </c>
      <c r="B667" t="inlineStr">
        <is>
          <t>avverkningsanmälan</t>
        </is>
      </c>
      <c r="C667" t="inlineStr">
        <is>
          <t>Föryngringsavverkning</t>
        </is>
      </c>
      <c r="D667" s="1" t="n">
        <v>45216</v>
      </c>
      <c r="E667" s="1" t="n">
        <v>46222</v>
      </c>
      <c r="F667" t="inlineStr">
        <is>
          <t>UPPSALA LÄN</t>
        </is>
      </c>
      <c r="G667" t="inlineStr">
        <is>
          <t>UPPSALA</t>
        </is>
      </c>
      <c r="H667" t="inlineStr">
        <is>
          <t>Allmännings- och besparingsskogar</t>
        </is>
      </c>
      <c r="I667" t="n">
        <v>7.6</v>
      </c>
      <c r="J667" t="n">
        <v>0</v>
      </c>
      <c r="K667" t="n">
        <v>0</v>
      </c>
      <c r="L667" t="n">
        <v>0</v>
      </c>
      <c r="M667" t="n">
        <v>0</v>
      </c>
      <c r="N667" t="n">
        <v>0</v>
      </c>
      <c r="O667" t="n">
        <v>0</v>
      </c>
      <c r="P667" t="n">
        <v>0</v>
      </c>
      <c r="Q667" t="n">
        <v>0</v>
      </c>
      <c r="R667" t="n">
        <v>0</v>
      </c>
      <c r="S667" t="n">
        <v>0</v>
      </c>
      <c r="T667" t="n">
        <v>0</v>
      </c>
      <c r="U667" s="2" t="inlineStr"/>
    </row>
    <row r="668" ht="15" customHeight="1">
      <c r="A668" t="inlineStr">
        <is>
          <t>A 5725-2025</t>
        </is>
      </c>
      <c r="B668" t="inlineStr">
        <is>
          <t>avverkningsanmälan</t>
        </is>
      </c>
      <c r="C668" t="inlineStr">
        <is>
          <t>Föryngringsavverkning</t>
        </is>
      </c>
      <c r="D668" s="1" t="n">
        <v>45694</v>
      </c>
      <c r="E668" s="1" t="n">
        <v>46222</v>
      </c>
      <c r="F668" t="inlineStr">
        <is>
          <t>UPPSALA LÄN</t>
        </is>
      </c>
      <c r="G668" t="inlineStr">
        <is>
          <t>UPPSALA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4059-2022</t>
        </is>
      </c>
      <c r="B669" t="inlineStr">
        <is>
          <t>avverkningsanmälan</t>
        </is>
      </c>
      <c r="C669" t="inlineStr">
        <is>
          <t>Föryngringsavverkning</t>
        </is>
      </c>
      <c r="D669" s="1" t="n">
        <v>44588</v>
      </c>
      <c r="E669" s="1" t="n">
        <v>46222</v>
      </c>
      <c r="F669" t="inlineStr">
        <is>
          <t>UPPSALA LÄN</t>
        </is>
      </c>
      <c r="G669" t="inlineStr">
        <is>
          <t>UPPSALA</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48564-2023</t>
        </is>
      </c>
      <c r="B670" t="inlineStr">
        <is>
          <t>avverkningsanmälan</t>
        </is>
      </c>
      <c r="C670" t="inlineStr">
        <is>
          <t>Föryngringsavverkning</t>
        </is>
      </c>
      <c r="D670" s="1" t="n">
        <v>45208</v>
      </c>
      <c r="E670" s="1" t="n">
        <v>46222</v>
      </c>
      <c r="F670" t="inlineStr">
        <is>
          <t>UPPSALA LÄN</t>
        </is>
      </c>
      <c r="G670" t="inlineStr">
        <is>
          <t>UPPSALA</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7501-2025</t>
        </is>
      </c>
      <c r="B671" t="inlineStr">
        <is>
          <t>avverkningsanmälan</t>
        </is>
      </c>
      <c r="C671" t="inlineStr">
        <is>
          <t>Föryngringsavverkning</t>
        </is>
      </c>
      <c r="D671" s="1" t="n">
        <v>45705</v>
      </c>
      <c r="E671" s="1" t="n">
        <v>46222</v>
      </c>
      <c r="F671" t="inlineStr">
        <is>
          <t>UPPSALA LÄN</t>
        </is>
      </c>
      <c r="G671" t="inlineStr">
        <is>
          <t>UPPSALA</t>
        </is>
      </c>
      <c r="I671" t="n">
        <v>4.2</v>
      </c>
      <c r="J671" t="n">
        <v>0</v>
      </c>
      <c r="K671" t="n">
        <v>0</v>
      </c>
      <c r="L671" t="n">
        <v>0</v>
      </c>
      <c r="M671" t="n">
        <v>0</v>
      </c>
      <c r="N671" t="n">
        <v>0</v>
      </c>
      <c r="O671" t="n">
        <v>0</v>
      </c>
      <c r="P671" t="n">
        <v>0</v>
      </c>
      <c r="Q671" t="n">
        <v>0</v>
      </c>
      <c r="R671" t="n">
        <v>0</v>
      </c>
      <c r="S671" t="n">
        <v>0</v>
      </c>
      <c r="T671" t="n">
        <v>0</v>
      </c>
      <c r="U671" s="2" t="inlineStr"/>
    </row>
    <row r="672" ht="15" customHeight="1">
      <c r="A672" t="inlineStr">
        <is>
          <t>A 42273-2023</t>
        </is>
      </c>
      <c r="B672" t="inlineStr">
        <is>
          <t>avverkningsanmälan</t>
        </is>
      </c>
      <c r="C672" t="inlineStr">
        <is>
          <t>Föryngringsavverkning</t>
        </is>
      </c>
      <c r="D672" s="1" t="n">
        <v>45180</v>
      </c>
      <c r="E672" s="1" t="n">
        <v>46222</v>
      </c>
      <c r="F672" t="inlineStr">
        <is>
          <t>UPPSALA LÄN</t>
        </is>
      </c>
      <c r="G672" t="inlineStr">
        <is>
          <t>UPPSALA</t>
        </is>
      </c>
      <c r="H672" t="inlineStr">
        <is>
          <t>Bergvik skog öst AB</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37759-2025</t>
        </is>
      </c>
      <c r="B673" t="inlineStr">
        <is>
          <t>avverkningsanmälan</t>
        </is>
      </c>
      <c r="C673" t="inlineStr">
        <is>
          <t>Föryngringsavverkning</t>
        </is>
      </c>
      <c r="D673" s="1" t="n">
        <v>45880</v>
      </c>
      <c r="E673" s="1" t="n">
        <v>46222</v>
      </c>
      <c r="F673" t="inlineStr">
        <is>
          <t>UPPSALA LÄN</t>
        </is>
      </c>
      <c r="G673" t="inlineStr">
        <is>
          <t>UPPSALA</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8877-2022</t>
        </is>
      </c>
      <c r="B674" t="inlineStr">
        <is>
          <t>avverkningsanmälan</t>
        </is>
      </c>
      <c r="C674" t="inlineStr">
        <is>
          <t>Föryngringsavverkning</t>
        </is>
      </c>
      <c r="D674" s="1" t="n">
        <v>44614</v>
      </c>
      <c r="E674" s="1" t="n">
        <v>46222</v>
      </c>
      <c r="F674" t="inlineStr">
        <is>
          <t>UPPSALA LÄN</t>
        </is>
      </c>
      <c r="G674" t="inlineStr">
        <is>
          <t>UPPSALA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43-2024</t>
        </is>
      </c>
      <c r="B675" t="inlineStr">
        <is>
          <t>avverkningsanmälan</t>
        </is>
      </c>
      <c r="C675" t="inlineStr">
        <is>
          <t>Föryngringsavverkning</t>
        </is>
      </c>
      <c r="D675" s="1" t="n">
        <v>45293</v>
      </c>
      <c r="E675" s="1" t="n">
        <v>46222</v>
      </c>
      <c r="F675" t="inlineStr">
        <is>
          <t>UPPSALA LÄN</t>
        </is>
      </c>
      <c r="G675" t="inlineStr">
        <is>
          <t>UPPSALA</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17562-2022</t>
        </is>
      </c>
      <c r="B676" t="inlineStr">
        <is>
          <t>avverkningsanmälan</t>
        </is>
      </c>
      <c r="C676" t="inlineStr">
        <is>
          <t>Föryngringsavverkning</t>
        </is>
      </c>
      <c r="D676" s="1" t="n">
        <v>44679</v>
      </c>
      <c r="E676" s="1" t="n">
        <v>46222</v>
      </c>
      <c r="F676" t="inlineStr">
        <is>
          <t>UPPSALA LÄN</t>
        </is>
      </c>
      <c r="G676" t="inlineStr">
        <is>
          <t>UPPSALA</t>
        </is>
      </c>
      <c r="H676" t="inlineStr">
        <is>
          <t>Bergvik skog öst AB</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36123-2023</t>
        </is>
      </c>
      <c r="B677" t="inlineStr">
        <is>
          <t>avverkningsanmälan</t>
        </is>
      </c>
      <c r="C677" t="inlineStr">
        <is>
          <t>Föryngringsavverkning</t>
        </is>
      </c>
      <c r="D677" s="1" t="n">
        <v>45149</v>
      </c>
      <c r="E677" s="1" t="n">
        <v>46222</v>
      </c>
      <c r="F677" t="inlineStr">
        <is>
          <t>UPPSALA LÄN</t>
        </is>
      </c>
      <c r="G677" t="inlineStr">
        <is>
          <t>UPPSALA</t>
        </is>
      </c>
      <c r="H677" t="inlineStr">
        <is>
          <t>Allmännings- och besparingsskogar</t>
        </is>
      </c>
      <c r="I677" t="n">
        <v>4.2</v>
      </c>
      <c r="J677" t="n">
        <v>0</v>
      </c>
      <c r="K677" t="n">
        <v>0</v>
      </c>
      <c r="L677" t="n">
        <v>0</v>
      </c>
      <c r="M677" t="n">
        <v>0</v>
      </c>
      <c r="N677" t="n">
        <v>0</v>
      </c>
      <c r="O677" t="n">
        <v>0</v>
      </c>
      <c r="P677" t="n">
        <v>0</v>
      </c>
      <c r="Q677" t="n">
        <v>0</v>
      </c>
      <c r="R677" t="n">
        <v>0</v>
      </c>
      <c r="S677" t="n">
        <v>0</v>
      </c>
      <c r="T677" t="n">
        <v>0</v>
      </c>
      <c r="U677" s="2" t="inlineStr"/>
    </row>
    <row r="678" ht="15" customHeight="1">
      <c r="A678" t="inlineStr">
        <is>
          <t>A 26000-2026</t>
        </is>
      </c>
      <c r="B678" t="inlineStr">
        <is>
          <t>avverkningsanmälan</t>
        </is>
      </c>
      <c r="C678" t="inlineStr">
        <is>
          <t>Föryngringsavverkning</t>
        </is>
      </c>
      <c r="D678" s="1" t="n">
        <v>46181</v>
      </c>
      <c r="E678" s="1" t="n">
        <v>46222</v>
      </c>
      <c r="F678" t="inlineStr">
        <is>
          <t>UPPSALA LÄN</t>
        </is>
      </c>
      <c r="G678" t="inlineStr">
        <is>
          <t>UPPSALA</t>
        </is>
      </c>
      <c r="H678" t="inlineStr">
        <is>
          <t>Sveaskog</t>
        </is>
      </c>
      <c r="I678" t="n">
        <v>9.9</v>
      </c>
      <c r="J678" t="n">
        <v>0</v>
      </c>
      <c r="K678" t="n">
        <v>0</v>
      </c>
      <c r="L678" t="n">
        <v>0</v>
      </c>
      <c r="M678" t="n">
        <v>0</v>
      </c>
      <c r="N678" t="n">
        <v>0</v>
      </c>
      <c r="O678" t="n">
        <v>0</v>
      </c>
      <c r="P678" t="n">
        <v>0</v>
      </c>
      <c r="Q678" t="n">
        <v>0</v>
      </c>
      <c r="R678" t="n">
        <v>0</v>
      </c>
      <c r="S678" t="n">
        <v>0</v>
      </c>
      <c r="T678" t="n">
        <v>0</v>
      </c>
      <c r="U678" s="2" t="inlineStr"/>
    </row>
    <row r="679" ht="15" customHeight="1">
      <c r="A679" t="inlineStr">
        <is>
          <t>A 49989-2025</t>
        </is>
      </c>
      <c r="B679" t="inlineStr">
        <is>
          <t>avverkningsanmälan</t>
        </is>
      </c>
      <c r="C679" t="inlineStr">
        <is>
          <t>Föryngringsavverkning</t>
        </is>
      </c>
      <c r="D679" s="1" t="n">
        <v>45942</v>
      </c>
      <c r="E679" s="1" t="n">
        <v>46222</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42543-2023</t>
        </is>
      </c>
      <c r="B680" t="inlineStr">
        <is>
          <t>avverkningsanmälan</t>
        </is>
      </c>
      <c r="C680" t="inlineStr">
        <is>
          <t>Föryngringsavverkning</t>
        </is>
      </c>
      <c r="D680" s="1" t="n">
        <v>45181</v>
      </c>
      <c r="E680" s="1" t="n">
        <v>46222</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36253-2025</t>
        </is>
      </c>
      <c r="B681" t="inlineStr">
        <is>
          <t>avverkningsanmälan</t>
        </is>
      </c>
      <c r="C681" t="inlineStr">
        <is>
          <t>Föryngringsavverkning</t>
        </is>
      </c>
      <c r="D681" s="1" t="n">
        <v>45867</v>
      </c>
      <c r="E681" s="1" t="n">
        <v>46222</v>
      </c>
      <c r="F681" t="inlineStr">
        <is>
          <t>UPPSALA LÄN</t>
        </is>
      </c>
      <c r="G681" t="inlineStr">
        <is>
          <t>UPPSALA</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17558-2022</t>
        </is>
      </c>
      <c r="B682" t="inlineStr">
        <is>
          <t>avverkningsanmälan</t>
        </is>
      </c>
      <c r="C682" t="inlineStr">
        <is>
          <t>Föryngringsavverkning</t>
        </is>
      </c>
      <c r="D682" s="1" t="n">
        <v>44679</v>
      </c>
      <c r="E682" s="1" t="n">
        <v>46222</v>
      </c>
      <c r="F682" t="inlineStr">
        <is>
          <t>UPPSALA LÄN</t>
        </is>
      </c>
      <c r="G682" t="inlineStr">
        <is>
          <t>UPPSALA</t>
        </is>
      </c>
      <c r="H682" t="inlineStr">
        <is>
          <t>Bergvik skog öst AB</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62054-2024</t>
        </is>
      </c>
      <c r="B683" t="inlineStr">
        <is>
          <t>avverkningsanmälan</t>
        </is>
      </c>
      <c r="C683" t="inlineStr">
        <is>
          <t>Avverkning för annat ändamål</t>
        </is>
      </c>
      <c r="D683" s="1" t="n">
        <v>45656</v>
      </c>
      <c r="E683" s="1" t="n">
        <v>46222</v>
      </c>
      <c r="F683" t="inlineStr">
        <is>
          <t>UPPSALA LÄN</t>
        </is>
      </c>
      <c r="G683" t="inlineStr">
        <is>
          <t>UPPSALA</t>
        </is>
      </c>
      <c r="H683" t="inlineStr">
        <is>
          <t>Övriga statliga verk och myndigheter</t>
        </is>
      </c>
      <c r="I683" t="n">
        <v>29.3</v>
      </c>
      <c r="J683" t="n">
        <v>0</v>
      </c>
      <c r="K683" t="n">
        <v>0</v>
      </c>
      <c r="L683" t="n">
        <v>0</v>
      </c>
      <c r="M683" t="n">
        <v>0</v>
      </c>
      <c r="N683" t="n">
        <v>0</v>
      </c>
      <c r="O683" t="n">
        <v>0</v>
      </c>
      <c r="P683" t="n">
        <v>0</v>
      </c>
      <c r="Q683" t="n">
        <v>0</v>
      </c>
      <c r="R683" t="n">
        <v>0</v>
      </c>
      <c r="S683" t="n">
        <v>0</v>
      </c>
      <c r="T683" t="n">
        <v>0</v>
      </c>
      <c r="U683" s="2" t="inlineStr"/>
    </row>
    <row r="684" ht="15" customHeight="1">
      <c r="A684" t="inlineStr">
        <is>
          <t>A 5204-2025</t>
        </is>
      </c>
      <c r="B684" t="inlineStr">
        <is>
          <t>avverkningsanmälan</t>
        </is>
      </c>
      <c r="C684" t="inlineStr">
        <is>
          <t>Föryngringsavverkning</t>
        </is>
      </c>
      <c r="D684" s="1" t="n">
        <v>45691</v>
      </c>
      <c r="E684" s="1" t="n">
        <v>46222</v>
      </c>
      <c r="F684" t="inlineStr">
        <is>
          <t>UPPSALA LÄN</t>
        </is>
      </c>
      <c r="G684" t="inlineStr">
        <is>
          <t>UPPSALA</t>
        </is>
      </c>
      <c r="I684" t="n">
        <v>3.7</v>
      </c>
      <c r="J684" t="n">
        <v>0</v>
      </c>
      <c r="K684" t="n">
        <v>0</v>
      </c>
      <c r="L684" t="n">
        <v>0</v>
      </c>
      <c r="M684" t="n">
        <v>0</v>
      </c>
      <c r="N684" t="n">
        <v>0</v>
      </c>
      <c r="O684" t="n">
        <v>0</v>
      </c>
      <c r="P684" t="n">
        <v>0</v>
      </c>
      <c r="Q684" t="n">
        <v>0</v>
      </c>
      <c r="R684" t="n">
        <v>0</v>
      </c>
      <c r="S684" t="n">
        <v>0</v>
      </c>
      <c r="T684" t="n">
        <v>0</v>
      </c>
      <c r="U684" s="2" t="inlineStr"/>
    </row>
    <row r="685" ht="15" customHeight="1">
      <c r="A685" t="inlineStr">
        <is>
          <t>A 43818-2023</t>
        </is>
      </c>
      <c r="B685" t="inlineStr">
        <is>
          <t>avverkningsanmälan</t>
        </is>
      </c>
      <c r="C685" t="inlineStr">
        <is>
          <t>Föryngringsavverkning</t>
        </is>
      </c>
      <c r="D685" s="1" t="n">
        <v>45182</v>
      </c>
      <c r="E685" s="1" t="n">
        <v>46222</v>
      </c>
      <c r="F685" t="inlineStr">
        <is>
          <t>UPPSALA LÄN</t>
        </is>
      </c>
      <c r="G685" t="inlineStr">
        <is>
          <t>UPPSALA</t>
        </is>
      </c>
      <c r="I685" t="n">
        <v>10.8</v>
      </c>
      <c r="J685" t="n">
        <v>0</v>
      </c>
      <c r="K685" t="n">
        <v>0</v>
      </c>
      <c r="L685" t="n">
        <v>0</v>
      </c>
      <c r="M685" t="n">
        <v>0</v>
      </c>
      <c r="N685" t="n">
        <v>0</v>
      </c>
      <c r="O685" t="n">
        <v>0</v>
      </c>
      <c r="P685" t="n">
        <v>0</v>
      </c>
      <c r="Q685" t="n">
        <v>0</v>
      </c>
      <c r="R685" t="n">
        <v>0</v>
      </c>
      <c r="S685" t="n">
        <v>0</v>
      </c>
      <c r="T685" t="n">
        <v>0</v>
      </c>
      <c r="U685" s="2" t="inlineStr"/>
    </row>
    <row r="686" ht="15" customHeight="1">
      <c r="A686" t="inlineStr">
        <is>
          <t>A 20777-2026</t>
        </is>
      </c>
      <c r="B686" t="inlineStr">
        <is>
          <t>avverkningsanmälan</t>
        </is>
      </c>
      <c r="C686" t="inlineStr">
        <is>
          <t>Föryngringsavverkning</t>
        </is>
      </c>
      <c r="D686" s="1" t="n">
        <v>46141</v>
      </c>
      <c r="E686" s="1" t="n">
        <v>46222</v>
      </c>
      <c r="F686" t="inlineStr">
        <is>
          <t>UPPSALA LÄN</t>
        </is>
      </c>
      <c r="G686" t="inlineStr">
        <is>
          <t>UPPSALA</t>
        </is>
      </c>
      <c r="H686" t="inlineStr">
        <is>
          <t>Holmen skog AB</t>
        </is>
      </c>
      <c r="I686" t="n">
        <v>5.3</v>
      </c>
      <c r="J686" t="n">
        <v>0</v>
      </c>
      <c r="K686" t="n">
        <v>0</v>
      </c>
      <c r="L686" t="n">
        <v>0</v>
      </c>
      <c r="M686" t="n">
        <v>0</v>
      </c>
      <c r="N686" t="n">
        <v>0</v>
      </c>
      <c r="O686" t="n">
        <v>0</v>
      </c>
      <c r="P686" t="n">
        <v>0</v>
      </c>
      <c r="Q686" t="n">
        <v>0</v>
      </c>
      <c r="R686" t="n">
        <v>0</v>
      </c>
      <c r="S686" t="n">
        <v>0</v>
      </c>
      <c r="T686" t="n">
        <v>0</v>
      </c>
      <c r="U686" s="2" t="inlineStr"/>
    </row>
    <row r="687" ht="15" customHeight="1">
      <c r="A687" t="inlineStr">
        <is>
          <t>A 5729-2025</t>
        </is>
      </c>
      <c r="B687" t="inlineStr">
        <is>
          <t>avverkningsanmälan</t>
        </is>
      </c>
      <c r="C687" t="inlineStr">
        <is>
          <t>Avverkning för att bevara och utveckla /försöksver</t>
        </is>
      </c>
      <c r="D687" s="1" t="n">
        <v>45694</v>
      </c>
      <c r="E687" s="1" t="n">
        <v>46222</v>
      </c>
      <c r="F687" t="inlineStr">
        <is>
          <t>UPPSALA LÄN</t>
        </is>
      </c>
      <c r="G687" t="inlineStr">
        <is>
          <t>UPPSALA</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20497-2022</t>
        </is>
      </c>
      <c r="B688" t="inlineStr">
        <is>
          <t>avverkningsanmälan</t>
        </is>
      </c>
      <c r="C688" t="inlineStr">
        <is>
          <t>Föryngringsavverkning</t>
        </is>
      </c>
      <c r="D688" s="1" t="n">
        <v>44699</v>
      </c>
      <c r="E688" s="1" t="n">
        <v>46222</v>
      </c>
      <c r="F688" t="inlineStr">
        <is>
          <t>UPPSALA LÄN</t>
        </is>
      </c>
      <c r="G688" t="inlineStr">
        <is>
          <t>UPPSALA</t>
        </is>
      </c>
      <c r="H688" t="inlineStr">
        <is>
          <t>Övriga statliga verk och myndigheter</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52503-2023</t>
        </is>
      </c>
      <c r="B689" t="inlineStr">
        <is>
          <t>avverkningsanmälan</t>
        </is>
      </c>
      <c r="C689" t="inlineStr">
        <is>
          <t>Föryngringsavverkning</t>
        </is>
      </c>
      <c r="D689" s="1" t="n">
        <v>45225</v>
      </c>
      <c r="E689" s="1" t="n">
        <v>46222</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26742-2026</t>
        </is>
      </c>
      <c r="B690" t="inlineStr">
        <is>
          <t>avverkningsanmälan</t>
        </is>
      </c>
      <c r="C690" t="inlineStr">
        <is>
          <t>Föryngringsavverkning</t>
        </is>
      </c>
      <c r="D690" s="1" t="n">
        <v>46184</v>
      </c>
      <c r="E690" s="1" t="n">
        <v>46222</v>
      </c>
      <c r="F690" t="inlineStr">
        <is>
          <t>UPPSALA LÄN</t>
        </is>
      </c>
      <c r="G690" t="inlineStr">
        <is>
          <t>UPPSALA</t>
        </is>
      </c>
      <c r="H690" t="inlineStr">
        <is>
          <t>Kyrkan</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60447-2023</t>
        </is>
      </c>
      <c r="B691" t="inlineStr">
        <is>
          <t>avverkningsanmälan</t>
        </is>
      </c>
      <c r="C691" t="inlineStr">
        <is>
          <t>Föryngringsavverkning</t>
        </is>
      </c>
      <c r="D691" s="1" t="n">
        <v>45259</v>
      </c>
      <c r="E691" s="1" t="n">
        <v>46222</v>
      </c>
      <c r="F691" t="inlineStr">
        <is>
          <t>UPPSALA LÄN</t>
        </is>
      </c>
      <c r="G691" t="inlineStr">
        <is>
          <t>UPPSALA</t>
        </is>
      </c>
      <c r="H691" t="inlineStr">
        <is>
          <t>Bergvik skog öst AB</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54783-2023</t>
        </is>
      </c>
      <c r="B692" t="inlineStr">
        <is>
          <t>avverkningsanmälan</t>
        </is>
      </c>
      <c r="C692" t="inlineStr">
        <is>
          <t>Föryngringsavverkning</t>
        </is>
      </c>
      <c r="D692" s="1" t="n">
        <v>45236</v>
      </c>
      <c r="E692" s="1" t="n">
        <v>46222</v>
      </c>
      <c r="F692" t="inlineStr">
        <is>
          <t>UPPSALA LÄN</t>
        </is>
      </c>
      <c r="G692" t="inlineStr">
        <is>
          <t>UPPSALA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27362-2026</t>
        </is>
      </c>
      <c r="B693" t="inlineStr">
        <is>
          <t>avverkningsanmälan</t>
        </is>
      </c>
      <c r="C693" t="inlineStr">
        <is>
          <t>Föryngringsavverkning</t>
        </is>
      </c>
      <c r="D693" s="1" t="n">
        <v>46188</v>
      </c>
      <c r="E693" s="1" t="n">
        <v>46222</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600-2024</t>
        </is>
      </c>
      <c r="B694" t="inlineStr">
        <is>
          <t>avverkningsanmälan</t>
        </is>
      </c>
      <c r="C694" t="inlineStr">
        <is>
          <t>Avverkning för annat ändamål</t>
        </is>
      </c>
      <c r="D694" s="1" t="n">
        <v>45299</v>
      </c>
      <c r="E694" s="1" t="n">
        <v>46222</v>
      </c>
      <c r="F694" t="inlineStr">
        <is>
          <t>UPPSALA LÄN</t>
        </is>
      </c>
      <c r="G694" t="inlineStr">
        <is>
          <t>UPPSALA</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27107-2026</t>
        </is>
      </c>
      <c r="B695" t="inlineStr">
        <is>
          <t>avverkningsanmälan</t>
        </is>
      </c>
      <c r="C695" t="inlineStr">
        <is>
          <t>Föryngringsavverkning</t>
        </is>
      </c>
      <c r="D695" s="1" t="n">
        <v>46188</v>
      </c>
      <c r="E695" s="1" t="n">
        <v>46222</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62287-2023</t>
        </is>
      </c>
      <c r="B696" t="inlineStr">
        <is>
          <t>avverkningsanmälan</t>
        </is>
      </c>
      <c r="C696" t="inlineStr">
        <is>
          <t>Föryngringsavverkning</t>
        </is>
      </c>
      <c r="D696" s="1" t="n">
        <v>45267</v>
      </c>
      <c r="E696" s="1" t="n">
        <v>46222</v>
      </c>
      <c r="F696" t="inlineStr">
        <is>
          <t>UPPSALA LÄN</t>
        </is>
      </c>
      <c r="G696" t="inlineStr">
        <is>
          <t>UPPSALA</t>
        </is>
      </c>
      <c r="H696" t="inlineStr">
        <is>
          <t>Allmännings- och besparingsskogar</t>
        </is>
      </c>
      <c r="I696" t="n">
        <v>2.8</v>
      </c>
      <c r="J696" t="n">
        <v>0</v>
      </c>
      <c r="K696" t="n">
        <v>0</v>
      </c>
      <c r="L696" t="n">
        <v>0</v>
      </c>
      <c r="M696" t="n">
        <v>0</v>
      </c>
      <c r="N696" t="n">
        <v>0</v>
      </c>
      <c r="O696" t="n">
        <v>0</v>
      </c>
      <c r="P696" t="n">
        <v>0</v>
      </c>
      <c r="Q696" t="n">
        <v>0</v>
      </c>
      <c r="R696" t="n">
        <v>0</v>
      </c>
      <c r="S696" t="n">
        <v>0</v>
      </c>
      <c r="T696" t="n">
        <v>0</v>
      </c>
      <c r="U696" s="2" t="inlineStr"/>
    </row>
    <row r="697" ht="15" customHeight="1">
      <c r="A697" t="inlineStr">
        <is>
          <t>A 54808-2023</t>
        </is>
      </c>
      <c r="B697" t="inlineStr">
        <is>
          <t>avverkningsanmälan</t>
        </is>
      </c>
      <c r="C697" t="inlineStr">
        <is>
          <t>Föryngringsavverkning</t>
        </is>
      </c>
      <c r="D697" s="1" t="n">
        <v>45236</v>
      </c>
      <c r="E697" s="1" t="n">
        <v>46222</v>
      </c>
      <c r="F697" t="inlineStr">
        <is>
          <t>UPPSALA LÄN</t>
        </is>
      </c>
      <c r="G697" t="inlineStr">
        <is>
          <t>UPPSALA</t>
        </is>
      </c>
      <c r="I697" t="n">
        <v>4.1</v>
      </c>
      <c r="J697" t="n">
        <v>0</v>
      </c>
      <c r="K697" t="n">
        <v>0</v>
      </c>
      <c r="L697" t="n">
        <v>0</v>
      </c>
      <c r="M697" t="n">
        <v>0</v>
      </c>
      <c r="N697" t="n">
        <v>0</v>
      </c>
      <c r="O697" t="n">
        <v>0</v>
      </c>
      <c r="P697" t="n">
        <v>0</v>
      </c>
      <c r="Q697" t="n">
        <v>0</v>
      </c>
      <c r="R697" t="n">
        <v>0</v>
      </c>
      <c r="S697" t="n">
        <v>0</v>
      </c>
      <c r="T697" t="n">
        <v>0</v>
      </c>
      <c r="U697" s="2" t="inlineStr"/>
    </row>
    <row r="698" ht="15" customHeight="1">
      <c r="A698" t="inlineStr">
        <is>
          <t>A 27118-2026</t>
        </is>
      </c>
      <c r="B698" t="inlineStr">
        <is>
          <t>avverkningsanmälan</t>
        </is>
      </c>
      <c r="C698" t="inlineStr">
        <is>
          <t>Föryngringsavverkning</t>
        </is>
      </c>
      <c r="D698" s="1" t="n">
        <v>46188</v>
      </c>
      <c r="E698" s="1" t="n">
        <v>46222</v>
      </c>
      <c r="F698" t="inlineStr">
        <is>
          <t>UPPSALA LÄN</t>
        </is>
      </c>
      <c r="G698" t="inlineStr">
        <is>
          <t>UPPSALA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27320-2026</t>
        </is>
      </c>
      <c r="B699" t="inlineStr">
        <is>
          <t>avverkningsanmälan</t>
        </is>
      </c>
      <c r="C699" t="inlineStr">
        <is>
          <t>Föryngringsavverkning</t>
        </is>
      </c>
      <c r="D699" s="1" t="n">
        <v>46188</v>
      </c>
      <c r="E699" s="1" t="n">
        <v>46222</v>
      </c>
      <c r="F699" t="inlineStr">
        <is>
          <t>UPPSALA LÄN</t>
        </is>
      </c>
      <c r="G699" t="inlineStr">
        <is>
          <t>UPPSALA</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27113-2026</t>
        </is>
      </c>
      <c r="B700" t="inlineStr">
        <is>
          <t>avverkningsanmälan</t>
        </is>
      </c>
      <c r="C700" t="inlineStr">
        <is>
          <t>Föryngringsavverkning</t>
        </is>
      </c>
      <c r="D700" s="1" t="n">
        <v>46188</v>
      </c>
      <c r="E700" s="1" t="n">
        <v>46222</v>
      </c>
      <c r="F700" t="inlineStr">
        <is>
          <t>UPPSALA LÄN</t>
        </is>
      </c>
      <c r="G700" t="inlineStr">
        <is>
          <t>UPPSALA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21453-2026</t>
        </is>
      </c>
      <c r="B701" t="inlineStr">
        <is>
          <t>avverkningsanmälan</t>
        </is>
      </c>
      <c r="C701" t="inlineStr">
        <is>
          <t>Föryngringsavverkning</t>
        </is>
      </c>
      <c r="D701" s="1" t="n">
        <v>46146</v>
      </c>
      <c r="E701" s="1" t="n">
        <v>46222</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26844-2026</t>
        </is>
      </c>
      <c r="B702" t="inlineStr">
        <is>
          <t>avverkningsanmälan</t>
        </is>
      </c>
      <c r="C702" t="inlineStr">
        <is>
          <t>Föryngringsavverkning</t>
        </is>
      </c>
      <c r="D702" s="1" t="n">
        <v>46185</v>
      </c>
      <c r="E702" s="1" t="n">
        <v>46222</v>
      </c>
      <c r="F702" t="inlineStr">
        <is>
          <t>UPPSALA LÄN</t>
        </is>
      </c>
      <c r="G702" t="inlineStr">
        <is>
          <t>UPPSALA</t>
        </is>
      </c>
      <c r="I702" t="n">
        <v>5.1</v>
      </c>
      <c r="J702" t="n">
        <v>0</v>
      </c>
      <c r="K702" t="n">
        <v>0</v>
      </c>
      <c r="L702" t="n">
        <v>0</v>
      </c>
      <c r="M702" t="n">
        <v>0</v>
      </c>
      <c r="N702" t="n">
        <v>0</v>
      </c>
      <c r="O702" t="n">
        <v>0</v>
      </c>
      <c r="P702" t="n">
        <v>0</v>
      </c>
      <c r="Q702" t="n">
        <v>0</v>
      </c>
      <c r="R702" t="n">
        <v>0</v>
      </c>
      <c r="S702" t="n">
        <v>0</v>
      </c>
      <c r="T702" t="n">
        <v>0</v>
      </c>
      <c r="U702" s="2" t="inlineStr"/>
    </row>
    <row r="703" ht="15" customHeight="1">
      <c r="A703" t="inlineStr">
        <is>
          <t>A 21194-2026</t>
        </is>
      </c>
      <c r="B703" t="inlineStr">
        <is>
          <t>avverkningsanmälan</t>
        </is>
      </c>
      <c r="C703" t="inlineStr">
        <is>
          <t>Föryngringsavverkning</t>
        </is>
      </c>
      <c r="D703" s="1" t="n">
        <v>46146</v>
      </c>
      <c r="E703" s="1" t="n">
        <v>46222</v>
      </c>
      <c r="F703" t="inlineStr">
        <is>
          <t>UPPSALA LÄN</t>
        </is>
      </c>
      <c r="G703" t="inlineStr">
        <is>
          <t>UPPSALA</t>
        </is>
      </c>
      <c r="I703" t="n">
        <v>2.5</v>
      </c>
      <c r="J703" t="n">
        <v>0</v>
      </c>
      <c r="K703" t="n">
        <v>0</v>
      </c>
      <c r="L703" t="n">
        <v>0</v>
      </c>
      <c r="M703" t="n">
        <v>0</v>
      </c>
      <c r="N703" t="n">
        <v>0</v>
      </c>
      <c r="O703" t="n">
        <v>0</v>
      </c>
      <c r="P703" t="n">
        <v>0</v>
      </c>
      <c r="Q703" t="n">
        <v>0</v>
      </c>
      <c r="R703" t="n">
        <v>0</v>
      </c>
      <c r="S703" t="n">
        <v>0</v>
      </c>
      <c r="T703" t="n">
        <v>0</v>
      </c>
      <c r="U703" s="2" t="inlineStr"/>
    </row>
    <row r="704" ht="15" customHeight="1">
      <c r="A704" t="inlineStr">
        <is>
          <t>A 35542-2022</t>
        </is>
      </c>
      <c r="B704" t="inlineStr">
        <is>
          <t>avverkningsanmälan</t>
        </is>
      </c>
      <c r="C704" t="inlineStr">
        <is>
          <t>Föryngringsavverkning</t>
        </is>
      </c>
      <c r="D704" s="1" t="n">
        <v>44799</v>
      </c>
      <c r="E704" s="1" t="n">
        <v>46222</v>
      </c>
      <c r="F704" t="inlineStr">
        <is>
          <t>UPPSALA LÄN</t>
        </is>
      </c>
      <c r="G704" t="inlineStr">
        <is>
          <t>UPPSALA</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59585-2023</t>
        </is>
      </c>
      <c r="B705" t="inlineStr">
        <is>
          <t>avverkningsanmälan</t>
        </is>
      </c>
      <c r="C705" t="inlineStr">
        <is>
          <t>Föryngringsavverkning</t>
        </is>
      </c>
      <c r="D705" s="1" t="n">
        <v>45254</v>
      </c>
      <c r="E705" s="1" t="n">
        <v>46222</v>
      </c>
      <c r="F705" t="inlineStr">
        <is>
          <t>UPPSALA LÄN</t>
        </is>
      </c>
      <c r="G705" t="inlineStr">
        <is>
          <t>UPPSALA</t>
        </is>
      </c>
      <c r="I705" t="n">
        <v>4.4</v>
      </c>
      <c r="J705" t="n">
        <v>0</v>
      </c>
      <c r="K705" t="n">
        <v>0</v>
      </c>
      <c r="L705" t="n">
        <v>0</v>
      </c>
      <c r="M705" t="n">
        <v>0</v>
      </c>
      <c r="N705" t="n">
        <v>0</v>
      </c>
      <c r="O705" t="n">
        <v>0</v>
      </c>
      <c r="P705" t="n">
        <v>0</v>
      </c>
      <c r="Q705" t="n">
        <v>0</v>
      </c>
      <c r="R705" t="n">
        <v>0</v>
      </c>
      <c r="S705" t="n">
        <v>0</v>
      </c>
      <c r="T705" t="n">
        <v>0</v>
      </c>
      <c r="U705" s="2" t="inlineStr"/>
    </row>
    <row r="706" ht="15" customHeight="1">
      <c r="A706" t="inlineStr">
        <is>
          <t>A 3813-2024</t>
        </is>
      </c>
      <c r="B706" t="inlineStr">
        <is>
          <t>avverkningsanmälan</t>
        </is>
      </c>
      <c r="C706" t="inlineStr">
        <is>
          <t>Föryngringsavverkning</t>
        </is>
      </c>
      <c r="D706" s="1" t="n">
        <v>45321</v>
      </c>
      <c r="E706" s="1" t="n">
        <v>46222</v>
      </c>
      <c r="F706" t="inlineStr">
        <is>
          <t>UPPSALA LÄN</t>
        </is>
      </c>
      <c r="G706" t="inlineStr">
        <is>
          <t>UPPSALA</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3260-2024</t>
        </is>
      </c>
      <c r="B707" t="inlineStr">
        <is>
          <t>avverkningsanmälan</t>
        </is>
      </c>
      <c r="C707" t="inlineStr">
        <is>
          <t>Föryngringsavverkning</t>
        </is>
      </c>
      <c r="D707" s="1" t="n">
        <v>45317</v>
      </c>
      <c r="E707" s="1" t="n">
        <v>46222</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9611-2024</t>
        </is>
      </c>
      <c r="B708" t="inlineStr">
        <is>
          <t>avverkningsanmälan</t>
        </is>
      </c>
      <c r="C708" t="inlineStr">
        <is>
          <t>Föryngringsavverkning</t>
        </is>
      </c>
      <c r="D708" s="1" t="n">
        <v>45361</v>
      </c>
      <c r="E708" s="1" t="n">
        <v>46222</v>
      </c>
      <c r="F708" t="inlineStr">
        <is>
          <t>UPPSALA LÄN</t>
        </is>
      </c>
      <c r="G708" t="inlineStr">
        <is>
          <t>UPPSALA</t>
        </is>
      </c>
      <c r="H708" t="inlineStr">
        <is>
          <t>Bergvik skog öst AB</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39107-2023</t>
        </is>
      </c>
      <c r="B709" t="inlineStr">
        <is>
          <t>avverkningsanmälan</t>
        </is>
      </c>
      <c r="C709" t="inlineStr">
        <is>
          <t>Föryngringsavverkning</t>
        </is>
      </c>
      <c r="D709" s="1" t="n">
        <v>45164</v>
      </c>
      <c r="E709" s="1" t="n">
        <v>46222</v>
      </c>
      <c r="F709" t="inlineStr">
        <is>
          <t>UPPSALA LÄN</t>
        </is>
      </c>
      <c r="G709" t="inlineStr">
        <is>
          <t>UPPSALA</t>
        </is>
      </c>
      <c r="H709" t="inlineStr">
        <is>
          <t>Bergvik skog öst AB</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8109-2024</t>
        </is>
      </c>
      <c r="B710" t="inlineStr">
        <is>
          <t>avverkningsanmälan</t>
        </is>
      </c>
      <c r="C710" t="inlineStr">
        <is>
          <t>Föryngringsavverkning</t>
        </is>
      </c>
      <c r="D710" s="1" t="n">
        <v>45351</v>
      </c>
      <c r="E710" s="1" t="n">
        <v>46222</v>
      </c>
      <c r="F710" t="inlineStr">
        <is>
          <t>UPPSALA LÄN</t>
        </is>
      </c>
      <c r="G710" t="inlineStr">
        <is>
          <t>UPPSALA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554-2023</t>
        </is>
      </c>
      <c r="B711" t="inlineStr">
        <is>
          <t>avverkningsanmälan</t>
        </is>
      </c>
      <c r="C711" t="inlineStr">
        <is>
          <t>Föryngringsavverkning</t>
        </is>
      </c>
      <c r="D711" s="1" t="n">
        <v>44930</v>
      </c>
      <c r="E711" s="1" t="n">
        <v>46222</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2357-2024</t>
        </is>
      </c>
      <c r="B712" t="inlineStr">
        <is>
          <t>avverkningsanmälan</t>
        </is>
      </c>
      <c r="C712" t="inlineStr">
        <is>
          <t>Föryngringsavverkning</t>
        </is>
      </c>
      <c r="D712" s="1" t="n">
        <v>45310</v>
      </c>
      <c r="E712" s="1" t="n">
        <v>46222</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44781-2021</t>
        </is>
      </c>
      <c r="B713" t="inlineStr">
        <is>
          <t>avverkningsanmälan</t>
        </is>
      </c>
      <c r="C713" t="inlineStr">
        <is>
          <t>Avverkning för annat ändamål</t>
        </is>
      </c>
      <c r="D713" s="1" t="n">
        <v>44438</v>
      </c>
      <c r="E713" s="1" t="n">
        <v>46222</v>
      </c>
      <c r="F713" t="inlineStr">
        <is>
          <t>UPPSALA LÄN</t>
        </is>
      </c>
      <c r="G713" t="inlineStr">
        <is>
          <t>UPPSALA</t>
        </is>
      </c>
      <c r="H713" t="inlineStr">
        <is>
          <t>Sveaskog</t>
        </is>
      </c>
      <c r="I713" t="n">
        <v>0.1</v>
      </c>
      <c r="J713" t="n">
        <v>0</v>
      </c>
      <c r="K713" t="n">
        <v>0</v>
      </c>
      <c r="L713" t="n">
        <v>0</v>
      </c>
      <c r="M713" t="n">
        <v>0</v>
      </c>
      <c r="N713" t="n">
        <v>0</v>
      </c>
      <c r="O713" t="n">
        <v>0</v>
      </c>
      <c r="P713" t="n">
        <v>0</v>
      </c>
      <c r="Q713" t="n">
        <v>0</v>
      </c>
      <c r="R713" t="n">
        <v>0</v>
      </c>
      <c r="S713" t="n">
        <v>0</v>
      </c>
      <c r="T713" t="n">
        <v>0</v>
      </c>
      <c r="U713" s="2" t="inlineStr"/>
    </row>
    <row r="714" ht="15" customHeight="1">
      <c r="A714" t="inlineStr">
        <is>
          <t>A 27893-2026</t>
        </is>
      </c>
      <c r="B714" t="inlineStr">
        <is>
          <t>avverkningsanmälan</t>
        </is>
      </c>
      <c r="C714" t="inlineStr">
        <is>
          <t>Föryngringsavverkning</t>
        </is>
      </c>
      <c r="D714" s="1" t="n">
        <v>46191</v>
      </c>
      <c r="E714" s="1" t="n">
        <v>46222</v>
      </c>
      <c r="F714" t="inlineStr">
        <is>
          <t>UPPSALA LÄN</t>
        </is>
      </c>
      <c r="G714" t="inlineStr">
        <is>
          <t>UPPSALA</t>
        </is>
      </c>
      <c r="H714" t="inlineStr">
        <is>
          <t>Allmännings- och besparingsskogar</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27903-2026</t>
        </is>
      </c>
      <c r="B715" t="inlineStr">
        <is>
          <t>avverkningsanmälan</t>
        </is>
      </c>
      <c r="C715" t="inlineStr">
        <is>
          <t>Föryngringsavverkning</t>
        </is>
      </c>
      <c r="D715" s="1" t="n">
        <v>46191</v>
      </c>
      <c r="E715" s="1" t="n">
        <v>46222</v>
      </c>
      <c r="F715" t="inlineStr">
        <is>
          <t>UPPSALA LÄN</t>
        </is>
      </c>
      <c r="G715" t="inlineStr">
        <is>
          <t>UPPSALA</t>
        </is>
      </c>
      <c r="H715" t="inlineStr">
        <is>
          <t>Bergvik skog öst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26323-2023</t>
        </is>
      </c>
      <c r="B716" t="inlineStr">
        <is>
          <t>avverkningsanmälan</t>
        </is>
      </c>
      <c r="C716" t="inlineStr">
        <is>
          <t>Föryngringsavverkning</t>
        </is>
      </c>
      <c r="D716" s="1" t="n">
        <v>45091</v>
      </c>
      <c r="E716" s="1" t="n">
        <v>46222</v>
      </c>
      <c r="F716" t="inlineStr">
        <is>
          <t>UPPSALA LÄN</t>
        </is>
      </c>
      <c r="G716" t="inlineStr">
        <is>
          <t>UPPSALA</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21864-2026</t>
        </is>
      </c>
      <c r="B717" t="inlineStr">
        <is>
          <t>avverkningsanmälan</t>
        </is>
      </c>
      <c r="C717" t="inlineStr">
        <is>
          <t>Föryngringsavverkning</t>
        </is>
      </c>
      <c r="D717" s="1" t="n">
        <v>46150</v>
      </c>
      <c r="E717" s="1" t="n">
        <v>46222</v>
      </c>
      <c r="F717" t="inlineStr">
        <is>
          <t>UPPSALA LÄN</t>
        </is>
      </c>
      <c r="G717" t="inlineStr">
        <is>
          <t>UPPSALA</t>
        </is>
      </c>
      <c r="H717" t="inlineStr">
        <is>
          <t>Bergvik skog öst AB</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27817-2026</t>
        </is>
      </c>
      <c r="B718" t="inlineStr">
        <is>
          <t>avverkningsanmälan</t>
        </is>
      </c>
      <c r="C718" t="inlineStr">
        <is>
          <t>Föryngringsavverkning</t>
        </is>
      </c>
      <c r="D718" s="1" t="n">
        <v>46191</v>
      </c>
      <c r="E718" s="1" t="n">
        <v>46222</v>
      </c>
      <c r="F718" t="inlineStr">
        <is>
          <t>UPPSALA LÄN</t>
        </is>
      </c>
      <c r="G718" t="inlineStr">
        <is>
          <t>UPPSALA</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27900-2026</t>
        </is>
      </c>
      <c r="B719" t="inlineStr">
        <is>
          <t>avverkningsanmälan</t>
        </is>
      </c>
      <c r="C719" t="inlineStr">
        <is>
          <t>Föryngringsavverkning</t>
        </is>
      </c>
      <c r="D719" s="1" t="n">
        <v>46191</v>
      </c>
      <c r="E719" s="1" t="n">
        <v>46222</v>
      </c>
      <c r="F719" t="inlineStr">
        <is>
          <t>UPPSALA LÄN</t>
        </is>
      </c>
      <c r="G719" t="inlineStr">
        <is>
          <t>UPPSALA</t>
        </is>
      </c>
      <c r="H719" t="inlineStr">
        <is>
          <t>Bergvik skog öst AB</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27904-2026</t>
        </is>
      </c>
      <c r="B720" t="inlineStr">
        <is>
          <t>avverkningsanmälan</t>
        </is>
      </c>
      <c r="C720" t="inlineStr">
        <is>
          <t>Föryngringsavverkning</t>
        </is>
      </c>
      <c r="D720" s="1" t="n">
        <v>46191</v>
      </c>
      <c r="E720" s="1" t="n">
        <v>46222</v>
      </c>
      <c r="F720" t="inlineStr">
        <is>
          <t>UPPSALA LÄN</t>
        </is>
      </c>
      <c r="G720" t="inlineStr">
        <is>
          <t>UPPSALA</t>
        </is>
      </c>
      <c r="H720" t="inlineStr">
        <is>
          <t>Bergvik skog öst AB</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33332-2022</t>
        </is>
      </c>
      <c r="B721" t="inlineStr">
        <is>
          <t>avverkningsanmälan</t>
        </is>
      </c>
      <c r="C721" t="inlineStr">
        <is>
          <t>Föryngringsavverkning</t>
        </is>
      </c>
      <c r="D721" s="1" t="n">
        <v>44788</v>
      </c>
      <c r="E721" s="1" t="n">
        <v>46222</v>
      </c>
      <c r="F721" t="inlineStr">
        <is>
          <t>UPPSALA LÄN</t>
        </is>
      </c>
      <c r="G721" t="inlineStr">
        <is>
          <t>UPPSALA</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39608-2022</t>
        </is>
      </c>
      <c r="B722" t="inlineStr">
        <is>
          <t>avverkningsanmälan</t>
        </is>
      </c>
      <c r="C722" t="inlineStr">
        <is>
          <t>Föryngringsavverkning</t>
        </is>
      </c>
      <c r="D722" s="1" t="n">
        <v>44817</v>
      </c>
      <c r="E722" s="1" t="n">
        <v>46222</v>
      </c>
      <c r="F722" t="inlineStr">
        <is>
          <t>UPPSALA LÄN</t>
        </is>
      </c>
      <c r="G722" t="inlineStr">
        <is>
          <t>UPPSALA</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50267-2023</t>
        </is>
      </c>
      <c r="B723" t="inlineStr">
        <is>
          <t>avverkningsanmälan</t>
        </is>
      </c>
      <c r="C723" t="inlineStr">
        <is>
          <t>Föryngringsavverkning</t>
        </is>
      </c>
      <c r="D723" s="1" t="n">
        <v>45216</v>
      </c>
      <c r="E723" s="1" t="n">
        <v>46222</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50037-2024</t>
        </is>
      </c>
      <c r="B724" t="inlineStr">
        <is>
          <t>avverkningsanmälan</t>
        </is>
      </c>
      <c r="C724" t="inlineStr">
        <is>
          <t>Föryngringsavverkning</t>
        </is>
      </c>
      <c r="D724" s="1" t="n">
        <v>45599</v>
      </c>
      <c r="E724" s="1" t="n">
        <v>46222</v>
      </c>
      <c r="F724" t="inlineStr">
        <is>
          <t>UPPSALA LÄN</t>
        </is>
      </c>
      <c r="G724" t="inlineStr">
        <is>
          <t>UPPSALA</t>
        </is>
      </c>
      <c r="I724" t="n">
        <v>13.7</v>
      </c>
      <c r="J724" t="n">
        <v>0</v>
      </c>
      <c r="K724" t="n">
        <v>0</v>
      </c>
      <c r="L724" t="n">
        <v>0</v>
      </c>
      <c r="M724" t="n">
        <v>0</v>
      </c>
      <c r="N724" t="n">
        <v>0</v>
      </c>
      <c r="O724" t="n">
        <v>0</v>
      </c>
      <c r="P724" t="n">
        <v>0</v>
      </c>
      <c r="Q724" t="n">
        <v>0</v>
      </c>
      <c r="R724" t="n">
        <v>0</v>
      </c>
      <c r="S724" t="n">
        <v>0</v>
      </c>
      <c r="T724" t="n">
        <v>0</v>
      </c>
      <c r="U724" s="2" t="inlineStr"/>
    </row>
    <row r="725" ht="15" customHeight="1">
      <c r="A725" t="inlineStr">
        <is>
          <t>A 9820-2023</t>
        </is>
      </c>
      <c r="B725" t="inlineStr">
        <is>
          <t>avverkningsanmälan</t>
        </is>
      </c>
      <c r="C725" t="inlineStr">
        <is>
          <t>Föryngringsavverkning</t>
        </is>
      </c>
      <c r="D725" s="1" t="n">
        <v>44984</v>
      </c>
      <c r="E725" s="1" t="n">
        <v>46222</v>
      </c>
      <c r="F725" t="inlineStr">
        <is>
          <t>UPPSALA LÄN</t>
        </is>
      </c>
      <c r="G725" t="inlineStr">
        <is>
          <t>UPPSALA</t>
        </is>
      </c>
      <c r="H725" t="inlineStr">
        <is>
          <t>Kyrkan</t>
        </is>
      </c>
      <c r="I725" t="n">
        <v>2</v>
      </c>
      <c r="J725" t="n">
        <v>0</v>
      </c>
      <c r="K725" t="n">
        <v>0</v>
      </c>
      <c r="L725" t="n">
        <v>0</v>
      </c>
      <c r="M725" t="n">
        <v>0</v>
      </c>
      <c r="N725" t="n">
        <v>0</v>
      </c>
      <c r="O725" t="n">
        <v>0</v>
      </c>
      <c r="P725" t="n">
        <v>0</v>
      </c>
      <c r="Q725" t="n">
        <v>0</v>
      </c>
      <c r="R725" t="n">
        <v>0</v>
      </c>
      <c r="S725" t="n">
        <v>0</v>
      </c>
      <c r="T725" t="n">
        <v>0</v>
      </c>
      <c r="U725" s="2" t="inlineStr"/>
    </row>
    <row r="726" ht="15" customHeight="1">
      <c r="A726" t="inlineStr">
        <is>
          <t>A 13799-2024</t>
        </is>
      </c>
      <c r="B726" t="inlineStr">
        <is>
          <t>avverkningsanmälan</t>
        </is>
      </c>
      <c r="C726" t="inlineStr">
        <is>
          <t>Föryngringsavverkning</t>
        </is>
      </c>
      <c r="D726" s="1" t="n">
        <v>45391</v>
      </c>
      <c r="E726" s="1" t="n">
        <v>46222</v>
      </c>
      <c r="F726" t="inlineStr">
        <is>
          <t>UPPSALA LÄN</t>
        </is>
      </c>
      <c r="G726" t="inlineStr">
        <is>
          <t>UPPSALA</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33816-2024</t>
        </is>
      </c>
      <c r="B727" t="inlineStr">
        <is>
          <t>avverkningsanmälan</t>
        </is>
      </c>
      <c r="C727" t="inlineStr">
        <is>
          <t>Föryngringsavverkning</t>
        </is>
      </c>
      <c r="D727" s="1" t="n">
        <v>45520</v>
      </c>
      <c r="E727" s="1" t="n">
        <v>46222</v>
      </c>
      <c r="F727" t="inlineStr">
        <is>
          <t>UPPSALA LÄN</t>
        </is>
      </c>
      <c r="G727" t="inlineStr">
        <is>
          <t>UPPSALA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2927-2022</t>
        </is>
      </c>
      <c r="B728" t="inlineStr">
        <is>
          <t>avverkningsanmälan</t>
        </is>
      </c>
      <c r="C728" t="inlineStr">
        <is>
          <t>Föryngringsavverkning</t>
        </is>
      </c>
      <c r="D728" s="1" t="n">
        <v>44581</v>
      </c>
      <c r="E728" s="1" t="n">
        <v>46222</v>
      </c>
      <c r="F728" t="inlineStr">
        <is>
          <t>UPPSALA LÄN</t>
        </is>
      </c>
      <c r="G728" t="inlineStr">
        <is>
          <t>UPPSALA</t>
        </is>
      </c>
      <c r="H728" t="inlineStr">
        <is>
          <t>Holmen skog AB</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733-2022</t>
        </is>
      </c>
      <c r="B729" t="inlineStr">
        <is>
          <t>avverkningsanmälan</t>
        </is>
      </c>
      <c r="C729" t="inlineStr">
        <is>
          <t>Föryngringsavverkning</t>
        </is>
      </c>
      <c r="D729" s="1" t="n">
        <v>44568</v>
      </c>
      <c r="E729" s="1" t="n">
        <v>46222</v>
      </c>
      <c r="F729" t="inlineStr">
        <is>
          <t>UPPSALA LÄN</t>
        </is>
      </c>
      <c r="G729" t="inlineStr">
        <is>
          <t>UPPSALA</t>
        </is>
      </c>
      <c r="H729" t="inlineStr">
        <is>
          <t>Holmen skog AB</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59719-2022</t>
        </is>
      </c>
      <c r="B730" t="inlineStr">
        <is>
          <t>avverkningsanmälan</t>
        </is>
      </c>
      <c r="C730" t="inlineStr">
        <is>
          <t>Föryngringsavverkning</t>
        </is>
      </c>
      <c r="D730" s="1" t="n">
        <v>44908</v>
      </c>
      <c r="E730" s="1" t="n">
        <v>46222</v>
      </c>
      <c r="F730" t="inlineStr">
        <is>
          <t>UPPSALA LÄN</t>
        </is>
      </c>
      <c r="G730" t="inlineStr">
        <is>
          <t>UPPSALA</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28775-2026</t>
        </is>
      </c>
      <c r="B731" t="inlineStr">
        <is>
          <t>avverkningsanmälan</t>
        </is>
      </c>
      <c r="C731" t="inlineStr">
        <is>
          <t>Föryngringsavverkning</t>
        </is>
      </c>
      <c r="D731" s="1" t="n">
        <v>46198</v>
      </c>
      <c r="E731" s="1" t="n">
        <v>46222</v>
      </c>
      <c r="F731" t="inlineStr">
        <is>
          <t>UPPSALA LÄN</t>
        </is>
      </c>
      <c r="G731" t="inlineStr">
        <is>
          <t>UPPSALA</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3353-2023</t>
        </is>
      </c>
      <c r="B732" t="inlineStr">
        <is>
          <t>avverkningsanmälan</t>
        </is>
      </c>
      <c r="C732" t="inlineStr">
        <is>
          <t>Föryngringsavverkning</t>
        </is>
      </c>
      <c r="D732" s="1" t="n">
        <v>44949</v>
      </c>
      <c r="E732" s="1" t="n">
        <v>46222</v>
      </c>
      <c r="F732" t="inlineStr">
        <is>
          <t>UPPSALA LÄN</t>
        </is>
      </c>
      <c r="G732" t="inlineStr">
        <is>
          <t>UPPSALA</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37819-2021</t>
        </is>
      </c>
      <c r="B733" t="inlineStr">
        <is>
          <t>avverkningsanmälan</t>
        </is>
      </c>
      <c r="C733" t="inlineStr">
        <is>
          <t>Föryngringsavverkning</t>
        </is>
      </c>
      <c r="D733" s="1" t="n">
        <v>44403</v>
      </c>
      <c r="E733" s="1" t="n">
        <v>46222</v>
      </c>
      <c r="F733" t="inlineStr">
        <is>
          <t>UPPSALA LÄN</t>
        </is>
      </c>
      <c r="G733" t="inlineStr">
        <is>
          <t>UPPSALA</t>
        </is>
      </c>
      <c r="H733" t="inlineStr">
        <is>
          <t>Bergvik skog öst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22523-2026</t>
        </is>
      </c>
      <c r="B734" t="inlineStr">
        <is>
          <t>avverkningsanmälan</t>
        </is>
      </c>
      <c r="C734" t="inlineStr">
        <is>
          <t>Föryngringsavverkning</t>
        </is>
      </c>
      <c r="D734" s="1" t="n">
        <v>46155</v>
      </c>
      <c r="E734" s="1" t="n">
        <v>46222</v>
      </c>
      <c r="F734" t="inlineStr">
        <is>
          <t>UPPSALA LÄN</t>
        </is>
      </c>
      <c r="G734" t="inlineStr">
        <is>
          <t>UPPSALA</t>
        </is>
      </c>
      <c r="H734" t="inlineStr">
        <is>
          <t>Allmännings- och besparingsskogar</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22531-2026</t>
        </is>
      </c>
      <c r="B735" t="inlineStr">
        <is>
          <t>avverkningsanmälan</t>
        </is>
      </c>
      <c r="C735" t="inlineStr">
        <is>
          <t>Föryngringsavverkning</t>
        </is>
      </c>
      <c r="D735" s="1" t="n">
        <v>46155</v>
      </c>
      <c r="E735" s="1" t="n">
        <v>46222</v>
      </c>
      <c r="F735" t="inlineStr">
        <is>
          <t>UPPSALA LÄN</t>
        </is>
      </c>
      <c r="G735" t="inlineStr">
        <is>
          <t>UPPSALA</t>
        </is>
      </c>
      <c r="H735" t="inlineStr">
        <is>
          <t>Allmännings- och besparingsskogar</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3086-2023</t>
        </is>
      </c>
      <c r="B736" t="inlineStr">
        <is>
          <t>avverkningsanmälan</t>
        </is>
      </c>
      <c r="C736" t="inlineStr">
        <is>
          <t>Föryngringsavverkning</t>
        </is>
      </c>
      <c r="D736" s="1" t="n">
        <v>44946</v>
      </c>
      <c r="E736" s="1" t="n">
        <v>46222</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16811-2023</t>
        </is>
      </c>
      <c r="B737" t="inlineStr">
        <is>
          <t>avverkningsanmälan</t>
        </is>
      </c>
      <c r="C737" t="inlineStr">
        <is>
          <t>Föryngringsavverkning</t>
        </is>
      </c>
      <c r="D737" s="1" t="n">
        <v>45033</v>
      </c>
      <c r="E737" s="1" t="n">
        <v>46222</v>
      </c>
      <c r="F737" t="inlineStr">
        <is>
          <t>UPPSALA LÄN</t>
        </is>
      </c>
      <c r="G737" t="inlineStr">
        <is>
          <t>UPPSALA</t>
        </is>
      </c>
      <c r="I737" t="n">
        <v>10.1</v>
      </c>
      <c r="J737" t="n">
        <v>0</v>
      </c>
      <c r="K737" t="n">
        <v>0</v>
      </c>
      <c r="L737" t="n">
        <v>0</v>
      </c>
      <c r="M737" t="n">
        <v>0</v>
      </c>
      <c r="N737" t="n">
        <v>0</v>
      </c>
      <c r="O737" t="n">
        <v>0</v>
      </c>
      <c r="P737" t="n">
        <v>0</v>
      </c>
      <c r="Q737" t="n">
        <v>0</v>
      </c>
      <c r="R737" t="n">
        <v>0</v>
      </c>
      <c r="S737" t="n">
        <v>0</v>
      </c>
      <c r="T737" t="n">
        <v>0</v>
      </c>
      <c r="U737" s="2" t="inlineStr"/>
    </row>
    <row r="738" ht="15" customHeight="1">
      <c r="A738" t="inlineStr">
        <is>
          <t>A 69436-2021</t>
        </is>
      </c>
      <c r="B738" t="inlineStr">
        <is>
          <t>avverkningsanmälan</t>
        </is>
      </c>
      <c r="C738" t="inlineStr">
        <is>
          <t>Föryngringsavverkning</t>
        </is>
      </c>
      <c r="D738" s="1" t="n">
        <v>44531</v>
      </c>
      <c r="E738" s="1" t="n">
        <v>46222</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28165-2026</t>
        </is>
      </c>
      <c r="B739" t="inlineStr">
        <is>
          <t>avverkningsanmälan</t>
        </is>
      </c>
      <c r="C739" t="inlineStr">
        <is>
          <t>Föryngringsavverkning</t>
        </is>
      </c>
      <c r="D739" s="1" t="n">
        <v>46195</v>
      </c>
      <c r="E739" s="1" t="n">
        <v>46222</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28795-2026</t>
        </is>
      </c>
      <c r="B740" t="inlineStr">
        <is>
          <t>avverkningsanmälan</t>
        </is>
      </c>
      <c r="C740" t="inlineStr">
        <is>
          <t>Föryngringsavverkning</t>
        </is>
      </c>
      <c r="D740" s="1" t="n">
        <v>46198</v>
      </c>
      <c r="E740" s="1" t="n">
        <v>46222</v>
      </c>
      <c r="F740" t="inlineStr">
        <is>
          <t>UPPSALA LÄN</t>
        </is>
      </c>
      <c r="G740" t="inlineStr">
        <is>
          <t>UPPSALA</t>
        </is>
      </c>
      <c r="H740" t="inlineStr">
        <is>
          <t>Holmen skog AB</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22557-2026</t>
        </is>
      </c>
      <c r="B741" t="inlineStr">
        <is>
          <t>avverkningsanmälan</t>
        </is>
      </c>
      <c r="C741" t="inlineStr">
        <is>
          <t>Föryngringsavverkning</t>
        </is>
      </c>
      <c r="D741" s="1" t="n">
        <v>46155</v>
      </c>
      <c r="E741" s="1" t="n">
        <v>46222</v>
      </c>
      <c r="F741" t="inlineStr">
        <is>
          <t>UPPSALA LÄN</t>
        </is>
      </c>
      <c r="G741" t="inlineStr">
        <is>
          <t>UPPSALA</t>
        </is>
      </c>
      <c r="H741" t="inlineStr">
        <is>
          <t>Övriga Aktiebolag</t>
        </is>
      </c>
      <c r="I741" t="n">
        <v>7.7</v>
      </c>
      <c r="J741" t="n">
        <v>0</v>
      </c>
      <c r="K741" t="n">
        <v>0</v>
      </c>
      <c r="L741" t="n">
        <v>0</v>
      </c>
      <c r="M741" t="n">
        <v>0</v>
      </c>
      <c r="N741" t="n">
        <v>0</v>
      </c>
      <c r="O741" t="n">
        <v>0</v>
      </c>
      <c r="P741" t="n">
        <v>0</v>
      </c>
      <c r="Q741" t="n">
        <v>0</v>
      </c>
      <c r="R741" t="n">
        <v>0</v>
      </c>
      <c r="S741" t="n">
        <v>0</v>
      </c>
      <c r="T741" t="n">
        <v>0</v>
      </c>
      <c r="U741" s="2" t="inlineStr"/>
    </row>
    <row r="742" ht="15" customHeight="1">
      <c r="A742" t="inlineStr">
        <is>
          <t>A 29139-2026</t>
        </is>
      </c>
      <c r="B742" t="inlineStr">
        <is>
          <t>avverkningsanmälan</t>
        </is>
      </c>
      <c r="C742" t="inlineStr">
        <is>
          <t>Föryngringsavverkning</t>
        </is>
      </c>
      <c r="D742" s="1" t="n">
        <v>46202</v>
      </c>
      <c r="E742" s="1" t="n">
        <v>46222</v>
      </c>
      <c r="F742" t="inlineStr">
        <is>
          <t>UPPSALA LÄN</t>
        </is>
      </c>
      <c r="G742" t="inlineStr">
        <is>
          <t>UPPSALA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5678-2023</t>
        </is>
      </c>
      <c r="B743" t="inlineStr">
        <is>
          <t>avverkningsanmälan</t>
        </is>
      </c>
      <c r="C743" t="inlineStr">
        <is>
          <t>Föryngringsavverkning</t>
        </is>
      </c>
      <c r="D743" s="1" t="n">
        <v>44960</v>
      </c>
      <c r="E743" s="1" t="n">
        <v>46222</v>
      </c>
      <c r="F743" t="inlineStr">
        <is>
          <t>UPPSALA LÄN</t>
        </is>
      </c>
      <c r="G743" t="inlineStr">
        <is>
          <t>UPPSALA</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22807-2026</t>
        </is>
      </c>
      <c r="B744" t="inlineStr">
        <is>
          <t>avverkningsanmälan</t>
        </is>
      </c>
      <c r="C744" t="inlineStr">
        <is>
          <t>Föryngringsavverkning</t>
        </is>
      </c>
      <c r="D744" s="1" t="n">
        <v>46160</v>
      </c>
      <c r="E744" s="1" t="n">
        <v>46222</v>
      </c>
      <c r="F744" t="inlineStr">
        <is>
          <t>UPPSALA LÄN</t>
        </is>
      </c>
      <c r="G744" t="inlineStr">
        <is>
          <t>UPPSALA</t>
        </is>
      </c>
      <c r="H744" t="inlineStr">
        <is>
          <t>Bergvik skog öst AB</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29136-2026</t>
        </is>
      </c>
      <c r="B745" t="inlineStr">
        <is>
          <t>avverkningsanmälan</t>
        </is>
      </c>
      <c r="C745" t="inlineStr">
        <is>
          <t>Föryngringsavverkning</t>
        </is>
      </c>
      <c r="D745" s="1" t="n">
        <v>46202</v>
      </c>
      <c r="E745" s="1" t="n">
        <v>46222</v>
      </c>
      <c r="F745" t="inlineStr">
        <is>
          <t>UPPSALA LÄN</t>
        </is>
      </c>
      <c r="G745" t="inlineStr">
        <is>
          <t>UPPSALA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29282-2026</t>
        </is>
      </c>
      <c r="B746" t="inlineStr">
        <is>
          <t>avverkningsanmälan</t>
        </is>
      </c>
      <c r="C746" t="inlineStr">
        <is>
          <t>Föryngringsavverkning</t>
        </is>
      </c>
      <c r="D746" s="1" t="n">
        <v>46202</v>
      </c>
      <c r="E746" s="1" t="n">
        <v>46222</v>
      </c>
      <c r="F746" t="inlineStr">
        <is>
          <t>UPPSALA LÄN</t>
        </is>
      </c>
      <c r="G746" t="inlineStr">
        <is>
          <t>UPPSALA</t>
        </is>
      </c>
      <c r="I746" t="n">
        <v>2.7</v>
      </c>
      <c r="J746" t="n">
        <v>0</v>
      </c>
      <c r="K746" t="n">
        <v>0</v>
      </c>
      <c r="L746" t="n">
        <v>0</v>
      </c>
      <c r="M746" t="n">
        <v>0</v>
      </c>
      <c r="N746" t="n">
        <v>0</v>
      </c>
      <c r="O746" t="n">
        <v>0</v>
      </c>
      <c r="P746" t="n">
        <v>0</v>
      </c>
      <c r="Q746" t="n">
        <v>0</v>
      </c>
      <c r="R746" t="n">
        <v>0</v>
      </c>
      <c r="S746" t="n">
        <v>0</v>
      </c>
      <c r="T746" t="n">
        <v>0</v>
      </c>
      <c r="U746" s="2" t="inlineStr"/>
    </row>
    <row r="747" ht="15" customHeight="1">
      <c r="A747" t="inlineStr">
        <is>
          <t>A 29012-2026</t>
        </is>
      </c>
      <c r="B747" t="inlineStr">
        <is>
          <t>avverkningsanmälan</t>
        </is>
      </c>
      <c r="C747" t="inlineStr">
        <is>
          <t>Föryngringsavverkning</t>
        </is>
      </c>
      <c r="D747" s="1" t="n">
        <v>46199</v>
      </c>
      <c r="E747" s="1" t="n">
        <v>46222</v>
      </c>
      <c r="F747" t="inlineStr">
        <is>
          <t>UPPSALA LÄN</t>
        </is>
      </c>
      <c r="G747" t="inlineStr">
        <is>
          <t>UPPSALA</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5028-2022</t>
        </is>
      </c>
      <c r="B748" t="inlineStr">
        <is>
          <t>avverkningsanmälan</t>
        </is>
      </c>
      <c r="C748" t="inlineStr">
        <is>
          <t>Föryngringsavverkning</t>
        </is>
      </c>
      <c r="D748" s="1" t="n">
        <v>44593</v>
      </c>
      <c r="E748" s="1" t="n">
        <v>46222</v>
      </c>
      <c r="F748" t="inlineStr">
        <is>
          <t>UPPSALA LÄN</t>
        </is>
      </c>
      <c r="G748" t="inlineStr">
        <is>
          <t>UPPSALA</t>
        </is>
      </c>
      <c r="H748" t="inlineStr">
        <is>
          <t>Holmen skog AB</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179-2023</t>
        </is>
      </c>
      <c r="B749" t="inlineStr">
        <is>
          <t>avverkningsanmälan</t>
        </is>
      </c>
      <c r="C749" t="inlineStr">
        <is>
          <t>Föryngringsavverkning</t>
        </is>
      </c>
      <c r="D749" s="1" t="n">
        <v>44928</v>
      </c>
      <c r="E749" s="1" t="n">
        <v>46222</v>
      </c>
      <c r="F749" t="inlineStr">
        <is>
          <t>UPPSALA LÄN</t>
        </is>
      </c>
      <c r="G749" t="inlineStr">
        <is>
          <t>UPPSALA</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39795-2022</t>
        </is>
      </c>
      <c r="B750" t="inlineStr">
        <is>
          <t>avverkningsanmälan</t>
        </is>
      </c>
      <c r="C750" t="inlineStr">
        <is>
          <t>Föryngringsavverkning</t>
        </is>
      </c>
      <c r="D750" s="1" t="n">
        <v>44819</v>
      </c>
      <c r="E750" s="1" t="n">
        <v>46222</v>
      </c>
      <c r="F750" t="inlineStr">
        <is>
          <t>UPPSALA LÄN</t>
        </is>
      </c>
      <c r="G750" t="inlineStr">
        <is>
          <t>UPPSALA</t>
        </is>
      </c>
      <c r="H750" t="inlineStr">
        <is>
          <t>Övriga Aktiebolag</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9206-2022</t>
        </is>
      </c>
      <c r="B751" t="inlineStr">
        <is>
          <t>avverkningsanmälan</t>
        </is>
      </c>
      <c r="C751" t="inlineStr">
        <is>
          <t>Föryngringsavverkning</t>
        </is>
      </c>
      <c r="D751" s="1" t="n">
        <v>44616</v>
      </c>
      <c r="E751" s="1" t="n">
        <v>46222</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47316-2025</t>
        </is>
      </c>
      <c r="B752" t="inlineStr">
        <is>
          <t>avverkningsanmälan</t>
        </is>
      </c>
      <c r="C752" t="inlineStr">
        <is>
          <t>Föryngringsavverkning</t>
        </is>
      </c>
      <c r="D752" s="1" t="n">
        <v>45930</v>
      </c>
      <c r="E752" s="1" t="n">
        <v>46222</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28955-2026</t>
        </is>
      </c>
      <c r="B753" t="inlineStr">
        <is>
          <t>avverkningsanmälan</t>
        </is>
      </c>
      <c r="C753" t="inlineStr">
        <is>
          <t>Föryngringsavverkning</t>
        </is>
      </c>
      <c r="D753" s="1" t="n">
        <v>46199</v>
      </c>
      <c r="E753" s="1" t="n">
        <v>46222</v>
      </c>
      <c r="F753" t="inlineStr">
        <is>
          <t>UPPSALA LÄN</t>
        </is>
      </c>
      <c r="G753" t="inlineStr">
        <is>
          <t>UPPSALA</t>
        </is>
      </c>
      <c r="H753" t="inlineStr">
        <is>
          <t>Holmen skog AB</t>
        </is>
      </c>
      <c r="I753" t="n">
        <v>7.7</v>
      </c>
      <c r="J753" t="n">
        <v>0</v>
      </c>
      <c r="K753" t="n">
        <v>0</v>
      </c>
      <c r="L753" t="n">
        <v>0</v>
      </c>
      <c r="M753" t="n">
        <v>0</v>
      </c>
      <c r="N753" t="n">
        <v>0</v>
      </c>
      <c r="O753" t="n">
        <v>0</v>
      </c>
      <c r="P753" t="n">
        <v>0</v>
      </c>
      <c r="Q753" t="n">
        <v>0</v>
      </c>
      <c r="R753" t="n">
        <v>0</v>
      </c>
      <c r="S753" t="n">
        <v>0</v>
      </c>
      <c r="T753" t="n">
        <v>0</v>
      </c>
      <c r="U753" s="2" t="inlineStr"/>
    </row>
    <row r="754" ht="15" customHeight="1">
      <c r="A754" t="inlineStr">
        <is>
          <t>A 22900-2026</t>
        </is>
      </c>
      <c r="B754" t="inlineStr">
        <is>
          <t>avverkningsanmälan</t>
        </is>
      </c>
      <c r="C754" t="inlineStr">
        <is>
          <t>Föryngringsavverkning</t>
        </is>
      </c>
      <c r="D754" s="1" t="n">
        <v>46160</v>
      </c>
      <c r="E754" s="1" t="n">
        <v>46222</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74495-2021</t>
        </is>
      </c>
      <c r="B755" t="inlineStr">
        <is>
          <t>avverkningsanmälan</t>
        </is>
      </c>
      <c r="C755" t="inlineStr">
        <is>
          <t>Föryngringsavverkning</t>
        </is>
      </c>
      <c r="D755" s="1" t="n">
        <v>44560</v>
      </c>
      <c r="E755" s="1" t="n">
        <v>46222</v>
      </c>
      <c r="F755" t="inlineStr">
        <is>
          <t>UPPSALA LÄN</t>
        </is>
      </c>
      <c r="G755" t="inlineStr">
        <is>
          <t>UPPSALA</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6408-2022</t>
        </is>
      </c>
      <c r="B756" t="inlineStr">
        <is>
          <t>avverkningsanmälan</t>
        </is>
      </c>
      <c r="C756" t="inlineStr">
        <is>
          <t>Avverkning för att bevara och utveckla /försöksver</t>
        </is>
      </c>
      <c r="D756" s="1" t="n">
        <v>44600</v>
      </c>
      <c r="E756" s="1" t="n">
        <v>46222</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22838-2026</t>
        </is>
      </c>
      <c r="B757" t="inlineStr">
        <is>
          <t>avverkningsanmälan</t>
        </is>
      </c>
      <c r="C757" t="inlineStr">
        <is>
          <t>Föryngringsavverkning</t>
        </is>
      </c>
      <c r="D757" s="1" t="n">
        <v>46160</v>
      </c>
      <c r="E757" s="1" t="n">
        <v>46222</v>
      </c>
      <c r="F757" t="inlineStr">
        <is>
          <t>UPPSALA LÄN</t>
        </is>
      </c>
      <c r="G757" t="inlineStr">
        <is>
          <t>UPPSALA</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10383-2022</t>
        </is>
      </c>
      <c r="B758" t="inlineStr">
        <is>
          <t>avverkningsanmälan</t>
        </is>
      </c>
      <c r="C758" t="inlineStr">
        <is>
          <t>Föryngringsavverkning</t>
        </is>
      </c>
      <c r="D758" s="1" t="n">
        <v>44623</v>
      </c>
      <c r="E758" s="1" t="n">
        <v>46222</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10456-2022</t>
        </is>
      </c>
      <c r="B759" t="inlineStr">
        <is>
          <t>avverkningsanmälan</t>
        </is>
      </c>
      <c r="C759" t="inlineStr">
        <is>
          <t>Föryngringsavverkning</t>
        </is>
      </c>
      <c r="D759" s="1" t="n">
        <v>44623</v>
      </c>
      <c r="E759" s="1" t="n">
        <v>46222</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s="2" t="inlineStr"/>
    </row>
    <row r="760" ht="15" customHeight="1">
      <c r="A760" t="inlineStr">
        <is>
          <t>A 39548-2023</t>
        </is>
      </c>
      <c r="B760" t="inlineStr">
        <is>
          <t>avverkningsanmälan</t>
        </is>
      </c>
      <c r="C760" t="inlineStr">
        <is>
          <t>Föryngringsavverkning</t>
        </is>
      </c>
      <c r="D760" s="1" t="n">
        <v>45167</v>
      </c>
      <c r="E760" s="1" t="n">
        <v>46222</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29007-2026</t>
        </is>
      </c>
      <c r="B761" t="inlineStr">
        <is>
          <t>avverkningsanmälan</t>
        </is>
      </c>
      <c r="C761" t="inlineStr">
        <is>
          <t>Föryngringsavverkning</t>
        </is>
      </c>
      <c r="D761" s="1" t="n">
        <v>46199</v>
      </c>
      <c r="E761" s="1" t="n">
        <v>46222</v>
      </c>
      <c r="F761" t="inlineStr">
        <is>
          <t>UPPSALA LÄN</t>
        </is>
      </c>
      <c r="G761" t="inlineStr">
        <is>
          <t>UPPSALA</t>
        </is>
      </c>
      <c r="H761" t="inlineStr">
        <is>
          <t>Övriga Aktiebolag</t>
        </is>
      </c>
      <c r="I761" t="n">
        <v>3.4</v>
      </c>
      <c r="J761" t="n">
        <v>0</v>
      </c>
      <c r="K761" t="n">
        <v>0</v>
      </c>
      <c r="L761" t="n">
        <v>0</v>
      </c>
      <c r="M761" t="n">
        <v>0</v>
      </c>
      <c r="N761" t="n">
        <v>0</v>
      </c>
      <c r="O761" t="n">
        <v>0</v>
      </c>
      <c r="P761" t="n">
        <v>0</v>
      </c>
      <c r="Q761" t="n">
        <v>0</v>
      </c>
      <c r="R761" t="n">
        <v>0</v>
      </c>
      <c r="S761" t="n">
        <v>0</v>
      </c>
      <c r="T761" t="n">
        <v>0</v>
      </c>
      <c r="U761" s="2" t="inlineStr"/>
    </row>
    <row r="762" ht="15" customHeight="1">
      <c r="A762" t="inlineStr">
        <is>
          <t>A 6422-2023</t>
        </is>
      </c>
      <c r="B762" t="inlineStr">
        <is>
          <t>avverkningsanmälan</t>
        </is>
      </c>
      <c r="C762" t="inlineStr">
        <is>
          <t>Föryngringsavverkning</t>
        </is>
      </c>
      <c r="D762" s="1" t="n">
        <v>44965</v>
      </c>
      <c r="E762" s="1" t="n">
        <v>46222</v>
      </c>
      <c r="F762" t="inlineStr">
        <is>
          <t>UPPSALA LÄN</t>
        </is>
      </c>
      <c r="G762" t="inlineStr">
        <is>
          <t>UPPSALA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6423-2023</t>
        </is>
      </c>
      <c r="B763" t="inlineStr">
        <is>
          <t>avverkningsanmälan</t>
        </is>
      </c>
      <c r="C763" t="inlineStr">
        <is>
          <t>Föryngringsavverkning</t>
        </is>
      </c>
      <c r="D763" s="1" t="n">
        <v>44965</v>
      </c>
      <c r="E763" s="1" t="n">
        <v>46222</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s="2" t="inlineStr"/>
    </row>
    <row r="764" ht="15" customHeight="1">
      <c r="A764" t="inlineStr">
        <is>
          <t>A 1994-2024</t>
        </is>
      </c>
      <c r="B764" t="inlineStr">
        <is>
          <t>avverkningsanmälan</t>
        </is>
      </c>
      <c r="C764" t="inlineStr">
        <is>
          <t>Föryngringsavverkning</t>
        </is>
      </c>
      <c r="D764" s="1" t="n">
        <v>45308</v>
      </c>
      <c r="E764" s="1" t="n">
        <v>46222</v>
      </c>
      <c r="F764" t="inlineStr">
        <is>
          <t>UPPSALA LÄN</t>
        </is>
      </c>
      <c r="G764" t="inlineStr">
        <is>
          <t>UPPSALA</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49682-2023</t>
        </is>
      </c>
      <c r="B765" t="inlineStr">
        <is>
          <t>avverkningsanmälan</t>
        </is>
      </c>
      <c r="C765" t="inlineStr">
        <is>
          <t>Föryngringsavverkning</t>
        </is>
      </c>
      <c r="D765" s="1" t="n">
        <v>45212</v>
      </c>
      <c r="E765" s="1" t="n">
        <v>46222</v>
      </c>
      <c r="F765" t="inlineStr">
        <is>
          <t>UPPSALA LÄN</t>
        </is>
      </c>
      <c r="G765" t="inlineStr">
        <is>
          <t>UPPSALA</t>
        </is>
      </c>
      <c r="I765" t="n">
        <v>2.2</v>
      </c>
      <c r="J765" t="n">
        <v>0</v>
      </c>
      <c r="K765" t="n">
        <v>0</v>
      </c>
      <c r="L765" t="n">
        <v>0</v>
      </c>
      <c r="M765" t="n">
        <v>0</v>
      </c>
      <c r="N765" t="n">
        <v>0</v>
      </c>
      <c r="O765" t="n">
        <v>0</v>
      </c>
      <c r="P765" t="n">
        <v>0</v>
      </c>
      <c r="Q765" t="n">
        <v>0</v>
      </c>
      <c r="R765" t="n">
        <v>0</v>
      </c>
      <c r="S765" t="n">
        <v>0</v>
      </c>
      <c r="T765" t="n">
        <v>0</v>
      </c>
      <c r="U765" s="2" t="inlineStr"/>
    </row>
    <row r="766" ht="15" customHeight="1">
      <c r="A766" t="inlineStr">
        <is>
          <t>A 28673-2026</t>
        </is>
      </c>
      <c r="B766" t="inlineStr">
        <is>
          <t>avverkningsanmälan</t>
        </is>
      </c>
      <c r="C766" t="inlineStr">
        <is>
          <t>Föryngringsavverkning</t>
        </is>
      </c>
      <c r="D766" s="1" t="n">
        <v>46198</v>
      </c>
      <c r="E766" s="1" t="n">
        <v>46222</v>
      </c>
      <c r="F766" t="inlineStr">
        <is>
          <t>UPPSALA LÄN</t>
        </is>
      </c>
      <c r="G766" t="inlineStr">
        <is>
          <t>UPPSALA</t>
        </is>
      </c>
      <c r="I766" t="n">
        <v>1.2</v>
      </c>
      <c r="J766" t="n">
        <v>0</v>
      </c>
      <c r="K766" t="n">
        <v>0</v>
      </c>
      <c r="L766" t="n">
        <v>0</v>
      </c>
      <c r="M766" t="n">
        <v>0</v>
      </c>
      <c r="N766" t="n">
        <v>0</v>
      </c>
      <c r="O766" t="n">
        <v>0</v>
      </c>
      <c r="P766" t="n">
        <v>0</v>
      </c>
      <c r="Q766" t="n">
        <v>0</v>
      </c>
      <c r="R766" t="n">
        <v>0</v>
      </c>
      <c r="S766" t="n">
        <v>0</v>
      </c>
      <c r="T766" t="n">
        <v>0</v>
      </c>
      <c r="U766" s="2" t="inlineStr"/>
    </row>
    <row r="767" ht="15" customHeight="1">
      <c r="A767" t="inlineStr">
        <is>
          <t>A 55073-2022</t>
        </is>
      </c>
      <c r="B767" t="inlineStr">
        <is>
          <t>avverkningsanmälan</t>
        </is>
      </c>
      <c r="C767" t="inlineStr">
        <is>
          <t>Föryngringsavverkning</t>
        </is>
      </c>
      <c r="D767" s="1" t="n">
        <v>44886</v>
      </c>
      <c r="E767" s="1" t="n">
        <v>46222</v>
      </c>
      <c r="F767" t="inlineStr">
        <is>
          <t>UPPSALA LÄN</t>
        </is>
      </c>
      <c r="G767" t="inlineStr">
        <is>
          <t>UPPSALA</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23124-2026</t>
        </is>
      </c>
      <c r="B768" t="inlineStr">
        <is>
          <t>avverkningsanmälan</t>
        </is>
      </c>
      <c r="C768" t="inlineStr">
        <is>
          <t>Föryngringsavverkning</t>
        </is>
      </c>
      <c r="D768" s="1" t="n">
        <v>46161</v>
      </c>
      <c r="E768" s="1" t="n">
        <v>46222</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42681-2023</t>
        </is>
      </c>
      <c r="B769" t="inlineStr">
        <is>
          <t>avverkningsanmälan</t>
        </is>
      </c>
      <c r="C769" t="inlineStr">
        <is>
          <t>Föryngringsavverkning</t>
        </is>
      </c>
      <c r="D769" s="1" t="n">
        <v>45181</v>
      </c>
      <c r="E769" s="1" t="n">
        <v>46222</v>
      </c>
      <c r="F769" t="inlineStr">
        <is>
          <t>UPPSALA LÄN</t>
        </is>
      </c>
      <c r="G769" t="inlineStr">
        <is>
          <t>UPPSALA</t>
        </is>
      </c>
      <c r="H769" t="inlineStr">
        <is>
          <t>Bergvik skog öst AB</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27543-2022</t>
        </is>
      </c>
      <c r="B770" t="inlineStr">
        <is>
          <t>avverkningsanmälan</t>
        </is>
      </c>
      <c r="C770" t="inlineStr">
        <is>
          <t>Föryngringsavverkning</t>
        </is>
      </c>
      <c r="D770" s="1" t="n">
        <v>44742</v>
      </c>
      <c r="E770" s="1" t="n">
        <v>46222</v>
      </c>
      <c r="F770" t="inlineStr">
        <is>
          <t>UPPSALA LÄN</t>
        </is>
      </c>
      <c r="G770" t="inlineStr">
        <is>
          <t>UPPSALA</t>
        </is>
      </c>
      <c r="H770" t="inlineStr">
        <is>
          <t>Kyrkan</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20146-2026</t>
        </is>
      </c>
      <c r="B771" t="inlineStr">
        <is>
          <t>avverkningsanmälan</t>
        </is>
      </c>
      <c r="C771" t="inlineStr">
        <is>
          <t>Föryngringsavverkning</t>
        </is>
      </c>
      <c r="D771" s="1" t="n">
        <v>46137</v>
      </c>
      <c r="E771" s="1" t="n">
        <v>46222</v>
      </c>
      <c r="F771" t="inlineStr">
        <is>
          <t>UPPSALA LÄN</t>
        </is>
      </c>
      <c r="G771" t="inlineStr">
        <is>
          <t>UPPSALA</t>
        </is>
      </c>
      <c r="H771" t="inlineStr">
        <is>
          <t>Bergvik skog öst AB</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6679-2024</t>
        </is>
      </c>
      <c r="B772" t="inlineStr">
        <is>
          <t>avverkningsanmälan</t>
        </is>
      </c>
      <c r="C772" t="inlineStr">
        <is>
          <t>Föryngringsavverkning</t>
        </is>
      </c>
      <c r="D772" s="1" t="n">
        <v>45341</v>
      </c>
      <c r="E772" s="1" t="n">
        <v>46222</v>
      </c>
      <c r="F772" t="inlineStr">
        <is>
          <t>UPPSALA LÄN</t>
        </is>
      </c>
      <c r="G772" t="inlineStr">
        <is>
          <t>UPPSALA</t>
        </is>
      </c>
      <c r="H772" t="inlineStr">
        <is>
          <t>Bergvik skog öst AB</t>
        </is>
      </c>
      <c r="I772" t="n">
        <v>0.4</v>
      </c>
      <c r="J772" t="n">
        <v>0</v>
      </c>
      <c r="K772" t="n">
        <v>0</v>
      </c>
      <c r="L772" t="n">
        <v>0</v>
      </c>
      <c r="M772" t="n">
        <v>0</v>
      </c>
      <c r="N772" t="n">
        <v>0</v>
      </c>
      <c r="O772" t="n">
        <v>0</v>
      </c>
      <c r="P772" t="n">
        <v>0</v>
      </c>
      <c r="Q772" t="n">
        <v>0</v>
      </c>
      <c r="R772" t="n">
        <v>0</v>
      </c>
      <c r="S772" t="n">
        <v>0</v>
      </c>
      <c r="T772" t="n">
        <v>0</v>
      </c>
      <c r="U772" s="2" t="inlineStr"/>
    </row>
    <row r="773" ht="15" customHeight="1">
      <c r="A773" t="inlineStr">
        <is>
          <t>A 781-2024</t>
        </is>
      </c>
      <c r="B773" t="inlineStr">
        <is>
          <t>avverkningsanmälan</t>
        </is>
      </c>
      <c r="C773" t="inlineStr">
        <is>
          <t>Föryngringsavverkning</t>
        </is>
      </c>
      <c r="D773" s="1" t="n">
        <v>45300</v>
      </c>
      <c r="E773" s="1" t="n">
        <v>46222</v>
      </c>
      <c r="F773" t="inlineStr">
        <is>
          <t>UPPSALA LÄN</t>
        </is>
      </c>
      <c r="G773" t="inlineStr">
        <is>
          <t>UPPSALA</t>
        </is>
      </c>
      <c r="I773" t="n">
        <v>6.3</v>
      </c>
      <c r="J773" t="n">
        <v>0</v>
      </c>
      <c r="K773" t="n">
        <v>0</v>
      </c>
      <c r="L773" t="n">
        <v>0</v>
      </c>
      <c r="M773" t="n">
        <v>0</v>
      </c>
      <c r="N773" t="n">
        <v>0</v>
      </c>
      <c r="O773" t="n">
        <v>0</v>
      </c>
      <c r="P773" t="n">
        <v>0</v>
      </c>
      <c r="Q773" t="n">
        <v>0</v>
      </c>
      <c r="R773" t="n">
        <v>0</v>
      </c>
      <c r="S773" t="n">
        <v>0</v>
      </c>
      <c r="T773" t="n">
        <v>0</v>
      </c>
      <c r="U773" s="2" t="inlineStr"/>
    </row>
    <row r="774" ht="15" customHeight="1">
      <c r="A774" t="inlineStr">
        <is>
          <t>A 27599-2023</t>
        </is>
      </c>
      <c r="B774" t="inlineStr">
        <is>
          <t>avverkningsanmälan</t>
        </is>
      </c>
      <c r="C774" t="inlineStr">
        <is>
          <t>Föryngringsavverkning</t>
        </is>
      </c>
      <c r="D774" s="1" t="n">
        <v>45097</v>
      </c>
      <c r="E774" s="1" t="n">
        <v>46222</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7058-2023</t>
        </is>
      </c>
      <c r="B775" t="inlineStr">
        <is>
          <t>avverkningsanmälan</t>
        </is>
      </c>
      <c r="C775" t="inlineStr">
        <is>
          <t>Föryngringsavverkning</t>
        </is>
      </c>
      <c r="D775" s="1" t="n">
        <v>44969</v>
      </c>
      <c r="E775" s="1" t="n">
        <v>46222</v>
      </c>
      <c r="F775" t="inlineStr">
        <is>
          <t>UPPSALA LÄN</t>
        </is>
      </c>
      <c r="G775" t="inlineStr">
        <is>
          <t>UPPSALA</t>
        </is>
      </c>
      <c r="I775" t="n">
        <v>8.199999999999999</v>
      </c>
      <c r="J775" t="n">
        <v>0</v>
      </c>
      <c r="K775" t="n">
        <v>0</v>
      </c>
      <c r="L775" t="n">
        <v>0</v>
      </c>
      <c r="M775" t="n">
        <v>0</v>
      </c>
      <c r="N775" t="n">
        <v>0</v>
      </c>
      <c r="O775" t="n">
        <v>0</v>
      </c>
      <c r="P775" t="n">
        <v>0</v>
      </c>
      <c r="Q775" t="n">
        <v>0</v>
      </c>
      <c r="R775" t="n">
        <v>0</v>
      </c>
      <c r="S775" t="n">
        <v>0</v>
      </c>
      <c r="T775" t="n">
        <v>0</v>
      </c>
      <c r="U775" s="2" t="inlineStr"/>
    </row>
    <row r="776" ht="15" customHeight="1">
      <c r="A776" t="inlineStr">
        <is>
          <t>A 16676-2026</t>
        </is>
      </c>
      <c r="B776" t="inlineStr">
        <is>
          <t>avverkningsanmälan</t>
        </is>
      </c>
      <c r="C776" t="inlineStr">
        <is>
          <t>Föryngringsavverkning</t>
        </is>
      </c>
      <c r="D776" s="1" t="n">
        <v>46112</v>
      </c>
      <c r="E776" s="1" t="n">
        <v>46222</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16673-2026</t>
        </is>
      </c>
      <c r="B777" t="inlineStr">
        <is>
          <t>avverkningsanmälan</t>
        </is>
      </c>
      <c r="C777" t="inlineStr">
        <is>
          <t>Föryngringsavverkning</t>
        </is>
      </c>
      <c r="D777" s="1" t="n">
        <v>46112</v>
      </c>
      <c r="E777" s="1" t="n">
        <v>46222</v>
      </c>
      <c r="F777" t="inlineStr">
        <is>
          <t>UPPSALA LÄN</t>
        </is>
      </c>
      <c r="G777" t="inlineStr">
        <is>
          <t>UPPSALA</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3214-2023</t>
        </is>
      </c>
      <c r="B778" t="inlineStr">
        <is>
          <t>avverkningsanmälan</t>
        </is>
      </c>
      <c r="C778" t="inlineStr">
        <is>
          <t>Avverkning för annat ändamål</t>
        </is>
      </c>
      <c r="D778" s="1" t="n">
        <v>44944</v>
      </c>
      <c r="E778" s="1" t="n">
        <v>46222</v>
      </c>
      <c r="F778" t="inlineStr">
        <is>
          <t>UPPSALA LÄN</t>
        </is>
      </c>
      <c r="G778" t="inlineStr">
        <is>
          <t>UPPSALA</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50669-2024</t>
        </is>
      </c>
      <c r="B779" t="inlineStr">
        <is>
          <t>avverkningsanmälan</t>
        </is>
      </c>
      <c r="C779" t="inlineStr">
        <is>
          <t>Föryngringsavverkning</t>
        </is>
      </c>
      <c r="D779" s="1" t="n">
        <v>45601</v>
      </c>
      <c r="E779" s="1" t="n">
        <v>46222</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23413-2026</t>
        </is>
      </c>
      <c r="B780" t="inlineStr">
        <is>
          <t>avverkningsanmälan</t>
        </is>
      </c>
      <c r="C780" t="inlineStr">
        <is>
          <t>Föryngringsavverkning</t>
        </is>
      </c>
      <c r="D780" s="1" t="n">
        <v>46162</v>
      </c>
      <c r="E780" s="1" t="n">
        <v>46222</v>
      </c>
      <c r="F780" t="inlineStr">
        <is>
          <t>UPPSALA LÄN</t>
        </is>
      </c>
      <c r="G780" t="inlineStr">
        <is>
          <t>UPPSALA</t>
        </is>
      </c>
      <c r="H780" t="inlineStr">
        <is>
          <t>Bergvik skog öst AB</t>
        </is>
      </c>
      <c r="I780" t="n">
        <v>9.6</v>
      </c>
      <c r="J780" t="n">
        <v>0</v>
      </c>
      <c r="K780" t="n">
        <v>0</v>
      </c>
      <c r="L780" t="n">
        <v>0</v>
      </c>
      <c r="M780" t="n">
        <v>0</v>
      </c>
      <c r="N780" t="n">
        <v>0</v>
      </c>
      <c r="O780" t="n">
        <v>0</v>
      </c>
      <c r="P780" t="n">
        <v>0</v>
      </c>
      <c r="Q780" t="n">
        <v>0</v>
      </c>
      <c r="R780" t="n">
        <v>0</v>
      </c>
      <c r="S780" t="n">
        <v>0</v>
      </c>
      <c r="T780" t="n">
        <v>0</v>
      </c>
      <c r="U780" s="2" t="inlineStr"/>
    </row>
    <row r="781" ht="15" customHeight="1">
      <c r="A781" t="inlineStr">
        <is>
          <t>A 36782-2023</t>
        </is>
      </c>
      <c r="B781" t="inlineStr">
        <is>
          <t>avverkningsanmälan</t>
        </is>
      </c>
      <c r="C781" t="inlineStr">
        <is>
          <t>Föryngringsavverkning</t>
        </is>
      </c>
      <c r="D781" s="1" t="n">
        <v>45154</v>
      </c>
      <c r="E781" s="1" t="n">
        <v>46222</v>
      </c>
      <c r="F781" t="inlineStr">
        <is>
          <t>UPPSALA LÄN</t>
        </is>
      </c>
      <c r="G781" t="inlineStr">
        <is>
          <t>UPPSALA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14337-2022</t>
        </is>
      </c>
      <c r="B782" t="inlineStr">
        <is>
          <t>avverkningsanmälan</t>
        </is>
      </c>
      <c r="C782" t="inlineStr">
        <is>
          <t>Föryngringsavverkning</t>
        </is>
      </c>
      <c r="D782" s="1" t="n">
        <v>44652</v>
      </c>
      <c r="E782" s="1" t="n">
        <v>46222</v>
      </c>
      <c r="F782" t="inlineStr">
        <is>
          <t>UPPSALA LÄN</t>
        </is>
      </c>
      <c r="G782" t="inlineStr">
        <is>
          <t>UPPSALA</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2980-2025</t>
        </is>
      </c>
      <c r="B783" t="inlineStr">
        <is>
          <t>avverkningsanmälan</t>
        </is>
      </c>
      <c r="C783" t="inlineStr">
        <is>
          <t>Avverkning för att bevara och utveckla /försöksver</t>
        </is>
      </c>
      <c r="D783" s="1" t="n">
        <v>45678</v>
      </c>
      <c r="E783" s="1" t="n">
        <v>46222</v>
      </c>
      <c r="F783" t="inlineStr">
        <is>
          <t>UPPSALA LÄN</t>
        </is>
      </c>
      <c r="G783" t="inlineStr">
        <is>
          <t>UPPSALA</t>
        </is>
      </c>
      <c r="I783" t="n">
        <v>5</v>
      </c>
      <c r="J783" t="n">
        <v>0</v>
      </c>
      <c r="K783" t="n">
        <v>0</v>
      </c>
      <c r="L783" t="n">
        <v>0</v>
      </c>
      <c r="M783" t="n">
        <v>0</v>
      </c>
      <c r="N783" t="n">
        <v>0</v>
      </c>
      <c r="O783" t="n">
        <v>0</v>
      </c>
      <c r="P783" t="n">
        <v>0</v>
      </c>
      <c r="Q783" t="n">
        <v>0</v>
      </c>
      <c r="R783" t="n">
        <v>0</v>
      </c>
      <c r="S783" t="n">
        <v>0</v>
      </c>
      <c r="T783" t="n">
        <v>0</v>
      </c>
      <c r="U783" s="2" t="inlineStr"/>
    </row>
    <row r="784" ht="15" customHeight="1">
      <c r="A784" t="inlineStr">
        <is>
          <t>A 30244-2026</t>
        </is>
      </c>
      <c r="B784" t="inlineStr">
        <is>
          <t>avverkningsanmälan</t>
        </is>
      </c>
      <c r="C784" t="inlineStr">
        <is>
          <t>Föryngringsavverkning</t>
        </is>
      </c>
      <c r="D784" s="1" t="n">
        <v>46206</v>
      </c>
      <c r="E784" s="1" t="n">
        <v>46222</v>
      </c>
      <c r="F784" t="inlineStr">
        <is>
          <t>UPPSALA LÄN</t>
        </is>
      </c>
      <c r="G784" t="inlineStr">
        <is>
          <t>UPPSALA</t>
        </is>
      </c>
      <c r="H784" t="inlineStr">
        <is>
          <t>Övriga Aktiebolag</t>
        </is>
      </c>
      <c r="I784" t="n">
        <v>0.9</v>
      </c>
      <c r="J784" t="n">
        <v>0</v>
      </c>
      <c r="K784" t="n">
        <v>0</v>
      </c>
      <c r="L784" t="n">
        <v>0</v>
      </c>
      <c r="M784" t="n">
        <v>0</v>
      </c>
      <c r="N784" t="n">
        <v>0</v>
      </c>
      <c r="O784" t="n">
        <v>0</v>
      </c>
      <c r="P784" t="n">
        <v>0</v>
      </c>
      <c r="Q784" t="n">
        <v>0</v>
      </c>
      <c r="R784" t="n">
        <v>0</v>
      </c>
      <c r="S784" t="n">
        <v>0</v>
      </c>
      <c r="T784" t="n">
        <v>0</v>
      </c>
      <c r="U784" s="2" t="inlineStr"/>
    </row>
    <row r="785" ht="15" customHeight="1">
      <c r="A785" t="inlineStr">
        <is>
          <t>A 17448-2022</t>
        </is>
      </c>
      <c r="B785" t="inlineStr">
        <is>
          <t>avverkningsanmälan</t>
        </is>
      </c>
      <c r="C785" t="inlineStr">
        <is>
          <t>Föryngringsavverkning</t>
        </is>
      </c>
      <c r="D785" s="1" t="n">
        <v>44679</v>
      </c>
      <c r="E785" s="1" t="n">
        <v>46222</v>
      </c>
      <c r="F785" t="inlineStr">
        <is>
          <t>UPPSALA LÄN</t>
        </is>
      </c>
      <c r="G785" t="inlineStr">
        <is>
          <t>UPPSALA</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23412-2026</t>
        </is>
      </c>
      <c r="B786" t="inlineStr">
        <is>
          <t>avverkningsanmälan</t>
        </is>
      </c>
      <c r="C786" t="inlineStr">
        <is>
          <t>Föryngringsavverkning</t>
        </is>
      </c>
      <c r="D786" s="1" t="n">
        <v>46162</v>
      </c>
      <c r="E786" s="1" t="n">
        <v>46222</v>
      </c>
      <c r="F786" t="inlineStr">
        <is>
          <t>UPPSALA LÄN</t>
        </is>
      </c>
      <c r="G786" t="inlineStr">
        <is>
          <t>UPPSALA</t>
        </is>
      </c>
      <c r="H786" t="inlineStr">
        <is>
          <t>Bergvik skog öst AB</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30272-2026</t>
        </is>
      </c>
      <c r="B787" t="inlineStr">
        <is>
          <t>avverkningsanmälan</t>
        </is>
      </c>
      <c r="C787" t="inlineStr">
        <is>
          <t>Föryngringsavverkning</t>
        </is>
      </c>
      <c r="D787" s="1" t="n">
        <v>46206</v>
      </c>
      <c r="E787" s="1" t="n">
        <v>46222</v>
      </c>
      <c r="F787" t="inlineStr">
        <is>
          <t>UPPSALA LÄN</t>
        </is>
      </c>
      <c r="G787" t="inlineStr">
        <is>
          <t>UPPSALA</t>
        </is>
      </c>
      <c r="H787" t="inlineStr">
        <is>
          <t>Övriga Aktiebolag</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30095-2026</t>
        </is>
      </c>
      <c r="B788" t="inlineStr">
        <is>
          <t>avverkningsanmälan</t>
        </is>
      </c>
      <c r="C788" t="inlineStr">
        <is>
          <t>Föryngringsavverkning</t>
        </is>
      </c>
      <c r="D788" s="1" t="n">
        <v>46206</v>
      </c>
      <c r="E788" s="1" t="n">
        <v>46222</v>
      </c>
      <c r="F788" t="inlineStr">
        <is>
          <t>UPPSALA LÄN</t>
        </is>
      </c>
      <c r="G788" t="inlineStr">
        <is>
          <t>UPPSALA</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5722-2025</t>
        </is>
      </c>
      <c r="B789" t="inlineStr">
        <is>
          <t>avverkningsanmälan</t>
        </is>
      </c>
      <c r="C789" t="inlineStr">
        <is>
          <t>Föryngringsavverkning</t>
        </is>
      </c>
      <c r="D789" s="1" t="n">
        <v>45694</v>
      </c>
      <c r="E789" s="1" t="n">
        <v>46222</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37316-2022</t>
        </is>
      </c>
      <c r="B790" t="inlineStr">
        <is>
          <t>avverkningsanmälan</t>
        </is>
      </c>
      <c r="C790" t="inlineStr">
        <is>
          <t>Föryngringsavverkning</t>
        </is>
      </c>
      <c r="D790" s="1" t="n">
        <v>44806</v>
      </c>
      <c r="E790" s="1" t="n">
        <v>46222</v>
      </c>
      <c r="F790" t="inlineStr">
        <is>
          <t>UPPSALA LÄN</t>
        </is>
      </c>
      <c r="G790" t="inlineStr">
        <is>
          <t>UPPSALA</t>
        </is>
      </c>
      <c r="I790" t="n">
        <v>10.6</v>
      </c>
      <c r="J790" t="n">
        <v>0</v>
      </c>
      <c r="K790" t="n">
        <v>0</v>
      </c>
      <c r="L790" t="n">
        <v>0</v>
      </c>
      <c r="M790" t="n">
        <v>0</v>
      </c>
      <c r="N790" t="n">
        <v>0</v>
      </c>
      <c r="O790" t="n">
        <v>0</v>
      </c>
      <c r="P790" t="n">
        <v>0</v>
      </c>
      <c r="Q790" t="n">
        <v>0</v>
      </c>
      <c r="R790" t="n">
        <v>0</v>
      </c>
      <c r="S790" t="n">
        <v>0</v>
      </c>
      <c r="T790" t="n">
        <v>0</v>
      </c>
      <c r="U790" s="2" t="inlineStr"/>
    </row>
    <row r="791" ht="15" customHeight="1">
      <c r="A791" t="inlineStr">
        <is>
          <t>A 30054-2026</t>
        </is>
      </c>
      <c r="B791" t="inlineStr">
        <is>
          <t>avverkningsanmälan</t>
        </is>
      </c>
      <c r="C791" t="inlineStr">
        <is>
          <t>Föryngringsavverkning</t>
        </is>
      </c>
      <c r="D791" s="1" t="n">
        <v>46206</v>
      </c>
      <c r="E791" s="1" t="n">
        <v>46222</v>
      </c>
      <c r="F791" t="inlineStr">
        <is>
          <t>UPPSALA LÄN</t>
        </is>
      </c>
      <c r="G791" t="inlineStr">
        <is>
          <t>UPPSALA</t>
        </is>
      </c>
      <c r="H791" t="inlineStr">
        <is>
          <t>Sveaskog</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19380-2023</t>
        </is>
      </c>
      <c r="B792" t="inlineStr">
        <is>
          <t>avverkningsanmälan</t>
        </is>
      </c>
      <c r="C792" t="inlineStr">
        <is>
          <t>Föryngringsavverkning</t>
        </is>
      </c>
      <c r="D792" s="1" t="n">
        <v>45049</v>
      </c>
      <c r="E792" s="1" t="n">
        <v>46222</v>
      </c>
      <c r="F792" t="inlineStr">
        <is>
          <t>UPPSALA LÄN</t>
        </is>
      </c>
      <c r="G792" t="inlineStr">
        <is>
          <t>UPPSALA</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13343-2022</t>
        </is>
      </c>
      <c r="B793" t="inlineStr">
        <is>
          <t>avverkningsanmälan</t>
        </is>
      </c>
      <c r="C793" t="inlineStr">
        <is>
          <t>Föryngringsavverkning</t>
        </is>
      </c>
      <c r="D793" s="1" t="n">
        <v>44645</v>
      </c>
      <c r="E793" s="1" t="n">
        <v>46222</v>
      </c>
      <c r="F793" t="inlineStr">
        <is>
          <t>UPPSALA LÄN</t>
        </is>
      </c>
      <c r="G793" t="inlineStr">
        <is>
          <t>UPPSALA</t>
        </is>
      </c>
      <c r="H793" t="inlineStr">
        <is>
          <t>Övriga Aktiebolag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60925-2021</t>
        </is>
      </c>
      <c r="B794" t="inlineStr">
        <is>
          <t>avverkningsanmälan</t>
        </is>
      </c>
      <c r="C794" t="inlineStr">
        <is>
          <t>Föryngringsavverkning</t>
        </is>
      </c>
      <c r="D794" s="1" t="n">
        <v>44497</v>
      </c>
      <c r="E794" s="1" t="n">
        <v>46222</v>
      </c>
      <c r="F794" t="inlineStr">
        <is>
          <t>UPPSALA LÄN</t>
        </is>
      </c>
      <c r="G794" t="inlineStr">
        <is>
          <t>UPPSALA</t>
        </is>
      </c>
      <c r="I794" t="n">
        <v>3.7</v>
      </c>
      <c r="J794" t="n">
        <v>0</v>
      </c>
      <c r="K794" t="n">
        <v>0</v>
      </c>
      <c r="L794" t="n">
        <v>0</v>
      </c>
      <c r="M794" t="n">
        <v>0</v>
      </c>
      <c r="N794" t="n">
        <v>0</v>
      </c>
      <c r="O794" t="n">
        <v>0</v>
      </c>
      <c r="P794" t="n">
        <v>0</v>
      </c>
      <c r="Q794" t="n">
        <v>0</v>
      </c>
      <c r="R794" t="n">
        <v>0</v>
      </c>
      <c r="S794" t="n">
        <v>0</v>
      </c>
      <c r="T794" t="n">
        <v>0</v>
      </c>
      <c r="U794" s="2" t="inlineStr"/>
    </row>
    <row r="795" ht="15" customHeight="1">
      <c r="A795" t="inlineStr">
        <is>
          <t>A 36392-2023</t>
        </is>
      </c>
      <c r="B795" t="inlineStr">
        <is>
          <t>avverkningsanmälan</t>
        </is>
      </c>
      <c r="C795" t="inlineStr">
        <is>
          <t>Föryngringsavverkning</t>
        </is>
      </c>
      <c r="D795" s="1" t="n">
        <v>45152</v>
      </c>
      <c r="E795" s="1" t="n">
        <v>46222</v>
      </c>
      <c r="F795" t="inlineStr">
        <is>
          <t>UPPSALA LÄN</t>
        </is>
      </c>
      <c r="G795" t="inlineStr">
        <is>
          <t>UPPSALA</t>
        </is>
      </c>
      <c r="I795" t="n">
        <v>9.800000000000001</v>
      </c>
      <c r="J795" t="n">
        <v>0</v>
      </c>
      <c r="K795" t="n">
        <v>0</v>
      </c>
      <c r="L795" t="n">
        <v>0</v>
      </c>
      <c r="M795" t="n">
        <v>0</v>
      </c>
      <c r="N795" t="n">
        <v>0</v>
      </c>
      <c r="O795" t="n">
        <v>0</v>
      </c>
      <c r="P795" t="n">
        <v>0</v>
      </c>
      <c r="Q795" t="n">
        <v>0</v>
      </c>
      <c r="R795" t="n">
        <v>0</v>
      </c>
      <c r="S795" t="n">
        <v>0</v>
      </c>
      <c r="T795" t="n">
        <v>0</v>
      </c>
      <c r="U795" s="2" t="inlineStr"/>
    </row>
    <row r="796" ht="15" customHeight="1">
      <c r="A796" t="inlineStr">
        <is>
          <t>A 29902-2026</t>
        </is>
      </c>
      <c r="B796" t="inlineStr">
        <is>
          <t>avverkningsanmälan</t>
        </is>
      </c>
      <c r="C796" t="inlineStr">
        <is>
          <t>Föryngringsavverkning</t>
        </is>
      </c>
      <c r="D796" s="1" t="n">
        <v>46205</v>
      </c>
      <c r="E796" s="1" t="n">
        <v>46222</v>
      </c>
      <c r="F796" t="inlineStr">
        <is>
          <t>UPPSALA LÄN</t>
        </is>
      </c>
      <c r="G796" t="inlineStr">
        <is>
          <t>UPPSALA</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6155-2023</t>
        </is>
      </c>
      <c r="B797" t="inlineStr">
        <is>
          <t>avverkningsanmälan</t>
        </is>
      </c>
      <c r="C797" t="inlineStr">
        <is>
          <t>Föryngringsavverkning</t>
        </is>
      </c>
      <c r="D797" s="1" t="n">
        <v>44964</v>
      </c>
      <c r="E797" s="1" t="n">
        <v>46222</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6009-2022</t>
        </is>
      </c>
      <c r="B798" t="inlineStr">
        <is>
          <t>avverkningsanmälan</t>
        </is>
      </c>
      <c r="C798" t="inlineStr">
        <is>
          <t>Föryngringsavverkning</t>
        </is>
      </c>
      <c r="D798" s="1" t="n">
        <v>44599</v>
      </c>
      <c r="E798" s="1" t="n">
        <v>46222</v>
      </c>
      <c r="F798" t="inlineStr">
        <is>
          <t>UPPSALA LÄN</t>
        </is>
      </c>
      <c r="G798" t="inlineStr">
        <is>
          <t>UPPSALA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23614-2026</t>
        </is>
      </c>
      <c r="B799" t="inlineStr">
        <is>
          <t>avverkningsanmälan</t>
        </is>
      </c>
      <c r="C799" t="inlineStr">
        <is>
          <t>Föryngringsavverkning</t>
        </is>
      </c>
      <c r="D799" s="1" t="n">
        <v>46163</v>
      </c>
      <c r="E799" s="1" t="n">
        <v>46222</v>
      </c>
      <c r="F799" t="inlineStr">
        <is>
          <t>UPPSALA LÄN</t>
        </is>
      </c>
      <c r="G799" t="inlineStr">
        <is>
          <t>UPPSALA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12606-2023</t>
        </is>
      </c>
      <c r="B800" t="inlineStr">
        <is>
          <t>avverkningsanmälan</t>
        </is>
      </c>
      <c r="C800" t="inlineStr">
        <is>
          <t>Föryngringsavverkning</t>
        </is>
      </c>
      <c r="D800" s="1" t="n">
        <v>45000</v>
      </c>
      <c r="E800" s="1" t="n">
        <v>46222</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23893-2026</t>
        </is>
      </c>
      <c r="B801" t="inlineStr">
        <is>
          <t>avverkningsanmälan</t>
        </is>
      </c>
      <c r="C801" t="inlineStr">
        <is>
          <t>Föryngringsavverkning</t>
        </is>
      </c>
      <c r="D801" s="1" t="n">
        <v>46167</v>
      </c>
      <c r="E801" s="1" t="n">
        <v>46222</v>
      </c>
      <c r="F801" t="inlineStr">
        <is>
          <t>UPPSALA LÄN</t>
        </is>
      </c>
      <c r="G801" t="inlineStr">
        <is>
          <t>UPPSALA</t>
        </is>
      </c>
      <c r="H801" t="inlineStr">
        <is>
          <t>Holmen skog AB</t>
        </is>
      </c>
      <c r="I801" t="n">
        <v>4.7</v>
      </c>
      <c r="J801" t="n">
        <v>0</v>
      </c>
      <c r="K801" t="n">
        <v>0</v>
      </c>
      <c r="L801" t="n">
        <v>0</v>
      </c>
      <c r="M801" t="n">
        <v>0</v>
      </c>
      <c r="N801" t="n">
        <v>0</v>
      </c>
      <c r="O801" t="n">
        <v>0</v>
      </c>
      <c r="P801" t="n">
        <v>0</v>
      </c>
      <c r="Q801" t="n">
        <v>0</v>
      </c>
      <c r="R801" t="n">
        <v>0</v>
      </c>
      <c r="S801" t="n">
        <v>0</v>
      </c>
      <c r="T801" t="n">
        <v>0</v>
      </c>
      <c r="U801" s="2" t="inlineStr"/>
    </row>
    <row r="802" ht="15" customHeight="1">
      <c r="A802" t="inlineStr">
        <is>
          <t>A 23978-2026</t>
        </is>
      </c>
      <c r="B802" t="inlineStr">
        <is>
          <t>avverkningsanmälan</t>
        </is>
      </c>
      <c r="C802" t="inlineStr">
        <is>
          <t>Föryngringsavverkning</t>
        </is>
      </c>
      <c r="D802" s="1" t="n">
        <v>46167</v>
      </c>
      <c r="E802" s="1" t="n">
        <v>46222</v>
      </c>
      <c r="F802" t="inlineStr">
        <is>
          <t>UPPSALA LÄN</t>
        </is>
      </c>
      <c r="G802" t="inlineStr">
        <is>
          <t>UPPSALA</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18410-2025</t>
        </is>
      </c>
      <c r="B803" t="inlineStr">
        <is>
          <t>avverkningsanmälan</t>
        </is>
      </c>
      <c r="C803" t="inlineStr">
        <is>
          <t>Föryngringsavverkning</t>
        </is>
      </c>
      <c r="D803" s="1" t="n">
        <v>45762</v>
      </c>
      <c r="E803" s="1" t="n">
        <v>46222</v>
      </c>
      <c r="F803" t="inlineStr">
        <is>
          <t>UPPSALA LÄN</t>
        </is>
      </c>
      <c r="G803" t="inlineStr">
        <is>
          <t>UPPSALA</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23971-2026</t>
        </is>
      </c>
      <c r="B804" t="inlineStr">
        <is>
          <t>avverkningsanmälan</t>
        </is>
      </c>
      <c r="C804" t="inlineStr">
        <is>
          <t>Föryngringsavverkning</t>
        </is>
      </c>
      <c r="D804" s="1" t="n">
        <v>46167</v>
      </c>
      <c r="E804" s="1" t="n">
        <v>46222</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23976-2026</t>
        </is>
      </c>
      <c r="B805" t="inlineStr">
        <is>
          <t>avverkningsanmälan</t>
        </is>
      </c>
      <c r="C805" t="inlineStr">
        <is>
          <t>Föryngringsavverkning</t>
        </is>
      </c>
      <c r="D805" s="1" t="n">
        <v>46167</v>
      </c>
      <c r="E805" s="1" t="n">
        <v>46222</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8672-2024</t>
        </is>
      </c>
      <c r="B806" t="inlineStr">
        <is>
          <t>avverkningsanmälan</t>
        </is>
      </c>
      <c r="C806" t="inlineStr">
        <is>
          <t>Avverkning för annat ändamål</t>
        </is>
      </c>
      <c r="D806" s="1" t="n">
        <v>45352</v>
      </c>
      <c r="E806" s="1" t="n">
        <v>46222</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5362-2023</t>
        </is>
      </c>
      <c r="B807" t="inlineStr">
        <is>
          <t>avverkningsanmälan</t>
        </is>
      </c>
      <c r="C807" t="inlineStr">
        <is>
          <t>Avverkning för annat ändamål</t>
        </is>
      </c>
      <c r="D807" s="1" t="n">
        <v>44944</v>
      </c>
      <c r="E807" s="1" t="n">
        <v>46222</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61947-2023</t>
        </is>
      </c>
      <c r="B808" t="inlineStr">
        <is>
          <t>avverkningsanmälan</t>
        </is>
      </c>
      <c r="C808" t="inlineStr">
        <is>
          <t>Avverkning för annat ändamål</t>
        </is>
      </c>
      <c r="D808" s="1" t="n">
        <v>45266</v>
      </c>
      <c r="E808" s="1" t="n">
        <v>46222</v>
      </c>
      <c r="F808" t="inlineStr">
        <is>
          <t>UPPSALA LÄN</t>
        </is>
      </c>
      <c r="G808" t="inlineStr">
        <is>
          <t>UPPSALA</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51661-2022</t>
        </is>
      </c>
      <c r="B809" t="inlineStr">
        <is>
          <t>avverkningsanmälan</t>
        </is>
      </c>
      <c r="C809" t="inlineStr">
        <is>
          <t>Föryngringsavverkning</t>
        </is>
      </c>
      <c r="D809" s="1" t="n">
        <v>44872</v>
      </c>
      <c r="E809" s="1" t="n">
        <v>46222</v>
      </c>
      <c r="F809" t="inlineStr">
        <is>
          <t>UPPSALA LÄN</t>
        </is>
      </c>
      <c r="G809" t="inlineStr">
        <is>
          <t>UPPSALA</t>
        </is>
      </c>
      <c r="I809" t="n">
        <v>8.9</v>
      </c>
      <c r="J809" t="n">
        <v>0</v>
      </c>
      <c r="K809" t="n">
        <v>0</v>
      </c>
      <c r="L809" t="n">
        <v>0</v>
      </c>
      <c r="M809" t="n">
        <v>0</v>
      </c>
      <c r="N809" t="n">
        <v>0</v>
      </c>
      <c r="O809" t="n">
        <v>0</v>
      </c>
      <c r="P809" t="n">
        <v>0</v>
      </c>
      <c r="Q809" t="n">
        <v>0</v>
      </c>
      <c r="R809" t="n">
        <v>0</v>
      </c>
      <c r="S809" t="n">
        <v>0</v>
      </c>
      <c r="T809" t="n">
        <v>0</v>
      </c>
      <c r="U809" s="2" t="inlineStr"/>
    </row>
    <row r="810" ht="15" customHeight="1">
      <c r="A810" t="inlineStr">
        <is>
          <t>A 60735-2024</t>
        </is>
      </c>
      <c r="B810" t="inlineStr">
        <is>
          <t>avverkningsanmälan</t>
        </is>
      </c>
      <c r="C810" t="inlineStr">
        <is>
          <t>Föryngringsavverkning</t>
        </is>
      </c>
      <c r="D810" s="1" t="n">
        <v>45644</v>
      </c>
      <c r="E810" s="1" t="n">
        <v>46222</v>
      </c>
      <c r="F810" t="inlineStr">
        <is>
          <t>UPPSALA LÄN</t>
        </is>
      </c>
      <c r="G810" t="inlineStr">
        <is>
          <t>UPPSALA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32553-2024</t>
        </is>
      </c>
      <c r="B811" t="inlineStr">
        <is>
          <t>avverkningsanmälan</t>
        </is>
      </c>
      <c r="C811" t="inlineStr">
        <is>
          <t>Föryngringsavverkning</t>
        </is>
      </c>
      <c r="D811" s="1" t="n">
        <v>45513</v>
      </c>
      <c r="E811" s="1" t="n">
        <v>46222</v>
      </c>
      <c r="F811" t="inlineStr">
        <is>
          <t>UPPSALA LÄN</t>
        </is>
      </c>
      <c r="G811" t="inlineStr">
        <is>
          <t>UPPSALA</t>
        </is>
      </c>
      <c r="H811" t="inlineStr">
        <is>
          <t>Bergvik skog öst AB</t>
        </is>
      </c>
      <c r="I811" t="n">
        <v>4.1</v>
      </c>
      <c r="J811" t="n">
        <v>0</v>
      </c>
      <c r="K811" t="n">
        <v>0</v>
      </c>
      <c r="L811" t="n">
        <v>0</v>
      </c>
      <c r="M811" t="n">
        <v>0</v>
      </c>
      <c r="N811" t="n">
        <v>0</v>
      </c>
      <c r="O811" t="n">
        <v>0</v>
      </c>
      <c r="P811" t="n">
        <v>0</v>
      </c>
      <c r="Q811" t="n">
        <v>0</v>
      </c>
      <c r="R811" t="n">
        <v>0</v>
      </c>
      <c r="S811" t="n">
        <v>0</v>
      </c>
      <c r="T811" t="n">
        <v>0</v>
      </c>
      <c r="U811" s="2" t="inlineStr"/>
    </row>
    <row r="812" ht="15" customHeight="1">
      <c r="A812" t="inlineStr">
        <is>
          <t>A 19276-2023</t>
        </is>
      </c>
      <c r="B812" t="inlineStr">
        <is>
          <t>avverkningsanmälan</t>
        </is>
      </c>
      <c r="C812" t="inlineStr">
        <is>
          <t>Föryngringsavverkning</t>
        </is>
      </c>
      <c r="D812" s="1" t="n">
        <v>45049</v>
      </c>
      <c r="E812" s="1" t="n">
        <v>46222</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5974-2024</t>
        </is>
      </c>
      <c r="B813" t="inlineStr">
        <is>
          <t>avverkningsanmälan</t>
        </is>
      </c>
      <c r="C813" t="inlineStr">
        <is>
          <t>Föryngringsavverkning</t>
        </is>
      </c>
      <c r="D813" s="1" t="n">
        <v>45336</v>
      </c>
      <c r="E813" s="1" t="n">
        <v>46222</v>
      </c>
      <c r="F813" t="inlineStr">
        <is>
          <t>UPPSALA LÄN</t>
        </is>
      </c>
      <c r="G813" t="inlineStr">
        <is>
          <t>UPPSALA</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18054-2025</t>
        </is>
      </c>
      <c r="B814" t="inlineStr">
        <is>
          <t>avverkningsanmälan</t>
        </is>
      </c>
      <c r="C814" t="inlineStr">
        <is>
          <t>Föryngringsavverkning</t>
        </is>
      </c>
      <c r="D814" s="1" t="n">
        <v>45761</v>
      </c>
      <c r="E814" s="1" t="n">
        <v>46222</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24807-2026</t>
        </is>
      </c>
      <c r="B815" t="inlineStr">
        <is>
          <t>avverkningsanmälan</t>
        </is>
      </c>
      <c r="C815" t="inlineStr">
        <is>
          <t>Föryngringsavverkning</t>
        </is>
      </c>
      <c r="D815" s="1" t="n">
        <v>46172</v>
      </c>
      <c r="E815" s="1" t="n">
        <v>46222</v>
      </c>
      <c r="F815" t="inlineStr">
        <is>
          <t>UPPSALA LÄN</t>
        </is>
      </c>
      <c r="G815" t="inlineStr">
        <is>
          <t>UPPSALA</t>
        </is>
      </c>
      <c r="H815" t="inlineStr">
        <is>
          <t>Bergvik skog öst AB</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A 24808-2026</t>
        </is>
      </c>
      <c r="B816" t="inlineStr">
        <is>
          <t>avverkningsanmälan</t>
        </is>
      </c>
      <c r="C816" t="inlineStr">
        <is>
          <t>Föryngringsavverkning</t>
        </is>
      </c>
      <c r="D816" s="1" t="n">
        <v>46172</v>
      </c>
      <c r="E816" s="1" t="n">
        <v>46222</v>
      </c>
      <c r="F816" t="inlineStr">
        <is>
          <t>UPPSALA LÄN</t>
        </is>
      </c>
      <c r="G816" t="inlineStr">
        <is>
          <t>UPPSALA</t>
        </is>
      </c>
      <c r="H816" t="inlineStr">
        <is>
          <t>Bergvik skog öst AB</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24734-2026</t>
        </is>
      </c>
      <c r="B817" t="inlineStr">
        <is>
          <t>avverkningsanmälan</t>
        </is>
      </c>
      <c r="C817" t="inlineStr">
        <is>
          <t>Föryngringsavverkning</t>
        </is>
      </c>
      <c r="D817" s="1" t="n">
        <v>46171</v>
      </c>
      <c r="E817" s="1" t="n">
        <v>46222</v>
      </c>
      <c r="F817" t="inlineStr">
        <is>
          <t>UPPSALA LÄN</t>
        </is>
      </c>
      <c r="G817" t="inlineStr">
        <is>
          <t>UPPSALA</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24685-2026</t>
        </is>
      </c>
      <c r="B818" t="inlineStr">
        <is>
          <t>avverkningsanmälan</t>
        </is>
      </c>
      <c r="C818" t="inlineStr">
        <is>
          <t>Föryngringsavverkning</t>
        </is>
      </c>
      <c r="D818" s="1" t="n">
        <v>46171</v>
      </c>
      <c r="E818" s="1" t="n">
        <v>46222</v>
      </c>
      <c r="F818" t="inlineStr">
        <is>
          <t>UPPSALA LÄN</t>
        </is>
      </c>
      <c r="G818" t="inlineStr">
        <is>
          <t>UPPSALA</t>
        </is>
      </c>
      <c r="H818" t="inlineStr">
        <is>
          <t>Allmännings- och besparingsskogar</t>
        </is>
      </c>
      <c r="I818" t="n">
        <v>8.5</v>
      </c>
      <c r="J818" t="n">
        <v>0</v>
      </c>
      <c r="K818" t="n">
        <v>0</v>
      </c>
      <c r="L818" t="n">
        <v>0</v>
      </c>
      <c r="M818" t="n">
        <v>0</v>
      </c>
      <c r="N818" t="n">
        <v>0</v>
      </c>
      <c r="O818" t="n">
        <v>0</v>
      </c>
      <c r="P818" t="n">
        <v>0</v>
      </c>
      <c r="Q818" t="n">
        <v>0</v>
      </c>
      <c r="R818" t="n">
        <v>0</v>
      </c>
      <c r="S818" t="n">
        <v>0</v>
      </c>
      <c r="T818" t="n">
        <v>0</v>
      </c>
      <c r="U818" s="2" t="inlineStr"/>
    </row>
    <row r="819" ht="15" customHeight="1">
      <c r="A819" t="inlineStr">
        <is>
          <t>A 24737-2026</t>
        </is>
      </c>
      <c r="B819" t="inlineStr">
        <is>
          <t>avverkningsanmälan</t>
        </is>
      </c>
      <c r="C819" t="inlineStr">
        <is>
          <t>Föryngringsavverkning</t>
        </is>
      </c>
      <c r="D819" s="1" t="n">
        <v>46171</v>
      </c>
      <c r="E819" s="1" t="n">
        <v>46222</v>
      </c>
      <c r="F819" t="inlineStr">
        <is>
          <t>UPPSALA LÄN</t>
        </is>
      </c>
      <c r="G819" t="inlineStr">
        <is>
          <t>UPPSALA</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40325-2023</t>
        </is>
      </c>
      <c r="B820" t="inlineStr">
        <is>
          <t>avverkningsanmälan</t>
        </is>
      </c>
      <c r="C820" t="inlineStr">
        <is>
          <t>Föryngringsavverkning</t>
        </is>
      </c>
      <c r="D820" s="1" t="n">
        <v>45169</v>
      </c>
      <c r="E820" s="1" t="n">
        <v>46222</v>
      </c>
      <c r="F820" t="inlineStr">
        <is>
          <t>UPPSALA LÄN</t>
        </is>
      </c>
      <c r="G820" t="inlineStr">
        <is>
          <t>UPPSALA</t>
        </is>
      </c>
      <c r="H820" t="inlineStr">
        <is>
          <t>Kommuner</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56872-2023</t>
        </is>
      </c>
      <c r="B821" t="inlineStr">
        <is>
          <t>avverkningsanmälan</t>
        </is>
      </c>
      <c r="C821" t="inlineStr">
        <is>
          <t>Föryngringsavverkning</t>
        </is>
      </c>
      <c r="D821" s="1" t="n">
        <v>45244</v>
      </c>
      <c r="E821" s="1" t="n">
        <v>46222</v>
      </c>
      <c r="F821" t="inlineStr">
        <is>
          <t>UPPSALA LÄN</t>
        </is>
      </c>
      <c r="G821" t="inlineStr">
        <is>
          <t>UPPSALA</t>
        </is>
      </c>
      <c r="H821" t="inlineStr">
        <is>
          <t>Holmen skog AB</t>
        </is>
      </c>
      <c r="I821" t="n">
        <v>3.5</v>
      </c>
      <c r="J821" t="n">
        <v>0</v>
      </c>
      <c r="K821" t="n">
        <v>0</v>
      </c>
      <c r="L821" t="n">
        <v>0</v>
      </c>
      <c r="M821" t="n">
        <v>0</v>
      </c>
      <c r="N821" t="n">
        <v>0</v>
      </c>
      <c r="O821" t="n">
        <v>0</v>
      </c>
      <c r="P821" t="n">
        <v>0</v>
      </c>
      <c r="Q821" t="n">
        <v>0</v>
      </c>
      <c r="R821" t="n">
        <v>0</v>
      </c>
      <c r="S821" t="n">
        <v>0</v>
      </c>
      <c r="T821" t="n">
        <v>0</v>
      </c>
      <c r="U821" s="2" t="inlineStr"/>
    </row>
    <row r="822" ht="15" customHeight="1">
      <c r="A822" t="inlineStr">
        <is>
          <t>A 20301-2024</t>
        </is>
      </c>
      <c r="B822" t="inlineStr">
        <is>
          <t>avverkningsanmälan</t>
        </is>
      </c>
      <c r="C822" t="inlineStr">
        <is>
          <t>Föryngringsavverkning</t>
        </is>
      </c>
      <c r="D822" s="1" t="n">
        <v>45435</v>
      </c>
      <c r="E822" s="1" t="n">
        <v>46222</v>
      </c>
      <c r="F822" t="inlineStr">
        <is>
          <t>UPPSALA LÄN</t>
        </is>
      </c>
      <c r="G822" t="inlineStr">
        <is>
          <t>UPPSALA</t>
        </is>
      </c>
      <c r="H822" t="inlineStr">
        <is>
          <t>Kyrkan</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18805-2025</t>
        </is>
      </c>
      <c r="B823" t="inlineStr">
        <is>
          <t>avverkningsanmälan</t>
        </is>
      </c>
      <c r="C823" t="inlineStr">
        <is>
          <t>Föryngringsavverkning</t>
        </is>
      </c>
      <c r="D823" s="1" t="n">
        <v>45763</v>
      </c>
      <c r="E823" s="1" t="n">
        <v>46222</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39007-2024</t>
        </is>
      </c>
      <c r="B824" t="inlineStr">
        <is>
          <t>avverkningsanmälan</t>
        </is>
      </c>
      <c r="C824" t="inlineStr">
        <is>
          <t>Föryngringsavverkning</t>
        </is>
      </c>
      <c r="D824" s="1" t="n">
        <v>45548</v>
      </c>
      <c r="E824" s="1" t="n">
        <v>46222</v>
      </c>
      <c r="F824" t="inlineStr">
        <is>
          <t>UPPSALA LÄN</t>
        </is>
      </c>
      <c r="G824" t="inlineStr">
        <is>
          <t>UPPSALA</t>
        </is>
      </c>
      <c r="I824" t="n">
        <v>3.1</v>
      </c>
      <c r="J824" t="n">
        <v>0</v>
      </c>
      <c r="K824" t="n">
        <v>0</v>
      </c>
      <c r="L824" t="n">
        <v>0</v>
      </c>
      <c r="M824" t="n">
        <v>0</v>
      </c>
      <c r="N824" t="n">
        <v>0</v>
      </c>
      <c r="O824" t="n">
        <v>0</v>
      </c>
      <c r="P824" t="n">
        <v>0</v>
      </c>
      <c r="Q824" t="n">
        <v>0</v>
      </c>
      <c r="R824" t="n">
        <v>0</v>
      </c>
      <c r="S824" t="n">
        <v>0</v>
      </c>
      <c r="T824" t="n">
        <v>0</v>
      </c>
      <c r="U824" s="2" t="inlineStr"/>
    </row>
    <row r="825" ht="15" customHeight="1">
      <c r="A825" t="inlineStr">
        <is>
          <t>A 31304-2026</t>
        </is>
      </c>
      <c r="B825" t="inlineStr">
        <is>
          <t>avverkningsanmälan</t>
        </is>
      </c>
      <c r="C825" t="inlineStr">
        <is>
          <t>Föryngringsavverkning</t>
        </is>
      </c>
      <c r="D825" s="1" t="n">
        <v>46218</v>
      </c>
      <c r="E825" s="1" t="n">
        <v>46222</v>
      </c>
      <c r="F825" t="inlineStr">
        <is>
          <t>UPPSALA LÄN</t>
        </is>
      </c>
      <c r="G825" t="inlineStr">
        <is>
          <t>UPPSALA</t>
        </is>
      </c>
      <c r="H825" t="inlineStr">
        <is>
          <t>Bergvik skog öst AB</t>
        </is>
      </c>
      <c r="I825" t="n">
        <v>12.1</v>
      </c>
      <c r="J825" t="n">
        <v>0</v>
      </c>
      <c r="K825" t="n">
        <v>0</v>
      </c>
      <c r="L825" t="n">
        <v>0</v>
      </c>
      <c r="M825" t="n">
        <v>0</v>
      </c>
      <c r="N825" t="n">
        <v>0</v>
      </c>
      <c r="O825" t="n">
        <v>0</v>
      </c>
      <c r="P825" t="n">
        <v>0</v>
      </c>
      <c r="Q825" t="n">
        <v>0</v>
      </c>
      <c r="R825" t="n">
        <v>0</v>
      </c>
      <c r="S825" t="n">
        <v>0</v>
      </c>
      <c r="T825" t="n">
        <v>0</v>
      </c>
      <c r="U825" s="2" t="inlineStr"/>
    </row>
    <row r="826" ht="15" customHeight="1">
      <c r="A826" t="inlineStr">
        <is>
          <t>A 31210-2026</t>
        </is>
      </c>
      <c r="B826" t="inlineStr">
        <is>
          <t>avverkningsanmälan</t>
        </is>
      </c>
      <c r="C826" t="inlineStr">
        <is>
          <t>Avverkning för att bevara och utveckla /försöksver</t>
        </is>
      </c>
      <c r="D826" s="1" t="n">
        <v>46217</v>
      </c>
      <c r="E826" s="1" t="n">
        <v>46222</v>
      </c>
      <c r="F826" t="inlineStr">
        <is>
          <t>UPPSALA LÄN</t>
        </is>
      </c>
      <c r="G826" t="inlineStr">
        <is>
          <t>UPPSALA</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69595-2021</t>
        </is>
      </c>
      <c r="B827" t="inlineStr">
        <is>
          <t>avverkningsanmälan</t>
        </is>
      </c>
      <c r="C827" t="inlineStr">
        <is>
          <t>Föryngringsavverkning</t>
        </is>
      </c>
      <c r="D827" s="1" t="n">
        <v>44532</v>
      </c>
      <c r="E827" s="1" t="n">
        <v>46222</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s="2" t="inlineStr"/>
    </row>
    <row r="828" ht="15" customHeight="1">
      <c r="A828" t="inlineStr">
        <is>
          <t>A 44830-2023</t>
        </is>
      </c>
      <c r="B828" t="inlineStr">
        <is>
          <t>avverkningsanmälan</t>
        </is>
      </c>
      <c r="C828" t="inlineStr">
        <is>
          <t>Föryngringsavverkning</t>
        </is>
      </c>
      <c r="D828" s="1" t="n">
        <v>45190</v>
      </c>
      <c r="E828" s="1" t="n">
        <v>46222</v>
      </c>
      <c r="F828" t="inlineStr">
        <is>
          <t>UPPSALA LÄN</t>
        </is>
      </c>
      <c r="G828" t="inlineStr">
        <is>
          <t>UPPSALA</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9426-2023</t>
        </is>
      </c>
      <c r="B829" t="inlineStr">
        <is>
          <t>avverkningsanmälan</t>
        </is>
      </c>
      <c r="C829" t="inlineStr">
        <is>
          <t>Föryngringsavverkning</t>
        </is>
      </c>
      <c r="D829" s="1" t="n">
        <v>44977</v>
      </c>
      <c r="E829" s="1" t="n">
        <v>46222</v>
      </c>
      <c r="F829" t="inlineStr">
        <is>
          <t>UPPSALA LÄN</t>
        </is>
      </c>
      <c r="G829" t="inlineStr">
        <is>
          <t>UPPSALA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5975-2024</t>
        </is>
      </c>
      <c r="B830" t="inlineStr">
        <is>
          <t>avverkningsanmälan</t>
        </is>
      </c>
      <c r="C830" t="inlineStr">
        <is>
          <t>Föryngringsavverkning</t>
        </is>
      </c>
      <c r="D830" s="1" t="n">
        <v>45336</v>
      </c>
      <c r="E830" s="1" t="n">
        <v>46222</v>
      </c>
      <c r="F830" t="inlineStr">
        <is>
          <t>UPPSALA LÄN</t>
        </is>
      </c>
      <c r="G830" t="inlineStr">
        <is>
          <t>UPPSALA</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32428-2023</t>
        </is>
      </c>
      <c r="B831" t="inlineStr">
        <is>
          <t>avverkningsanmälan</t>
        </is>
      </c>
      <c r="C831" t="inlineStr">
        <is>
          <t>Föryngringsavverkning</t>
        </is>
      </c>
      <c r="D831" s="1" t="n">
        <v>45110</v>
      </c>
      <c r="E831" s="1" t="n">
        <v>46222</v>
      </c>
      <c r="F831" t="inlineStr">
        <is>
          <t>UPPSALA LÄN</t>
        </is>
      </c>
      <c r="G831" t="inlineStr">
        <is>
          <t>UPPSALA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25756-2026</t>
        </is>
      </c>
      <c r="B832" t="inlineStr">
        <is>
          <t>avverkningsanmälan</t>
        </is>
      </c>
      <c r="C832" t="inlineStr">
        <is>
          <t>Föryngringsavverkning</t>
        </is>
      </c>
      <c r="D832" s="1" t="n">
        <v>46178</v>
      </c>
      <c r="E832" s="1" t="n">
        <v>46222</v>
      </c>
      <c r="F832" t="inlineStr">
        <is>
          <t>UPPSALA LÄN</t>
        </is>
      </c>
      <c r="G832" t="inlineStr">
        <is>
          <t>UPPSALA</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45489-2023</t>
        </is>
      </c>
      <c r="B833" t="inlineStr">
        <is>
          <t>avverkningsanmälan</t>
        </is>
      </c>
      <c r="C833" t="inlineStr">
        <is>
          <t>Föryngringsavverkning</t>
        </is>
      </c>
      <c r="D833" s="1" t="n">
        <v>45194</v>
      </c>
      <c r="E833" s="1" t="n">
        <v>46222</v>
      </c>
      <c r="F833" t="inlineStr">
        <is>
          <t>UPPSALA LÄN</t>
        </is>
      </c>
      <c r="G833" t="inlineStr">
        <is>
          <t>UPPSALA</t>
        </is>
      </c>
      <c r="H833" t="inlineStr">
        <is>
          <t>Allmännings- och besparingsskogar</t>
        </is>
      </c>
      <c r="I833" t="n">
        <v>15.8</v>
      </c>
      <c r="J833" t="n">
        <v>0</v>
      </c>
      <c r="K833" t="n">
        <v>0</v>
      </c>
      <c r="L833" t="n">
        <v>0</v>
      </c>
      <c r="M833" t="n">
        <v>0</v>
      </c>
      <c r="N833" t="n">
        <v>0</v>
      </c>
      <c r="O833" t="n">
        <v>0</v>
      </c>
      <c r="P833" t="n">
        <v>0</v>
      </c>
      <c r="Q833" t="n">
        <v>0</v>
      </c>
      <c r="R833" t="n">
        <v>0</v>
      </c>
      <c r="S833" t="n">
        <v>0</v>
      </c>
      <c r="T833" t="n">
        <v>0</v>
      </c>
      <c r="U833" s="2" t="inlineStr"/>
    </row>
    <row r="834" ht="15" customHeight="1">
      <c r="A834" t="inlineStr">
        <is>
          <t>A 27473-2024</t>
        </is>
      </c>
      <c r="B834" t="inlineStr">
        <is>
          <t>avverkningsanmälan</t>
        </is>
      </c>
      <c r="C834" t="inlineStr">
        <is>
          <t>Föryngringsavverkning</t>
        </is>
      </c>
      <c r="D834" s="1" t="n">
        <v>45474</v>
      </c>
      <c r="E834" s="1" t="n">
        <v>46222</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784-2024</t>
        </is>
      </c>
      <c r="B835" t="inlineStr">
        <is>
          <t>avverkningsanmälan</t>
        </is>
      </c>
      <c r="C835" t="inlineStr">
        <is>
          <t>Föryngringsavverkning</t>
        </is>
      </c>
      <c r="D835" s="1" t="n">
        <v>45300</v>
      </c>
      <c r="E835" s="1" t="n">
        <v>46222</v>
      </c>
      <c r="F835" t="inlineStr">
        <is>
          <t>UPPSALA LÄN</t>
        </is>
      </c>
      <c r="G835" t="inlineStr">
        <is>
          <t>UPPSALA</t>
        </is>
      </c>
      <c r="I835" t="n">
        <v>6.6</v>
      </c>
      <c r="J835" t="n">
        <v>0</v>
      </c>
      <c r="K835" t="n">
        <v>0</v>
      </c>
      <c r="L835" t="n">
        <v>0</v>
      </c>
      <c r="M835" t="n">
        <v>0</v>
      </c>
      <c r="N835" t="n">
        <v>0</v>
      </c>
      <c r="O835" t="n">
        <v>0</v>
      </c>
      <c r="P835" t="n">
        <v>0</v>
      </c>
      <c r="Q835" t="n">
        <v>0</v>
      </c>
      <c r="R835" t="n">
        <v>0</v>
      </c>
      <c r="S835" t="n">
        <v>0</v>
      </c>
      <c r="T835" t="n">
        <v>0</v>
      </c>
      <c r="U835" s="2" t="inlineStr"/>
    </row>
    <row r="836" ht="15" customHeight="1">
      <c r="A836" t="inlineStr">
        <is>
          <t>A 48153-2024</t>
        </is>
      </c>
      <c r="B836" t="inlineStr">
        <is>
          <t>avverkningsanmälan</t>
        </is>
      </c>
      <c r="C836" t="inlineStr">
        <is>
          <t>Föryngringsavverkning</t>
        </is>
      </c>
      <c r="D836" s="1" t="n">
        <v>45589</v>
      </c>
      <c r="E836" s="1" t="n">
        <v>46222</v>
      </c>
      <c r="F836" t="inlineStr">
        <is>
          <t>UPPSALA LÄN</t>
        </is>
      </c>
      <c r="G836" t="inlineStr">
        <is>
          <t>UPPSALA</t>
        </is>
      </c>
      <c r="I836" t="n">
        <v>3.4</v>
      </c>
      <c r="J836" t="n">
        <v>0</v>
      </c>
      <c r="K836" t="n">
        <v>0</v>
      </c>
      <c r="L836" t="n">
        <v>0</v>
      </c>
      <c r="M836" t="n">
        <v>0</v>
      </c>
      <c r="N836" t="n">
        <v>0</v>
      </c>
      <c r="O836" t="n">
        <v>0</v>
      </c>
      <c r="P836" t="n">
        <v>0</v>
      </c>
      <c r="Q836" t="n">
        <v>0</v>
      </c>
      <c r="R836" t="n">
        <v>0</v>
      </c>
      <c r="S836" t="n">
        <v>0</v>
      </c>
      <c r="T836" t="n">
        <v>0</v>
      </c>
      <c r="U836" s="2" t="inlineStr"/>
    </row>
    <row r="837" ht="15" customHeight="1">
      <c r="A837" t="inlineStr">
        <is>
          <t>A 14907-2025</t>
        </is>
      </c>
      <c r="B837" t="inlineStr">
        <is>
          <t>avverkningsanmälan</t>
        </is>
      </c>
      <c r="C837" t="inlineStr">
        <is>
          <t>Avverkning för att bevara och utveckla /försöksver</t>
        </is>
      </c>
      <c r="D837" s="1" t="n">
        <v>45743</v>
      </c>
      <c r="E837" s="1" t="n">
        <v>46222</v>
      </c>
      <c r="F837" t="inlineStr">
        <is>
          <t>UPPSALA LÄN</t>
        </is>
      </c>
      <c r="G837" t="inlineStr">
        <is>
          <t>UPPSALA</t>
        </is>
      </c>
      <c r="I837" t="n">
        <v>7</v>
      </c>
      <c r="J837" t="n">
        <v>0</v>
      </c>
      <c r="K837" t="n">
        <v>0</v>
      </c>
      <c r="L837" t="n">
        <v>0</v>
      </c>
      <c r="M837" t="n">
        <v>0</v>
      </c>
      <c r="N837" t="n">
        <v>0</v>
      </c>
      <c r="O837" t="n">
        <v>0</v>
      </c>
      <c r="P837" t="n">
        <v>0</v>
      </c>
      <c r="Q837" t="n">
        <v>0</v>
      </c>
      <c r="R837" t="n">
        <v>0</v>
      </c>
      <c r="S837" t="n">
        <v>0</v>
      </c>
      <c r="T837" t="n">
        <v>0</v>
      </c>
      <c r="U837" s="2" t="inlineStr"/>
    </row>
    <row r="838" ht="15" customHeight="1">
      <c r="A838" t="inlineStr">
        <is>
          <t>A 8132-2022</t>
        </is>
      </c>
      <c r="B838" t="inlineStr">
        <is>
          <t>avverkningsanmälan</t>
        </is>
      </c>
      <c r="C838" t="inlineStr">
        <is>
          <t>Föryngringsavverkning</t>
        </is>
      </c>
      <c r="D838" s="1" t="n">
        <v>44609</v>
      </c>
      <c r="E838" s="1" t="n">
        <v>46222</v>
      </c>
      <c r="F838" t="inlineStr">
        <is>
          <t>UPPSALA LÄN</t>
        </is>
      </c>
      <c r="G838" t="inlineStr">
        <is>
          <t>UPPSALA</t>
        </is>
      </c>
      <c r="H838" t="inlineStr">
        <is>
          <t>Kommuner</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62471-2021</t>
        </is>
      </c>
      <c r="B839" t="inlineStr">
        <is>
          <t>avverkningsanmälan</t>
        </is>
      </c>
      <c r="C839" t="inlineStr">
        <is>
          <t>Föryngringsavverkning</t>
        </is>
      </c>
      <c r="D839" s="1" t="n">
        <v>44503</v>
      </c>
      <c r="E839" s="1" t="n">
        <v>46222</v>
      </c>
      <c r="F839" t="inlineStr">
        <is>
          <t>UPPSALA LÄN</t>
        </is>
      </c>
      <c r="G839" t="inlineStr">
        <is>
          <t>UPPSALA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10565-2022</t>
        </is>
      </c>
      <c r="B840" t="inlineStr">
        <is>
          <t>avverkningsanmälan</t>
        </is>
      </c>
      <c r="C840" t="inlineStr">
        <is>
          <t>Föryngringsavverkning</t>
        </is>
      </c>
      <c r="D840" s="1" t="n">
        <v>44624</v>
      </c>
      <c r="E840" s="1" t="n">
        <v>46222</v>
      </c>
      <c r="F840" t="inlineStr">
        <is>
          <t>UPPSALA LÄN</t>
        </is>
      </c>
      <c r="G840" t="inlineStr">
        <is>
          <t>UPPSALA</t>
        </is>
      </c>
      <c r="H840" t="inlineStr">
        <is>
          <t>Bergvik skog öst AB</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25376-2026</t>
        </is>
      </c>
      <c r="B841" t="inlineStr">
        <is>
          <t>avverkningsanmälan</t>
        </is>
      </c>
      <c r="C841" t="inlineStr">
        <is>
          <t>Föryngringsavverkning</t>
        </is>
      </c>
      <c r="D841" s="1" t="n">
        <v>46176</v>
      </c>
      <c r="E841" s="1" t="n">
        <v>46222</v>
      </c>
      <c r="F841" t="inlineStr">
        <is>
          <t>UPPSALA LÄN</t>
        </is>
      </c>
      <c r="G841" t="inlineStr">
        <is>
          <t>UPPSALA</t>
        </is>
      </c>
      <c r="I841" t="n">
        <v>2.9</v>
      </c>
      <c r="J841" t="n">
        <v>0</v>
      </c>
      <c r="K841" t="n">
        <v>0</v>
      </c>
      <c r="L841" t="n">
        <v>0</v>
      </c>
      <c r="M841" t="n">
        <v>0</v>
      </c>
      <c r="N841" t="n">
        <v>0</v>
      </c>
      <c r="O841" t="n">
        <v>0</v>
      </c>
      <c r="P841" t="n">
        <v>0</v>
      </c>
      <c r="Q841" t="n">
        <v>0</v>
      </c>
      <c r="R841" t="n">
        <v>0</v>
      </c>
      <c r="S841" t="n">
        <v>0</v>
      </c>
      <c r="T841" t="n">
        <v>0</v>
      </c>
      <c r="U841" s="2" t="inlineStr"/>
    </row>
    <row r="842" ht="15" customHeight="1">
      <c r="A842" t="inlineStr">
        <is>
          <t>A 12284-2025</t>
        </is>
      </c>
      <c r="B842" t="inlineStr">
        <is>
          <t>avverkningsanmälan</t>
        </is>
      </c>
      <c r="C842" t="inlineStr">
        <is>
          <t>Föryngringsavverkning</t>
        </is>
      </c>
      <c r="D842" s="1" t="n">
        <v>45729</v>
      </c>
      <c r="E842" s="1" t="n">
        <v>46222</v>
      </c>
      <c r="F842" t="inlineStr">
        <is>
          <t>UPPSALA LÄN</t>
        </is>
      </c>
      <c r="G842" t="inlineStr">
        <is>
          <t>UPPSALA</t>
        </is>
      </c>
      <c r="I842" t="n">
        <v>6.7</v>
      </c>
      <c r="J842" t="n">
        <v>0</v>
      </c>
      <c r="K842" t="n">
        <v>0</v>
      </c>
      <c r="L842" t="n">
        <v>0</v>
      </c>
      <c r="M842" t="n">
        <v>0</v>
      </c>
      <c r="N842" t="n">
        <v>0</v>
      </c>
      <c r="O842" t="n">
        <v>0</v>
      </c>
      <c r="P842" t="n">
        <v>0</v>
      </c>
      <c r="Q842" t="n">
        <v>0</v>
      </c>
      <c r="R842" t="n">
        <v>0</v>
      </c>
      <c r="S842" t="n">
        <v>0</v>
      </c>
      <c r="T842" t="n">
        <v>0</v>
      </c>
      <c r="U842" s="2" t="inlineStr"/>
    </row>
    <row r="843" ht="15" customHeight="1">
      <c r="A843" t="inlineStr">
        <is>
          <t>A 12287-2025</t>
        </is>
      </c>
      <c r="B843" t="inlineStr">
        <is>
          <t>avverkningsanmälan</t>
        </is>
      </c>
      <c r="C843" t="inlineStr">
        <is>
          <t>Föryngringsavverkning</t>
        </is>
      </c>
      <c r="D843" s="1" t="n">
        <v>45729</v>
      </c>
      <c r="E843" s="1" t="n">
        <v>46222</v>
      </c>
      <c r="F843" t="inlineStr">
        <is>
          <t>UPPSALA LÄN</t>
        </is>
      </c>
      <c r="G843" t="inlineStr">
        <is>
          <t>UPPSALA</t>
        </is>
      </c>
      <c r="I843" t="n">
        <v>4.6</v>
      </c>
      <c r="J843" t="n">
        <v>0</v>
      </c>
      <c r="K843" t="n">
        <v>0</v>
      </c>
      <c r="L843" t="n">
        <v>0</v>
      </c>
      <c r="M843" t="n">
        <v>0</v>
      </c>
      <c r="N843" t="n">
        <v>0</v>
      </c>
      <c r="O843" t="n">
        <v>0</v>
      </c>
      <c r="P843" t="n">
        <v>0</v>
      </c>
      <c r="Q843" t="n">
        <v>0</v>
      </c>
      <c r="R843" t="n">
        <v>0</v>
      </c>
      <c r="S843" t="n">
        <v>0</v>
      </c>
      <c r="T843" t="n">
        <v>0</v>
      </c>
      <c r="U843" s="2" t="inlineStr"/>
    </row>
    <row r="844" ht="15" customHeight="1">
      <c r="A844" t="inlineStr">
        <is>
          <t>A 4461-2024</t>
        </is>
      </c>
      <c r="B844" t="inlineStr">
        <is>
          <t>avverkningsanmälan</t>
        </is>
      </c>
      <c r="C844" t="inlineStr">
        <is>
          <t>Föryngringsavverkning</t>
        </is>
      </c>
      <c r="D844" s="1" t="n">
        <v>45327</v>
      </c>
      <c r="E844" s="1" t="n">
        <v>46222</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14784-2023</t>
        </is>
      </c>
      <c r="B845" t="inlineStr">
        <is>
          <t>avverkningsanmälan</t>
        </is>
      </c>
      <c r="C845" t="inlineStr">
        <is>
          <t>Föryngringsavverkning</t>
        </is>
      </c>
      <c r="D845" s="1" t="n">
        <v>45014</v>
      </c>
      <c r="E845" s="1" t="n">
        <v>46222</v>
      </c>
      <c r="F845" t="inlineStr">
        <is>
          <t>UPPSALA LÄN</t>
        </is>
      </c>
      <c r="G845" t="inlineStr">
        <is>
          <t>UPPSALA</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4929-2022</t>
        </is>
      </c>
      <c r="B846" t="inlineStr">
        <is>
          <t>avverkningsanmälan</t>
        </is>
      </c>
      <c r="C846" t="inlineStr">
        <is>
          <t>Föryngringsavverkning</t>
        </is>
      </c>
      <c r="D846" s="1" t="n">
        <v>44593</v>
      </c>
      <c r="E846" s="1" t="n">
        <v>46222</v>
      </c>
      <c r="F846" t="inlineStr">
        <is>
          <t>UPPSALA LÄN</t>
        </is>
      </c>
      <c r="G846" t="inlineStr">
        <is>
          <t>UPPSALA</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4240-2025</t>
        </is>
      </c>
      <c r="B847" t="inlineStr">
        <is>
          <t>avverkningsanmälan</t>
        </is>
      </c>
      <c r="C847" t="inlineStr">
        <is>
          <t>Föryngringsavverkning</t>
        </is>
      </c>
      <c r="D847" s="1" t="n">
        <v>45685</v>
      </c>
      <c r="E847" s="1" t="n">
        <v>46222</v>
      </c>
      <c r="F847" t="inlineStr">
        <is>
          <t>UPPSALA LÄN</t>
        </is>
      </c>
      <c r="G847" t="inlineStr">
        <is>
          <t>UPPSALA</t>
        </is>
      </c>
      <c r="I847" t="n">
        <v>1.2</v>
      </c>
      <c r="J847" t="n">
        <v>0</v>
      </c>
      <c r="K847" t="n">
        <v>0</v>
      </c>
      <c r="L847" t="n">
        <v>0</v>
      </c>
      <c r="M847" t="n">
        <v>0</v>
      </c>
      <c r="N847" t="n">
        <v>0</v>
      </c>
      <c r="O847" t="n">
        <v>0</v>
      </c>
      <c r="P847" t="n">
        <v>0</v>
      </c>
      <c r="Q847" t="n">
        <v>0</v>
      </c>
      <c r="R847" t="n">
        <v>0</v>
      </c>
      <c r="S847" t="n">
        <v>0</v>
      </c>
      <c r="T847" t="n">
        <v>0</v>
      </c>
      <c r="U847" s="2" t="inlineStr"/>
    </row>
    <row r="848" ht="15" customHeight="1">
      <c r="A848" t="inlineStr">
        <is>
          <t>A 24787-2024</t>
        </is>
      </c>
      <c r="B848" t="inlineStr">
        <is>
          <t>avverkningsanmälan</t>
        </is>
      </c>
      <c r="C848" t="inlineStr">
        <is>
          <t>Avverkning för annat ändamål</t>
        </is>
      </c>
      <c r="D848" s="1" t="n">
        <v>45460</v>
      </c>
      <c r="E848" s="1" t="n">
        <v>46222</v>
      </c>
      <c r="F848" t="inlineStr">
        <is>
          <t>UPPSALA LÄN</t>
        </is>
      </c>
      <c r="G848" t="inlineStr">
        <is>
          <t>UPPSALA</t>
        </is>
      </c>
      <c r="H848" t="inlineStr">
        <is>
          <t>Övriga Aktiebolag</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7388-2024</t>
        </is>
      </c>
      <c r="B849" t="inlineStr">
        <is>
          <t>avverkningsanmälan</t>
        </is>
      </c>
      <c r="C849" t="inlineStr">
        <is>
          <t>Föryngringsavverkning</t>
        </is>
      </c>
      <c r="D849" s="1" t="n">
        <v>45345</v>
      </c>
      <c r="E849" s="1" t="n">
        <v>46222</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60984-2022</t>
        </is>
      </c>
      <c r="B850" t="inlineStr">
        <is>
          <t>avverkningsanmälan</t>
        </is>
      </c>
      <c r="C850" t="inlineStr">
        <is>
          <t>Föryngringsavverkning</t>
        </is>
      </c>
      <c r="D850" s="1" t="n">
        <v>44914</v>
      </c>
      <c r="E850" s="1" t="n">
        <v>46222</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21052-2023</t>
        </is>
      </c>
      <c r="B851" t="inlineStr">
        <is>
          <t>avverkningsanmälan</t>
        </is>
      </c>
      <c r="C851" t="inlineStr">
        <is>
          <t>Föryngringsavverkning</t>
        </is>
      </c>
      <c r="D851" s="1" t="n">
        <v>45061</v>
      </c>
      <c r="E851" s="1" t="n">
        <v>46222</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60701-2022</t>
        </is>
      </c>
      <c r="B852" t="inlineStr">
        <is>
          <t>avverkningsanmälan</t>
        </is>
      </c>
      <c r="C852" t="inlineStr">
        <is>
          <t>Avverkning för annat ändamål</t>
        </is>
      </c>
      <c r="D852" s="1" t="n">
        <v>44912</v>
      </c>
      <c r="E852" s="1" t="n">
        <v>46222</v>
      </c>
      <c r="F852" t="inlineStr">
        <is>
          <t>UPPSALA LÄN</t>
        </is>
      </c>
      <c r="G852" t="inlineStr">
        <is>
          <t>UPPSALA</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6997-2023</t>
        </is>
      </c>
      <c r="B853" t="inlineStr">
        <is>
          <t>avverkningsanmälan</t>
        </is>
      </c>
      <c r="C853" t="inlineStr">
        <is>
          <t>Föryngringsavverkning</t>
        </is>
      </c>
      <c r="D853" s="1" t="n">
        <v>44967</v>
      </c>
      <c r="E853" s="1" t="n">
        <v>46222</v>
      </c>
      <c r="F853" t="inlineStr">
        <is>
          <t>UPPSALA LÄN</t>
        </is>
      </c>
      <c r="G853" t="inlineStr">
        <is>
          <t>UPPSALA</t>
        </is>
      </c>
      <c r="I853" t="n">
        <v>3.9</v>
      </c>
      <c r="J853" t="n">
        <v>0</v>
      </c>
      <c r="K853" t="n">
        <v>0</v>
      </c>
      <c r="L853" t="n">
        <v>0</v>
      </c>
      <c r="M853" t="n">
        <v>0</v>
      </c>
      <c r="N853" t="n">
        <v>0</v>
      </c>
      <c r="O853" t="n">
        <v>0</v>
      </c>
      <c r="P853" t="n">
        <v>0</v>
      </c>
      <c r="Q853" t="n">
        <v>0</v>
      </c>
      <c r="R853" t="n">
        <v>0</v>
      </c>
      <c r="S853" t="n">
        <v>0</v>
      </c>
      <c r="T853" t="n">
        <v>0</v>
      </c>
      <c r="U853" s="2" t="inlineStr"/>
    </row>
    <row r="854" ht="15" customHeight="1">
      <c r="A854" t="inlineStr">
        <is>
          <t>A 23157-2023</t>
        </is>
      </c>
      <c r="B854" t="inlineStr">
        <is>
          <t>avverkningsanmälan</t>
        </is>
      </c>
      <c r="C854" t="inlineStr">
        <is>
          <t>Föryngringsavverkning</t>
        </is>
      </c>
      <c r="D854" s="1" t="n">
        <v>45075</v>
      </c>
      <c r="E854" s="1" t="n">
        <v>46222</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6549-2025</t>
        </is>
      </c>
      <c r="B855" t="inlineStr">
        <is>
          <t>avverkningsanmälan</t>
        </is>
      </c>
      <c r="C855" t="inlineStr">
        <is>
          <t>Föryngringsavverkning</t>
        </is>
      </c>
      <c r="D855" s="1" t="n">
        <v>45699</v>
      </c>
      <c r="E855" s="1" t="n">
        <v>46222</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12830-2025</t>
        </is>
      </c>
      <c r="B856" t="inlineStr">
        <is>
          <t>avverkningsanmälan</t>
        </is>
      </c>
      <c r="C856" t="inlineStr">
        <is>
          <t>Föryngringsavverkning</t>
        </is>
      </c>
      <c r="D856" s="1" t="n">
        <v>45733</v>
      </c>
      <c r="E856" s="1" t="n">
        <v>46222</v>
      </c>
      <c r="F856" t="inlineStr">
        <is>
          <t>UPPSALA LÄN</t>
        </is>
      </c>
      <c r="G856" t="inlineStr">
        <is>
          <t>UPPSALA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18808-2024</t>
        </is>
      </c>
      <c r="B857" t="inlineStr">
        <is>
          <t>avverkningsanmälan</t>
        </is>
      </c>
      <c r="C857" t="inlineStr">
        <is>
          <t>Föryngringsavverkning</t>
        </is>
      </c>
      <c r="D857" s="1" t="n">
        <v>45426</v>
      </c>
      <c r="E857" s="1" t="n">
        <v>46222</v>
      </c>
      <c r="F857" t="inlineStr">
        <is>
          <t>UPPSALA LÄN</t>
        </is>
      </c>
      <c r="G857" t="inlineStr">
        <is>
          <t>UPPSALA</t>
        </is>
      </c>
      <c r="I857" t="n">
        <v>11.5</v>
      </c>
      <c r="J857" t="n">
        <v>0</v>
      </c>
      <c r="K857" t="n">
        <v>0</v>
      </c>
      <c r="L857" t="n">
        <v>0</v>
      </c>
      <c r="M857" t="n">
        <v>0</v>
      </c>
      <c r="N857" t="n">
        <v>0</v>
      </c>
      <c r="O857" t="n">
        <v>0</v>
      </c>
      <c r="P857" t="n">
        <v>0</v>
      </c>
      <c r="Q857" t="n">
        <v>0</v>
      </c>
      <c r="R857" t="n">
        <v>0</v>
      </c>
      <c r="S857" t="n">
        <v>0</v>
      </c>
      <c r="T857" t="n">
        <v>0</v>
      </c>
      <c r="U857" s="2" t="inlineStr"/>
    </row>
    <row r="858" ht="15" customHeight="1">
      <c r="A858" t="inlineStr">
        <is>
          <t>A 28782-2024</t>
        </is>
      </c>
      <c r="B858" t="inlineStr">
        <is>
          <t>avverkningsanmälan</t>
        </is>
      </c>
      <c r="C858" t="inlineStr">
        <is>
          <t>Föryngringsavverkning</t>
        </is>
      </c>
      <c r="D858" s="1" t="n">
        <v>45478</v>
      </c>
      <c r="E858" s="1" t="n">
        <v>46222</v>
      </c>
      <c r="F858" t="inlineStr">
        <is>
          <t>UPPSALA LÄN</t>
        </is>
      </c>
      <c r="G858" t="inlineStr">
        <is>
          <t>UPPSALA</t>
        </is>
      </c>
      <c r="H858" t="inlineStr">
        <is>
          <t>Holmen skog AB</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36781-2023</t>
        </is>
      </c>
      <c r="B859" t="inlineStr">
        <is>
          <t>avverkningsanmälan</t>
        </is>
      </c>
      <c r="C859" t="inlineStr">
        <is>
          <t>Föryngringsavverkning</t>
        </is>
      </c>
      <c r="D859" s="1" t="n">
        <v>45154</v>
      </c>
      <c r="E859" s="1" t="n">
        <v>46222</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12282-2025</t>
        </is>
      </c>
      <c r="B860" t="inlineStr">
        <is>
          <t>avverkningsanmälan</t>
        </is>
      </c>
      <c r="C860" t="inlineStr">
        <is>
          <t>Föryngringsavverkning</t>
        </is>
      </c>
      <c r="D860" s="1" t="n">
        <v>45729</v>
      </c>
      <c r="E860" s="1" t="n">
        <v>46222</v>
      </c>
      <c r="F860" t="inlineStr">
        <is>
          <t>UPPSALA LÄN</t>
        </is>
      </c>
      <c r="G860" t="inlineStr">
        <is>
          <t>UPPSALA</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41545-2023</t>
        </is>
      </c>
      <c r="B861" t="inlineStr">
        <is>
          <t>avverkningsanmälan</t>
        </is>
      </c>
      <c r="C861" t="inlineStr">
        <is>
          <t>Föryngringsavverkning</t>
        </is>
      </c>
      <c r="D861" s="1" t="n">
        <v>45175</v>
      </c>
      <c r="E861" s="1" t="n">
        <v>46222</v>
      </c>
      <c r="F861" t="inlineStr">
        <is>
          <t>UPPSALA LÄN</t>
        </is>
      </c>
      <c r="G861" t="inlineStr">
        <is>
          <t>UPPSALA</t>
        </is>
      </c>
      <c r="I861" t="n">
        <v>6.6</v>
      </c>
      <c r="J861" t="n">
        <v>0</v>
      </c>
      <c r="K861" t="n">
        <v>0</v>
      </c>
      <c r="L861" t="n">
        <v>0</v>
      </c>
      <c r="M861" t="n">
        <v>0</v>
      </c>
      <c r="N861" t="n">
        <v>0</v>
      </c>
      <c r="O861" t="n">
        <v>0</v>
      </c>
      <c r="P861" t="n">
        <v>0</v>
      </c>
      <c r="Q861" t="n">
        <v>0</v>
      </c>
      <c r="R861" t="n">
        <v>0</v>
      </c>
      <c r="S861" t="n">
        <v>0</v>
      </c>
      <c r="T861" t="n">
        <v>0</v>
      </c>
      <c r="U861" s="2" t="inlineStr"/>
    </row>
    <row r="862" ht="15" customHeight="1">
      <c r="A862" t="inlineStr">
        <is>
          <t>A 60691-2024</t>
        </is>
      </c>
      <c r="B862" t="inlineStr">
        <is>
          <t>avverkningsanmälan</t>
        </is>
      </c>
      <c r="C862" t="inlineStr">
        <is>
          <t>Föryngringsavverkning</t>
        </is>
      </c>
      <c r="D862" s="1" t="n">
        <v>45644</v>
      </c>
      <c r="E862" s="1" t="n">
        <v>46222</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13526-2023</t>
        </is>
      </c>
      <c r="B863" t="inlineStr">
        <is>
          <t>avverkningsanmälan</t>
        </is>
      </c>
      <c r="C863" t="inlineStr">
        <is>
          <t>Föryngringsavverkning</t>
        </is>
      </c>
      <c r="D863" s="1" t="n">
        <v>45006</v>
      </c>
      <c r="E863" s="1" t="n">
        <v>46222</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1825-2024</t>
        </is>
      </c>
      <c r="B864" t="inlineStr">
        <is>
          <t>avverkningsanmälan</t>
        </is>
      </c>
      <c r="C864" t="inlineStr">
        <is>
          <t>Föryngringsavverkning</t>
        </is>
      </c>
      <c r="D864" s="1" t="n">
        <v>45307</v>
      </c>
      <c r="E864" s="1" t="n">
        <v>46222</v>
      </c>
      <c r="F864" t="inlineStr">
        <is>
          <t>UPPSALA LÄN</t>
        </is>
      </c>
      <c r="G864" t="inlineStr">
        <is>
          <t>UPPSALA</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4412-2024</t>
        </is>
      </c>
      <c r="B865" t="inlineStr">
        <is>
          <t>avverkningsanmälan</t>
        </is>
      </c>
      <c r="C865" t="inlineStr">
        <is>
          <t>Föryngringsavverkning</t>
        </is>
      </c>
      <c r="D865" s="1" t="n">
        <v>45327</v>
      </c>
      <c r="E865" s="1" t="n">
        <v>46222</v>
      </c>
      <c r="F865" t="inlineStr">
        <is>
          <t>UPPSALA LÄN</t>
        </is>
      </c>
      <c r="G865" t="inlineStr">
        <is>
          <t>UPPSALA</t>
        </is>
      </c>
      <c r="I865" t="n">
        <v>5.4</v>
      </c>
      <c r="J865" t="n">
        <v>0</v>
      </c>
      <c r="K865" t="n">
        <v>0</v>
      </c>
      <c r="L865" t="n">
        <v>0</v>
      </c>
      <c r="M865" t="n">
        <v>0</v>
      </c>
      <c r="N865" t="n">
        <v>0</v>
      </c>
      <c r="O865" t="n">
        <v>0</v>
      </c>
      <c r="P865" t="n">
        <v>0</v>
      </c>
      <c r="Q865" t="n">
        <v>0</v>
      </c>
      <c r="R865" t="n">
        <v>0</v>
      </c>
      <c r="S865" t="n">
        <v>0</v>
      </c>
      <c r="T865" t="n">
        <v>0</v>
      </c>
      <c r="U865" s="2" t="inlineStr"/>
    </row>
    <row r="866" ht="15" customHeight="1">
      <c r="A866" t="inlineStr">
        <is>
          <t>A 787-2024</t>
        </is>
      </c>
      <c r="B866" t="inlineStr">
        <is>
          <t>avverkningsanmälan</t>
        </is>
      </c>
      <c r="C866" t="inlineStr">
        <is>
          <t>Föryngringsavverkning</t>
        </is>
      </c>
      <c r="D866" s="1" t="n">
        <v>45300</v>
      </c>
      <c r="E866" s="1" t="n">
        <v>46222</v>
      </c>
      <c r="F866" t="inlineStr">
        <is>
          <t>UPPSALA LÄN</t>
        </is>
      </c>
      <c r="G866" t="inlineStr">
        <is>
          <t>UPPSALA</t>
        </is>
      </c>
      <c r="I866" t="n">
        <v>3</v>
      </c>
      <c r="J866" t="n">
        <v>0</v>
      </c>
      <c r="K866" t="n">
        <v>0</v>
      </c>
      <c r="L866" t="n">
        <v>0</v>
      </c>
      <c r="M866" t="n">
        <v>0</v>
      </c>
      <c r="N866" t="n">
        <v>0</v>
      </c>
      <c r="O866" t="n">
        <v>0</v>
      </c>
      <c r="P866" t="n">
        <v>0</v>
      </c>
      <c r="Q866" t="n">
        <v>0</v>
      </c>
      <c r="R866" t="n">
        <v>0</v>
      </c>
      <c r="S866" t="n">
        <v>0</v>
      </c>
      <c r="T866" t="n">
        <v>0</v>
      </c>
      <c r="U866" s="2" t="inlineStr"/>
    </row>
    <row r="867" ht="15" customHeight="1">
      <c r="A867" t="inlineStr">
        <is>
          <t>A 29815-2023</t>
        </is>
      </c>
      <c r="B867" t="inlineStr">
        <is>
          <t>avverkningsanmälan</t>
        </is>
      </c>
      <c r="C867" t="inlineStr">
        <is>
          <t>Föryngringsavverkning</t>
        </is>
      </c>
      <c r="D867" s="1" t="n">
        <v>45107</v>
      </c>
      <c r="E867" s="1" t="n">
        <v>46222</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33667-2024</t>
        </is>
      </c>
      <c r="B868" t="inlineStr">
        <is>
          <t>avverkningsanmälan</t>
        </is>
      </c>
      <c r="C868" t="inlineStr">
        <is>
          <t>Föryngringsavverkning</t>
        </is>
      </c>
      <c r="D868" s="1" t="n">
        <v>45520</v>
      </c>
      <c r="E868" s="1" t="n">
        <v>46222</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44847-2024</t>
        </is>
      </c>
      <c r="B869" t="inlineStr">
        <is>
          <t>avverkningsanmälan</t>
        </is>
      </c>
      <c r="C869" t="inlineStr">
        <is>
          <t>Föryngringsavverkning</t>
        </is>
      </c>
      <c r="D869" s="1" t="n">
        <v>45574</v>
      </c>
      <c r="E869" s="1" t="n">
        <v>46222</v>
      </c>
      <c r="F869" t="inlineStr">
        <is>
          <t>UPPSALA LÄN</t>
        </is>
      </c>
      <c r="G869" t="inlineStr">
        <is>
          <t>UPPSALA</t>
        </is>
      </c>
      <c r="I869" t="n">
        <v>6.3</v>
      </c>
      <c r="J869" t="n">
        <v>0</v>
      </c>
      <c r="K869" t="n">
        <v>0</v>
      </c>
      <c r="L869" t="n">
        <v>0</v>
      </c>
      <c r="M869" t="n">
        <v>0</v>
      </c>
      <c r="N869" t="n">
        <v>0</v>
      </c>
      <c r="O869" t="n">
        <v>0</v>
      </c>
      <c r="P869" t="n">
        <v>0</v>
      </c>
      <c r="Q869" t="n">
        <v>0</v>
      </c>
      <c r="R869" t="n">
        <v>0</v>
      </c>
      <c r="S869" t="n">
        <v>0</v>
      </c>
      <c r="T869" t="n">
        <v>0</v>
      </c>
      <c r="U869" s="2" t="inlineStr"/>
    </row>
    <row r="870" ht="15" customHeight="1">
      <c r="A870" t="inlineStr">
        <is>
          <t>A 21279-2025</t>
        </is>
      </c>
      <c r="B870" t="inlineStr">
        <is>
          <t>avverkningsanmälan</t>
        </is>
      </c>
      <c r="C870" t="inlineStr">
        <is>
          <t>Föryngringsavverkning</t>
        </is>
      </c>
      <c r="D870" s="1" t="n">
        <v>45779</v>
      </c>
      <c r="E870" s="1" t="n">
        <v>46222</v>
      </c>
      <c r="F870" t="inlineStr">
        <is>
          <t>UPPSALA LÄN</t>
        </is>
      </c>
      <c r="G870" t="inlineStr">
        <is>
          <t>UPPSALA</t>
        </is>
      </c>
      <c r="H870" t="inlineStr">
        <is>
          <t>Övriga Aktiebolag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750-2022</t>
        </is>
      </c>
      <c r="B871" t="inlineStr">
        <is>
          <t>avverkningsanmälan</t>
        </is>
      </c>
      <c r="C871" t="inlineStr">
        <is>
          <t>Föryngringsavverkning</t>
        </is>
      </c>
      <c r="D871" s="1" t="n">
        <v>44569</v>
      </c>
      <c r="E871" s="1" t="n">
        <v>46222</v>
      </c>
      <c r="F871" t="inlineStr">
        <is>
          <t>UPPSALA LÄN</t>
        </is>
      </c>
      <c r="G871" t="inlineStr">
        <is>
          <t>UPPSALA</t>
        </is>
      </c>
      <c r="H871" t="inlineStr">
        <is>
          <t>Holmen skog AB</t>
        </is>
      </c>
      <c r="I871" t="n">
        <v>6</v>
      </c>
      <c r="J871" t="n">
        <v>0</v>
      </c>
      <c r="K871" t="n">
        <v>0</v>
      </c>
      <c r="L871" t="n">
        <v>0</v>
      </c>
      <c r="M871" t="n">
        <v>0</v>
      </c>
      <c r="N871" t="n">
        <v>0</v>
      </c>
      <c r="O871" t="n">
        <v>0</v>
      </c>
      <c r="P871" t="n">
        <v>0</v>
      </c>
      <c r="Q871" t="n">
        <v>0</v>
      </c>
      <c r="R871" t="n">
        <v>0</v>
      </c>
      <c r="S871" t="n">
        <v>0</v>
      </c>
      <c r="T871" t="n">
        <v>0</v>
      </c>
      <c r="U871" s="2" t="inlineStr"/>
    </row>
    <row r="872" ht="15" customHeight="1">
      <c r="A872" t="inlineStr">
        <is>
          <t>A 4980-2024</t>
        </is>
      </c>
      <c r="B872" t="inlineStr">
        <is>
          <t>avverkningsanmälan</t>
        </is>
      </c>
      <c r="C872" t="inlineStr">
        <is>
          <t>Föryngringsavverkning</t>
        </is>
      </c>
      <c r="D872" s="1" t="n">
        <v>45329</v>
      </c>
      <c r="E872" s="1" t="n">
        <v>46222</v>
      </c>
      <c r="F872" t="inlineStr">
        <is>
          <t>UPPSALA LÄN</t>
        </is>
      </c>
      <c r="G872" t="inlineStr">
        <is>
          <t>UPPSALA</t>
        </is>
      </c>
      <c r="I872" t="n">
        <v>10.8</v>
      </c>
      <c r="J872" t="n">
        <v>0</v>
      </c>
      <c r="K872" t="n">
        <v>0</v>
      </c>
      <c r="L872" t="n">
        <v>0</v>
      </c>
      <c r="M872" t="n">
        <v>0</v>
      </c>
      <c r="N872" t="n">
        <v>0</v>
      </c>
      <c r="O872" t="n">
        <v>0</v>
      </c>
      <c r="P872" t="n">
        <v>0</v>
      </c>
      <c r="Q872" t="n">
        <v>0</v>
      </c>
      <c r="R872" t="n">
        <v>0</v>
      </c>
      <c r="S872" t="n">
        <v>0</v>
      </c>
      <c r="T872" t="n">
        <v>0</v>
      </c>
      <c r="U872" s="2" t="inlineStr"/>
    </row>
    <row r="873" ht="15" customHeight="1">
      <c r="A873" t="inlineStr">
        <is>
          <t>A 42131-2023</t>
        </is>
      </c>
      <c r="B873" t="inlineStr">
        <is>
          <t>avverkningsanmälan</t>
        </is>
      </c>
      <c r="C873" t="inlineStr">
        <is>
          <t>Föryngringsavverkning</t>
        </is>
      </c>
      <c r="D873" s="1" t="n">
        <v>45177</v>
      </c>
      <c r="E873" s="1" t="n">
        <v>46222</v>
      </c>
      <c r="F873" t="inlineStr">
        <is>
          <t>UPPSALA LÄN</t>
        </is>
      </c>
      <c r="G873" t="inlineStr">
        <is>
          <t>UPPSALA</t>
        </is>
      </c>
      <c r="H873" t="inlineStr">
        <is>
          <t>Allmännings- och besparingsskogar</t>
        </is>
      </c>
      <c r="I873" t="n">
        <v>6.3</v>
      </c>
      <c r="J873" t="n">
        <v>0</v>
      </c>
      <c r="K873" t="n">
        <v>0</v>
      </c>
      <c r="L873" t="n">
        <v>0</v>
      </c>
      <c r="M873" t="n">
        <v>0</v>
      </c>
      <c r="N873" t="n">
        <v>0</v>
      </c>
      <c r="O873" t="n">
        <v>0</v>
      </c>
      <c r="P873" t="n">
        <v>0</v>
      </c>
      <c r="Q873" t="n">
        <v>0</v>
      </c>
      <c r="R873" t="n">
        <v>0</v>
      </c>
      <c r="S873" t="n">
        <v>0</v>
      </c>
      <c r="T873" t="n">
        <v>0</v>
      </c>
      <c r="U873" s="2" t="inlineStr"/>
    </row>
    <row r="874" ht="15" customHeight="1">
      <c r="A874" t="inlineStr">
        <is>
          <t>A 40701-2024</t>
        </is>
      </c>
      <c r="B874" t="inlineStr">
        <is>
          <t>avverkningsanmälan</t>
        </is>
      </c>
      <c r="C874" t="inlineStr">
        <is>
          <t>Föryngringsavverkning</t>
        </is>
      </c>
      <c r="D874" s="1" t="n">
        <v>45558</v>
      </c>
      <c r="E874" s="1" t="n">
        <v>46222</v>
      </c>
      <c r="F874" t="inlineStr">
        <is>
          <t>UPPSALA LÄN</t>
        </is>
      </c>
      <c r="G874" t="inlineStr">
        <is>
          <t>UPPSALA</t>
        </is>
      </c>
      <c r="I874" t="n">
        <v>9.699999999999999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42276-2024</t>
        </is>
      </c>
      <c r="B875" t="inlineStr">
        <is>
          <t>avverkningsanmälan</t>
        </is>
      </c>
      <c r="C875" t="inlineStr">
        <is>
          <t>Föryngringsavverkning</t>
        </is>
      </c>
      <c r="D875" s="1" t="n">
        <v>45562</v>
      </c>
      <c r="E875" s="1" t="n">
        <v>46222</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10650-2024</t>
        </is>
      </c>
      <c r="B876" t="inlineStr">
        <is>
          <t>avverkningsanmälan</t>
        </is>
      </c>
      <c r="C876" t="inlineStr">
        <is>
          <t>Föryngringsavverkning</t>
        </is>
      </c>
      <c r="D876" s="1" t="n">
        <v>45368</v>
      </c>
      <c r="E876" s="1" t="n">
        <v>46222</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758-2022</t>
        </is>
      </c>
      <c r="B877" t="inlineStr">
        <is>
          <t>avverkningsanmälan</t>
        </is>
      </c>
      <c r="C877" t="inlineStr">
        <is>
          <t>Föryngringsavverkning</t>
        </is>
      </c>
      <c r="D877" s="1" t="n">
        <v>44569</v>
      </c>
      <c r="E877" s="1" t="n">
        <v>46222</v>
      </c>
      <c r="F877" t="inlineStr">
        <is>
          <t>UPPSALA LÄN</t>
        </is>
      </c>
      <c r="G877" t="inlineStr">
        <is>
          <t>UPPSALA</t>
        </is>
      </c>
      <c r="H877" t="inlineStr">
        <is>
          <t>Holmen skog AB</t>
        </is>
      </c>
      <c r="I877" t="n">
        <v>5.2</v>
      </c>
      <c r="J877" t="n">
        <v>0</v>
      </c>
      <c r="K877" t="n">
        <v>0</v>
      </c>
      <c r="L877" t="n">
        <v>0</v>
      </c>
      <c r="M877" t="n">
        <v>0</v>
      </c>
      <c r="N877" t="n">
        <v>0</v>
      </c>
      <c r="O877" t="n">
        <v>0</v>
      </c>
      <c r="P877" t="n">
        <v>0</v>
      </c>
      <c r="Q877" t="n">
        <v>0</v>
      </c>
      <c r="R877" t="n">
        <v>0</v>
      </c>
      <c r="S877" t="n">
        <v>0</v>
      </c>
      <c r="T877" t="n">
        <v>0</v>
      </c>
      <c r="U877" s="2" t="inlineStr"/>
    </row>
    <row r="878" ht="15" customHeight="1">
      <c r="A878" t="inlineStr">
        <is>
          <t>A 3973-2025</t>
        </is>
      </c>
      <c r="B878" t="inlineStr">
        <is>
          <t>avverkningsanmälan</t>
        </is>
      </c>
      <c r="C878" t="inlineStr">
        <is>
          <t>Föryngringsavverkning</t>
        </is>
      </c>
      <c r="D878" s="1" t="n">
        <v>45684</v>
      </c>
      <c r="E878" s="1" t="n">
        <v>46222</v>
      </c>
      <c r="F878" t="inlineStr">
        <is>
          <t>UPPSALA LÄN</t>
        </is>
      </c>
      <c r="G878" t="inlineStr">
        <is>
          <t>UPPSALA</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59570-2023</t>
        </is>
      </c>
      <c r="B879" t="inlineStr">
        <is>
          <t>avverkningsanmälan</t>
        </is>
      </c>
      <c r="C879" t="inlineStr">
        <is>
          <t>Föryngringsavverkning</t>
        </is>
      </c>
      <c r="D879" s="1" t="n">
        <v>45254</v>
      </c>
      <c r="E879" s="1" t="n">
        <v>46222</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s="2" t="inlineStr"/>
    </row>
    <row r="880" ht="15" customHeight="1">
      <c r="A880" t="inlineStr">
        <is>
          <t>A 11260-2024</t>
        </is>
      </c>
      <c r="B880" t="inlineStr">
        <is>
          <t>avverkningsanmälan</t>
        </is>
      </c>
      <c r="C880" t="inlineStr">
        <is>
          <t>Föryngringsavverkning</t>
        </is>
      </c>
      <c r="D880" s="1" t="n">
        <v>45371</v>
      </c>
      <c r="E880" s="1" t="n">
        <v>46222</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26208-2023</t>
        </is>
      </c>
      <c r="B881" t="inlineStr">
        <is>
          <t>avverkningsanmälan</t>
        </is>
      </c>
      <c r="C881" t="inlineStr">
        <is>
          <t>Föryngringsavverkning</t>
        </is>
      </c>
      <c r="D881" s="1" t="n">
        <v>45091</v>
      </c>
      <c r="E881" s="1" t="n">
        <v>46222</v>
      </c>
      <c r="F881" t="inlineStr">
        <is>
          <t>UPPSALA LÄN</t>
        </is>
      </c>
      <c r="G881" t="inlineStr">
        <is>
          <t>UPPSALA</t>
        </is>
      </c>
      <c r="H881" t="inlineStr">
        <is>
          <t>Holmen skog AB</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46751-2024</t>
        </is>
      </c>
      <c r="B882" t="inlineStr">
        <is>
          <t>avverkningsanmälan</t>
        </is>
      </c>
      <c r="C882" t="inlineStr">
        <is>
          <t>Föryngringsavverkning</t>
        </is>
      </c>
      <c r="D882" s="1" t="n">
        <v>45583</v>
      </c>
      <c r="E882" s="1" t="n">
        <v>46222</v>
      </c>
      <c r="F882" t="inlineStr">
        <is>
          <t>UPPSALA LÄN</t>
        </is>
      </c>
      <c r="G882" t="inlineStr">
        <is>
          <t>UPPSALA</t>
        </is>
      </c>
      <c r="H882" t="inlineStr">
        <is>
          <t>Sveaskog</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46925-2024</t>
        </is>
      </c>
      <c r="B883" t="inlineStr">
        <is>
          <t>avverkningsanmälan</t>
        </is>
      </c>
      <c r="C883" t="inlineStr">
        <is>
          <t>Föryngringsavverkning</t>
        </is>
      </c>
      <c r="D883" s="1" t="n">
        <v>45584</v>
      </c>
      <c r="E883" s="1" t="n">
        <v>46222</v>
      </c>
      <c r="F883" t="inlineStr">
        <is>
          <t>UPPSALA LÄN</t>
        </is>
      </c>
      <c r="G883" t="inlineStr">
        <is>
          <t>UPPSALA</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34520-2024</t>
        </is>
      </c>
      <c r="B884" t="inlineStr">
        <is>
          <t>avverkningsanmälan</t>
        </is>
      </c>
      <c r="C884" t="inlineStr">
        <is>
          <t>Föryngringsavverkning</t>
        </is>
      </c>
      <c r="D884" s="1" t="n">
        <v>45525</v>
      </c>
      <c r="E884" s="1" t="n">
        <v>46222</v>
      </c>
      <c r="F884" t="inlineStr">
        <is>
          <t>UPPSALA LÄN</t>
        </is>
      </c>
      <c r="G884" t="inlineStr">
        <is>
          <t>UPPSALA</t>
        </is>
      </c>
      <c r="I884" t="n">
        <v>2.5</v>
      </c>
      <c r="J884" t="n">
        <v>0</v>
      </c>
      <c r="K884" t="n">
        <v>0</v>
      </c>
      <c r="L884" t="n">
        <v>0</v>
      </c>
      <c r="M884" t="n">
        <v>0</v>
      </c>
      <c r="N884" t="n">
        <v>0</v>
      </c>
      <c r="O884" t="n">
        <v>0</v>
      </c>
      <c r="P884" t="n">
        <v>0</v>
      </c>
      <c r="Q884" t="n">
        <v>0</v>
      </c>
      <c r="R884" t="n">
        <v>0</v>
      </c>
      <c r="S884" t="n">
        <v>0</v>
      </c>
      <c r="T884" t="n">
        <v>0</v>
      </c>
      <c r="U884" s="2" t="inlineStr"/>
    </row>
    <row r="885" ht="15" customHeight="1">
      <c r="A885" t="inlineStr">
        <is>
          <t>A 5876-2024</t>
        </is>
      </c>
      <c r="B885" t="inlineStr">
        <is>
          <t>avverkningsanmälan</t>
        </is>
      </c>
      <c r="C885" t="inlineStr">
        <is>
          <t>Föryngringsavverkning</t>
        </is>
      </c>
      <c r="D885" s="1" t="n">
        <v>45335</v>
      </c>
      <c r="E885" s="1" t="n">
        <v>46222</v>
      </c>
      <c r="F885" t="inlineStr">
        <is>
          <t>UPPSALA LÄN</t>
        </is>
      </c>
      <c r="G885" t="inlineStr">
        <is>
          <t>UPPSALA</t>
        </is>
      </c>
      <c r="H885" t="inlineStr">
        <is>
          <t>Kyrkan</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45885-2023</t>
        </is>
      </c>
      <c r="B886" t="inlineStr">
        <is>
          <t>avverkningsanmälan</t>
        </is>
      </c>
      <c r="C886" t="inlineStr">
        <is>
          <t>Föryngringsavverkning</t>
        </is>
      </c>
      <c r="D886" s="1" t="n">
        <v>45195</v>
      </c>
      <c r="E886" s="1" t="n">
        <v>46222</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s="2" t="inlineStr"/>
    </row>
    <row r="887" ht="15" customHeight="1">
      <c r="A887" t="inlineStr">
        <is>
          <t>A 59098-2024</t>
        </is>
      </c>
      <c r="B887" t="inlineStr">
        <is>
          <t>avverkningsanmälan</t>
        </is>
      </c>
      <c r="C887" t="inlineStr">
        <is>
          <t>Föryngringsavverkning</t>
        </is>
      </c>
      <c r="D887" s="1" t="n">
        <v>45636</v>
      </c>
      <c r="E887" s="1" t="n">
        <v>46222</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30319-2024</t>
        </is>
      </c>
      <c r="B888" t="inlineStr">
        <is>
          <t>avverkningsanmälan</t>
        </is>
      </c>
      <c r="C888" t="inlineStr">
        <is>
          <t>Föryngringsavverkning</t>
        </is>
      </c>
      <c r="D888" s="1" t="n">
        <v>45490</v>
      </c>
      <c r="E888" s="1" t="n">
        <v>46222</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20903-2024</t>
        </is>
      </c>
      <c r="B889" t="inlineStr">
        <is>
          <t>avverkningsanmälan</t>
        </is>
      </c>
      <c r="C889" t="inlineStr">
        <is>
          <t>Föryngringsavverkning</t>
        </is>
      </c>
      <c r="D889" s="1" t="n">
        <v>45439</v>
      </c>
      <c r="E889" s="1" t="n">
        <v>46222</v>
      </c>
      <c r="F889" t="inlineStr">
        <is>
          <t>UPPSALA LÄN</t>
        </is>
      </c>
      <c r="G889" t="inlineStr">
        <is>
          <t>UPPSALA</t>
        </is>
      </c>
      <c r="H889" t="inlineStr">
        <is>
          <t>Holmen skog AB</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24525-2025</t>
        </is>
      </c>
      <c r="B890" t="inlineStr">
        <is>
          <t>avverkningsanmälan</t>
        </is>
      </c>
      <c r="C890" t="inlineStr">
        <is>
          <t>Föryngringsavverkning</t>
        </is>
      </c>
      <c r="D890" s="1" t="n">
        <v>45798</v>
      </c>
      <c r="E890" s="1" t="n">
        <v>46222</v>
      </c>
      <c r="F890" t="inlineStr">
        <is>
          <t>UPPSALA LÄN</t>
        </is>
      </c>
      <c r="G890" t="inlineStr">
        <is>
          <t>UPPSALA</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24916-2025</t>
        </is>
      </c>
      <c r="B891" t="inlineStr">
        <is>
          <t>avverkningsanmälan</t>
        </is>
      </c>
      <c r="C891" t="inlineStr">
        <is>
          <t>Föryngringsavverkning</t>
        </is>
      </c>
      <c r="D891" s="1" t="n">
        <v>45799</v>
      </c>
      <c r="E891" s="1" t="n">
        <v>46222</v>
      </c>
      <c r="F891" t="inlineStr">
        <is>
          <t>UPPSALA LÄN</t>
        </is>
      </c>
      <c r="G891" t="inlineStr">
        <is>
          <t>UPPSALA</t>
        </is>
      </c>
      <c r="H891" t="inlineStr">
        <is>
          <t>Sveaskog</t>
        </is>
      </c>
      <c r="I891" t="n">
        <v>3.4</v>
      </c>
      <c r="J891" t="n">
        <v>0</v>
      </c>
      <c r="K891" t="n">
        <v>0</v>
      </c>
      <c r="L891" t="n">
        <v>0</v>
      </c>
      <c r="M891" t="n">
        <v>0</v>
      </c>
      <c r="N891" t="n">
        <v>0</v>
      </c>
      <c r="O891" t="n">
        <v>0</v>
      </c>
      <c r="P891" t="n">
        <v>0</v>
      </c>
      <c r="Q891" t="n">
        <v>0</v>
      </c>
      <c r="R891" t="n">
        <v>0</v>
      </c>
      <c r="S891" t="n">
        <v>0</v>
      </c>
      <c r="T891" t="n">
        <v>0</v>
      </c>
      <c r="U891" s="2" t="inlineStr"/>
    </row>
    <row r="892" ht="15" customHeight="1">
      <c r="A892" t="inlineStr">
        <is>
          <t>A 12828-2025</t>
        </is>
      </c>
      <c r="B892" t="inlineStr">
        <is>
          <t>avverkningsanmälan</t>
        </is>
      </c>
      <c r="C892" t="inlineStr">
        <is>
          <t>Föryngringsavverkning</t>
        </is>
      </c>
      <c r="D892" s="1" t="n">
        <v>45733</v>
      </c>
      <c r="E892" s="1" t="n">
        <v>46222</v>
      </c>
      <c r="F892" t="inlineStr">
        <is>
          <t>UPPSALA LÄN</t>
        </is>
      </c>
      <c r="G892" t="inlineStr">
        <is>
          <t>UPPSALA</t>
        </is>
      </c>
      <c r="I892" t="n">
        <v>5.3</v>
      </c>
      <c r="J892" t="n">
        <v>0</v>
      </c>
      <c r="K892" t="n">
        <v>0</v>
      </c>
      <c r="L892" t="n">
        <v>0</v>
      </c>
      <c r="M892" t="n">
        <v>0</v>
      </c>
      <c r="N892" t="n">
        <v>0</v>
      </c>
      <c r="O892" t="n">
        <v>0</v>
      </c>
      <c r="P892" t="n">
        <v>0</v>
      </c>
      <c r="Q892" t="n">
        <v>0</v>
      </c>
      <c r="R892" t="n">
        <v>0</v>
      </c>
      <c r="S892" t="n">
        <v>0</v>
      </c>
      <c r="T892" t="n">
        <v>0</v>
      </c>
      <c r="U892" s="2" t="inlineStr"/>
    </row>
    <row r="893" ht="15" customHeight="1">
      <c r="A893" t="inlineStr">
        <is>
          <t>A 24913-2025</t>
        </is>
      </c>
      <c r="B893" t="inlineStr">
        <is>
          <t>avverkningsanmälan</t>
        </is>
      </c>
      <c r="C893" t="inlineStr">
        <is>
          <t>Föryngringsavverkning</t>
        </is>
      </c>
      <c r="D893" s="1" t="n">
        <v>45799</v>
      </c>
      <c r="E893" s="1" t="n">
        <v>46222</v>
      </c>
      <c r="F893" t="inlineStr">
        <is>
          <t>UPPSALA LÄN</t>
        </is>
      </c>
      <c r="G893" t="inlineStr">
        <is>
          <t>UPPSALA</t>
        </is>
      </c>
      <c r="H893" t="inlineStr">
        <is>
          <t>Sveaskog</t>
        </is>
      </c>
      <c r="I893" t="n">
        <v>4.9</v>
      </c>
      <c r="J893" t="n">
        <v>0</v>
      </c>
      <c r="K893" t="n">
        <v>0</v>
      </c>
      <c r="L893" t="n">
        <v>0</v>
      </c>
      <c r="M893" t="n">
        <v>0</v>
      </c>
      <c r="N893" t="n">
        <v>0</v>
      </c>
      <c r="O893" t="n">
        <v>0</v>
      </c>
      <c r="P893" t="n">
        <v>0</v>
      </c>
      <c r="Q893" t="n">
        <v>0</v>
      </c>
      <c r="R893" t="n">
        <v>0</v>
      </c>
      <c r="S893" t="n">
        <v>0</v>
      </c>
      <c r="T893" t="n">
        <v>0</v>
      </c>
      <c r="U893" s="2" t="inlineStr"/>
    </row>
    <row r="894" ht="15" customHeight="1">
      <c r="A894" t="inlineStr">
        <is>
          <t>A 25030-2025</t>
        </is>
      </c>
      <c r="B894" t="inlineStr">
        <is>
          <t>avverkningsanmälan</t>
        </is>
      </c>
      <c r="C894" t="inlineStr">
        <is>
          <t>Föryngringsavverkning</t>
        </is>
      </c>
      <c r="D894" s="1" t="n">
        <v>45799</v>
      </c>
      <c r="E894" s="1" t="n">
        <v>46222</v>
      </c>
      <c r="F894" t="inlineStr">
        <is>
          <t>UPPSALA LÄN</t>
        </is>
      </c>
      <c r="G894" t="inlineStr">
        <is>
          <t>UPPSALA</t>
        </is>
      </c>
      <c r="H894" t="inlineStr">
        <is>
          <t>Sveaskog</t>
        </is>
      </c>
      <c r="I894" t="n">
        <v>6</v>
      </c>
      <c r="J894" t="n">
        <v>0</v>
      </c>
      <c r="K894" t="n">
        <v>0</v>
      </c>
      <c r="L894" t="n">
        <v>0</v>
      </c>
      <c r="M894" t="n">
        <v>0</v>
      </c>
      <c r="N894" t="n">
        <v>0</v>
      </c>
      <c r="O894" t="n">
        <v>0</v>
      </c>
      <c r="P894" t="n">
        <v>0</v>
      </c>
      <c r="Q894" t="n">
        <v>0</v>
      </c>
      <c r="R894" t="n">
        <v>0</v>
      </c>
      <c r="S894" t="n">
        <v>0</v>
      </c>
      <c r="T894" t="n">
        <v>0</v>
      </c>
      <c r="U894" s="2" t="inlineStr"/>
    </row>
    <row r="895" ht="15" customHeight="1">
      <c r="A895" t="inlineStr">
        <is>
          <t>A 25280-2023</t>
        </is>
      </c>
      <c r="B895" t="inlineStr">
        <is>
          <t>avverkningsanmälan</t>
        </is>
      </c>
      <c r="C895" t="inlineStr">
        <is>
          <t>Föryngringsavverkning</t>
        </is>
      </c>
      <c r="D895" s="1" t="n">
        <v>45086</v>
      </c>
      <c r="E895" s="1" t="n">
        <v>46222</v>
      </c>
      <c r="F895" t="inlineStr">
        <is>
          <t>UPPSALA LÄN</t>
        </is>
      </c>
      <c r="G895" t="inlineStr">
        <is>
          <t>UPPSALA</t>
        </is>
      </c>
      <c r="H895" t="inlineStr">
        <is>
          <t>Holmen skog AB</t>
        </is>
      </c>
      <c r="I895" t="n">
        <v>3.2</v>
      </c>
      <c r="J895" t="n">
        <v>0</v>
      </c>
      <c r="K895" t="n">
        <v>0</v>
      </c>
      <c r="L895" t="n">
        <v>0</v>
      </c>
      <c r="M895" t="n">
        <v>0</v>
      </c>
      <c r="N895" t="n">
        <v>0</v>
      </c>
      <c r="O895" t="n">
        <v>0</v>
      </c>
      <c r="P895" t="n">
        <v>0</v>
      </c>
      <c r="Q895" t="n">
        <v>0</v>
      </c>
      <c r="R895" t="n">
        <v>0</v>
      </c>
      <c r="S895" t="n">
        <v>0</v>
      </c>
      <c r="T895" t="n">
        <v>0</v>
      </c>
      <c r="U895" s="2" t="inlineStr"/>
    </row>
    <row r="896" ht="15" customHeight="1">
      <c r="A896" t="inlineStr">
        <is>
          <t>A 15264-2025</t>
        </is>
      </c>
      <c r="B896" t="inlineStr">
        <is>
          <t>avverkningsanmälan</t>
        </is>
      </c>
      <c r="C896" t="inlineStr">
        <is>
          <t>Föryngringsavverkning</t>
        </is>
      </c>
      <c r="D896" s="1" t="n">
        <v>45744</v>
      </c>
      <c r="E896" s="1" t="n">
        <v>46222</v>
      </c>
      <c r="F896" t="inlineStr">
        <is>
          <t>UPPSALA LÄN</t>
        </is>
      </c>
      <c r="G896" t="inlineStr">
        <is>
          <t>UPPSALA</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6628-2024</t>
        </is>
      </c>
      <c r="B897" t="inlineStr">
        <is>
          <t>avverkningsanmälan</t>
        </is>
      </c>
      <c r="C897" t="inlineStr">
        <is>
          <t>Avverkning för annat ändamål</t>
        </is>
      </c>
      <c r="D897" s="1" t="n">
        <v>45341</v>
      </c>
      <c r="E897" s="1" t="n">
        <v>46222</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s="2" t="inlineStr"/>
    </row>
    <row r="898" ht="15" customHeight="1">
      <c r="A898" t="inlineStr">
        <is>
          <t>A 52197-2024</t>
        </is>
      </c>
      <c r="B898" t="inlineStr">
        <is>
          <t>avverkningsanmälan</t>
        </is>
      </c>
      <c r="C898" t="inlineStr">
        <is>
          <t>Avverkning för annat ändamål</t>
        </is>
      </c>
      <c r="D898" s="1" t="n">
        <v>45608</v>
      </c>
      <c r="E898" s="1" t="n">
        <v>46222</v>
      </c>
      <c r="F898" t="inlineStr">
        <is>
          <t>UPPSALA LÄN</t>
        </is>
      </c>
      <c r="G898" t="inlineStr">
        <is>
          <t>UPPSALA</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S 778-2022</t>
        </is>
      </c>
      <c r="B899" t="inlineStr">
        <is>
          <t>samrådsanmälan</t>
        </is>
      </c>
      <c r="C899" t="inlineStr">
        <is>
          <t>Annan skogsbruksåtgärd</t>
        </is>
      </c>
      <c r="D899" s="1" t="n">
        <v>44602</v>
      </c>
      <c r="E899" s="1" t="n">
        <v>46222</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S 876-2022</t>
        </is>
      </c>
      <c r="B900" t="inlineStr">
        <is>
          <t>samrådsanmälan</t>
        </is>
      </c>
      <c r="C900" t="inlineStr">
        <is>
          <t>Annan skogsbruksåtgärd</t>
        </is>
      </c>
      <c r="D900" s="1" t="n">
        <v>44606</v>
      </c>
      <c r="E900" s="1" t="n">
        <v>46222</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S 1610-2022</t>
        </is>
      </c>
      <c r="B901" t="inlineStr">
        <is>
          <t>samrådsanmälan</t>
        </is>
      </c>
      <c r="C901" t="inlineStr">
        <is>
          <t>Annan skogsbruksåtgärd</t>
        </is>
      </c>
      <c r="D901" s="1" t="n">
        <v>44645</v>
      </c>
      <c r="E901" s="1" t="n">
        <v>46222</v>
      </c>
      <c r="F901" t="inlineStr">
        <is>
          <t>UPPSALA LÄN</t>
        </is>
      </c>
      <c r="G901" t="inlineStr">
        <is>
          <t>UPPSALA</t>
        </is>
      </c>
      <c r="H901" t="inlineStr">
        <is>
          <t>Övriga Aktiebolag</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S 980-2022</t>
        </is>
      </c>
      <c r="B902" t="inlineStr">
        <is>
          <t>samrådsanmälan</t>
        </is>
      </c>
      <c r="C902" t="inlineStr">
        <is>
          <t>Annan skogsbruksåtgärd</t>
        </is>
      </c>
      <c r="D902" s="1" t="n">
        <v>44609</v>
      </c>
      <c r="E902" s="1" t="n">
        <v>46222</v>
      </c>
      <c r="F902" t="inlineStr">
        <is>
          <t>UPPSALA LÄN</t>
        </is>
      </c>
      <c r="G902" t="inlineStr">
        <is>
          <t>UPPSALA</t>
        </is>
      </c>
      <c r="H902" t="inlineStr">
        <is>
          <t>Övriga Aktiebolag</t>
        </is>
      </c>
      <c r="I902" t="n">
        <v>3.9</v>
      </c>
      <c r="J902" t="n">
        <v>0</v>
      </c>
      <c r="K902" t="n">
        <v>0</v>
      </c>
      <c r="L902" t="n">
        <v>0</v>
      </c>
      <c r="M902" t="n">
        <v>0</v>
      </c>
      <c r="N902" t="n">
        <v>0</v>
      </c>
      <c r="O902" t="n">
        <v>0</v>
      </c>
      <c r="P902" t="n">
        <v>0</v>
      </c>
      <c r="Q902" t="n">
        <v>0</v>
      </c>
      <c r="R902" t="n">
        <v>0</v>
      </c>
      <c r="S902" t="n">
        <v>0</v>
      </c>
      <c r="T902" t="n">
        <v>0</v>
      </c>
      <c r="U902" s="2" t="inlineStr"/>
    </row>
    <row r="903" ht="15" customHeight="1">
      <c r="A903" t="inlineStr">
        <is>
          <t>S 1234-2022</t>
        </is>
      </c>
      <c r="B903" t="inlineStr">
        <is>
          <t>samrådsanmälan</t>
        </is>
      </c>
      <c r="C903" t="inlineStr">
        <is>
          <t>Annan skogsbruksåtgärd</t>
        </is>
      </c>
      <c r="D903" s="1" t="n">
        <v>44623</v>
      </c>
      <c r="E903" s="1" t="n">
        <v>46222</v>
      </c>
      <c r="F903" t="inlineStr">
        <is>
          <t>UPPSALA LÄN</t>
        </is>
      </c>
      <c r="G903" t="inlineStr">
        <is>
          <t>UPPSALA</t>
        </is>
      </c>
      <c r="H903" t="inlineStr">
        <is>
          <t>Övriga Aktiebolag</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S 191-2024</t>
        </is>
      </c>
      <c r="B904" t="inlineStr">
        <is>
          <t>samrådsanmälan</t>
        </is>
      </c>
      <c r="C904" t="inlineStr">
        <is>
          <t>Skogsgödsling</t>
        </is>
      </c>
      <c r="D904" s="1" t="n">
        <v>45315</v>
      </c>
      <c r="E904" s="1" t="n">
        <v>46222</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s="2" t="inlineStr"/>
    </row>
    <row r="905" ht="15" customHeight="1">
      <c r="A905" t="inlineStr">
        <is>
          <t>S 2941-2023</t>
        </is>
      </c>
      <c r="B905" t="inlineStr">
        <is>
          <t>samrådsanmälan</t>
        </is>
      </c>
      <c r="C905" t="inlineStr">
        <is>
          <t>Annan skogsbruksåtgärd</t>
        </is>
      </c>
      <c r="D905" s="1" t="n">
        <v>45173</v>
      </c>
      <c r="E905" s="1" t="n">
        <v>46222</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s="2" t="inlineStr"/>
    </row>
    <row r="906" ht="15" customHeight="1">
      <c r="A906" t="inlineStr">
        <is>
          <t>S 789-2023</t>
        </is>
      </c>
      <c r="B906" t="inlineStr">
        <is>
          <t>samrådsanmälan</t>
        </is>
      </c>
      <c r="C906" t="inlineStr">
        <is>
          <t>Annan skogsbruksåtgärd</t>
        </is>
      </c>
      <c r="D906" s="1" t="n">
        <v>44985</v>
      </c>
      <c r="E906" s="1" t="n">
        <v>46222</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s="2" t="inlineStr"/>
    </row>
    <row r="907" ht="15" customHeight="1">
      <c r="A907" t="inlineStr">
        <is>
          <t>S 1201-2024</t>
        </is>
      </c>
      <c r="B907" t="inlineStr">
        <is>
          <t>samrådsanmälan</t>
        </is>
      </c>
      <c r="C907" t="inlineStr">
        <is>
          <t>Annan skogsbruksåtgärd</t>
        </is>
      </c>
      <c r="D907" s="1" t="n">
        <v>45398</v>
      </c>
      <c r="E907" s="1" t="n">
        <v>46222</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s="2" t="inlineStr"/>
    </row>
    <row r="908" ht="15" customHeight="1">
      <c r="A908" t="inlineStr">
        <is>
          <t>S 634-2026</t>
        </is>
      </c>
      <c r="B908" t="inlineStr">
        <is>
          <t>samrådsanmälan</t>
        </is>
      </c>
      <c r="C908" t="inlineStr">
        <is>
          <t>Annan skogsbruksåtgärd</t>
        </is>
      </c>
      <c r="D908" s="1" t="n">
        <v>46086</v>
      </c>
      <c r="E908" s="1" t="n">
        <v>46222</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S 724-2026</t>
        </is>
      </c>
      <c r="B909" t="inlineStr">
        <is>
          <t>samrådsanmälan</t>
        </is>
      </c>
      <c r="C909" t="inlineStr">
        <is>
          <t>Annan skogsbruksåtgärd</t>
        </is>
      </c>
      <c r="D909" s="1" t="n">
        <v>46093</v>
      </c>
      <c r="E909" s="1" t="n">
        <v>46222</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S 681-2026</t>
        </is>
      </c>
      <c r="B910" t="inlineStr">
        <is>
          <t>samrådsanmälan</t>
        </is>
      </c>
      <c r="C910" t="inlineStr">
        <is>
          <t>Skogsgödsling</t>
        </is>
      </c>
      <c r="D910" s="1" t="n">
        <v>46089</v>
      </c>
      <c r="E910" s="1" t="n">
        <v>46222</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s="2" t="inlineStr"/>
    </row>
    <row r="911" ht="15" customHeight="1">
      <c r="A911" t="inlineStr">
        <is>
          <t>S 680-2026</t>
        </is>
      </c>
      <c r="B911" t="inlineStr">
        <is>
          <t>samrådsanmälan</t>
        </is>
      </c>
      <c r="C911" t="inlineStr">
        <is>
          <t>Skogsgödsling</t>
        </is>
      </c>
      <c r="D911" s="1" t="n">
        <v>46089</v>
      </c>
      <c r="E911" s="1" t="n">
        <v>46222</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s="2" t="inlineStr"/>
    </row>
    <row r="912">
      <c r="A912" t="inlineStr">
        <is>
          <t>S 1104-2026</t>
        </is>
      </c>
      <c r="B912" t="inlineStr">
        <is>
          <t>samrådsanmälan</t>
        </is>
      </c>
      <c r="C912" t="inlineStr">
        <is>
          <t>Annan skogsbruksåtgärd</t>
        </is>
      </c>
      <c r="D912" s="1" t="n">
        <v>46129</v>
      </c>
      <c r="E912" s="1" t="n">
        <v>46222</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2026-07-19T01:32:09Z</dcterms:created>
  <dcterms:modified xmlns:dcterms="http://purl.org/dc/terms/" xmlns:xsi="http://www.w3.org/2001/XMLSchema-instance" xsi:type="dcterms:W3CDTF">2026-07-19T01:32:10Z</dcterms:modified>
</cp:coreProperties>
</file>