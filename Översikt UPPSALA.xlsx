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46291</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46291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46291</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46291</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46291</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46291</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46291</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S 3396-2025</t>
        </is>
      </c>
      <c r="B13" t="inlineStr">
        <is>
          <t>samrådsanmälan</t>
        </is>
      </c>
      <c r="C13" t="inlineStr">
        <is>
          <t>Skogsgödsling</t>
        </is>
      </c>
      <c r="D13" s="1" t="n">
        <v>45994</v>
      </c>
      <c r="E13" s="1" t="n">
        <v>46291</v>
      </c>
      <c r="F13" t="inlineStr">
        <is>
          <t>UPPSALA LÄN</t>
        </is>
      </c>
      <c r="G13" t="inlineStr">
        <is>
          <t>UPPSALA</t>
        </is>
      </c>
      <c r="H13" t="inlineStr">
        <is>
          <t>Holmen skog AB</t>
        </is>
      </c>
      <c r="I13" t="n">
        <v>139.8</v>
      </c>
      <c r="J13" t="n">
        <v>4</v>
      </c>
      <c r="K13" t="n">
        <v>9</v>
      </c>
      <c r="L13" t="n">
        <v>9</v>
      </c>
      <c r="M13" t="n">
        <v>1</v>
      </c>
      <c r="N13" t="n">
        <v>0</v>
      </c>
      <c r="O13" t="n">
        <v>0</v>
      </c>
      <c r="P13" t="n">
        <v>0</v>
      </c>
      <c r="Q13" t="n">
        <v>10</v>
      </c>
      <c r="R13" t="n">
        <v>1</v>
      </c>
      <c r="S13" t="n">
        <v>23</v>
      </c>
      <c r="T13" t="n">
        <v>43</v>
      </c>
      <c r="U13" t="n">
        <v>0</v>
      </c>
      <c r="V1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3">
        <f>HYPERLINK("https://klasma.github.io/Logging_0380/artfynd/S 3396-2025 artfynd.xlsx", "S 3396-2025")</f>
        <v/>
      </c>
      <c r="X13">
        <f>HYPERLINK("https://klasma.github.io/Logging_0380/kartor/S 3396-2025 karta.png", "S 3396-2025")</f>
        <v/>
      </c>
      <c r="Y13">
        <f>HYPERLINK("https://klasma.github.io/Logging_0380/kartor_geotiff/S 3396-2025 georefererad karta.tif", "S 3396-2025")</f>
        <v/>
      </c>
      <c r="AA13">
        <f>HYPERLINK("https://klasma.github.io/Logging_0380/klagomål/S 3396-2025 FSC-klagomål.docx", "S 3396-2025")</f>
        <v/>
      </c>
      <c r="AB13">
        <f>HYPERLINK("https://klasma.github.io/Logging_0380/klagomålsmail/S 3396-2025 FSC-klagomål mail.docx", "S 3396-2025")</f>
        <v/>
      </c>
      <c r="AC13">
        <f>HYPERLINK("https://klasma.github.io/Logging_0380/tillsyn/S 3396-2025 tillsynsbegäran.docx", "S 3396-2025")</f>
        <v/>
      </c>
      <c r="AD13">
        <f>HYPERLINK("https://klasma.github.io/Logging_0380/tillsynsmail/S 3396-2025 tillsynsbegäran mail.docx", "S 3396-2025")</f>
        <v/>
      </c>
      <c r="AE13">
        <f>HYPERLINK("https://klasma.github.io/Logging_0380/fåglar/S 3396-2025 prioriterade fågelarter.docx", "S 3396-2025")</f>
        <v/>
      </c>
    </row>
    <row r="14" ht="15" customHeight="1">
      <c r="A14" t="inlineStr">
        <is>
          <t>A 8229-2026</t>
        </is>
      </c>
      <c r="B14" t="inlineStr">
        <is>
          <t>avverkningsanmälan</t>
        </is>
      </c>
      <c r="C14" t="inlineStr">
        <is>
          <t>Avverkning för annat ändamål</t>
        </is>
      </c>
      <c r="D14" s="1" t="n">
        <v>46063</v>
      </c>
      <c r="E14" s="1" t="n">
        <v>46291</v>
      </c>
      <c r="F14" t="inlineStr">
        <is>
          <t>UPPSALA LÄN</t>
        </is>
      </c>
      <c r="G14" t="inlineStr">
        <is>
          <t>UPPSALA</t>
        </is>
      </c>
      <c r="I14" t="n">
        <v>17.8</v>
      </c>
      <c r="J14" t="n">
        <v>17</v>
      </c>
      <c r="K14" t="n">
        <v>3</v>
      </c>
      <c r="L14" t="n">
        <v>6</v>
      </c>
      <c r="M14" t="n">
        <v>2</v>
      </c>
      <c r="N14" t="n">
        <v>0</v>
      </c>
      <c r="O14" t="n">
        <v>0</v>
      </c>
      <c r="P14" t="n">
        <v>0</v>
      </c>
      <c r="Q14" t="n">
        <v>8</v>
      </c>
      <c r="R14" t="n">
        <v>2</v>
      </c>
      <c r="S14" t="n">
        <v>22</v>
      </c>
      <c r="T14" t="n">
        <v>39</v>
      </c>
      <c r="U14" t="n">
        <v>1</v>
      </c>
      <c r="V14" s="2" t="inlineStr">
        <is>
          <t>Grönfink
Slöjmussling
Gulsparv
Järnsparv
Krusfrö
Nötkråka
Rödvingetrast
Sparvuggla
Barkticka
Fällmossa
Stor aspticka
Blåsippa
Järpe
Spillkråka
Gröngöling
Grönsiska
Kungsfågel
Törnskata
Ärtsångare
Huggorm
Skogsödla
Gullviva</t>
        </is>
      </c>
      <c r="W14">
        <f>HYPERLINK("https://klasma.github.io/Logging_0380/artfynd/A 8229-2026 artfynd.xlsx", "A 8229-2026")</f>
        <v/>
      </c>
      <c r="X14">
        <f>HYPERLINK("https://klasma.github.io/Logging_0380/kartor/A 8229-2026 karta.png", "A 8229-2026")</f>
        <v/>
      </c>
      <c r="Y14">
        <f>HYPERLINK("https://klasma.github.io/Logging_0380/kartor_geotiff/A 8229-2026 georefererad karta.tif", "A 8229-2026")</f>
        <v/>
      </c>
      <c r="AA14">
        <f>HYPERLINK("https://klasma.github.io/Logging_0380/klagomål/A 8229-2026 FSC-klagomål.docx", "A 8229-2026")</f>
        <v/>
      </c>
      <c r="AB14">
        <f>HYPERLINK("https://klasma.github.io/Logging_0380/klagomålsmail/A 8229-2026 FSC-klagomål mail.docx", "A 8229-2026")</f>
        <v/>
      </c>
      <c r="AC14">
        <f>HYPERLINK("https://klasma.github.io/Logging_0380/tillsyn/A 8229-2026 tillsynsbegäran.docx", "A 8229-2026")</f>
        <v/>
      </c>
      <c r="AD14">
        <f>HYPERLINK("https://klasma.github.io/Logging_0380/tillsynsmail/A 8229-2026 tillsynsbegäran mail.docx", "A 8229-2026")</f>
        <v/>
      </c>
      <c r="AE14">
        <f>HYPERLINK("https://klasma.github.io/Logging_0380/fåglar/A 8229-2026 prioriterade fågelarter.docx", "A 8229-2026")</f>
        <v/>
      </c>
    </row>
    <row r="15" ht="15" customHeight="1">
      <c r="A15" t="inlineStr">
        <is>
          <t>A 53593-2025</t>
        </is>
      </c>
      <c r="B15" t="inlineStr">
        <is>
          <t>avverkningsanmälan</t>
        </is>
      </c>
      <c r="C15" t="inlineStr">
        <is>
          <t>Föryngringsavverkning</t>
        </is>
      </c>
      <c r="D15" s="1" t="n">
        <v>45960</v>
      </c>
      <c r="E15" s="1" t="n">
        <v>46291</v>
      </c>
      <c r="F15" t="inlineStr">
        <is>
          <t>UPPSALA LÄN</t>
        </is>
      </c>
      <c r="G15" t="inlineStr">
        <is>
          <t>UPPSALA</t>
        </is>
      </c>
      <c r="I15" t="n">
        <v>10.6</v>
      </c>
      <c r="J15" t="n">
        <v>4</v>
      </c>
      <c r="K15" t="n">
        <v>8</v>
      </c>
      <c r="L15" t="n">
        <v>8</v>
      </c>
      <c r="M15" t="n">
        <v>3</v>
      </c>
      <c r="N15" t="n">
        <v>0</v>
      </c>
      <c r="O15" t="n">
        <v>0</v>
      </c>
      <c r="P15" t="n">
        <v>0</v>
      </c>
      <c r="Q15" t="n">
        <v>11</v>
      </c>
      <c r="R15" t="n">
        <v>3</v>
      </c>
      <c r="S15" t="n">
        <v>22</v>
      </c>
      <c r="T15" t="n">
        <v>106</v>
      </c>
      <c r="U15" t="n">
        <v>103</v>
      </c>
      <c r="V15" s="2" t="inlineStr">
        <is>
          <t>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S 4171-2023</t>
        </is>
      </c>
      <c r="B16" t="inlineStr">
        <is>
          <t>samrådsanmälan</t>
        </is>
      </c>
      <c r="C16" t="inlineStr">
        <is>
          <t>Annan skogsbruksåtgärd</t>
        </is>
      </c>
      <c r="D16" s="1" t="n">
        <v>45250</v>
      </c>
      <c r="E16" s="1" t="n">
        <v>46291</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46291</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46291</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46291</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33277-2026</t>
        </is>
      </c>
      <c r="B20" t="inlineStr">
        <is>
          <t>avverkningsanmälan</t>
        </is>
      </c>
      <c r="C20" t="inlineStr">
        <is>
          <t>Avverkning för att bevara och utveckla /försöksver</t>
        </is>
      </c>
      <c r="D20" s="1" t="n">
        <v>46246</v>
      </c>
      <c r="E20" s="1" t="n">
        <v>46291</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A 10368-2022</t>
        </is>
      </c>
      <c r="B21" t="inlineStr">
        <is>
          <t>avverkningsanmälan</t>
        </is>
      </c>
      <c r="C21" t="inlineStr">
        <is>
          <t>Föryngringsavverkning</t>
        </is>
      </c>
      <c r="D21" s="1" t="n">
        <v>44623</v>
      </c>
      <c r="E21" s="1" t="n">
        <v>46291</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S 2190-2024</t>
        </is>
      </c>
      <c r="B22" t="inlineStr">
        <is>
          <t>samrådsanmälan</t>
        </is>
      </c>
      <c r="C22" t="inlineStr">
        <is>
          <t>Annan skogsbruksåtgärd</t>
        </is>
      </c>
      <c r="D22" s="1" t="n">
        <v>45457</v>
      </c>
      <c r="E22" s="1" t="n">
        <v>46291</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46291</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46291</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46291</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62998-2025</t>
        </is>
      </c>
      <c r="B26" t="inlineStr">
        <is>
          <t>avverkningsanmälan</t>
        </is>
      </c>
      <c r="C26" t="inlineStr">
        <is>
          <t>Föryngringsavverkning</t>
        </is>
      </c>
      <c r="D26" s="1" t="n">
        <v>46009</v>
      </c>
      <c r="E26" s="1" t="n">
        <v>46291</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t="n">
        <v>14</v>
      </c>
      <c r="V26" s="2" t="inlineStr">
        <is>
          <t>Knärot
Fjällig taggsvamp s.str.
Rynkskinn
Vedtrappmossa
Bronshjon
Flagellkvastmossa
Granbräken
Grön sköldmossa
Grönpyrola
Gullgröppa
Rödgul trumpetsvamp
Skinnlav
Stubbspretmossa
Svavelriska
Blåsippa
Spillkråka
Fläcknycklar</t>
        </is>
      </c>
      <c r="W26">
        <f>HYPERLINK("https://klasma.github.io/Logging_0380/artfynd/A 62998-2025 artfynd.xlsx", "A 62998-2025")</f>
        <v/>
      </c>
      <c r="X26">
        <f>HYPERLINK("https://klasma.github.io/Logging_0380/kartor/A 62998-2025 karta.png", "A 62998-2025")</f>
        <v/>
      </c>
      <c r="Y26">
        <f>HYPERLINK("https://klasma.github.io/Logging_0380/kartor_geotiff/A 62998-2025 georefererad karta.tif", "A 62998-2025")</f>
        <v/>
      </c>
      <c r="Z26">
        <f>HYPERLINK("https://klasma.github.io/Logging_0380/knärot/A 62998-2025 karta knärot.png", "A 62998-2025")</f>
        <v/>
      </c>
      <c r="AA26">
        <f>HYPERLINK("https://klasma.github.io/Logging_0380/klagomål/A 62998-2025 FSC-klagomål.docx", "A 62998-2025")</f>
        <v/>
      </c>
      <c r="AB26">
        <f>HYPERLINK("https://klasma.github.io/Logging_0380/klagomålsmail/A 62998-2025 FSC-klagomål mail.docx", "A 62998-2025")</f>
        <v/>
      </c>
      <c r="AC26">
        <f>HYPERLINK("https://klasma.github.io/Logging_0380/tillsyn/A 62998-2025 tillsynsbegäran.docx", "A 62998-2025")</f>
        <v/>
      </c>
      <c r="AD26">
        <f>HYPERLINK("https://klasma.github.io/Logging_0380/tillsynsmail/A 62998-2025 tillsynsbegäran mail.docx", "A 62998-2025")</f>
        <v/>
      </c>
      <c r="AE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46291</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46291</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11833-2025</t>
        </is>
      </c>
      <c r="B29" t="inlineStr">
        <is>
          <t>avverkningsanmälan</t>
        </is>
      </c>
      <c r="C29" t="inlineStr">
        <is>
          <t>Föryngringsavverkning</t>
        </is>
      </c>
      <c r="D29" s="1" t="n">
        <v>45728</v>
      </c>
      <c r="E29" s="1" t="n">
        <v>46291</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9409-2025</t>
        </is>
      </c>
      <c r="B30" t="inlineStr">
        <is>
          <t>avverkningsanmälan</t>
        </is>
      </c>
      <c r="C30" t="inlineStr">
        <is>
          <t>Föryngringsavverkning</t>
        </is>
      </c>
      <c r="D30" s="1" t="n">
        <v>45715</v>
      </c>
      <c r="E30" s="1" t="n">
        <v>46291</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4451-2026</t>
        </is>
      </c>
      <c r="B31" t="inlineStr">
        <is>
          <t>avverkningsanmälan</t>
        </is>
      </c>
      <c r="C31" t="inlineStr">
        <is>
          <t>Föryngringsavverkning</t>
        </is>
      </c>
      <c r="D31" s="1" t="n">
        <v>46045</v>
      </c>
      <c r="E31" s="1" t="n">
        <v>46291</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46291</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32105-2026</t>
        </is>
      </c>
      <c r="B33" t="inlineStr">
        <is>
          <t>avverkningsanmälan</t>
        </is>
      </c>
      <c r="C33" t="inlineStr">
        <is>
          <t>Föryngringsavverkning</t>
        </is>
      </c>
      <c r="D33" s="1" t="n">
        <v>46234</v>
      </c>
      <c r="E33" s="1" t="n">
        <v>46291</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7380-2023</t>
        </is>
      </c>
      <c r="B34" t="inlineStr">
        <is>
          <t>avverkningsanmälan</t>
        </is>
      </c>
      <c r="C34" t="inlineStr">
        <is>
          <t>Avverkning för att bevara och utveckla /försöksver</t>
        </is>
      </c>
      <c r="D34" s="1" t="n">
        <v>44971</v>
      </c>
      <c r="E34" s="1" t="n">
        <v>46291</v>
      </c>
      <c r="F34" t="inlineStr">
        <is>
          <t>UPPSALA LÄN</t>
        </is>
      </c>
      <c r="G34" t="inlineStr">
        <is>
          <t>UPPSALA</t>
        </is>
      </c>
      <c r="I34" t="n">
        <v>3.7</v>
      </c>
      <c r="J34" t="n">
        <v>3</v>
      </c>
      <c r="K34" t="n">
        <v>6</v>
      </c>
      <c r="L34" t="n">
        <v>4</v>
      </c>
      <c r="M34" t="n">
        <v>2</v>
      </c>
      <c r="N34" t="n">
        <v>1</v>
      </c>
      <c r="O34" t="n">
        <v>0</v>
      </c>
      <c r="P34" t="n">
        <v>0</v>
      </c>
      <c r="Q34" t="n">
        <v>7</v>
      </c>
      <c r="R34" t="n">
        <v>3</v>
      </c>
      <c r="S34" t="n">
        <v>15</v>
      </c>
      <c r="T34" t="n">
        <v>23</v>
      </c>
      <c r="U34" t="n">
        <v>11</v>
      </c>
      <c r="V34" s="2" t="inlineStr">
        <is>
          <t>Skogsalm
Cinnoberbagge
Lundfingersvamp
Bleknande kamskivling
Jättekamskivling
Rutskinn
Vårärt
Bolmörtsskivling
Gulmjölkig storskål
Hasselsopp
Hasselticka
Svart trolldruva
Tibast
Blåsippa
Spillkråka</t>
        </is>
      </c>
      <c r="W34">
        <f>HYPERLINK("https://klasma.github.io/Logging_0380/artfynd/A 7380-2023 artfynd.xlsx", "A 7380-2023")</f>
        <v/>
      </c>
      <c r="X34">
        <f>HYPERLINK("https://klasma.github.io/Logging_0380/kartor/A 7380-2023 karta.png", "A 7380-2023")</f>
        <v/>
      </c>
      <c r="Y34">
        <f>HYPERLINK("https://klasma.github.io/Logging_0380/kartor_geotiff/A 7380-2023 georefererad karta.tif", "A 7380-2023")</f>
        <v/>
      </c>
      <c r="AA34">
        <f>HYPERLINK("https://klasma.github.io/Logging_0380/klagomål/A 7380-2023 FSC-klagomål.docx", "A 7380-2023")</f>
        <v/>
      </c>
      <c r="AB34">
        <f>HYPERLINK("https://klasma.github.io/Logging_0380/klagomålsmail/A 7380-2023 FSC-klagomål mail.docx", "A 7380-2023")</f>
        <v/>
      </c>
      <c r="AC34">
        <f>HYPERLINK("https://klasma.github.io/Logging_0380/tillsyn/A 7380-2023 tillsynsbegäran.docx", "A 7380-2023")</f>
        <v/>
      </c>
      <c r="AD34">
        <f>HYPERLINK("https://klasma.github.io/Logging_0380/tillsynsmail/A 7380-2023 tillsynsbegäran mail.docx", "A 7380-2023")</f>
        <v/>
      </c>
      <c r="AE34">
        <f>HYPERLINK("https://klasma.github.io/Logging_0380/fåglar/A 7380-2023 prioriterade fågelarter.docx", "A 7380-2023")</f>
        <v/>
      </c>
    </row>
    <row r="35" ht="15" customHeight="1">
      <c r="A35" t="inlineStr">
        <is>
          <t>A 26460-2023</t>
        </is>
      </c>
      <c r="B35" t="inlineStr">
        <is>
          <t>avverkningsanmälan</t>
        </is>
      </c>
      <c r="C35" t="inlineStr">
        <is>
          <t>Föryngringsavverkning</t>
        </is>
      </c>
      <c r="D35" s="1" t="n">
        <v>45092</v>
      </c>
      <c r="E35" s="1" t="n">
        <v>46291</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37004-2025</t>
        </is>
      </c>
      <c r="B36" t="inlineStr">
        <is>
          <t>avverkningsanmälan</t>
        </is>
      </c>
      <c r="C36" t="inlineStr">
        <is>
          <t>Föryngringsavverkning</t>
        </is>
      </c>
      <c r="D36" s="1" t="n">
        <v>45874</v>
      </c>
      <c r="E36" s="1" t="n">
        <v>46291</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25143-2023</t>
        </is>
      </c>
      <c r="B37" t="inlineStr">
        <is>
          <t>avverkningsanmälan</t>
        </is>
      </c>
      <c r="C37" t="inlineStr">
        <is>
          <t>Föryngringsavverkning</t>
        </is>
      </c>
      <c r="D37" s="1" t="n">
        <v>45086</v>
      </c>
      <c r="E37" s="1" t="n">
        <v>46291</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46291</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25604-2025</t>
        </is>
      </c>
      <c r="B39" t="inlineStr">
        <is>
          <t>avverkningsanmälan</t>
        </is>
      </c>
      <c r="C39" t="inlineStr">
        <is>
          <t>Föryngringsavverkning</t>
        </is>
      </c>
      <c r="D39" s="1" t="n">
        <v>45803</v>
      </c>
      <c r="E39" s="1" t="n">
        <v>46291</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21809-2024</t>
        </is>
      </c>
      <c r="B40" t="inlineStr">
        <is>
          <t>avverkningsanmälan</t>
        </is>
      </c>
      <c r="C40" t="inlineStr">
        <is>
          <t>Avverkning för annat ändamål</t>
        </is>
      </c>
      <c r="D40" s="1" t="n">
        <v>45442</v>
      </c>
      <c r="E40" s="1" t="n">
        <v>46291</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69711-2021</t>
        </is>
      </c>
      <c r="B41" t="inlineStr">
        <is>
          <t>avverkningsanmälan</t>
        </is>
      </c>
      <c r="C41" t="inlineStr">
        <is>
          <t>Föryngringsavverkning</t>
        </is>
      </c>
      <c r="D41" s="1" t="n">
        <v>44532</v>
      </c>
      <c r="E41" s="1" t="n">
        <v>46291</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3100-2024</t>
        </is>
      </c>
      <c r="B42" t="inlineStr">
        <is>
          <t>avverkningsanmälan</t>
        </is>
      </c>
      <c r="C42" t="inlineStr">
        <is>
          <t>Föryngringsavverkning</t>
        </is>
      </c>
      <c r="D42" s="1" t="n">
        <v>45316</v>
      </c>
      <c r="E42" s="1" t="n">
        <v>46291</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2021-2022</t>
        </is>
      </c>
      <c r="B43" t="inlineStr">
        <is>
          <t>avverkningsanmälan</t>
        </is>
      </c>
      <c r="C43" t="inlineStr">
        <is>
          <t>Föryngringsavverkning</t>
        </is>
      </c>
      <c r="D43" s="1" t="n">
        <v>44575</v>
      </c>
      <c r="E43" s="1" t="n">
        <v>46291</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63059-2025</t>
        </is>
      </c>
      <c r="B44" t="inlineStr">
        <is>
          <t>avverkningsanmälan</t>
        </is>
      </c>
      <c r="C44" t="inlineStr">
        <is>
          <t>Föryngringsavverkning</t>
        </is>
      </c>
      <c r="D44" s="1" t="n">
        <v>46009</v>
      </c>
      <c r="E44" s="1" t="n">
        <v>46291</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46162-2023</t>
        </is>
      </c>
      <c r="B45" t="inlineStr">
        <is>
          <t>avverkningsanmälan</t>
        </is>
      </c>
      <c r="C45" t="inlineStr">
        <is>
          <t>Föryngringsavverkning</t>
        </is>
      </c>
      <c r="D45" s="1" t="n">
        <v>45196</v>
      </c>
      <c r="E45" s="1" t="n">
        <v>46291</v>
      </c>
      <c r="F45" t="inlineStr">
        <is>
          <t>UPPSALA LÄN</t>
        </is>
      </c>
      <c r="G45" t="inlineStr">
        <is>
          <t>UPPSALA</t>
        </is>
      </c>
      <c r="I45" t="n">
        <v>5.5</v>
      </c>
      <c r="J45" t="n">
        <v>1</v>
      </c>
      <c r="K45" t="n">
        <v>5</v>
      </c>
      <c r="L45" t="n">
        <v>6</v>
      </c>
      <c r="M45" t="n">
        <v>1</v>
      </c>
      <c r="N45" t="n">
        <v>0</v>
      </c>
      <c r="O45" t="n">
        <v>0</v>
      </c>
      <c r="P45" t="n">
        <v>0</v>
      </c>
      <c r="Q45" t="n">
        <v>7</v>
      </c>
      <c r="R45" t="n">
        <v>1</v>
      </c>
      <c r="S45" t="n">
        <v>12</v>
      </c>
      <c r="T45" t="n">
        <v>42</v>
      </c>
      <c r="U45" t="n">
        <v>0</v>
      </c>
      <c r="V45" s="2" t="inlineStr">
        <is>
          <t>Knärot
Dropptaggsvamp
Fjällig taggsvamp s.str.
Rynkskinn
Såpfingersvamp
Ullticka
Vedtrappmossa
Bronshjon
Grönpyrola
Svavelriska
Vedticka
Vågbandad barkbock</t>
        </is>
      </c>
      <c r="W45">
        <f>HYPERLINK("https://klasma.github.io/Logging_0380/artfynd/A 46162-2023 artfynd.xlsx", "A 46162-2023")</f>
        <v/>
      </c>
      <c r="X45">
        <f>HYPERLINK("https://klasma.github.io/Logging_0380/kartor/A 46162-2023 karta.png", "A 46162-2023")</f>
        <v/>
      </c>
      <c r="Y45">
        <f>HYPERLINK("https://klasma.github.io/Logging_0380/kartor_geotiff/A 46162-2023 georefererad karta.tif", "A 46162-2023")</f>
        <v/>
      </c>
      <c r="Z45">
        <f>HYPERLINK("https://klasma.github.io/Logging_0380/knärot/A 46162-2023 karta knärot.png", "A 46162-2023")</f>
        <v/>
      </c>
      <c r="AA45">
        <f>HYPERLINK("https://klasma.github.io/Logging_0380/klagomål/A 46162-2023 FSC-klagomål.docx", "A 46162-2023")</f>
        <v/>
      </c>
      <c r="AB45">
        <f>HYPERLINK("https://klasma.github.io/Logging_0380/klagomålsmail/A 46162-2023 FSC-klagomål mail.docx", "A 46162-2023")</f>
        <v/>
      </c>
      <c r="AC45">
        <f>HYPERLINK("https://klasma.github.io/Logging_0380/tillsyn/A 46162-2023 tillsynsbegäran.docx", "A 46162-2023")</f>
        <v/>
      </c>
      <c r="AD45">
        <f>HYPERLINK("https://klasma.github.io/Logging_0380/tillsynsmail/A 46162-2023 tillsynsbegäran mail.docx", "A 46162-2023")</f>
        <v/>
      </c>
    </row>
    <row r="46" ht="15" customHeight="1">
      <c r="A46" t="inlineStr">
        <is>
          <t>A 47453-2023</t>
        </is>
      </c>
      <c r="B46" t="inlineStr">
        <is>
          <t>avverkningsanmälan</t>
        </is>
      </c>
      <c r="C46" t="inlineStr">
        <is>
          <t>Föryngringsavverkning</t>
        </is>
      </c>
      <c r="D46" s="1" t="n">
        <v>45202</v>
      </c>
      <c r="E46" s="1" t="n">
        <v>46291</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A 21674-2024</t>
        </is>
      </c>
      <c r="B47" t="inlineStr">
        <is>
          <t>avverkningsanmälan</t>
        </is>
      </c>
      <c r="C47" t="inlineStr">
        <is>
          <t>Föryngringsavverkning</t>
        </is>
      </c>
      <c r="D47" s="1" t="n">
        <v>45442</v>
      </c>
      <c r="E47" s="1" t="n">
        <v>46291</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S 3289-2022</t>
        </is>
      </c>
      <c r="B48" t="inlineStr">
        <is>
          <t>samrådsanmälan</t>
        </is>
      </c>
      <c r="C48" t="inlineStr">
        <is>
          <t>Annan skogsbruksåtgärd</t>
        </is>
      </c>
      <c r="D48" s="1" t="n">
        <v>44726</v>
      </c>
      <c r="E48" s="1" t="n">
        <v>46291</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25651-2025</t>
        </is>
      </c>
      <c r="B49" t="inlineStr">
        <is>
          <t>avverkningsanmälan</t>
        </is>
      </c>
      <c r="C49" t="inlineStr">
        <is>
          <t>Föryngringsavverkning</t>
        </is>
      </c>
      <c r="D49" s="1" t="n">
        <v>45803</v>
      </c>
      <c r="E49" s="1" t="n">
        <v>46291</v>
      </c>
      <c r="F49" t="inlineStr">
        <is>
          <t>UPPSALA LÄN</t>
        </is>
      </c>
      <c r="G49" t="inlineStr">
        <is>
          <t>UPPSALA</t>
        </is>
      </c>
      <c r="H49" t="inlineStr">
        <is>
          <t>Holmen skog AB</t>
        </is>
      </c>
      <c r="I49" t="n">
        <v>3.6</v>
      </c>
      <c r="J49" t="n">
        <v>5</v>
      </c>
      <c r="K49" t="n">
        <v>3</v>
      </c>
      <c r="L49" t="n">
        <v>4</v>
      </c>
      <c r="M49" t="n">
        <v>1</v>
      </c>
      <c r="N49" t="n">
        <v>0</v>
      </c>
      <c r="O49" t="n">
        <v>0</v>
      </c>
      <c r="P49" t="n">
        <v>0</v>
      </c>
      <c r="Q49" t="n">
        <v>5</v>
      </c>
      <c r="R49" t="n">
        <v>1</v>
      </c>
      <c r="S49" t="n">
        <v>11</v>
      </c>
      <c r="T49" t="n">
        <v>28</v>
      </c>
      <c r="U49" t="n">
        <v>22</v>
      </c>
      <c r="V49" s="2" t="inlineStr">
        <is>
          <t>Knärot
Kortskaftad ärgspik
Motaggsvamp
Talltita
Vedtrappmossa
Brandticka
Bronshjon
Vågbandad barkbock
Blåsippa
Spillkråka
Revlummer</t>
        </is>
      </c>
      <c r="W49">
        <f>HYPERLINK("https://klasma.github.io/Logging_0380/artfynd/A 25651-2025 artfynd.xlsx", "A 25651-2025")</f>
        <v/>
      </c>
      <c r="X49">
        <f>HYPERLINK("https://klasma.github.io/Logging_0380/kartor/A 25651-2025 karta.png", "A 25651-2025")</f>
        <v/>
      </c>
      <c r="Y49">
        <f>HYPERLINK("https://klasma.github.io/Logging_0380/kartor_geotiff/A 25651-2025 georefererad karta.tif", "A 25651-2025")</f>
        <v/>
      </c>
      <c r="Z49">
        <f>HYPERLINK("https://klasma.github.io/Logging_0380/knärot/A 25651-2025 karta knärot.png", "A 25651-2025")</f>
        <v/>
      </c>
      <c r="AA49">
        <f>HYPERLINK("https://klasma.github.io/Logging_0380/klagomål/A 25651-2025 FSC-klagomål.docx", "A 25651-2025")</f>
        <v/>
      </c>
      <c r="AB49">
        <f>HYPERLINK("https://klasma.github.io/Logging_0380/klagomålsmail/A 25651-2025 FSC-klagomål mail.docx", "A 25651-2025")</f>
        <v/>
      </c>
      <c r="AC49">
        <f>HYPERLINK("https://klasma.github.io/Logging_0380/tillsyn/A 25651-2025 tillsynsbegäran.docx", "A 25651-2025")</f>
        <v/>
      </c>
      <c r="AD49">
        <f>HYPERLINK("https://klasma.github.io/Logging_0380/tillsynsmail/A 25651-2025 tillsynsbegäran mail.docx", "A 25651-2025")</f>
        <v/>
      </c>
      <c r="AE49">
        <f>HYPERLINK("https://klasma.github.io/Logging_0380/fåglar/A 25651-2025 prioriterade fågelarter.docx", "A 25651-2025")</f>
        <v/>
      </c>
    </row>
    <row r="50" ht="15" customHeight="1">
      <c r="A50" t="inlineStr">
        <is>
          <t>A 9401-2025</t>
        </is>
      </c>
      <c r="B50" t="inlineStr">
        <is>
          <t>avverkningsanmälan</t>
        </is>
      </c>
      <c r="C50" t="inlineStr">
        <is>
          <t>Föryngringsavverkning</t>
        </is>
      </c>
      <c r="D50" s="1" t="n">
        <v>45715</v>
      </c>
      <c r="E50" s="1" t="n">
        <v>46291</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13546-2025</t>
        </is>
      </c>
      <c r="B51" t="inlineStr">
        <is>
          <t>avverkningsanmälan</t>
        </is>
      </c>
      <c r="C51" t="inlineStr">
        <is>
          <t>Föryngringsavverkning</t>
        </is>
      </c>
      <c r="D51" s="1" t="n">
        <v>45736</v>
      </c>
      <c r="E51" s="1" t="n">
        <v>46291</v>
      </c>
      <c r="F51" t="inlineStr">
        <is>
          <t>UPPSALA LÄN</t>
        </is>
      </c>
      <c r="G51" t="inlineStr">
        <is>
          <t>UPPSALA</t>
        </is>
      </c>
      <c r="H51" t="inlineStr">
        <is>
          <t>Allmännings- och besparingsskogar</t>
        </is>
      </c>
      <c r="I51" t="n">
        <v>3.7</v>
      </c>
      <c r="J51" t="n">
        <v>2</v>
      </c>
      <c r="K51" t="n">
        <v>5</v>
      </c>
      <c r="L51" t="n">
        <v>2</v>
      </c>
      <c r="M51" t="n">
        <v>1</v>
      </c>
      <c r="N51" t="n">
        <v>0</v>
      </c>
      <c r="O51" t="n">
        <v>0</v>
      </c>
      <c r="P51" t="n">
        <v>0</v>
      </c>
      <c r="Q51" t="n">
        <v>3</v>
      </c>
      <c r="R51" t="n">
        <v>1</v>
      </c>
      <c r="S51" t="n">
        <v>11</v>
      </c>
      <c r="T51" t="n">
        <v>19</v>
      </c>
      <c r="U51" t="n">
        <v>14</v>
      </c>
      <c r="V51" s="2" t="inlineStr">
        <is>
          <t>Ulltickeporing
Ullticka
Vedtrappmossa
Björksplintborre
Brandticka
Bronshjon
Thomsons trägnagare
Vanlig flatbagge
Blåsippa
Kransmossa
Spillkråka</t>
        </is>
      </c>
      <c r="W51">
        <f>HYPERLINK("https://klasma.github.io/Logging_0380/artfynd/A 13546-2025 artfynd.xlsx", "A 13546-2025")</f>
        <v/>
      </c>
      <c r="X51">
        <f>HYPERLINK("https://klasma.github.io/Logging_0380/kartor/A 13546-2025 karta.png", "A 13546-2025")</f>
        <v/>
      </c>
      <c r="Y51">
        <f>HYPERLINK("https://klasma.github.io/Logging_0380/kartor_geotiff/A 13546-2025 georefererad karta.tif", "A 13546-2025")</f>
        <v/>
      </c>
      <c r="AA51">
        <f>HYPERLINK("https://klasma.github.io/Logging_0380/klagomål/A 13546-2025 FSC-klagomål.docx", "A 13546-2025")</f>
        <v/>
      </c>
      <c r="AB51">
        <f>HYPERLINK("https://klasma.github.io/Logging_0380/klagomålsmail/A 13546-2025 FSC-klagomål mail.docx", "A 13546-2025")</f>
        <v/>
      </c>
      <c r="AC51">
        <f>HYPERLINK("https://klasma.github.io/Logging_0380/tillsyn/A 13546-2025 tillsynsbegäran.docx", "A 13546-2025")</f>
        <v/>
      </c>
      <c r="AD51">
        <f>HYPERLINK("https://klasma.github.io/Logging_0380/tillsynsmail/A 13546-2025 tillsynsbegäran mail.docx", "A 13546-2025")</f>
        <v/>
      </c>
      <c r="AE51">
        <f>HYPERLINK("https://klasma.github.io/Logging_0380/fåglar/A 13546-2025 prioriterade fågelarter.docx", "A 13546-2025")</f>
        <v/>
      </c>
    </row>
    <row r="52" ht="15" customHeight="1">
      <c r="A52" t="inlineStr">
        <is>
          <t>A 23584-2026</t>
        </is>
      </c>
      <c r="B52" t="inlineStr">
        <is>
          <t>avverkningsanmälan</t>
        </is>
      </c>
      <c r="C52" t="inlineStr">
        <is>
          <t>Föryngringsavverkning</t>
        </is>
      </c>
      <c r="D52" s="1" t="n">
        <v>46163</v>
      </c>
      <c r="E52" s="1" t="n">
        <v>46291</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46291</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46291</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46291</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46291</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14466-2026</t>
        </is>
      </c>
      <c r="B57" t="inlineStr">
        <is>
          <t>avverkningsanmälan</t>
        </is>
      </c>
      <c r="C57" t="inlineStr">
        <is>
          <t>Föryngringsavverkning</t>
        </is>
      </c>
      <c r="D57" s="1" t="n">
        <v>46100</v>
      </c>
      <c r="E57" s="1" t="n">
        <v>46291</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48755-2025</t>
        </is>
      </c>
      <c r="B58" t="inlineStr">
        <is>
          <t>avverkningsanmälan</t>
        </is>
      </c>
      <c r="C58" t="inlineStr">
        <is>
          <t>Föryngringsavverkning</t>
        </is>
      </c>
      <c r="D58" s="1" t="n">
        <v>45936</v>
      </c>
      <c r="E58" s="1" t="n">
        <v>46291</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24684-2026</t>
        </is>
      </c>
      <c r="B59" t="inlineStr">
        <is>
          <t>avverkningsanmälan</t>
        </is>
      </c>
      <c r="C59" t="inlineStr">
        <is>
          <t>Föryngringsavverkning</t>
        </is>
      </c>
      <c r="D59" s="1" t="n">
        <v>46171</v>
      </c>
      <c r="E59" s="1" t="n">
        <v>46291</v>
      </c>
      <c r="F59" t="inlineStr">
        <is>
          <t>UPPSALA LÄN</t>
        </is>
      </c>
      <c r="G59" t="inlineStr">
        <is>
          <t>UPPSALA</t>
        </is>
      </c>
      <c r="H59" t="inlineStr">
        <is>
          <t>Allmännings- och besparingsskogar</t>
        </is>
      </c>
      <c r="I59" t="n">
        <v>5.5</v>
      </c>
      <c r="J59" t="n">
        <v>3</v>
      </c>
      <c r="K59" t="n">
        <v>5</v>
      </c>
      <c r="L59" t="n">
        <v>1</v>
      </c>
      <c r="M59" t="n">
        <v>1</v>
      </c>
      <c r="N59" t="n">
        <v>0</v>
      </c>
      <c r="O59" t="n">
        <v>0</v>
      </c>
      <c r="P59" t="n">
        <v>0</v>
      </c>
      <c r="Q59" t="n">
        <v>3</v>
      </c>
      <c r="R59" t="n">
        <v>1</v>
      </c>
      <c r="S59" t="n">
        <v>10</v>
      </c>
      <c r="T59" t="n">
        <v>42</v>
      </c>
      <c r="U59" t="n">
        <v>42</v>
      </c>
      <c r="V59" s="2" t="inlineStr">
        <is>
          <t>Knärot
Vedtrappmossa
Porodaedalea chrysoloma
Björksplintborre
Bronshjon
Granbarkgnagare
Korallrot
Vågbandad barkbock
Kransmossa
Spillkråka</t>
        </is>
      </c>
      <c r="W59">
        <f>HYPERLINK("https://klasma.github.io/Logging_0380/artfynd/A 24684-2026 artfynd.xlsx", "A 24684-2026")</f>
        <v/>
      </c>
      <c r="X59">
        <f>HYPERLINK("https://klasma.github.io/Logging_0380/kartor/A 24684-2026 karta.png", "A 24684-2026")</f>
        <v/>
      </c>
      <c r="Y59">
        <f>HYPERLINK("https://klasma.github.io/Logging_0380/kartor_geotiff/A 24684-2026 georefererad karta.tif", "A 24684-2026")</f>
        <v/>
      </c>
      <c r="Z59">
        <f>HYPERLINK("https://klasma.github.io/Logging_0380/knärot/A 24684-2026 karta knärot.png", "A 24684-2026")</f>
        <v/>
      </c>
      <c r="AA59">
        <f>HYPERLINK("https://klasma.github.io/Logging_0380/klagomål/A 24684-2026 FSC-klagomål.docx", "A 24684-2026")</f>
        <v/>
      </c>
      <c r="AB59">
        <f>HYPERLINK("https://klasma.github.io/Logging_0380/klagomålsmail/A 24684-2026 FSC-klagomål mail.docx", "A 24684-2026")</f>
        <v/>
      </c>
      <c r="AC59">
        <f>HYPERLINK("https://klasma.github.io/Logging_0380/tillsyn/A 24684-2026 tillsynsbegäran.docx", "A 24684-2026")</f>
        <v/>
      </c>
      <c r="AD59">
        <f>HYPERLINK("https://klasma.github.io/Logging_0380/tillsynsmail/A 24684-2026 tillsynsbegäran mail.docx", "A 24684-2026")</f>
        <v/>
      </c>
      <c r="AE59">
        <f>HYPERLINK("https://klasma.github.io/Logging_0380/fåglar/A 24684-2026 prioriterade fågelarter.docx", "A 24684-2026")</f>
        <v/>
      </c>
    </row>
    <row r="60" ht="15" customHeight="1">
      <c r="A60" t="inlineStr">
        <is>
          <t>A 9206-2024</t>
        </is>
      </c>
      <c r="B60" t="inlineStr">
        <is>
          <t>avverkningsanmälan</t>
        </is>
      </c>
      <c r="C60" t="inlineStr">
        <is>
          <t>Föryngringsavverkning</t>
        </is>
      </c>
      <c r="D60" s="1" t="n">
        <v>45358</v>
      </c>
      <c r="E60" s="1" t="n">
        <v>46291</v>
      </c>
      <c r="F60" t="inlineStr">
        <is>
          <t>UPPSALA LÄN</t>
        </is>
      </c>
      <c r="G60" t="inlineStr">
        <is>
          <t>UPPSALA</t>
        </is>
      </c>
      <c r="H60" t="inlineStr">
        <is>
          <t>Allmännings- och besparingsskogar</t>
        </is>
      </c>
      <c r="I60" t="n">
        <v>22.2</v>
      </c>
      <c r="J60" t="n">
        <v>4</v>
      </c>
      <c r="K60" t="n">
        <v>3</v>
      </c>
      <c r="L60" t="n">
        <v>3</v>
      </c>
      <c r="M60" t="n">
        <v>2</v>
      </c>
      <c r="N60" t="n">
        <v>0</v>
      </c>
      <c r="O60" t="n">
        <v>0</v>
      </c>
      <c r="P60" t="n">
        <v>0</v>
      </c>
      <c r="Q60" t="n">
        <v>5</v>
      </c>
      <c r="R60" t="n">
        <v>2</v>
      </c>
      <c r="S60" t="n">
        <v>10</v>
      </c>
      <c r="T60" t="n">
        <v>45</v>
      </c>
      <c r="U60" t="n">
        <v>44</v>
      </c>
      <c r="V60" s="2" t="inlineStr">
        <is>
          <t>Gränsticka
Knärot
Gransotdyna
Talltita
Vedtrappmossa
Brandticka
Bronshjon
Granbarkgnagare
Spillkråka
Revlummer</t>
        </is>
      </c>
      <c r="W60">
        <f>HYPERLINK("https://klasma.github.io/Logging_0380/artfynd/A 9206-2024 artfynd.xlsx", "A 9206-2024")</f>
        <v/>
      </c>
      <c r="X60">
        <f>HYPERLINK("https://klasma.github.io/Logging_0380/kartor/A 9206-2024 karta.png", "A 9206-2024")</f>
        <v/>
      </c>
      <c r="Y60">
        <f>HYPERLINK("https://klasma.github.io/Logging_0380/kartor_geotiff/A 9206-2024 georefererad karta.tif", "A 9206-2024")</f>
        <v/>
      </c>
      <c r="Z60">
        <f>HYPERLINK("https://klasma.github.io/Logging_0380/knärot/A 9206-2024 karta knärot.png", "A 9206-2024")</f>
        <v/>
      </c>
      <c r="AA60">
        <f>HYPERLINK("https://klasma.github.io/Logging_0380/klagomål/A 9206-2024 FSC-klagomål.docx", "A 9206-2024")</f>
        <v/>
      </c>
      <c r="AB60">
        <f>HYPERLINK("https://klasma.github.io/Logging_0380/klagomålsmail/A 9206-2024 FSC-klagomål mail.docx", "A 9206-2024")</f>
        <v/>
      </c>
      <c r="AC60">
        <f>HYPERLINK("https://klasma.github.io/Logging_0380/tillsyn/A 9206-2024 tillsynsbegäran.docx", "A 9206-2024")</f>
        <v/>
      </c>
      <c r="AD60">
        <f>HYPERLINK("https://klasma.github.io/Logging_0380/tillsynsmail/A 9206-2024 tillsynsbegäran mail.docx", "A 9206-2024")</f>
        <v/>
      </c>
      <c r="AE60">
        <f>HYPERLINK("https://klasma.github.io/Logging_0380/fåglar/A 9206-2024 prioriterade fågelarter.docx", "A 9206-2024")</f>
        <v/>
      </c>
    </row>
    <row r="61" ht="15" customHeight="1">
      <c r="A61" t="inlineStr">
        <is>
          <t>A 59539-2025</t>
        </is>
      </c>
      <c r="B61" t="inlineStr">
        <is>
          <t>avverkningsanmälan</t>
        </is>
      </c>
      <c r="C61" t="inlineStr">
        <is>
          <t>Föryngringsavverkning</t>
        </is>
      </c>
      <c r="D61" s="1" t="n">
        <v>45989</v>
      </c>
      <c r="E61" s="1" t="n">
        <v>46291</v>
      </c>
      <c r="F61" t="inlineStr">
        <is>
          <t>UPPSALA LÄN</t>
        </is>
      </c>
      <c r="G61" t="inlineStr">
        <is>
          <t>UPPSALA</t>
        </is>
      </c>
      <c r="I61" t="n">
        <v>3.3</v>
      </c>
      <c r="J61" t="n">
        <v>5</v>
      </c>
      <c r="K61" t="n">
        <v>3</v>
      </c>
      <c r="L61" t="n">
        <v>3</v>
      </c>
      <c r="M61" t="n">
        <v>1</v>
      </c>
      <c r="N61" t="n">
        <v>0</v>
      </c>
      <c r="O61" t="n">
        <v>0</v>
      </c>
      <c r="P61" t="n">
        <v>0</v>
      </c>
      <c r="Q61" t="n">
        <v>4</v>
      </c>
      <c r="R61" t="n">
        <v>1</v>
      </c>
      <c r="S61" t="n">
        <v>10</v>
      </c>
      <c r="T61" t="n">
        <v>18</v>
      </c>
      <c r="U61" t="n">
        <v>18</v>
      </c>
      <c r="V61" s="2" t="inlineStr">
        <is>
          <t>Knärot
Tallticka
Talltita
Ullticka
Björksplintborre
Vedticka
Vågbandad barkbock
Spillkråka
Lopplummer (aggregat)
Revlummer</t>
        </is>
      </c>
      <c r="W61">
        <f>HYPERLINK("https://klasma.github.io/Logging_0380/artfynd/A 59539-2025 artfynd.xlsx", "A 59539-2025")</f>
        <v/>
      </c>
      <c r="X61">
        <f>HYPERLINK("https://klasma.github.io/Logging_0380/kartor/A 59539-2025 karta.png", "A 59539-2025")</f>
        <v/>
      </c>
      <c r="Y61">
        <f>HYPERLINK("https://klasma.github.io/Logging_0380/kartor_geotiff/A 59539-2025 georefererad karta.tif", "A 59539-2025")</f>
        <v/>
      </c>
      <c r="Z61">
        <f>HYPERLINK("https://klasma.github.io/Logging_0380/knärot/A 59539-2025 karta knärot.png", "A 59539-2025")</f>
        <v/>
      </c>
      <c r="AA61">
        <f>HYPERLINK("https://klasma.github.io/Logging_0380/klagomål/A 59539-2025 FSC-klagomål.docx", "A 59539-2025")</f>
        <v/>
      </c>
      <c r="AB61">
        <f>HYPERLINK("https://klasma.github.io/Logging_0380/klagomålsmail/A 59539-2025 FSC-klagomål mail.docx", "A 59539-2025")</f>
        <v/>
      </c>
      <c r="AC61">
        <f>HYPERLINK("https://klasma.github.io/Logging_0380/tillsyn/A 59539-2025 tillsynsbegäran.docx", "A 59539-2025")</f>
        <v/>
      </c>
      <c r="AD61">
        <f>HYPERLINK("https://klasma.github.io/Logging_0380/tillsynsmail/A 59539-2025 tillsynsbegäran mail.docx", "A 59539-2025")</f>
        <v/>
      </c>
      <c r="AE61">
        <f>HYPERLINK("https://klasma.github.io/Logging_0380/fåglar/A 59539-2025 prioriterade fågelarter.docx", "A 59539-2025")</f>
        <v/>
      </c>
    </row>
    <row r="62" ht="15" customHeight="1">
      <c r="A62" t="inlineStr">
        <is>
          <t>A 43280-2025</t>
        </is>
      </c>
      <c r="B62" t="inlineStr">
        <is>
          <t>avverkningsanmälan</t>
        </is>
      </c>
      <c r="C62" t="inlineStr">
        <is>
          <t>Föryngringsavverkning</t>
        </is>
      </c>
      <c r="D62" s="1" t="n">
        <v>45910</v>
      </c>
      <c r="E62" s="1" t="n">
        <v>46291</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46291</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25608-2025</t>
        </is>
      </c>
      <c r="B64" t="inlineStr">
        <is>
          <t>avverkningsanmälan</t>
        </is>
      </c>
      <c r="C64" t="inlineStr">
        <is>
          <t>Föryngringsavverkning</t>
        </is>
      </c>
      <c r="D64" s="1" t="n">
        <v>45803</v>
      </c>
      <c r="E64" s="1" t="n">
        <v>46291</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55788-2025</t>
        </is>
      </c>
      <c r="B65" t="inlineStr">
        <is>
          <t>avverkningsanmälan</t>
        </is>
      </c>
      <c r="C65" t="inlineStr">
        <is>
          <t>Föryngringsavverkning</t>
        </is>
      </c>
      <c r="D65" s="1" t="n">
        <v>45972</v>
      </c>
      <c r="E65" s="1" t="n">
        <v>46291</v>
      </c>
      <c r="F65" t="inlineStr">
        <is>
          <t>UPPSALA LÄN</t>
        </is>
      </c>
      <c r="G65" t="inlineStr">
        <is>
          <t>UPPSALA</t>
        </is>
      </c>
      <c r="H65" t="inlineStr">
        <is>
          <t>Holmen skog AB</t>
        </is>
      </c>
      <c r="I65" t="n">
        <v>6.9</v>
      </c>
      <c r="J65" t="n">
        <v>6</v>
      </c>
      <c r="K65" t="n">
        <v>0</v>
      </c>
      <c r="L65" t="n">
        <v>5</v>
      </c>
      <c r="M65" t="n">
        <v>0</v>
      </c>
      <c r="N65" t="n">
        <v>0</v>
      </c>
      <c r="O65" t="n">
        <v>0</v>
      </c>
      <c r="P65" t="n">
        <v>0</v>
      </c>
      <c r="Q65" t="n">
        <v>5</v>
      </c>
      <c r="R65" t="n">
        <v>0</v>
      </c>
      <c r="S65" t="n">
        <v>9</v>
      </c>
      <c r="T65" t="n">
        <v>16</v>
      </c>
      <c r="U65" t="n">
        <v>1</v>
      </c>
      <c r="V65" s="2" t="inlineStr">
        <is>
          <t>Ekticka
Järnsparv
Rödbrun blekspik
Talltita
Vårärt
Blåsippa
Tjäder
Kungsfågel
Gullviva</t>
        </is>
      </c>
      <c r="W65">
        <f>HYPERLINK("https://klasma.github.io/Logging_0380/artfynd/A 55788-2025 artfynd.xlsx", "A 55788-2025")</f>
        <v/>
      </c>
      <c r="X65">
        <f>HYPERLINK("https://klasma.github.io/Logging_0380/kartor/A 55788-2025 karta.png", "A 55788-2025")</f>
        <v/>
      </c>
      <c r="Y65">
        <f>HYPERLINK("https://klasma.github.io/Logging_0380/kartor_geotiff/A 55788-2025 georefererad karta.tif", "A 55788-2025")</f>
        <v/>
      </c>
      <c r="AA65">
        <f>HYPERLINK("https://klasma.github.io/Logging_0380/klagomål/A 55788-2025 FSC-klagomål.docx", "A 55788-2025")</f>
        <v/>
      </c>
      <c r="AB65">
        <f>HYPERLINK("https://klasma.github.io/Logging_0380/klagomålsmail/A 55788-2025 FSC-klagomål mail.docx", "A 55788-2025")</f>
        <v/>
      </c>
      <c r="AC65">
        <f>HYPERLINK("https://klasma.github.io/Logging_0380/tillsyn/A 55788-2025 tillsynsbegäran.docx", "A 55788-2025")</f>
        <v/>
      </c>
      <c r="AD65">
        <f>HYPERLINK("https://klasma.github.io/Logging_0380/tillsynsmail/A 55788-2025 tillsynsbegäran mail.docx", "A 55788-2025")</f>
        <v/>
      </c>
      <c r="AE65">
        <f>HYPERLINK("https://klasma.github.io/Logging_0380/fåglar/A 55788-2025 prioriterade fågelarter.docx", "A 55788-2025")</f>
        <v/>
      </c>
    </row>
    <row r="66" ht="15" customHeight="1">
      <c r="A66" t="inlineStr">
        <is>
          <t>A 61014-2021</t>
        </is>
      </c>
      <c r="B66" t="inlineStr">
        <is>
          <t>avverkningsanmälan</t>
        </is>
      </c>
      <c r="C66" t="inlineStr">
        <is>
          <t>Föryngringsavverkning</t>
        </is>
      </c>
      <c r="D66" s="1" t="n">
        <v>44497</v>
      </c>
      <c r="E66" s="1" t="n">
        <v>46291</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46291</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26001-2026</t>
        </is>
      </c>
      <c r="B68" t="inlineStr">
        <is>
          <t>avverkningsanmälan</t>
        </is>
      </c>
      <c r="C68" t="inlineStr">
        <is>
          <t>Föryngringsavverkning</t>
        </is>
      </c>
      <c r="D68" s="1" t="n">
        <v>46181</v>
      </c>
      <c r="E68" s="1" t="n">
        <v>46291</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46291</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59538-2025</t>
        </is>
      </c>
      <c r="B70" t="inlineStr">
        <is>
          <t>avverkningsanmälan</t>
        </is>
      </c>
      <c r="C70" t="inlineStr">
        <is>
          <t>Föryngringsavverkning</t>
        </is>
      </c>
      <c r="D70" s="1" t="n">
        <v>45989</v>
      </c>
      <c r="E70" s="1" t="n">
        <v>46291</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1725-2022</t>
        </is>
      </c>
      <c r="B71" t="inlineStr">
        <is>
          <t>avverkningsanmälan</t>
        </is>
      </c>
      <c r="C71" t="inlineStr">
        <is>
          <t>Föryngringsavverkning</t>
        </is>
      </c>
      <c r="D71" s="1" t="n">
        <v>44574</v>
      </c>
      <c r="E71" s="1" t="n">
        <v>46291</v>
      </c>
      <c r="F71" t="inlineStr">
        <is>
          <t>UPPSALA LÄN</t>
        </is>
      </c>
      <c r="G71" t="inlineStr">
        <is>
          <t>UPPSALA</t>
        </is>
      </c>
      <c r="I71" t="n">
        <v>6.1</v>
      </c>
      <c r="J71" t="n">
        <v>3</v>
      </c>
      <c r="K71" t="n">
        <v>4</v>
      </c>
      <c r="L71" t="n">
        <v>1</v>
      </c>
      <c r="M71" t="n">
        <v>1</v>
      </c>
      <c r="N71" t="n">
        <v>0</v>
      </c>
      <c r="O71" t="n">
        <v>0</v>
      </c>
      <c r="P71" t="n">
        <v>0</v>
      </c>
      <c r="Q71" t="n">
        <v>2</v>
      </c>
      <c r="R71" t="n">
        <v>1</v>
      </c>
      <c r="S71" t="n">
        <v>8</v>
      </c>
      <c r="T71" t="n">
        <v>12</v>
      </c>
      <c r="U71" t="n">
        <v>1</v>
      </c>
      <c r="V71" s="2" t="inlineStr">
        <is>
          <t>Rökpipsvamp
Fjällig taggsvamp s.str.
Fällmossa
Grön sköldmossa
Platt fjädermossa
Stubbspretmossa
Blåsippa
Järpe</t>
        </is>
      </c>
      <c r="W71">
        <f>HYPERLINK("https://klasma.github.io/Logging_0380/artfynd/A 1725-2022 artfynd.xlsx", "A 1725-2022")</f>
        <v/>
      </c>
      <c r="X71">
        <f>HYPERLINK("https://klasma.github.io/Logging_0380/kartor/A 1725-2022 karta.png", "A 1725-2022")</f>
        <v/>
      </c>
      <c r="Y71">
        <f>HYPERLINK("https://klasma.github.io/Logging_0380/kartor_geotiff/A 1725-2022 georefererad karta.tif", "A 1725-2022")</f>
        <v/>
      </c>
      <c r="AA71">
        <f>HYPERLINK("https://klasma.github.io/Logging_0380/klagomål/A 1725-2022 FSC-klagomål.docx", "A 1725-2022")</f>
        <v/>
      </c>
      <c r="AB71">
        <f>HYPERLINK("https://klasma.github.io/Logging_0380/klagomålsmail/A 1725-2022 FSC-klagomål mail.docx", "A 1725-2022")</f>
        <v/>
      </c>
      <c r="AC71">
        <f>HYPERLINK("https://klasma.github.io/Logging_0380/tillsyn/A 1725-2022 tillsynsbegäran.docx", "A 1725-2022")</f>
        <v/>
      </c>
      <c r="AD71">
        <f>HYPERLINK("https://klasma.github.io/Logging_0380/tillsynsmail/A 1725-2022 tillsynsbegäran mail.docx", "A 1725-2022")</f>
        <v/>
      </c>
      <c r="AE71">
        <f>HYPERLINK("https://klasma.github.io/Logging_0380/fåglar/A 1725-2022 prioriterade fågelarter.docx", "A 1725-2022")</f>
        <v/>
      </c>
    </row>
    <row r="72" ht="15" customHeight="1">
      <c r="A72" t="inlineStr">
        <is>
          <t>A 58545-2025</t>
        </is>
      </c>
      <c r="B72" t="inlineStr">
        <is>
          <t>avverkningsanmälan</t>
        </is>
      </c>
      <c r="C72" t="inlineStr">
        <is>
          <t>Föryngringsavverkning</t>
        </is>
      </c>
      <c r="D72" s="1" t="n">
        <v>45985</v>
      </c>
      <c r="E72" s="1" t="n">
        <v>46291</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6180-2026</t>
        </is>
      </c>
      <c r="B73" t="inlineStr">
        <is>
          <t>avverkningsanmälan</t>
        </is>
      </c>
      <c r="C73" t="inlineStr">
        <is>
          <t>Föryngringsavverkning</t>
        </is>
      </c>
      <c r="D73" s="1" t="n">
        <v>46055</v>
      </c>
      <c r="E73" s="1" t="n">
        <v>46291</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56363-2025</t>
        </is>
      </c>
      <c r="B74" t="inlineStr">
        <is>
          <t>avverkningsanmälan</t>
        </is>
      </c>
      <c r="C74" t="inlineStr">
        <is>
          <t>Föryngringsavverkning</t>
        </is>
      </c>
      <c r="D74" s="1" t="n">
        <v>45974</v>
      </c>
      <c r="E74" s="1" t="n">
        <v>46291</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58547-2025</t>
        </is>
      </c>
      <c r="B75" t="inlineStr">
        <is>
          <t>avverkningsanmälan</t>
        </is>
      </c>
      <c r="C75" t="inlineStr">
        <is>
          <t>Föryngringsavverkning</t>
        </is>
      </c>
      <c r="D75" s="1" t="n">
        <v>45985</v>
      </c>
      <c r="E75" s="1" t="n">
        <v>46291</v>
      </c>
      <c r="F75" t="inlineStr">
        <is>
          <t>UPPSALA LÄN</t>
        </is>
      </c>
      <c r="G75" t="inlineStr">
        <is>
          <t>UPPSALA</t>
        </is>
      </c>
      <c r="I75" t="n">
        <v>1.1</v>
      </c>
      <c r="J75" t="n">
        <v>3</v>
      </c>
      <c r="K75" t="n">
        <v>3</v>
      </c>
      <c r="L75" t="n">
        <v>1</v>
      </c>
      <c r="M75" t="n">
        <v>1</v>
      </c>
      <c r="N75" t="n">
        <v>0</v>
      </c>
      <c r="O75" t="n">
        <v>0</v>
      </c>
      <c r="P75" t="n">
        <v>0</v>
      </c>
      <c r="Q75" t="n">
        <v>2</v>
      </c>
      <c r="R75" t="n">
        <v>1</v>
      </c>
      <c r="S75" t="n">
        <v>7</v>
      </c>
      <c r="T75" t="n">
        <v>38</v>
      </c>
      <c r="U75" t="n">
        <v>38</v>
      </c>
      <c r="V75" s="2" t="inlineStr">
        <is>
          <t>Knärot
Vedtrappmossa
Björksplintborre
Rödgul trumpetsvamp
Vedticka
Spillkråka
Revlummer</t>
        </is>
      </c>
      <c r="W75">
        <f>HYPERLINK("https://klasma.github.io/Logging_0380/artfynd/A 58547-2025 artfynd.xlsx", "A 58547-2025")</f>
        <v/>
      </c>
      <c r="X75">
        <f>HYPERLINK("https://klasma.github.io/Logging_0380/kartor/A 58547-2025 karta.png", "A 58547-2025")</f>
        <v/>
      </c>
      <c r="Y75">
        <f>HYPERLINK("https://klasma.github.io/Logging_0380/kartor_geotiff/A 58547-2025 georefererad karta.tif", "A 58547-2025")</f>
        <v/>
      </c>
      <c r="Z75">
        <f>HYPERLINK("https://klasma.github.io/Logging_0380/knärot/A 58547-2025 karta knärot.png", "A 58547-2025")</f>
        <v/>
      </c>
      <c r="AA75">
        <f>HYPERLINK("https://klasma.github.io/Logging_0380/klagomål/A 58547-2025 FSC-klagomål.docx", "A 58547-2025")</f>
        <v/>
      </c>
      <c r="AB75">
        <f>HYPERLINK("https://klasma.github.io/Logging_0380/klagomålsmail/A 58547-2025 FSC-klagomål mail.docx", "A 58547-2025")</f>
        <v/>
      </c>
      <c r="AC75">
        <f>HYPERLINK("https://klasma.github.io/Logging_0380/tillsyn/A 58547-2025 tillsynsbegäran.docx", "A 58547-2025")</f>
        <v/>
      </c>
      <c r="AD75">
        <f>HYPERLINK("https://klasma.github.io/Logging_0380/tillsynsmail/A 58547-2025 tillsynsbegäran mail.docx", "A 58547-2025")</f>
        <v/>
      </c>
      <c r="AE75">
        <f>HYPERLINK("https://klasma.github.io/Logging_0380/fåglar/A 58547-2025 prioriterade fågelarter.docx", "A 58547-2025")</f>
        <v/>
      </c>
    </row>
    <row r="76" ht="15" customHeight="1">
      <c r="A76" t="inlineStr">
        <is>
          <t>A 29277-2026</t>
        </is>
      </c>
      <c r="B76" t="inlineStr">
        <is>
          <t>avverkningsanmälan</t>
        </is>
      </c>
      <c r="C76" t="inlineStr">
        <is>
          <t>Föryngringsavverkning</t>
        </is>
      </c>
      <c r="D76" s="1" t="n">
        <v>46202</v>
      </c>
      <c r="E76" s="1" t="n">
        <v>46291</v>
      </c>
      <c r="F76" t="inlineStr">
        <is>
          <t>UPPSALA LÄN</t>
        </is>
      </c>
      <c r="G76" t="inlineStr">
        <is>
          <t>UPPSALA</t>
        </is>
      </c>
      <c r="I76" t="n">
        <v>4.9</v>
      </c>
      <c r="J76" t="n">
        <v>1</v>
      </c>
      <c r="K76" t="n">
        <v>4</v>
      </c>
      <c r="L76" t="n">
        <v>2</v>
      </c>
      <c r="M76" t="n">
        <v>0</v>
      </c>
      <c r="N76" t="n">
        <v>0</v>
      </c>
      <c r="O76" t="n">
        <v>0</v>
      </c>
      <c r="P76" t="n">
        <v>0</v>
      </c>
      <c r="Q76" t="n">
        <v>2</v>
      </c>
      <c r="R76" t="n">
        <v>0</v>
      </c>
      <c r="S76" t="n">
        <v>7</v>
      </c>
      <c r="T76" t="n">
        <v>14</v>
      </c>
      <c r="U76" t="n">
        <v>13</v>
      </c>
      <c r="V76" s="2" t="inlineStr">
        <is>
          <t>Ullticka
Vedtrappmossa
Bronshjon
Grönpyrola
Vedticka
Vågbandad barkbock
Järpe</t>
        </is>
      </c>
      <c r="W76">
        <f>HYPERLINK("https://klasma.github.io/Logging_0380/artfynd/A 29277-2026 artfynd.xlsx", "A 29277-2026")</f>
        <v/>
      </c>
      <c r="X76">
        <f>HYPERLINK("https://klasma.github.io/Logging_0380/kartor/A 29277-2026 karta.png", "A 29277-2026")</f>
        <v/>
      </c>
      <c r="Y76">
        <f>HYPERLINK("https://klasma.github.io/Logging_0380/kartor_geotiff/A 29277-2026 georefererad karta.tif", "A 29277-2026")</f>
        <v/>
      </c>
      <c r="AA76">
        <f>HYPERLINK("https://klasma.github.io/Logging_0380/klagomål/A 29277-2026 FSC-klagomål.docx", "A 29277-2026")</f>
        <v/>
      </c>
      <c r="AB76">
        <f>HYPERLINK("https://klasma.github.io/Logging_0380/klagomålsmail/A 29277-2026 FSC-klagomål mail.docx", "A 29277-2026")</f>
        <v/>
      </c>
      <c r="AC76">
        <f>HYPERLINK("https://klasma.github.io/Logging_0380/tillsyn/A 29277-2026 tillsynsbegäran.docx", "A 29277-2026")</f>
        <v/>
      </c>
      <c r="AD76">
        <f>HYPERLINK("https://klasma.github.io/Logging_0380/tillsynsmail/A 29277-2026 tillsynsbegäran mail.docx", "A 29277-2026")</f>
        <v/>
      </c>
      <c r="AE76">
        <f>HYPERLINK("https://klasma.github.io/Logging_0380/fåglar/A 29277-2026 prioriterade fågelarter.docx", "A 29277-2026")</f>
        <v/>
      </c>
    </row>
    <row r="77" ht="15" customHeight="1">
      <c r="A77" t="inlineStr">
        <is>
          <t>A 30330-2026</t>
        </is>
      </c>
      <c r="B77" t="inlineStr">
        <is>
          <t>avverkningsanmälan</t>
        </is>
      </c>
      <c r="C77" t="inlineStr">
        <is>
          <t>Föryngringsavverkning</t>
        </is>
      </c>
      <c r="D77" s="1" t="n">
        <v>46207</v>
      </c>
      <c r="E77" s="1" t="n">
        <v>46291</v>
      </c>
      <c r="F77" t="inlineStr">
        <is>
          <t>UPPSALA LÄN</t>
        </is>
      </c>
      <c r="G77" t="inlineStr">
        <is>
          <t>UPPSALA</t>
        </is>
      </c>
      <c r="I77" t="n">
        <v>6.4</v>
      </c>
      <c r="J77" t="n">
        <v>6</v>
      </c>
      <c r="K77" t="n">
        <v>0</v>
      </c>
      <c r="L77" t="n">
        <v>2</v>
      </c>
      <c r="M77" t="n">
        <v>1</v>
      </c>
      <c r="N77" t="n">
        <v>0</v>
      </c>
      <c r="O77" t="n">
        <v>0</v>
      </c>
      <c r="P77" t="n">
        <v>0</v>
      </c>
      <c r="Q77" t="n">
        <v>3</v>
      </c>
      <c r="R77" t="n">
        <v>1</v>
      </c>
      <c r="S77" t="n">
        <v>7</v>
      </c>
      <c r="T77" t="n">
        <v>10</v>
      </c>
      <c r="U77" t="n">
        <v>0</v>
      </c>
      <c r="V77" s="2" t="inlineStr">
        <is>
          <t>Tallgångbagge
Gulsparv
Järnsparv
Blåsippa
Spillkråka
Grönsiska
Sävsparv</t>
        </is>
      </c>
      <c r="W77">
        <f>HYPERLINK("https://klasma.github.io/Logging_0380/artfynd/A 30330-2026 artfynd.xlsx", "A 30330-2026")</f>
        <v/>
      </c>
      <c r="X77">
        <f>HYPERLINK("https://klasma.github.io/Logging_0380/kartor/A 30330-2026 karta.png", "A 30330-2026")</f>
        <v/>
      </c>
      <c r="Y77">
        <f>HYPERLINK("https://klasma.github.io/Logging_0380/kartor_geotiff/A 30330-2026 georefererad karta.tif", "A 30330-2026")</f>
        <v/>
      </c>
      <c r="AA77">
        <f>HYPERLINK("https://klasma.github.io/Logging_0380/klagomål/A 30330-2026 FSC-klagomål.docx", "A 30330-2026")</f>
        <v/>
      </c>
      <c r="AB77">
        <f>HYPERLINK("https://klasma.github.io/Logging_0380/klagomålsmail/A 30330-2026 FSC-klagomål mail.docx", "A 30330-2026")</f>
        <v/>
      </c>
      <c r="AC77">
        <f>HYPERLINK("https://klasma.github.io/Logging_0380/tillsyn/A 30330-2026 tillsynsbegäran.docx", "A 30330-2026")</f>
        <v/>
      </c>
      <c r="AD77">
        <f>HYPERLINK("https://klasma.github.io/Logging_0380/tillsynsmail/A 30330-2026 tillsynsbegäran mail.docx", "A 30330-2026")</f>
        <v/>
      </c>
      <c r="AE77">
        <f>HYPERLINK("https://klasma.github.io/Logging_0380/fåglar/A 30330-2026 prioriterade fågelarter.docx", "A 30330-2026")</f>
        <v/>
      </c>
    </row>
    <row r="78" ht="15" customHeight="1">
      <c r="A78" t="inlineStr">
        <is>
          <t>A 32102-2026</t>
        </is>
      </c>
      <c r="B78" t="inlineStr">
        <is>
          <t>avverkningsanmälan</t>
        </is>
      </c>
      <c r="C78" t="inlineStr">
        <is>
          <t>Föryngringsavverkning</t>
        </is>
      </c>
      <c r="D78" s="1" t="n">
        <v>46234</v>
      </c>
      <c r="E78" s="1" t="n">
        <v>46291</v>
      </c>
      <c r="F78" t="inlineStr">
        <is>
          <t>UPPSALA LÄN</t>
        </is>
      </c>
      <c r="G78" t="inlineStr">
        <is>
          <t>UPPSALA</t>
        </is>
      </c>
      <c r="I78" t="n">
        <v>4.6</v>
      </c>
      <c r="J78" t="n">
        <v>3</v>
      </c>
      <c r="K78" t="n">
        <v>2</v>
      </c>
      <c r="L78" t="n">
        <v>1</v>
      </c>
      <c r="M78" t="n">
        <v>1</v>
      </c>
      <c r="N78" t="n">
        <v>0</v>
      </c>
      <c r="O78" t="n">
        <v>0</v>
      </c>
      <c r="P78" t="n">
        <v>0</v>
      </c>
      <c r="Q78" t="n">
        <v>2</v>
      </c>
      <c r="R78" t="n">
        <v>1</v>
      </c>
      <c r="S78" t="n">
        <v>7</v>
      </c>
      <c r="T78" t="n">
        <v>21</v>
      </c>
      <c r="U78" t="n">
        <v>21</v>
      </c>
      <c r="V78" s="2" t="inlineStr">
        <is>
          <t>Knärot
Ullticka
Bronshjon
Vågbandad barkbock
Blåsippa
Kransmossa
Spillkråka</t>
        </is>
      </c>
      <c r="W78">
        <f>HYPERLINK("https://klasma.github.io/Logging_0380/artfynd/A 32102-2026 artfynd.xlsx", "A 32102-2026")</f>
        <v/>
      </c>
      <c r="X78">
        <f>HYPERLINK("https://klasma.github.io/Logging_0380/kartor/A 32102-2026 karta.png", "A 32102-2026")</f>
        <v/>
      </c>
      <c r="Y78">
        <f>HYPERLINK("https://klasma.github.io/Logging_0380/kartor_geotiff/A 32102-2026 georefererad karta.tif", "A 32102-2026")</f>
        <v/>
      </c>
      <c r="Z78">
        <f>HYPERLINK("https://klasma.github.io/Logging_0380/knärot/A 32102-2026 karta knärot.png", "A 32102-2026")</f>
        <v/>
      </c>
      <c r="AA78">
        <f>HYPERLINK("https://klasma.github.io/Logging_0380/klagomål/A 32102-2026 FSC-klagomål.docx", "A 32102-2026")</f>
        <v/>
      </c>
      <c r="AB78">
        <f>HYPERLINK("https://klasma.github.io/Logging_0380/klagomålsmail/A 32102-2026 FSC-klagomål mail.docx", "A 32102-2026")</f>
        <v/>
      </c>
      <c r="AC78">
        <f>HYPERLINK("https://klasma.github.io/Logging_0380/tillsyn/A 32102-2026 tillsynsbegäran.docx", "A 32102-2026")</f>
        <v/>
      </c>
      <c r="AD78">
        <f>HYPERLINK("https://klasma.github.io/Logging_0380/tillsynsmail/A 32102-2026 tillsynsbegäran mail.docx", "A 32102-2026")</f>
        <v/>
      </c>
      <c r="AE78">
        <f>HYPERLINK("https://klasma.github.io/Logging_0380/fåglar/A 32102-2026 prioriterade fågelarter.docx", "A 32102-2026")</f>
        <v/>
      </c>
    </row>
    <row r="79" ht="15" customHeight="1">
      <c r="A79" t="inlineStr">
        <is>
          <t>S 316-2025</t>
        </is>
      </c>
      <c r="B79" t="inlineStr">
        <is>
          <t>samrådsanmälan</t>
        </is>
      </c>
      <c r="C79" t="inlineStr">
        <is>
          <t>Annan skogsbruksåtgärd</t>
        </is>
      </c>
      <c r="D79" s="1" t="n">
        <v>45688</v>
      </c>
      <c r="E79" s="1" t="n">
        <v>46291</v>
      </c>
      <c r="F79" t="inlineStr">
        <is>
          <t>UPPSALA LÄN</t>
        </is>
      </c>
      <c r="G79" t="inlineStr">
        <is>
          <t>UPPSALA</t>
        </is>
      </c>
      <c r="I79" t="n">
        <v>2.6</v>
      </c>
      <c r="J79" t="n">
        <v>2</v>
      </c>
      <c r="K79" t="n">
        <v>1</v>
      </c>
      <c r="L79" t="n">
        <v>4</v>
      </c>
      <c r="M79" t="n">
        <v>0</v>
      </c>
      <c r="N79" t="n">
        <v>1</v>
      </c>
      <c r="O79" t="n">
        <v>0</v>
      </c>
      <c r="P79" t="n">
        <v>0</v>
      </c>
      <c r="Q79" t="n">
        <v>5</v>
      </c>
      <c r="R79" t="n">
        <v>1</v>
      </c>
      <c r="S79" t="n">
        <v>7</v>
      </c>
      <c r="T79" t="n">
        <v>20</v>
      </c>
      <c r="U79" t="n">
        <v>1</v>
      </c>
      <c r="V79" s="2" t="inlineStr">
        <is>
          <t>Bombmurkla
Fjällig taggsvamp s.str.
Fyrflikig jordstjärna
Phellodon dititomentosus
Skarp dropptaggsvamp
Svavelriska
Blåsippa</t>
        </is>
      </c>
      <c r="W79">
        <f>HYPERLINK("https://klasma.github.io/Logging_0380/artfynd/S 316-2025 artfynd.xlsx", "S 316-2025")</f>
        <v/>
      </c>
      <c r="X79">
        <f>HYPERLINK("https://klasma.github.io/Logging_0380/kartor/S 316-2025 karta.png", "S 316-2025")</f>
        <v/>
      </c>
      <c r="Y79">
        <f>HYPERLINK("https://klasma.github.io/Logging_0380/kartor_geotiff/S 316-2025 georefererad karta.tif", "S 316-2025")</f>
        <v/>
      </c>
      <c r="AA79">
        <f>HYPERLINK("https://klasma.github.io/Logging_0380/klagomål/S 316-2025 FSC-klagomål.docx", "S 316-2025")</f>
        <v/>
      </c>
      <c r="AB79">
        <f>HYPERLINK("https://klasma.github.io/Logging_0380/klagomålsmail/S 316-2025 FSC-klagomål mail.docx", "S 316-2025")</f>
        <v/>
      </c>
      <c r="AC79">
        <f>HYPERLINK("https://klasma.github.io/Logging_0380/tillsyn/S 316-2025 tillsynsbegäran.docx", "S 316-2025")</f>
        <v/>
      </c>
      <c r="AD79">
        <f>HYPERLINK("https://klasma.github.io/Logging_0380/tillsynsmail/S 316-2025 tillsynsbegäran mail.docx", "S 316-2025")</f>
        <v/>
      </c>
    </row>
    <row r="80" ht="15" customHeight="1">
      <c r="A80" t="inlineStr">
        <is>
          <t>A 34147-2022</t>
        </is>
      </c>
      <c r="B80" t="inlineStr">
        <is>
          <t>avverkningsanmälan</t>
        </is>
      </c>
      <c r="C80" t="inlineStr">
        <is>
          <t>Föryngringsavverkning</t>
        </is>
      </c>
      <c r="D80" s="1" t="n">
        <v>44791</v>
      </c>
      <c r="E80" s="1" t="n">
        <v>46291</v>
      </c>
      <c r="F80" t="inlineStr">
        <is>
          <t>UPPSALA LÄN</t>
        </is>
      </c>
      <c r="G80" t="inlineStr">
        <is>
          <t>UPPSALA</t>
        </is>
      </c>
      <c r="I80" t="n">
        <v>1.9</v>
      </c>
      <c r="J80" t="n">
        <v>3</v>
      </c>
      <c r="K80" t="n">
        <v>2</v>
      </c>
      <c r="L80" t="n">
        <v>1</v>
      </c>
      <c r="M80" t="n">
        <v>0</v>
      </c>
      <c r="N80" t="n">
        <v>0</v>
      </c>
      <c r="O80" t="n">
        <v>0</v>
      </c>
      <c r="P80" t="n">
        <v>0</v>
      </c>
      <c r="Q80" t="n">
        <v>1</v>
      </c>
      <c r="R80" t="n">
        <v>0</v>
      </c>
      <c r="S80" t="n">
        <v>6</v>
      </c>
      <c r="T80" t="n">
        <v>6</v>
      </c>
      <c r="U80" t="n">
        <v>4</v>
      </c>
      <c r="V80" s="2" t="inlineStr">
        <is>
          <t>Matt starrbock
Kamjordstjärna
Stor aspticka
Blåsippa
Vanlig groda
Vanlig padda</t>
        </is>
      </c>
      <c r="W80">
        <f>HYPERLINK("https://klasma.github.io/Logging_0380/artfynd/A 34147-2022 artfynd.xlsx", "A 34147-2022")</f>
        <v/>
      </c>
      <c r="X80">
        <f>HYPERLINK("https://klasma.github.io/Logging_0380/kartor/A 34147-2022 karta.png", "A 34147-2022")</f>
        <v/>
      </c>
      <c r="Y80">
        <f>HYPERLINK("https://klasma.github.io/Logging_0380/kartor_geotiff/A 34147-2022 georefererad karta.tif", "A 34147-2022")</f>
        <v/>
      </c>
      <c r="AA80">
        <f>HYPERLINK("https://klasma.github.io/Logging_0380/klagomål/A 34147-2022 FSC-klagomål.docx", "A 34147-2022")</f>
        <v/>
      </c>
      <c r="AB80">
        <f>HYPERLINK("https://klasma.github.io/Logging_0380/klagomålsmail/A 34147-2022 FSC-klagomål mail.docx", "A 34147-2022")</f>
        <v/>
      </c>
      <c r="AC80">
        <f>HYPERLINK("https://klasma.github.io/Logging_0380/tillsyn/A 34147-2022 tillsynsbegäran.docx", "A 34147-2022")</f>
        <v/>
      </c>
      <c r="AD80">
        <f>HYPERLINK("https://klasma.github.io/Logging_0380/tillsynsmail/A 34147-2022 tillsynsbegäran mail.docx", "A 34147-2022")</f>
        <v/>
      </c>
    </row>
    <row r="81" ht="15" customHeight="1">
      <c r="A81" t="inlineStr">
        <is>
          <t>A 8865-2022</t>
        </is>
      </c>
      <c r="B81" t="inlineStr">
        <is>
          <t>avverkningsanmälan</t>
        </is>
      </c>
      <c r="C81" t="inlineStr">
        <is>
          <t>Föryngringsavverkning</t>
        </is>
      </c>
      <c r="D81" s="1" t="n">
        <v>44614</v>
      </c>
      <c r="E81" s="1" t="n">
        <v>46291</v>
      </c>
      <c r="F81" t="inlineStr">
        <is>
          <t>UPPSALA LÄN</t>
        </is>
      </c>
      <c r="G81" t="inlineStr">
        <is>
          <t>UPPSALA</t>
        </is>
      </c>
      <c r="I81" t="n">
        <v>1.1</v>
      </c>
      <c r="J81" t="n">
        <v>0</v>
      </c>
      <c r="K81" t="n">
        <v>4</v>
      </c>
      <c r="L81" t="n">
        <v>1</v>
      </c>
      <c r="M81" t="n">
        <v>1</v>
      </c>
      <c r="N81" t="n">
        <v>0</v>
      </c>
      <c r="O81" t="n">
        <v>0</v>
      </c>
      <c r="P81" t="n">
        <v>0</v>
      </c>
      <c r="Q81" t="n">
        <v>2</v>
      </c>
      <c r="R81" t="n">
        <v>1</v>
      </c>
      <c r="S81" t="n">
        <v>6</v>
      </c>
      <c r="T81" t="n">
        <v>6</v>
      </c>
      <c r="U81" t="n">
        <v>0</v>
      </c>
      <c r="V81" s="2" t="inlineStr">
        <is>
          <t>Linddyna
Gulprickig vaxskivling
Maskfingersvamp
Narrtagging
Plattad jordtunga
Sprödvaxing</t>
        </is>
      </c>
      <c r="W81">
        <f>HYPERLINK("https://klasma.github.io/Logging_0380/artfynd/A 8865-2022 artfynd.xlsx", "A 8865-2022")</f>
        <v/>
      </c>
      <c r="X81">
        <f>HYPERLINK("https://klasma.github.io/Logging_0380/kartor/A 8865-2022 karta.png", "A 8865-2022")</f>
        <v/>
      </c>
      <c r="Y81">
        <f>HYPERLINK("https://klasma.github.io/Logging_0380/kartor_geotiff/A 8865-2022 georefererad karta.tif", "A 8865-2022")</f>
        <v/>
      </c>
      <c r="AA81">
        <f>HYPERLINK("https://klasma.github.io/Logging_0380/klagomål/A 8865-2022 FSC-klagomål.docx", "A 8865-2022")</f>
        <v/>
      </c>
      <c r="AB81">
        <f>HYPERLINK("https://klasma.github.io/Logging_0380/klagomålsmail/A 8865-2022 FSC-klagomål mail.docx", "A 8865-2022")</f>
        <v/>
      </c>
      <c r="AC81">
        <f>HYPERLINK("https://klasma.github.io/Logging_0380/tillsyn/A 8865-2022 tillsynsbegäran.docx", "A 8865-2022")</f>
        <v/>
      </c>
      <c r="AD81">
        <f>HYPERLINK("https://klasma.github.io/Logging_0380/tillsynsmail/A 8865-2022 tillsynsbegäran mail.docx", "A 8865-2022")</f>
        <v/>
      </c>
    </row>
    <row r="82" ht="15" customHeight="1">
      <c r="A82" t="inlineStr">
        <is>
          <t>A 8323-2023</t>
        </is>
      </c>
      <c r="B82" t="inlineStr">
        <is>
          <t>avverkningsanmälan</t>
        </is>
      </c>
      <c r="C82" t="inlineStr">
        <is>
          <t>Föryngringsavverkning</t>
        </is>
      </c>
      <c r="D82" s="1" t="n">
        <v>44974</v>
      </c>
      <c r="E82" s="1" t="n">
        <v>46291</v>
      </c>
      <c r="F82" t="inlineStr">
        <is>
          <t>UPPSALA LÄN</t>
        </is>
      </c>
      <c r="G82" t="inlineStr">
        <is>
          <t>UPPSALA</t>
        </is>
      </c>
      <c r="I82" t="n">
        <v>9.4</v>
      </c>
      <c r="J82" t="n">
        <v>3</v>
      </c>
      <c r="K82" t="n">
        <v>2</v>
      </c>
      <c r="L82" t="n">
        <v>1</v>
      </c>
      <c r="M82" t="n">
        <v>0</v>
      </c>
      <c r="N82" t="n">
        <v>0</v>
      </c>
      <c r="O82" t="n">
        <v>0</v>
      </c>
      <c r="P82" t="n">
        <v>0</v>
      </c>
      <c r="Q82" t="n">
        <v>1</v>
      </c>
      <c r="R82" t="n">
        <v>0</v>
      </c>
      <c r="S82" t="n">
        <v>6</v>
      </c>
      <c r="T82" t="n">
        <v>6</v>
      </c>
      <c r="U82" t="n">
        <v>5</v>
      </c>
      <c r="V82" s="2" t="inlineStr">
        <is>
          <t>Tallkötticka
Blodticka
Grönpyrola
Tjäder
Vanlig groda
Revlummer</t>
        </is>
      </c>
      <c r="W82">
        <f>HYPERLINK("https://klasma.github.io/Logging_0380/artfynd/A 8323-2023 artfynd.xlsx", "A 8323-2023")</f>
        <v/>
      </c>
      <c r="X82">
        <f>HYPERLINK("https://klasma.github.io/Logging_0380/kartor/A 8323-2023 karta.png", "A 8323-2023")</f>
        <v/>
      </c>
      <c r="Y82">
        <f>HYPERLINK("https://klasma.github.io/Logging_0380/kartor_geotiff/A 8323-2023 georefererad karta.tif", "A 8323-2023")</f>
        <v/>
      </c>
      <c r="AA82">
        <f>HYPERLINK("https://klasma.github.io/Logging_0380/klagomål/A 8323-2023 FSC-klagomål.docx", "A 8323-2023")</f>
        <v/>
      </c>
      <c r="AB82">
        <f>HYPERLINK("https://klasma.github.io/Logging_0380/klagomålsmail/A 8323-2023 FSC-klagomål mail.docx", "A 8323-2023")</f>
        <v/>
      </c>
      <c r="AC82">
        <f>HYPERLINK("https://klasma.github.io/Logging_0380/tillsyn/A 8323-2023 tillsynsbegäran.docx", "A 8323-2023")</f>
        <v/>
      </c>
      <c r="AD82">
        <f>HYPERLINK("https://klasma.github.io/Logging_0380/tillsynsmail/A 8323-2023 tillsynsbegäran mail.docx", "A 8323-2023")</f>
        <v/>
      </c>
      <c r="AE82">
        <f>HYPERLINK("https://klasma.github.io/Logging_0380/fåglar/A 8323-2023 prioriterade fågelarter.docx", "A 8323-2023")</f>
        <v/>
      </c>
    </row>
    <row r="83" ht="15" customHeight="1">
      <c r="A83" t="inlineStr">
        <is>
          <t>A 6602-2023</t>
        </is>
      </c>
      <c r="B83" t="inlineStr">
        <is>
          <t>avverkningsanmälan</t>
        </is>
      </c>
      <c r="C83" t="inlineStr">
        <is>
          <t>Föryngringsavverkning</t>
        </is>
      </c>
      <c r="D83" s="1" t="n">
        <v>44966</v>
      </c>
      <c r="E83" s="1" t="n">
        <v>46291</v>
      </c>
      <c r="F83" t="inlineStr">
        <is>
          <t>UPPSALA LÄN</t>
        </is>
      </c>
      <c r="G83" t="inlineStr">
        <is>
          <t>UPPSALA</t>
        </is>
      </c>
      <c r="H83" t="inlineStr">
        <is>
          <t>Allmännings- och besparingsskogar</t>
        </is>
      </c>
      <c r="I83" t="n">
        <v>20.2</v>
      </c>
      <c r="J83" t="n">
        <v>1</v>
      </c>
      <c r="K83" t="n">
        <v>3</v>
      </c>
      <c r="L83" t="n">
        <v>2</v>
      </c>
      <c r="M83" t="n">
        <v>0</v>
      </c>
      <c r="N83" t="n">
        <v>0</v>
      </c>
      <c r="O83" t="n">
        <v>0</v>
      </c>
      <c r="P83" t="n">
        <v>0</v>
      </c>
      <c r="Q83" t="n">
        <v>2</v>
      </c>
      <c r="R83" t="n">
        <v>0</v>
      </c>
      <c r="S83" t="n">
        <v>6</v>
      </c>
      <c r="T83" t="n">
        <v>11</v>
      </c>
      <c r="U83" t="n">
        <v>0</v>
      </c>
      <c r="V83" s="2" t="inlineStr">
        <is>
          <t>Gullpudra
Vårärt
Stubbspretmossa
Svart trolldruva
Trubbfjädermossa
Blåsippa</t>
        </is>
      </c>
      <c r="W83">
        <f>HYPERLINK("https://klasma.github.io/Logging_0380/artfynd/A 6602-2023 artfynd.xlsx", "A 6602-2023")</f>
        <v/>
      </c>
      <c r="X83">
        <f>HYPERLINK("https://klasma.github.io/Logging_0380/kartor/A 6602-2023 karta.png", "A 6602-2023")</f>
        <v/>
      </c>
      <c r="Y83">
        <f>HYPERLINK("https://klasma.github.io/Logging_0380/kartor_geotiff/A 6602-2023 georefererad karta.tif", "A 6602-2023")</f>
        <v/>
      </c>
      <c r="AA83">
        <f>HYPERLINK("https://klasma.github.io/Logging_0380/klagomål/A 6602-2023 FSC-klagomål.docx", "A 6602-2023")</f>
        <v/>
      </c>
      <c r="AB83">
        <f>HYPERLINK("https://klasma.github.io/Logging_0380/klagomålsmail/A 6602-2023 FSC-klagomål mail.docx", "A 6602-2023")</f>
        <v/>
      </c>
      <c r="AC83">
        <f>HYPERLINK("https://klasma.github.io/Logging_0380/tillsyn/A 6602-2023 tillsynsbegäran.docx", "A 6602-2023")</f>
        <v/>
      </c>
      <c r="AD83">
        <f>HYPERLINK("https://klasma.github.io/Logging_0380/tillsynsmail/A 6602-2023 tillsynsbegäran mail.docx", "A 6602-2023")</f>
        <v/>
      </c>
    </row>
    <row r="84" ht="15" customHeight="1">
      <c r="A84" t="inlineStr">
        <is>
          <t>A 22534-2026</t>
        </is>
      </c>
      <c r="B84" t="inlineStr">
        <is>
          <t>avverkningsanmälan</t>
        </is>
      </c>
      <c r="C84" t="inlineStr">
        <is>
          <t>Föryngringsavverkning</t>
        </is>
      </c>
      <c r="D84" s="1" t="n">
        <v>46155</v>
      </c>
      <c r="E84" s="1" t="n">
        <v>46291</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27625-2023</t>
        </is>
      </c>
      <c r="B85" t="inlineStr">
        <is>
          <t>avverkningsanmälan</t>
        </is>
      </c>
      <c r="C85" t="inlineStr">
        <is>
          <t>Föryngringsavverkning</t>
        </is>
      </c>
      <c r="D85" s="1" t="n">
        <v>45097</v>
      </c>
      <c r="E85" s="1" t="n">
        <v>46291</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23324-2022</t>
        </is>
      </c>
      <c r="B86" t="inlineStr">
        <is>
          <t>avverkningsanmälan</t>
        </is>
      </c>
      <c r="C86" t="inlineStr">
        <is>
          <t>Föryngringsavverkning</t>
        </is>
      </c>
      <c r="D86" s="1" t="n">
        <v>44720</v>
      </c>
      <c r="E86" s="1" t="n">
        <v>46291</v>
      </c>
      <c r="F86" t="inlineStr">
        <is>
          <t>UPPSALA LÄN</t>
        </is>
      </c>
      <c r="G86" t="inlineStr">
        <is>
          <t>UPPSALA</t>
        </is>
      </c>
      <c r="I86" t="n">
        <v>1.5</v>
      </c>
      <c r="J86" t="n">
        <v>1</v>
      </c>
      <c r="K86" t="n">
        <v>3</v>
      </c>
      <c r="L86" t="n">
        <v>1</v>
      </c>
      <c r="M86" t="n">
        <v>0</v>
      </c>
      <c r="N86" t="n">
        <v>0</v>
      </c>
      <c r="O86" t="n">
        <v>0</v>
      </c>
      <c r="P86" t="n">
        <v>0</v>
      </c>
      <c r="Q86" t="n">
        <v>1</v>
      </c>
      <c r="R86" t="n">
        <v>0</v>
      </c>
      <c r="S86" t="n">
        <v>5</v>
      </c>
      <c r="T86" t="n">
        <v>7</v>
      </c>
      <c r="U86" t="n">
        <v>7</v>
      </c>
      <c r="V86" s="2" t="inlineStr">
        <is>
          <t>Vårärt
Fällmossa
Hasselticka
Svart trolldruva
Blåsippa</t>
        </is>
      </c>
      <c r="W86">
        <f>HYPERLINK("https://klasma.github.io/Logging_0380/artfynd/A 23324-2022 artfynd.xlsx", "A 23324-2022")</f>
        <v/>
      </c>
      <c r="X86">
        <f>HYPERLINK("https://klasma.github.io/Logging_0380/kartor/A 23324-2022 karta.png", "A 23324-2022")</f>
        <v/>
      </c>
      <c r="Y86">
        <f>HYPERLINK("https://klasma.github.io/Logging_0380/kartor_geotiff/A 23324-2022 georefererad karta.tif", "A 23324-2022")</f>
        <v/>
      </c>
      <c r="AA86">
        <f>HYPERLINK("https://klasma.github.io/Logging_0380/klagomål/A 23324-2022 FSC-klagomål.docx", "A 23324-2022")</f>
        <v/>
      </c>
      <c r="AB86">
        <f>HYPERLINK("https://klasma.github.io/Logging_0380/klagomålsmail/A 23324-2022 FSC-klagomål mail.docx", "A 23324-2022")</f>
        <v/>
      </c>
      <c r="AC86">
        <f>HYPERLINK("https://klasma.github.io/Logging_0380/tillsyn/A 23324-2022 tillsynsbegäran.docx", "A 23324-2022")</f>
        <v/>
      </c>
      <c r="AD86">
        <f>HYPERLINK("https://klasma.github.io/Logging_0380/tillsynsmail/A 23324-2022 tillsynsbegäran mail.docx", "A 23324-2022")</f>
        <v/>
      </c>
    </row>
    <row r="87" ht="15" customHeight="1">
      <c r="A87" t="inlineStr">
        <is>
          <t>A 29803-2023</t>
        </is>
      </c>
      <c r="B87" t="inlineStr">
        <is>
          <t>avverkningsanmälan</t>
        </is>
      </c>
      <c r="C87" t="inlineStr">
        <is>
          <t>Avverkning för att bevara och utveckla /försöksver</t>
        </is>
      </c>
      <c r="D87" s="1" t="n">
        <v>45107</v>
      </c>
      <c r="E87" s="1" t="n">
        <v>46291</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46291</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46291</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28876-2025</t>
        </is>
      </c>
      <c r="B90" t="inlineStr">
        <is>
          <t>avverkningsanmälan</t>
        </is>
      </c>
      <c r="C90" t="inlineStr">
        <is>
          <t>Föryngringsavverkning</t>
        </is>
      </c>
      <c r="D90" s="1" t="n">
        <v>45820</v>
      </c>
      <c r="E90" s="1" t="n">
        <v>46291</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10612-2025</t>
        </is>
      </c>
      <c r="B91" t="inlineStr">
        <is>
          <t>avverkningsanmälan</t>
        </is>
      </c>
      <c r="C91" t="inlineStr">
        <is>
          <t>Föryngringsavverkning</t>
        </is>
      </c>
      <c r="D91" s="1" t="n">
        <v>45721</v>
      </c>
      <c r="E91" s="1" t="n">
        <v>46291</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46291</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46291</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A 53851-2025</t>
        </is>
      </c>
      <c r="B94" t="inlineStr">
        <is>
          <t>avverkningsanmälan</t>
        </is>
      </c>
      <c r="C94" t="inlineStr">
        <is>
          <t>Föryngringsavverkning</t>
        </is>
      </c>
      <c r="D94" s="1" t="n">
        <v>45961</v>
      </c>
      <c r="E94" s="1" t="n">
        <v>46291</v>
      </c>
      <c r="F94" t="inlineStr">
        <is>
          <t>UPPSALA LÄN</t>
        </is>
      </c>
      <c r="G94" t="inlineStr">
        <is>
          <t>UPPSALA</t>
        </is>
      </c>
      <c r="I94" t="n">
        <v>2.6</v>
      </c>
      <c r="J94" t="n">
        <v>3</v>
      </c>
      <c r="K94" t="n">
        <v>1</v>
      </c>
      <c r="L94" t="n">
        <v>1</v>
      </c>
      <c r="M94" t="n">
        <v>1</v>
      </c>
      <c r="N94" t="n">
        <v>0</v>
      </c>
      <c r="O94" t="n">
        <v>0</v>
      </c>
      <c r="P94" t="n">
        <v>0</v>
      </c>
      <c r="Q94" t="n">
        <v>2</v>
      </c>
      <c r="R94" t="n">
        <v>1</v>
      </c>
      <c r="S94" t="n">
        <v>5</v>
      </c>
      <c r="T94" t="n">
        <v>26</v>
      </c>
      <c r="U94" t="n">
        <v>26</v>
      </c>
      <c r="V94" s="2" t="inlineStr">
        <is>
          <t>Knärot
Vedtrappmossa
Jättesvampmal
Spillkråka
Revlummer</t>
        </is>
      </c>
      <c r="W94">
        <f>HYPERLINK("https://klasma.github.io/Logging_0380/artfynd/A 53851-2025 artfynd.xlsx", "A 53851-2025")</f>
        <v/>
      </c>
      <c r="X94">
        <f>HYPERLINK("https://klasma.github.io/Logging_0380/kartor/A 53851-2025 karta.png", "A 53851-2025")</f>
        <v/>
      </c>
      <c r="Y94">
        <f>HYPERLINK("https://klasma.github.io/Logging_0380/kartor_geotiff/A 53851-2025 georefererad karta.tif", "A 53851-2025")</f>
        <v/>
      </c>
      <c r="Z94">
        <f>HYPERLINK("https://klasma.github.io/Logging_0380/knärot/A 53851-2025 karta knärot.png", "A 53851-2025")</f>
        <v/>
      </c>
      <c r="AA94">
        <f>HYPERLINK("https://klasma.github.io/Logging_0380/klagomål/A 53851-2025 FSC-klagomål.docx", "A 53851-2025")</f>
        <v/>
      </c>
      <c r="AB94">
        <f>HYPERLINK("https://klasma.github.io/Logging_0380/klagomålsmail/A 53851-2025 FSC-klagomål mail.docx", "A 53851-2025")</f>
        <v/>
      </c>
      <c r="AC94">
        <f>HYPERLINK("https://klasma.github.io/Logging_0380/tillsyn/A 53851-2025 tillsynsbegäran.docx", "A 53851-2025")</f>
        <v/>
      </c>
      <c r="AD94">
        <f>HYPERLINK("https://klasma.github.io/Logging_0380/tillsynsmail/A 53851-2025 tillsynsbegäran mail.docx", "A 53851-2025")</f>
        <v/>
      </c>
      <c r="AE94">
        <f>HYPERLINK("https://klasma.github.io/Logging_0380/fåglar/A 53851-2025 prioriterade fågelarter.docx", "A 53851-2025")</f>
        <v/>
      </c>
    </row>
    <row r="95" ht="15" customHeight="1">
      <c r="A95" t="inlineStr">
        <is>
          <t>S 3398-2025</t>
        </is>
      </c>
      <c r="B95" t="inlineStr">
        <is>
          <t>samrådsanmälan</t>
        </is>
      </c>
      <c r="C95" t="inlineStr">
        <is>
          <t>Skogsgödsling</t>
        </is>
      </c>
      <c r="D95" s="1" t="n">
        <v>45994</v>
      </c>
      <c r="E95" s="1" t="n">
        <v>46291</v>
      </c>
      <c r="F95" t="inlineStr">
        <is>
          <t>UPPSALA LÄN</t>
        </is>
      </c>
      <c r="G95" t="inlineStr">
        <is>
          <t>UPPSALA</t>
        </is>
      </c>
      <c r="H95" t="inlineStr">
        <is>
          <t>Holmen skog AB</t>
        </is>
      </c>
      <c r="I95" t="n">
        <v>127.9</v>
      </c>
      <c r="J95" t="n">
        <v>1</v>
      </c>
      <c r="K95" t="n">
        <v>1</v>
      </c>
      <c r="L95" t="n">
        <v>3</v>
      </c>
      <c r="M95" t="n">
        <v>0</v>
      </c>
      <c r="N95" t="n">
        <v>0</v>
      </c>
      <c r="O95" t="n">
        <v>0</v>
      </c>
      <c r="P95" t="n">
        <v>0</v>
      </c>
      <c r="Q95" t="n">
        <v>3</v>
      </c>
      <c r="R95" t="n">
        <v>0</v>
      </c>
      <c r="S95" t="n">
        <v>5</v>
      </c>
      <c r="T95" t="n">
        <v>5</v>
      </c>
      <c r="U95" t="n">
        <v>1</v>
      </c>
      <c r="V95" s="2" t="inlineStr">
        <is>
          <t>Gullklöver
Gullpudra
Sumpviol
Rävticka
Havsörn</t>
        </is>
      </c>
      <c r="W95">
        <f>HYPERLINK("https://klasma.github.io/Logging_0380/artfynd/S 3398-2025 artfynd.xlsx", "S 3398-2025")</f>
        <v/>
      </c>
      <c r="X95">
        <f>HYPERLINK("https://klasma.github.io/Logging_0380/kartor/S 3398-2025 karta.png", "S 3398-2025")</f>
        <v/>
      </c>
      <c r="Y95">
        <f>HYPERLINK("https://klasma.github.io/Logging_0380/kartor_geotiff/S 3398-2025 georefererad karta.tif", "S 3398-2025")</f>
        <v/>
      </c>
      <c r="AA95">
        <f>HYPERLINK("https://klasma.github.io/Logging_0380/klagomål/S 3398-2025 FSC-klagomål.docx", "S 3398-2025")</f>
        <v/>
      </c>
      <c r="AB95">
        <f>HYPERLINK("https://klasma.github.io/Logging_0380/klagomålsmail/S 3398-2025 FSC-klagomål mail.docx", "S 3398-2025")</f>
        <v/>
      </c>
      <c r="AC95">
        <f>HYPERLINK("https://klasma.github.io/Logging_0380/tillsyn/S 3398-2025 tillsynsbegäran.docx", "S 3398-2025")</f>
        <v/>
      </c>
      <c r="AD95">
        <f>HYPERLINK("https://klasma.github.io/Logging_0380/tillsynsmail/S 3398-2025 tillsynsbegäran mail.docx", "S 3398-2025")</f>
        <v/>
      </c>
      <c r="AE95">
        <f>HYPERLINK("https://klasma.github.io/Logging_0380/fåglar/S 3398-2025 prioriterade fågelarter.docx", "S 3398-2025")</f>
        <v/>
      </c>
    </row>
    <row r="96" ht="15" customHeight="1">
      <c r="A96" t="inlineStr">
        <is>
          <t>A 8475-2022</t>
        </is>
      </c>
      <c r="B96" t="inlineStr">
        <is>
          <t>avverkningsanmälan</t>
        </is>
      </c>
      <c r="C96" t="inlineStr">
        <is>
          <t>Föryngringsavverkning</t>
        </is>
      </c>
      <c r="D96" s="1" t="n">
        <v>44610</v>
      </c>
      <c r="E96" s="1" t="n">
        <v>46291</v>
      </c>
      <c r="F96" t="inlineStr">
        <is>
          <t>UPPSALA LÄN</t>
        </is>
      </c>
      <c r="G96" t="inlineStr">
        <is>
          <t>UPPSALA</t>
        </is>
      </c>
      <c r="H96" t="inlineStr">
        <is>
          <t>Allmännings- och besparingsskogar</t>
        </is>
      </c>
      <c r="I96" t="n">
        <v>32.7</v>
      </c>
      <c r="J96" t="n">
        <v>2</v>
      </c>
      <c r="K96" t="n">
        <v>1</v>
      </c>
      <c r="L96" t="n">
        <v>2</v>
      </c>
      <c r="M96" t="n">
        <v>0</v>
      </c>
      <c r="N96" t="n">
        <v>0</v>
      </c>
      <c r="O96" t="n">
        <v>0</v>
      </c>
      <c r="P96" t="n">
        <v>0</v>
      </c>
      <c r="Q96" t="n">
        <v>2</v>
      </c>
      <c r="R96" t="n">
        <v>0</v>
      </c>
      <c r="S96" t="n">
        <v>4</v>
      </c>
      <c r="T96" t="n">
        <v>7</v>
      </c>
      <c r="U96" t="n">
        <v>7</v>
      </c>
      <c r="V96" s="2" t="inlineStr">
        <is>
          <t>Talltita
Vedtrappmossa
Björksplintborre
Tjäder</t>
        </is>
      </c>
      <c r="W96">
        <f>HYPERLINK("https://klasma.github.io/Logging_0380/artfynd/A 8475-2022 artfynd.xlsx", "A 8475-2022")</f>
        <v/>
      </c>
      <c r="X96">
        <f>HYPERLINK("https://klasma.github.io/Logging_0380/kartor/A 8475-2022 karta.png", "A 8475-2022")</f>
        <v/>
      </c>
      <c r="Y96">
        <f>HYPERLINK("https://klasma.github.io/Logging_0380/kartor_geotiff/A 8475-2022 georefererad karta.tif", "A 8475-2022")</f>
        <v/>
      </c>
      <c r="AA96">
        <f>HYPERLINK("https://klasma.github.io/Logging_0380/klagomål/A 8475-2022 FSC-klagomål.docx", "A 8475-2022")</f>
        <v/>
      </c>
      <c r="AB96">
        <f>HYPERLINK("https://klasma.github.io/Logging_0380/klagomålsmail/A 8475-2022 FSC-klagomål mail.docx", "A 8475-2022")</f>
        <v/>
      </c>
      <c r="AC96">
        <f>HYPERLINK("https://klasma.github.io/Logging_0380/tillsyn/A 8475-2022 tillsynsbegäran.docx", "A 8475-2022")</f>
        <v/>
      </c>
      <c r="AD96">
        <f>HYPERLINK("https://klasma.github.io/Logging_0380/tillsynsmail/A 8475-2022 tillsynsbegäran mail.docx", "A 8475-2022")</f>
        <v/>
      </c>
      <c r="AE96">
        <f>HYPERLINK("https://klasma.github.io/Logging_0380/fåglar/A 8475-2022 prioriterade fågelarter.docx", "A 8475-2022")</f>
        <v/>
      </c>
    </row>
    <row r="97" ht="15" customHeight="1">
      <c r="A97" t="inlineStr">
        <is>
          <t>A 23153-2022</t>
        </is>
      </c>
      <c r="B97" t="inlineStr">
        <is>
          <t>avverkningsanmälan</t>
        </is>
      </c>
      <c r="C97" t="inlineStr">
        <is>
          <t>Föryngringsavverkning</t>
        </is>
      </c>
      <c r="D97" s="1" t="n">
        <v>44719</v>
      </c>
      <c r="E97" s="1" t="n">
        <v>46291</v>
      </c>
      <c r="F97" t="inlineStr">
        <is>
          <t>UPPSALA LÄN</t>
        </is>
      </c>
      <c r="G97" t="inlineStr">
        <is>
          <t>UPPSALA</t>
        </is>
      </c>
      <c r="I97" t="n">
        <v>5.4</v>
      </c>
      <c r="J97" t="n">
        <v>0</v>
      </c>
      <c r="K97" t="n">
        <v>3</v>
      </c>
      <c r="L97" t="n">
        <v>1</v>
      </c>
      <c r="M97" t="n">
        <v>0</v>
      </c>
      <c r="N97" t="n">
        <v>0</v>
      </c>
      <c r="O97" t="n">
        <v>0</v>
      </c>
      <c r="P97" t="n">
        <v>0</v>
      </c>
      <c r="Q97" t="n">
        <v>1</v>
      </c>
      <c r="R97" t="n">
        <v>0</v>
      </c>
      <c r="S97" t="n">
        <v>4</v>
      </c>
      <c r="T97" t="n">
        <v>7</v>
      </c>
      <c r="U97" t="n">
        <v>0</v>
      </c>
      <c r="V97" s="2" t="inlineStr">
        <is>
          <t>Större flatbagge
Bronshjon
Thomsons trägnagare
Trådticka</t>
        </is>
      </c>
      <c r="W97">
        <f>HYPERLINK("https://klasma.github.io/Logging_0380/artfynd/A 23153-2022 artfynd.xlsx", "A 23153-2022")</f>
        <v/>
      </c>
      <c r="X97">
        <f>HYPERLINK("https://klasma.github.io/Logging_0380/kartor/A 23153-2022 karta.png", "A 23153-2022")</f>
        <v/>
      </c>
      <c r="Y97">
        <f>HYPERLINK("https://klasma.github.io/Logging_0380/kartor_geotiff/A 23153-2022 georefererad karta.tif", "A 23153-2022")</f>
        <v/>
      </c>
      <c r="AA97">
        <f>HYPERLINK("https://klasma.github.io/Logging_0380/klagomål/A 23153-2022 FSC-klagomål.docx", "A 23153-2022")</f>
        <v/>
      </c>
      <c r="AB97">
        <f>HYPERLINK("https://klasma.github.io/Logging_0380/klagomålsmail/A 23153-2022 FSC-klagomål mail.docx", "A 23153-2022")</f>
        <v/>
      </c>
      <c r="AC97">
        <f>HYPERLINK("https://klasma.github.io/Logging_0380/tillsyn/A 23153-2022 tillsynsbegäran.docx", "A 23153-2022")</f>
        <v/>
      </c>
      <c r="AD97">
        <f>HYPERLINK("https://klasma.github.io/Logging_0380/tillsynsmail/A 23153-2022 tillsynsbegäran mail.docx", "A 23153-2022")</f>
        <v/>
      </c>
    </row>
    <row r="98" ht="15" customHeight="1">
      <c r="A98" t="inlineStr">
        <is>
          <t>A 15956-2022</t>
        </is>
      </c>
      <c r="B98" t="inlineStr">
        <is>
          <t>avverkningsanmälan</t>
        </is>
      </c>
      <c r="C98" t="inlineStr">
        <is>
          <t>Föryngringsavverkning</t>
        </is>
      </c>
      <c r="D98" s="1" t="n">
        <v>44664</v>
      </c>
      <c r="E98" s="1" t="n">
        <v>46291</v>
      </c>
      <c r="F98" t="inlineStr">
        <is>
          <t>UPPSALA LÄN</t>
        </is>
      </c>
      <c r="G98" t="inlineStr">
        <is>
          <t>UPPSALA</t>
        </is>
      </c>
      <c r="I98" t="n">
        <v>0.8</v>
      </c>
      <c r="J98" t="n">
        <v>0</v>
      </c>
      <c r="K98" t="n">
        <v>1</v>
      </c>
      <c r="L98" t="n">
        <v>2</v>
      </c>
      <c r="M98" t="n">
        <v>0</v>
      </c>
      <c r="N98" t="n">
        <v>1</v>
      </c>
      <c r="O98" t="n">
        <v>0</v>
      </c>
      <c r="P98" t="n">
        <v>0</v>
      </c>
      <c r="Q98" t="n">
        <v>3</v>
      </c>
      <c r="R98" t="n">
        <v>1</v>
      </c>
      <c r="S98" t="n">
        <v>4</v>
      </c>
      <c r="T98" t="n">
        <v>6</v>
      </c>
      <c r="U98" t="n">
        <v>0</v>
      </c>
      <c r="V98" s="2" t="inlineStr">
        <is>
          <t>Koppartaggsvamp
Gultoppig fingersvamp
Orange taggsvamp
Mandelriska</t>
        </is>
      </c>
      <c r="W98">
        <f>HYPERLINK("https://klasma.github.io/Logging_0380/artfynd/A 15956-2022 artfynd.xlsx", "A 15956-2022")</f>
        <v/>
      </c>
      <c r="X98">
        <f>HYPERLINK("https://klasma.github.io/Logging_0380/kartor/A 15956-2022 karta.png", "A 15956-2022")</f>
        <v/>
      </c>
      <c r="Y98">
        <f>HYPERLINK("https://klasma.github.io/Logging_0380/kartor_geotiff/A 15956-2022 georefererad karta.tif", "A 15956-2022")</f>
        <v/>
      </c>
      <c r="AA98">
        <f>HYPERLINK("https://klasma.github.io/Logging_0380/klagomål/A 15956-2022 FSC-klagomål.docx", "A 15956-2022")</f>
        <v/>
      </c>
      <c r="AB98">
        <f>HYPERLINK("https://klasma.github.io/Logging_0380/klagomålsmail/A 15956-2022 FSC-klagomål mail.docx", "A 15956-2022")</f>
        <v/>
      </c>
      <c r="AC98">
        <f>HYPERLINK("https://klasma.github.io/Logging_0380/tillsyn/A 15956-2022 tillsynsbegäran.docx", "A 15956-2022")</f>
        <v/>
      </c>
      <c r="AD98">
        <f>HYPERLINK("https://klasma.github.io/Logging_0380/tillsynsmail/A 15956-2022 tillsynsbegäran mail.docx", "A 15956-2022")</f>
        <v/>
      </c>
    </row>
    <row r="99" ht="15" customHeight="1">
      <c r="A99" t="inlineStr">
        <is>
          <t>A 55066-2022</t>
        </is>
      </c>
      <c r="B99" t="inlineStr">
        <is>
          <t>avverkningsanmälan</t>
        </is>
      </c>
      <c r="C99" t="inlineStr">
        <is>
          <t>Föryngringsavverkning</t>
        </is>
      </c>
      <c r="D99" s="1" t="n">
        <v>44886</v>
      </c>
      <c r="E99" s="1" t="n">
        <v>46291</v>
      </c>
      <c r="F99" t="inlineStr">
        <is>
          <t>UPPSALA LÄN</t>
        </is>
      </c>
      <c r="G99" t="inlineStr">
        <is>
          <t>UPPSALA</t>
        </is>
      </c>
      <c r="I99" t="n">
        <v>0.4</v>
      </c>
      <c r="J99" t="n">
        <v>0</v>
      </c>
      <c r="K99" t="n">
        <v>1</v>
      </c>
      <c r="L99" t="n">
        <v>2</v>
      </c>
      <c r="M99" t="n">
        <v>0</v>
      </c>
      <c r="N99" t="n">
        <v>1</v>
      </c>
      <c r="O99" t="n">
        <v>0</v>
      </c>
      <c r="P99" t="n">
        <v>0</v>
      </c>
      <c r="Q99" t="n">
        <v>3</v>
      </c>
      <c r="R99" t="n">
        <v>1</v>
      </c>
      <c r="S99" t="n">
        <v>4</v>
      </c>
      <c r="T99" t="n">
        <v>8</v>
      </c>
      <c r="U99" t="n">
        <v>0</v>
      </c>
      <c r="V99" s="2" t="inlineStr">
        <is>
          <t>Violgubbe
Fjällig taggsvamp s.str.
Orange taggsvamp
Korallblylav</t>
        </is>
      </c>
      <c r="W99">
        <f>HYPERLINK("https://klasma.github.io/Logging_0380/artfynd/A 55066-2022 artfynd.xlsx", "A 55066-2022")</f>
        <v/>
      </c>
      <c r="X99">
        <f>HYPERLINK("https://klasma.github.io/Logging_0380/kartor/A 55066-2022 karta.png", "A 55066-2022")</f>
        <v/>
      </c>
      <c r="Y99">
        <f>HYPERLINK("https://klasma.github.io/Logging_0380/kartor_geotiff/A 55066-2022 georefererad karta.tif", "A 55066-2022")</f>
        <v/>
      </c>
      <c r="AA99">
        <f>HYPERLINK("https://klasma.github.io/Logging_0380/klagomål/A 55066-2022 FSC-klagomål.docx", "A 55066-2022")</f>
        <v/>
      </c>
      <c r="AB99">
        <f>HYPERLINK("https://klasma.github.io/Logging_0380/klagomålsmail/A 55066-2022 FSC-klagomål mail.docx", "A 55066-2022")</f>
        <v/>
      </c>
      <c r="AC99">
        <f>HYPERLINK("https://klasma.github.io/Logging_0380/tillsyn/A 55066-2022 tillsynsbegäran.docx", "A 55066-2022")</f>
        <v/>
      </c>
      <c r="AD99">
        <f>HYPERLINK("https://klasma.github.io/Logging_0380/tillsynsmail/A 55066-2022 tillsynsbegäran mail.docx", "A 55066-2022")</f>
        <v/>
      </c>
    </row>
    <row r="100" ht="15" customHeight="1">
      <c r="A100" t="inlineStr">
        <is>
          <t>A 42581-2025</t>
        </is>
      </c>
      <c r="B100" t="inlineStr">
        <is>
          <t>avverkningsanmälan</t>
        </is>
      </c>
      <c r="C100" t="inlineStr">
        <is>
          <t>Föryngringsavverkning</t>
        </is>
      </c>
      <c r="D100" s="1" t="n">
        <v>45905</v>
      </c>
      <c r="E100" s="1" t="n">
        <v>46291</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42581-2025 artfynd.xlsx", "A 42581-2025")</f>
        <v/>
      </c>
      <c r="X100">
        <f>HYPERLINK("https://klasma.github.io/Logging_0380/kartor/A 42581-2025 karta.png", "A 42581-2025")</f>
        <v/>
      </c>
      <c r="Y100">
        <f>HYPERLINK("https://klasma.github.io/Logging_0380/kartor_geotiff/A 42581-2025 georefererad karta.tif", "A 42581-2025")</f>
        <v/>
      </c>
      <c r="AA100">
        <f>HYPERLINK("https://klasma.github.io/Logging_0380/klagomål/A 42581-2025 FSC-klagomål.docx", "A 42581-2025")</f>
        <v/>
      </c>
      <c r="AB100">
        <f>HYPERLINK("https://klasma.github.io/Logging_0380/klagomålsmail/A 42581-2025 FSC-klagomål mail.docx", "A 42581-2025")</f>
        <v/>
      </c>
      <c r="AC100">
        <f>HYPERLINK("https://klasma.github.io/Logging_0380/tillsyn/A 42581-2025 tillsynsbegäran.docx", "A 42581-2025")</f>
        <v/>
      </c>
      <c r="AD100">
        <f>HYPERLINK("https://klasma.github.io/Logging_0380/tillsynsmail/A 42581-2025 tillsynsbegäran mail.docx", "A 42581-2025")</f>
        <v/>
      </c>
    </row>
    <row r="101" ht="15" customHeight="1">
      <c r="A101" t="inlineStr">
        <is>
          <t>A 42583-2025</t>
        </is>
      </c>
      <c r="B101" t="inlineStr">
        <is>
          <t>avverkningsanmälan</t>
        </is>
      </c>
      <c r="C101" t="inlineStr">
        <is>
          <t>Föryngringsavverkning</t>
        </is>
      </c>
      <c r="D101" s="1" t="n">
        <v>45905</v>
      </c>
      <c r="E101" s="1" t="n">
        <v>46291</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42583-2025 artfynd.xlsx", "A 42583-2025")</f>
        <v/>
      </c>
      <c r="X101">
        <f>HYPERLINK("https://klasma.github.io/Logging_0380/kartor/A 42583-2025 karta.png", "A 42583-2025")</f>
        <v/>
      </c>
      <c r="Y101">
        <f>HYPERLINK("https://klasma.github.io/Logging_0380/kartor_geotiff/A 42583-2025 georefererad karta.tif", "A 42583-2025")</f>
        <v/>
      </c>
      <c r="AA101">
        <f>HYPERLINK("https://klasma.github.io/Logging_0380/klagomål/A 42583-2025 FSC-klagomål.docx", "A 42583-2025")</f>
        <v/>
      </c>
      <c r="AB101">
        <f>HYPERLINK("https://klasma.github.io/Logging_0380/klagomålsmail/A 42583-2025 FSC-klagomål mail.docx", "A 42583-2025")</f>
        <v/>
      </c>
      <c r="AC101">
        <f>HYPERLINK("https://klasma.github.io/Logging_0380/tillsyn/A 42583-2025 tillsynsbegäran.docx", "A 42583-2025")</f>
        <v/>
      </c>
      <c r="AD101">
        <f>HYPERLINK("https://klasma.github.io/Logging_0380/tillsynsmail/A 42583-2025 tillsynsbegäran mail.docx", "A 42583-2025")</f>
        <v/>
      </c>
    </row>
    <row r="102" ht="15" customHeight="1">
      <c r="A102" t="inlineStr">
        <is>
          <t>A 11409-2025</t>
        </is>
      </c>
      <c r="B102" t="inlineStr">
        <is>
          <t>avverkningsanmälan</t>
        </is>
      </c>
      <c r="C102" t="inlineStr">
        <is>
          <t>Avverkning för annat ändamål</t>
        </is>
      </c>
      <c r="D102" s="1" t="n">
        <v>45726</v>
      </c>
      <c r="E102" s="1" t="n">
        <v>46291</v>
      </c>
      <c r="F102" t="inlineStr">
        <is>
          <t>UPPSALA LÄN</t>
        </is>
      </c>
      <c r="G102" t="inlineStr">
        <is>
          <t>UPPSALA</t>
        </is>
      </c>
      <c r="I102" t="n">
        <v>0.3</v>
      </c>
      <c r="J102" t="n">
        <v>0</v>
      </c>
      <c r="K102" t="n">
        <v>0</v>
      </c>
      <c r="L102" t="n">
        <v>3</v>
      </c>
      <c r="M102" t="n">
        <v>1</v>
      </c>
      <c r="N102" t="n">
        <v>0</v>
      </c>
      <c r="O102" t="n">
        <v>0</v>
      </c>
      <c r="P102" t="n">
        <v>0</v>
      </c>
      <c r="Q102" t="n">
        <v>4</v>
      </c>
      <c r="R102" t="n">
        <v>1</v>
      </c>
      <c r="S102" t="n">
        <v>4</v>
      </c>
      <c r="T102" t="n">
        <v>4</v>
      </c>
      <c r="U102" t="n">
        <v>0</v>
      </c>
      <c r="V102" s="2" t="inlineStr">
        <is>
          <t>Gulvit blekspik
Rynkskinn
Svartöra
Tagglergeting</t>
        </is>
      </c>
      <c r="W102">
        <f>HYPERLINK("https://klasma.github.io/Logging_0380/artfynd/A 11409-2025 artfynd.xlsx", "A 11409-2025")</f>
        <v/>
      </c>
      <c r="X102">
        <f>HYPERLINK("https://klasma.github.io/Logging_0380/kartor/A 11409-2025 karta.png", "A 11409-2025")</f>
        <v/>
      </c>
      <c r="Y102">
        <f>HYPERLINK("https://klasma.github.io/Logging_0380/kartor_geotiff/A 11409-2025 georefererad karta.tif", "A 11409-2025")</f>
        <v/>
      </c>
      <c r="AA102">
        <f>HYPERLINK("https://klasma.github.io/Logging_0380/klagomål/A 11409-2025 FSC-klagomål.docx", "A 11409-2025")</f>
        <v/>
      </c>
      <c r="AB102">
        <f>HYPERLINK("https://klasma.github.io/Logging_0380/klagomålsmail/A 11409-2025 FSC-klagomål mail.docx", "A 11409-2025")</f>
        <v/>
      </c>
      <c r="AC102">
        <f>HYPERLINK("https://klasma.github.io/Logging_0380/tillsyn/A 11409-2025 tillsynsbegäran.docx", "A 11409-2025")</f>
        <v/>
      </c>
      <c r="AD102">
        <f>HYPERLINK("https://klasma.github.io/Logging_0380/tillsynsmail/A 11409-2025 tillsynsbegäran mail.docx", "A 11409-2025")</f>
        <v/>
      </c>
    </row>
    <row r="103" ht="15" customHeight="1">
      <c r="A103" t="inlineStr">
        <is>
          <t>A 2524-2026</t>
        </is>
      </c>
      <c r="B103" t="inlineStr">
        <is>
          <t>avverkningsanmälan</t>
        </is>
      </c>
      <c r="C103" t="inlineStr">
        <is>
          <t>Föryngringsavverkning</t>
        </is>
      </c>
      <c r="D103" s="1" t="n">
        <v>46037</v>
      </c>
      <c r="E103" s="1" t="n">
        <v>46291</v>
      </c>
      <c r="F103" t="inlineStr">
        <is>
          <t>UPPSALA LÄN</t>
        </is>
      </c>
      <c r="G103" t="inlineStr">
        <is>
          <t>UPPSALA</t>
        </is>
      </c>
      <c r="H103" t="inlineStr">
        <is>
          <t>Allmännings- och besparingsskogar</t>
        </is>
      </c>
      <c r="I103" t="n">
        <v>13.4</v>
      </c>
      <c r="J103" t="n">
        <v>2</v>
      </c>
      <c r="K103" t="n">
        <v>1</v>
      </c>
      <c r="L103" t="n">
        <v>1</v>
      </c>
      <c r="M103" t="n">
        <v>0</v>
      </c>
      <c r="N103" t="n">
        <v>0</v>
      </c>
      <c r="O103" t="n">
        <v>0</v>
      </c>
      <c r="P103" t="n">
        <v>0</v>
      </c>
      <c r="Q103" t="n">
        <v>1</v>
      </c>
      <c r="R103" t="n">
        <v>0</v>
      </c>
      <c r="S103" t="n">
        <v>4</v>
      </c>
      <c r="T103" t="n">
        <v>4</v>
      </c>
      <c r="U103" t="n">
        <v>4</v>
      </c>
      <c r="V103" s="2" t="inlineStr">
        <is>
          <t>Vågticka
Blodticka
Spillkråka
Tjäder</t>
        </is>
      </c>
      <c r="W103">
        <f>HYPERLINK("https://klasma.github.io/Logging_0380/artfynd/A 2524-2026 artfynd.xlsx", "A 2524-2026")</f>
        <v/>
      </c>
      <c r="X103">
        <f>HYPERLINK("https://klasma.github.io/Logging_0380/kartor/A 2524-2026 karta.png", "A 2524-2026")</f>
        <v/>
      </c>
      <c r="Y103">
        <f>HYPERLINK("https://klasma.github.io/Logging_0380/kartor_geotiff/A 2524-2026 georefererad karta.tif", "A 2524-2026")</f>
        <v/>
      </c>
      <c r="AA103">
        <f>HYPERLINK("https://klasma.github.io/Logging_0380/klagomål/A 2524-2026 FSC-klagomål.docx", "A 2524-2026")</f>
        <v/>
      </c>
      <c r="AB103">
        <f>HYPERLINK("https://klasma.github.io/Logging_0380/klagomålsmail/A 2524-2026 FSC-klagomål mail.docx", "A 2524-2026")</f>
        <v/>
      </c>
      <c r="AC103">
        <f>HYPERLINK("https://klasma.github.io/Logging_0380/tillsyn/A 2524-2026 tillsynsbegäran.docx", "A 2524-2026")</f>
        <v/>
      </c>
      <c r="AD103">
        <f>HYPERLINK("https://klasma.github.io/Logging_0380/tillsynsmail/A 2524-2026 tillsynsbegäran mail.docx", "A 2524-2026")</f>
        <v/>
      </c>
      <c r="AE103">
        <f>HYPERLINK("https://klasma.github.io/Logging_0380/fåglar/A 2524-2026 prioriterade fågelarter.docx", "A 2524-2026")</f>
        <v/>
      </c>
    </row>
    <row r="104" ht="15" customHeight="1">
      <c r="A104" t="inlineStr">
        <is>
          <t>A 61374-2025</t>
        </is>
      </c>
      <c r="B104" t="inlineStr">
        <is>
          <t>avverkningsanmälan</t>
        </is>
      </c>
      <c r="C104" t="inlineStr">
        <is>
          <t>Föryngringsavverkning</t>
        </is>
      </c>
      <c r="D104" s="1" t="n">
        <v>46001</v>
      </c>
      <c r="E104" s="1" t="n">
        <v>46291</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49015-2022</t>
        </is>
      </c>
      <c r="B105" t="inlineStr">
        <is>
          <t>avverkningsanmälan</t>
        </is>
      </c>
      <c r="C105" t="inlineStr">
        <is>
          <t>Föryngringsavverkning</t>
        </is>
      </c>
      <c r="D105" s="1" t="n">
        <v>44855</v>
      </c>
      <c r="E105" s="1" t="n">
        <v>46291</v>
      </c>
      <c r="F105" t="inlineStr">
        <is>
          <t>UPPSALA LÄN</t>
        </is>
      </c>
      <c r="G105" t="inlineStr">
        <is>
          <t>UPPSALA</t>
        </is>
      </c>
      <c r="H105" t="inlineStr">
        <is>
          <t>Kommuner</t>
        </is>
      </c>
      <c r="I105" t="n">
        <v>4.5</v>
      </c>
      <c r="J105" t="n">
        <v>0</v>
      </c>
      <c r="K105" t="n">
        <v>2</v>
      </c>
      <c r="L105" t="n">
        <v>2</v>
      </c>
      <c r="M105" t="n">
        <v>0</v>
      </c>
      <c r="N105" t="n">
        <v>0</v>
      </c>
      <c r="O105" t="n">
        <v>0</v>
      </c>
      <c r="P105" t="n">
        <v>0</v>
      </c>
      <c r="Q105" t="n">
        <v>2</v>
      </c>
      <c r="R105" t="n">
        <v>0</v>
      </c>
      <c r="S105" t="n">
        <v>4</v>
      </c>
      <c r="T105" t="n">
        <v>4</v>
      </c>
      <c r="U105" t="n">
        <v>0</v>
      </c>
      <c r="V105" s="2" t="inlineStr">
        <is>
          <t>Harticka
Vedtrappmossa
Fällmossa
Korallblylav</t>
        </is>
      </c>
      <c r="W105">
        <f>HYPERLINK("https://klasma.github.io/Logging_0380/artfynd/A 49015-2022 artfynd.xlsx", "A 49015-2022")</f>
        <v/>
      </c>
      <c r="X105">
        <f>HYPERLINK("https://klasma.github.io/Logging_0380/kartor/A 49015-2022 karta.png", "A 49015-2022")</f>
        <v/>
      </c>
      <c r="Y105">
        <f>HYPERLINK("https://klasma.github.io/Logging_0380/kartor_geotiff/A 49015-2022 georefererad karta.tif", "A 49015-2022")</f>
        <v/>
      </c>
      <c r="AA105">
        <f>HYPERLINK("https://klasma.github.io/Logging_0380/klagomål/A 49015-2022 FSC-klagomål.docx", "A 49015-2022")</f>
        <v/>
      </c>
      <c r="AB105">
        <f>HYPERLINK("https://klasma.github.io/Logging_0380/klagomålsmail/A 49015-2022 FSC-klagomål mail.docx", "A 49015-2022")</f>
        <v/>
      </c>
      <c r="AC105">
        <f>HYPERLINK("https://klasma.github.io/Logging_0380/tillsyn/A 49015-2022 tillsynsbegäran.docx", "A 49015-2022")</f>
        <v/>
      </c>
      <c r="AD105">
        <f>HYPERLINK("https://klasma.github.io/Logging_0380/tillsynsmail/A 49015-2022 tillsynsbegäran mail.docx", "A 49015-2022")</f>
        <v/>
      </c>
    </row>
    <row r="106" ht="15" customHeight="1">
      <c r="A106" t="inlineStr">
        <is>
          <t>A 22440-2026</t>
        </is>
      </c>
      <c r="B106" t="inlineStr">
        <is>
          <t>avverkningsanmälan</t>
        </is>
      </c>
      <c r="C106" t="inlineStr">
        <is>
          <t>Föryngringsavverkning</t>
        </is>
      </c>
      <c r="D106" s="1" t="n">
        <v>46155</v>
      </c>
      <c r="E106" s="1" t="n">
        <v>46291</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39741-2023</t>
        </is>
      </c>
      <c r="B107" t="inlineStr">
        <is>
          <t>avverkningsanmälan</t>
        </is>
      </c>
      <c r="C107" t="inlineStr">
        <is>
          <t>Föryngringsavverkning</t>
        </is>
      </c>
      <c r="D107" s="1" t="n">
        <v>45167</v>
      </c>
      <c r="E107" s="1" t="n">
        <v>46291</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36350-2026</t>
        </is>
      </c>
      <c r="B108" t="inlineStr">
        <is>
          <t>avverkningsanmälan</t>
        </is>
      </c>
      <c r="C108" t="inlineStr">
        <is>
          <t>Föryngringsavverkning</t>
        </is>
      </c>
      <c r="D108" s="1" t="n">
        <v>46268</v>
      </c>
      <c r="E108" s="1" t="n">
        <v>46291</v>
      </c>
      <c r="F108" t="inlineStr">
        <is>
          <t>UPPSALA LÄN</t>
        </is>
      </c>
      <c r="G108" t="inlineStr">
        <is>
          <t>UPPSALA</t>
        </is>
      </c>
      <c r="H108" t="inlineStr">
        <is>
          <t>Övriga statliga verk och myndigheter</t>
        </is>
      </c>
      <c r="I108" t="n">
        <v>34.2</v>
      </c>
      <c r="J108" t="n">
        <v>0</v>
      </c>
      <c r="K108" t="n">
        <v>2</v>
      </c>
      <c r="L108" t="n">
        <v>1</v>
      </c>
      <c r="M108" t="n">
        <v>1</v>
      </c>
      <c r="N108" t="n">
        <v>0</v>
      </c>
      <c r="O108" t="n">
        <v>0</v>
      </c>
      <c r="P108" t="n">
        <v>0</v>
      </c>
      <c r="Q108" t="n">
        <v>2</v>
      </c>
      <c r="R108" t="n">
        <v>1</v>
      </c>
      <c r="S108" t="n">
        <v>4</v>
      </c>
      <c r="T108" t="n">
        <v>4</v>
      </c>
      <c r="U108" t="n">
        <v>0</v>
      </c>
      <c r="V108" s="2" t="inlineStr">
        <is>
          <t>Kopparspindling
Tallticka
Bårdlav
Granbräken</t>
        </is>
      </c>
      <c r="W108">
        <f>HYPERLINK("https://klasma.github.io/Logging_0380/artfynd/A 36350-2026 artfynd.xlsx", "A 36350-2026")</f>
        <v/>
      </c>
      <c r="X108">
        <f>HYPERLINK("https://klasma.github.io/Logging_0380/kartor/A 36350-2026 karta.png", "A 36350-2026")</f>
        <v/>
      </c>
      <c r="Y108">
        <f>HYPERLINK("https://klasma.github.io/Logging_0380/kartor_geotiff/A 36350-2026 georefererad karta.tif", "A 36350-2026")</f>
        <v/>
      </c>
      <c r="AA108">
        <f>HYPERLINK("https://klasma.github.io/Logging_0380/klagomål/A 36350-2026 FSC-klagomål.docx", "A 36350-2026")</f>
        <v/>
      </c>
      <c r="AB108">
        <f>HYPERLINK("https://klasma.github.io/Logging_0380/klagomålsmail/A 36350-2026 FSC-klagomål mail.docx", "A 36350-2026")</f>
        <v/>
      </c>
      <c r="AC108">
        <f>HYPERLINK("https://klasma.github.io/Logging_0380/tillsyn/A 36350-2026 tillsynsbegäran.docx", "A 36350-2026")</f>
        <v/>
      </c>
      <c r="AD108">
        <f>HYPERLINK("https://klasma.github.io/Logging_0380/tillsynsmail/A 36350-2026 tillsynsbegäran mail.docx", "A 36350-2026")</f>
        <v/>
      </c>
    </row>
    <row r="109" ht="15" customHeight="1">
      <c r="A109" t="inlineStr">
        <is>
          <t>A 62004-2025</t>
        </is>
      </c>
      <c r="B109" t="inlineStr">
        <is>
          <t>avverkningsanmälan</t>
        </is>
      </c>
      <c r="C109" t="inlineStr">
        <is>
          <t>Föryngringsavverkning</t>
        </is>
      </c>
      <c r="D109" s="1" t="n">
        <v>46003</v>
      </c>
      <c r="E109" s="1" t="n">
        <v>46291</v>
      </c>
      <c r="F109" t="inlineStr">
        <is>
          <t>UPPSALA LÄN</t>
        </is>
      </c>
      <c r="G109" t="inlineStr">
        <is>
          <t>UPPSALA</t>
        </is>
      </c>
      <c r="I109" t="n">
        <v>7.2</v>
      </c>
      <c r="J109" t="n">
        <v>3</v>
      </c>
      <c r="K109" t="n">
        <v>0</v>
      </c>
      <c r="L109" t="n">
        <v>1</v>
      </c>
      <c r="M109" t="n">
        <v>1</v>
      </c>
      <c r="N109" t="n">
        <v>0</v>
      </c>
      <c r="O109" t="n">
        <v>0</v>
      </c>
      <c r="P109" t="n">
        <v>0</v>
      </c>
      <c r="Q109" t="n">
        <v>2</v>
      </c>
      <c r="R109" t="n">
        <v>1</v>
      </c>
      <c r="S109" t="n">
        <v>4</v>
      </c>
      <c r="T109" t="n">
        <v>27</v>
      </c>
      <c r="U109" t="n">
        <v>27</v>
      </c>
      <c r="V109" s="2" t="inlineStr">
        <is>
          <t>Knärot
Vedtrappmossa
Spillkråka
Revlummer</t>
        </is>
      </c>
      <c r="W109">
        <f>HYPERLINK("https://klasma.github.io/Logging_0380/artfynd/A 62004-2025 artfynd.xlsx", "A 62004-2025")</f>
        <v/>
      </c>
      <c r="X109">
        <f>HYPERLINK("https://klasma.github.io/Logging_0380/kartor/A 62004-2025 karta.png", "A 62004-2025")</f>
        <v/>
      </c>
      <c r="Y109">
        <f>HYPERLINK("https://klasma.github.io/Logging_0380/kartor_geotiff/A 62004-2025 georefererad karta.tif", "A 62004-2025")</f>
        <v/>
      </c>
      <c r="Z109">
        <f>HYPERLINK("https://klasma.github.io/Logging_0380/knärot/A 62004-2025 karta knärot.png", "A 62004-2025")</f>
        <v/>
      </c>
      <c r="AA109">
        <f>HYPERLINK("https://klasma.github.io/Logging_0380/klagomål/A 62004-2025 FSC-klagomål.docx", "A 62004-2025")</f>
        <v/>
      </c>
      <c r="AB109">
        <f>HYPERLINK("https://klasma.github.io/Logging_0380/klagomålsmail/A 62004-2025 FSC-klagomål mail.docx", "A 62004-2025")</f>
        <v/>
      </c>
      <c r="AC109">
        <f>HYPERLINK("https://klasma.github.io/Logging_0380/tillsyn/A 62004-2025 tillsynsbegäran.docx", "A 62004-2025")</f>
        <v/>
      </c>
      <c r="AD109">
        <f>HYPERLINK("https://klasma.github.io/Logging_0380/tillsynsmail/A 62004-2025 tillsynsbegäran mail.docx", "A 62004-2025")</f>
        <v/>
      </c>
      <c r="AE109">
        <f>HYPERLINK("https://klasma.github.io/Logging_0380/fåglar/A 62004-2025 prioriterade fågelarter.docx", "A 62004-2025")</f>
        <v/>
      </c>
    </row>
    <row r="110" ht="15" customHeight="1">
      <c r="A110" t="inlineStr">
        <is>
          <t>A 58546-2025</t>
        </is>
      </c>
      <c r="B110" t="inlineStr">
        <is>
          <t>avverkningsanmälan</t>
        </is>
      </c>
      <c r="C110" t="inlineStr">
        <is>
          <t>Föryngringsavverkning</t>
        </is>
      </c>
      <c r="D110" s="1" t="n">
        <v>45985</v>
      </c>
      <c r="E110" s="1" t="n">
        <v>46291</v>
      </c>
      <c r="F110" t="inlineStr">
        <is>
          <t>UPPSALA LÄN</t>
        </is>
      </c>
      <c r="G110" t="inlineStr">
        <is>
          <t>UPPSALA</t>
        </is>
      </c>
      <c r="I110" t="n">
        <v>0.6</v>
      </c>
      <c r="J110" t="n">
        <v>2</v>
      </c>
      <c r="K110" t="n">
        <v>1</v>
      </c>
      <c r="L110" t="n">
        <v>1</v>
      </c>
      <c r="M110" t="n">
        <v>1</v>
      </c>
      <c r="N110" t="n">
        <v>0</v>
      </c>
      <c r="O110" t="n">
        <v>0</v>
      </c>
      <c r="P110" t="n">
        <v>0</v>
      </c>
      <c r="Q110" t="n">
        <v>2</v>
      </c>
      <c r="R110" t="n">
        <v>1</v>
      </c>
      <c r="S110" t="n">
        <v>4</v>
      </c>
      <c r="T110" t="n">
        <v>13</v>
      </c>
      <c r="U110" t="n">
        <v>13</v>
      </c>
      <c r="V110" s="2" t="inlineStr">
        <is>
          <t>Knärot
Vedtrappmossa
Rödgul trumpetsvamp
Revlummer</t>
        </is>
      </c>
      <c r="W110">
        <f>HYPERLINK("https://klasma.github.io/Logging_0380/artfynd/A 58546-2025 artfynd.xlsx", "A 58546-2025")</f>
        <v/>
      </c>
      <c r="X110">
        <f>HYPERLINK("https://klasma.github.io/Logging_0380/kartor/A 58546-2025 karta.png", "A 58546-2025")</f>
        <v/>
      </c>
      <c r="Y110">
        <f>HYPERLINK("https://klasma.github.io/Logging_0380/kartor_geotiff/A 58546-2025 georefererad karta.tif", "A 58546-2025")</f>
        <v/>
      </c>
      <c r="Z110">
        <f>HYPERLINK("https://klasma.github.io/Logging_0380/knärot/A 58546-2025 karta knärot.png", "A 58546-2025")</f>
        <v/>
      </c>
      <c r="AA110">
        <f>HYPERLINK("https://klasma.github.io/Logging_0380/klagomål/A 58546-2025 FSC-klagomål.docx", "A 58546-2025")</f>
        <v/>
      </c>
      <c r="AB110">
        <f>HYPERLINK("https://klasma.github.io/Logging_0380/klagomålsmail/A 58546-2025 FSC-klagomål mail.docx", "A 58546-2025")</f>
        <v/>
      </c>
      <c r="AC110">
        <f>HYPERLINK("https://klasma.github.io/Logging_0380/tillsyn/A 58546-2025 tillsynsbegäran.docx", "A 58546-2025")</f>
        <v/>
      </c>
      <c r="AD110">
        <f>HYPERLINK("https://klasma.github.io/Logging_0380/tillsynsmail/A 58546-2025 tillsynsbegäran mail.docx", "A 58546-2025")</f>
        <v/>
      </c>
    </row>
    <row r="111" ht="15" customHeight="1">
      <c r="A111" t="inlineStr">
        <is>
          <t>A 60038-2021</t>
        </is>
      </c>
      <c r="B111" t="inlineStr">
        <is>
          <t>avverkningsanmälan</t>
        </is>
      </c>
      <c r="C111" t="inlineStr">
        <is>
          <t>Föryngringsavverkning</t>
        </is>
      </c>
      <c r="D111" s="1" t="n">
        <v>44495</v>
      </c>
      <c r="E111" s="1" t="n">
        <v>46291</v>
      </c>
      <c r="F111" t="inlineStr">
        <is>
          <t>UPPSALA LÄN</t>
        </is>
      </c>
      <c r="G111" t="inlineStr">
        <is>
          <t>UPPSALA</t>
        </is>
      </c>
      <c r="I111" t="n">
        <v>1.2</v>
      </c>
      <c r="J111" t="n">
        <v>1</v>
      </c>
      <c r="K111" t="n">
        <v>1</v>
      </c>
      <c r="L111" t="n">
        <v>2</v>
      </c>
      <c r="M111" t="n">
        <v>0</v>
      </c>
      <c r="N111" t="n">
        <v>0</v>
      </c>
      <c r="O111" t="n">
        <v>0</v>
      </c>
      <c r="P111" t="n">
        <v>0</v>
      </c>
      <c r="Q111" t="n">
        <v>2</v>
      </c>
      <c r="R111" t="n">
        <v>0</v>
      </c>
      <c r="S111" t="n">
        <v>4</v>
      </c>
      <c r="T111" t="n">
        <v>5</v>
      </c>
      <c r="U111" t="n">
        <v>5</v>
      </c>
      <c r="V111" s="2" t="inlineStr">
        <is>
          <t>Rynkskinn
Ullticka
Fällmossa
Blåsippa</t>
        </is>
      </c>
      <c r="W111">
        <f>HYPERLINK("https://klasma.github.io/Logging_0380/artfynd/A 60038-2021 artfynd.xlsx", "A 60038-2021")</f>
        <v/>
      </c>
      <c r="X111">
        <f>HYPERLINK("https://klasma.github.io/Logging_0380/kartor/A 60038-2021 karta.png", "A 60038-2021")</f>
        <v/>
      </c>
      <c r="Y111">
        <f>HYPERLINK("https://klasma.github.io/Logging_0380/kartor_geotiff/A 60038-2021 georefererad karta.tif", "A 60038-2021")</f>
        <v/>
      </c>
      <c r="AA111">
        <f>HYPERLINK("https://klasma.github.io/Logging_0380/klagomål/A 60038-2021 FSC-klagomål.docx", "A 60038-2021")</f>
        <v/>
      </c>
      <c r="AB111">
        <f>HYPERLINK("https://klasma.github.io/Logging_0380/klagomålsmail/A 60038-2021 FSC-klagomål mail.docx", "A 60038-2021")</f>
        <v/>
      </c>
      <c r="AC111">
        <f>HYPERLINK("https://klasma.github.io/Logging_0380/tillsyn/A 60038-2021 tillsynsbegäran.docx", "A 60038-2021")</f>
        <v/>
      </c>
      <c r="AD111">
        <f>HYPERLINK("https://klasma.github.io/Logging_0380/tillsynsmail/A 60038-2021 tillsynsbegäran mail.docx", "A 60038-2021")</f>
        <v/>
      </c>
    </row>
    <row r="112" ht="15" customHeight="1">
      <c r="A112" t="inlineStr">
        <is>
          <t>A 11217-2024</t>
        </is>
      </c>
      <c r="B112" t="inlineStr">
        <is>
          <t>avverkningsanmälan</t>
        </is>
      </c>
      <c r="C112" t="inlineStr">
        <is>
          <t>Föryngringsavverkning</t>
        </is>
      </c>
      <c r="D112" s="1" t="n">
        <v>45371</v>
      </c>
      <c r="E112" s="1" t="n">
        <v>46291</v>
      </c>
      <c r="F112" t="inlineStr">
        <is>
          <t>UPPSALA LÄN</t>
        </is>
      </c>
      <c r="G112" t="inlineStr">
        <is>
          <t>UPPSALA</t>
        </is>
      </c>
      <c r="H112" t="inlineStr">
        <is>
          <t>Kommuner</t>
        </is>
      </c>
      <c r="I112" t="n">
        <v>1.5</v>
      </c>
      <c r="J112" t="n">
        <v>1</v>
      </c>
      <c r="K112" t="n">
        <v>4</v>
      </c>
      <c r="L112" t="n">
        <v>0</v>
      </c>
      <c r="M112" t="n">
        <v>0</v>
      </c>
      <c r="N112" t="n">
        <v>0</v>
      </c>
      <c r="O112" t="n">
        <v>0</v>
      </c>
      <c r="P112" t="n">
        <v>0</v>
      </c>
      <c r="Q112" t="n">
        <v>0</v>
      </c>
      <c r="R112" t="n">
        <v>0</v>
      </c>
      <c r="S112" t="n">
        <v>4</v>
      </c>
      <c r="T112" t="n">
        <v>6</v>
      </c>
      <c r="U112" t="n">
        <v>0</v>
      </c>
      <c r="V112" s="2" t="inlineStr">
        <is>
          <t>Fällmossa
Grön sköldmossa
Lönnlav
Stor aspticka</t>
        </is>
      </c>
      <c r="W112">
        <f>HYPERLINK("https://klasma.github.io/Logging_0380/artfynd/A 11217-2024 artfynd.xlsx", "A 11217-2024")</f>
        <v/>
      </c>
      <c r="X112">
        <f>HYPERLINK("https://klasma.github.io/Logging_0380/kartor/A 11217-2024 karta.png", "A 11217-2024")</f>
        <v/>
      </c>
      <c r="Y112">
        <f>HYPERLINK("https://klasma.github.io/Logging_0380/kartor_geotiff/A 11217-2024 georefererad karta.tif", "A 11217-2024")</f>
        <v/>
      </c>
      <c r="AA112">
        <f>HYPERLINK("https://klasma.github.io/Logging_0380/klagomål/A 11217-2024 FSC-klagomål.docx", "A 11217-2024")</f>
        <v/>
      </c>
      <c r="AB112">
        <f>HYPERLINK("https://klasma.github.io/Logging_0380/klagomålsmail/A 11217-2024 FSC-klagomål mail.docx", "A 11217-2024")</f>
        <v/>
      </c>
      <c r="AC112">
        <f>HYPERLINK("https://klasma.github.io/Logging_0380/tillsyn/A 11217-2024 tillsynsbegäran.docx", "A 11217-2024")</f>
        <v/>
      </c>
      <c r="AD112">
        <f>HYPERLINK("https://klasma.github.io/Logging_0380/tillsynsmail/A 11217-2024 tillsynsbegäran mail.docx", "A 11217-2024")</f>
        <v/>
      </c>
    </row>
    <row r="113" ht="15" customHeight="1">
      <c r="A113" t="inlineStr">
        <is>
          <t>S 521-2022</t>
        </is>
      </c>
      <c r="B113" t="inlineStr">
        <is>
          <t>samrådsanmälan</t>
        </is>
      </c>
      <c r="C113" t="inlineStr">
        <is>
          <t>Skogsgödsling</t>
        </is>
      </c>
      <c r="D113" s="1" t="n">
        <v>44588</v>
      </c>
      <c r="E113" s="1" t="n">
        <v>46291</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63172-2023</t>
        </is>
      </c>
      <c r="B114" t="inlineStr">
        <is>
          <t>avverkningsanmälan</t>
        </is>
      </c>
      <c r="C114" t="inlineStr">
        <is>
          <t>Föryngringsavverkning</t>
        </is>
      </c>
      <c r="D114" s="1" t="n">
        <v>45273</v>
      </c>
      <c r="E114" s="1" t="n">
        <v>46291</v>
      </c>
      <c r="F114" t="inlineStr">
        <is>
          <t>UPPSALA LÄN</t>
        </is>
      </c>
      <c r="G114" t="inlineStr">
        <is>
          <t>UPPSALA</t>
        </is>
      </c>
      <c r="I114" t="n">
        <v>1.8</v>
      </c>
      <c r="J114" t="n">
        <v>1</v>
      </c>
      <c r="K114" t="n">
        <v>1</v>
      </c>
      <c r="L114" t="n">
        <v>1</v>
      </c>
      <c r="M114" t="n">
        <v>0</v>
      </c>
      <c r="N114" t="n">
        <v>0</v>
      </c>
      <c r="O114" t="n">
        <v>0</v>
      </c>
      <c r="P114" t="n">
        <v>0</v>
      </c>
      <c r="Q114" t="n">
        <v>1</v>
      </c>
      <c r="R114" t="n">
        <v>0</v>
      </c>
      <c r="S114" t="n">
        <v>3</v>
      </c>
      <c r="T114" t="n">
        <v>3</v>
      </c>
      <c r="U114" t="n">
        <v>1</v>
      </c>
      <c r="V114" s="2" t="inlineStr">
        <is>
          <t>Tallticka
Ögonpyrola
Törnskata</t>
        </is>
      </c>
      <c r="W114">
        <f>HYPERLINK("https://klasma.github.io/Logging_0380/artfynd/A 63172-2023 artfynd.xlsx", "A 63172-2023")</f>
        <v/>
      </c>
      <c r="X114">
        <f>HYPERLINK("https://klasma.github.io/Logging_0380/kartor/A 63172-2023 karta.png", "A 63172-2023")</f>
        <v/>
      </c>
      <c r="Y114">
        <f>HYPERLINK("https://klasma.github.io/Logging_0380/kartor_geotiff/A 63172-2023 georefererad karta.tif", "A 63172-2023")</f>
        <v/>
      </c>
      <c r="AA114">
        <f>HYPERLINK("https://klasma.github.io/Logging_0380/klagomål/A 63172-2023 FSC-klagomål.docx", "A 63172-2023")</f>
        <v/>
      </c>
      <c r="AB114">
        <f>HYPERLINK("https://klasma.github.io/Logging_0380/klagomålsmail/A 63172-2023 FSC-klagomål mail.docx", "A 63172-2023")</f>
        <v/>
      </c>
      <c r="AC114">
        <f>HYPERLINK("https://klasma.github.io/Logging_0380/tillsyn/A 63172-2023 tillsynsbegäran.docx", "A 63172-2023")</f>
        <v/>
      </c>
      <c r="AD114">
        <f>HYPERLINK("https://klasma.github.io/Logging_0380/tillsynsmail/A 63172-2023 tillsynsbegäran mail.docx", "A 63172-2023")</f>
        <v/>
      </c>
      <c r="AE114">
        <f>HYPERLINK("https://klasma.github.io/Logging_0380/fåglar/A 63172-2023 prioriterade fågelarter.docx", "A 63172-2023")</f>
        <v/>
      </c>
    </row>
    <row r="115" ht="15" customHeight="1">
      <c r="A115" t="inlineStr">
        <is>
          <t>A 25660-2025</t>
        </is>
      </c>
      <c r="B115" t="inlineStr">
        <is>
          <t>avverkningsanmälan</t>
        </is>
      </c>
      <c r="C115" t="inlineStr">
        <is>
          <t>Föryngringsavverkning</t>
        </is>
      </c>
      <c r="D115" s="1" t="n">
        <v>45803</v>
      </c>
      <c r="E115" s="1" t="n">
        <v>46291</v>
      </c>
      <c r="F115" t="inlineStr">
        <is>
          <t>UPPSALA LÄN</t>
        </is>
      </c>
      <c r="G115" t="inlineStr">
        <is>
          <t>UPPSALA</t>
        </is>
      </c>
      <c r="H115" t="inlineStr">
        <is>
          <t>Holmen skog AB</t>
        </is>
      </c>
      <c r="I115" t="n">
        <v>4.8</v>
      </c>
      <c r="J115" t="n">
        <v>1</v>
      </c>
      <c r="K115" t="n">
        <v>2</v>
      </c>
      <c r="L115" t="n">
        <v>0</v>
      </c>
      <c r="M115" t="n">
        <v>0</v>
      </c>
      <c r="N115" t="n">
        <v>0</v>
      </c>
      <c r="O115" t="n">
        <v>0</v>
      </c>
      <c r="P115" t="n">
        <v>0</v>
      </c>
      <c r="Q115" t="n">
        <v>0</v>
      </c>
      <c r="R115" t="n">
        <v>0</v>
      </c>
      <c r="S115" t="n">
        <v>3</v>
      </c>
      <c r="T115" t="n">
        <v>3</v>
      </c>
      <c r="U115" t="n">
        <v>1</v>
      </c>
      <c r="V115" s="2" t="inlineStr">
        <is>
          <t>Mindre märgborre
Skogshakmossa
Blåsippa</t>
        </is>
      </c>
      <c r="W115">
        <f>HYPERLINK("https://klasma.github.io/Logging_0380/artfynd/A 25660-2025 artfynd.xlsx", "A 25660-2025")</f>
        <v/>
      </c>
      <c r="X115">
        <f>HYPERLINK("https://klasma.github.io/Logging_0380/kartor/A 25660-2025 karta.png", "A 25660-2025")</f>
        <v/>
      </c>
      <c r="Y115">
        <f>HYPERLINK("https://klasma.github.io/Logging_0380/kartor_geotiff/A 25660-2025 georefererad karta.tif", "A 25660-2025")</f>
        <v/>
      </c>
      <c r="AA115">
        <f>HYPERLINK("https://klasma.github.io/Logging_0380/klagomål/A 25660-2025 FSC-klagomål.docx", "A 25660-2025")</f>
        <v/>
      </c>
      <c r="AB115">
        <f>HYPERLINK("https://klasma.github.io/Logging_0380/klagomålsmail/A 25660-2025 FSC-klagomål mail.docx", "A 25660-2025")</f>
        <v/>
      </c>
      <c r="AC115">
        <f>HYPERLINK("https://klasma.github.io/Logging_0380/tillsyn/A 25660-2025 tillsynsbegäran.docx", "A 25660-2025")</f>
        <v/>
      </c>
      <c r="AD115">
        <f>HYPERLINK("https://klasma.github.io/Logging_0380/tillsynsmail/A 25660-2025 tillsynsbegäran mail.docx", "A 25660-2025")</f>
        <v/>
      </c>
    </row>
    <row r="116" ht="15" customHeight="1">
      <c r="A116" t="inlineStr">
        <is>
          <t>A 13085-2026</t>
        </is>
      </c>
      <c r="B116" t="inlineStr">
        <is>
          <t>avverkningsanmälan</t>
        </is>
      </c>
      <c r="C116" t="inlineStr">
        <is>
          <t>Föryngringsavverkning</t>
        </is>
      </c>
      <c r="D116" s="1" t="n">
        <v>46093</v>
      </c>
      <c r="E116" s="1" t="n">
        <v>46291</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3304-2025</t>
        </is>
      </c>
      <c r="B117" t="inlineStr">
        <is>
          <t>avverkningsanmälan</t>
        </is>
      </c>
      <c r="C117" t="inlineStr">
        <is>
          <t>Avverkning för annat ändamål</t>
        </is>
      </c>
      <c r="D117" s="1" t="n">
        <v>45679</v>
      </c>
      <c r="E117" s="1" t="n">
        <v>46291</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57793-2022</t>
        </is>
      </c>
      <c r="B118" t="inlineStr">
        <is>
          <t>avverkningsanmälan</t>
        </is>
      </c>
      <c r="C118" t="inlineStr">
        <is>
          <t>Föryngringsavverkning</t>
        </is>
      </c>
      <c r="D118" s="1" t="n">
        <v>44897</v>
      </c>
      <c r="E118" s="1" t="n">
        <v>46291</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46291</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58906-2021</t>
        </is>
      </c>
      <c r="B120" t="inlineStr">
        <is>
          <t>avverkningsanmälan</t>
        </is>
      </c>
      <c r="C120" t="inlineStr">
        <is>
          <t>Föryngringsavverkning</t>
        </is>
      </c>
      <c r="D120" s="1" t="n">
        <v>44489</v>
      </c>
      <c r="E120" s="1" t="n">
        <v>46291</v>
      </c>
      <c r="F120" t="inlineStr">
        <is>
          <t>UPPSALA LÄN</t>
        </is>
      </c>
      <c r="G120" t="inlineStr">
        <is>
          <t>UPPSALA</t>
        </is>
      </c>
      <c r="I120" t="n">
        <v>8.6</v>
      </c>
      <c r="J120" t="n">
        <v>2</v>
      </c>
      <c r="K120" t="n">
        <v>0</v>
      </c>
      <c r="L120" t="n">
        <v>2</v>
      </c>
      <c r="M120" t="n">
        <v>0</v>
      </c>
      <c r="N120" t="n">
        <v>0</v>
      </c>
      <c r="O120" t="n">
        <v>0</v>
      </c>
      <c r="P120" t="n">
        <v>0</v>
      </c>
      <c r="Q120" t="n">
        <v>2</v>
      </c>
      <c r="R120" t="n">
        <v>0</v>
      </c>
      <c r="S120" t="n">
        <v>3</v>
      </c>
      <c r="T120" t="n">
        <v>4</v>
      </c>
      <c r="U120" t="n">
        <v>3</v>
      </c>
      <c r="V120" s="2" t="inlineStr">
        <is>
          <t>Talltita
Ullticka
Tjäder</t>
        </is>
      </c>
      <c r="W120">
        <f>HYPERLINK("https://klasma.github.io/Logging_0380/artfynd/A 58906-2021 artfynd.xlsx", "A 58906-2021")</f>
        <v/>
      </c>
      <c r="X120">
        <f>HYPERLINK("https://klasma.github.io/Logging_0380/kartor/A 58906-2021 karta.png", "A 58906-2021")</f>
        <v/>
      </c>
      <c r="Y120">
        <f>HYPERLINK("https://klasma.github.io/Logging_0380/kartor_geotiff/A 58906-2021 georefererad karta.tif", "A 58906-2021")</f>
        <v/>
      </c>
      <c r="AA120">
        <f>HYPERLINK("https://klasma.github.io/Logging_0380/klagomål/A 58906-2021 FSC-klagomål.docx", "A 58906-2021")</f>
        <v/>
      </c>
      <c r="AB120">
        <f>HYPERLINK("https://klasma.github.io/Logging_0380/klagomålsmail/A 58906-2021 FSC-klagomål mail.docx", "A 58906-2021")</f>
        <v/>
      </c>
      <c r="AC120">
        <f>HYPERLINK("https://klasma.github.io/Logging_0380/tillsyn/A 58906-2021 tillsynsbegäran.docx", "A 58906-2021")</f>
        <v/>
      </c>
      <c r="AD120">
        <f>HYPERLINK("https://klasma.github.io/Logging_0380/tillsynsmail/A 58906-2021 tillsynsbegäran mail.docx", "A 58906-2021")</f>
        <v/>
      </c>
      <c r="AE120">
        <f>HYPERLINK("https://klasma.github.io/Logging_0380/fåglar/A 58906-2021 prioriterade fågelarter.docx", "A 58906-2021")</f>
        <v/>
      </c>
    </row>
    <row r="121" ht="15" customHeight="1">
      <c r="A121" t="inlineStr">
        <is>
          <t>A 17277-2023</t>
        </is>
      </c>
      <c r="B121" t="inlineStr">
        <is>
          <t>avverkningsanmälan</t>
        </is>
      </c>
      <c r="C121" t="inlineStr">
        <is>
          <t>Föryngringsavverkning</t>
        </is>
      </c>
      <c r="D121" s="1" t="n">
        <v>45035</v>
      </c>
      <c r="E121" s="1" t="n">
        <v>46291</v>
      </c>
      <c r="F121" t="inlineStr">
        <is>
          <t>UPPSALA LÄN</t>
        </is>
      </c>
      <c r="G121" t="inlineStr">
        <is>
          <t>UPPSALA</t>
        </is>
      </c>
      <c r="H121" t="inlineStr">
        <is>
          <t>Övriga Aktiebolag</t>
        </is>
      </c>
      <c r="I121" t="n">
        <v>6.1</v>
      </c>
      <c r="J121" t="n">
        <v>3</v>
      </c>
      <c r="K121" t="n">
        <v>0</v>
      </c>
      <c r="L121" t="n">
        <v>1</v>
      </c>
      <c r="M121" t="n">
        <v>0</v>
      </c>
      <c r="N121" t="n">
        <v>0</v>
      </c>
      <c r="O121" t="n">
        <v>0</v>
      </c>
      <c r="P121" t="n">
        <v>0</v>
      </c>
      <c r="Q121" t="n">
        <v>1</v>
      </c>
      <c r="R121" t="n">
        <v>0</v>
      </c>
      <c r="S121" t="n">
        <v>3</v>
      </c>
      <c r="T121" t="n">
        <v>3</v>
      </c>
      <c r="U121" t="n">
        <v>3</v>
      </c>
      <c r="V121" s="2" t="inlineStr">
        <is>
          <t>Duvhök
Slaguggla
Trana</t>
        </is>
      </c>
      <c r="W121">
        <f>HYPERLINK("https://klasma.github.io/Logging_0380/artfynd/A 17277-2023 artfynd.xlsx", "A 17277-2023")</f>
        <v/>
      </c>
      <c r="X121">
        <f>HYPERLINK("https://klasma.github.io/Logging_0380/kartor/A 17277-2023 karta.png", "A 17277-2023")</f>
        <v/>
      </c>
      <c r="Y121">
        <f>HYPERLINK("https://klasma.github.io/Logging_0380/kartor_geotiff/A 17277-2023 georefererad karta.tif", "A 17277-2023")</f>
        <v/>
      </c>
      <c r="AA121">
        <f>HYPERLINK("https://klasma.github.io/Logging_0380/klagomål/A 17277-2023 FSC-klagomål.docx", "A 17277-2023")</f>
        <v/>
      </c>
      <c r="AB121">
        <f>HYPERLINK("https://klasma.github.io/Logging_0380/klagomålsmail/A 17277-2023 FSC-klagomål mail.docx", "A 17277-2023")</f>
        <v/>
      </c>
      <c r="AC121">
        <f>HYPERLINK("https://klasma.github.io/Logging_0380/tillsyn/A 17277-2023 tillsynsbegäran.docx", "A 17277-2023")</f>
        <v/>
      </c>
      <c r="AD121">
        <f>HYPERLINK("https://klasma.github.io/Logging_0380/tillsynsmail/A 17277-2023 tillsynsbegäran mail.docx", "A 17277-2023")</f>
        <v/>
      </c>
      <c r="AE121">
        <f>HYPERLINK("https://klasma.github.io/Logging_0380/fåglar/A 17277-2023 prioriterade fågelarter.docx", "A 17277-2023")</f>
        <v/>
      </c>
    </row>
    <row r="122" ht="15" customHeight="1">
      <c r="A122" t="inlineStr">
        <is>
          <t>A 65659-2021</t>
        </is>
      </c>
      <c r="B122" t="inlineStr">
        <is>
          <t>avverkningsanmälan</t>
        </is>
      </c>
      <c r="C122" t="inlineStr">
        <is>
          <t>Föryngringsavverkning</t>
        </is>
      </c>
      <c r="D122" s="1" t="n">
        <v>44516</v>
      </c>
      <c r="E122" s="1" t="n">
        <v>46291</v>
      </c>
      <c r="F122" t="inlineStr">
        <is>
          <t>UPPSALA LÄN</t>
        </is>
      </c>
      <c r="G122" t="inlineStr">
        <is>
          <t>UPPSALA</t>
        </is>
      </c>
      <c r="I122" t="n">
        <v>2.2</v>
      </c>
      <c r="J122" t="n">
        <v>1</v>
      </c>
      <c r="K122" t="n">
        <v>1</v>
      </c>
      <c r="L122" t="n">
        <v>0</v>
      </c>
      <c r="M122" t="n">
        <v>0</v>
      </c>
      <c r="N122" t="n">
        <v>1</v>
      </c>
      <c r="O122" t="n">
        <v>0</v>
      </c>
      <c r="P122" t="n">
        <v>0</v>
      </c>
      <c r="Q122" t="n">
        <v>1</v>
      </c>
      <c r="R122" t="n">
        <v>1</v>
      </c>
      <c r="S122" t="n">
        <v>3</v>
      </c>
      <c r="T122" t="n">
        <v>3</v>
      </c>
      <c r="U122" t="n">
        <v>0</v>
      </c>
      <c r="V122" s="2" t="inlineStr">
        <is>
          <t>Ask
Fällmossa
Blåsippa</t>
        </is>
      </c>
      <c r="W122">
        <f>HYPERLINK("https://klasma.github.io/Logging_0380/artfynd/A 65659-2021 artfynd.xlsx", "A 65659-2021")</f>
        <v/>
      </c>
      <c r="X122">
        <f>HYPERLINK("https://klasma.github.io/Logging_0380/kartor/A 65659-2021 karta.png", "A 65659-2021")</f>
        <v/>
      </c>
      <c r="Y122">
        <f>HYPERLINK("https://klasma.github.io/Logging_0380/kartor_geotiff/A 65659-2021 georefererad karta.tif", "A 65659-2021")</f>
        <v/>
      </c>
      <c r="AA122">
        <f>HYPERLINK("https://klasma.github.io/Logging_0380/klagomål/A 65659-2021 FSC-klagomål.docx", "A 65659-2021")</f>
        <v/>
      </c>
      <c r="AB122">
        <f>HYPERLINK("https://klasma.github.io/Logging_0380/klagomålsmail/A 65659-2021 FSC-klagomål mail.docx", "A 65659-2021")</f>
        <v/>
      </c>
      <c r="AC122">
        <f>HYPERLINK("https://klasma.github.io/Logging_0380/tillsyn/A 65659-2021 tillsynsbegäran.docx", "A 65659-2021")</f>
        <v/>
      </c>
      <c r="AD122">
        <f>HYPERLINK("https://klasma.github.io/Logging_0380/tillsynsmail/A 65659-2021 tillsynsbegäran mail.docx", "A 65659-2021")</f>
        <v/>
      </c>
    </row>
    <row r="123" ht="15" customHeight="1">
      <c r="A123" t="inlineStr">
        <is>
          <t>A 27816-2026</t>
        </is>
      </c>
      <c r="B123" t="inlineStr">
        <is>
          <t>avverkningsanmälan</t>
        </is>
      </c>
      <c r="C123" t="inlineStr">
        <is>
          <t>Föryngringsavverkning</t>
        </is>
      </c>
      <c r="D123" s="1" t="n">
        <v>46191</v>
      </c>
      <c r="E123" s="1" t="n">
        <v>46291</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88-2024</t>
        </is>
      </c>
      <c r="B124" t="inlineStr">
        <is>
          <t>avverkningsanmälan</t>
        </is>
      </c>
      <c r="C124" t="inlineStr">
        <is>
          <t>Avverkning för annat ändamål</t>
        </is>
      </c>
      <c r="D124" s="1" t="n">
        <v>45293</v>
      </c>
      <c r="E124" s="1" t="n">
        <v>46291</v>
      </c>
      <c r="F124" t="inlineStr">
        <is>
          <t>UPPSALA LÄN</t>
        </is>
      </c>
      <c r="G124" t="inlineStr">
        <is>
          <t>UPPSALA</t>
        </is>
      </c>
      <c r="I124" t="n">
        <v>2.1</v>
      </c>
      <c r="J124" t="n">
        <v>0</v>
      </c>
      <c r="K124" t="n">
        <v>1</v>
      </c>
      <c r="L124" t="n">
        <v>1</v>
      </c>
      <c r="M124" t="n">
        <v>0</v>
      </c>
      <c r="N124" t="n">
        <v>1</v>
      </c>
      <c r="O124" t="n">
        <v>0</v>
      </c>
      <c r="P124" t="n">
        <v>0</v>
      </c>
      <c r="Q124" t="n">
        <v>2</v>
      </c>
      <c r="R124" t="n">
        <v>1</v>
      </c>
      <c r="S124" t="n">
        <v>3</v>
      </c>
      <c r="T124" t="n">
        <v>3</v>
      </c>
      <c r="U124" t="n">
        <v>3</v>
      </c>
      <c r="V124" s="2" t="inlineStr">
        <is>
          <t>Ask
Gullklöver
Sotlav</t>
        </is>
      </c>
      <c r="W124">
        <f>HYPERLINK("https://klasma.github.io/Logging_0380/artfynd/A 88-2024 artfynd.xlsx", "A 88-2024")</f>
        <v/>
      </c>
      <c r="X124">
        <f>HYPERLINK("https://klasma.github.io/Logging_0380/kartor/A 88-2024 karta.png", "A 88-2024")</f>
        <v/>
      </c>
      <c r="Y124">
        <f>HYPERLINK("https://klasma.github.io/Logging_0380/kartor_geotiff/A 88-2024 georefererad karta.tif", "A 88-2024")</f>
        <v/>
      </c>
      <c r="AA124">
        <f>HYPERLINK("https://klasma.github.io/Logging_0380/klagomål/A 88-2024 FSC-klagomål.docx", "A 88-2024")</f>
        <v/>
      </c>
      <c r="AB124">
        <f>HYPERLINK("https://klasma.github.io/Logging_0380/klagomålsmail/A 88-2024 FSC-klagomål mail.docx", "A 88-2024")</f>
        <v/>
      </c>
      <c r="AC124">
        <f>HYPERLINK("https://klasma.github.io/Logging_0380/tillsyn/A 88-2024 tillsynsbegäran.docx", "A 88-2024")</f>
        <v/>
      </c>
      <c r="AD124">
        <f>HYPERLINK("https://klasma.github.io/Logging_0380/tillsynsmail/A 88-2024 tillsynsbegäran mail.docx", "A 88-2024")</f>
        <v/>
      </c>
    </row>
    <row r="125" ht="15" customHeight="1">
      <c r="A125" t="inlineStr">
        <is>
          <t>A 32107-2026</t>
        </is>
      </c>
      <c r="B125" t="inlineStr">
        <is>
          <t>avverkningsanmälan</t>
        </is>
      </c>
      <c r="C125" t="inlineStr">
        <is>
          <t>Föryngringsavverkning</t>
        </is>
      </c>
      <c r="D125" s="1" t="n">
        <v>46234</v>
      </c>
      <c r="E125" s="1" t="n">
        <v>46291</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36471-2022</t>
        </is>
      </c>
      <c r="B126" t="inlineStr">
        <is>
          <t>avverkningsanmälan</t>
        </is>
      </c>
      <c r="C126" t="inlineStr">
        <is>
          <t>Föryngringsavverkning</t>
        </is>
      </c>
      <c r="D126" s="1" t="n">
        <v>44804</v>
      </c>
      <c r="E126" s="1" t="n">
        <v>46291</v>
      </c>
      <c r="F126" t="inlineStr">
        <is>
          <t>UPPSALA LÄN</t>
        </is>
      </c>
      <c r="G126" t="inlineStr">
        <is>
          <t>UPPSALA</t>
        </is>
      </c>
      <c r="I126" t="n">
        <v>4.2</v>
      </c>
      <c r="J126" t="n">
        <v>0</v>
      </c>
      <c r="K126" t="n">
        <v>3</v>
      </c>
      <c r="L126" t="n">
        <v>0</v>
      </c>
      <c r="M126" t="n">
        <v>0</v>
      </c>
      <c r="N126" t="n">
        <v>0</v>
      </c>
      <c r="O126" t="n">
        <v>0</v>
      </c>
      <c r="P126" t="n">
        <v>0</v>
      </c>
      <c r="Q126" t="n">
        <v>0</v>
      </c>
      <c r="R126" t="n">
        <v>0</v>
      </c>
      <c r="S126" t="n">
        <v>3</v>
      </c>
      <c r="T126" t="n">
        <v>3</v>
      </c>
      <c r="U126" t="n">
        <v>0</v>
      </c>
      <c r="V126" s="2" t="inlineStr">
        <is>
          <t>Bronshjon
Spindelbock
Stor aspticka</t>
        </is>
      </c>
      <c r="W126">
        <f>HYPERLINK("https://klasma.github.io/Logging_0380/artfynd/A 36471-2022 artfynd.xlsx", "A 36471-2022")</f>
        <v/>
      </c>
      <c r="X126">
        <f>HYPERLINK("https://klasma.github.io/Logging_0380/kartor/A 36471-2022 karta.png", "A 36471-2022")</f>
        <v/>
      </c>
      <c r="Y126">
        <f>HYPERLINK("https://klasma.github.io/Logging_0380/kartor_geotiff/A 36471-2022 georefererad karta.tif", "A 36471-2022")</f>
        <v/>
      </c>
      <c r="AA126">
        <f>HYPERLINK("https://klasma.github.io/Logging_0380/klagomål/A 36471-2022 FSC-klagomål.docx", "A 36471-2022")</f>
        <v/>
      </c>
      <c r="AB126">
        <f>HYPERLINK("https://klasma.github.io/Logging_0380/klagomålsmail/A 36471-2022 FSC-klagomål mail.docx", "A 36471-2022")</f>
        <v/>
      </c>
      <c r="AC126">
        <f>HYPERLINK("https://klasma.github.io/Logging_0380/tillsyn/A 36471-2022 tillsynsbegäran.docx", "A 36471-2022")</f>
        <v/>
      </c>
      <c r="AD126">
        <f>HYPERLINK("https://klasma.github.io/Logging_0380/tillsynsmail/A 36471-2022 tillsynsbegäran mail.docx", "A 36471-2022")</f>
        <v/>
      </c>
    </row>
    <row r="127" ht="15" customHeight="1">
      <c r="A127" t="inlineStr">
        <is>
          <t>A 25943-2023</t>
        </is>
      </c>
      <c r="B127" t="inlineStr">
        <is>
          <t>avverkningsanmälan</t>
        </is>
      </c>
      <c r="C127" t="inlineStr">
        <is>
          <t>Föryngringsavverkning</t>
        </is>
      </c>
      <c r="D127" s="1" t="n">
        <v>45090</v>
      </c>
      <c r="E127" s="1" t="n">
        <v>46291</v>
      </c>
      <c r="F127" t="inlineStr">
        <is>
          <t>UPPSALA LÄN</t>
        </is>
      </c>
      <c r="G127" t="inlineStr">
        <is>
          <t>UPPSALA</t>
        </is>
      </c>
      <c r="H127" t="inlineStr">
        <is>
          <t>Holmen skog AB</t>
        </is>
      </c>
      <c r="I127" t="n">
        <v>2.7</v>
      </c>
      <c r="J127" t="n">
        <v>1</v>
      </c>
      <c r="K127" t="n">
        <v>1</v>
      </c>
      <c r="L127" t="n">
        <v>2</v>
      </c>
      <c r="M127" t="n">
        <v>0</v>
      </c>
      <c r="N127" t="n">
        <v>0</v>
      </c>
      <c r="O127" t="n">
        <v>0</v>
      </c>
      <c r="P127" t="n">
        <v>0</v>
      </c>
      <c r="Q127" t="n">
        <v>2</v>
      </c>
      <c r="R127" t="n">
        <v>0</v>
      </c>
      <c r="S127" t="n">
        <v>3</v>
      </c>
      <c r="T127" t="n">
        <v>3</v>
      </c>
      <c r="U127" t="n">
        <v>1</v>
      </c>
      <c r="V127" s="2" t="inlineStr">
        <is>
          <t>Mindre hackspett
Vedtrappmossa
Vedticka</t>
        </is>
      </c>
      <c r="W127">
        <f>HYPERLINK("https://klasma.github.io/Logging_0380/artfynd/A 25943-2023 artfynd.xlsx", "A 25943-2023")</f>
        <v/>
      </c>
      <c r="X127">
        <f>HYPERLINK("https://klasma.github.io/Logging_0380/kartor/A 25943-2023 karta.png", "A 25943-2023")</f>
        <v/>
      </c>
      <c r="Y127">
        <f>HYPERLINK("https://klasma.github.io/Logging_0380/kartor_geotiff/A 25943-2023 georefererad karta.tif", "A 25943-2023")</f>
        <v/>
      </c>
      <c r="AA127">
        <f>HYPERLINK("https://klasma.github.io/Logging_0380/klagomål/A 25943-2023 FSC-klagomål.docx", "A 25943-2023")</f>
        <v/>
      </c>
      <c r="AB127">
        <f>HYPERLINK("https://klasma.github.io/Logging_0380/klagomålsmail/A 25943-2023 FSC-klagomål mail.docx", "A 25943-2023")</f>
        <v/>
      </c>
      <c r="AC127">
        <f>HYPERLINK("https://klasma.github.io/Logging_0380/tillsyn/A 25943-2023 tillsynsbegäran.docx", "A 25943-2023")</f>
        <v/>
      </c>
      <c r="AD127">
        <f>HYPERLINK("https://klasma.github.io/Logging_0380/tillsynsmail/A 25943-2023 tillsynsbegäran mail.docx", "A 25943-2023")</f>
        <v/>
      </c>
      <c r="AE127">
        <f>HYPERLINK("https://klasma.github.io/Logging_0380/fåglar/A 25943-2023 prioriterade fågelarter.docx", "A 25943-2023")</f>
        <v/>
      </c>
    </row>
    <row r="128" ht="15" customHeight="1">
      <c r="A128" t="inlineStr">
        <is>
          <t>A 4657-2025</t>
        </is>
      </c>
      <c r="B128" t="inlineStr">
        <is>
          <t>avverkningsanmälan</t>
        </is>
      </c>
      <c r="C128" t="inlineStr">
        <is>
          <t>Föryngringsavverkning</t>
        </is>
      </c>
      <c r="D128" s="1" t="n">
        <v>45687</v>
      </c>
      <c r="E128" s="1" t="n">
        <v>46291</v>
      </c>
      <c r="F128" t="inlineStr">
        <is>
          <t>UPPSALA LÄN</t>
        </is>
      </c>
      <c r="G128" t="inlineStr">
        <is>
          <t>UPPSALA</t>
        </is>
      </c>
      <c r="I128" t="n">
        <v>2.9</v>
      </c>
      <c r="J128" t="n">
        <v>2</v>
      </c>
      <c r="K128" t="n">
        <v>0</v>
      </c>
      <c r="L128" t="n">
        <v>2</v>
      </c>
      <c r="M128" t="n">
        <v>0</v>
      </c>
      <c r="N128" t="n">
        <v>0</v>
      </c>
      <c r="O128" t="n">
        <v>0</v>
      </c>
      <c r="P128" t="n">
        <v>0</v>
      </c>
      <c r="Q128" t="n">
        <v>2</v>
      </c>
      <c r="R128" t="n">
        <v>0</v>
      </c>
      <c r="S128" t="n">
        <v>3</v>
      </c>
      <c r="T128" t="n">
        <v>3</v>
      </c>
      <c r="U128" t="n">
        <v>1</v>
      </c>
      <c r="V128" s="2" t="inlineStr">
        <is>
          <t>Grönsångare
Tallticka
Kungsfågel</t>
        </is>
      </c>
      <c r="W128">
        <f>HYPERLINK("https://klasma.github.io/Logging_0380/artfynd/A 4657-2025 artfynd.xlsx", "A 4657-2025")</f>
        <v/>
      </c>
      <c r="X128">
        <f>HYPERLINK("https://klasma.github.io/Logging_0380/kartor/A 4657-2025 karta.png", "A 4657-2025")</f>
        <v/>
      </c>
      <c r="Y128">
        <f>HYPERLINK("https://klasma.github.io/Logging_0380/kartor_geotiff/A 4657-2025 georefererad karta.tif", "A 4657-2025")</f>
        <v/>
      </c>
      <c r="AA128">
        <f>HYPERLINK("https://klasma.github.io/Logging_0380/klagomål/A 4657-2025 FSC-klagomål.docx", "A 4657-2025")</f>
        <v/>
      </c>
      <c r="AB128">
        <f>HYPERLINK("https://klasma.github.io/Logging_0380/klagomålsmail/A 4657-2025 FSC-klagomål mail.docx", "A 4657-2025")</f>
        <v/>
      </c>
      <c r="AC128">
        <f>HYPERLINK("https://klasma.github.io/Logging_0380/tillsyn/A 4657-2025 tillsynsbegäran.docx", "A 4657-2025")</f>
        <v/>
      </c>
      <c r="AD128">
        <f>HYPERLINK("https://klasma.github.io/Logging_0380/tillsynsmail/A 4657-2025 tillsynsbegäran mail.docx", "A 4657-2025")</f>
        <v/>
      </c>
      <c r="AE128">
        <f>HYPERLINK("https://klasma.github.io/Logging_0380/fåglar/A 4657-2025 prioriterade fågelarter.docx", "A 4657-2025")</f>
        <v/>
      </c>
    </row>
    <row r="129" ht="15" customHeight="1">
      <c r="A129" t="inlineStr">
        <is>
          <t>S 708-2023</t>
        </is>
      </c>
      <c r="B129" t="inlineStr">
        <is>
          <t>samrådsanmälan</t>
        </is>
      </c>
      <c r="C129" t="inlineStr">
        <is>
          <t>Annan skogsbruksåtgärd</t>
        </is>
      </c>
      <c r="D129" s="1" t="n">
        <v>44984</v>
      </c>
      <c r="E129" s="1" t="n">
        <v>46291</v>
      </c>
      <c r="F129" t="inlineStr">
        <is>
          <t>UPPSALA LÄN</t>
        </is>
      </c>
      <c r="G129" t="inlineStr">
        <is>
          <t>UPPSALA</t>
        </is>
      </c>
      <c r="I129" t="n">
        <v>9.800000000000001</v>
      </c>
      <c r="J129" t="n">
        <v>1</v>
      </c>
      <c r="K129" t="n">
        <v>0</v>
      </c>
      <c r="L129" t="n">
        <v>1</v>
      </c>
      <c r="M129" t="n">
        <v>1</v>
      </c>
      <c r="N129" t="n">
        <v>0</v>
      </c>
      <c r="O129" t="n">
        <v>0</v>
      </c>
      <c r="P129" t="n">
        <v>0</v>
      </c>
      <c r="Q129" t="n">
        <v>2</v>
      </c>
      <c r="R129" t="n">
        <v>1</v>
      </c>
      <c r="S129" t="n">
        <v>3</v>
      </c>
      <c r="T129" t="n">
        <v>9</v>
      </c>
      <c r="U129" t="n">
        <v>0</v>
      </c>
      <c r="V129" s="2" t="inlineStr">
        <is>
          <t>Aspsplintbock
Mindre aspborre
Blåsippa</t>
        </is>
      </c>
      <c r="W129">
        <f>HYPERLINK("https://klasma.github.io/Logging_0380/artfynd/S 708-2023 artfynd.xlsx", "S 708-2023")</f>
        <v/>
      </c>
      <c r="X129">
        <f>HYPERLINK("https://klasma.github.io/Logging_0380/kartor/S 708-2023 karta.png", "S 708-2023")</f>
        <v/>
      </c>
      <c r="Y129">
        <f>HYPERLINK("https://klasma.github.io/Logging_0380/kartor_geotiff/S 708-2023 georefererad karta.tif", "S 708-2023")</f>
        <v/>
      </c>
      <c r="AA129">
        <f>HYPERLINK("https://klasma.github.io/Logging_0380/klagomål/S 708-2023 FSC-klagomål.docx", "S 708-2023")</f>
        <v/>
      </c>
      <c r="AB129">
        <f>HYPERLINK("https://klasma.github.io/Logging_0380/klagomålsmail/S 708-2023 FSC-klagomål mail.docx", "S 708-2023")</f>
        <v/>
      </c>
      <c r="AC129">
        <f>HYPERLINK("https://klasma.github.io/Logging_0380/tillsyn/S 708-2023 tillsynsbegäran.docx", "S 708-2023")</f>
        <v/>
      </c>
      <c r="AD129">
        <f>HYPERLINK("https://klasma.github.io/Logging_0380/tillsynsmail/S 708-2023 tillsynsbegäran mail.docx", "S 708-2023")</f>
        <v/>
      </c>
    </row>
    <row r="130" ht="15" customHeight="1">
      <c r="A130" t="inlineStr">
        <is>
          <t>A 5750-2023</t>
        </is>
      </c>
      <c r="B130" t="inlineStr">
        <is>
          <t>avverkningsanmälan</t>
        </is>
      </c>
      <c r="C130" t="inlineStr">
        <is>
          <t>Föryngringsavverkning</t>
        </is>
      </c>
      <c r="D130" s="1" t="n">
        <v>44963</v>
      </c>
      <c r="E130" s="1" t="n">
        <v>46291</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25729-2024</t>
        </is>
      </c>
      <c r="B131" t="inlineStr">
        <is>
          <t>avverkningsanmälan</t>
        </is>
      </c>
      <c r="C131" t="inlineStr">
        <is>
          <t>Föryngringsavverkning</t>
        </is>
      </c>
      <c r="D131" s="1" t="n">
        <v>45464</v>
      </c>
      <c r="E131" s="1" t="n">
        <v>46291</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19539-2024</t>
        </is>
      </c>
      <c r="B132" t="inlineStr">
        <is>
          <t>avverkningsanmälan</t>
        </is>
      </c>
      <c r="C132" t="inlineStr">
        <is>
          <t>Föryngringsavverkning</t>
        </is>
      </c>
      <c r="D132" s="1" t="n">
        <v>45429</v>
      </c>
      <c r="E132" s="1" t="n">
        <v>46291</v>
      </c>
      <c r="F132" t="inlineStr">
        <is>
          <t>UPPSALA LÄN</t>
        </is>
      </c>
      <c r="G132" t="inlineStr">
        <is>
          <t>UPPSALA</t>
        </is>
      </c>
      <c r="I132" t="n">
        <v>1.9</v>
      </c>
      <c r="J132" t="n">
        <v>2</v>
      </c>
      <c r="K132" t="n">
        <v>0</v>
      </c>
      <c r="L132" t="n">
        <v>1</v>
      </c>
      <c r="M132" t="n">
        <v>1</v>
      </c>
      <c r="N132" t="n">
        <v>0</v>
      </c>
      <c r="O132" t="n">
        <v>0</v>
      </c>
      <c r="P132" t="n">
        <v>0</v>
      </c>
      <c r="Q132" t="n">
        <v>2</v>
      </c>
      <c r="R132" t="n">
        <v>1</v>
      </c>
      <c r="S132" t="n">
        <v>2</v>
      </c>
      <c r="T132" t="n">
        <v>3</v>
      </c>
      <c r="U132" t="n">
        <v>0</v>
      </c>
      <c r="V132" s="2" t="inlineStr">
        <is>
          <t>Grönfink
Gulsparv</t>
        </is>
      </c>
      <c r="W132">
        <f>HYPERLINK("https://klasma.github.io/Logging_0380/artfynd/A 19539-2024 artfynd.xlsx", "A 19539-2024")</f>
        <v/>
      </c>
      <c r="X132">
        <f>HYPERLINK("https://klasma.github.io/Logging_0380/kartor/A 19539-2024 karta.png", "A 19539-2024")</f>
        <v/>
      </c>
      <c r="Y132">
        <f>HYPERLINK("https://klasma.github.io/Logging_0380/kartor_geotiff/A 19539-2024 georefererad karta.tif", "A 19539-2024")</f>
        <v/>
      </c>
      <c r="AA132">
        <f>HYPERLINK("https://klasma.github.io/Logging_0380/klagomål/A 19539-2024 FSC-klagomål.docx", "A 19539-2024")</f>
        <v/>
      </c>
      <c r="AB132">
        <f>HYPERLINK("https://klasma.github.io/Logging_0380/klagomålsmail/A 19539-2024 FSC-klagomål mail.docx", "A 19539-2024")</f>
        <v/>
      </c>
      <c r="AC132">
        <f>HYPERLINK("https://klasma.github.io/Logging_0380/tillsyn/A 19539-2024 tillsynsbegäran.docx", "A 19539-2024")</f>
        <v/>
      </c>
      <c r="AD132">
        <f>HYPERLINK("https://klasma.github.io/Logging_0380/tillsynsmail/A 19539-2024 tillsynsbegäran mail.docx", "A 19539-2024")</f>
        <v/>
      </c>
      <c r="AE132">
        <f>HYPERLINK("https://klasma.github.io/Logging_0380/fåglar/A 19539-2024 prioriterade fågelarter.docx", "A 19539-2024")</f>
        <v/>
      </c>
    </row>
    <row r="133" ht="15" customHeight="1">
      <c r="A133" t="inlineStr">
        <is>
          <t>A 51158-2025</t>
        </is>
      </c>
      <c r="B133" t="inlineStr">
        <is>
          <t>avverkningsanmälan</t>
        </is>
      </c>
      <c r="C133" t="inlineStr">
        <is>
          <t>Föryngringsavverkning</t>
        </is>
      </c>
      <c r="D133" s="1" t="n">
        <v>45947</v>
      </c>
      <c r="E133" s="1" t="n">
        <v>46291</v>
      </c>
      <c r="F133" t="inlineStr">
        <is>
          <t>UPPSALA LÄN</t>
        </is>
      </c>
      <c r="G133" t="inlineStr">
        <is>
          <t>UPPSALA</t>
        </is>
      </c>
      <c r="H133" t="inlineStr">
        <is>
          <t>Övriga Aktiebolag</t>
        </is>
      </c>
      <c r="I133" t="n">
        <v>12.1</v>
      </c>
      <c r="J133" t="n">
        <v>0</v>
      </c>
      <c r="K133" t="n">
        <v>0</v>
      </c>
      <c r="L133" t="n">
        <v>0</v>
      </c>
      <c r="M133" t="n">
        <v>0</v>
      </c>
      <c r="N133" t="n">
        <v>0</v>
      </c>
      <c r="O133" t="n">
        <v>0</v>
      </c>
      <c r="P133" t="n">
        <v>0</v>
      </c>
      <c r="Q133" t="n">
        <v>0</v>
      </c>
      <c r="R133" t="n">
        <v>0</v>
      </c>
      <c r="S133" t="n">
        <v>2</v>
      </c>
      <c r="T133" t="n">
        <v>2</v>
      </c>
      <c r="U133" t="n">
        <v>2</v>
      </c>
      <c r="V133" s="2" t="inlineStr">
        <is>
          <t>Liljekonvalj
Vitsippa</t>
        </is>
      </c>
      <c r="W133">
        <f>HYPERLINK("https://klasma.github.io/Logging_0380/artfynd/A 51158-2025 artfynd.xlsx", "A 51158-2025")</f>
        <v/>
      </c>
      <c r="X133">
        <f>HYPERLINK("https://klasma.github.io/Logging_0380/kartor/A 51158-2025 karta.png", "A 51158-2025")</f>
        <v/>
      </c>
      <c r="Y133">
        <f>HYPERLINK("https://klasma.github.io/Logging_0380/kartor_geotiff/A 51158-2025 georefererad karta.tif", "A 51158-2025")</f>
        <v/>
      </c>
      <c r="AA133">
        <f>HYPERLINK("https://klasma.github.io/Logging_0380/klagomål/A 51158-2025 FSC-klagomål.docx", "A 51158-2025")</f>
        <v/>
      </c>
      <c r="AB133">
        <f>HYPERLINK("https://klasma.github.io/Logging_0380/klagomålsmail/A 51158-2025 FSC-klagomål mail.docx", "A 51158-2025")</f>
        <v/>
      </c>
      <c r="AC133">
        <f>HYPERLINK("https://klasma.github.io/Logging_0380/tillsyn/A 51158-2025 tillsynsbegäran.docx", "A 51158-2025")</f>
        <v/>
      </c>
      <c r="AD133">
        <f>HYPERLINK("https://klasma.github.io/Logging_0380/tillsynsmail/A 51158-2025 tillsynsbegäran mail.docx", "A 51158-2025")</f>
        <v/>
      </c>
    </row>
    <row r="134" ht="15" customHeight="1">
      <c r="A134" t="inlineStr">
        <is>
          <t>A 6999-2023</t>
        </is>
      </c>
      <c r="B134" t="inlineStr">
        <is>
          <t>avverkningsanmälan</t>
        </is>
      </c>
      <c r="C134" t="inlineStr">
        <is>
          <t>Föryngringsavverkning</t>
        </is>
      </c>
      <c r="D134" s="1" t="n">
        <v>44967</v>
      </c>
      <c r="E134" s="1" t="n">
        <v>46291</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53589-2025</t>
        </is>
      </c>
      <c r="B135" t="inlineStr">
        <is>
          <t>avverkningsanmälan</t>
        </is>
      </c>
      <c r="C135" t="inlineStr">
        <is>
          <t>Föryngringsavverkning</t>
        </is>
      </c>
      <c r="D135" s="1" t="n">
        <v>45960</v>
      </c>
      <c r="E135" s="1" t="n">
        <v>46291</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39933-2023</t>
        </is>
      </c>
      <c r="B136" t="inlineStr">
        <is>
          <t>avverkningsanmälan</t>
        </is>
      </c>
      <c r="C136" t="inlineStr">
        <is>
          <t>Föryngringsavverkning</t>
        </is>
      </c>
      <c r="D136" s="1" t="n">
        <v>45168</v>
      </c>
      <c r="E136" s="1" t="n">
        <v>46291</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51935-2023</t>
        </is>
      </c>
      <c r="B137" t="inlineStr">
        <is>
          <t>avverkningsanmälan</t>
        </is>
      </c>
      <c r="C137" t="inlineStr">
        <is>
          <t>Föryngringsavverkning</t>
        </is>
      </c>
      <c r="D137" s="1" t="n">
        <v>45223</v>
      </c>
      <c r="E137" s="1" t="n">
        <v>46291</v>
      </c>
      <c r="F137" t="inlineStr">
        <is>
          <t>UPPSALA LÄN</t>
        </is>
      </c>
      <c r="G137" t="inlineStr">
        <is>
          <t>UPPSALA</t>
        </is>
      </c>
      <c r="I137" t="n">
        <v>4.8</v>
      </c>
      <c r="J137" t="n">
        <v>0</v>
      </c>
      <c r="K137" t="n">
        <v>1</v>
      </c>
      <c r="L137" t="n">
        <v>0</v>
      </c>
      <c r="M137" t="n">
        <v>1</v>
      </c>
      <c r="N137" t="n">
        <v>0</v>
      </c>
      <c r="O137" t="n">
        <v>0</v>
      </c>
      <c r="P137" t="n">
        <v>0</v>
      </c>
      <c r="Q137" t="n">
        <v>1</v>
      </c>
      <c r="R137" t="n">
        <v>1</v>
      </c>
      <c r="S137" t="n">
        <v>2</v>
      </c>
      <c r="T137" t="n">
        <v>2</v>
      </c>
      <c r="U137" t="n">
        <v>1</v>
      </c>
      <c r="V137" s="2" t="inlineStr">
        <is>
          <t>Ekpricklav
Fransig jordstjärna</t>
        </is>
      </c>
      <c r="W137">
        <f>HYPERLINK("https://klasma.github.io/Logging_0380/artfynd/A 51935-2023 artfynd.xlsx", "A 51935-2023")</f>
        <v/>
      </c>
      <c r="X137">
        <f>HYPERLINK("https://klasma.github.io/Logging_0380/kartor/A 51935-2023 karta.png", "A 51935-2023")</f>
        <v/>
      </c>
      <c r="Y137">
        <f>HYPERLINK("https://klasma.github.io/Logging_0380/kartor_geotiff/A 51935-2023 georefererad karta.tif", "A 51935-2023")</f>
        <v/>
      </c>
      <c r="AA137">
        <f>HYPERLINK("https://klasma.github.io/Logging_0380/klagomål/A 51935-2023 FSC-klagomål.docx", "A 51935-2023")</f>
        <v/>
      </c>
      <c r="AB137">
        <f>HYPERLINK("https://klasma.github.io/Logging_0380/klagomålsmail/A 51935-2023 FSC-klagomål mail.docx", "A 51935-2023")</f>
        <v/>
      </c>
      <c r="AC137">
        <f>HYPERLINK("https://klasma.github.io/Logging_0380/tillsyn/A 51935-2023 tillsynsbegäran.docx", "A 51935-2023")</f>
        <v/>
      </c>
      <c r="AD137">
        <f>HYPERLINK("https://klasma.github.io/Logging_0380/tillsynsmail/A 51935-2023 tillsynsbegäran mail.docx", "A 51935-2023")</f>
        <v/>
      </c>
    </row>
    <row r="138" ht="15" customHeight="1">
      <c r="A138" t="inlineStr">
        <is>
          <t>A 44675-2023</t>
        </is>
      </c>
      <c r="B138" t="inlineStr">
        <is>
          <t>avverkningsanmälan</t>
        </is>
      </c>
      <c r="C138" t="inlineStr">
        <is>
          <t>Föryngringsavverkning</t>
        </is>
      </c>
      <c r="D138" s="1" t="n">
        <v>45189</v>
      </c>
      <c r="E138" s="1" t="n">
        <v>46291</v>
      </c>
      <c r="F138" t="inlineStr">
        <is>
          <t>UPPSALA LÄN</t>
        </is>
      </c>
      <c r="G138" t="inlineStr">
        <is>
          <t>UPPSALA</t>
        </is>
      </c>
      <c r="I138" t="n">
        <v>7.1</v>
      </c>
      <c r="J138" t="n">
        <v>2</v>
      </c>
      <c r="K138" t="n">
        <v>0</v>
      </c>
      <c r="L138" t="n">
        <v>1</v>
      </c>
      <c r="M138" t="n">
        <v>1</v>
      </c>
      <c r="N138" t="n">
        <v>0</v>
      </c>
      <c r="O138" t="n">
        <v>0</v>
      </c>
      <c r="P138" t="n">
        <v>0</v>
      </c>
      <c r="Q138" t="n">
        <v>2</v>
      </c>
      <c r="R138" t="n">
        <v>1</v>
      </c>
      <c r="S138" t="n">
        <v>2</v>
      </c>
      <c r="T138" t="n">
        <v>21</v>
      </c>
      <c r="U138" t="n">
        <v>20</v>
      </c>
      <c r="V138" s="2" t="inlineStr">
        <is>
          <t>Knärot
Talltita</t>
        </is>
      </c>
      <c r="W138">
        <f>HYPERLINK("https://klasma.github.io/Logging_0380/artfynd/A 44675-2023 artfynd.xlsx", "A 44675-2023")</f>
        <v/>
      </c>
      <c r="X138">
        <f>HYPERLINK("https://klasma.github.io/Logging_0380/kartor/A 44675-2023 karta.png", "A 44675-2023")</f>
        <v/>
      </c>
      <c r="Y138">
        <f>HYPERLINK("https://klasma.github.io/Logging_0380/kartor_geotiff/A 44675-2023 georefererad karta.tif", "A 44675-2023")</f>
        <v/>
      </c>
      <c r="Z138">
        <f>HYPERLINK("https://klasma.github.io/Logging_0380/knärot/A 44675-2023 karta knärot.png", "A 44675-2023")</f>
        <v/>
      </c>
      <c r="AA138">
        <f>HYPERLINK("https://klasma.github.io/Logging_0380/klagomål/A 44675-2023 FSC-klagomål.docx", "A 44675-2023")</f>
        <v/>
      </c>
      <c r="AB138">
        <f>HYPERLINK("https://klasma.github.io/Logging_0380/klagomålsmail/A 44675-2023 FSC-klagomål mail.docx", "A 44675-2023")</f>
        <v/>
      </c>
      <c r="AC138">
        <f>HYPERLINK("https://klasma.github.io/Logging_0380/tillsyn/A 44675-2023 tillsynsbegäran.docx", "A 44675-2023")</f>
        <v/>
      </c>
      <c r="AD138">
        <f>HYPERLINK("https://klasma.github.io/Logging_0380/tillsynsmail/A 44675-2023 tillsynsbegäran mail.docx", "A 44675-2023")</f>
        <v/>
      </c>
      <c r="AE138">
        <f>HYPERLINK("https://klasma.github.io/Logging_0380/fåglar/A 44675-2023 prioriterade fågelarter.docx", "A 44675-2023")</f>
        <v/>
      </c>
    </row>
    <row r="139" ht="15" customHeight="1">
      <c r="A139" t="inlineStr">
        <is>
          <t>A 35260-2025</t>
        </is>
      </c>
      <c r="B139" t="inlineStr">
        <is>
          <t>avverkningsanmälan</t>
        </is>
      </c>
      <c r="C139" t="inlineStr">
        <is>
          <t>Föryngringsavverkning</t>
        </is>
      </c>
      <c r="D139" s="1" t="n">
        <v>45853</v>
      </c>
      <c r="E139" s="1" t="n">
        <v>46291</v>
      </c>
      <c r="F139" t="inlineStr">
        <is>
          <t>UPPSALA LÄN</t>
        </is>
      </c>
      <c r="G139" t="inlineStr">
        <is>
          <t>UPPSALA</t>
        </is>
      </c>
      <c r="I139" t="n">
        <v>7.3</v>
      </c>
      <c r="J139" t="n">
        <v>0</v>
      </c>
      <c r="K139" t="n">
        <v>1</v>
      </c>
      <c r="L139" t="n">
        <v>1</v>
      </c>
      <c r="M139" t="n">
        <v>0</v>
      </c>
      <c r="N139" t="n">
        <v>0</v>
      </c>
      <c r="O139" t="n">
        <v>0</v>
      </c>
      <c r="P139" t="n">
        <v>0</v>
      </c>
      <c r="Q139" t="n">
        <v>1</v>
      </c>
      <c r="R139" t="n">
        <v>0</v>
      </c>
      <c r="S139" t="n">
        <v>2</v>
      </c>
      <c r="T139" t="n">
        <v>3</v>
      </c>
      <c r="U139" t="n">
        <v>3</v>
      </c>
      <c r="V139" s="2" t="inlineStr">
        <is>
          <t>Gultoppig fingersvamp
Svavelriska</t>
        </is>
      </c>
      <c r="W139">
        <f>HYPERLINK("https://klasma.github.io/Logging_0380/artfynd/A 35260-2025 artfynd.xlsx", "A 35260-2025")</f>
        <v/>
      </c>
      <c r="X139">
        <f>HYPERLINK("https://klasma.github.io/Logging_0380/kartor/A 35260-2025 karta.png", "A 35260-2025")</f>
        <v/>
      </c>
      <c r="Y139">
        <f>HYPERLINK("https://klasma.github.io/Logging_0380/kartor_geotiff/A 35260-2025 georefererad karta.tif", "A 35260-2025")</f>
        <v/>
      </c>
      <c r="AA139">
        <f>HYPERLINK("https://klasma.github.io/Logging_0380/klagomål/A 35260-2025 FSC-klagomål.docx", "A 35260-2025")</f>
        <v/>
      </c>
      <c r="AB139">
        <f>HYPERLINK("https://klasma.github.io/Logging_0380/klagomålsmail/A 35260-2025 FSC-klagomål mail.docx", "A 35260-2025")</f>
        <v/>
      </c>
      <c r="AC139">
        <f>HYPERLINK("https://klasma.github.io/Logging_0380/tillsyn/A 35260-2025 tillsynsbegäran.docx", "A 35260-2025")</f>
        <v/>
      </c>
      <c r="AD139">
        <f>HYPERLINK("https://klasma.github.io/Logging_0380/tillsynsmail/A 35260-2025 tillsynsbegäran mail.docx", "A 35260-2025")</f>
        <v/>
      </c>
    </row>
    <row r="140" ht="15" customHeight="1">
      <c r="A140" t="inlineStr">
        <is>
          <t>A 42134-2025</t>
        </is>
      </c>
      <c r="B140" t="inlineStr">
        <is>
          <t>avverkningsanmälan</t>
        </is>
      </c>
      <c r="C140" t="inlineStr">
        <is>
          <t>Avverkning för annat ändamål</t>
        </is>
      </c>
      <c r="D140" s="1" t="n">
        <v>45904</v>
      </c>
      <c r="E140" s="1" t="n">
        <v>46291</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36076-2026</t>
        </is>
      </c>
      <c r="B141" t="inlineStr">
        <is>
          <t>avverkningsanmälan</t>
        </is>
      </c>
      <c r="C141" t="inlineStr">
        <is>
          <t>Föryngringsavverkning</t>
        </is>
      </c>
      <c r="D141" s="1" t="n">
        <v>46267</v>
      </c>
      <c r="E141" s="1" t="n">
        <v>46291</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844-2025</t>
        </is>
      </c>
      <c r="B142" t="inlineStr">
        <is>
          <t>avverkningsanmälan</t>
        </is>
      </c>
      <c r="C142" t="inlineStr">
        <is>
          <t>Föryngringsavverkning</t>
        </is>
      </c>
      <c r="D142" s="1" t="n">
        <v>45665</v>
      </c>
      <c r="E142" s="1" t="n">
        <v>46291</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46291</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6998-2023</t>
        </is>
      </c>
      <c r="B144" t="inlineStr">
        <is>
          <t>avverkningsanmälan</t>
        </is>
      </c>
      <c r="C144" t="inlineStr">
        <is>
          <t>Föryngringsavverkning</t>
        </is>
      </c>
      <c r="D144" s="1" t="n">
        <v>44967</v>
      </c>
      <c r="E144" s="1" t="n">
        <v>46291</v>
      </c>
      <c r="F144" t="inlineStr">
        <is>
          <t>UPPSALA LÄN</t>
        </is>
      </c>
      <c r="G144" t="inlineStr">
        <is>
          <t>UPPSALA</t>
        </is>
      </c>
      <c r="I144" t="n">
        <v>8.4</v>
      </c>
      <c r="J144" t="n">
        <v>2</v>
      </c>
      <c r="K144" t="n">
        <v>0</v>
      </c>
      <c r="L144" t="n">
        <v>0</v>
      </c>
      <c r="M144" t="n">
        <v>0</v>
      </c>
      <c r="N144" t="n">
        <v>0</v>
      </c>
      <c r="O144" t="n">
        <v>0</v>
      </c>
      <c r="P144" t="n">
        <v>0</v>
      </c>
      <c r="Q144" t="n">
        <v>0</v>
      </c>
      <c r="R144" t="n">
        <v>0</v>
      </c>
      <c r="S144" t="n">
        <v>2</v>
      </c>
      <c r="T144" t="n">
        <v>2</v>
      </c>
      <c r="U144" t="n">
        <v>0</v>
      </c>
      <c r="V144" s="2" t="inlineStr">
        <is>
          <t>Blåsippa
Nattviol</t>
        </is>
      </c>
      <c r="W144">
        <f>HYPERLINK("https://klasma.github.io/Logging_0380/artfynd/A 6998-2023 artfynd.xlsx", "A 6998-2023")</f>
        <v/>
      </c>
      <c r="X144">
        <f>HYPERLINK("https://klasma.github.io/Logging_0380/kartor/A 6998-2023 karta.png", "A 6998-2023")</f>
        <v/>
      </c>
      <c r="Y144">
        <f>HYPERLINK("https://klasma.github.io/Logging_0380/kartor_geotiff/A 6998-2023 georefererad karta.tif", "A 6998-2023")</f>
        <v/>
      </c>
      <c r="AA144">
        <f>HYPERLINK("https://klasma.github.io/Logging_0380/klagomål/A 6998-2023 FSC-klagomål.docx", "A 6998-2023")</f>
        <v/>
      </c>
      <c r="AB144">
        <f>HYPERLINK("https://klasma.github.io/Logging_0380/klagomålsmail/A 6998-2023 FSC-klagomål mail.docx", "A 6998-2023")</f>
        <v/>
      </c>
      <c r="AC144">
        <f>HYPERLINK("https://klasma.github.io/Logging_0380/tillsyn/A 6998-2023 tillsynsbegäran.docx", "A 6998-2023")</f>
        <v/>
      </c>
      <c r="AD144">
        <f>HYPERLINK("https://klasma.github.io/Logging_0380/tillsynsmail/A 6998-2023 tillsynsbegäran mail.docx", "A 6998-2023")</f>
        <v/>
      </c>
    </row>
    <row r="145" ht="15" customHeight="1">
      <c r="A145" t="inlineStr">
        <is>
          <t>A 5755-2025</t>
        </is>
      </c>
      <c r="B145" t="inlineStr">
        <is>
          <t>avverkningsanmälan</t>
        </is>
      </c>
      <c r="C145" t="inlineStr">
        <is>
          <t>Avverkning för att bevara och utveckla /försöksver</t>
        </is>
      </c>
      <c r="D145" s="1" t="n">
        <v>45694</v>
      </c>
      <c r="E145" s="1" t="n">
        <v>46291</v>
      </c>
      <c r="F145" t="inlineStr">
        <is>
          <t>UPPSALA LÄN</t>
        </is>
      </c>
      <c r="G145" t="inlineStr">
        <is>
          <t>UPPSALA</t>
        </is>
      </c>
      <c r="I145" t="n">
        <v>1.3</v>
      </c>
      <c r="J145" t="n">
        <v>0</v>
      </c>
      <c r="K145" t="n">
        <v>2</v>
      </c>
      <c r="L145" t="n">
        <v>0</v>
      </c>
      <c r="M145" t="n">
        <v>0</v>
      </c>
      <c r="N145" t="n">
        <v>0</v>
      </c>
      <c r="O145" t="n">
        <v>0</v>
      </c>
      <c r="P145" t="n">
        <v>0</v>
      </c>
      <c r="Q145" t="n">
        <v>0</v>
      </c>
      <c r="R145" t="n">
        <v>0</v>
      </c>
      <c r="S145" t="n">
        <v>2</v>
      </c>
      <c r="T145" t="n">
        <v>3</v>
      </c>
      <c r="U145" t="n">
        <v>0</v>
      </c>
      <c r="V145" s="2" t="inlineStr">
        <is>
          <t>Fällmossa
Hasselticka</t>
        </is>
      </c>
      <c r="W145">
        <f>HYPERLINK("https://klasma.github.io/Logging_0380/artfynd/A 5755-2025 artfynd.xlsx", "A 5755-2025")</f>
        <v/>
      </c>
      <c r="X145">
        <f>HYPERLINK("https://klasma.github.io/Logging_0380/kartor/A 5755-2025 karta.png", "A 5755-2025")</f>
        <v/>
      </c>
      <c r="Y145">
        <f>HYPERLINK("https://klasma.github.io/Logging_0380/kartor_geotiff/A 5755-2025 georefererad karta.tif", "A 5755-2025")</f>
        <v/>
      </c>
      <c r="AA145">
        <f>HYPERLINK("https://klasma.github.io/Logging_0380/klagomål/A 5755-2025 FSC-klagomål.docx", "A 5755-2025")</f>
        <v/>
      </c>
      <c r="AB145">
        <f>HYPERLINK("https://klasma.github.io/Logging_0380/klagomålsmail/A 5755-2025 FSC-klagomål mail.docx", "A 5755-2025")</f>
        <v/>
      </c>
      <c r="AC145">
        <f>HYPERLINK("https://klasma.github.io/Logging_0380/tillsyn/A 5755-2025 tillsynsbegäran.docx", "A 5755-2025")</f>
        <v/>
      </c>
      <c r="AD145">
        <f>HYPERLINK("https://klasma.github.io/Logging_0380/tillsynsmail/A 5755-2025 tillsynsbegäran mail.docx", "A 5755-2025")</f>
        <v/>
      </c>
    </row>
    <row r="146" ht="15" customHeight="1">
      <c r="A146" t="inlineStr">
        <is>
          <t>A 20712-2025</t>
        </is>
      </c>
      <c r="B146" t="inlineStr">
        <is>
          <t>avverkningsanmälan</t>
        </is>
      </c>
      <c r="C146" t="inlineStr">
        <is>
          <t>Föryngringsavverkning</t>
        </is>
      </c>
      <c r="D146" s="1" t="n">
        <v>45776</v>
      </c>
      <c r="E146" s="1" t="n">
        <v>46291</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46291</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46291</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46291</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46291</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46291</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46291</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42622-2022</t>
        </is>
      </c>
      <c r="B153" t="inlineStr">
        <is>
          <t>avverkningsanmälan</t>
        </is>
      </c>
      <c r="C153" t="inlineStr">
        <is>
          <t>Föryngringsavverkning</t>
        </is>
      </c>
      <c r="D153" s="1" t="n">
        <v>44831</v>
      </c>
      <c r="E153" s="1" t="n">
        <v>46291</v>
      </c>
      <c r="F153" t="inlineStr">
        <is>
          <t>UPPSALA LÄN</t>
        </is>
      </c>
      <c r="G153" t="inlineStr">
        <is>
          <t>UPPSALA</t>
        </is>
      </c>
      <c r="I153" t="n">
        <v>2.4</v>
      </c>
      <c r="J153" t="n">
        <v>0</v>
      </c>
      <c r="K153" t="n">
        <v>0</v>
      </c>
      <c r="L153" t="n">
        <v>1</v>
      </c>
      <c r="M153" t="n">
        <v>0</v>
      </c>
      <c r="N153" t="n">
        <v>0</v>
      </c>
      <c r="O153" t="n">
        <v>0</v>
      </c>
      <c r="P153" t="n">
        <v>0</v>
      </c>
      <c r="Q153" t="n">
        <v>1</v>
      </c>
      <c r="R153" t="n">
        <v>0</v>
      </c>
      <c r="S153" t="n">
        <v>1</v>
      </c>
      <c r="T153" t="n">
        <v>1</v>
      </c>
      <c r="U153" t="n">
        <v>1</v>
      </c>
      <c r="V153" s="2" t="inlineStr">
        <is>
          <t>Motaggsvamp</t>
        </is>
      </c>
      <c r="W153">
        <f>HYPERLINK("https://klasma.github.io/Logging_0380/artfynd/A 42622-2022 artfynd.xlsx", "A 42622-2022")</f>
        <v/>
      </c>
      <c r="X153">
        <f>HYPERLINK("https://klasma.github.io/Logging_0380/kartor/A 42622-2022 karta.png", "A 42622-2022")</f>
        <v/>
      </c>
      <c r="Y153">
        <f>HYPERLINK("https://klasma.github.io/Logging_0380/kartor_geotiff/A 42622-2022 georefererad karta.tif", "A 42622-2022")</f>
        <v/>
      </c>
      <c r="AA153">
        <f>HYPERLINK("https://klasma.github.io/Logging_0380/klagomål/A 42622-2022 FSC-klagomål.docx", "A 42622-2022")</f>
        <v/>
      </c>
      <c r="AB153">
        <f>HYPERLINK("https://klasma.github.io/Logging_0380/klagomålsmail/A 42622-2022 FSC-klagomål mail.docx", "A 42622-2022")</f>
        <v/>
      </c>
      <c r="AC153">
        <f>HYPERLINK("https://klasma.github.io/Logging_0380/tillsyn/A 42622-2022 tillsynsbegäran.docx", "A 42622-2022")</f>
        <v/>
      </c>
      <c r="AD153">
        <f>HYPERLINK("https://klasma.github.io/Logging_0380/tillsynsmail/A 42622-2022 tillsynsbegäran mail.docx", "A 42622-2022")</f>
        <v/>
      </c>
    </row>
    <row r="154" ht="15" customHeight="1">
      <c r="A154" t="inlineStr">
        <is>
          <t>A 46069-2022</t>
        </is>
      </c>
      <c r="B154" t="inlineStr">
        <is>
          <t>avverkningsanmälan</t>
        </is>
      </c>
      <c r="C154" t="inlineStr">
        <is>
          <t>Föryngringsavverkning</t>
        </is>
      </c>
      <c r="D154" s="1" t="n">
        <v>44847</v>
      </c>
      <c r="E154" s="1" t="n">
        <v>46291</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56889-2022</t>
        </is>
      </c>
      <c r="B155" t="inlineStr">
        <is>
          <t>avverkningsanmälan</t>
        </is>
      </c>
      <c r="C155" t="inlineStr">
        <is>
          <t>Föryngringsavverkning</t>
        </is>
      </c>
      <c r="D155" s="1" t="n">
        <v>44894</v>
      </c>
      <c r="E155" s="1" t="n">
        <v>46291</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46291</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58050-2021</t>
        </is>
      </c>
      <c r="B157" t="inlineStr">
        <is>
          <t>avverkningsanmälan</t>
        </is>
      </c>
      <c r="C157" t="inlineStr">
        <is>
          <t>Föryngringsavverkning</t>
        </is>
      </c>
      <c r="D157" s="1" t="n">
        <v>44487</v>
      </c>
      <c r="E157" s="1" t="n">
        <v>46291</v>
      </c>
      <c r="F157" t="inlineStr">
        <is>
          <t>UPPSALA LÄN</t>
        </is>
      </c>
      <c r="G157" t="inlineStr">
        <is>
          <t>UPPSALA</t>
        </is>
      </c>
      <c r="I157" t="n">
        <v>4.4</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HYPERLINK("https://klasma.github.io/Logging_0380/artfynd/A 58050-2021 artfynd.xlsx", "A 58050-2021")</f>
        <v/>
      </c>
      <c r="X157">
        <f>HYPERLINK("https://klasma.github.io/Logging_0380/kartor/A 58050-2021 karta.png", "A 58050-2021")</f>
        <v/>
      </c>
      <c r="Y157">
        <f>HYPERLINK("https://klasma.github.io/Logging_0380/kartor_geotiff/A 58050-2021 georefererad karta.tif", "A 58050-2021")</f>
        <v/>
      </c>
      <c r="AA157">
        <f>HYPERLINK("https://klasma.github.io/Logging_0380/klagomål/A 58050-2021 FSC-klagomål.docx", "A 58050-2021")</f>
        <v/>
      </c>
      <c r="AB157">
        <f>HYPERLINK("https://klasma.github.io/Logging_0380/klagomålsmail/A 58050-2021 FSC-klagomål mail.docx", "A 58050-2021")</f>
        <v/>
      </c>
      <c r="AC157">
        <f>HYPERLINK("https://klasma.github.io/Logging_0380/tillsyn/A 58050-2021 tillsynsbegäran.docx", "A 58050-2021")</f>
        <v/>
      </c>
      <c r="AD157">
        <f>HYPERLINK("https://klasma.github.io/Logging_0380/tillsynsmail/A 58050-2021 tillsynsbegäran mail.docx", "A 58050-2021")</f>
        <v/>
      </c>
    </row>
    <row r="158" ht="15" customHeight="1">
      <c r="A158" t="inlineStr">
        <is>
          <t>A 40568-2025</t>
        </is>
      </c>
      <c r="B158" t="inlineStr">
        <is>
          <t>avverkningsanmälan</t>
        </is>
      </c>
      <c r="C158" t="inlineStr">
        <is>
          <t>Föryngringsavverkning</t>
        </is>
      </c>
      <c r="D158" s="1" t="n">
        <v>45896</v>
      </c>
      <c r="E158" s="1" t="n">
        <v>46291</v>
      </c>
      <c r="F158" t="inlineStr">
        <is>
          <t>UPPSALA LÄN</t>
        </is>
      </c>
      <c r="G158" t="inlineStr">
        <is>
          <t>UPPSALA</t>
        </is>
      </c>
      <c r="H158" t="inlineStr">
        <is>
          <t>Kyrkan</t>
        </is>
      </c>
      <c r="I158" t="n">
        <v>2.1</v>
      </c>
      <c r="J158" t="n">
        <v>0</v>
      </c>
      <c r="K158" t="n">
        <v>1</v>
      </c>
      <c r="L158" t="n">
        <v>0</v>
      </c>
      <c r="M158" t="n">
        <v>0</v>
      </c>
      <c r="N158" t="n">
        <v>0</v>
      </c>
      <c r="O158" t="n">
        <v>0</v>
      </c>
      <c r="P158" t="n">
        <v>0</v>
      </c>
      <c r="Q158" t="n">
        <v>0</v>
      </c>
      <c r="R158" t="n">
        <v>0</v>
      </c>
      <c r="S158" t="n">
        <v>1</v>
      </c>
      <c r="T158" t="n">
        <v>1</v>
      </c>
      <c r="U158" t="n">
        <v>0</v>
      </c>
      <c r="V158" s="2" t="inlineStr">
        <is>
          <t>Rödgul trumpetsvamp</t>
        </is>
      </c>
      <c r="W158">
        <f>HYPERLINK("https://klasma.github.io/Logging_0380/artfynd/A 40568-2025 artfynd.xlsx", "A 40568-2025")</f>
        <v/>
      </c>
      <c r="X158">
        <f>HYPERLINK("https://klasma.github.io/Logging_0380/kartor/A 40568-2025 karta.png", "A 40568-2025")</f>
        <v/>
      </c>
      <c r="Y158">
        <f>HYPERLINK("https://klasma.github.io/Logging_0380/kartor_geotiff/A 40568-2025 georefererad karta.tif", "A 40568-2025")</f>
        <v/>
      </c>
      <c r="AA158">
        <f>HYPERLINK("https://klasma.github.io/Logging_0380/klagomål/A 40568-2025 FSC-klagomål.docx", "A 40568-2025")</f>
        <v/>
      </c>
      <c r="AB158">
        <f>HYPERLINK("https://klasma.github.io/Logging_0380/klagomålsmail/A 40568-2025 FSC-klagomål mail.docx", "A 40568-2025")</f>
        <v/>
      </c>
      <c r="AC158">
        <f>HYPERLINK("https://klasma.github.io/Logging_0380/tillsyn/A 40568-2025 tillsynsbegäran.docx", "A 40568-2025")</f>
        <v/>
      </c>
      <c r="AD158">
        <f>HYPERLINK("https://klasma.github.io/Logging_0380/tillsynsmail/A 40568-2025 tillsynsbegäran mail.docx", "A 40568-2025")</f>
        <v/>
      </c>
    </row>
    <row r="159" ht="15" customHeight="1">
      <c r="A159" t="inlineStr">
        <is>
          <t>A 60056-2022</t>
        </is>
      </c>
      <c r="B159" t="inlineStr">
        <is>
          <t>avverkningsanmälan</t>
        </is>
      </c>
      <c r="C159" t="inlineStr">
        <is>
          <t>Föryngringsavverkning</t>
        </is>
      </c>
      <c r="D159" s="1" t="n">
        <v>44909</v>
      </c>
      <c r="E159" s="1" t="n">
        <v>46291</v>
      </c>
      <c r="F159" t="inlineStr">
        <is>
          <t>UPPSALA LÄN</t>
        </is>
      </c>
      <c r="G159" t="inlineStr">
        <is>
          <t>UPPSALA</t>
        </is>
      </c>
      <c r="I159" t="n">
        <v>1.2</v>
      </c>
      <c r="J159" t="n">
        <v>1</v>
      </c>
      <c r="K159" t="n">
        <v>0</v>
      </c>
      <c r="L159" t="n">
        <v>1</v>
      </c>
      <c r="M159" t="n">
        <v>0</v>
      </c>
      <c r="N159" t="n">
        <v>0</v>
      </c>
      <c r="O159" t="n">
        <v>0</v>
      </c>
      <c r="P159" t="n">
        <v>0</v>
      </c>
      <c r="Q159" t="n">
        <v>1</v>
      </c>
      <c r="R159" t="n">
        <v>0</v>
      </c>
      <c r="S159" t="n">
        <v>1</v>
      </c>
      <c r="T159" t="n">
        <v>1</v>
      </c>
      <c r="U159" t="n">
        <v>1</v>
      </c>
      <c r="V159" s="2" t="inlineStr">
        <is>
          <t>Nötkråka</t>
        </is>
      </c>
      <c r="W159">
        <f>HYPERLINK("https://klasma.github.io/Logging_0380/artfynd/A 60056-2022 artfynd.xlsx", "A 60056-2022")</f>
        <v/>
      </c>
      <c r="X159">
        <f>HYPERLINK("https://klasma.github.io/Logging_0380/kartor/A 60056-2022 karta.png", "A 60056-2022")</f>
        <v/>
      </c>
      <c r="Y159">
        <f>HYPERLINK("https://klasma.github.io/Logging_0380/kartor_geotiff/A 60056-2022 georefererad karta.tif", "A 60056-2022")</f>
        <v/>
      </c>
      <c r="AA159">
        <f>HYPERLINK("https://klasma.github.io/Logging_0380/klagomål/A 60056-2022 FSC-klagomål.docx", "A 60056-2022")</f>
        <v/>
      </c>
      <c r="AB159">
        <f>HYPERLINK("https://klasma.github.io/Logging_0380/klagomålsmail/A 60056-2022 FSC-klagomål mail.docx", "A 60056-2022")</f>
        <v/>
      </c>
      <c r="AC159">
        <f>HYPERLINK("https://klasma.github.io/Logging_0380/tillsyn/A 60056-2022 tillsynsbegäran.docx", "A 60056-2022")</f>
        <v/>
      </c>
      <c r="AD159">
        <f>HYPERLINK("https://klasma.github.io/Logging_0380/tillsynsmail/A 60056-2022 tillsynsbegäran mail.docx", "A 60056-2022")</f>
        <v/>
      </c>
      <c r="AE159">
        <f>HYPERLINK("https://klasma.github.io/Logging_0380/fåglar/A 60056-2022 prioriterade fågelarter.docx", "A 60056-2022")</f>
        <v/>
      </c>
    </row>
    <row r="160" ht="15" customHeight="1">
      <c r="A160" t="inlineStr">
        <is>
          <t>A 16761-2022</t>
        </is>
      </c>
      <c r="B160" t="inlineStr">
        <is>
          <t>avverkningsanmälan</t>
        </is>
      </c>
      <c r="C160" t="inlineStr">
        <is>
          <t>Föryngringsavverkning</t>
        </is>
      </c>
      <c r="D160" s="1" t="n">
        <v>44673</v>
      </c>
      <c r="E160" s="1" t="n">
        <v>46291</v>
      </c>
      <c r="F160" t="inlineStr">
        <is>
          <t>UPPSALA LÄN</t>
        </is>
      </c>
      <c r="G160" t="inlineStr">
        <is>
          <t>UPPSALA</t>
        </is>
      </c>
      <c r="I160" t="n">
        <v>0.6</v>
      </c>
      <c r="J160" t="n">
        <v>1</v>
      </c>
      <c r="K160" t="n">
        <v>0</v>
      </c>
      <c r="L160" t="n">
        <v>0</v>
      </c>
      <c r="M160" t="n">
        <v>0</v>
      </c>
      <c r="N160" t="n">
        <v>0</v>
      </c>
      <c r="O160" t="n">
        <v>0</v>
      </c>
      <c r="P160" t="n">
        <v>0</v>
      </c>
      <c r="Q160" t="n">
        <v>0</v>
      </c>
      <c r="R160" t="n">
        <v>0</v>
      </c>
      <c r="S160" t="n">
        <v>1</v>
      </c>
      <c r="T160" t="n">
        <v>1</v>
      </c>
      <c r="U160" t="n">
        <v>1</v>
      </c>
      <c r="V160" s="2" t="inlineStr">
        <is>
          <t>Trädlärka</t>
        </is>
      </c>
      <c r="W160">
        <f>HYPERLINK("https://klasma.github.io/Logging_0380/artfynd/A 16761-2022 artfynd.xlsx", "A 16761-2022")</f>
        <v/>
      </c>
      <c r="X160">
        <f>HYPERLINK("https://klasma.github.io/Logging_0380/kartor/A 16761-2022 karta.png", "A 16761-2022")</f>
        <v/>
      </c>
      <c r="Y160">
        <f>HYPERLINK("https://klasma.github.io/Logging_0380/kartor_geotiff/A 16761-2022 georefererad karta.tif", "A 16761-2022")</f>
        <v/>
      </c>
      <c r="AA160">
        <f>HYPERLINK("https://klasma.github.io/Logging_0380/klagomål/A 16761-2022 FSC-klagomål.docx", "A 16761-2022")</f>
        <v/>
      </c>
      <c r="AB160">
        <f>HYPERLINK("https://klasma.github.io/Logging_0380/klagomålsmail/A 16761-2022 FSC-klagomål mail.docx", "A 16761-2022")</f>
        <v/>
      </c>
      <c r="AC160">
        <f>HYPERLINK("https://klasma.github.io/Logging_0380/tillsyn/A 16761-2022 tillsynsbegäran.docx", "A 16761-2022")</f>
        <v/>
      </c>
      <c r="AD160">
        <f>HYPERLINK("https://klasma.github.io/Logging_0380/tillsynsmail/A 16761-2022 tillsynsbegäran mail.docx", "A 16761-2022")</f>
        <v/>
      </c>
      <c r="AE160">
        <f>HYPERLINK("https://klasma.github.io/Logging_0380/fåglar/A 16761-2022 prioriterade fågelarter.docx", "A 16761-2022")</f>
        <v/>
      </c>
    </row>
    <row r="161" ht="15" customHeight="1">
      <c r="A161" t="inlineStr">
        <is>
          <t>A 44385-2025</t>
        </is>
      </c>
      <c r="B161" t="inlineStr">
        <is>
          <t>avverkningsanmälan</t>
        </is>
      </c>
      <c r="C161" t="inlineStr">
        <is>
          <t>Föryngringsavverkning</t>
        </is>
      </c>
      <c r="D161" s="1" t="n">
        <v>45916</v>
      </c>
      <c r="E161" s="1" t="n">
        <v>46291</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9069-2026</t>
        </is>
      </c>
      <c r="B162" t="inlineStr">
        <is>
          <t>avverkningsanmälan</t>
        </is>
      </c>
      <c r="C162" t="inlineStr">
        <is>
          <t>Föryngringsavverkning</t>
        </is>
      </c>
      <c r="D162" s="1" t="n">
        <v>46069</v>
      </c>
      <c r="E162" s="1" t="n">
        <v>46291</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HYPERLINK("https://klasma.github.io/Logging_0380/artfynd/A 9069-2026 artfynd.xlsx", "A 9069-2026")</f>
        <v/>
      </c>
      <c r="X162">
        <f>HYPERLINK("https://klasma.github.io/Logging_0380/kartor/A 9069-2026 karta.png", "A 9069-2026")</f>
        <v/>
      </c>
      <c r="Y162">
        <f>HYPERLINK("https://klasma.github.io/Logging_0380/kartor_geotiff/A 9069-2026 georefererad karta.tif", "A 9069-2026")</f>
        <v/>
      </c>
      <c r="AA162">
        <f>HYPERLINK("https://klasma.github.io/Logging_0380/klagomål/A 9069-2026 FSC-klagomål.docx", "A 9069-2026")</f>
        <v/>
      </c>
      <c r="AB162">
        <f>HYPERLINK("https://klasma.github.io/Logging_0380/klagomålsmail/A 9069-2026 FSC-klagomål mail.docx", "A 9069-2026")</f>
        <v/>
      </c>
      <c r="AC162">
        <f>HYPERLINK("https://klasma.github.io/Logging_0380/tillsyn/A 9069-2026 tillsynsbegäran.docx", "A 9069-2026")</f>
        <v/>
      </c>
      <c r="AD162">
        <f>HYPERLINK("https://klasma.github.io/Logging_0380/tillsynsmail/A 9069-2026 tillsynsbegäran mail.docx", "A 9069-2026")</f>
        <v/>
      </c>
    </row>
    <row r="163" ht="15" customHeight="1">
      <c r="A163" t="inlineStr">
        <is>
          <t>A 27848-2023</t>
        </is>
      </c>
      <c r="B163" t="inlineStr">
        <is>
          <t>avverkningsanmälan</t>
        </is>
      </c>
      <c r="C163" t="inlineStr">
        <is>
          <t>Föryngringsavverkning</t>
        </is>
      </c>
      <c r="D163" s="1" t="n">
        <v>45098</v>
      </c>
      <c r="E163" s="1" t="n">
        <v>46291</v>
      </c>
      <c r="F163" t="inlineStr">
        <is>
          <t>UPPSALA LÄN</t>
        </is>
      </c>
      <c r="G163" t="inlineStr">
        <is>
          <t>UPPSALA</t>
        </is>
      </c>
      <c r="I163" t="n">
        <v>14.3</v>
      </c>
      <c r="J163" t="n">
        <v>0</v>
      </c>
      <c r="K163" t="n">
        <v>1</v>
      </c>
      <c r="L163" t="n">
        <v>0</v>
      </c>
      <c r="M163" t="n">
        <v>0</v>
      </c>
      <c r="N163" t="n">
        <v>0</v>
      </c>
      <c r="O163" t="n">
        <v>0</v>
      </c>
      <c r="P163" t="n">
        <v>0</v>
      </c>
      <c r="Q163" t="n">
        <v>0</v>
      </c>
      <c r="R163" t="n">
        <v>0</v>
      </c>
      <c r="S163" t="n">
        <v>1</v>
      </c>
      <c r="T163" t="n">
        <v>2</v>
      </c>
      <c r="U163" t="n">
        <v>0</v>
      </c>
      <c r="V163" s="2" t="inlineStr">
        <is>
          <t>Blåmossa</t>
        </is>
      </c>
      <c r="W163">
        <f>HYPERLINK("https://klasma.github.io/Logging_0380/artfynd/A 27848-2023 artfynd.xlsx", "A 27848-2023")</f>
        <v/>
      </c>
      <c r="X163">
        <f>HYPERLINK("https://klasma.github.io/Logging_0380/kartor/A 27848-2023 karta.png", "A 27848-2023")</f>
        <v/>
      </c>
      <c r="Y163">
        <f>HYPERLINK("https://klasma.github.io/Logging_0380/kartor_geotiff/A 27848-2023 georefererad karta.tif", "A 27848-2023")</f>
        <v/>
      </c>
      <c r="AA163">
        <f>HYPERLINK("https://klasma.github.io/Logging_0380/klagomål/A 27848-2023 FSC-klagomål.docx", "A 27848-2023")</f>
        <v/>
      </c>
      <c r="AB163">
        <f>HYPERLINK("https://klasma.github.io/Logging_0380/klagomålsmail/A 27848-2023 FSC-klagomål mail.docx", "A 27848-2023")</f>
        <v/>
      </c>
      <c r="AC163">
        <f>HYPERLINK("https://klasma.github.io/Logging_0380/tillsyn/A 27848-2023 tillsynsbegäran.docx", "A 27848-2023")</f>
        <v/>
      </c>
      <c r="AD163">
        <f>HYPERLINK("https://klasma.github.io/Logging_0380/tillsynsmail/A 27848-2023 tillsynsbegäran mail.docx", "A 27848-2023")</f>
        <v/>
      </c>
    </row>
    <row r="164" ht="15" customHeight="1">
      <c r="A164" t="inlineStr">
        <is>
          <t>A 49164-2025</t>
        </is>
      </c>
      <c r="B164" t="inlineStr">
        <is>
          <t>avverkningsanmälan</t>
        </is>
      </c>
      <c r="C164" t="inlineStr">
        <is>
          <t>Föryngringsavverkning</t>
        </is>
      </c>
      <c r="D164" s="1" t="n">
        <v>45938</v>
      </c>
      <c r="E164" s="1" t="n">
        <v>46291</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13363-2022</t>
        </is>
      </c>
      <c r="B165" t="inlineStr">
        <is>
          <t>avverkningsanmälan</t>
        </is>
      </c>
      <c r="C165" t="inlineStr">
        <is>
          <t>Föryngringsavverkning</t>
        </is>
      </c>
      <c r="D165" s="1" t="n">
        <v>44645</v>
      </c>
      <c r="E165" s="1" t="n">
        <v>46291</v>
      </c>
      <c r="F165" t="inlineStr">
        <is>
          <t>UPPSALA LÄN</t>
        </is>
      </c>
      <c r="G165" t="inlineStr">
        <is>
          <t>UPPSALA</t>
        </is>
      </c>
      <c r="H165" t="inlineStr">
        <is>
          <t>Övriga Aktiebolag</t>
        </is>
      </c>
      <c r="I165" t="n">
        <v>9.4</v>
      </c>
      <c r="J165" t="n">
        <v>1</v>
      </c>
      <c r="K165" t="n">
        <v>0</v>
      </c>
      <c r="L165" t="n">
        <v>0</v>
      </c>
      <c r="M165" t="n">
        <v>0</v>
      </c>
      <c r="N165" t="n">
        <v>0</v>
      </c>
      <c r="O165" t="n">
        <v>0</v>
      </c>
      <c r="P165" t="n">
        <v>0</v>
      </c>
      <c r="Q165" t="n">
        <v>0</v>
      </c>
      <c r="R165" t="n">
        <v>0</v>
      </c>
      <c r="S165" t="n">
        <v>1</v>
      </c>
      <c r="T165" t="n">
        <v>1</v>
      </c>
      <c r="U165" t="n">
        <v>0</v>
      </c>
      <c r="V165" s="2" t="inlineStr">
        <is>
          <t>Huggorm</t>
        </is>
      </c>
      <c r="W165">
        <f>HYPERLINK("https://klasma.github.io/Logging_0380/artfynd/A 13363-2022 artfynd.xlsx", "A 13363-2022")</f>
        <v/>
      </c>
      <c r="X165">
        <f>HYPERLINK("https://klasma.github.io/Logging_0380/kartor/A 13363-2022 karta.png", "A 13363-2022")</f>
        <v/>
      </c>
      <c r="Y165">
        <f>HYPERLINK("https://klasma.github.io/Logging_0380/kartor_geotiff/A 13363-2022 georefererad karta.tif", "A 13363-2022")</f>
        <v/>
      </c>
      <c r="AA165">
        <f>HYPERLINK("https://klasma.github.io/Logging_0380/klagomål/A 13363-2022 FSC-klagomål.docx", "A 13363-2022")</f>
        <v/>
      </c>
      <c r="AB165">
        <f>HYPERLINK("https://klasma.github.io/Logging_0380/klagomålsmail/A 13363-2022 FSC-klagomål mail.docx", "A 13363-2022")</f>
        <v/>
      </c>
      <c r="AC165">
        <f>HYPERLINK("https://klasma.github.io/Logging_0380/tillsyn/A 13363-2022 tillsynsbegäran.docx", "A 13363-2022")</f>
        <v/>
      </c>
      <c r="AD165">
        <f>HYPERLINK("https://klasma.github.io/Logging_0380/tillsynsmail/A 13363-2022 tillsynsbegäran mail.docx", "A 13363-2022")</f>
        <v/>
      </c>
    </row>
    <row r="166" ht="15" customHeight="1">
      <c r="A166" t="inlineStr">
        <is>
          <t>A 51475-2025</t>
        </is>
      </c>
      <c r="B166" t="inlineStr">
        <is>
          <t>avverkningsanmälan</t>
        </is>
      </c>
      <c r="C166" t="inlineStr">
        <is>
          <t>Avverkning för att bevara och utveckla /försöksver</t>
        </is>
      </c>
      <c r="D166" s="1" t="n">
        <v>45950</v>
      </c>
      <c r="E166" s="1" t="n">
        <v>46291</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15603-2026</t>
        </is>
      </c>
      <c r="B167" t="inlineStr">
        <is>
          <t>avverkningsanmälan</t>
        </is>
      </c>
      <c r="C167" t="inlineStr">
        <is>
          <t>Föryngringsavverkning</t>
        </is>
      </c>
      <c r="D167" s="1" t="n">
        <v>46106</v>
      </c>
      <c r="E167" s="1" t="n">
        <v>46291</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5009-2023</t>
        </is>
      </c>
      <c r="B168" t="inlineStr">
        <is>
          <t>avverkningsanmälan</t>
        </is>
      </c>
      <c r="C168" t="inlineStr">
        <is>
          <t>Avverkning för annat ändamål</t>
        </is>
      </c>
      <c r="D168" s="1" t="n">
        <v>44958</v>
      </c>
      <c r="E168" s="1" t="n">
        <v>46291</v>
      </c>
      <c r="F168" t="inlineStr">
        <is>
          <t>UPPSALA LÄN</t>
        </is>
      </c>
      <c r="G168" t="inlineStr">
        <is>
          <t>UPPSALA</t>
        </is>
      </c>
      <c r="I168" t="n">
        <v>4.7</v>
      </c>
      <c r="J168" t="n">
        <v>1</v>
      </c>
      <c r="K168" t="n">
        <v>0</v>
      </c>
      <c r="L168" t="n">
        <v>0</v>
      </c>
      <c r="M168" t="n">
        <v>0</v>
      </c>
      <c r="N168" t="n">
        <v>0</v>
      </c>
      <c r="O168" t="n">
        <v>0</v>
      </c>
      <c r="P168" t="n">
        <v>0</v>
      </c>
      <c r="Q168" t="n">
        <v>0</v>
      </c>
      <c r="R168" t="n">
        <v>0</v>
      </c>
      <c r="S168" t="n">
        <v>1</v>
      </c>
      <c r="T168" t="n">
        <v>2</v>
      </c>
      <c r="U168" t="n">
        <v>0</v>
      </c>
      <c r="V168" s="2" t="inlineStr">
        <is>
          <t>Blåsippa</t>
        </is>
      </c>
      <c r="W168">
        <f>HYPERLINK("https://klasma.github.io/Logging_0380/artfynd/A 5009-2023 artfynd.xlsx", "A 5009-2023")</f>
        <v/>
      </c>
      <c r="X168">
        <f>HYPERLINK("https://klasma.github.io/Logging_0380/kartor/A 5009-2023 karta.png", "A 5009-2023")</f>
        <v/>
      </c>
      <c r="Y168">
        <f>HYPERLINK("https://klasma.github.io/Logging_0380/kartor_geotiff/A 5009-2023 georefererad karta.tif", "A 5009-2023")</f>
        <v/>
      </c>
      <c r="AA168">
        <f>HYPERLINK("https://klasma.github.io/Logging_0380/klagomål/A 5009-2023 FSC-klagomål.docx", "A 5009-2023")</f>
        <v/>
      </c>
      <c r="AB168">
        <f>HYPERLINK("https://klasma.github.io/Logging_0380/klagomålsmail/A 5009-2023 FSC-klagomål mail.docx", "A 5009-2023")</f>
        <v/>
      </c>
      <c r="AC168">
        <f>HYPERLINK("https://klasma.github.io/Logging_0380/tillsyn/A 5009-2023 tillsynsbegäran.docx", "A 5009-2023")</f>
        <v/>
      </c>
      <c r="AD168">
        <f>HYPERLINK("https://klasma.github.io/Logging_0380/tillsynsmail/A 5009-2023 tillsynsbegäran mail.docx", "A 5009-2023")</f>
        <v/>
      </c>
    </row>
    <row r="169" ht="15" customHeight="1">
      <c r="A169" t="inlineStr">
        <is>
          <t>A 60954-2024</t>
        </is>
      </c>
      <c r="B169" t="inlineStr">
        <is>
          <t>avverkningsanmälan</t>
        </is>
      </c>
      <c r="C169" t="inlineStr">
        <is>
          <t>Föryngringsavverkning</t>
        </is>
      </c>
      <c r="D169" s="1" t="n">
        <v>45645</v>
      </c>
      <c r="E169" s="1" t="n">
        <v>46291</v>
      </c>
      <c r="F169" t="inlineStr">
        <is>
          <t>UPPSALA LÄN</t>
        </is>
      </c>
      <c r="G169" t="inlineStr">
        <is>
          <t>UPPSALA</t>
        </is>
      </c>
      <c r="H169" t="inlineStr">
        <is>
          <t>Kommuner</t>
        </is>
      </c>
      <c r="I169" t="n">
        <v>1</v>
      </c>
      <c r="J169" t="n">
        <v>0</v>
      </c>
      <c r="K169" t="n">
        <v>0</v>
      </c>
      <c r="L169" t="n">
        <v>0</v>
      </c>
      <c r="M169" t="n">
        <v>1</v>
      </c>
      <c r="N169" t="n">
        <v>0</v>
      </c>
      <c r="O169" t="n">
        <v>0</v>
      </c>
      <c r="P169" t="n">
        <v>0</v>
      </c>
      <c r="Q169" t="n">
        <v>1</v>
      </c>
      <c r="R169" t="n">
        <v>1</v>
      </c>
      <c r="S169" t="n">
        <v>1</v>
      </c>
      <c r="T169" t="n">
        <v>1</v>
      </c>
      <c r="U169" t="n">
        <v>0</v>
      </c>
      <c r="V169" s="2" t="inlineStr">
        <is>
          <t>Aspsplintbock</t>
        </is>
      </c>
      <c r="W169">
        <f>HYPERLINK("https://klasma.github.io/Logging_0380/artfynd/A 60954-2024 artfynd.xlsx", "A 60954-2024")</f>
        <v/>
      </c>
      <c r="X169">
        <f>HYPERLINK("https://klasma.github.io/Logging_0380/kartor/A 60954-2024 karta.png", "A 60954-2024")</f>
        <v/>
      </c>
      <c r="Y169">
        <f>HYPERLINK("https://klasma.github.io/Logging_0380/kartor_geotiff/A 60954-2024 georefererad karta.tif", "A 60954-2024")</f>
        <v/>
      </c>
      <c r="AA169">
        <f>HYPERLINK("https://klasma.github.io/Logging_0380/klagomål/A 60954-2024 FSC-klagomål.docx", "A 60954-2024")</f>
        <v/>
      </c>
      <c r="AB169">
        <f>HYPERLINK("https://klasma.github.io/Logging_0380/klagomålsmail/A 60954-2024 FSC-klagomål mail.docx", "A 60954-2024")</f>
        <v/>
      </c>
      <c r="AC169">
        <f>HYPERLINK("https://klasma.github.io/Logging_0380/tillsyn/A 60954-2024 tillsynsbegäran.docx", "A 60954-2024")</f>
        <v/>
      </c>
      <c r="AD169">
        <f>HYPERLINK("https://klasma.github.io/Logging_0380/tillsynsmail/A 60954-2024 tillsynsbegäran mail.docx", "A 60954-2024")</f>
        <v/>
      </c>
    </row>
    <row r="170" ht="15" customHeight="1">
      <c r="A170" t="inlineStr">
        <is>
          <t>A 9295-2023</t>
        </is>
      </c>
      <c r="B170" t="inlineStr">
        <is>
          <t>avverkningsanmälan</t>
        </is>
      </c>
      <c r="C170" t="inlineStr">
        <is>
          <t>Föryngringsavverkning</t>
        </is>
      </c>
      <c r="D170" s="1" t="n">
        <v>44980</v>
      </c>
      <c r="E170" s="1" t="n">
        <v>46291</v>
      </c>
      <c r="F170" t="inlineStr">
        <is>
          <t>UPPSALA LÄN</t>
        </is>
      </c>
      <c r="G170" t="inlineStr">
        <is>
          <t>UPPSALA</t>
        </is>
      </c>
      <c r="I170" t="n">
        <v>2.1</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HYPERLINK("https://klasma.github.io/Logging_0380/artfynd/A 9295-2023 artfynd.xlsx", "A 9295-2023")</f>
        <v/>
      </c>
      <c r="X170">
        <f>HYPERLINK("https://klasma.github.io/Logging_0380/kartor/A 9295-2023 karta.png", "A 9295-2023")</f>
        <v/>
      </c>
      <c r="Y170">
        <f>HYPERLINK("https://klasma.github.io/Logging_0380/kartor_geotiff/A 9295-2023 georefererad karta.tif", "A 9295-2023")</f>
        <v/>
      </c>
      <c r="AA170">
        <f>HYPERLINK("https://klasma.github.io/Logging_0380/klagomål/A 9295-2023 FSC-klagomål.docx", "A 9295-2023")</f>
        <v/>
      </c>
      <c r="AB170">
        <f>HYPERLINK("https://klasma.github.io/Logging_0380/klagomålsmail/A 9295-2023 FSC-klagomål mail.docx", "A 9295-2023")</f>
        <v/>
      </c>
      <c r="AC170">
        <f>HYPERLINK("https://klasma.github.io/Logging_0380/tillsyn/A 9295-2023 tillsynsbegäran.docx", "A 9295-2023")</f>
        <v/>
      </c>
      <c r="AD170">
        <f>HYPERLINK("https://klasma.github.io/Logging_0380/tillsynsmail/A 9295-2023 tillsynsbegäran mail.docx", "A 9295-2023")</f>
        <v/>
      </c>
      <c r="AE170">
        <f>HYPERLINK("https://klasma.github.io/Logging_0380/fåglar/A 9295-2023 prioriterade fågelarter.docx", "A 9295-2023")</f>
        <v/>
      </c>
    </row>
    <row r="171" ht="15" customHeight="1">
      <c r="A171" t="inlineStr">
        <is>
          <t>A 21657-2024</t>
        </is>
      </c>
      <c r="B171" t="inlineStr">
        <is>
          <t>avverkningsanmälan</t>
        </is>
      </c>
      <c r="C171" t="inlineStr">
        <is>
          <t>Föryngringsavverkning</t>
        </is>
      </c>
      <c r="D171" s="1" t="n">
        <v>45442</v>
      </c>
      <c r="E171" s="1" t="n">
        <v>46291</v>
      </c>
      <c r="F171" t="inlineStr">
        <is>
          <t>UPPSALA LÄN</t>
        </is>
      </c>
      <c r="G171" t="inlineStr">
        <is>
          <t>UPPSALA</t>
        </is>
      </c>
      <c r="I171" t="n">
        <v>5.7</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HYPERLINK("https://klasma.github.io/Logging_0380/artfynd/A 21657-2024 artfynd.xlsx", "A 21657-2024")</f>
        <v/>
      </c>
      <c r="X171">
        <f>HYPERLINK("https://klasma.github.io/Logging_0380/kartor/A 21657-2024 karta.png", "A 21657-2024")</f>
        <v/>
      </c>
      <c r="Y171">
        <f>HYPERLINK("https://klasma.github.io/Logging_0380/kartor_geotiff/A 21657-2024 georefererad karta.tif", "A 21657-2024")</f>
        <v/>
      </c>
      <c r="AA171">
        <f>HYPERLINK("https://klasma.github.io/Logging_0380/klagomål/A 21657-2024 FSC-klagomål.docx", "A 21657-2024")</f>
        <v/>
      </c>
      <c r="AB171">
        <f>HYPERLINK("https://klasma.github.io/Logging_0380/klagomålsmail/A 21657-2024 FSC-klagomål mail.docx", "A 21657-2024")</f>
        <v/>
      </c>
      <c r="AC171">
        <f>HYPERLINK("https://klasma.github.io/Logging_0380/tillsyn/A 21657-2024 tillsynsbegäran.docx", "A 21657-2024")</f>
        <v/>
      </c>
      <c r="AD171">
        <f>HYPERLINK("https://klasma.github.io/Logging_0380/tillsynsmail/A 21657-2024 tillsynsbegäran mail.docx", "A 21657-2024")</f>
        <v/>
      </c>
    </row>
    <row r="172" ht="15" customHeight="1">
      <c r="A172" t="inlineStr">
        <is>
          <t>A 63075-2025</t>
        </is>
      </c>
      <c r="B172" t="inlineStr">
        <is>
          <t>avverkningsanmälan</t>
        </is>
      </c>
      <c r="C172" t="inlineStr">
        <is>
          <t>Föryngringsavverkning</t>
        </is>
      </c>
      <c r="D172" s="1" t="n">
        <v>46009</v>
      </c>
      <c r="E172" s="1" t="n">
        <v>46291</v>
      </c>
      <c r="F172" t="inlineStr">
        <is>
          <t>UPPSALA LÄN</t>
        </is>
      </c>
      <c r="G172" t="inlineStr">
        <is>
          <t>UPPSALA</t>
        </is>
      </c>
      <c r="H172" t="inlineStr">
        <is>
          <t>Övriga statliga verk och myndigheter</t>
        </is>
      </c>
      <c r="I172" t="n">
        <v>4</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HYPERLINK("https://klasma.github.io/Logging_0380/artfynd/A 63075-2025 artfynd.xlsx", "A 63075-2025")</f>
        <v/>
      </c>
      <c r="X172">
        <f>HYPERLINK("https://klasma.github.io/Logging_0380/kartor/A 63075-2025 karta.png", "A 63075-2025")</f>
        <v/>
      </c>
      <c r="Y172">
        <f>HYPERLINK("https://klasma.github.io/Logging_0380/kartor_geotiff/A 63075-2025 georefererad karta.tif", "A 63075-2025")</f>
        <v/>
      </c>
      <c r="AA172">
        <f>HYPERLINK("https://klasma.github.io/Logging_0380/klagomål/A 63075-2025 FSC-klagomål.docx", "A 63075-2025")</f>
        <v/>
      </c>
      <c r="AB172">
        <f>HYPERLINK("https://klasma.github.io/Logging_0380/klagomålsmail/A 63075-2025 FSC-klagomål mail.docx", "A 63075-2025")</f>
        <v/>
      </c>
      <c r="AC172">
        <f>HYPERLINK("https://klasma.github.io/Logging_0380/tillsyn/A 63075-2025 tillsynsbegäran.docx", "A 63075-2025")</f>
        <v/>
      </c>
      <c r="AD172">
        <f>HYPERLINK("https://klasma.github.io/Logging_0380/tillsynsmail/A 63075-2025 tillsynsbegäran mail.docx", "A 63075-2025")</f>
        <v/>
      </c>
      <c r="AE172">
        <f>HYPERLINK("https://klasma.github.io/Logging_0380/fåglar/A 63075-2025 prioriterade fågelarter.docx", "A 63075-2025")</f>
        <v/>
      </c>
    </row>
    <row r="173" ht="15" customHeight="1">
      <c r="A173" t="inlineStr">
        <is>
          <t>A 13526-2025</t>
        </is>
      </c>
      <c r="B173" t="inlineStr">
        <is>
          <t>avverkningsanmälan</t>
        </is>
      </c>
      <c r="C173" t="inlineStr">
        <is>
          <t>Föryngringsavverkning</t>
        </is>
      </c>
      <c r="D173" s="1" t="n">
        <v>45736</v>
      </c>
      <c r="E173" s="1" t="n">
        <v>46291</v>
      </c>
      <c r="F173" t="inlineStr">
        <is>
          <t>UPPSALA LÄN</t>
        </is>
      </c>
      <c r="G173" t="inlineStr">
        <is>
          <t>UPPSALA</t>
        </is>
      </c>
      <c r="H173" t="inlineStr">
        <is>
          <t>Allmännings- och besparingsskogar</t>
        </is>
      </c>
      <c r="I173" t="n">
        <v>3</v>
      </c>
      <c r="J173" t="n">
        <v>0</v>
      </c>
      <c r="K173" t="n">
        <v>0</v>
      </c>
      <c r="L173" t="n">
        <v>1</v>
      </c>
      <c r="M173" t="n">
        <v>0</v>
      </c>
      <c r="N173" t="n">
        <v>0</v>
      </c>
      <c r="O173" t="n">
        <v>0</v>
      </c>
      <c r="P173" t="n">
        <v>0</v>
      </c>
      <c r="Q173" t="n">
        <v>1</v>
      </c>
      <c r="R173" t="n">
        <v>0</v>
      </c>
      <c r="S173" t="n">
        <v>1</v>
      </c>
      <c r="T173" t="n">
        <v>2</v>
      </c>
      <c r="U173" t="n">
        <v>0</v>
      </c>
      <c r="V173" s="2" t="inlineStr">
        <is>
          <t>Vedtrappmossa</t>
        </is>
      </c>
      <c r="W173">
        <f>HYPERLINK("https://klasma.github.io/Logging_0380/artfynd/A 13526-2025 artfynd.xlsx", "A 13526-2025")</f>
        <v/>
      </c>
      <c r="X173">
        <f>HYPERLINK("https://klasma.github.io/Logging_0380/kartor/A 13526-2025 karta.png", "A 13526-2025")</f>
        <v/>
      </c>
      <c r="Y173">
        <f>HYPERLINK("https://klasma.github.io/Logging_0380/kartor_geotiff/A 13526-2025 georefererad karta.tif", "A 13526-2025")</f>
        <v/>
      </c>
      <c r="AA173">
        <f>HYPERLINK("https://klasma.github.io/Logging_0380/klagomål/A 13526-2025 FSC-klagomål.docx", "A 13526-2025")</f>
        <v/>
      </c>
      <c r="AB173">
        <f>HYPERLINK("https://klasma.github.io/Logging_0380/klagomålsmail/A 13526-2025 FSC-klagomål mail.docx", "A 13526-2025")</f>
        <v/>
      </c>
      <c r="AC173">
        <f>HYPERLINK("https://klasma.github.io/Logging_0380/tillsyn/A 13526-2025 tillsynsbegäran.docx", "A 13526-2025")</f>
        <v/>
      </c>
      <c r="AD173">
        <f>HYPERLINK("https://klasma.github.io/Logging_0380/tillsynsmail/A 13526-2025 tillsynsbegäran mail.docx", "A 13526-2025")</f>
        <v/>
      </c>
    </row>
    <row r="174" ht="15" customHeight="1">
      <c r="A174" t="inlineStr">
        <is>
          <t>A 52849-2021</t>
        </is>
      </c>
      <c r="B174" t="inlineStr">
        <is>
          <t>avverkningsanmälan</t>
        </is>
      </c>
      <c r="C174" t="inlineStr">
        <is>
          <t>Föryngringsavverkning</t>
        </is>
      </c>
      <c r="D174" s="1" t="n">
        <v>44467</v>
      </c>
      <c r="E174" s="1" t="n">
        <v>46291</v>
      </c>
      <c r="F174" t="inlineStr">
        <is>
          <t>UPPSALA LÄN</t>
        </is>
      </c>
      <c r="G174" t="inlineStr">
        <is>
          <t>UPPSALA</t>
        </is>
      </c>
      <c r="H174" t="inlineStr">
        <is>
          <t>Övriga Aktiebolag</t>
        </is>
      </c>
      <c r="I174" t="n">
        <v>3.3</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HYPERLINK("https://klasma.github.io/Logging_0380/artfynd/A 52849-2021 artfynd.xlsx", "A 52849-2021")</f>
        <v/>
      </c>
      <c r="X174">
        <f>HYPERLINK("https://klasma.github.io/Logging_0380/kartor/A 52849-2021 karta.png", "A 52849-2021")</f>
        <v/>
      </c>
      <c r="Y174">
        <f>HYPERLINK("https://klasma.github.io/Logging_0380/kartor_geotiff/A 52849-2021 georefererad karta.tif", "A 52849-2021")</f>
        <v/>
      </c>
      <c r="AA174">
        <f>HYPERLINK("https://klasma.github.io/Logging_0380/klagomål/A 52849-2021 FSC-klagomål.docx", "A 52849-2021")</f>
        <v/>
      </c>
      <c r="AB174">
        <f>HYPERLINK("https://klasma.github.io/Logging_0380/klagomålsmail/A 52849-2021 FSC-klagomål mail.docx", "A 52849-2021")</f>
        <v/>
      </c>
      <c r="AC174">
        <f>HYPERLINK("https://klasma.github.io/Logging_0380/tillsyn/A 52849-2021 tillsynsbegäran.docx", "A 52849-2021")</f>
        <v/>
      </c>
      <c r="AD174">
        <f>HYPERLINK("https://klasma.github.io/Logging_0380/tillsynsmail/A 52849-2021 tillsynsbegäran mail.docx", "A 52849-2021")</f>
        <v/>
      </c>
    </row>
    <row r="175" ht="15" customHeight="1">
      <c r="A175" t="inlineStr">
        <is>
          <t>A 17484-2025</t>
        </is>
      </c>
      <c r="B175" t="inlineStr">
        <is>
          <t>avverkningsanmälan</t>
        </is>
      </c>
      <c r="C175" t="inlineStr">
        <is>
          <t>Föryngringsavverkning</t>
        </is>
      </c>
      <c r="D175" s="1" t="n">
        <v>45757</v>
      </c>
      <c r="E175" s="1" t="n">
        <v>46291</v>
      </c>
      <c r="F175" t="inlineStr">
        <is>
          <t>UPPSALA LÄN</t>
        </is>
      </c>
      <c r="G175" t="inlineStr">
        <is>
          <t>UPPSALA</t>
        </is>
      </c>
      <c r="I175" t="n">
        <v>13.1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HYPERLINK("https://klasma.github.io/Logging_0380/artfynd/A 17484-2025 artfynd.xlsx", "A 17484-2025")</f>
        <v/>
      </c>
      <c r="X175">
        <f>HYPERLINK("https://klasma.github.io/Logging_0380/kartor/A 17484-2025 karta.png", "A 17484-2025")</f>
        <v/>
      </c>
      <c r="Y175">
        <f>HYPERLINK("https://klasma.github.io/Logging_0380/kartor_geotiff/A 17484-2025 georefererad karta.tif", "A 17484-2025")</f>
        <v/>
      </c>
      <c r="AA175">
        <f>HYPERLINK("https://klasma.github.io/Logging_0380/klagomål/A 17484-2025 FSC-klagomål.docx", "A 17484-2025")</f>
        <v/>
      </c>
      <c r="AB175">
        <f>HYPERLINK("https://klasma.github.io/Logging_0380/klagomålsmail/A 17484-2025 FSC-klagomål mail.docx", "A 17484-2025")</f>
        <v/>
      </c>
      <c r="AC175">
        <f>HYPERLINK("https://klasma.github.io/Logging_0380/tillsyn/A 17484-2025 tillsynsbegäran.docx", "A 17484-2025")</f>
        <v/>
      </c>
      <c r="AD175">
        <f>HYPERLINK("https://klasma.github.io/Logging_0380/tillsynsmail/A 17484-2025 tillsynsbegäran mail.docx", "A 17484-2025")</f>
        <v/>
      </c>
    </row>
    <row r="176" ht="15" customHeight="1">
      <c r="A176" t="inlineStr">
        <is>
          <t>A 21738-2026</t>
        </is>
      </c>
      <c r="B176" t="inlineStr">
        <is>
          <t>avverkningsanmälan</t>
        </is>
      </c>
      <c r="C176" t="inlineStr">
        <is>
          <t>Föryngringsavverkning</t>
        </is>
      </c>
      <c r="D176" s="1" t="n">
        <v>46147</v>
      </c>
      <c r="E176" s="1" t="n">
        <v>46291</v>
      </c>
      <c r="F176" t="inlineStr">
        <is>
          <t>UPPSALA LÄN</t>
        </is>
      </c>
      <c r="G176" t="inlineStr">
        <is>
          <t>UPPSALA</t>
        </is>
      </c>
      <c r="I176" t="n">
        <v>3.1</v>
      </c>
      <c r="J176" t="n">
        <v>0</v>
      </c>
      <c r="K176" t="n">
        <v>1</v>
      </c>
      <c r="L176" t="n">
        <v>0</v>
      </c>
      <c r="M176" t="n">
        <v>0</v>
      </c>
      <c r="N176" t="n">
        <v>0</v>
      </c>
      <c r="O176" t="n">
        <v>0</v>
      </c>
      <c r="P176" t="n">
        <v>0</v>
      </c>
      <c r="Q176" t="n">
        <v>0</v>
      </c>
      <c r="R176" t="n">
        <v>0</v>
      </c>
      <c r="S176" t="n">
        <v>1</v>
      </c>
      <c r="T176" t="n">
        <v>1</v>
      </c>
      <c r="U176" t="n">
        <v>0</v>
      </c>
      <c r="V176" s="2" t="inlineStr">
        <is>
          <t>Tibast</t>
        </is>
      </c>
      <c r="W176">
        <f>HYPERLINK("https://klasma.github.io/Logging_0380/artfynd/A 21738-2026 artfynd.xlsx", "A 21738-2026")</f>
        <v/>
      </c>
      <c r="X176">
        <f>HYPERLINK("https://klasma.github.io/Logging_0380/kartor/A 21738-2026 karta.png", "A 21738-2026")</f>
        <v/>
      </c>
      <c r="Y176">
        <f>HYPERLINK("https://klasma.github.io/Logging_0380/kartor_geotiff/A 21738-2026 georefererad karta.tif", "A 21738-2026")</f>
        <v/>
      </c>
      <c r="AA176">
        <f>HYPERLINK("https://klasma.github.io/Logging_0380/klagomål/A 21738-2026 FSC-klagomål.docx", "A 21738-2026")</f>
        <v/>
      </c>
      <c r="AB176">
        <f>HYPERLINK("https://klasma.github.io/Logging_0380/klagomålsmail/A 21738-2026 FSC-klagomål mail.docx", "A 21738-2026")</f>
        <v/>
      </c>
      <c r="AC176">
        <f>HYPERLINK("https://klasma.github.io/Logging_0380/tillsyn/A 21738-2026 tillsynsbegäran.docx", "A 21738-2026")</f>
        <v/>
      </c>
      <c r="AD176">
        <f>HYPERLINK("https://klasma.github.io/Logging_0380/tillsynsmail/A 21738-2026 tillsynsbegäran mail.docx", "A 21738-2026")</f>
        <v/>
      </c>
    </row>
    <row r="177" ht="15" customHeight="1">
      <c r="A177" t="inlineStr">
        <is>
          <t>A 61818-2022</t>
        </is>
      </c>
      <c r="B177" t="inlineStr">
        <is>
          <t>avverkningsanmälan</t>
        </is>
      </c>
      <c r="C177" t="inlineStr">
        <is>
          <t>Föryngringsavverkning</t>
        </is>
      </c>
      <c r="D177" s="1" t="n">
        <v>44917</v>
      </c>
      <c r="E177" s="1" t="n">
        <v>46291</v>
      </c>
      <c r="F177" t="inlineStr">
        <is>
          <t>UPPSALA LÄN</t>
        </is>
      </c>
      <c r="G177" t="inlineStr">
        <is>
          <t>UPPSALA</t>
        </is>
      </c>
      <c r="H177" t="inlineStr">
        <is>
          <t>Holmen skog AB</t>
        </is>
      </c>
      <c r="I177" t="n">
        <v>0.8</v>
      </c>
      <c r="J177" t="n">
        <v>0</v>
      </c>
      <c r="K177" t="n">
        <v>0</v>
      </c>
      <c r="L177" t="n">
        <v>1</v>
      </c>
      <c r="M177" t="n">
        <v>0</v>
      </c>
      <c r="N177" t="n">
        <v>0</v>
      </c>
      <c r="O177" t="n">
        <v>0</v>
      </c>
      <c r="P177" t="n">
        <v>0</v>
      </c>
      <c r="Q177" t="n">
        <v>1</v>
      </c>
      <c r="R177" t="n">
        <v>0</v>
      </c>
      <c r="S177" t="n">
        <v>1</v>
      </c>
      <c r="T177" t="n">
        <v>2</v>
      </c>
      <c r="U177" t="n">
        <v>0</v>
      </c>
      <c r="V177" s="2" t="inlineStr">
        <is>
          <t>Blekticka</t>
        </is>
      </c>
      <c r="W177">
        <f>HYPERLINK("https://klasma.github.io/Logging_0380/artfynd/A 61818-2022 artfynd.xlsx", "A 61818-2022")</f>
        <v/>
      </c>
      <c r="X177">
        <f>HYPERLINK("https://klasma.github.io/Logging_0380/kartor/A 61818-2022 karta.png", "A 61818-2022")</f>
        <v/>
      </c>
      <c r="Y177">
        <f>HYPERLINK("https://klasma.github.io/Logging_0380/kartor_geotiff/A 61818-2022 georefererad karta.tif", "A 61818-2022")</f>
        <v/>
      </c>
      <c r="AA177">
        <f>HYPERLINK("https://klasma.github.io/Logging_0380/klagomål/A 61818-2022 FSC-klagomål.docx", "A 61818-2022")</f>
        <v/>
      </c>
      <c r="AB177">
        <f>HYPERLINK("https://klasma.github.io/Logging_0380/klagomålsmail/A 61818-2022 FSC-klagomål mail.docx", "A 61818-2022")</f>
        <v/>
      </c>
      <c r="AC177">
        <f>HYPERLINK("https://klasma.github.io/Logging_0380/tillsyn/A 61818-2022 tillsynsbegäran.docx", "A 61818-2022")</f>
        <v/>
      </c>
      <c r="AD177">
        <f>HYPERLINK("https://klasma.github.io/Logging_0380/tillsynsmail/A 61818-2022 tillsynsbegäran mail.docx", "A 61818-2022")</f>
        <v/>
      </c>
    </row>
    <row r="178" ht="15" customHeight="1">
      <c r="A178" t="inlineStr">
        <is>
          <t>A 22223-2026</t>
        </is>
      </c>
      <c r="B178" t="inlineStr">
        <is>
          <t>avverkningsanmälan</t>
        </is>
      </c>
      <c r="C178" t="inlineStr">
        <is>
          <t>Föryngringsavverkning</t>
        </is>
      </c>
      <c r="D178" s="1" t="n">
        <v>46153</v>
      </c>
      <c r="E178" s="1" t="n">
        <v>46291</v>
      </c>
      <c r="F178" t="inlineStr">
        <is>
          <t>UPPSALA LÄN</t>
        </is>
      </c>
      <c r="G178" t="inlineStr">
        <is>
          <t>UPPSALA</t>
        </is>
      </c>
      <c r="I178" t="n">
        <v>6</v>
      </c>
      <c r="J178" t="n">
        <v>1</v>
      </c>
      <c r="K178" t="n">
        <v>0</v>
      </c>
      <c r="L178" t="n">
        <v>0</v>
      </c>
      <c r="M178" t="n">
        <v>1</v>
      </c>
      <c r="N178" t="n">
        <v>0</v>
      </c>
      <c r="O178" t="n">
        <v>0</v>
      </c>
      <c r="P178" t="n">
        <v>0</v>
      </c>
      <c r="Q178" t="n">
        <v>1</v>
      </c>
      <c r="R178" t="n">
        <v>1</v>
      </c>
      <c r="S178" t="n">
        <v>1</v>
      </c>
      <c r="T178" t="n">
        <v>91</v>
      </c>
      <c r="U178" t="n">
        <v>4</v>
      </c>
      <c r="V178" s="2" t="inlineStr">
        <is>
          <t>Väddnätfjäril</t>
        </is>
      </c>
      <c r="W178">
        <f>HYPERLINK("https://klasma.github.io/Logging_0380/artfynd/A 22223-2026 artfynd.xlsx", "A 22223-2026")</f>
        <v/>
      </c>
      <c r="X178">
        <f>HYPERLINK("https://klasma.github.io/Logging_0380/kartor/A 22223-2026 karta.png", "A 22223-2026")</f>
        <v/>
      </c>
      <c r="Y178">
        <f>HYPERLINK("https://klasma.github.io/Logging_0380/kartor_geotiff/A 22223-2026 georefererad karta.tif", "A 22223-2026")</f>
        <v/>
      </c>
      <c r="AA178">
        <f>HYPERLINK("https://klasma.github.io/Logging_0380/klagomål/A 22223-2026 FSC-klagomål.docx", "A 22223-2026")</f>
        <v/>
      </c>
      <c r="AB178">
        <f>HYPERLINK("https://klasma.github.io/Logging_0380/klagomålsmail/A 22223-2026 FSC-klagomål mail.docx", "A 22223-2026")</f>
        <v/>
      </c>
      <c r="AC178">
        <f>HYPERLINK("https://klasma.github.io/Logging_0380/tillsyn/A 22223-2026 tillsynsbegäran.docx", "A 22223-2026")</f>
        <v/>
      </c>
      <c r="AD178">
        <f>HYPERLINK("https://klasma.github.io/Logging_0380/tillsynsmail/A 22223-2026 tillsynsbegäran mail.docx", "A 22223-2026")</f>
        <v/>
      </c>
    </row>
    <row r="179" ht="15" customHeight="1">
      <c r="A179" t="inlineStr">
        <is>
          <t>A 29902-2023</t>
        </is>
      </c>
      <c r="B179" t="inlineStr">
        <is>
          <t>avverkningsanmälan</t>
        </is>
      </c>
      <c r="C179" t="inlineStr">
        <is>
          <t>Föryngringsavverkning</t>
        </is>
      </c>
      <c r="D179" s="1" t="n">
        <v>45107</v>
      </c>
      <c r="E179" s="1" t="n">
        <v>46291</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3183-2024</t>
        </is>
      </c>
      <c r="B180" t="inlineStr">
        <is>
          <t>avverkningsanmälan</t>
        </is>
      </c>
      <c r="C180" t="inlineStr">
        <is>
          <t>Föryngringsavverkning</t>
        </is>
      </c>
      <c r="D180" s="1" t="n">
        <v>45316</v>
      </c>
      <c r="E180" s="1" t="n">
        <v>46291</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22883-2026</t>
        </is>
      </c>
      <c r="B181" t="inlineStr">
        <is>
          <t>avverkningsanmälan</t>
        </is>
      </c>
      <c r="C181" t="inlineStr">
        <is>
          <t>Föryngringsavverkning</t>
        </is>
      </c>
      <c r="D181" s="1" t="n">
        <v>46160</v>
      </c>
      <c r="E181" s="1" t="n">
        <v>46291</v>
      </c>
      <c r="F181" t="inlineStr">
        <is>
          <t>UPPSALA LÄN</t>
        </is>
      </c>
      <c r="G181" t="inlineStr">
        <is>
          <t>UPPSALA</t>
        </is>
      </c>
      <c r="I181" t="n">
        <v>2.9</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22883-2026 artfynd.xlsx", "A 22883-2026")</f>
        <v/>
      </c>
      <c r="X181">
        <f>HYPERLINK("https://klasma.github.io/Logging_0380/kartor/A 22883-2026 karta.png", "A 22883-2026")</f>
        <v/>
      </c>
      <c r="Y181">
        <f>HYPERLINK("https://klasma.github.io/Logging_0380/kartor_geotiff/A 22883-2026 georefererad karta.tif", "A 22883-2026")</f>
        <v/>
      </c>
      <c r="AA181">
        <f>HYPERLINK("https://klasma.github.io/Logging_0380/klagomål/A 22883-2026 FSC-klagomål.docx", "A 22883-2026")</f>
        <v/>
      </c>
      <c r="AB181">
        <f>HYPERLINK("https://klasma.github.io/Logging_0380/klagomålsmail/A 22883-2026 FSC-klagomål mail.docx", "A 22883-2026")</f>
        <v/>
      </c>
      <c r="AC181">
        <f>HYPERLINK("https://klasma.github.io/Logging_0380/tillsyn/A 22883-2026 tillsynsbegäran.docx", "A 22883-2026")</f>
        <v/>
      </c>
      <c r="AD181">
        <f>HYPERLINK("https://klasma.github.io/Logging_0380/tillsynsmail/A 22883-2026 tillsynsbegäran mail.docx", "A 22883-2026")</f>
        <v/>
      </c>
    </row>
    <row r="182" ht="15" customHeight="1">
      <c r="A182" t="inlineStr">
        <is>
          <t>A 17250-2025</t>
        </is>
      </c>
      <c r="B182" t="inlineStr">
        <is>
          <t>avverkningsanmälan</t>
        </is>
      </c>
      <c r="C182" t="inlineStr">
        <is>
          <t>Föryngringsavverkning</t>
        </is>
      </c>
      <c r="D182" s="1" t="n">
        <v>45756</v>
      </c>
      <c r="E182" s="1" t="n">
        <v>46291</v>
      </c>
      <c r="F182" t="inlineStr">
        <is>
          <t>UPPSALA LÄN</t>
        </is>
      </c>
      <c r="G182" t="inlineStr">
        <is>
          <t>UPPSALA</t>
        </is>
      </c>
      <c r="I182" t="n">
        <v>2.2</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17250-2025 artfynd.xlsx", "A 17250-2025")</f>
        <v/>
      </c>
      <c r="X182">
        <f>HYPERLINK("https://klasma.github.io/Logging_0380/kartor/A 17250-2025 karta.png", "A 17250-2025")</f>
        <v/>
      </c>
      <c r="Y182">
        <f>HYPERLINK("https://klasma.github.io/Logging_0380/kartor_geotiff/A 17250-2025 georefererad karta.tif", "A 17250-2025")</f>
        <v/>
      </c>
      <c r="AA182">
        <f>HYPERLINK("https://klasma.github.io/Logging_0380/klagomål/A 17250-2025 FSC-klagomål.docx", "A 17250-2025")</f>
        <v/>
      </c>
      <c r="AB182">
        <f>HYPERLINK("https://klasma.github.io/Logging_0380/klagomålsmail/A 17250-2025 FSC-klagomål mail.docx", "A 17250-2025")</f>
        <v/>
      </c>
      <c r="AC182">
        <f>HYPERLINK("https://klasma.github.io/Logging_0380/tillsyn/A 17250-2025 tillsynsbegäran.docx", "A 17250-2025")</f>
        <v/>
      </c>
      <c r="AD182">
        <f>HYPERLINK("https://klasma.github.io/Logging_0380/tillsynsmail/A 17250-2025 tillsynsbegäran mail.docx", "A 17250-2025")</f>
        <v/>
      </c>
    </row>
    <row r="183" ht="15" customHeight="1">
      <c r="A183" t="inlineStr">
        <is>
          <t>A 25754-2026</t>
        </is>
      </c>
      <c r="B183" t="inlineStr">
        <is>
          <t>avverkningsanmälan</t>
        </is>
      </c>
      <c r="C183" t="inlineStr">
        <is>
          <t>Föryngringsavverkning</t>
        </is>
      </c>
      <c r="D183" s="1" t="n">
        <v>46178</v>
      </c>
      <c r="E183" s="1" t="n">
        <v>46291</v>
      </c>
      <c r="F183" t="inlineStr">
        <is>
          <t>UPPSALA LÄN</t>
        </is>
      </c>
      <c r="G183" t="inlineStr">
        <is>
          <t>UPPSALA</t>
        </is>
      </c>
      <c r="I183" t="n">
        <v>4.2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25754-2026 artfynd.xlsx", "A 25754-2026")</f>
        <v/>
      </c>
      <c r="X183">
        <f>HYPERLINK("https://klasma.github.io/Logging_0380/kartor/A 25754-2026 karta.png", "A 25754-2026")</f>
        <v/>
      </c>
      <c r="Y183">
        <f>HYPERLINK("https://klasma.github.io/Logging_0380/kartor_geotiff/A 25754-2026 georefererad karta.tif", "A 25754-2026")</f>
        <v/>
      </c>
      <c r="AA183">
        <f>HYPERLINK("https://klasma.github.io/Logging_0380/klagomål/A 25754-2026 FSC-klagomål.docx", "A 25754-2026")</f>
        <v/>
      </c>
      <c r="AB183">
        <f>HYPERLINK("https://klasma.github.io/Logging_0380/klagomålsmail/A 25754-2026 FSC-klagomål mail.docx", "A 25754-2026")</f>
        <v/>
      </c>
      <c r="AC183">
        <f>HYPERLINK("https://klasma.github.io/Logging_0380/tillsyn/A 25754-2026 tillsynsbegäran.docx", "A 25754-2026")</f>
        <v/>
      </c>
      <c r="AD183">
        <f>HYPERLINK("https://klasma.github.io/Logging_0380/tillsynsmail/A 25754-2026 tillsynsbegäran mail.docx", "A 25754-2026")</f>
        <v/>
      </c>
    </row>
    <row r="184" ht="15" customHeight="1">
      <c r="A184" t="inlineStr">
        <is>
          <t>A 46748-2024</t>
        </is>
      </c>
      <c r="B184" t="inlineStr">
        <is>
          <t>avverkningsanmälan</t>
        </is>
      </c>
      <c r="C184" t="inlineStr">
        <is>
          <t>Föryngringsavverkning</t>
        </is>
      </c>
      <c r="D184" s="1" t="n">
        <v>45583</v>
      </c>
      <c r="E184" s="1" t="n">
        <v>46291</v>
      </c>
      <c r="F184" t="inlineStr">
        <is>
          <t>UPPSALA LÄN</t>
        </is>
      </c>
      <c r="G184" t="inlineStr">
        <is>
          <t>UPPSALA</t>
        </is>
      </c>
      <c r="H184" t="inlineStr">
        <is>
          <t>Sveaskog</t>
        </is>
      </c>
      <c r="I184" t="n">
        <v>1.1</v>
      </c>
      <c r="J184" t="n">
        <v>1</v>
      </c>
      <c r="K184" t="n">
        <v>0</v>
      </c>
      <c r="L184" t="n">
        <v>0</v>
      </c>
      <c r="M184" t="n">
        <v>0</v>
      </c>
      <c r="N184" t="n">
        <v>0</v>
      </c>
      <c r="O184" t="n">
        <v>0</v>
      </c>
      <c r="P184" t="n">
        <v>0</v>
      </c>
      <c r="Q184" t="n">
        <v>0</v>
      </c>
      <c r="R184" t="n">
        <v>0</v>
      </c>
      <c r="S184" t="n">
        <v>1</v>
      </c>
      <c r="T184" t="n">
        <v>1</v>
      </c>
      <c r="U184" t="n">
        <v>1</v>
      </c>
      <c r="V184" s="2" t="inlineStr">
        <is>
          <t>Nattskärra</t>
        </is>
      </c>
      <c r="W184">
        <f>HYPERLINK("https://klasma.github.io/Logging_0380/artfynd/A 46748-2024 artfynd.xlsx", "A 46748-2024")</f>
        <v/>
      </c>
      <c r="X184">
        <f>HYPERLINK("https://klasma.github.io/Logging_0380/kartor/A 46748-2024 karta.png", "A 46748-2024")</f>
        <v/>
      </c>
      <c r="Y184">
        <f>HYPERLINK("https://klasma.github.io/Logging_0380/kartor_geotiff/A 46748-2024 georefererad karta.tif", "A 46748-2024")</f>
        <v/>
      </c>
      <c r="AA184">
        <f>HYPERLINK("https://klasma.github.io/Logging_0380/klagomål/A 46748-2024 FSC-klagomål.docx", "A 46748-2024")</f>
        <v/>
      </c>
      <c r="AB184">
        <f>HYPERLINK("https://klasma.github.io/Logging_0380/klagomålsmail/A 46748-2024 FSC-klagomål mail.docx", "A 46748-2024")</f>
        <v/>
      </c>
      <c r="AC184">
        <f>HYPERLINK("https://klasma.github.io/Logging_0380/tillsyn/A 46748-2024 tillsynsbegäran.docx", "A 46748-2024")</f>
        <v/>
      </c>
      <c r="AD184">
        <f>HYPERLINK("https://klasma.github.io/Logging_0380/tillsynsmail/A 46748-2024 tillsynsbegäran mail.docx", "A 46748-2024")</f>
        <v/>
      </c>
      <c r="AE184">
        <f>HYPERLINK("https://klasma.github.io/Logging_0380/fåglar/A 46748-2024 prioriterade fågelarter.docx", "A 46748-2024")</f>
        <v/>
      </c>
    </row>
    <row r="185" ht="15" customHeight="1">
      <c r="A185" t="inlineStr">
        <is>
          <t>A 42528-2023</t>
        </is>
      </c>
      <c r="B185" t="inlineStr">
        <is>
          <t>avverkningsanmälan</t>
        </is>
      </c>
      <c r="C185" t="inlineStr">
        <is>
          <t>Föryngringsavverkning</t>
        </is>
      </c>
      <c r="D185" s="1" t="n">
        <v>45181</v>
      </c>
      <c r="E185" s="1" t="n">
        <v>46291</v>
      </c>
      <c r="F185" t="inlineStr">
        <is>
          <t>UPPSALA LÄN</t>
        </is>
      </c>
      <c r="G185" t="inlineStr">
        <is>
          <t>UPPSALA</t>
        </is>
      </c>
      <c r="I185" t="n">
        <v>1.2</v>
      </c>
      <c r="J185" t="n">
        <v>0</v>
      </c>
      <c r="K185" t="n">
        <v>0</v>
      </c>
      <c r="L185" t="n">
        <v>1</v>
      </c>
      <c r="M185" t="n">
        <v>0</v>
      </c>
      <c r="N185" t="n">
        <v>0</v>
      </c>
      <c r="O185" t="n">
        <v>0</v>
      </c>
      <c r="P185" t="n">
        <v>0</v>
      </c>
      <c r="Q185" t="n">
        <v>1</v>
      </c>
      <c r="R185" t="n">
        <v>0</v>
      </c>
      <c r="S185" t="n">
        <v>1</v>
      </c>
      <c r="T185" t="n">
        <v>3</v>
      </c>
      <c r="U185" t="n">
        <v>0</v>
      </c>
      <c r="V185" s="2" t="inlineStr">
        <is>
          <t>Lunglav</t>
        </is>
      </c>
      <c r="W185">
        <f>HYPERLINK("https://klasma.github.io/Logging_0380/artfynd/A 42528-2023 artfynd.xlsx", "A 42528-2023")</f>
        <v/>
      </c>
      <c r="X185">
        <f>HYPERLINK("https://klasma.github.io/Logging_0380/kartor/A 42528-2023 karta.png", "A 42528-2023")</f>
        <v/>
      </c>
      <c r="Y185">
        <f>HYPERLINK("https://klasma.github.io/Logging_0380/kartor_geotiff/A 42528-2023 georefererad karta.tif", "A 42528-2023")</f>
        <v/>
      </c>
      <c r="AA185">
        <f>HYPERLINK("https://klasma.github.io/Logging_0380/klagomål/A 42528-2023 FSC-klagomål.docx", "A 42528-2023")</f>
        <v/>
      </c>
      <c r="AB185">
        <f>HYPERLINK("https://klasma.github.io/Logging_0380/klagomålsmail/A 42528-2023 FSC-klagomål mail.docx", "A 42528-2023")</f>
        <v/>
      </c>
      <c r="AC185">
        <f>HYPERLINK("https://klasma.github.io/Logging_0380/tillsyn/A 42528-2023 tillsynsbegäran.docx", "A 42528-2023")</f>
        <v/>
      </c>
      <c r="AD185">
        <f>HYPERLINK("https://klasma.github.io/Logging_0380/tillsynsmail/A 42528-2023 tillsynsbegäran mail.docx", "A 42528-2023")</f>
        <v/>
      </c>
    </row>
    <row r="186" ht="15" customHeight="1">
      <c r="A186" t="inlineStr">
        <is>
          <t>A 29906-2023</t>
        </is>
      </c>
      <c r="B186" t="inlineStr">
        <is>
          <t>avverkningsanmälan</t>
        </is>
      </c>
      <c r="C186" t="inlineStr">
        <is>
          <t>Föryngringsavverkning</t>
        </is>
      </c>
      <c r="D186" s="1" t="n">
        <v>45107</v>
      </c>
      <c r="E186" s="1" t="n">
        <v>46291</v>
      </c>
      <c r="F186" t="inlineStr">
        <is>
          <t>UPPSALA LÄN</t>
        </is>
      </c>
      <c r="G186" t="inlineStr">
        <is>
          <t>UPPSALA</t>
        </is>
      </c>
      <c r="H186" t="inlineStr">
        <is>
          <t>Kyrkan</t>
        </is>
      </c>
      <c r="I186" t="n">
        <v>0.5</v>
      </c>
      <c r="J186" t="n">
        <v>0</v>
      </c>
      <c r="K186" t="n">
        <v>1</v>
      </c>
      <c r="L186" t="n">
        <v>0</v>
      </c>
      <c r="M186" t="n">
        <v>0</v>
      </c>
      <c r="N186" t="n">
        <v>0</v>
      </c>
      <c r="O186" t="n">
        <v>0</v>
      </c>
      <c r="P186" t="n">
        <v>0</v>
      </c>
      <c r="Q186" t="n">
        <v>0</v>
      </c>
      <c r="R186" t="n">
        <v>0</v>
      </c>
      <c r="S186" t="n">
        <v>1</v>
      </c>
      <c r="T186" t="n">
        <v>1</v>
      </c>
      <c r="U186" t="n">
        <v>1</v>
      </c>
      <c r="V186" s="2" t="inlineStr">
        <is>
          <t>Sotriska</t>
        </is>
      </c>
      <c r="W186">
        <f>HYPERLINK("https://klasma.github.io/Logging_0380/artfynd/A 29906-2023 artfynd.xlsx", "A 29906-2023")</f>
        <v/>
      </c>
      <c r="X186">
        <f>HYPERLINK("https://klasma.github.io/Logging_0380/kartor/A 29906-2023 karta.png", "A 29906-2023")</f>
        <v/>
      </c>
      <c r="Y186">
        <f>HYPERLINK("https://klasma.github.io/Logging_0380/kartor_geotiff/A 29906-2023 georefererad karta.tif", "A 29906-2023")</f>
        <v/>
      </c>
      <c r="AA186">
        <f>HYPERLINK("https://klasma.github.io/Logging_0380/klagomål/A 29906-2023 FSC-klagomål.docx", "A 29906-2023")</f>
        <v/>
      </c>
      <c r="AB186">
        <f>HYPERLINK("https://klasma.github.io/Logging_0380/klagomålsmail/A 29906-2023 FSC-klagomål mail.docx", "A 29906-2023")</f>
        <v/>
      </c>
      <c r="AC186">
        <f>HYPERLINK("https://klasma.github.io/Logging_0380/tillsyn/A 29906-2023 tillsynsbegäran.docx", "A 29906-2023")</f>
        <v/>
      </c>
      <c r="AD186">
        <f>HYPERLINK("https://klasma.github.io/Logging_0380/tillsynsmail/A 29906-2023 tillsynsbegäran mail.docx", "A 29906-2023")</f>
        <v/>
      </c>
    </row>
    <row r="187" ht="15" customHeight="1">
      <c r="A187" t="inlineStr">
        <is>
          <t>A 59547-2024</t>
        </is>
      </c>
      <c r="B187" t="inlineStr">
        <is>
          <t>avverkningsanmälan</t>
        </is>
      </c>
      <c r="C187" t="inlineStr">
        <is>
          <t>Föryngringsavverkning</t>
        </is>
      </c>
      <c r="D187" s="1" t="n">
        <v>45638</v>
      </c>
      <c r="E187" s="1" t="n">
        <v>46291</v>
      </c>
      <c r="F187" t="inlineStr">
        <is>
          <t>UPPSALA LÄN</t>
        </is>
      </c>
      <c r="G187" t="inlineStr">
        <is>
          <t>UPPSALA</t>
        </is>
      </c>
      <c r="I187" t="n">
        <v>2.2</v>
      </c>
      <c r="J187" t="n">
        <v>0</v>
      </c>
      <c r="K187" t="n">
        <v>0</v>
      </c>
      <c r="L187" t="n">
        <v>1</v>
      </c>
      <c r="M187" t="n">
        <v>0</v>
      </c>
      <c r="N187" t="n">
        <v>0</v>
      </c>
      <c r="O187" t="n">
        <v>0</v>
      </c>
      <c r="P187" t="n">
        <v>0</v>
      </c>
      <c r="Q187" t="n">
        <v>1</v>
      </c>
      <c r="R187" t="n">
        <v>0</v>
      </c>
      <c r="S187" t="n">
        <v>1</v>
      </c>
      <c r="T187" t="n">
        <v>1</v>
      </c>
      <c r="U187" t="n">
        <v>0</v>
      </c>
      <c r="V187" s="2" t="inlineStr">
        <is>
          <t>Ängsskära</t>
        </is>
      </c>
      <c r="W187">
        <f>HYPERLINK("https://klasma.github.io/Logging_0380/artfynd/A 59547-2024 artfynd.xlsx", "A 59547-2024")</f>
        <v/>
      </c>
      <c r="X187">
        <f>HYPERLINK("https://klasma.github.io/Logging_0380/kartor/A 59547-2024 karta.png", "A 59547-2024")</f>
        <v/>
      </c>
      <c r="Y187">
        <f>HYPERLINK("https://klasma.github.io/Logging_0380/kartor_geotiff/A 59547-2024 georefererad karta.tif", "A 59547-2024")</f>
        <v/>
      </c>
      <c r="AA187">
        <f>HYPERLINK("https://klasma.github.io/Logging_0380/klagomål/A 59547-2024 FSC-klagomål.docx", "A 59547-2024")</f>
        <v/>
      </c>
      <c r="AB187">
        <f>HYPERLINK("https://klasma.github.io/Logging_0380/klagomålsmail/A 59547-2024 FSC-klagomål mail.docx", "A 59547-2024")</f>
        <v/>
      </c>
      <c r="AC187">
        <f>HYPERLINK("https://klasma.github.io/Logging_0380/tillsyn/A 59547-2024 tillsynsbegäran.docx", "A 59547-2024")</f>
        <v/>
      </c>
      <c r="AD187">
        <f>HYPERLINK("https://klasma.github.io/Logging_0380/tillsynsmail/A 59547-2024 tillsynsbegäran mail.docx", "A 59547-2024")</f>
        <v/>
      </c>
    </row>
    <row r="188" ht="15" customHeight="1">
      <c r="A188" t="inlineStr">
        <is>
          <t>A 44815-2023</t>
        </is>
      </c>
      <c r="B188" t="inlineStr">
        <is>
          <t>avverkningsanmälan</t>
        </is>
      </c>
      <c r="C188" t="inlineStr">
        <is>
          <t>Avverkning för att bevara och utveckla /försöksver</t>
        </is>
      </c>
      <c r="D188" s="1" t="n">
        <v>45190</v>
      </c>
      <c r="E188" s="1" t="n">
        <v>46291</v>
      </c>
      <c r="F188" t="inlineStr">
        <is>
          <t>UPPSALA LÄN</t>
        </is>
      </c>
      <c r="G188" t="inlineStr">
        <is>
          <t>UPPSALA</t>
        </is>
      </c>
      <c r="I188" t="n">
        <v>2.3</v>
      </c>
      <c r="J188" t="n">
        <v>0</v>
      </c>
      <c r="K188" t="n">
        <v>0</v>
      </c>
      <c r="L188" t="n">
        <v>0</v>
      </c>
      <c r="M188" t="n">
        <v>1</v>
      </c>
      <c r="N188" t="n">
        <v>0</v>
      </c>
      <c r="O188" t="n">
        <v>0</v>
      </c>
      <c r="P188" t="n">
        <v>0</v>
      </c>
      <c r="Q188" t="n">
        <v>1</v>
      </c>
      <c r="R188" t="n">
        <v>1</v>
      </c>
      <c r="S188" t="n">
        <v>1</v>
      </c>
      <c r="T188" t="n">
        <v>1</v>
      </c>
      <c r="U188" t="n">
        <v>0</v>
      </c>
      <c r="V188" s="2" t="inlineStr">
        <is>
          <t>Sexfläckig bastardsvärmare</t>
        </is>
      </c>
      <c r="W188">
        <f>HYPERLINK("https://klasma.github.io/Logging_0380/artfynd/A 44815-2023 artfynd.xlsx", "A 44815-2023")</f>
        <v/>
      </c>
      <c r="X188">
        <f>HYPERLINK("https://klasma.github.io/Logging_0380/kartor/A 44815-2023 karta.png", "A 44815-2023")</f>
        <v/>
      </c>
      <c r="Y188">
        <f>HYPERLINK("https://klasma.github.io/Logging_0380/kartor_geotiff/A 44815-2023 georefererad karta.tif", "A 44815-2023")</f>
        <v/>
      </c>
      <c r="AA188">
        <f>HYPERLINK("https://klasma.github.io/Logging_0380/klagomål/A 44815-2023 FSC-klagomål.docx", "A 44815-2023")</f>
        <v/>
      </c>
      <c r="AB188">
        <f>HYPERLINK("https://klasma.github.io/Logging_0380/klagomålsmail/A 44815-2023 FSC-klagomål mail.docx", "A 44815-2023")</f>
        <v/>
      </c>
      <c r="AC188">
        <f>HYPERLINK("https://klasma.github.io/Logging_0380/tillsyn/A 44815-2023 tillsynsbegäran.docx", "A 44815-2023")</f>
        <v/>
      </c>
      <c r="AD188">
        <f>HYPERLINK("https://klasma.github.io/Logging_0380/tillsynsmail/A 44815-2023 tillsynsbegäran mail.docx", "A 44815-2023")</f>
        <v/>
      </c>
    </row>
    <row r="189" ht="15" customHeight="1">
      <c r="A189" t="inlineStr">
        <is>
          <t>A 40872-2023</t>
        </is>
      </c>
      <c r="B189" t="inlineStr">
        <is>
          <t>avverkningsanmälan</t>
        </is>
      </c>
      <c r="C189" t="inlineStr">
        <is>
          <t>Avverkning för annat ändamål</t>
        </is>
      </c>
      <c r="D189" s="1" t="n">
        <v>45173</v>
      </c>
      <c r="E189" s="1" t="n">
        <v>46291</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HYPERLINK("https://klasma.github.io/Logging_0380/artfynd/A 40872-2023 artfynd.xlsx", "A 40872-2023")</f>
        <v/>
      </c>
      <c r="X189">
        <f>HYPERLINK("https://klasma.github.io/Logging_0380/kartor/A 40872-2023 karta.png", "A 40872-2023")</f>
        <v/>
      </c>
      <c r="Y189">
        <f>HYPERLINK("https://klasma.github.io/Logging_0380/kartor_geotiff/A 40872-2023 georefererad karta.tif", "A 40872-2023")</f>
        <v/>
      </c>
      <c r="AA189">
        <f>HYPERLINK("https://klasma.github.io/Logging_0380/klagomål/A 40872-2023 FSC-klagomål.docx", "A 40872-2023")</f>
        <v/>
      </c>
      <c r="AB189">
        <f>HYPERLINK("https://klasma.github.io/Logging_0380/klagomålsmail/A 40872-2023 FSC-klagomål mail.docx", "A 40872-2023")</f>
        <v/>
      </c>
      <c r="AC189">
        <f>HYPERLINK("https://klasma.github.io/Logging_0380/tillsyn/A 40872-2023 tillsynsbegäran.docx", "A 40872-2023")</f>
        <v/>
      </c>
      <c r="AD189">
        <f>HYPERLINK("https://klasma.github.io/Logging_0380/tillsynsmail/A 40872-2023 tillsynsbegäran mail.docx", "A 40872-2023")</f>
        <v/>
      </c>
    </row>
    <row r="190" ht="15" customHeight="1">
      <c r="A190" t="inlineStr">
        <is>
          <t>A 5309-2022</t>
        </is>
      </c>
      <c r="B190" t="inlineStr">
        <is>
          <t>avverkningsanmälan</t>
        </is>
      </c>
      <c r="C190" t="inlineStr">
        <is>
          <t>Föryngringsavverkning</t>
        </is>
      </c>
      <c r="D190" s="1" t="n">
        <v>44594</v>
      </c>
      <c r="E190" s="1" t="n">
        <v>46291</v>
      </c>
      <c r="F190" t="inlineStr">
        <is>
          <t>UPPSALA LÄN</t>
        </is>
      </c>
      <c r="G190" t="inlineStr">
        <is>
          <t>UPPSALA</t>
        </is>
      </c>
      <c r="I190" t="n">
        <v>4.8</v>
      </c>
      <c r="J190" t="n">
        <v>0</v>
      </c>
      <c r="K190" t="n">
        <v>1</v>
      </c>
      <c r="L190" t="n">
        <v>0</v>
      </c>
      <c r="M190" t="n">
        <v>0</v>
      </c>
      <c r="N190" t="n">
        <v>0</v>
      </c>
      <c r="O190" t="n">
        <v>0</v>
      </c>
      <c r="P190" t="n">
        <v>0</v>
      </c>
      <c r="Q190" t="n">
        <v>0</v>
      </c>
      <c r="R190" t="n">
        <v>0</v>
      </c>
      <c r="S190" t="n">
        <v>1</v>
      </c>
      <c r="T190" t="n">
        <v>1</v>
      </c>
      <c r="U190" t="n">
        <v>0</v>
      </c>
      <c r="V190" s="2" t="inlineStr">
        <is>
          <t>Grönpyrola</t>
        </is>
      </c>
      <c r="W190">
        <f>HYPERLINK("https://klasma.github.io/Logging_0380/artfynd/A 5309-2022 artfynd.xlsx", "A 5309-2022")</f>
        <v/>
      </c>
      <c r="X190">
        <f>HYPERLINK("https://klasma.github.io/Logging_0380/kartor/A 5309-2022 karta.png", "A 5309-2022")</f>
        <v/>
      </c>
      <c r="Y190">
        <f>HYPERLINK("https://klasma.github.io/Logging_0380/kartor_geotiff/A 5309-2022 georefererad karta.tif", "A 5309-2022")</f>
        <v/>
      </c>
      <c r="AA190">
        <f>HYPERLINK("https://klasma.github.io/Logging_0380/klagomål/A 5309-2022 FSC-klagomål.docx", "A 5309-2022")</f>
        <v/>
      </c>
      <c r="AB190">
        <f>HYPERLINK("https://klasma.github.io/Logging_0380/klagomålsmail/A 5309-2022 FSC-klagomål mail.docx", "A 5309-2022")</f>
        <v/>
      </c>
      <c r="AC190">
        <f>HYPERLINK("https://klasma.github.io/Logging_0380/tillsyn/A 5309-2022 tillsynsbegäran.docx", "A 5309-2022")</f>
        <v/>
      </c>
      <c r="AD190">
        <f>HYPERLINK("https://klasma.github.io/Logging_0380/tillsynsmail/A 5309-2022 tillsynsbegäran mail.docx", "A 5309-2022")</f>
        <v/>
      </c>
    </row>
    <row r="191" ht="15" customHeight="1">
      <c r="A191" t="inlineStr">
        <is>
          <t>A 30843-2026</t>
        </is>
      </c>
      <c r="B191" t="inlineStr">
        <is>
          <t>avverkningsanmälan</t>
        </is>
      </c>
      <c r="C191" t="inlineStr">
        <is>
          <t>Föryngringsavverkning</t>
        </is>
      </c>
      <c r="D191" s="1" t="n">
        <v>46212</v>
      </c>
      <c r="E191" s="1" t="n">
        <v>46291</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t="n">
        <v>0</v>
      </c>
      <c r="V191" s="2" t="inlineStr">
        <is>
          <t>Scharlakansvårskål agg.</t>
        </is>
      </c>
      <c r="W191">
        <f>HYPERLINK("https://klasma.github.io/Logging_0380/artfynd/A 30843-2026 artfynd.xlsx", "A 30843-2026")</f>
        <v/>
      </c>
      <c r="X191">
        <f>HYPERLINK("https://klasma.github.io/Logging_0380/kartor/A 30843-2026 karta.png", "A 30843-2026")</f>
        <v/>
      </c>
      <c r="Y191">
        <f>HYPERLINK("https://klasma.github.io/Logging_0380/kartor_geotiff/A 30843-2026 georefererad karta.tif", "A 30843-2026")</f>
        <v/>
      </c>
      <c r="AA191">
        <f>HYPERLINK("https://klasma.github.io/Logging_0380/klagomål/A 30843-2026 FSC-klagomål.docx", "A 30843-2026")</f>
        <v/>
      </c>
      <c r="AB191">
        <f>HYPERLINK("https://klasma.github.io/Logging_0380/klagomålsmail/A 30843-2026 FSC-klagomål mail.docx", "A 30843-2026")</f>
        <v/>
      </c>
      <c r="AC191">
        <f>HYPERLINK("https://klasma.github.io/Logging_0380/tillsyn/A 30843-2026 tillsynsbegäran.docx", "A 30843-2026")</f>
        <v/>
      </c>
      <c r="AD191">
        <f>HYPERLINK("https://klasma.github.io/Logging_0380/tillsynsmail/A 30843-2026 tillsynsbegäran mail.docx", "A 30843-2026")</f>
        <v/>
      </c>
    </row>
    <row r="192" ht="15" customHeight="1">
      <c r="A192" t="inlineStr">
        <is>
          <t>A 41002-2023</t>
        </is>
      </c>
      <c r="B192" t="inlineStr">
        <is>
          <t>avverkningsanmälan</t>
        </is>
      </c>
      <c r="C192" t="inlineStr">
        <is>
          <t>Avverkning för att bevara och utveckla /försöksver</t>
        </is>
      </c>
      <c r="D192" s="1" t="n">
        <v>45173</v>
      </c>
      <c r="E192" s="1" t="n">
        <v>46291</v>
      </c>
      <c r="F192" t="inlineStr">
        <is>
          <t>UPPSALA LÄN</t>
        </is>
      </c>
      <c r="G192" t="inlineStr">
        <is>
          <t>UPPSALA</t>
        </is>
      </c>
      <c r="I192" t="n">
        <v>6.2</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HYPERLINK("https://klasma.github.io/Logging_0380/artfynd/A 41002-2023 artfynd.xlsx", "A 41002-2023")</f>
        <v/>
      </c>
      <c r="X192">
        <f>HYPERLINK("https://klasma.github.io/Logging_0380/kartor/A 41002-2023 karta.png", "A 41002-2023")</f>
        <v/>
      </c>
      <c r="Y192">
        <f>HYPERLINK("https://klasma.github.io/Logging_0380/kartor_geotiff/A 41002-2023 georefererad karta.tif", "A 41002-2023")</f>
        <v/>
      </c>
      <c r="AA192">
        <f>HYPERLINK("https://klasma.github.io/Logging_0380/klagomål/A 41002-2023 FSC-klagomål.docx", "A 41002-2023")</f>
        <v/>
      </c>
      <c r="AB192">
        <f>HYPERLINK("https://klasma.github.io/Logging_0380/klagomålsmail/A 41002-2023 FSC-klagomål mail.docx", "A 41002-2023")</f>
        <v/>
      </c>
      <c r="AC192">
        <f>HYPERLINK("https://klasma.github.io/Logging_0380/tillsyn/A 41002-2023 tillsynsbegäran.docx", "A 41002-2023")</f>
        <v/>
      </c>
      <c r="AD192">
        <f>HYPERLINK("https://klasma.github.io/Logging_0380/tillsynsmail/A 41002-2023 tillsynsbegäran mail.docx", "A 41002-2023")</f>
        <v/>
      </c>
    </row>
    <row r="193" ht="15" customHeight="1">
      <c r="A193" t="inlineStr">
        <is>
          <t>A 35313-2026</t>
        </is>
      </c>
      <c r="B193" t="inlineStr">
        <is>
          <t>avverkningsanmälan</t>
        </is>
      </c>
      <c r="C193" t="inlineStr">
        <is>
          <t>Föryngringsavverkning</t>
        </is>
      </c>
      <c r="D193" s="1" t="n">
        <v>46261</v>
      </c>
      <c r="E193" s="1" t="n">
        <v>46291</v>
      </c>
      <c r="F193" t="inlineStr">
        <is>
          <t>UPPSALA LÄN</t>
        </is>
      </c>
      <c r="G193" t="inlineStr">
        <is>
          <t>UPPSALA</t>
        </is>
      </c>
      <c r="H193" t="inlineStr">
        <is>
          <t>Allmännings- och besparingsskogar</t>
        </is>
      </c>
      <c r="I193" t="n">
        <v>2</v>
      </c>
      <c r="J193" t="n">
        <v>0</v>
      </c>
      <c r="K193" t="n">
        <v>1</v>
      </c>
      <c r="L193" t="n">
        <v>0</v>
      </c>
      <c r="M193" t="n">
        <v>0</v>
      </c>
      <c r="N193" t="n">
        <v>0</v>
      </c>
      <c r="O193" t="n">
        <v>0</v>
      </c>
      <c r="P193" t="n">
        <v>0</v>
      </c>
      <c r="Q193" t="n">
        <v>0</v>
      </c>
      <c r="R193" t="n">
        <v>0</v>
      </c>
      <c r="S193" t="n">
        <v>1</v>
      </c>
      <c r="T193" t="n">
        <v>1</v>
      </c>
      <c r="U193" t="n">
        <v>0</v>
      </c>
      <c r="V193" s="2" t="inlineStr">
        <is>
          <t>Källpraktmossa</t>
        </is>
      </c>
      <c r="W193">
        <f>HYPERLINK("https://klasma.github.io/Logging_0380/artfynd/A 35313-2026 artfynd.xlsx", "A 35313-2026")</f>
        <v/>
      </c>
      <c r="X193">
        <f>HYPERLINK("https://klasma.github.io/Logging_0380/kartor/A 35313-2026 karta.png", "A 35313-2026")</f>
        <v/>
      </c>
      <c r="Y193">
        <f>HYPERLINK("https://klasma.github.io/Logging_0380/kartor_geotiff/A 35313-2026 georefererad karta.tif", "A 35313-2026")</f>
        <v/>
      </c>
      <c r="AA193">
        <f>HYPERLINK("https://klasma.github.io/Logging_0380/klagomål/A 35313-2026 FSC-klagomål.docx", "A 35313-2026")</f>
        <v/>
      </c>
      <c r="AB193">
        <f>HYPERLINK("https://klasma.github.io/Logging_0380/klagomålsmail/A 35313-2026 FSC-klagomål mail.docx", "A 35313-2026")</f>
        <v/>
      </c>
      <c r="AC193">
        <f>HYPERLINK("https://klasma.github.io/Logging_0380/tillsyn/A 35313-2026 tillsynsbegäran.docx", "A 35313-2026")</f>
        <v/>
      </c>
      <c r="AD193">
        <f>HYPERLINK("https://klasma.github.io/Logging_0380/tillsynsmail/A 35313-2026 tillsynsbegäran mail.docx", "A 35313-2026")</f>
        <v/>
      </c>
    </row>
    <row r="194" ht="15" customHeight="1">
      <c r="A194" t="inlineStr">
        <is>
          <t>A 37204-2026</t>
        </is>
      </c>
      <c r="B194" t="inlineStr">
        <is>
          <t>avverkningsanmälan</t>
        </is>
      </c>
      <c r="C194" t="inlineStr">
        <is>
          <t>Föryngringsavverkning</t>
        </is>
      </c>
      <c r="D194" s="1" t="n">
        <v>46274</v>
      </c>
      <c r="E194" s="1" t="n">
        <v>46291</v>
      </c>
      <c r="F194" t="inlineStr">
        <is>
          <t>UPPSALA LÄN</t>
        </is>
      </c>
      <c r="G194" t="inlineStr">
        <is>
          <t>UPPSALA</t>
        </is>
      </c>
      <c r="H194" t="inlineStr">
        <is>
          <t>Sveaskog</t>
        </is>
      </c>
      <c r="I194" t="n">
        <v>3</v>
      </c>
      <c r="J194" t="n">
        <v>1</v>
      </c>
      <c r="K194" t="n">
        <v>0</v>
      </c>
      <c r="L194" t="n">
        <v>0</v>
      </c>
      <c r="M194" t="n">
        <v>1</v>
      </c>
      <c r="N194" t="n">
        <v>0</v>
      </c>
      <c r="O194" t="n">
        <v>0</v>
      </c>
      <c r="P194" t="n">
        <v>0</v>
      </c>
      <c r="Q194" t="n">
        <v>1</v>
      </c>
      <c r="R194" t="n">
        <v>1</v>
      </c>
      <c r="S194" t="n">
        <v>1</v>
      </c>
      <c r="T194" t="n">
        <v>2</v>
      </c>
      <c r="U194" t="n">
        <v>0</v>
      </c>
      <c r="V194" s="2" t="inlineStr">
        <is>
          <t>Knärot</t>
        </is>
      </c>
      <c r="W194">
        <f>HYPERLINK("https://klasma.github.io/Logging_0380/artfynd/A 37204-2026 artfynd.xlsx", "A 37204-2026")</f>
        <v/>
      </c>
      <c r="X194">
        <f>HYPERLINK("https://klasma.github.io/Logging_0380/kartor/A 37204-2026 karta.png", "A 37204-2026")</f>
        <v/>
      </c>
      <c r="Y194">
        <f>HYPERLINK("https://klasma.github.io/Logging_0380/kartor_geotiff/A 37204-2026 georefererad karta.tif", "A 37204-2026")</f>
        <v/>
      </c>
      <c r="Z194">
        <f>HYPERLINK("https://klasma.github.io/Logging_0380/knärot/A 37204-2026 karta knärot.png", "A 37204-2026")</f>
        <v/>
      </c>
      <c r="AA194">
        <f>HYPERLINK("https://klasma.github.io/Logging_0380/klagomål/A 37204-2026 FSC-klagomål.docx", "A 37204-2026")</f>
        <v/>
      </c>
      <c r="AB194">
        <f>HYPERLINK("https://klasma.github.io/Logging_0380/klagomålsmail/A 37204-2026 FSC-klagomål mail.docx", "A 37204-2026")</f>
        <v/>
      </c>
      <c r="AC194">
        <f>HYPERLINK("https://klasma.github.io/Logging_0380/tillsyn/A 37204-2026 tillsynsbegäran.docx", "A 37204-2026")</f>
        <v/>
      </c>
      <c r="AD194">
        <f>HYPERLINK("https://klasma.github.io/Logging_0380/tillsynsmail/A 37204-2026 tillsynsbegäran mail.docx", "A 37204-2026")</f>
        <v/>
      </c>
    </row>
    <row r="195" ht="15" customHeight="1">
      <c r="A195" t="inlineStr">
        <is>
          <t>A 37205-2026</t>
        </is>
      </c>
      <c r="B195" t="inlineStr">
        <is>
          <t>avverkningsanmälan</t>
        </is>
      </c>
      <c r="C195" t="inlineStr">
        <is>
          <t>Föryngringsavverkning</t>
        </is>
      </c>
      <c r="D195" s="1" t="n">
        <v>46274</v>
      </c>
      <c r="E195" s="1" t="n">
        <v>46291</v>
      </c>
      <c r="F195" t="inlineStr">
        <is>
          <t>UPPSALA LÄN</t>
        </is>
      </c>
      <c r="G195" t="inlineStr">
        <is>
          <t>UPPSALA</t>
        </is>
      </c>
      <c r="H195" t="inlineStr">
        <is>
          <t>Sveaskog</t>
        </is>
      </c>
      <c r="I195" t="n">
        <v>3.1</v>
      </c>
      <c r="J195" t="n">
        <v>1</v>
      </c>
      <c r="K195" t="n">
        <v>0</v>
      </c>
      <c r="L195" t="n">
        <v>0</v>
      </c>
      <c r="M195" t="n">
        <v>1</v>
      </c>
      <c r="N195" t="n">
        <v>0</v>
      </c>
      <c r="O195" t="n">
        <v>0</v>
      </c>
      <c r="P195" t="n">
        <v>0</v>
      </c>
      <c r="Q195" t="n">
        <v>1</v>
      </c>
      <c r="R195" t="n">
        <v>1</v>
      </c>
      <c r="S195" t="n">
        <v>1</v>
      </c>
      <c r="T195" t="n">
        <v>1</v>
      </c>
      <c r="U195" t="n">
        <v>0</v>
      </c>
      <c r="V195" s="2" t="inlineStr">
        <is>
          <t>Knärot</t>
        </is>
      </c>
      <c r="W195">
        <f>HYPERLINK("https://klasma.github.io/Logging_0380/artfynd/A 37205-2026 artfynd.xlsx", "A 37205-2026")</f>
        <v/>
      </c>
      <c r="X195">
        <f>HYPERLINK("https://klasma.github.io/Logging_0380/kartor/A 37205-2026 karta.png", "A 37205-2026")</f>
        <v/>
      </c>
      <c r="Y195">
        <f>HYPERLINK("https://klasma.github.io/Logging_0380/kartor_geotiff/A 37205-2026 georefererad karta.tif", "A 37205-2026")</f>
        <v/>
      </c>
      <c r="Z195">
        <f>HYPERLINK("https://klasma.github.io/Logging_0380/knärot/A 37205-2026 karta knärot.png", "A 37205-2026")</f>
        <v/>
      </c>
      <c r="AA195">
        <f>HYPERLINK("https://klasma.github.io/Logging_0380/klagomål/A 37205-2026 FSC-klagomål.docx", "A 37205-2026")</f>
        <v/>
      </c>
      <c r="AB195">
        <f>HYPERLINK("https://klasma.github.io/Logging_0380/klagomålsmail/A 37205-2026 FSC-klagomål mail.docx", "A 37205-2026")</f>
        <v/>
      </c>
      <c r="AC195">
        <f>HYPERLINK("https://klasma.github.io/Logging_0380/tillsyn/A 37205-2026 tillsynsbegäran.docx", "A 37205-2026")</f>
        <v/>
      </c>
      <c r="AD195">
        <f>HYPERLINK("https://klasma.github.io/Logging_0380/tillsynsmail/A 37205-2026 tillsynsbegäran mail.docx", "A 37205-2026")</f>
        <v/>
      </c>
    </row>
    <row r="196" ht="15" customHeight="1">
      <c r="A196" t="inlineStr">
        <is>
          <t>A 37417-2026</t>
        </is>
      </c>
      <c r="B196" t="inlineStr">
        <is>
          <t>avverkningsanmälan</t>
        </is>
      </c>
      <c r="C196" t="inlineStr">
        <is>
          <t>Föryngringsavverkning</t>
        </is>
      </c>
      <c r="D196" s="1" t="n">
        <v>46275</v>
      </c>
      <c r="E196" s="1" t="n">
        <v>46291</v>
      </c>
      <c r="F196" t="inlineStr">
        <is>
          <t>UPPSALA LÄN</t>
        </is>
      </c>
      <c r="G196" t="inlineStr">
        <is>
          <t>UPPSALA</t>
        </is>
      </c>
      <c r="I196" t="n">
        <v>11.9</v>
      </c>
      <c r="J196" t="n">
        <v>0</v>
      </c>
      <c r="K196" t="n">
        <v>1</v>
      </c>
      <c r="L196" t="n">
        <v>0</v>
      </c>
      <c r="M196" t="n">
        <v>0</v>
      </c>
      <c r="N196" t="n">
        <v>0</v>
      </c>
      <c r="O196" t="n">
        <v>0</v>
      </c>
      <c r="P196" t="n">
        <v>0</v>
      </c>
      <c r="Q196" t="n">
        <v>0</v>
      </c>
      <c r="R196" t="n">
        <v>0</v>
      </c>
      <c r="S196" t="n">
        <v>1</v>
      </c>
      <c r="T196" t="n">
        <v>1</v>
      </c>
      <c r="U196" t="n">
        <v>0</v>
      </c>
      <c r="V196" s="2" t="inlineStr">
        <is>
          <t>Blåmossa</t>
        </is>
      </c>
      <c r="W196">
        <f>HYPERLINK("https://klasma.github.io/Logging_0380/artfynd/A 37417-2026 artfynd.xlsx", "A 37417-2026")</f>
        <v/>
      </c>
      <c r="X196">
        <f>HYPERLINK("https://klasma.github.io/Logging_0380/kartor/A 37417-2026 karta.png", "A 37417-2026")</f>
        <v/>
      </c>
      <c r="Y196">
        <f>HYPERLINK("https://klasma.github.io/Logging_0380/kartor_geotiff/A 37417-2026 georefererad karta.tif", "A 37417-2026")</f>
        <v/>
      </c>
      <c r="AA196">
        <f>HYPERLINK("https://klasma.github.io/Logging_0380/klagomål/A 37417-2026 FSC-klagomål.docx", "A 37417-2026")</f>
        <v/>
      </c>
      <c r="AB196">
        <f>HYPERLINK("https://klasma.github.io/Logging_0380/klagomålsmail/A 37417-2026 FSC-klagomål mail.docx", "A 37417-2026")</f>
        <v/>
      </c>
      <c r="AC196">
        <f>HYPERLINK("https://klasma.github.io/Logging_0380/tillsyn/A 37417-2026 tillsynsbegäran.docx", "A 37417-2026")</f>
        <v/>
      </c>
      <c r="AD196">
        <f>HYPERLINK("https://klasma.github.io/Logging_0380/tillsynsmail/A 37417-2026 tillsynsbegäran mail.docx", "A 37417-2026")</f>
        <v/>
      </c>
    </row>
    <row r="197" ht="15" customHeight="1">
      <c r="A197" t="inlineStr">
        <is>
          <t>A 37933-2026</t>
        </is>
      </c>
      <c r="B197" t="inlineStr">
        <is>
          <t>avverkningsanmälan</t>
        </is>
      </c>
      <c r="C197" t="inlineStr">
        <is>
          <t>Föryngringsavverkning</t>
        </is>
      </c>
      <c r="D197" s="1" t="n">
        <v>46280</v>
      </c>
      <c r="E197" s="1" t="n">
        <v>46291</v>
      </c>
      <c r="F197" t="inlineStr">
        <is>
          <t>UPPSALA LÄN</t>
        </is>
      </c>
      <c r="G197" t="inlineStr">
        <is>
          <t>UPPSALA</t>
        </is>
      </c>
      <c r="I197" t="n">
        <v>1.7</v>
      </c>
      <c r="J197" t="n">
        <v>0</v>
      </c>
      <c r="K197" t="n">
        <v>1</v>
      </c>
      <c r="L197" t="n">
        <v>0</v>
      </c>
      <c r="M197" t="n">
        <v>0</v>
      </c>
      <c r="N197" t="n">
        <v>0</v>
      </c>
      <c r="O197" t="n">
        <v>0</v>
      </c>
      <c r="P197" t="n">
        <v>0</v>
      </c>
      <c r="Q197" t="n">
        <v>0</v>
      </c>
      <c r="R197" t="n">
        <v>0</v>
      </c>
      <c r="S197" t="n">
        <v>1</v>
      </c>
      <c r="T197" t="n">
        <v>1</v>
      </c>
      <c r="U197" t="n">
        <v>0</v>
      </c>
      <c r="V197" s="2" t="inlineStr">
        <is>
          <t>Vedticka</t>
        </is>
      </c>
      <c r="W197">
        <f>HYPERLINK("https://klasma.github.io/Logging_0380/artfynd/A 37933-2026 artfynd.xlsx", "A 37933-2026")</f>
        <v/>
      </c>
      <c r="X197">
        <f>HYPERLINK("https://klasma.github.io/Logging_0380/kartor/A 37933-2026 karta.png", "A 37933-2026")</f>
        <v/>
      </c>
      <c r="Y197">
        <f>HYPERLINK("https://klasma.github.io/Logging_0380/kartor_geotiff/A 37933-2026 georefererad karta.tif", "A 37933-2026")</f>
        <v/>
      </c>
      <c r="AA197">
        <f>HYPERLINK("https://klasma.github.io/Logging_0380/klagomål/A 37933-2026 FSC-klagomål.docx", "A 37933-2026")</f>
        <v/>
      </c>
      <c r="AB197">
        <f>HYPERLINK("https://klasma.github.io/Logging_0380/klagomålsmail/A 37933-2026 FSC-klagomål mail.docx", "A 37933-2026")</f>
        <v/>
      </c>
      <c r="AC197">
        <f>HYPERLINK("https://klasma.github.io/Logging_0380/tillsyn/A 37933-2026 tillsynsbegäran.docx", "A 37933-2026")</f>
        <v/>
      </c>
      <c r="AD197">
        <f>HYPERLINK("https://klasma.github.io/Logging_0380/tillsynsmail/A 37933-2026 tillsynsbegäran mail.docx", "A 37933-2026")</f>
        <v/>
      </c>
    </row>
    <row r="198" ht="15" customHeight="1">
      <c r="A198" t="inlineStr">
        <is>
          <t>A 61830-2022</t>
        </is>
      </c>
      <c r="B198" t="inlineStr">
        <is>
          <t>avverkningsanmälan</t>
        </is>
      </c>
      <c r="C198" t="inlineStr">
        <is>
          <t>Föryngringsavverkning</t>
        </is>
      </c>
      <c r="D198" s="1" t="n">
        <v>44917</v>
      </c>
      <c r="E198" s="1" t="n">
        <v>46291</v>
      </c>
      <c r="F198" t="inlineStr">
        <is>
          <t>UPPSALA LÄN</t>
        </is>
      </c>
      <c r="G198" t="inlineStr">
        <is>
          <t>UPPSALA</t>
        </is>
      </c>
      <c r="H198" t="inlineStr">
        <is>
          <t>Holmen skog AB</t>
        </is>
      </c>
      <c r="I198" t="n">
        <v>1.1</v>
      </c>
      <c r="J198" t="n">
        <v>0</v>
      </c>
      <c r="K198" t="n">
        <v>0</v>
      </c>
      <c r="L198" t="n">
        <v>1</v>
      </c>
      <c r="M198" t="n">
        <v>0</v>
      </c>
      <c r="N198" t="n">
        <v>0</v>
      </c>
      <c r="O198" t="n">
        <v>0</v>
      </c>
      <c r="P198" t="n">
        <v>0</v>
      </c>
      <c r="Q198" t="n">
        <v>1</v>
      </c>
      <c r="R198" t="n">
        <v>0</v>
      </c>
      <c r="S198" t="n">
        <v>1</v>
      </c>
      <c r="T198" t="n">
        <v>1</v>
      </c>
      <c r="U198" t="n">
        <v>0</v>
      </c>
      <c r="V198" s="2" t="inlineStr">
        <is>
          <t>Rödbrun blekspik</t>
        </is>
      </c>
      <c r="W198">
        <f>HYPERLINK("https://klasma.github.io/Logging_0380/artfynd/A 61830-2022 artfynd.xlsx", "A 61830-2022")</f>
        <v/>
      </c>
      <c r="X198">
        <f>HYPERLINK("https://klasma.github.io/Logging_0380/kartor/A 61830-2022 karta.png", "A 61830-2022")</f>
        <v/>
      </c>
      <c r="Y198">
        <f>HYPERLINK("https://klasma.github.io/Logging_0380/kartor_geotiff/A 61830-2022 georefererad karta.tif", "A 61830-2022")</f>
        <v/>
      </c>
      <c r="AA198">
        <f>HYPERLINK("https://klasma.github.io/Logging_0380/klagomål/A 61830-2022 FSC-klagomål.docx", "A 61830-2022")</f>
        <v/>
      </c>
      <c r="AB198">
        <f>HYPERLINK("https://klasma.github.io/Logging_0380/klagomålsmail/A 61830-2022 FSC-klagomål mail.docx", "A 61830-2022")</f>
        <v/>
      </c>
      <c r="AC198">
        <f>HYPERLINK("https://klasma.github.io/Logging_0380/tillsyn/A 61830-2022 tillsynsbegäran.docx", "A 61830-2022")</f>
        <v/>
      </c>
      <c r="AD198">
        <f>HYPERLINK("https://klasma.github.io/Logging_0380/tillsynsmail/A 61830-2022 tillsynsbegäran mail.docx", "A 61830-2022")</f>
        <v/>
      </c>
    </row>
    <row r="199" ht="15" customHeight="1">
      <c r="A199" t="inlineStr">
        <is>
          <t>A 2729-2024</t>
        </is>
      </c>
      <c r="B199" t="inlineStr">
        <is>
          <t>avverkningsanmälan</t>
        </is>
      </c>
      <c r="C199" t="inlineStr">
        <is>
          <t>Föryngringsavverkning</t>
        </is>
      </c>
      <c r="D199" s="1" t="n">
        <v>45314</v>
      </c>
      <c r="E199" s="1" t="n">
        <v>46291</v>
      </c>
      <c r="F199" t="inlineStr">
        <is>
          <t>UPPSALA LÄN</t>
        </is>
      </c>
      <c r="G199" t="inlineStr">
        <is>
          <t>UPPSALA</t>
        </is>
      </c>
      <c r="I199" t="n">
        <v>3.3</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HYPERLINK("https://klasma.github.io/Logging_0380/artfynd/A 2729-2024 artfynd.xlsx", "A 2729-2024")</f>
        <v/>
      </c>
      <c r="X199">
        <f>HYPERLINK("https://klasma.github.io/Logging_0380/kartor/A 2729-2024 karta.png", "A 2729-2024")</f>
        <v/>
      </c>
      <c r="Y199">
        <f>HYPERLINK("https://klasma.github.io/Logging_0380/kartor_geotiff/A 2729-2024 georefererad karta.tif", "A 2729-2024")</f>
        <v/>
      </c>
      <c r="AA199">
        <f>HYPERLINK("https://klasma.github.io/Logging_0380/klagomål/A 2729-2024 FSC-klagomål.docx", "A 2729-2024")</f>
        <v/>
      </c>
      <c r="AB199">
        <f>HYPERLINK("https://klasma.github.io/Logging_0380/klagomålsmail/A 2729-2024 FSC-klagomål mail.docx", "A 2729-2024")</f>
        <v/>
      </c>
      <c r="AC199">
        <f>HYPERLINK("https://klasma.github.io/Logging_0380/tillsyn/A 2729-2024 tillsynsbegäran.docx", "A 2729-2024")</f>
        <v/>
      </c>
      <c r="AD199">
        <f>HYPERLINK("https://klasma.github.io/Logging_0380/tillsynsmail/A 2729-2024 tillsynsbegäran mail.docx", "A 2729-2024")</f>
        <v/>
      </c>
    </row>
    <row r="200" ht="15" customHeight="1">
      <c r="A200" t="inlineStr">
        <is>
          <t>A 32688-2023</t>
        </is>
      </c>
      <c r="B200" t="inlineStr">
        <is>
          <t>avverkningsanmälan</t>
        </is>
      </c>
      <c r="C200" t="inlineStr">
        <is>
          <t>Föryngringsavverkning</t>
        </is>
      </c>
      <c r="D200" s="1" t="n">
        <v>45121</v>
      </c>
      <c r="E200" s="1" t="n">
        <v>46291</v>
      </c>
      <c r="F200" t="inlineStr">
        <is>
          <t>UPPSALA LÄN</t>
        </is>
      </c>
      <c r="G200" t="inlineStr">
        <is>
          <t>UPPSALA</t>
        </is>
      </c>
      <c r="H200" t="inlineStr">
        <is>
          <t>Holmen skog AB</t>
        </is>
      </c>
      <c r="I200" t="n">
        <v>4.3</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HYPERLINK("https://klasma.github.io/Logging_0380/artfynd/A 32688-2023 artfynd.xlsx", "A 32688-2023")</f>
        <v/>
      </c>
      <c r="X200">
        <f>HYPERLINK("https://klasma.github.io/Logging_0380/kartor/A 32688-2023 karta.png", "A 32688-2023")</f>
        <v/>
      </c>
      <c r="Y200">
        <f>HYPERLINK("https://klasma.github.io/Logging_0380/kartor_geotiff/A 32688-2023 georefererad karta.tif", "A 32688-2023")</f>
        <v/>
      </c>
      <c r="AA200">
        <f>HYPERLINK("https://klasma.github.io/Logging_0380/klagomål/A 32688-2023 FSC-klagomål.docx", "A 32688-2023")</f>
        <v/>
      </c>
      <c r="AB200">
        <f>HYPERLINK("https://klasma.github.io/Logging_0380/klagomålsmail/A 32688-2023 FSC-klagomål mail.docx", "A 32688-2023")</f>
        <v/>
      </c>
      <c r="AC200">
        <f>HYPERLINK("https://klasma.github.io/Logging_0380/tillsyn/A 32688-2023 tillsynsbegäran.docx", "A 32688-2023")</f>
        <v/>
      </c>
      <c r="AD200">
        <f>HYPERLINK("https://klasma.github.io/Logging_0380/tillsynsmail/A 32688-2023 tillsynsbegäran mail.docx", "A 32688-2023")</f>
        <v/>
      </c>
    </row>
    <row r="201" ht="15" customHeight="1">
      <c r="A201" t="inlineStr">
        <is>
          <t>A 55021-2022</t>
        </is>
      </c>
      <c r="B201" t="inlineStr">
        <is>
          <t>avverkningsanmälan</t>
        </is>
      </c>
      <c r="C201" t="inlineStr">
        <is>
          <t>Föryngringsavverkning</t>
        </is>
      </c>
      <c r="D201" s="1" t="n">
        <v>44886</v>
      </c>
      <c r="E201" s="1" t="n">
        <v>46291</v>
      </c>
      <c r="F201" t="inlineStr">
        <is>
          <t>UPPSALA LÄN</t>
        </is>
      </c>
      <c r="G201" t="inlineStr">
        <is>
          <t>UPPSALA</t>
        </is>
      </c>
      <c r="I201" t="n">
        <v>1.2</v>
      </c>
      <c r="J201" t="n">
        <v>1</v>
      </c>
      <c r="K201" t="n">
        <v>0</v>
      </c>
      <c r="L201" t="n">
        <v>0</v>
      </c>
      <c r="M201" t="n">
        <v>0</v>
      </c>
      <c r="N201" t="n">
        <v>0</v>
      </c>
      <c r="O201" t="n">
        <v>0</v>
      </c>
      <c r="P201" t="n">
        <v>0</v>
      </c>
      <c r="Q201" t="n">
        <v>0</v>
      </c>
      <c r="R201" t="n">
        <v>0</v>
      </c>
      <c r="S201" t="n">
        <v>1</v>
      </c>
      <c r="T201" t="n">
        <v>1</v>
      </c>
      <c r="U201" t="n">
        <v>0</v>
      </c>
      <c r="V201" s="2" t="inlineStr">
        <is>
          <t>Vanlig snok</t>
        </is>
      </c>
      <c r="W201">
        <f>HYPERLINK("https://klasma.github.io/Logging_0380/artfynd/A 55021-2022 artfynd.xlsx", "A 55021-2022")</f>
        <v/>
      </c>
      <c r="X201">
        <f>HYPERLINK("https://klasma.github.io/Logging_0380/kartor/A 55021-2022 karta.png", "A 55021-2022")</f>
        <v/>
      </c>
      <c r="Y201">
        <f>HYPERLINK("https://klasma.github.io/Logging_0380/kartor_geotiff/A 55021-2022 georefererad karta.tif", "A 55021-2022")</f>
        <v/>
      </c>
      <c r="AA201">
        <f>HYPERLINK("https://klasma.github.io/Logging_0380/klagomål/A 55021-2022 FSC-klagomål.docx", "A 55021-2022")</f>
        <v/>
      </c>
      <c r="AB201">
        <f>HYPERLINK("https://klasma.github.io/Logging_0380/klagomålsmail/A 55021-2022 FSC-klagomål mail.docx", "A 55021-2022")</f>
        <v/>
      </c>
      <c r="AC201">
        <f>HYPERLINK("https://klasma.github.io/Logging_0380/tillsyn/A 55021-2022 tillsynsbegäran.docx", "A 55021-2022")</f>
        <v/>
      </c>
      <c r="AD201">
        <f>HYPERLINK("https://klasma.github.io/Logging_0380/tillsynsmail/A 55021-2022 tillsynsbegäran mail.docx", "A 55021-2022")</f>
        <v/>
      </c>
    </row>
    <row r="202" ht="15" customHeight="1">
      <c r="A202" t="inlineStr">
        <is>
          <t>A 20709-2026</t>
        </is>
      </c>
      <c r="B202" t="inlineStr">
        <is>
          <t>avverkningsanmälan</t>
        </is>
      </c>
      <c r="C202" t="inlineStr">
        <is>
          <t>Föryngringsavverkning</t>
        </is>
      </c>
      <c r="D202" s="1" t="n">
        <v>46141</v>
      </c>
      <c r="E202" s="1" t="n">
        <v>46291</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46291</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1731-2022</t>
        </is>
      </c>
      <c r="B204" t="inlineStr">
        <is>
          <t>avverkningsanmälan</t>
        </is>
      </c>
      <c r="C204" t="inlineStr">
        <is>
          <t>Föryngringsavverkning</t>
        </is>
      </c>
      <c r="D204" s="1" t="n">
        <v>44574</v>
      </c>
      <c r="E204" s="1" t="n">
        <v>46291</v>
      </c>
      <c r="F204" t="inlineStr">
        <is>
          <t>UPPSALA LÄN</t>
        </is>
      </c>
      <c r="G204" t="inlineStr">
        <is>
          <t>UPPSALA</t>
        </is>
      </c>
      <c r="I204" t="n">
        <v>10.1</v>
      </c>
      <c r="J204" t="n">
        <v>1</v>
      </c>
      <c r="K204" t="n">
        <v>0</v>
      </c>
      <c r="L204" t="n">
        <v>0</v>
      </c>
      <c r="M204" t="n">
        <v>0</v>
      </c>
      <c r="N204" t="n">
        <v>0</v>
      </c>
      <c r="O204" t="n">
        <v>0</v>
      </c>
      <c r="P204" t="n">
        <v>0</v>
      </c>
      <c r="Q204" t="n">
        <v>0</v>
      </c>
      <c r="R204" t="n">
        <v>0</v>
      </c>
      <c r="S204" t="n">
        <v>1</v>
      </c>
      <c r="T204" t="n">
        <v>1</v>
      </c>
      <c r="U204" t="n">
        <v>0</v>
      </c>
      <c r="V204" s="2" t="inlineStr">
        <is>
          <t>Vanlig snok</t>
        </is>
      </c>
      <c r="W204">
        <f>HYPERLINK("https://klasma.github.io/Logging_0380/artfynd/A 1731-2022 artfynd.xlsx", "A 1731-2022")</f>
        <v/>
      </c>
      <c r="X204">
        <f>HYPERLINK("https://klasma.github.io/Logging_0380/kartor/A 1731-2022 karta.png", "A 1731-2022")</f>
        <v/>
      </c>
      <c r="Y204">
        <f>HYPERLINK("https://klasma.github.io/Logging_0380/kartor_geotiff/A 1731-2022 georefererad karta.tif", "A 1731-2022")</f>
        <v/>
      </c>
      <c r="AA204">
        <f>HYPERLINK("https://klasma.github.io/Logging_0380/klagomål/A 1731-2022 FSC-klagomål.docx", "A 1731-2022")</f>
        <v/>
      </c>
      <c r="AB204">
        <f>HYPERLINK("https://klasma.github.io/Logging_0380/klagomålsmail/A 1731-2022 FSC-klagomål mail.docx", "A 1731-2022")</f>
        <v/>
      </c>
      <c r="AC204">
        <f>HYPERLINK("https://klasma.github.io/Logging_0380/tillsyn/A 1731-2022 tillsynsbegäran.docx", "A 1731-2022")</f>
        <v/>
      </c>
      <c r="AD204">
        <f>HYPERLINK("https://klasma.github.io/Logging_0380/tillsynsmail/A 1731-2022 tillsynsbegäran mail.docx", "A 1731-2022")</f>
        <v/>
      </c>
    </row>
    <row r="205" ht="15" customHeight="1">
      <c r="A205" t="inlineStr">
        <is>
          <t>A 13093-2024</t>
        </is>
      </c>
      <c r="B205" t="inlineStr">
        <is>
          <t>avverkningsanmälan</t>
        </is>
      </c>
      <c r="C205" t="inlineStr">
        <is>
          <t>Föryngringsavverkning</t>
        </is>
      </c>
      <c r="D205" s="1" t="n">
        <v>45385</v>
      </c>
      <c r="E205" s="1" t="n">
        <v>46291</v>
      </c>
      <c r="F205" t="inlineStr">
        <is>
          <t>UPPSALA LÄN</t>
        </is>
      </c>
      <c r="G205" t="inlineStr">
        <is>
          <t>UPPSALA</t>
        </is>
      </c>
      <c r="I205" t="n">
        <v>1.1</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HYPERLINK("https://klasma.github.io/Logging_0380/artfynd/A 13093-2024 artfynd.xlsx", "A 13093-2024")</f>
        <v/>
      </c>
      <c r="X205">
        <f>HYPERLINK("https://klasma.github.io/Logging_0380/kartor/A 13093-2024 karta.png", "A 13093-2024")</f>
        <v/>
      </c>
      <c r="Y205">
        <f>HYPERLINK("https://klasma.github.io/Logging_0380/kartor_geotiff/A 13093-2024 georefererad karta.tif", "A 13093-2024")</f>
        <v/>
      </c>
      <c r="AA205">
        <f>HYPERLINK("https://klasma.github.io/Logging_0380/klagomål/A 13093-2024 FSC-klagomål.docx", "A 13093-2024")</f>
        <v/>
      </c>
      <c r="AB205">
        <f>HYPERLINK("https://klasma.github.io/Logging_0380/klagomålsmail/A 13093-2024 FSC-klagomål mail.docx", "A 13093-2024")</f>
        <v/>
      </c>
      <c r="AC205">
        <f>HYPERLINK("https://klasma.github.io/Logging_0380/tillsyn/A 13093-2024 tillsynsbegäran.docx", "A 13093-2024")</f>
        <v/>
      </c>
      <c r="AD205">
        <f>HYPERLINK("https://klasma.github.io/Logging_0380/tillsynsmail/A 13093-2024 tillsynsbegäran mail.docx", "A 13093-2024")</f>
        <v/>
      </c>
    </row>
    <row r="206" ht="15" customHeight="1">
      <c r="A206" t="inlineStr">
        <is>
          <t>S 1381-2022</t>
        </is>
      </c>
      <c r="B206" t="inlineStr">
        <is>
          <t>samrådsanmälan</t>
        </is>
      </c>
      <c r="C206" t="inlineStr">
        <is>
          <t>Skogsgödsling</t>
        </is>
      </c>
      <c r="D206" s="1" t="n">
        <v>44630</v>
      </c>
      <c r="E206" s="1" t="n">
        <v>46291</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46291</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46291</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46291</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46291</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46291</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46291</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46291</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46291</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46291</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46291</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46291</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46291</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46291</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46291</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46291</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46291</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46291</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15583-2022</t>
        </is>
      </c>
      <c r="B224" t="inlineStr">
        <is>
          <t>avverkningsanmälan</t>
        </is>
      </c>
      <c r="C224" t="inlineStr">
        <is>
          <t>Föryngringsavverkning</t>
        </is>
      </c>
      <c r="D224" s="1" t="n">
        <v>44662</v>
      </c>
      <c r="E224" s="1" t="n">
        <v>46291</v>
      </c>
      <c r="F224" t="inlineStr">
        <is>
          <t>UPPSALA LÄN</t>
        </is>
      </c>
      <c r="G224" t="inlineStr">
        <is>
          <t>UPPSALA</t>
        </is>
      </c>
      <c r="H224" t="inlineStr">
        <is>
          <t>Övriga Aktiebolag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46291</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46291</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46291</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46291</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46291</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46291</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46291</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46291</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46291</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46291</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46291</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46291</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46291</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46291</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46291</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46291</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46291</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46291</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46291</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46291</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46291</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46291</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46291</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46291</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46291</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46291</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46291</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46291</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46291</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46291</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46291</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46291</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46291</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46291</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46291</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46291</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46291</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46291</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46291</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46291</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46291</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46291</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46291</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46291</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46291</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46291</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46291</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46291</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46291</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46291</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46291</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46291</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46291</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46291</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46291</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46291</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46291</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46291</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46291</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46291</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46291</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46291</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46291</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43032-2022</t>
        </is>
      </c>
      <c r="B288" t="inlineStr">
        <is>
          <t>avverkningsanmälan</t>
        </is>
      </c>
      <c r="C288" t="inlineStr">
        <is>
          <t>Föryngringsavverkning</t>
        </is>
      </c>
      <c r="D288" s="1" t="n">
        <v>44832</v>
      </c>
      <c r="E288" s="1" t="n">
        <v>46291</v>
      </c>
      <c r="F288" t="inlineStr">
        <is>
          <t>UPPSALA LÄN</t>
        </is>
      </c>
      <c r="G288" t="inlineStr">
        <is>
          <t>UPPSALA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48571-2023</t>
        </is>
      </c>
      <c r="B289" t="inlineStr">
        <is>
          <t>avverkningsanmälan</t>
        </is>
      </c>
      <c r="C289" t="inlineStr">
        <is>
          <t>Föryngringsavverkning</t>
        </is>
      </c>
      <c r="D289" s="1" t="n">
        <v>45208</v>
      </c>
      <c r="E289" s="1" t="n">
        <v>46291</v>
      </c>
      <c r="F289" t="inlineStr">
        <is>
          <t>UPPSALA LÄN</t>
        </is>
      </c>
      <c r="G289" t="inlineStr">
        <is>
          <t>UPPSALA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46291</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46291</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46291</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19513-2023</t>
        </is>
      </c>
      <c r="B293" t="inlineStr">
        <is>
          <t>avverkningsanmälan</t>
        </is>
      </c>
      <c r="C293" t="inlineStr">
        <is>
          <t>Föryngringsavverkning</t>
        </is>
      </c>
      <c r="D293" s="1" t="n">
        <v>45050</v>
      </c>
      <c r="E293" s="1" t="n">
        <v>46291</v>
      </c>
      <c r="F293" t="inlineStr">
        <is>
          <t>UPPSALA LÄN</t>
        </is>
      </c>
      <c r="G293" t="inlineStr">
        <is>
          <t>UPPSALA</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60444-2023</t>
        </is>
      </c>
      <c r="B294" t="inlineStr">
        <is>
          <t>avverkningsanmälan</t>
        </is>
      </c>
      <c r="C294" t="inlineStr">
        <is>
          <t>Föryngringsavverkning</t>
        </is>
      </c>
      <c r="D294" s="1" t="n">
        <v>45259</v>
      </c>
      <c r="E294" s="1" t="n">
        <v>46291</v>
      </c>
      <c r="F294" t="inlineStr">
        <is>
          <t>UPPSALA LÄN</t>
        </is>
      </c>
      <c r="G294" t="inlineStr">
        <is>
          <t>UPPSALA</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17658-2025</t>
        </is>
      </c>
      <c r="B295" t="inlineStr">
        <is>
          <t>avverkningsanmälan</t>
        </is>
      </c>
      <c r="C295" t="inlineStr">
        <is>
          <t>Avverkning för att bevara och utveckla /försöksver</t>
        </is>
      </c>
      <c r="D295" s="1" t="n">
        <v>45758</v>
      </c>
      <c r="E295" s="1" t="n">
        <v>46291</v>
      </c>
      <c r="F295" t="inlineStr">
        <is>
          <t>UPPSALA LÄN</t>
        </is>
      </c>
      <c r="G295" t="inlineStr">
        <is>
          <t>UPPSALA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46291</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37588-2022</t>
        </is>
      </c>
      <c r="B297" t="inlineStr">
        <is>
          <t>avverkningsanmälan</t>
        </is>
      </c>
      <c r="C297" t="inlineStr">
        <is>
          <t>Föryngringsavverkning</t>
        </is>
      </c>
      <c r="D297" s="1" t="n">
        <v>44809</v>
      </c>
      <c r="E297" s="1" t="n">
        <v>46291</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37670-2022</t>
        </is>
      </c>
      <c r="B298" t="inlineStr">
        <is>
          <t>avverkningsanmälan</t>
        </is>
      </c>
      <c r="C298" t="inlineStr">
        <is>
          <t>Föryngringsavverkning</t>
        </is>
      </c>
      <c r="D298" s="1" t="n">
        <v>44810</v>
      </c>
      <c r="E298" s="1" t="n">
        <v>46291</v>
      </c>
      <c r="F298" t="inlineStr">
        <is>
          <t>UPPSALA LÄN</t>
        </is>
      </c>
      <c r="G298" t="inlineStr">
        <is>
          <t>UPPSALA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73531-2021</t>
        </is>
      </c>
      <c r="B299" t="inlineStr">
        <is>
          <t>avverkningsanmälan</t>
        </is>
      </c>
      <c r="C299" t="inlineStr">
        <is>
          <t>Föryngringsavverkning</t>
        </is>
      </c>
      <c r="D299" s="1" t="n">
        <v>44551</v>
      </c>
      <c r="E299" s="1" t="n">
        <v>46291</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4509-2024</t>
        </is>
      </c>
      <c r="B300" t="inlineStr">
        <is>
          <t>avverkningsanmälan</t>
        </is>
      </c>
      <c r="C300" t="inlineStr">
        <is>
          <t>Föryngringsavverkning</t>
        </is>
      </c>
      <c r="D300" s="1" t="n">
        <v>45327</v>
      </c>
      <c r="E300" s="1" t="n">
        <v>46291</v>
      </c>
      <c r="F300" t="inlineStr">
        <is>
          <t>UPPSALA LÄN</t>
        </is>
      </c>
      <c r="G300" t="inlineStr">
        <is>
          <t>UPPSALA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46291</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60781-2023</t>
        </is>
      </c>
      <c r="B302" t="inlineStr">
        <is>
          <t>avverkningsanmälan</t>
        </is>
      </c>
      <c r="C302" t="inlineStr">
        <is>
          <t>Föryngringsavverkning</t>
        </is>
      </c>
      <c r="D302" s="1" t="n">
        <v>45259</v>
      </c>
      <c r="E302" s="1" t="n">
        <v>46291</v>
      </c>
      <c r="F302" t="inlineStr">
        <is>
          <t>UPPSALA LÄN</t>
        </is>
      </c>
      <c r="G302" t="inlineStr">
        <is>
          <t>UPPSALA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60714-2023</t>
        </is>
      </c>
      <c r="B303" t="inlineStr">
        <is>
          <t>avverkningsanmälan</t>
        </is>
      </c>
      <c r="C303" t="inlineStr">
        <is>
          <t>Föryngringsavverkning</t>
        </is>
      </c>
      <c r="D303" s="1" t="n">
        <v>45259</v>
      </c>
      <c r="E303" s="1" t="n">
        <v>46291</v>
      </c>
      <c r="F303" t="inlineStr">
        <is>
          <t>UPPSALA LÄN</t>
        </is>
      </c>
      <c r="G303" t="inlineStr">
        <is>
          <t>UPPSALA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34520-2024</t>
        </is>
      </c>
      <c r="B304" t="inlineStr">
        <is>
          <t>avverkningsanmälan</t>
        </is>
      </c>
      <c r="C304" t="inlineStr">
        <is>
          <t>Föryngringsavverkning</t>
        </is>
      </c>
      <c r="D304" s="1" t="n">
        <v>45525</v>
      </c>
      <c r="E304" s="1" t="n">
        <v>46291</v>
      </c>
      <c r="F304" t="inlineStr">
        <is>
          <t>UPPSALA LÄN</t>
        </is>
      </c>
      <c r="G304" t="inlineStr">
        <is>
          <t>UPPSALA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5876-2024</t>
        </is>
      </c>
      <c r="B305" t="inlineStr">
        <is>
          <t>avverkningsanmälan</t>
        </is>
      </c>
      <c r="C305" t="inlineStr">
        <is>
          <t>Föryngringsavverkning</t>
        </is>
      </c>
      <c r="D305" s="1" t="n">
        <v>45335</v>
      </c>
      <c r="E305" s="1" t="n">
        <v>46291</v>
      </c>
      <c r="F305" t="inlineStr">
        <is>
          <t>UPPSALA LÄN</t>
        </is>
      </c>
      <c r="G305" t="inlineStr">
        <is>
          <t>UPPSALA</t>
        </is>
      </c>
      <c r="H305" t="inlineStr">
        <is>
          <t>Kyrkan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63532-2025</t>
        </is>
      </c>
      <c r="B306" t="inlineStr">
        <is>
          <t>avverkningsanmälan</t>
        </is>
      </c>
      <c r="C306" t="inlineStr">
        <is>
          <t>Föryngringsavverkning</t>
        </is>
      </c>
      <c r="D306" s="1" t="n">
        <v>46013</v>
      </c>
      <c r="E306" s="1" t="n">
        <v>46291</v>
      </c>
      <c r="F306" t="inlineStr">
        <is>
          <t>UPPSALA LÄN</t>
        </is>
      </c>
      <c r="G306" t="inlineStr">
        <is>
          <t>UPPSALA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54813-2022</t>
        </is>
      </c>
      <c r="B307" t="inlineStr">
        <is>
          <t>avverkningsanmälan</t>
        </is>
      </c>
      <c r="C307" t="inlineStr">
        <is>
          <t>Föryngringsavverkning</t>
        </is>
      </c>
      <c r="D307" s="1" t="n">
        <v>44883</v>
      </c>
      <c r="E307" s="1" t="n">
        <v>46291</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46635-2022</t>
        </is>
      </c>
      <c r="B308" t="inlineStr">
        <is>
          <t>avverkningsanmälan</t>
        </is>
      </c>
      <c r="C308" t="inlineStr">
        <is>
          <t>Föryngringsavverkning</t>
        </is>
      </c>
      <c r="D308" s="1" t="n">
        <v>44849</v>
      </c>
      <c r="E308" s="1" t="n">
        <v>46291</v>
      </c>
      <c r="F308" t="inlineStr">
        <is>
          <t>UPPSALA LÄN</t>
        </is>
      </c>
      <c r="G308" t="inlineStr">
        <is>
          <t>UPPSALA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63669-2025</t>
        </is>
      </c>
      <c r="B309" t="inlineStr">
        <is>
          <t>avverkningsanmälan</t>
        </is>
      </c>
      <c r="C309" t="inlineStr">
        <is>
          <t>Föryngringsavverkning</t>
        </is>
      </c>
      <c r="D309" s="1" t="n">
        <v>46014</v>
      </c>
      <c r="E309" s="1" t="n">
        <v>46291</v>
      </c>
      <c r="F309" t="inlineStr">
        <is>
          <t>UPPSALA LÄN</t>
        </is>
      </c>
      <c r="G309" t="inlineStr">
        <is>
          <t>UPPSALA</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45885-2023</t>
        </is>
      </c>
      <c r="B310" t="inlineStr">
        <is>
          <t>avverkningsanmälan</t>
        </is>
      </c>
      <c r="C310" t="inlineStr">
        <is>
          <t>Föryngringsavverkning</t>
        </is>
      </c>
      <c r="D310" s="1" t="n">
        <v>45195</v>
      </c>
      <c r="E310" s="1" t="n">
        <v>46291</v>
      </c>
      <c r="F310" t="inlineStr">
        <is>
          <t>UPPSALA LÄN</t>
        </is>
      </c>
      <c r="G310" t="inlineStr">
        <is>
          <t>UPPSALA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55275-2025</t>
        </is>
      </c>
      <c r="B311" t="inlineStr">
        <is>
          <t>avverkningsanmälan</t>
        </is>
      </c>
      <c r="C311" t="inlineStr">
        <is>
          <t>Föryngringsavverkning</t>
        </is>
      </c>
      <c r="D311" s="1" t="n">
        <v>45968</v>
      </c>
      <c r="E311" s="1" t="n">
        <v>46291</v>
      </c>
      <c r="F311" t="inlineStr">
        <is>
          <t>UPPSALA LÄN</t>
        </is>
      </c>
      <c r="G311" t="inlineStr">
        <is>
          <t>UPPSALA</t>
        </is>
      </c>
      <c r="H311" t="inlineStr">
        <is>
          <t>Allmännings- och besparingsskogar</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59098-2024</t>
        </is>
      </c>
      <c r="B312" t="inlineStr">
        <is>
          <t>avverkningsanmälan</t>
        </is>
      </c>
      <c r="C312" t="inlineStr">
        <is>
          <t>Föryngringsavverkning</t>
        </is>
      </c>
      <c r="D312" s="1" t="n">
        <v>45636</v>
      </c>
      <c r="E312" s="1" t="n">
        <v>46291</v>
      </c>
      <c r="F312" t="inlineStr">
        <is>
          <t>UPPSALA LÄN</t>
        </is>
      </c>
      <c r="G312" t="inlineStr">
        <is>
          <t>UPPSALA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918-2026</t>
        </is>
      </c>
      <c r="B313" t="inlineStr">
        <is>
          <t>avverkningsanmälan</t>
        </is>
      </c>
      <c r="C313" t="inlineStr">
        <is>
          <t>Föryngringsavverkning</t>
        </is>
      </c>
      <c r="D313" s="1" t="n">
        <v>46030</v>
      </c>
      <c r="E313" s="1" t="n">
        <v>46291</v>
      </c>
      <c r="F313" t="inlineStr">
        <is>
          <t>UPPSALA LÄN</t>
        </is>
      </c>
      <c r="G313" t="inlineStr">
        <is>
          <t>UPPSALA</t>
        </is>
      </c>
      <c r="H313" t="inlineStr">
        <is>
          <t>Övriga statliga verk och myndigheter</t>
        </is>
      </c>
      <c r="I313" t="n">
        <v>15.1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46291</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30319-2024</t>
        </is>
      </c>
      <c r="B315" t="inlineStr">
        <is>
          <t>avverkningsanmälan</t>
        </is>
      </c>
      <c r="C315" t="inlineStr">
        <is>
          <t>Föryngringsavverkning</t>
        </is>
      </c>
      <c r="D315" s="1" t="n">
        <v>45490</v>
      </c>
      <c r="E315" s="1" t="n">
        <v>46291</v>
      </c>
      <c r="F315" t="inlineStr">
        <is>
          <t>UPPSALA LÄN</t>
        </is>
      </c>
      <c r="G315" t="inlineStr">
        <is>
          <t>UPPSALA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968-2026</t>
        </is>
      </c>
      <c r="B316" t="inlineStr">
        <is>
          <t>avverkningsanmälan</t>
        </is>
      </c>
      <c r="C316" t="inlineStr">
        <is>
          <t>Föryngringsavverkning</t>
        </is>
      </c>
      <c r="D316" s="1" t="n">
        <v>46030</v>
      </c>
      <c r="E316" s="1" t="n">
        <v>46291</v>
      </c>
      <c r="F316" t="inlineStr">
        <is>
          <t>UPPSALA LÄN</t>
        </is>
      </c>
      <c r="G316" t="inlineStr">
        <is>
          <t>UPPSALA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6630-2024</t>
        </is>
      </c>
      <c r="B317" t="inlineStr">
        <is>
          <t>avverkningsanmälan</t>
        </is>
      </c>
      <c r="C317" t="inlineStr">
        <is>
          <t>Föryngringsavverkning</t>
        </is>
      </c>
      <c r="D317" s="1" t="n">
        <v>45341</v>
      </c>
      <c r="E317" s="1" t="n">
        <v>46291</v>
      </c>
      <c r="F317" t="inlineStr">
        <is>
          <t>UPPSALA LÄN</t>
        </is>
      </c>
      <c r="G317" t="inlineStr">
        <is>
          <t>UPPSALA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20903-2024</t>
        </is>
      </c>
      <c r="B318" t="inlineStr">
        <is>
          <t>avverkningsanmälan</t>
        </is>
      </c>
      <c r="C318" t="inlineStr">
        <is>
          <t>Föryngringsavverkning</t>
        </is>
      </c>
      <c r="D318" s="1" t="n">
        <v>45439</v>
      </c>
      <c r="E318" s="1" t="n">
        <v>46291</v>
      </c>
      <c r="F318" t="inlineStr">
        <is>
          <t>UPPSALA LÄN</t>
        </is>
      </c>
      <c r="G318" t="inlineStr">
        <is>
          <t>UPPSALA</t>
        </is>
      </c>
      <c r="H318" t="inlineStr">
        <is>
          <t>Holmen skog AB</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1032-2023</t>
        </is>
      </c>
      <c r="B319" t="inlineStr">
        <is>
          <t>avverkningsanmälan</t>
        </is>
      </c>
      <c r="C319" t="inlineStr">
        <is>
          <t>Avverkning för annat ändamål</t>
        </is>
      </c>
      <c r="D319" s="1" t="n">
        <v>44935</v>
      </c>
      <c r="E319" s="1" t="n">
        <v>46291</v>
      </c>
      <c r="F319" t="inlineStr">
        <is>
          <t>UPPSALA LÄN</t>
        </is>
      </c>
      <c r="G319" t="inlineStr">
        <is>
          <t>UPPSALA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24525-2025</t>
        </is>
      </c>
      <c r="B320" t="inlineStr">
        <is>
          <t>avverkningsanmälan</t>
        </is>
      </c>
      <c r="C320" t="inlineStr">
        <is>
          <t>Föryngringsavverkning</t>
        </is>
      </c>
      <c r="D320" s="1" t="n">
        <v>45798</v>
      </c>
      <c r="E320" s="1" t="n">
        <v>46291</v>
      </c>
      <c r="F320" t="inlineStr">
        <is>
          <t>UPPSALA LÄN</t>
        </is>
      </c>
      <c r="G320" t="inlineStr">
        <is>
          <t>UPPSALA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63011-2021</t>
        </is>
      </c>
      <c r="B321" t="inlineStr">
        <is>
          <t>avverkningsanmälan</t>
        </is>
      </c>
      <c r="C321" t="inlineStr">
        <is>
          <t>Avverkning för annat ändamål</t>
        </is>
      </c>
      <c r="D321" s="1" t="n">
        <v>44504</v>
      </c>
      <c r="E321" s="1" t="n">
        <v>46291</v>
      </c>
      <c r="F321" t="inlineStr">
        <is>
          <t>UPPSALA LÄN</t>
        </is>
      </c>
      <c r="G321" t="inlineStr">
        <is>
          <t>UPPSALA</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482-2026</t>
        </is>
      </c>
      <c r="B322" t="inlineStr">
        <is>
          <t>avverkningsanmälan</t>
        </is>
      </c>
      <c r="C322" t="inlineStr">
        <is>
          <t>Föryngringsavverkning</t>
        </is>
      </c>
      <c r="D322" s="1" t="n">
        <v>46029</v>
      </c>
      <c r="E322" s="1" t="n">
        <v>46291</v>
      </c>
      <c r="F322" t="inlineStr">
        <is>
          <t>UPPSALA LÄN</t>
        </is>
      </c>
      <c r="G322" t="inlineStr">
        <is>
          <t>UPPSALA</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6851-2022</t>
        </is>
      </c>
      <c r="B323" t="inlineStr">
        <is>
          <t>avverkningsanmälan</t>
        </is>
      </c>
      <c r="C323" t="inlineStr">
        <is>
          <t>Föryngringsavverkning</t>
        </is>
      </c>
      <c r="D323" s="1" t="n">
        <v>44602</v>
      </c>
      <c r="E323" s="1" t="n">
        <v>46291</v>
      </c>
      <c r="F323" t="inlineStr">
        <is>
          <t>UPPSALA LÄN</t>
        </is>
      </c>
      <c r="G323" t="inlineStr">
        <is>
          <t>UPPSALA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5006-2022</t>
        </is>
      </c>
      <c r="B324" t="inlineStr">
        <is>
          <t>avverkningsanmälan</t>
        </is>
      </c>
      <c r="C324" t="inlineStr">
        <is>
          <t>Föryngringsavverkning</t>
        </is>
      </c>
      <c r="D324" s="1" t="n">
        <v>44593</v>
      </c>
      <c r="E324" s="1" t="n">
        <v>46291</v>
      </c>
      <c r="F324" t="inlineStr">
        <is>
          <t>UPPSALA LÄN</t>
        </is>
      </c>
      <c r="G324" t="inlineStr">
        <is>
          <t>UPPSALA</t>
        </is>
      </c>
      <c r="H324" t="inlineStr">
        <is>
          <t>BillerudKorsnäs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1390-2026</t>
        </is>
      </c>
      <c r="B325" t="inlineStr">
        <is>
          <t>avverkningsanmälan</t>
        </is>
      </c>
      <c r="C325" t="inlineStr">
        <is>
          <t>Föryngringsavverkning</t>
        </is>
      </c>
      <c r="D325" s="1" t="n">
        <v>46031</v>
      </c>
      <c r="E325" s="1" t="n">
        <v>46291</v>
      </c>
      <c r="F325" t="inlineStr">
        <is>
          <t>UPPSALA LÄN</t>
        </is>
      </c>
      <c r="G325" t="inlineStr">
        <is>
          <t>UPPSALA</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32928-2025</t>
        </is>
      </c>
      <c r="B326" t="inlineStr">
        <is>
          <t>avverkningsanmälan</t>
        </is>
      </c>
      <c r="C326" t="inlineStr">
        <is>
          <t>Föryngringsavverkning</t>
        </is>
      </c>
      <c r="D326" s="1" t="n">
        <v>45839</v>
      </c>
      <c r="E326" s="1" t="n">
        <v>46291</v>
      </c>
      <c r="F326" t="inlineStr">
        <is>
          <t>UPPSALA LÄN</t>
        </is>
      </c>
      <c r="G326" t="inlineStr">
        <is>
          <t>UPPSALA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9398-2023</t>
        </is>
      </c>
      <c r="B327" t="inlineStr">
        <is>
          <t>avverkningsanmälan</t>
        </is>
      </c>
      <c r="C327" t="inlineStr">
        <is>
          <t>Föryngringsavverkning</t>
        </is>
      </c>
      <c r="D327" s="1" t="n">
        <v>44977</v>
      </c>
      <c r="E327" s="1" t="n">
        <v>46291</v>
      </c>
      <c r="F327" t="inlineStr">
        <is>
          <t>UPPSALA LÄN</t>
        </is>
      </c>
      <c r="G327" t="inlineStr">
        <is>
          <t>UPPSALA</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10674-2022</t>
        </is>
      </c>
      <c r="B328" t="inlineStr">
        <is>
          <t>avverkningsanmälan</t>
        </is>
      </c>
      <c r="C328" t="inlineStr">
        <is>
          <t>Föryngringsavverkning</t>
        </is>
      </c>
      <c r="D328" s="1" t="n">
        <v>44624</v>
      </c>
      <c r="E328" s="1" t="n">
        <v>46291</v>
      </c>
      <c r="F328" t="inlineStr">
        <is>
          <t>UPPSALA LÄN</t>
        </is>
      </c>
      <c r="G328" t="inlineStr">
        <is>
          <t>UPPSALA</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24916-2025</t>
        </is>
      </c>
      <c r="B329" t="inlineStr">
        <is>
          <t>avverkningsanmälan</t>
        </is>
      </c>
      <c r="C329" t="inlineStr">
        <is>
          <t>Föryngringsavverkning</t>
        </is>
      </c>
      <c r="D329" s="1" t="n">
        <v>45799</v>
      </c>
      <c r="E329" s="1" t="n">
        <v>46291</v>
      </c>
      <c r="F329" t="inlineStr">
        <is>
          <t>UPPSALA LÄN</t>
        </is>
      </c>
      <c r="G329" t="inlineStr">
        <is>
          <t>UPPSALA</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54924-2024</t>
        </is>
      </c>
      <c r="B330" t="inlineStr">
        <is>
          <t>avverkningsanmälan</t>
        </is>
      </c>
      <c r="C330" t="inlineStr">
        <is>
          <t>Föryngringsavverkning</t>
        </is>
      </c>
      <c r="D330" s="1" t="n">
        <v>45618</v>
      </c>
      <c r="E330" s="1" t="n">
        <v>46291</v>
      </c>
      <c r="F330" t="inlineStr">
        <is>
          <t>UPPSALA LÄN</t>
        </is>
      </c>
      <c r="G330" t="inlineStr">
        <is>
          <t>UPPSALA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12293-2022</t>
        </is>
      </c>
      <c r="B331" t="inlineStr">
        <is>
          <t>avverkningsanmälan</t>
        </is>
      </c>
      <c r="C331" t="inlineStr">
        <is>
          <t>Föryngringsavverkning</t>
        </is>
      </c>
      <c r="D331" s="1" t="n">
        <v>44637</v>
      </c>
      <c r="E331" s="1" t="n">
        <v>46291</v>
      </c>
      <c r="F331" t="inlineStr">
        <is>
          <t>UPPSALA LÄN</t>
        </is>
      </c>
      <c r="G331" t="inlineStr">
        <is>
          <t>UPPSALA</t>
        </is>
      </c>
      <c r="H331" t="inlineStr">
        <is>
          <t>Kommuner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23291-2024</t>
        </is>
      </c>
      <c r="B332" t="inlineStr">
        <is>
          <t>avverkningsanmälan</t>
        </is>
      </c>
      <c r="C332" t="inlineStr">
        <is>
          <t>Föryngringsavverkning</t>
        </is>
      </c>
      <c r="D332" s="1" t="n">
        <v>45453</v>
      </c>
      <c r="E332" s="1" t="n">
        <v>46291</v>
      </c>
      <c r="F332" t="inlineStr">
        <is>
          <t>UPPSALA LÄN</t>
        </is>
      </c>
      <c r="G332" t="inlineStr">
        <is>
          <t>UPPSALA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46291</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34114-2024</t>
        </is>
      </c>
      <c r="B334" t="inlineStr">
        <is>
          <t>avverkningsanmälan</t>
        </is>
      </c>
      <c r="C334" t="inlineStr">
        <is>
          <t>Föryngringsavverkning</t>
        </is>
      </c>
      <c r="D334" s="1" t="n">
        <v>45524</v>
      </c>
      <c r="E334" s="1" t="n">
        <v>46291</v>
      </c>
      <c r="F334" t="inlineStr">
        <is>
          <t>UPPSALA LÄN</t>
        </is>
      </c>
      <c r="G334" t="inlineStr">
        <is>
          <t>UPPSALA</t>
        </is>
      </c>
      <c r="H334" t="inlineStr">
        <is>
          <t>Allmännings- och besparingsskogar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7611-2023</t>
        </is>
      </c>
      <c r="B335" t="inlineStr">
        <is>
          <t>avverkningsanmälan</t>
        </is>
      </c>
      <c r="C335" t="inlineStr">
        <is>
          <t>Föryngringsavverkning</t>
        </is>
      </c>
      <c r="D335" s="1" t="n">
        <v>44967</v>
      </c>
      <c r="E335" s="1" t="n">
        <v>46291</v>
      </c>
      <c r="F335" t="inlineStr">
        <is>
          <t>UPPSALA LÄN</t>
        </is>
      </c>
      <c r="G335" t="inlineStr">
        <is>
          <t>UPPSALA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5989-2022</t>
        </is>
      </c>
      <c r="B336" t="inlineStr">
        <is>
          <t>avverkningsanmälan</t>
        </is>
      </c>
      <c r="C336" t="inlineStr">
        <is>
          <t>Föryngringsavverkning</t>
        </is>
      </c>
      <c r="D336" s="1" t="n">
        <v>44599</v>
      </c>
      <c r="E336" s="1" t="n">
        <v>46291</v>
      </c>
      <c r="F336" t="inlineStr">
        <is>
          <t>UPPSALA LÄN</t>
        </is>
      </c>
      <c r="G336" t="inlineStr">
        <is>
          <t>UPPSALA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24913-2025</t>
        </is>
      </c>
      <c r="B337" t="inlineStr">
        <is>
          <t>avverkningsanmälan</t>
        </is>
      </c>
      <c r="C337" t="inlineStr">
        <is>
          <t>Föryngringsavverkning</t>
        </is>
      </c>
      <c r="D337" s="1" t="n">
        <v>45799</v>
      </c>
      <c r="E337" s="1" t="n">
        <v>46291</v>
      </c>
      <c r="F337" t="inlineStr">
        <is>
          <t>UPPSALA LÄN</t>
        </is>
      </c>
      <c r="G337" t="inlineStr">
        <is>
          <t>UPPSALA</t>
        </is>
      </c>
      <c r="H337" t="inlineStr">
        <is>
          <t>Sveaskog</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5006-2022</t>
        </is>
      </c>
      <c r="B338" t="inlineStr">
        <is>
          <t>avverkningsanmälan</t>
        </is>
      </c>
      <c r="C338" t="inlineStr">
        <is>
          <t>Föryngringsavverkning</t>
        </is>
      </c>
      <c r="D338" s="1" t="n">
        <v>44593</v>
      </c>
      <c r="E338" s="1" t="n">
        <v>46291</v>
      </c>
      <c r="F338" t="inlineStr">
        <is>
          <t>UPPSALA LÄN</t>
        </is>
      </c>
      <c r="G338" t="inlineStr">
        <is>
          <t>UPPSALA</t>
        </is>
      </c>
      <c r="H338" t="inlineStr">
        <is>
          <t>BillerudKorsnäs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5007-2022</t>
        </is>
      </c>
      <c r="B339" t="inlineStr">
        <is>
          <t>avverkningsanmälan</t>
        </is>
      </c>
      <c r="C339" t="inlineStr">
        <is>
          <t>Föryngringsavverkning</t>
        </is>
      </c>
      <c r="D339" s="1" t="n">
        <v>44593</v>
      </c>
      <c r="E339" s="1" t="n">
        <v>46291</v>
      </c>
      <c r="F339" t="inlineStr">
        <is>
          <t>UPPSALA LÄN</t>
        </is>
      </c>
      <c r="G339" t="inlineStr">
        <is>
          <t>UPPSALA</t>
        </is>
      </c>
      <c r="H339" t="inlineStr">
        <is>
          <t>BillerudKorsnäs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7276-2024</t>
        </is>
      </c>
      <c r="B340" t="inlineStr">
        <is>
          <t>avverkningsanmälan</t>
        </is>
      </c>
      <c r="C340" t="inlineStr">
        <is>
          <t>Föryngringsavverkning</t>
        </is>
      </c>
      <c r="D340" s="1" t="n">
        <v>45344</v>
      </c>
      <c r="E340" s="1" t="n">
        <v>46291</v>
      </c>
      <c r="F340" t="inlineStr">
        <is>
          <t>UPPSALA LÄN</t>
        </is>
      </c>
      <c r="G340" t="inlineStr">
        <is>
          <t>UPPSALA</t>
        </is>
      </c>
      <c r="H340" t="inlineStr">
        <is>
          <t>Bergvik skog öst AB</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3040-2023</t>
        </is>
      </c>
      <c r="B341" t="inlineStr">
        <is>
          <t>avverkningsanmälan</t>
        </is>
      </c>
      <c r="C341" t="inlineStr">
        <is>
          <t>Föryngringsavverkning</t>
        </is>
      </c>
      <c r="D341" s="1" t="n">
        <v>44946</v>
      </c>
      <c r="E341" s="1" t="n">
        <v>46291</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18607-2024</t>
        </is>
      </c>
      <c r="B342" t="inlineStr">
        <is>
          <t>avverkningsanmälan</t>
        </is>
      </c>
      <c r="C342" t="inlineStr">
        <is>
          <t>Föryngringsavverkning</t>
        </is>
      </c>
      <c r="D342" s="1" t="n">
        <v>45425</v>
      </c>
      <c r="E342" s="1" t="n">
        <v>46291</v>
      </c>
      <c r="F342" t="inlineStr">
        <is>
          <t>UPPSALA LÄN</t>
        </is>
      </c>
      <c r="G342" t="inlineStr">
        <is>
          <t>UPPSALA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45592-2023</t>
        </is>
      </c>
      <c r="B343" t="inlineStr">
        <is>
          <t>avverkningsanmälan</t>
        </is>
      </c>
      <c r="C343" t="inlineStr">
        <is>
          <t>Föryngringsavverkning</t>
        </is>
      </c>
      <c r="D343" s="1" t="n">
        <v>45194</v>
      </c>
      <c r="E343" s="1" t="n">
        <v>46291</v>
      </c>
      <c r="F343" t="inlineStr">
        <is>
          <t>UPPSALA LÄN</t>
        </is>
      </c>
      <c r="G343" t="inlineStr">
        <is>
          <t>UPPSALA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42084-2025</t>
        </is>
      </c>
      <c r="B344" t="inlineStr">
        <is>
          <t>avverkningsanmälan</t>
        </is>
      </c>
      <c r="C344" t="inlineStr">
        <is>
          <t>Föryngringsavverkning</t>
        </is>
      </c>
      <c r="D344" s="1" t="n">
        <v>45903</v>
      </c>
      <c r="E344" s="1" t="n">
        <v>46291</v>
      </c>
      <c r="F344" t="inlineStr">
        <is>
          <t>UPPSALA LÄN</t>
        </is>
      </c>
      <c r="G344" t="inlineStr">
        <is>
          <t>UPPSALA</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42085-2025</t>
        </is>
      </c>
      <c r="B345" t="inlineStr">
        <is>
          <t>avverkningsanmälan</t>
        </is>
      </c>
      <c r="C345" t="inlineStr">
        <is>
          <t>Föryngringsavverkning</t>
        </is>
      </c>
      <c r="D345" s="1" t="n">
        <v>45903</v>
      </c>
      <c r="E345" s="1" t="n">
        <v>46291</v>
      </c>
      <c r="F345" t="inlineStr">
        <is>
          <t>UPPSALA LÄN</t>
        </is>
      </c>
      <c r="G345" t="inlineStr">
        <is>
          <t>UPPSALA</t>
        </is>
      </c>
      <c r="H345" t="inlineStr">
        <is>
          <t>Bergvik skog öst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5629-2026</t>
        </is>
      </c>
      <c r="B346" t="inlineStr">
        <is>
          <t>avverkningsanmälan</t>
        </is>
      </c>
      <c r="C346" t="inlineStr">
        <is>
          <t>Föryngringsavverkning</t>
        </is>
      </c>
      <c r="D346" s="1" t="n">
        <v>46051</v>
      </c>
      <c r="E346" s="1" t="n">
        <v>46291</v>
      </c>
      <c r="F346" t="inlineStr">
        <is>
          <t>UPPSALA LÄN</t>
        </is>
      </c>
      <c r="G346" t="inlineStr">
        <is>
          <t>UPPSALA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7899-2022</t>
        </is>
      </c>
      <c r="B347" t="inlineStr">
        <is>
          <t>avverkningsanmälan</t>
        </is>
      </c>
      <c r="C347" t="inlineStr">
        <is>
          <t>Föryngringsavverkning</t>
        </is>
      </c>
      <c r="D347" s="1" t="n">
        <v>44608</v>
      </c>
      <c r="E347" s="1" t="n">
        <v>46291</v>
      </c>
      <c r="F347" t="inlineStr">
        <is>
          <t>UPPSALA LÄN</t>
        </is>
      </c>
      <c r="G347" t="inlineStr">
        <is>
          <t>UPPSALA</t>
        </is>
      </c>
      <c r="H347" t="inlineStr">
        <is>
          <t>Övriga Aktiebolag</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42541-2025</t>
        </is>
      </c>
      <c r="B348" t="inlineStr">
        <is>
          <t>avverkningsanmälan</t>
        </is>
      </c>
      <c r="C348" t="inlineStr">
        <is>
          <t>Föryngringsavverkning</t>
        </is>
      </c>
      <c r="D348" s="1" t="n">
        <v>45905</v>
      </c>
      <c r="E348" s="1" t="n">
        <v>46291</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25030-2025</t>
        </is>
      </c>
      <c r="B349" t="inlineStr">
        <is>
          <t>avverkningsanmälan</t>
        </is>
      </c>
      <c r="C349" t="inlineStr">
        <is>
          <t>Föryngringsavverkning</t>
        </is>
      </c>
      <c r="D349" s="1" t="n">
        <v>45799</v>
      </c>
      <c r="E349" s="1" t="n">
        <v>46291</v>
      </c>
      <c r="F349" t="inlineStr">
        <is>
          <t>UPPSALA LÄN</t>
        </is>
      </c>
      <c r="G349" t="inlineStr">
        <is>
          <t>UPPSALA</t>
        </is>
      </c>
      <c r="H349" t="inlineStr">
        <is>
          <t>Sveaskog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47316-2023</t>
        </is>
      </c>
      <c r="B350" t="inlineStr">
        <is>
          <t>avverkningsanmälan</t>
        </is>
      </c>
      <c r="C350" t="inlineStr">
        <is>
          <t>Föryngringsavverkning</t>
        </is>
      </c>
      <c r="D350" s="1" t="n">
        <v>45202</v>
      </c>
      <c r="E350" s="1" t="n">
        <v>46291</v>
      </c>
      <c r="F350" t="inlineStr">
        <is>
          <t>UPPSALA LÄN</t>
        </is>
      </c>
      <c r="G350" t="inlineStr">
        <is>
          <t>UPPSALA</t>
        </is>
      </c>
      <c r="H350" t="inlineStr">
        <is>
          <t>Bergvik skog öst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5687-2026</t>
        </is>
      </c>
      <c r="B351" t="inlineStr">
        <is>
          <t>avverkningsanmälan</t>
        </is>
      </c>
      <c r="C351" t="inlineStr">
        <is>
          <t>Föryngringsavverkning</t>
        </is>
      </c>
      <c r="D351" s="1" t="n">
        <v>46051</v>
      </c>
      <c r="E351" s="1" t="n">
        <v>46291</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25280-2023</t>
        </is>
      </c>
      <c r="B352" t="inlineStr">
        <is>
          <t>avverkningsanmälan</t>
        </is>
      </c>
      <c r="C352" t="inlineStr">
        <is>
          <t>Föryngringsavverkning</t>
        </is>
      </c>
      <c r="D352" s="1" t="n">
        <v>45086</v>
      </c>
      <c r="E352" s="1" t="n">
        <v>46291</v>
      </c>
      <c r="F352" t="inlineStr">
        <is>
          <t>UPPSALA LÄN</t>
        </is>
      </c>
      <c r="G352" t="inlineStr">
        <is>
          <t>UPPSALA</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6360-2026</t>
        </is>
      </c>
      <c r="B353" t="inlineStr">
        <is>
          <t>avverkningsanmälan</t>
        </is>
      </c>
      <c r="C353" t="inlineStr">
        <is>
          <t>Föryngringsavverkning</t>
        </is>
      </c>
      <c r="D353" s="1" t="n">
        <v>46055</v>
      </c>
      <c r="E353" s="1" t="n">
        <v>46291</v>
      </c>
      <c r="F353" t="inlineStr">
        <is>
          <t>UPPSALA LÄN</t>
        </is>
      </c>
      <c r="G353" t="inlineStr">
        <is>
          <t>UPPSALA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43893-2025</t>
        </is>
      </c>
      <c r="B354" t="inlineStr">
        <is>
          <t>avverkningsanmälan</t>
        </is>
      </c>
      <c r="C354" t="inlineStr">
        <is>
          <t>Föryngringsavverkning</t>
        </is>
      </c>
      <c r="D354" s="1" t="n">
        <v>45912</v>
      </c>
      <c r="E354" s="1" t="n">
        <v>46291</v>
      </c>
      <c r="F354" t="inlineStr">
        <is>
          <t>UPPSALA LÄN</t>
        </is>
      </c>
      <c r="G354" t="inlineStr">
        <is>
          <t>UPPSALA</t>
        </is>
      </c>
      <c r="H354" t="inlineStr">
        <is>
          <t>Kyrkan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6187-2026</t>
        </is>
      </c>
      <c r="B355" t="inlineStr">
        <is>
          <t>avverkningsanmälan</t>
        </is>
      </c>
      <c r="C355" t="inlineStr">
        <is>
          <t>Föryngringsavverkning</t>
        </is>
      </c>
      <c r="D355" s="1" t="n">
        <v>46055</v>
      </c>
      <c r="E355" s="1" t="n">
        <v>46291</v>
      </c>
      <c r="F355" t="inlineStr">
        <is>
          <t>UPPSALA LÄN</t>
        </is>
      </c>
      <c r="G355" t="inlineStr">
        <is>
          <t>UPPSALA</t>
        </is>
      </c>
      <c r="H355" t="inlineStr">
        <is>
          <t>Allmännings- och besparingsskogar</t>
        </is>
      </c>
      <c r="I355" t="n">
        <v>10.6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39818-2024</t>
        </is>
      </c>
      <c r="B356" t="inlineStr">
        <is>
          <t>avverkningsanmälan</t>
        </is>
      </c>
      <c r="C356" t="inlineStr">
        <is>
          <t>Föryngringsavverkning</t>
        </is>
      </c>
      <c r="D356" s="1" t="n">
        <v>45552</v>
      </c>
      <c r="E356" s="1" t="n">
        <v>46291</v>
      </c>
      <c r="F356" t="inlineStr">
        <is>
          <t>UPPSALA LÄN</t>
        </is>
      </c>
      <c r="G356" t="inlineStr">
        <is>
          <t>UPPSALA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15264-2025</t>
        </is>
      </c>
      <c r="B357" t="inlineStr">
        <is>
          <t>avverkningsanmälan</t>
        </is>
      </c>
      <c r="C357" t="inlineStr">
        <is>
          <t>Föryngringsavverkning</t>
        </is>
      </c>
      <c r="D357" s="1" t="n">
        <v>45744</v>
      </c>
      <c r="E357" s="1" t="n">
        <v>46291</v>
      </c>
      <c r="F357" t="inlineStr">
        <is>
          <t>UPPSALA LÄN</t>
        </is>
      </c>
      <c r="G357" t="inlineStr">
        <is>
          <t>UPPSALA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7002-2026</t>
        </is>
      </c>
      <c r="B358" t="inlineStr">
        <is>
          <t>avverkningsanmälan</t>
        </is>
      </c>
      <c r="C358" t="inlineStr">
        <is>
          <t>Föryngringsavverkning</t>
        </is>
      </c>
      <c r="D358" s="1" t="n">
        <v>46057</v>
      </c>
      <c r="E358" s="1" t="n">
        <v>46291</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44226-2025</t>
        </is>
      </c>
      <c r="B359" t="inlineStr">
        <is>
          <t>avverkningsanmälan</t>
        </is>
      </c>
      <c r="C359" t="inlineStr">
        <is>
          <t>Föryngringsavverkning</t>
        </is>
      </c>
      <c r="D359" s="1" t="n">
        <v>45915</v>
      </c>
      <c r="E359" s="1" t="n">
        <v>46291</v>
      </c>
      <c r="F359" t="inlineStr">
        <is>
          <t>UPPSALA LÄN</t>
        </is>
      </c>
      <c r="G359" t="inlineStr">
        <is>
          <t>UPPSALA</t>
        </is>
      </c>
      <c r="H359" t="inlineStr">
        <is>
          <t>Kyrkan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5663-2023</t>
        </is>
      </c>
      <c r="B360" t="inlineStr">
        <is>
          <t>avverkningsanmälan</t>
        </is>
      </c>
      <c r="C360" t="inlineStr">
        <is>
          <t>Föryngringsavverkning</t>
        </is>
      </c>
      <c r="D360" s="1" t="n">
        <v>44960</v>
      </c>
      <c r="E360" s="1" t="n">
        <v>46291</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5675-2023</t>
        </is>
      </c>
      <c r="B361" t="inlineStr">
        <is>
          <t>avverkningsanmälan</t>
        </is>
      </c>
      <c r="C361" t="inlineStr">
        <is>
          <t>Föryngringsavverkning</t>
        </is>
      </c>
      <c r="D361" s="1" t="n">
        <v>44960</v>
      </c>
      <c r="E361" s="1" t="n">
        <v>46291</v>
      </c>
      <c r="F361" t="inlineStr">
        <is>
          <t>UPPSALA LÄN</t>
        </is>
      </c>
      <c r="G361" t="inlineStr">
        <is>
          <t>UPPSALA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7739-2026</t>
        </is>
      </c>
      <c r="B362" t="inlineStr">
        <is>
          <t>avverkningsanmälan</t>
        </is>
      </c>
      <c r="C362" t="inlineStr">
        <is>
          <t>Föryngringsavverkning</t>
        </is>
      </c>
      <c r="D362" s="1" t="n">
        <v>46062</v>
      </c>
      <c r="E362" s="1" t="n">
        <v>46291</v>
      </c>
      <c r="F362" t="inlineStr">
        <is>
          <t>UPPSALA LÄN</t>
        </is>
      </c>
      <c r="G362" t="inlineStr">
        <is>
          <t>UPPSALA</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6628-2024</t>
        </is>
      </c>
      <c r="B363" t="inlineStr">
        <is>
          <t>avverkningsanmälan</t>
        </is>
      </c>
      <c r="C363" t="inlineStr">
        <is>
          <t>Avverkning för annat ändamål</t>
        </is>
      </c>
      <c r="D363" s="1" t="n">
        <v>45341</v>
      </c>
      <c r="E363" s="1" t="n">
        <v>46291</v>
      </c>
      <c r="F363" t="inlineStr">
        <is>
          <t>UPPSALA LÄN</t>
        </is>
      </c>
      <c r="G363" t="inlineStr">
        <is>
          <t>UPPSALA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52197-2024</t>
        </is>
      </c>
      <c r="B364" t="inlineStr">
        <is>
          <t>avverkningsanmälan</t>
        </is>
      </c>
      <c r="C364" t="inlineStr">
        <is>
          <t>Avverkning för annat ändamål</t>
        </is>
      </c>
      <c r="D364" s="1" t="n">
        <v>45608</v>
      </c>
      <c r="E364" s="1" t="n">
        <v>46291</v>
      </c>
      <c r="F364" t="inlineStr">
        <is>
          <t>UPPSALA LÄN</t>
        </is>
      </c>
      <c r="G364" t="inlineStr">
        <is>
          <t>UPPSALA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7865-2026</t>
        </is>
      </c>
      <c r="B365" t="inlineStr">
        <is>
          <t>avverkningsanmälan</t>
        </is>
      </c>
      <c r="C365" t="inlineStr">
        <is>
          <t>Föryngringsavverkning</t>
        </is>
      </c>
      <c r="D365" s="1" t="n">
        <v>46062</v>
      </c>
      <c r="E365" s="1" t="n">
        <v>46291</v>
      </c>
      <c r="F365" t="inlineStr">
        <is>
          <t>UPPSALA LÄN</t>
        </is>
      </c>
      <c r="G365" t="inlineStr">
        <is>
          <t>UPPSALA</t>
        </is>
      </c>
      <c r="H365" t="inlineStr">
        <is>
          <t>Bergvik skog öst AB</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7866-2026</t>
        </is>
      </c>
      <c r="B366" t="inlineStr">
        <is>
          <t>avverkningsanmälan</t>
        </is>
      </c>
      <c r="C366" t="inlineStr">
        <is>
          <t>Föryngringsavverkning</t>
        </is>
      </c>
      <c r="D366" s="1" t="n">
        <v>46062</v>
      </c>
      <c r="E366" s="1" t="n">
        <v>46291</v>
      </c>
      <c r="F366" t="inlineStr">
        <is>
          <t>UPPSALA LÄN</t>
        </is>
      </c>
      <c r="G366" t="inlineStr">
        <is>
          <t>UPPSALA</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44470-2025</t>
        </is>
      </c>
      <c r="B367" t="inlineStr">
        <is>
          <t>avverkningsanmälan</t>
        </is>
      </c>
      <c r="C367" t="inlineStr">
        <is>
          <t>Föryngringsavverkning</t>
        </is>
      </c>
      <c r="D367" s="1" t="n">
        <v>45916</v>
      </c>
      <c r="E367" s="1" t="n">
        <v>46291</v>
      </c>
      <c r="F367" t="inlineStr">
        <is>
          <t>UPPSALA LÄN</t>
        </is>
      </c>
      <c r="G367" t="inlineStr">
        <is>
          <t>UPPSALA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44813-2025</t>
        </is>
      </c>
      <c r="B368" t="inlineStr">
        <is>
          <t>avverkningsanmälan</t>
        </is>
      </c>
      <c r="C368" t="inlineStr">
        <is>
          <t>Avverkning för att bevara och utveckla /försöksver</t>
        </is>
      </c>
      <c r="D368" s="1" t="n">
        <v>45918</v>
      </c>
      <c r="E368" s="1" t="n">
        <v>46291</v>
      </c>
      <c r="F368" t="inlineStr">
        <is>
          <t>UPPSALA LÄN</t>
        </is>
      </c>
      <c r="G368" t="inlineStr">
        <is>
          <t>UPPSALA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7867-2026</t>
        </is>
      </c>
      <c r="B369" t="inlineStr">
        <is>
          <t>avverkningsanmälan</t>
        </is>
      </c>
      <c r="C369" t="inlineStr">
        <is>
          <t>Föryngringsavverkning</t>
        </is>
      </c>
      <c r="D369" s="1" t="n">
        <v>46062</v>
      </c>
      <c r="E369" s="1" t="n">
        <v>46291</v>
      </c>
      <c r="F369" t="inlineStr">
        <is>
          <t>UPPSALA LÄN</t>
        </is>
      </c>
      <c r="G369" t="inlineStr">
        <is>
          <t>UPPSALA</t>
        </is>
      </c>
      <c r="H369" t="inlineStr">
        <is>
          <t>Bergvik skog öst AB</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8364-2026</t>
        </is>
      </c>
      <c r="B370" t="inlineStr">
        <is>
          <t>avverkningsanmälan</t>
        </is>
      </c>
      <c r="C370" t="inlineStr">
        <is>
          <t>Avverkning för annat ändamål</t>
        </is>
      </c>
      <c r="D370" s="1" t="n">
        <v>46064</v>
      </c>
      <c r="E370" s="1" t="n">
        <v>46291</v>
      </c>
      <c r="F370" t="inlineStr">
        <is>
          <t>UPPSALA LÄN</t>
        </is>
      </c>
      <c r="G370" t="inlineStr">
        <is>
          <t>UPPSALA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8582-2026</t>
        </is>
      </c>
      <c r="B371" t="inlineStr">
        <is>
          <t>avverkningsanmälan</t>
        </is>
      </c>
      <c r="C371" t="inlineStr">
        <is>
          <t>Föryngringsavverkning</t>
        </is>
      </c>
      <c r="D371" s="1" t="n">
        <v>46065</v>
      </c>
      <c r="E371" s="1" t="n">
        <v>46291</v>
      </c>
      <c r="F371" t="inlineStr">
        <is>
          <t>UPPSALA LÄN</t>
        </is>
      </c>
      <c r="G371" t="inlineStr">
        <is>
          <t>UPPSALA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45519-2025</t>
        </is>
      </c>
      <c r="B372" t="inlineStr">
        <is>
          <t>avverkningsanmälan</t>
        </is>
      </c>
      <c r="C372" t="inlineStr">
        <is>
          <t>Avverkning för annat ändamål</t>
        </is>
      </c>
      <c r="D372" s="1" t="n">
        <v>45922</v>
      </c>
      <c r="E372" s="1" t="n">
        <v>46291</v>
      </c>
      <c r="F372" t="inlineStr">
        <is>
          <t>UPPSALA LÄN</t>
        </is>
      </c>
      <c r="G372" t="inlineStr">
        <is>
          <t>UPPSALA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74019-2021</t>
        </is>
      </c>
      <c r="B373" t="inlineStr">
        <is>
          <t>avverkningsanmälan</t>
        </is>
      </c>
      <c r="C373" t="inlineStr">
        <is>
          <t>Avverkning för att bevara och utveckla /försöksver</t>
        </is>
      </c>
      <c r="D373" s="1" t="n">
        <v>44553</v>
      </c>
      <c r="E373" s="1" t="n">
        <v>46291</v>
      </c>
      <c r="F373" t="inlineStr">
        <is>
          <t>UPPSALA LÄN</t>
        </is>
      </c>
      <c r="G373" t="inlineStr">
        <is>
          <t>UPPSALA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8500-2026</t>
        </is>
      </c>
      <c r="B374" t="inlineStr">
        <is>
          <t>avverkningsanmälan</t>
        </is>
      </c>
      <c r="C374" t="inlineStr">
        <is>
          <t>Föryngringsavverkning</t>
        </is>
      </c>
      <c r="D374" s="1" t="n">
        <v>46065</v>
      </c>
      <c r="E374" s="1" t="n">
        <v>46291</v>
      </c>
      <c r="F374" t="inlineStr">
        <is>
          <t>UPPSALA LÄN</t>
        </is>
      </c>
      <c r="G374" t="inlineStr">
        <is>
          <t>UPPSALA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45904-2025</t>
        </is>
      </c>
      <c r="B375" t="inlineStr">
        <is>
          <t>avverkningsanmälan</t>
        </is>
      </c>
      <c r="C375" t="inlineStr">
        <is>
          <t>Föryngringsavverkning</t>
        </is>
      </c>
      <c r="D375" s="1" t="n">
        <v>45923</v>
      </c>
      <c r="E375" s="1" t="n">
        <v>46291</v>
      </c>
      <c r="F375" t="inlineStr">
        <is>
          <t>UPPSALA LÄN</t>
        </is>
      </c>
      <c r="G375" t="inlineStr">
        <is>
          <t>UPPSALA</t>
        </is>
      </c>
      <c r="H375" t="inlineStr">
        <is>
          <t>Kyrkan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53906-2023</t>
        </is>
      </c>
      <c r="B376" t="inlineStr">
        <is>
          <t>avverkningsanmälan</t>
        </is>
      </c>
      <c r="C376" t="inlineStr">
        <is>
          <t>Föryngringsavverkning</t>
        </is>
      </c>
      <c r="D376" s="1" t="n">
        <v>45231</v>
      </c>
      <c r="E376" s="1" t="n">
        <v>46291</v>
      </c>
      <c r="F376" t="inlineStr">
        <is>
          <t>UPPSALA LÄN</t>
        </is>
      </c>
      <c r="G376" t="inlineStr">
        <is>
          <t>UPPSALA</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1975-2022</t>
        </is>
      </c>
      <c r="B377" t="inlineStr">
        <is>
          <t>avverkningsanmälan</t>
        </is>
      </c>
      <c r="C377" t="inlineStr">
        <is>
          <t>Avverkning för att bevara och utveckla /försöksver</t>
        </is>
      </c>
      <c r="D377" s="1" t="n">
        <v>44575</v>
      </c>
      <c r="E377" s="1" t="n">
        <v>46291</v>
      </c>
      <c r="F377" t="inlineStr">
        <is>
          <t>UPPSALA LÄN</t>
        </is>
      </c>
      <c r="G377" t="inlineStr">
        <is>
          <t>UPPSALA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27622-2023</t>
        </is>
      </c>
      <c r="B378" t="inlineStr">
        <is>
          <t>avverkningsanmälan</t>
        </is>
      </c>
      <c r="C378" t="inlineStr">
        <is>
          <t>Föryngringsavverkning</t>
        </is>
      </c>
      <c r="D378" s="1" t="n">
        <v>45097</v>
      </c>
      <c r="E378" s="1" t="n">
        <v>46291</v>
      </c>
      <c r="F378" t="inlineStr">
        <is>
          <t>UPPSALA LÄN</t>
        </is>
      </c>
      <c r="G378" t="inlineStr">
        <is>
          <t>UPPSALA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45903-2025</t>
        </is>
      </c>
      <c r="B379" t="inlineStr">
        <is>
          <t>avverkningsanmälan</t>
        </is>
      </c>
      <c r="C379" t="inlineStr">
        <is>
          <t>Föryngringsavverkning</t>
        </is>
      </c>
      <c r="D379" s="1" t="n">
        <v>45923</v>
      </c>
      <c r="E379" s="1" t="n">
        <v>46291</v>
      </c>
      <c r="F379" t="inlineStr">
        <is>
          <t>UPPSALA LÄN</t>
        </is>
      </c>
      <c r="G379" t="inlineStr">
        <is>
          <t>UPPSALA</t>
        </is>
      </c>
      <c r="H379" t="inlineStr">
        <is>
          <t>Kyrkan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46773-2025</t>
        </is>
      </c>
      <c r="B380" t="inlineStr">
        <is>
          <t>avverkningsanmälan</t>
        </is>
      </c>
      <c r="C380" t="inlineStr">
        <is>
          <t>Föryngringsavverkning</t>
        </is>
      </c>
      <c r="D380" s="1" t="n">
        <v>45926</v>
      </c>
      <c r="E380" s="1" t="n">
        <v>46291</v>
      </c>
      <c r="F380" t="inlineStr">
        <is>
          <t>UPPSALA LÄN</t>
        </is>
      </c>
      <c r="G380" t="inlineStr">
        <is>
          <t>UPPSALA</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56679-2022</t>
        </is>
      </c>
      <c r="B381" t="inlineStr">
        <is>
          <t>avverkningsanmälan</t>
        </is>
      </c>
      <c r="C381" t="inlineStr">
        <is>
          <t>Föryngringsavverkning</t>
        </is>
      </c>
      <c r="D381" s="1" t="n">
        <v>44893</v>
      </c>
      <c r="E381" s="1" t="n">
        <v>46291</v>
      </c>
      <c r="F381" t="inlineStr">
        <is>
          <t>UPPSALA LÄN</t>
        </is>
      </c>
      <c r="G381" t="inlineStr">
        <is>
          <t>UPPSALA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46571-2025</t>
        </is>
      </c>
      <c r="B382" t="inlineStr">
        <is>
          <t>avverkningsanmälan</t>
        </is>
      </c>
      <c r="C382" t="inlineStr">
        <is>
          <t>Föryngringsavverkning</t>
        </is>
      </c>
      <c r="D382" s="1" t="n">
        <v>45926</v>
      </c>
      <c r="E382" s="1" t="n">
        <v>46291</v>
      </c>
      <c r="F382" t="inlineStr">
        <is>
          <t>UPPSALA LÄN</t>
        </is>
      </c>
      <c r="G382" t="inlineStr">
        <is>
          <t>UPPSALA</t>
        </is>
      </c>
      <c r="H382" t="inlineStr">
        <is>
          <t>Bergvik skog öst AB</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46564-2025</t>
        </is>
      </c>
      <c r="B383" t="inlineStr">
        <is>
          <t>avverkningsanmälan</t>
        </is>
      </c>
      <c r="C383" t="inlineStr">
        <is>
          <t>Föryngringsavverkning</t>
        </is>
      </c>
      <c r="D383" s="1" t="n">
        <v>45926</v>
      </c>
      <c r="E383" s="1" t="n">
        <v>46291</v>
      </c>
      <c r="F383" t="inlineStr">
        <is>
          <t>UPPSALA LÄN</t>
        </is>
      </c>
      <c r="G383" t="inlineStr">
        <is>
          <t>UPPSALA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46565-2025</t>
        </is>
      </c>
      <c r="B384" t="inlineStr">
        <is>
          <t>avverkningsanmälan</t>
        </is>
      </c>
      <c r="C384" t="inlineStr">
        <is>
          <t>Föryngringsavverkning</t>
        </is>
      </c>
      <c r="D384" s="1" t="n">
        <v>45926</v>
      </c>
      <c r="E384" s="1" t="n">
        <v>46291</v>
      </c>
      <c r="F384" t="inlineStr">
        <is>
          <t>UPPSALA LÄN</t>
        </is>
      </c>
      <c r="G384" t="inlineStr">
        <is>
          <t>UPPSALA</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10827-2024</t>
        </is>
      </c>
      <c r="B385" t="inlineStr">
        <is>
          <t>avverkningsanmälan</t>
        </is>
      </c>
      <c r="C385" t="inlineStr">
        <is>
          <t>Föryngringsavverkning</t>
        </is>
      </c>
      <c r="D385" s="1" t="n">
        <v>45369</v>
      </c>
      <c r="E385" s="1" t="n">
        <v>46291</v>
      </c>
      <c r="F385" t="inlineStr">
        <is>
          <t>UPPSALA LÄN</t>
        </is>
      </c>
      <c r="G385" t="inlineStr">
        <is>
          <t>UPPSALA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59133-2022</t>
        </is>
      </c>
      <c r="B386" t="inlineStr">
        <is>
          <t>avverkningsanmälan</t>
        </is>
      </c>
      <c r="C386" t="inlineStr">
        <is>
          <t>Föryngringsavverkning</t>
        </is>
      </c>
      <c r="D386" s="1" t="n">
        <v>44904</v>
      </c>
      <c r="E386" s="1" t="n">
        <v>46291</v>
      </c>
      <c r="F386" t="inlineStr">
        <is>
          <t>UPPSALA LÄN</t>
        </is>
      </c>
      <c r="G386" t="inlineStr">
        <is>
          <t>UPPSALA</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10223-2026</t>
        </is>
      </c>
      <c r="B387" t="inlineStr">
        <is>
          <t>avverkningsanmälan</t>
        </is>
      </c>
      <c r="C387" t="inlineStr">
        <is>
          <t>Föryngringsavverkning</t>
        </is>
      </c>
      <c r="D387" s="1" t="n">
        <v>46076</v>
      </c>
      <c r="E387" s="1" t="n">
        <v>46291</v>
      </c>
      <c r="F387" t="inlineStr">
        <is>
          <t>UPPSALA LÄN</t>
        </is>
      </c>
      <c r="G387" t="inlineStr">
        <is>
          <t>UPPSALA</t>
        </is>
      </c>
      <c r="H387" t="inlineStr">
        <is>
          <t>Holmen skog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53384-2024</t>
        </is>
      </c>
      <c r="B388" t="inlineStr">
        <is>
          <t>avverkningsanmälan</t>
        </is>
      </c>
      <c r="C388" t="inlineStr">
        <is>
          <t>Föryngringsavverkning</t>
        </is>
      </c>
      <c r="D388" s="1" t="n">
        <v>45614</v>
      </c>
      <c r="E388" s="1" t="n">
        <v>46291</v>
      </c>
      <c r="F388" t="inlineStr">
        <is>
          <t>UPPSALA LÄN</t>
        </is>
      </c>
      <c r="G388" t="inlineStr">
        <is>
          <t>UPPSALA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46775-2025</t>
        </is>
      </c>
      <c r="B389" t="inlineStr">
        <is>
          <t>avverkningsanmälan</t>
        </is>
      </c>
      <c r="C389" t="inlineStr">
        <is>
          <t>Föryngringsavverkning</t>
        </is>
      </c>
      <c r="D389" s="1" t="n">
        <v>45926</v>
      </c>
      <c r="E389" s="1" t="n">
        <v>46291</v>
      </c>
      <c r="F389" t="inlineStr">
        <is>
          <t>UPPSALA LÄN</t>
        </is>
      </c>
      <c r="G389" t="inlineStr">
        <is>
          <t>UPPSALA</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46772-2025</t>
        </is>
      </c>
      <c r="B390" t="inlineStr">
        <is>
          <t>avverkningsanmälan</t>
        </is>
      </c>
      <c r="C390" t="inlineStr">
        <is>
          <t>Föryngringsavverkning</t>
        </is>
      </c>
      <c r="D390" s="1" t="n">
        <v>45926</v>
      </c>
      <c r="E390" s="1" t="n">
        <v>46291</v>
      </c>
      <c r="F390" t="inlineStr">
        <is>
          <t>UPPSALA LÄN</t>
        </is>
      </c>
      <c r="G390" t="inlineStr">
        <is>
          <t>UPPSALA</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15310-2022</t>
        </is>
      </c>
      <c r="B391" t="inlineStr">
        <is>
          <t>avverkningsanmälan</t>
        </is>
      </c>
      <c r="C391" t="inlineStr">
        <is>
          <t>Föryngringsavverkning</t>
        </is>
      </c>
      <c r="D391" s="1" t="n">
        <v>44659</v>
      </c>
      <c r="E391" s="1" t="n">
        <v>46291</v>
      </c>
      <c r="F391" t="inlineStr">
        <is>
          <t>UPPSALA LÄN</t>
        </is>
      </c>
      <c r="G391" t="inlineStr">
        <is>
          <t>UPPSALA</t>
        </is>
      </c>
      <c r="H391" t="inlineStr">
        <is>
          <t>Bergvik skog öst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12507-2024</t>
        </is>
      </c>
      <c r="B392" t="inlineStr">
        <is>
          <t>avverkningsanmälan</t>
        </is>
      </c>
      <c r="C392" t="inlineStr">
        <is>
          <t>Föryngringsavverkning</t>
        </is>
      </c>
      <c r="D392" s="1" t="n">
        <v>45379</v>
      </c>
      <c r="E392" s="1" t="n">
        <v>46291</v>
      </c>
      <c r="F392" t="inlineStr">
        <is>
          <t>UPPSALA LÄN</t>
        </is>
      </c>
      <c r="G392" t="inlineStr">
        <is>
          <t>UPPSALA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60702-2022</t>
        </is>
      </c>
      <c r="B393" t="inlineStr">
        <is>
          <t>avverkningsanmälan</t>
        </is>
      </c>
      <c r="C393" t="inlineStr">
        <is>
          <t>Föryngringsavverkning</t>
        </is>
      </c>
      <c r="D393" s="1" t="n">
        <v>44912</v>
      </c>
      <c r="E393" s="1" t="n">
        <v>46291</v>
      </c>
      <c r="F393" t="inlineStr">
        <is>
          <t>UPPSALA LÄN</t>
        </is>
      </c>
      <c r="G393" t="inlineStr">
        <is>
          <t>UPPSALA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8933-2022</t>
        </is>
      </c>
      <c r="B394" t="inlineStr">
        <is>
          <t>avverkningsanmälan</t>
        </is>
      </c>
      <c r="C394" t="inlineStr">
        <is>
          <t>Föryngringsavverkning</t>
        </is>
      </c>
      <c r="D394" s="1" t="n">
        <v>44614</v>
      </c>
      <c r="E394" s="1" t="n">
        <v>46291</v>
      </c>
      <c r="F394" t="inlineStr">
        <is>
          <t>UPPSALA LÄN</t>
        </is>
      </c>
      <c r="G394" t="inlineStr">
        <is>
          <t>UPPSALA</t>
        </is>
      </c>
      <c r="H394" t="inlineStr">
        <is>
          <t>Holmen skog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21859-2024</t>
        </is>
      </c>
      <c r="B395" t="inlineStr">
        <is>
          <t>avverkningsanmälan</t>
        </is>
      </c>
      <c r="C395" t="inlineStr">
        <is>
          <t>Föryngringsavverkning</t>
        </is>
      </c>
      <c r="D395" s="1" t="n">
        <v>45443</v>
      </c>
      <c r="E395" s="1" t="n">
        <v>46291</v>
      </c>
      <c r="F395" t="inlineStr">
        <is>
          <t>UPPSALA LÄN</t>
        </is>
      </c>
      <c r="G395" t="inlineStr">
        <is>
          <t>UPPSALA</t>
        </is>
      </c>
      <c r="H395" t="inlineStr">
        <is>
          <t>Kyrkan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11276-2026</t>
        </is>
      </c>
      <c r="B396" t="inlineStr">
        <is>
          <t>avverkningsanmälan</t>
        </is>
      </c>
      <c r="C396" t="inlineStr">
        <is>
          <t>Föryngringsavverkning</t>
        </is>
      </c>
      <c r="D396" s="1" t="n">
        <v>46080</v>
      </c>
      <c r="E396" s="1" t="n">
        <v>46291</v>
      </c>
      <c r="F396" t="inlineStr">
        <is>
          <t>UPPSALA LÄN</t>
        </is>
      </c>
      <c r="G396" t="inlineStr">
        <is>
          <t>UPPSALA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47131-2025</t>
        </is>
      </c>
      <c r="B397" t="inlineStr">
        <is>
          <t>avverkningsanmälan</t>
        </is>
      </c>
      <c r="C397" t="inlineStr">
        <is>
          <t>Föryngringsavverkning</t>
        </is>
      </c>
      <c r="D397" s="1" t="n">
        <v>45929</v>
      </c>
      <c r="E397" s="1" t="n">
        <v>46291</v>
      </c>
      <c r="F397" t="inlineStr">
        <is>
          <t>UPPSALA LÄN</t>
        </is>
      </c>
      <c r="G397" t="inlineStr">
        <is>
          <t>UPPSALA</t>
        </is>
      </c>
      <c r="H397" t="inlineStr">
        <is>
          <t>Kyrkan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47132-2025</t>
        </is>
      </c>
      <c r="B398" t="inlineStr">
        <is>
          <t>avverkningsanmälan</t>
        </is>
      </c>
      <c r="C398" t="inlineStr">
        <is>
          <t>Föryngringsavverkning</t>
        </is>
      </c>
      <c r="D398" s="1" t="n">
        <v>45929</v>
      </c>
      <c r="E398" s="1" t="n">
        <v>46291</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6930-2023</t>
        </is>
      </c>
      <c r="B399" t="inlineStr">
        <is>
          <t>avverkningsanmälan</t>
        </is>
      </c>
      <c r="C399" t="inlineStr">
        <is>
          <t>Föryngringsavverkning</t>
        </is>
      </c>
      <c r="D399" s="1" t="n">
        <v>44967</v>
      </c>
      <c r="E399" s="1" t="n">
        <v>46291</v>
      </c>
      <c r="F399" t="inlineStr">
        <is>
          <t>UPPSALA LÄN</t>
        </is>
      </c>
      <c r="G399" t="inlineStr">
        <is>
          <t>UPPSALA</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47840-2025</t>
        </is>
      </c>
      <c r="B400" t="inlineStr">
        <is>
          <t>avverkningsanmälan</t>
        </is>
      </c>
      <c r="C400" t="inlineStr">
        <is>
          <t>Föryngringsavverkning</t>
        </is>
      </c>
      <c r="D400" s="1" t="n">
        <v>45932</v>
      </c>
      <c r="E400" s="1" t="n">
        <v>46291</v>
      </c>
      <c r="F400" t="inlineStr">
        <is>
          <t>UPPSALA LÄN</t>
        </is>
      </c>
      <c r="G400" t="inlineStr">
        <is>
          <t>UPPSALA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47557-2025</t>
        </is>
      </c>
      <c r="B401" t="inlineStr">
        <is>
          <t>avverkningsanmälan</t>
        </is>
      </c>
      <c r="C401" t="inlineStr">
        <is>
          <t>Föryngringsavverkning</t>
        </is>
      </c>
      <c r="D401" s="1" t="n">
        <v>45931</v>
      </c>
      <c r="E401" s="1" t="n">
        <v>46291</v>
      </c>
      <c r="F401" t="inlineStr">
        <is>
          <t>UPPSALA LÄN</t>
        </is>
      </c>
      <c r="G401" t="inlineStr">
        <is>
          <t>UPPSALA</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47978-2025</t>
        </is>
      </c>
      <c r="B402" t="inlineStr">
        <is>
          <t>avverkningsanmälan</t>
        </is>
      </c>
      <c r="C402" t="inlineStr">
        <is>
          <t>Föryngringsavverkning</t>
        </is>
      </c>
      <c r="D402" s="1" t="n">
        <v>45932</v>
      </c>
      <c r="E402" s="1" t="n">
        <v>46291</v>
      </c>
      <c r="F402" t="inlineStr">
        <is>
          <t>UPPSALA LÄN</t>
        </is>
      </c>
      <c r="G402" t="inlineStr">
        <is>
          <t>UPPSALA</t>
        </is>
      </c>
      <c r="H402" t="inlineStr">
        <is>
          <t>Allmännings- och besparingsskogar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47558-2025</t>
        </is>
      </c>
      <c r="B403" t="inlineStr">
        <is>
          <t>avverkningsanmälan</t>
        </is>
      </c>
      <c r="C403" t="inlineStr">
        <is>
          <t>Föryngringsavverkning</t>
        </is>
      </c>
      <c r="D403" s="1" t="n">
        <v>45931</v>
      </c>
      <c r="E403" s="1" t="n">
        <v>46291</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11915-2026</t>
        </is>
      </c>
      <c r="B404" t="inlineStr">
        <is>
          <t>avverkningsanmälan</t>
        </is>
      </c>
      <c r="C404" t="inlineStr">
        <is>
          <t>Föryngringsavverkning</t>
        </is>
      </c>
      <c r="D404" s="1" t="n">
        <v>46085</v>
      </c>
      <c r="E404" s="1" t="n">
        <v>46291</v>
      </c>
      <c r="F404" t="inlineStr">
        <is>
          <t>UPPSALA LÄN</t>
        </is>
      </c>
      <c r="G404" t="inlineStr">
        <is>
          <t>UPPSALA</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32127-2024</t>
        </is>
      </c>
      <c r="B405" t="inlineStr">
        <is>
          <t>avverkningsanmälan</t>
        </is>
      </c>
      <c r="C405" t="inlineStr">
        <is>
          <t>Avverkning för att bevara och utveckla /försöksver</t>
        </is>
      </c>
      <c r="D405" s="1" t="n">
        <v>45511</v>
      </c>
      <c r="E405" s="1" t="n">
        <v>46291</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47999-2025</t>
        </is>
      </c>
      <c r="B406" t="inlineStr">
        <is>
          <t>avverkningsanmälan</t>
        </is>
      </c>
      <c r="C406" t="inlineStr">
        <is>
          <t>Föryngringsavverkning</t>
        </is>
      </c>
      <c r="D406" s="1" t="n">
        <v>45932</v>
      </c>
      <c r="E406" s="1" t="n">
        <v>46291</v>
      </c>
      <c r="F406" t="inlineStr">
        <is>
          <t>UPPSALA LÄN</t>
        </is>
      </c>
      <c r="G406" t="inlineStr">
        <is>
          <t>UPPSALA</t>
        </is>
      </c>
      <c r="H406" t="inlineStr">
        <is>
          <t>Allmännings- och besparingsskogar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49996-2023</t>
        </is>
      </c>
      <c r="B407" t="inlineStr">
        <is>
          <t>avverkningsanmälan</t>
        </is>
      </c>
      <c r="C407" t="inlineStr">
        <is>
          <t>Föryngringsavverkning</t>
        </is>
      </c>
      <c r="D407" s="1" t="n">
        <v>45215</v>
      </c>
      <c r="E407" s="1" t="n">
        <v>46291</v>
      </c>
      <c r="F407" t="inlineStr">
        <is>
          <t>UPPSALA LÄN</t>
        </is>
      </c>
      <c r="G407" t="inlineStr">
        <is>
          <t>UPPSALA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8498-2026</t>
        </is>
      </c>
      <c r="B408" t="inlineStr">
        <is>
          <t>avverkningsanmälan</t>
        </is>
      </c>
      <c r="C408" t="inlineStr">
        <is>
          <t>Föryngringsavverkning</t>
        </is>
      </c>
      <c r="D408" s="1" t="n">
        <v>46065</v>
      </c>
      <c r="E408" s="1" t="n">
        <v>46291</v>
      </c>
      <c r="F408" t="inlineStr">
        <is>
          <t>UPPSALA LÄN</t>
        </is>
      </c>
      <c r="G408" t="inlineStr">
        <is>
          <t>UPPSALA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47287-2023</t>
        </is>
      </c>
      <c r="B409" t="inlineStr">
        <is>
          <t>avverkningsanmälan</t>
        </is>
      </c>
      <c r="C409" t="inlineStr">
        <is>
          <t>Avverkning för annat ändamål</t>
        </is>
      </c>
      <c r="D409" s="1" t="n">
        <v>45202</v>
      </c>
      <c r="E409" s="1" t="n">
        <v>46291</v>
      </c>
      <c r="F409" t="inlineStr">
        <is>
          <t>UPPSALA LÄN</t>
        </is>
      </c>
      <c r="G409" t="inlineStr">
        <is>
          <t>UPPSALA</t>
        </is>
      </c>
      <c r="H409" t="inlineStr">
        <is>
          <t>Holmen skog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12416-2026</t>
        </is>
      </c>
      <c r="B410" t="inlineStr">
        <is>
          <t>avverkningsanmälan</t>
        </is>
      </c>
      <c r="C410" t="inlineStr">
        <is>
          <t>Föryngringsavverkning</t>
        </is>
      </c>
      <c r="D410" s="1" t="n">
        <v>46090</v>
      </c>
      <c r="E410" s="1" t="n">
        <v>46291</v>
      </c>
      <c r="F410" t="inlineStr">
        <is>
          <t>UPPSALA LÄN</t>
        </is>
      </c>
      <c r="G410" t="inlineStr">
        <is>
          <t>UPPSALA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12770-2026</t>
        </is>
      </c>
      <c r="B411" t="inlineStr">
        <is>
          <t>avverkningsanmälan</t>
        </is>
      </c>
      <c r="C411" t="inlineStr">
        <is>
          <t>Föryngringsavverkning</t>
        </is>
      </c>
      <c r="D411" s="1" t="n">
        <v>46091</v>
      </c>
      <c r="E411" s="1" t="n">
        <v>46291</v>
      </c>
      <c r="F411" t="inlineStr">
        <is>
          <t>UPPSALA LÄN</t>
        </is>
      </c>
      <c r="G411" t="inlineStr">
        <is>
          <t>UPPSALA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12772-2026</t>
        </is>
      </c>
      <c r="B412" t="inlineStr">
        <is>
          <t>avverkningsanmälan</t>
        </is>
      </c>
      <c r="C412" t="inlineStr">
        <is>
          <t>Föryngringsavverkning</t>
        </is>
      </c>
      <c r="D412" s="1" t="n">
        <v>46091</v>
      </c>
      <c r="E412" s="1" t="n">
        <v>46291</v>
      </c>
      <c r="F412" t="inlineStr">
        <is>
          <t>UPPSALA LÄN</t>
        </is>
      </c>
      <c r="G412" t="inlineStr">
        <is>
          <t>UPPSALA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12409-2026</t>
        </is>
      </c>
      <c r="B413" t="inlineStr">
        <is>
          <t>avverkningsanmälan</t>
        </is>
      </c>
      <c r="C413" t="inlineStr">
        <is>
          <t>Föryngringsavverkning</t>
        </is>
      </c>
      <c r="D413" s="1" t="n">
        <v>46090</v>
      </c>
      <c r="E413" s="1" t="n">
        <v>46291</v>
      </c>
      <c r="F413" t="inlineStr">
        <is>
          <t>UPPSALA LÄN</t>
        </is>
      </c>
      <c r="G413" t="inlineStr">
        <is>
          <t>UPPSALA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26740-2025</t>
        </is>
      </c>
      <c r="B414" t="inlineStr">
        <is>
          <t>avverkningsanmälan</t>
        </is>
      </c>
      <c r="C414" t="inlineStr">
        <is>
          <t>Föryngringsavverkning</t>
        </is>
      </c>
      <c r="D414" s="1" t="n">
        <v>45809</v>
      </c>
      <c r="E414" s="1" t="n">
        <v>46291</v>
      </c>
      <c r="F414" t="inlineStr">
        <is>
          <t>UPPSALA LÄN</t>
        </is>
      </c>
      <c r="G414" t="inlineStr">
        <is>
          <t>UPPSALA</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12702-2026</t>
        </is>
      </c>
      <c r="B415" t="inlineStr">
        <is>
          <t>avverkningsanmälan</t>
        </is>
      </c>
      <c r="C415" t="inlineStr">
        <is>
          <t>Föryngringsavverkning</t>
        </is>
      </c>
      <c r="D415" s="1" t="n">
        <v>46091</v>
      </c>
      <c r="E415" s="1" t="n">
        <v>46291</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12769-2026</t>
        </is>
      </c>
      <c r="B416" t="inlineStr">
        <is>
          <t>avverkningsanmälan</t>
        </is>
      </c>
      <c r="C416" t="inlineStr">
        <is>
          <t>Föryngringsavverkning</t>
        </is>
      </c>
      <c r="D416" s="1" t="n">
        <v>46091</v>
      </c>
      <c r="E416" s="1" t="n">
        <v>46291</v>
      </c>
      <c r="F416" t="inlineStr">
        <is>
          <t>UPPSALA LÄN</t>
        </is>
      </c>
      <c r="G416" t="inlineStr">
        <is>
          <t>UPPSALA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12771-2026</t>
        </is>
      </c>
      <c r="B417" t="inlineStr">
        <is>
          <t>avverkningsanmälan</t>
        </is>
      </c>
      <c r="C417" t="inlineStr">
        <is>
          <t>Föryngringsavverkning</t>
        </is>
      </c>
      <c r="D417" s="1" t="n">
        <v>46091</v>
      </c>
      <c r="E417" s="1" t="n">
        <v>46291</v>
      </c>
      <c r="F417" t="inlineStr">
        <is>
          <t>UPPSALA LÄN</t>
        </is>
      </c>
      <c r="G417" t="inlineStr">
        <is>
          <t>UPPSALA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12697-2026</t>
        </is>
      </c>
      <c r="B418" t="inlineStr">
        <is>
          <t>avverkningsanmälan</t>
        </is>
      </c>
      <c r="C418" t="inlineStr">
        <is>
          <t>Föryngringsavverkning</t>
        </is>
      </c>
      <c r="D418" s="1" t="n">
        <v>46091</v>
      </c>
      <c r="E418" s="1" t="n">
        <v>46291</v>
      </c>
      <c r="F418" t="inlineStr">
        <is>
          <t>UPPSALA LÄN</t>
        </is>
      </c>
      <c r="G418" t="inlineStr">
        <is>
          <t>UPPSALA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49098-2025</t>
        </is>
      </c>
      <c r="B419" t="inlineStr">
        <is>
          <t>avverkningsanmälan</t>
        </is>
      </c>
      <c r="C419" t="inlineStr">
        <is>
          <t>Föryngringsavverkning</t>
        </is>
      </c>
      <c r="D419" s="1" t="n">
        <v>45937</v>
      </c>
      <c r="E419" s="1" t="n">
        <v>46291</v>
      </c>
      <c r="F419" t="inlineStr">
        <is>
          <t>UPPSALA LÄN</t>
        </is>
      </c>
      <c r="G419" t="inlineStr">
        <is>
          <t>UPPSALA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23494-2024</t>
        </is>
      </c>
      <c r="B420" t="inlineStr">
        <is>
          <t>avverkningsanmälan</t>
        </is>
      </c>
      <c r="C420" t="inlineStr">
        <is>
          <t>Föryngringsavverkning</t>
        </is>
      </c>
      <c r="D420" s="1" t="n">
        <v>45453</v>
      </c>
      <c r="E420" s="1" t="n">
        <v>46291</v>
      </c>
      <c r="F420" t="inlineStr">
        <is>
          <t>UPPSALA LÄN</t>
        </is>
      </c>
      <c r="G420" t="inlineStr">
        <is>
          <t>UPPSALA</t>
        </is>
      </c>
      <c r="H420" t="inlineStr">
        <is>
          <t>Kyrkan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64855-2021</t>
        </is>
      </c>
      <c r="B421" t="inlineStr">
        <is>
          <t>avverkningsanmälan</t>
        </is>
      </c>
      <c r="C421" t="inlineStr">
        <is>
          <t>Föryngringsavverkning</t>
        </is>
      </c>
      <c r="D421" s="1" t="n">
        <v>44512</v>
      </c>
      <c r="E421" s="1" t="n">
        <v>46291</v>
      </c>
      <c r="F421" t="inlineStr">
        <is>
          <t>UPPSALA LÄN</t>
        </is>
      </c>
      <c r="G421" t="inlineStr">
        <is>
          <t>UPPSALA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13075-2026</t>
        </is>
      </c>
      <c r="B422" t="inlineStr">
        <is>
          <t>avverkningsanmälan</t>
        </is>
      </c>
      <c r="C422" t="inlineStr">
        <is>
          <t>Föryngringsavverkning</t>
        </is>
      </c>
      <c r="D422" s="1" t="n">
        <v>46093</v>
      </c>
      <c r="E422" s="1" t="n">
        <v>46291</v>
      </c>
      <c r="F422" t="inlineStr">
        <is>
          <t>UPPSALA LÄN</t>
        </is>
      </c>
      <c r="G422" t="inlineStr">
        <is>
          <t>UPPSALA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49160-2025</t>
        </is>
      </c>
      <c r="B423" t="inlineStr">
        <is>
          <t>avverkningsanmälan</t>
        </is>
      </c>
      <c r="C423" t="inlineStr">
        <is>
          <t>Föryngringsavverkning</t>
        </is>
      </c>
      <c r="D423" s="1" t="n">
        <v>45938</v>
      </c>
      <c r="E423" s="1" t="n">
        <v>46291</v>
      </c>
      <c r="F423" t="inlineStr">
        <is>
          <t>UPPSALA LÄN</t>
        </is>
      </c>
      <c r="G423" t="inlineStr">
        <is>
          <t>UPPSALA</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13404-2026</t>
        </is>
      </c>
      <c r="B424" t="inlineStr">
        <is>
          <t>avverkningsanmälan</t>
        </is>
      </c>
      <c r="C424" t="inlineStr">
        <is>
          <t>Föryngringsavverkning</t>
        </is>
      </c>
      <c r="D424" s="1" t="n">
        <v>46094</v>
      </c>
      <c r="E424" s="1" t="n">
        <v>46291</v>
      </c>
      <c r="F424" t="inlineStr">
        <is>
          <t>UPPSALA LÄN</t>
        </is>
      </c>
      <c r="G424" t="inlineStr">
        <is>
          <t>UPPSALA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13485-2026</t>
        </is>
      </c>
      <c r="B425" t="inlineStr">
        <is>
          <t>avverkningsanmälan</t>
        </is>
      </c>
      <c r="C425" t="inlineStr">
        <is>
          <t>Föryngringsavverkning</t>
        </is>
      </c>
      <c r="D425" s="1" t="n">
        <v>46094</v>
      </c>
      <c r="E425" s="1" t="n">
        <v>46291</v>
      </c>
      <c r="F425" t="inlineStr">
        <is>
          <t>UPPSALA LÄN</t>
        </is>
      </c>
      <c r="G425" t="inlineStr">
        <is>
          <t>UPPSALA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13644-2024</t>
        </is>
      </c>
      <c r="B426" t="inlineStr">
        <is>
          <t>avverkningsanmälan</t>
        </is>
      </c>
      <c r="C426" t="inlineStr">
        <is>
          <t>Avverkning för annat ändamål</t>
        </is>
      </c>
      <c r="D426" s="1" t="n">
        <v>45390</v>
      </c>
      <c r="E426" s="1" t="n">
        <v>46291</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9592-2022</t>
        </is>
      </c>
      <c r="B427" t="inlineStr">
        <is>
          <t>avverkningsanmälan</t>
        </is>
      </c>
      <c r="C427" t="inlineStr">
        <is>
          <t>Föryngringsavverkning</t>
        </is>
      </c>
      <c r="D427" s="1" t="n">
        <v>44617</v>
      </c>
      <c r="E427" s="1" t="n">
        <v>46291</v>
      </c>
      <c r="F427" t="inlineStr">
        <is>
          <t>UPPSALA LÄN</t>
        </is>
      </c>
      <c r="G427" t="inlineStr">
        <is>
          <t>UPPSALA</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13337-2026</t>
        </is>
      </c>
      <c r="B428" t="inlineStr">
        <is>
          <t>avverkningsanmälan</t>
        </is>
      </c>
      <c r="C428" t="inlineStr">
        <is>
          <t>Föryngringsavverkning</t>
        </is>
      </c>
      <c r="D428" s="1" t="n">
        <v>46094</v>
      </c>
      <c r="E428" s="1" t="n">
        <v>46291</v>
      </c>
      <c r="F428" t="inlineStr">
        <is>
          <t>UPPSALA LÄN</t>
        </is>
      </c>
      <c r="G428" t="inlineStr">
        <is>
          <t>UPPSALA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13433-2026</t>
        </is>
      </c>
      <c r="B429" t="inlineStr">
        <is>
          <t>avverkningsanmälan</t>
        </is>
      </c>
      <c r="C429" t="inlineStr">
        <is>
          <t>Föryngringsavverkning</t>
        </is>
      </c>
      <c r="D429" s="1" t="n">
        <v>46094</v>
      </c>
      <c r="E429" s="1" t="n">
        <v>46291</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49940-2025</t>
        </is>
      </c>
      <c r="B430" t="inlineStr">
        <is>
          <t>avverkningsanmälan</t>
        </is>
      </c>
      <c r="C430" t="inlineStr">
        <is>
          <t>Föryngringsavverkning</t>
        </is>
      </c>
      <c r="D430" s="1" t="n">
        <v>45940</v>
      </c>
      <c r="E430" s="1" t="n">
        <v>46291</v>
      </c>
      <c r="F430" t="inlineStr">
        <is>
          <t>UPPSALA LÄN</t>
        </is>
      </c>
      <c r="G430" t="inlineStr">
        <is>
          <t>UPPSALA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13607-2026</t>
        </is>
      </c>
      <c r="B431" t="inlineStr">
        <is>
          <t>avverkningsanmälan</t>
        </is>
      </c>
      <c r="C431" t="inlineStr">
        <is>
          <t>Föryngringsavverkning</t>
        </is>
      </c>
      <c r="D431" s="1" t="n">
        <v>46097</v>
      </c>
      <c r="E431" s="1" t="n">
        <v>46291</v>
      </c>
      <c r="F431" t="inlineStr">
        <is>
          <t>UPPSALA LÄN</t>
        </is>
      </c>
      <c r="G431" t="inlineStr">
        <is>
          <t>UPPSALA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8473-2023</t>
        </is>
      </c>
      <c r="B432" t="inlineStr">
        <is>
          <t>avverkningsanmälan</t>
        </is>
      </c>
      <c r="C432" t="inlineStr">
        <is>
          <t>Avverkning för att bevara och utveckla /försöksver</t>
        </is>
      </c>
      <c r="D432" s="1" t="n">
        <v>44977</v>
      </c>
      <c r="E432" s="1" t="n">
        <v>46291</v>
      </c>
      <c r="F432" t="inlineStr">
        <is>
          <t>UPPSALA LÄN</t>
        </is>
      </c>
      <c r="G432" t="inlineStr">
        <is>
          <t>UPPSALA</t>
        </is>
      </c>
      <c r="H432" t="inlineStr">
        <is>
          <t>Holmen skog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13434-2026</t>
        </is>
      </c>
      <c r="B433" t="inlineStr">
        <is>
          <t>avverkningsanmälan</t>
        </is>
      </c>
      <c r="C433" t="inlineStr">
        <is>
          <t>Föryngringsavverkning</t>
        </is>
      </c>
      <c r="D433" s="1" t="n">
        <v>46094</v>
      </c>
      <c r="E433" s="1" t="n">
        <v>46291</v>
      </c>
      <c r="F433" t="inlineStr">
        <is>
          <t>UPPSALA LÄN</t>
        </is>
      </c>
      <c r="G433" t="inlineStr">
        <is>
          <t>UPPSALA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49990-2025</t>
        </is>
      </c>
      <c r="B434" t="inlineStr">
        <is>
          <t>avverkningsanmälan</t>
        </is>
      </c>
      <c r="C434" t="inlineStr">
        <is>
          <t>Föryngringsavverkning</t>
        </is>
      </c>
      <c r="D434" s="1" t="n">
        <v>45942</v>
      </c>
      <c r="E434" s="1" t="n">
        <v>46291</v>
      </c>
      <c r="F434" t="inlineStr">
        <is>
          <t>UPPSALA LÄN</t>
        </is>
      </c>
      <c r="G434" t="inlineStr">
        <is>
          <t>UPPSALA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13536-2026</t>
        </is>
      </c>
      <c r="B435" t="inlineStr">
        <is>
          <t>avverkningsanmälan</t>
        </is>
      </c>
      <c r="C435" t="inlineStr">
        <is>
          <t>Föryngringsavverkning</t>
        </is>
      </c>
      <c r="D435" s="1" t="n">
        <v>46094</v>
      </c>
      <c r="E435" s="1" t="n">
        <v>46291</v>
      </c>
      <c r="F435" t="inlineStr">
        <is>
          <t>UPPSALA LÄN</t>
        </is>
      </c>
      <c r="G435" t="inlineStr">
        <is>
          <t>UPPSALA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22431-2024</t>
        </is>
      </c>
      <c r="B436" t="inlineStr">
        <is>
          <t>avverkningsanmälan</t>
        </is>
      </c>
      <c r="C436" t="inlineStr">
        <is>
          <t>Föryngringsavverkning</t>
        </is>
      </c>
      <c r="D436" s="1" t="n">
        <v>45446</v>
      </c>
      <c r="E436" s="1" t="n">
        <v>46291</v>
      </c>
      <c r="F436" t="inlineStr">
        <is>
          <t>UPPSALA LÄN</t>
        </is>
      </c>
      <c r="G436" t="inlineStr">
        <is>
          <t>UPPSALA</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50232-2025</t>
        </is>
      </c>
      <c r="B437" t="inlineStr">
        <is>
          <t>avverkningsanmälan</t>
        </is>
      </c>
      <c r="C437" t="inlineStr">
        <is>
          <t>Föryngringsavverkning</t>
        </is>
      </c>
      <c r="D437" s="1" t="n">
        <v>45943</v>
      </c>
      <c r="E437" s="1" t="n">
        <v>46291</v>
      </c>
      <c r="F437" t="inlineStr">
        <is>
          <t>UPPSALA LÄN</t>
        </is>
      </c>
      <c r="G437" t="inlineStr">
        <is>
          <t>UPPSALA</t>
        </is>
      </c>
      <c r="H437" t="inlineStr">
        <is>
          <t>Holmen skog AB</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13934-2026</t>
        </is>
      </c>
      <c r="B438" t="inlineStr">
        <is>
          <t>avverkningsanmälan</t>
        </is>
      </c>
      <c r="C438" t="inlineStr">
        <is>
          <t>Föryngringsavverkning</t>
        </is>
      </c>
      <c r="D438" s="1" t="n">
        <v>46098</v>
      </c>
      <c r="E438" s="1" t="n">
        <v>46291</v>
      </c>
      <c r="F438" t="inlineStr">
        <is>
          <t>UPPSALA LÄN</t>
        </is>
      </c>
      <c r="G438" t="inlineStr">
        <is>
          <t>UPPSALA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41112-2025</t>
        </is>
      </c>
      <c r="B439" t="inlineStr">
        <is>
          <t>avverkningsanmälan</t>
        </is>
      </c>
      <c r="C439" t="inlineStr">
        <is>
          <t>Föryngringsavverkning</t>
        </is>
      </c>
      <c r="D439" s="1" t="n">
        <v>45898</v>
      </c>
      <c r="E439" s="1" t="n">
        <v>46291</v>
      </c>
      <c r="F439" t="inlineStr">
        <is>
          <t>UPPSALA LÄN</t>
        </is>
      </c>
      <c r="G439" t="inlineStr">
        <is>
          <t>UPPSALA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18677-2024</t>
        </is>
      </c>
      <c r="B440" t="inlineStr">
        <is>
          <t>avverkningsanmälan</t>
        </is>
      </c>
      <c r="C440" t="inlineStr">
        <is>
          <t>Föryngringsavverkning</t>
        </is>
      </c>
      <c r="D440" s="1" t="n">
        <v>45426</v>
      </c>
      <c r="E440" s="1" t="n">
        <v>46291</v>
      </c>
      <c r="F440" t="inlineStr">
        <is>
          <t>UPPSALA LÄN</t>
        </is>
      </c>
      <c r="G440" t="inlineStr">
        <is>
          <t>UPPSALA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11739-2023</t>
        </is>
      </c>
      <c r="B441" t="inlineStr">
        <is>
          <t>avverkningsanmälan</t>
        </is>
      </c>
      <c r="C441" t="inlineStr">
        <is>
          <t>Föryngringsavverkning</t>
        </is>
      </c>
      <c r="D441" s="1" t="n">
        <v>44993</v>
      </c>
      <c r="E441" s="1" t="n">
        <v>46291</v>
      </c>
      <c r="F441" t="inlineStr">
        <is>
          <t>UPPSALA LÄN</t>
        </is>
      </c>
      <c r="G441" t="inlineStr">
        <is>
          <t>UPPSALA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46291</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51090-2025</t>
        </is>
      </c>
      <c r="B443" t="inlineStr">
        <is>
          <t>avverkningsanmälan</t>
        </is>
      </c>
      <c r="C443" t="inlineStr">
        <is>
          <t>Föryngringsavverkning</t>
        </is>
      </c>
      <c r="D443" s="1" t="n">
        <v>45947</v>
      </c>
      <c r="E443" s="1" t="n">
        <v>46291</v>
      </c>
      <c r="F443" t="inlineStr">
        <is>
          <t>UPPSALA LÄN</t>
        </is>
      </c>
      <c r="G443" t="inlineStr">
        <is>
          <t>UPPSALA</t>
        </is>
      </c>
      <c r="H443" t="inlineStr">
        <is>
          <t>Övriga Aktiebolag</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25776-2022</t>
        </is>
      </c>
      <c r="B444" t="inlineStr">
        <is>
          <t>avverkningsanmälan</t>
        </is>
      </c>
      <c r="C444" t="inlineStr">
        <is>
          <t>Föryngringsavverkning</t>
        </is>
      </c>
      <c r="D444" s="1" t="n">
        <v>44733</v>
      </c>
      <c r="E444" s="1" t="n">
        <v>46291</v>
      </c>
      <c r="F444" t="inlineStr">
        <is>
          <t>UPPSALA LÄN</t>
        </is>
      </c>
      <c r="G444" t="inlineStr">
        <is>
          <t>UPPSALA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50949-2025</t>
        </is>
      </c>
      <c r="B445" t="inlineStr">
        <is>
          <t>avverkningsanmälan</t>
        </is>
      </c>
      <c r="C445" t="inlineStr">
        <is>
          <t>Föryngringsavverkning</t>
        </is>
      </c>
      <c r="D445" s="1" t="n">
        <v>45946</v>
      </c>
      <c r="E445" s="1" t="n">
        <v>46291</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50951-2025</t>
        </is>
      </c>
      <c r="B446" t="inlineStr">
        <is>
          <t>avverkningsanmälan</t>
        </is>
      </c>
      <c r="C446" t="inlineStr">
        <is>
          <t>Föryngringsavverkning</t>
        </is>
      </c>
      <c r="D446" s="1" t="n">
        <v>45946</v>
      </c>
      <c r="E446" s="1" t="n">
        <v>46291</v>
      </c>
      <c r="F446" t="inlineStr">
        <is>
          <t>UPPSALA LÄN</t>
        </is>
      </c>
      <c r="G446" t="inlineStr">
        <is>
          <t>UPPSALA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51505-2025</t>
        </is>
      </c>
      <c r="B447" t="inlineStr">
        <is>
          <t>avverkningsanmälan</t>
        </is>
      </c>
      <c r="C447" t="inlineStr">
        <is>
          <t>Föryngringsavverkning</t>
        </is>
      </c>
      <c r="D447" s="1" t="n">
        <v>45950</v>
      </c>
      <c r="E447" s="1" t="n">
        <v>46291</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51275-2025</t>
        </is>
      </c>
      <c r="B448" t="inlineStr">
        <is>
          <t>avverkningsanmälan</t>
        </is>
      </c>
      <c r="C448" t="inlineStr">
        <is>
          <t>Avverkning för annat ändamål</t>
        </is>
      </c>
      <c r="D448" s="1" t="n">
        <v>45949</v>
      </c>
      <c r="E448" s="1" t="n">
        <v>46291</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51493-2025</t>
        </is>
      </c>
      <c r="B449" t="inlineStr">
        <is>
          <t>avverkningsanmälan</t>
        </is>
      </c>
      <c r="C449" t="inlineStr">
        <is>
          <t>Avverkning för att bevara och utveckla /försöksver</t>
        </is>
      </c>
      <c r="D449" s="1" t="n">
        <v>45950</v>
      </c>
      <c r="E449" s="1" t="n">
        <v>46291</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11568-2023</t>
        </is>
      </c>
      <c r="B450" t="inlineStr">
        <is>
          <t>avverkningsanmälan</t>
        </is>
      </c>
      <c r="C450" t="inlineStr">
        <is>
          <t>Föryngringsavverkning</t>
        </is>
      </c>
      <c r="D450" s="1" t="n">
        <v>44994</v>
      </c>
      <c r="E450" s="1" t="n">
        <v>46291</v>
      </c>
      <c r="F450" t="inlineStr">
        <is>
          <t>UPPSALA LÄN</t>
        </is>
      </c>
      <c r="G450" t="inlineStr">
        <is>
          <t>UPPSALA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27265-2025</t>
        </is>
      </c>
      <c r="B451" t="inlineStr">
        <is>
          <t>avverkningsanmälan</t>
        </is>
      </c>
      <c r="C451" t="inlineStr">
        <is>
          <t>Föryngringsavverkning</t>
        </is>
      </c>
      <c r="D451" s="1" t="n">
        <v>45812</v>
      </c>
      <c r="E451" s="1" t="n">
        <v>46291</v>
      </c>
      <c r="F451" t="inlineStr">
        <is>
          <t>UPPSALA LÄN</t>
        </is>
      </c>
      <c r="G451" t="inlineStr">
        <is>
          <t>UPPSALA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16126-2022</t>
        </is>
      </c>
      <c r="B452" t="inlineStr">
        <is>
          <t>avverkningsanmälan</t>
        </is>
      </c>
      <c r="C452" t="inlineStr">
        <is>
          <t>Föryngringsavverkning</t>
        </is>
      </c>
      <c r="D452" s="1" t="n">
        <v>44665</v>
      </c>
      <c r="E452" s="1" t="n">
        <v>46291</v>
      </c>
      <c r="F452" t="inlineStr">
        <is>
          <t>UPPSALA LÄN</t>
        </is>
      </c>
      <c r="G452" t="inlineStr">
        <is>
          <t>UPPSALA</t>
        </is>
      </c>
      <c r="H452" t="inlineStr">
        <is>
          <t>Bergvik skog öst AB</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21935-2023</t>
        </is>
      </c>
      <c r="B453" t="inlineStr">
        <is>
          <t>avverkningsanmälan</t>
        </is>
      </c>
      <c r="C453" t="inlineStr">
        <is>
          <t>Föryngringsavverkning</t>
        </is>
      </c>
      <c r="D453" s="1" t="n">
        <v>45068</v>
      </c>
      <c r="E453" s="1" t="n">
        <v>46291</v>
      </c>
      <c r="F453" t="inlineStr">
        <is>
          <t>UPPSALA LÄN</t>
        </is>
      </c>
      <c r="G453" t="inlineStr">
        <is>
          <t>UPPSALA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15935-2026</t>
        </is>
      </c>
      <c r="B454" t="inlineStr">
        <is>
          <t>avverkningsanmälan</t>
        </is>
      </c>
      <c r="C454" t="inlineStr">
        <is>
          <t>Föryngringsavverkning</t>
        </is>
      </c>
      <c r="D454" s="1" t="n">
        <v>46107</v>
      </c>
      <c r="E454" s="1" t="n">
        <v>46291</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15940-2026</t>
        </is>
      </c>
      <c r="B455" t="inlineStr">
        <is>
          <t>avverkningsanmälan</t>
        </is>
      </c>
      <c r="C455" t="inlineStr">
        <is>
          <t>Föryngringsavverkning</t>
        </is>
      </c>
      <c r="D455" s="1" t="n">
        <v>46107</v>
      </c>
      <c r="E455" s="1" t="n">
        <v>46291</v>
      </c>
      <c r="F455" t="inlineStr">
        <is>
          <t>UPPSALA LÄN</t>
        </is>
      </c>
      <c r="G455" t="inlineStr">
        <is>
          <t>UPPSALA</t>
        </is>
      </c>
      <c r="I455" t="n">
        <v>19.9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15753-2026</t>
        </is>
      </c>
      <c r="B456" t="inlineStr">
        <is>
          <t>avverkningsanmälan</t>
        </is>
      </c>
      <c r="C456" t="inlineStr">
        <is>
          <t>Föryngringsavverkning</t>
        </is>
      </c>
      <c r="D456" s="1" t="n">
        <v>46107</v>
      </c>
      <c r="E456" s="1" t="n">
        <v>46291</v>
      </c>
      <c r="F456" t="inlineStr">
        <is>
          <t>UPPSALA LÄN</t>
        </is>
      </c>
      <c r="G456" t="inlineStr">
        <is>
          <t>UPPSALA</t>
        </is>
      </c>
      <c r="H456" t="inlineStr">
        <is>
          <t>Allmännings- och besparingsskogar</t>
        </is>
      </c>
      <c r="I456" t="n">
        <v>2.7</v>
      </c>
      <c r="J456" t="n">
        <v>0</v>
      </c>
      <c r="K456" t="n">
        <v>0</v>
      </c>
      <c r="L456" t="n">
        <v>0</v>
      </c>
      <c r="M456" t="n">
        <v>0</v>
      </c>
      <c r="N456" t="n">
        <v>0</v>
      </c>
      <c r="O456" t="n">
        <v>0</v>
      </c>
      <c r="P456" t="n">
        <v>0</v>
      </c>
      <c r="Q456" t="n">
        <v>0</v>
      </c>
      <c r="R456" t="n">
        <v>0</v>
      </c>
      <c r="S456" t="n">
        <v>0</v>
      </c>
      <c r="T456" t="n">
        <v>0</v>
      </c>
      <c r="U456" t="n">
        <v>0</v>
      </c>
      <c r="V456" s="2" t="inlineStr"/>
      <c r="Z456">
        <f>HYPERLINK("https://klasma.github.io/Logging_0380/knärot/A 15753-2026 karta knärot.png", "A 15753-2026")</f>
        <v/>
      </c>
      <c r="AA456">
        <f>HYPERLINK("https://klasma.github.io/Logging_0380/klagomål/A 15753-2026 FSC-klagomål.docx", "A 15753-2026")</f>
        <v/>
      </c>
      <c r="AB456">
        <f>HYPERLINK("https://klasma.github.io/Logging_0380/klagomålsmail/A 15753-2026 FSC-klagomål mail.docx", "A 15753-2026")</f>
        <v/>
      </c>
      <c r="AC456">
        <f>HYPERLINK("https://klasma.github.io/Logging_0380/tillsyn/A 15753-2026 tillsynsbegäran.docx", "A 15753-2026")</f>
        <v/>
      </c>
      <c r="AD456">
        <f>HYPERLINK("https://klasma.github.io/Logging_0380/tillsynsmail/A 15753-2026 tillsynsbegäran mail.docx", "A 15753-2026")</f>
        <v/>
      </c>
    </row>
    <row r="457" ht="15" customHeight="1">
      <c r="A457" t="inlineStr">
        <is>
          <t>A 52517-2025</t>
        </is>
      </c>
      <c r="B457" t="inlineStr">
        <is>
          <t>avverkningsanmälan</t>
        </is>
      </c>
      <c r="C457" t="inlineStr">
        <is>
          <t>Föryngringsavverkning</t>
        </is>
      </c>
      <c r="D457" s="1" t="n">
        <v>45954</v>
      </c>
      <c r="E457" s="1" t="n">
        <v>46291</v>
      </c>
      <c r="F457" t="inlineStr">
        <is>
          <t>UPPSALA LÄN</t>
        </is>
      </c>
      <c r="G457" t="inlineStr">
        <is>
          <t>UPPSALA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16396-2026</t>
        </is>
      </c>
      <c r="B458" t="inlineStr">
        <is>
          <t>avverkningsanmälan</t>
        </is>
      </c>
      <c r="C458" t="inlineStr">
        <is>
          <t>Föryngringsavverkning</t>
        </is>
      </c>
      <c r="D458" s="1" t="n">
        <v>46111</v>
      </c>
      <c r="E458" s="1" t="n">
        <v>46291</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16403-2026</t>
        </is>
      </c>
      <c r="B459" t="inlineStr">
        <is>
          <t>avverkningsanmälan</t>
        </is>
      </c>
      <c r="C459" t="inlineStr">
        <is>
          <t>Föryngringsavverkning</t>
        </is>
      </c>
      <c r="D459" s="1" t="n">
        <v>46111</v>
      </c>
      <c r="E459" s="1" t="n">
        <v>46291</v>
      </c>
      <c r="F459" t="inlineStr">
        <is>
          <t>UPPSALA LÄN</t>
        </is>
      </c>
      <c r="G459" t="inlineStr">
        <is>
          <t>UPPSALA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52523-2025</t>
        </is>
      </c>
      <c r="B460" t="inlineStr">
        <is>
          <t>avverkningsanmälan</t>
        </is>
      </c>
      <c r="C460" t="inlineStr">
        <is>
          <t>Föryngringsavverkning</t>
        </is>
      </c>
      <c r="D460" s="1" t="n">
        <v>45954</v>
      </c>
      <c r="E460" s="1" t="n">
        <v>46291</v>
      </c>
      <c r="F460" t="inlineStr">
        <is>
          <t>UPPSALA LÄN</t>
        </is>
      </c>
      <c r="G460" t="inlineStr">
        <is>
          <t>UPPSALA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52429-2025</t>
        </is>
      </c>
      <c r="B461" t="inlineStr">
        <is>
          <t>avverkningsanmälan</t>
        </is>
      </c>
      <c r="C461" t="inlineStr">
        <is>
          <t>Föryngringsavverkning</t>
        </is>
      </c>
      <c r="D461" s="1" t="n">
        <v>45954</v>
      </c>
      <c r="E461" s="1" t="n">
        <v>46291</v>
      </c>
      <c r="F461" t="inlineStr">
        <is>
          <t>UPPSALA LÄN</t>
        </is>
      </c>
      <c r="G461" t="inlineStr">
        <is>
          <t>UPPSALA</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9914-2024</t>
        </is>
      </c>
      <c r="B462" t="inlineStr">
        <is>
          <t>avverkningsanmälan</t>
        </is>
      </c>
      <c r="C462" t="inlineStr">
        <is>
          <t>Föryngringsavverkning</t>
        </is>
      </c>
      <c r="D462" s="1" t="n">
        <v>45363</v>
      </c>
      <c r="E462" s="1" t="n">
        <v>46291</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16390-2026</t>
        </is>
      </c>
      <c r="B463" t="inlineStr">
        <is>
          <t>avverkningsanmälan</t>
        </is>
      </c>
      <c r="C463" t="inlineStr">
        <is>
          <t>Föryngringsavverkning</t>
        </is>
      </c>
      <c r="D463" s="1" t="n">
        <v>46111</v>
      </c>
      <c r="E463" s="1" t="n">
        <v>46291</v>
      </c>
      <c r="F463" t="inlineStr">
        <is>
          <t>UPPSALA LÄN</t>
        </is>
      </c>
      <c r="G463" t="inlineStr">
        <is>
          <t>UPPSALA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46291</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7002-2023</t>
        </is>
      </c>
      <c r="B465" t="inlineStr">
        <is>
          <t>avverkningsanmälan</t>
        </is>
      </c>
      <c r="C465" t="inlineStr">
        <is>
          <t>Föryngringsavverkning</t>
        </is>
      </c>
      <c r="D465" s="1" t="n">
        <v>44967</v>
      </c>
      <c r="E465" s="1" t="n">
        <v>46291</v>
      </c>
      <c r="F465" t="inlineStr">
        <is>
          <t>UPPSALA LÄN</t>
        </is>
      </c>
      <c r="G465" t="inlineStr">
        <is>
          <t>UPPSALA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16139-2026</t>
        </is>
      </c>
      <c r="B466" t="inlineStr">
        <is>
          <t>avverkningsanmälan</t>
        </is>
      </c>
      <c r="C466" t="inlineStr">
        <is>
          <t>Föryngringsavverkning</t>
        </is>
      </c>
      <c r="D466" s="1" t="n">
        <v>46108</v>
      </c>
      <c r="E466" s="1" t="n">
        <v>46291</v>
      </c>
      <c r="F466" t="inlineStr">
        <is>
          <t>UPPSALA LÄN</t>
        </is>
      </c>
      <c r="G466" t="inlineStr">
        <is>
          <t>UPPSALA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367-2023</t>
        </is>
      </c>
      <c r="B467" t="inlineStr">
        <is>
          <t>avverkningsanmälan</t>
        </is>
      </c>
      <c r="C467" t="inlineStr">
        <is>
          <t>Föryngringsavverkning</t>
        </is>
      </c>
      <c r="D467" s="1" t="n">
        <v>44929</v>
      </c>
      <c r="E467" s="1" t="n">
        <v>46291</v>
      </c>
      <c r="F467" t="inlineStr">
        <is>
          <t>UPPSALA LÄN</t>
        </is>
      </c>
      <c r="G467" t="inlineStr">
        <is>
          <t>UPPSALA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53230-2025</t>
        </is>
      </c>
      <c r="B468" t="inlineStr">
        <is>
          <t>avverkningsanmälan</t>
        </is>
      </c>
      <c r="C468" t="inlineStr">
        <is>
          <t>Föryngringsavverkning</t>
        </is>
      </c>
      <c r="D468" s="1" t="n">
        <v>45958</v>
      </c>
      <c r="E468" s="1" t="n">
        <v>46291</v>
      </c>
      <c r="F468" t="inlineStr">
        <is>
          <t>UPPSALA LÄN</t>
        </is>
      </c>
      <c r="G468" t="inlineStr">
        <is>
          <t>UPPSALA</t>
        </is>
      </c>
      <c r="H468" t="inlineStr">
        <is>
          <t>Bergvik skog väst AB</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53242-2025</t>
        </is>
      </c>
      <c r="B469" t="inlineStr">
        <is>
          <t>avverkningsanmälan</t>
        </is>
      </c>
      <c r="C469" t="inlineStr">
        <is>
          <t>Föryngringsavverkning</t>
        </is>
      </c>
      <c r="D469" s="1" t="n">
        <v>45958</v>
      </c>
      <c r="E469" s="1" t="n">
        <v>46291</v>
      </c>
      <c r="F469" t="inlineStr">
        <is>
          <t>UPPSALA LÄN</t>
        </is>
      </c>
      <c r="G469" t="inlineStr">
        <is>
          <t>UPPSALA</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53234-2025</t>
        </is>
      </c>
      <c r="B470" t="inlineStr">
        <is>
          <t>avverkningsanmälan</t>
        </is>
      </c>
      <c r="C470" t="inlineStr">
        <is>
          <t>Föryngringsavverkning</t>
        </is>
      </c>
      <c r="D470" s="1" t="n">
        <v>45958</v>
      </c>
      <c r="E470" s="1" t="n">
        <v>46291</v>
      </c>
      <c r="F470" t="inlineStr">
        <is>
          <t>UPPSALA LÄN</t>
        </is>
      </c>
      <c r="G470" t="inlineStr">
        <is>
          <t>UPPSALA</t>
        </is>
      </c>
      <c r="H470" t="inlineStr">
        <is>
          <t>Bergvik skog väst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53235-2025</t>
        </is>
      </c>
      <c r="B471" t="inlineStr">
        <is>
          <t>avverkningsanmälan</t>
        </is>
      </c>
      <c r="C471" t="inlineStr">
        <is>
          <t>Föryngringsavverkning</t>
        </is>
      </c>
      <c r="D471" s="1" t="n">
        <v>45958</v>
      </c>
      <c r="E471" s="1" t="n">
        <v>46291</v>
      </c>
      <c r="F471" t="inlineStr">
        <is>
          <t>UPPSALA LÄN</t>
        </is>
      </c>
      <c r="G471" t="inlineStr">
        <is>
          <t>UPPSALA</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53228-2025</t>
        </is>
      </c>
      <c r="B472" t="inlineStr">
        <is>
          <t>avverkningsanmälan</t>
        </is>
      </c>
      <c r="C472" t="inlineStr">
        <is>
          <t>Föryngringsavverkning</t>
        </is>
      </c>
      <c r="D472" s="1" t="n">
        <v>45958</v>
      </c>
      <c r="E472" s="1" t="n">
        <v>46291</v>
      </c>
      <c r="F472" t="inlineStr">
        <is>
          <t>UPPSALA LÄN</t>
        </is>
      </c>
      <c r="G472" t="inlineStr">
        <is>
          <t>UPPSALA</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53238-2025</t>
        </is>
      </c>
      <c r="B473" t="inlineStr">
        <is>
          <t>avverkningsanmälan</t>
        </is>
      </c>
      <c r="C473" t="inlineStr">
        <is>
          <t>Föryngringsavverkning</t>
        </is>
      </c>
      <c r="D473" s="1" t="n">
        <v>45958</v>
      </c>
      <c r="E473" s="1" t="n">
        <v>46291</v>
      </c>
      <c r="F473" t="inlineStr">
        <is>
          <t>UPPSALA LÄN</t>
        </is>
      </c>
      <c r="G473" t="inlineStr">
        <is>
          <t>UPPSALA</t>
        </is>
      </c>
      <c r="H473" t="inlineStr">
        <is>
          <t>Bergvik skog väst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12414-2025</t>
        </is>
      </c>
      <c r="B474" t="inlineStr">
        <is>
          <t>avverkningsanmälan</t>
        </is>
      </c>
      <c r="C474" t="inlineStr">
        <is>
          <t>Föryngringsavverkning</t>
        </is>
      </c>
      <c r="D474" s="1" t="n">
        <v>45730</v>
      </c>
      <c r="E474" s="1" t="n">
        <v>46291</v>
      </c>
      <c r="F474" t="inlineStr">
        <is>
          <t>UPPSALA LÄN</t>
        </is>
      </c>
      <c r="G474" t="inlineStr">
        <is>
          <t>UPPSALA</t>
        </is>
      </c>
      <c r="H474" t="inlineStr">
        <is>
          <t>Övriga statliga verk och myndigheter</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17131-2026</t>
        </is>
      </c>
      <c r="B475" t="inlineStr">
        <is>
          <t>avverkningsanmälan</t>
        </is>
      </c>
      <c r="C475" t="inlineStr">
        <is>
          <t>Föryngringsavverkning</t>
        </is>
      </c>
      <c r="D475" s="1" t="n">
        <v>46114</v>
      </c>
      <c r="E475" s="1" t="n">
        <v>46291</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53365-2024</t>
        </is>
      </c>
      <c r="B476" t="inlineStr">
        <is>
          <t>avverkningsanmälan</t>
        </is>
      </c>
      <c r="C476" t="inlineStr">
        <is>
          <t>Föryngringsavverkning</t>
        </is>
      </c>
      <c r="D476" s="1" t="n">
        <v>45614</v>
      </c>
      <c r="E476" s="1" t="n">
        <v>46291</v>
      </c>
      <c r="F476" t="inlineStr">
        <is>
          <t>UPPSALA LÄN</t>
        </is>
      </c>
      <c r="G476" t="inlineStr">
        <is>
          <t>UPPSALA</t>
        </is>
      </c>
      <c r="H476" t="inlineStr">
        <is>
          <t>Allmännings- och besparingsskogar</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17217-2026</t>
        </is>
      </c>
      <c r="B477" t="inlineStr">
        <is>
          <t>avverkningsanmälan</t>
        </is>
      </c>
      <c r="C477" t="inlineStr">
        <is>
          <t>Föryngringsavverkning</t>
        </is>
      </c>
      <c r="D477" s="1" t="n">
        <v>46119</v>
      </c>
      <c r="E477" s="1" t="n">
        <v>46291</v>
      </c>
      <c r="F477" t="inlineStr">
        <is>
          <t>UPPSALA LÄN</t>
        </is>
      </c>
      <c r="G477" t="inlineStr">
        <is>
          <t>UPPSALA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17218-2026</t>
        </is>
      </c>
      <c r="B478" t="inlineStr">
        <is>
          <t>avverkningsanmälan</t>
        </is>
      </c>
      <c r="C478" t="inlineStr">
        <is>
          <t>Föryngringsavverkning</t>
        </is>
      </c>
      <c r="D478" s="1" t="n">
        <v>46119</v>
      </c>
      <c r="E478" s="1" t="n">
        <v>46291</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53423-2025</t>
        </is>
      </c>
      <c r="B479" t="inlineStr">
        <is>
          <t>avverkningsanmälan</t>
        </is>
      </c>
      <c r="C479" t="inlineStr">
        <is>
          <t>Föryngringsavverkning</t>
        </is>
      </c>
      <c r="D479" s="1" t="n">
        <v>45959</v>
      </c>
      <c r="E479" s="1" t="n">
        <v>46291</v>
      </c>
      <c r="F479" t="inlineStr">
        <is>
          <t>UPPSALA LÄN</t>
        </is>
      </c>
      <c r="G479" t="inlineStr">
        <is>
          <t>UPPSALA</t>
        </is>
      </c>
      <c r="H479" t="inlineStr">
        <is>
          <t>Övriga Aktiebolag</t>
        </is>
      </c>
      <c r="I479" t="n">
        <v>23.6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18443-2023</t>
        </is>
      </c>
      <c r="B480" t="inlineStr">
        <is>
          <t>avverkningsanmälan</t>
        </is>
      </c>
      <c r="C480" t="inlineStr">
        <is>
          <t>Föryngringsavverkning</t>
        </is>
      </c>
      <c r="D480" s="1" t="n">
        <v>45042</v>
      </c>
      <c r="E480" s="1" t="n">
        <v>46291</v>
      </c>
      <c r="F480" t="inlineStr">
        <is>
          <t>UPPSALA LÄN</t>
        </is>
      </c>
      <c r="G480" t="inlineStr">
        <is>
          <t>UPPSALA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8090-2022</t>
        </is>
      </c>
      <c r="B481" t="inlineStr">
        <is>
          <t>avverkningsanmälan</t>
        </is>
      </c>
      <c r="C481" t="inlineStr">
        <is>
          <t>Föryngringsavverkning</t>
        </is>
      </c>
      <c r="D481" s="1" t="n">
        <v>44608</v>
      </c>
      <c r="E481" s="1" t="n">
        <v>46291</v>
      </c>
      <c r="F481" t="inlineStr">
        <is>
          <t>UPPSALA LÄN</t>
        </is>
      </c>
      <c r="G481" t="inlineStr">
        <is>
          <t>UPPSALA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53891-2025</t>
        </is>
      </c>
      <c r="B482" t="inlineStr">
        <is>
          <t>avverkningsanmälan</t>
        </is>
      </c>
      <c r="C482" t="inlineStr">
        <is>
          <t>Föryngringsavverkning</t>
        </is>
      </c>
      <c r="D482" s="1" t="n">
        <v>45961</v>
      </c>
      <c r="E482" s="1" t="n">
        <v>46291</v>
      </c>
      <c r="F482" t="inlineStr">
        <is>
          <t>UPPSALA LÄN</t>
        </is>
      </c>
      <c r="G482" t="inlineStr">
        <is>
          <t>UPPSALA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53886-2025</t>
        </is>
      </c>
      <c r="B483" t="inlineStr">
        <is>
          <t>avverkningsanmälan</t>
        </is>
      </c>
      <c r="C483" t="inlineStr">
        <is>
          <t>Föryngringsavverkning</t>
        </is>
      </c>
      <c r="D483" s="1" t="n">
        <v>45961</v>
      </c>
      <c r="E483" s="1" t="n">
        <v>46291</v>
      </c>
      <c r="F483" t="inlineStr">
        <is>
          <t>UPPSALA LÄN</t>
        </is>
      </c>
      <c r="G483" t="inlineStr">
        <is>
          <t>UPPSALA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60047-2022</t>
        </is>
      </c>
      <c r="B484" t="inlineStr">
        <is>
          <t>avverkningsanmälan</t>
        </is>
      </c>
      <c r="C484" t="inlineStr">
        <is>
          <t>Föryngringsavverkning</t>
        </is>
      </c>
      <c r="D484" s="1" t="n">
        <v>44909</v>
      </c>
      <c r="E484" s="1" t="n">
        <v>46291</v>
      </c>
      <c r="F484" t="inlineStr">
        <is>
          <t>UPPSALA LÄN</t>
        </is>
      </c>
      <c r="G484" t="inlineStr">
        <is>
          <t>UPPSALA</t>
        </is>
      </c>
      <c r="H484" t="inlineStr">
        <is>
          <t>Kyrkan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17899-2026</t>
        </is>
      </c>
      <c r="B485" t="inlineStr">
        <is>
          <t>avverkningsanmälan</t>
        </is>
      </c>
      <c r="C485" t="inlineStr">
        <is>
          <t>Föryngringsavverkning</t>
        </is>
      </c>
      <c r="D485" s="1" t="n">
        <v>46122</v>
      </c>
      <c r="E485" s="1" t="n">
        <v>46291</v>
      </c>
      <c r="F485" t="inlineStr">
        <is>
          <t>UPPSALA LÄN</t>
        </is>
      </c>
      <c r="G485" t="inlineStr">
        <is>
          <t>UPPSALA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29799-2023</t>
        </is>
      </c>
      <c r="B486" t="inlineStr">
        <is>
          <t>avverkningsanmälan</t>
        </is>
      </c>
      <c r="C486" t="inlineStr">
        <is>
          <t>Avverkning för att bevara och utveckla /försöksver</t>
        </is>
      </c>
      <c r="D486" s="1" t="n">
        <v>45107</v>
      </c>
      <c r="E486" s="1" t="n">
        <v>46291</v>
      </c>
      <c r="F486" t="inlineStr">
        <is>
          <t>UPPSALA LÄN</t>
        </is>
      </c>
      <c r="G486" t="inlineStr">
        <is>
          <t>UPPSALA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54393-2025</t>
        </is>
      </c>
      <c r="B487" t="inlineStr">
        <is>
          <t>avverkningsanmälan</t>
        </is>
      </c>
      <c r="C487" t="inlineStr">
        <is>
          <t>Föryngringsavverkning</t>
        </is>
      </c>
      <c r="D487" s="1" t="n">
        <v>45965</v>
      </c>
      <c r="E487" s="1" t="n">
        <v>46291</v>
      </c>
      <c r="F487" t="inlineStr">
        <is>
          <t>UPPSALA LÄN</t>
        </is>
      </c>
      <c r="G487" t="inlineStr">
        <is>
          <t>UPPSALA</t>
        </is>
      </c>
      <c r="H487" t="inlineStr">
        <is>
          <t>Kyrkan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25462-2023</t>
        </is>
      </c>
      <c r="B488" t="inlineStr">
        <is>
          <t>avverkningsanmälan</t>
        </is>
      </c>
      <c r="C488" t="inlineStr">
        <is>
          <t>Föryngringsavverkning</t>
        </is>
      </c>
      <c r="D488" s="1" t="n">
        <v>45089</v>
      </c>
      <c r="E488" s="1" t="n">
        <v>46291</v>
      </c>
      <c r="F488" t="inlineStr">
        <is>
          <t>UPPSALA LÄN</t>
        </is>
      </c>
      <c r="G488" t="inlineStr">
        <is>
          <t>UPPSALA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55357-2025</t>
        </is>
      </c>
      <c r="B489" t="inlineStr">
        <is>
          <t>avverkningsanmälan</t>
        </is>
      </c>
      <c r="C489" t="inlineStr">
        <is>
          <t>Föryngringsavverkning</t>
        </is>
      </c>
      <c r="D489" s="1" t="n">
        <v>45971</v>
      </c>
      <c r="E489" s="1" t="n">
        <v>46291</v>
      </c>
      <c r="F489" t="inlineStr">
        <is>
          <t>UPPSALA LÄN</t>
        </is>
      </c>
      <c r="G489" t="inlineStr">
        <is>
          <t>UPPSALA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10489-2025</t>
        </is>
      </c>
      <c r="B490" t="inlineStr">
        <is>
          <t>avverkningsanmälan</t>
        </is>
      </c>
      <c r="C490" t="inlineStr">
        <is>
          <t>Föryngringsavverkning</t>
        </is>
      </c>
      <c r="D490" s="1" t="n">
        <v>45721</v>
      </c>
      <c r="E490" s="1" t="n">
        <v>46291</v>
      </c>
      <c r="F490" t="inlineStr">
        <is>
          <t>UPPSALA LÄN</t>
        </is>
      </c>
      <c r="G490" t="inlineStr">
        <is>
          <t>UPPSALA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55594-2025</t>
        </is>
      </c>
      <c r="B491" t="inlineStr">
        <is>
          <t>avverkningsanmälan</t>
        </is>
      </c>
      <c r="C491" t="inlineStr">
        <is>
          <t>Föryngringsavverkning</t>
        </is>
      </c>
      <c r="D491" s="1" t="n">
        <v>45971</v>
      </c>
      <c r="E491" s="1" t="n">
        <v>46291</v>
      </c>
      <c r="F491" t="inlineStr">
        <is>
          <t>UPPSALA LÄN</t>
        </is>
      </c>
      <c r="G491" t="inlineStr">
        <is>
          <t>UPPSALA</t>
        </is>
      </c>
      <c r="H491" t="inlineStr">
        <is>
          <t>Allmännings- och besparingsskogar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55732-2025</t>
        </is>
      </c>
      <c r="B492" t="inlineStr">
        <is>
          <t>avverkningsanmälan</t>
        </is>
      </c>
      <c r="C492" t="inlineStr">
        <is>
          <t>Föryngringsavverkning</t>
        </is>
      </c>
      <c r="D492" s="1" t="n">
        <v>45972</v>
      </c>
      <c r="E492" s="1" t="n">
        <v>46291</v>
      </c>
      <c r="F492" t="inlineStr">
        <is>
          <t>UPPSALA LÄN</t>
        </is>
      </c>
      <c r="G492" t="inlineStr">
        <is>
          <t>UPPSALA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56620-2025</t>
        </is>
      </c>
      <c r="B493" t="inlineStr">
        <is>
          <t>avverkningsanmälan</t>
        </is>
      </c>
      <c r="C493" t="inlineStr">
        <is>
          <t>Föryngringsavverkning</t>
        </is>
      </c>
      <c r="D493" s="1" t="n">
        <v>45975</v>
      </c>
      <c r="E493" s="1" t="n">
        <v>46291</v>
      </c>
      <c r="F493" t="inlineStr">
        <is>
          <t>UPPSALA LÄN</t>
        </is>
      </c>
      <c r="G493" t="inlineStr">
        <is>
          <t>UPPSALA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56656-2025</t>
        </is>
      </c>
      <c r="B494" t="inlineStr">
        <is>
          <t>avverkningsanmälan</t>
        </is>
      </c>
      <c r="C494" t="inlineStr">
        <is>
          <t>Föryngringsavverkning</t>
        </is>
      </c>
      <c r="D494" s="1" t="n">
        <v>45975</v>
      </c>
      <c r="E494" s="1" t="n">
        <v>46291</v>
      </c>
      <c r="F494" t="inlineStr">
        <is>
          <t>UPPSALA LÄN</t>
        </is>
      </c>
      <c r="G494" t="inlineStr">
        <is>
          <t>UPPSALA</t>
        </is>
      </c>
      <c r="H494" t="inlineStr">
        <is>
          <t>Övriga Aktiebolag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56466-2025</t>
        </is>
      </c>
      <c r="B495" t="inlineStr">
        <is>
          <t>avverkningsanmälan</t>
        </is>
      </c>
      <c r="C495" t="inlineStr">
        <is>
          <t>Föryngringsavverkning</t>
        </is>
      </c>
      <c r="D495" s="1" t="n">
        <v>45975</v>
      </c>
      <c r="E495" s="1" t="n">
        <v>46291</v>
      </c>
      <c r="F495" t="inlineStr">
        <is>
          <t>UPPSALA LÄN</t>
        </is>
      </c>
      <c r="G495" t="inlineStr">
        <is>
          <t>UPPSALA</t>
        </is>
      </c>
      <c r="H495" t="inlineStr">
        <is>
          <t>Holmen skog AB</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19257-2026</t>
        </is>
      </c>
      <c r="B496" t="inlineStr">
        <is>
          <t>avverkningsanmälan</t>
        </is>
      </c>
      <c r="C496" t="inlineStr">
        <is>
          <t>Föryngringsavverkning</t>
        </is>
      </c>
      <c r="D496" s="1" t="n">
        <v>46132</v>
      </c>
      <c r="E496" s="1" t="n">
        <v>46291</v>
      </c>
      <c r="F496" t="inlineStr">
        <is>
          <t>UPPSALA LÄN</t>
        </is>
      </c>
      <c r="G496" t="inlineStr">
        <is>
          <t>UPPSALA</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19229-2026</t>
        </is>
      </c>
      <c r="B497" t="inlineStr">
        <is>
          <t>avverkningsanmälan</t>
        </is>
      </c>
      <c r="C497" t="inlineStr">
        <is>
          <t>Föryngringsavverkning</t>
        </is>
      </c>
      <c r="D497" s="1" t="n">
        <v>46132</v>
      </c>
      <c r="E497" s="1" t="n">
        <v>46291</v>
      </c>
      <c r="F497" t="inlineStr">
        <is>
          <t>UPPSALA LÄN</t>
        </is>
      </c>
      <c r="G497" t="inlineStr">
        <is>
          <t>UPPSALA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19342-2026</t>
        </is>
      </c>
      <c r="B498" t="inlineStr">
        <is>
          <t>avverkningsanmälan</t>
        </is>
      </c>
      <c r="C498" t="inlineStr">
        <is>
          <t>Föryngringsavverkning</t>
        </is>
      </c>
      <c r="D498" s="1" t="n">
        <v>46133</v>
      </c>
      <c r="E498" s="1" t="n">
        <v>46291</v>
      </c>
      <c r="F498" t="inlineStr">
        <is>
          <t>UPPSALA LÄN</t>
        </is>
      </c>
      <c r="G498" t="inlineStr">
        <is>
          <t>UPPSALA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19264-2026</t>
        </is>
      </c>
      <c r="B499" t="inlineStr">
        <is>
          <t>avverkningsanmälan</t>
        </is>
      </c>
      <c r="C499" t="inlineStr">
        <is>
          <t>Föryngringsavverkning</t>
        </is>
      </c>
      <c r="D499" s="1" t="n">
        <v>46132</v>
      </c>
      <c r="E499" s="1" t="n">
        <v>46291</v>
      </c>
      <c r="F499" t="inlineStr">
        <is>
          <t>UPPSALA LÄN</t>
        </is>
      </c>
      <c r="G499" t="inlineStr">
        <is>
          <t>UPPSALA</t>
        </is>
      </c>
      <c r="H499" t="inlineStr">
        <is>
          <t>Bergvik skog öst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19263-2026</t>
        </is>
      </c>
      <c r="B500" t="inlineStr">
        <is>
          <t>avverkningsanmälan</t>
        </is>
      </c>
      <c r="C500" t="inlineStr">
        <is>
          <t>Föryngringsavverkning</t>
        </is>
      </c>
      <c r="D500" s="1" t="n">
        <v>46132</v>
      </c>
      <c r="E500" s="1" t="n">
        <v>46291</v>
      </c>
      <c r="F500" t="inlineStr">
        <is>
          <t>UPPSALA LÄN</t>
        </is>
      </c>
      <c r="G500" t="inlineStr">
        <is>
          <t>UPPSALA</t>
        </is>
      </c>
      <c r="H500" t="inlineStr">
        <is>
          <t>Bergvik skog öst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58104-2025</t>
        </is>
      </c>
      <c r="B501" t="inlineStr">
        <is>
          <t>avverkningsanmälan</t>
        </is>
      </c>
      <c r="C501" t="inlineStr">
        <is>
          <t>Föryngringsavverkning</t>
        </is>
      </c>
      <c r="D501" s="1" t="n">
        <v>45982</v>
      </c>
      <c r="E501" s="1" t="n">
        <v>46291</v>
      </c>
      <c r="F501" t="inlineStr">
        <is>
          <t>UPPSALA LÄN</t>
        </is>
      </c>
      <c r="G501" t="inlineStr">
        <is>
          <t>UPPSALA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57796-2025</t>
        </is>
      </c>
      <c r="B502" t="inlineStr">
        <is>
          <t>avverkningsanmälan</t>
        </is>
      </c>
      <c r="C502" t="inlineStr">
        <is>
          <t>Föryngringsavverkning</t>
        </is>
      </c>
      <c r="D502" s="1" t="n">
        <v>45981</v>
      </c>
      <c r="E502" s="1" t="n">
        <v>46291</v>
      </c>
      <c r="F502" t="inlineStr">
        <is>
          <t>UPPSALA LÄN</t>
        </is>
      </c>
      <c r="G502" t="inlineStr">
        <is>
          <t>UPPSALA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57827-2025</t>
        </is>
      </c>
      <c r="B503" t="inlineStr">
        <is>
          <t>avverkningsanmälan</t>
        </is>
      </c>
      <c r="C503" t="inlineStr">
        <is>
          <t>Föryngringsavverkning</t>
        </is>
      </c>
      <c r="D503" s="1" t="n">
        <v>45981</v>
      </c>
      <c r="E503" s="1" t="n">
        <v>46291</v>
      </c>
      <c r="F503" t="inlineStr">
        <is>
          <t>UPPSALA LÄN</t>
        </is>
      </c>
      <c r="G503" t="inlineStr">
        <is>
          <t>UPPSALA</t>
        </is>
      </c>
      <c r="H503" t="inlineStr">
        <is>
          <t>Kyrkan</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57836-2025</t>
        </is>
      </c>
      <c r="B504" t="inlineStr">
        <is>
          <t>avverkningsanmälan</t>
        </is>
      </c>
      <c r="C504" t="inlineStr">
        <is>
          <t>Föryngringsavverkning</t>
        </is>
      </c>
      <c r="D504" s="1" t="n">
        <v>45981</v>
      </c>
      <c r="E504" s="1" t="n">
        <v>46291</v>
      </c>
      <c r="F504" t="inlineStr">
        <is>
          <t>UPPSALA LÄN</t>
        </is>
      </c>
      <c r="G504" t="inlineStr">
        <is>
          <t>UPPSALA</t>
        </is>
      </c>
      <c r="H504" t="inlineStr">
        <is>
          <t>Kyrkan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19265-2026</t>
        </is>
      </c>
      <c r="B505" t="inlineStr">
        <is>
          <t>avverkningsanmälan</t>
        </is>
      </c>
      <c r="C505" t="inlineStr">
        <is>
          <t>Föryngringsavverkning</t>
        </is>
      </c>
      <c r="D505" s="1" t="n">
        <v>46132</v>
      </c>
      <c r="E505" s="1" t="n">
        <v>46291</v>
      </c>
      <c r="F505" t="inlineStr">
        <is>
          <t>UPPSALA LÄN</t>
        </is>
      </c>
      <c r="G505" t="inlineStr">
        <is>
          <t>UPPSALA</t>
        </is>
      </c>
      <c r="H505" t="inlineStr">
        <is>
          <t>Bergvik skog öst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53206-2025</t>
        </is>
      </c>
      <c r="B506" t="inlineStr">
        <is>
          <t>avverkningsanmälan</t>
        </is>
      </c>
      <c r="C506" t="inlineStr">
        <is>
          <t>Föryngringsavverkning</t>
        </is>
      </c>
      <c r="D506" s="1" t="n">
        <v>45958</v>
      </c>
      <c r="E506" s="1" t="n">
        <v>46291</v>
      </c>
      <c r="F506" t="inlineStr">
        <is>
          <t>UPPSALA LÄN</t>
        </is>
      </c>
      <c r="G506" t="inlineStr">
        <is>
          <t>UPPSALA</t>
        </is>
      </c>
      <c r="H506" t="inlineStr">
        <is>
          <t>Bergvik skog väst AB</t>
        </is>
      </c>
      <c r="I506" t="n">
        <v>18.6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57789-2025</t>
        </is>
      </c>
      <c r="B507" t="inlineStr">
        <is>
          <t>avverkningsanmälan</t>
        </is>
      </c>
      <c r="C507" t="inlineStr">
        <is>
          <t>Föryngringsavverkning</t>
        </is>
      </c>
      <c r="D507" s="1" t="n">
        <v>45981</v>
      </c>
      <c r="E507" s="1" t="n">
        <v>46291</v>
      </c>
      <c r="F507" t="inlineStr">
        <is>
          <t>UPPSALA LÄN</t>
        </is>
      </c>
      <c r="G507" t="inlineStr">
        <is>
          <t>UPPSALA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49463-2025</t>
        </is>
      </c>
      <c r="B508" t="inlineStr">
        <is>
          <t>avverkningsanmälan</t>
        </is>
      </c>
      <c r="C508" t="inlineStr">
        <is>
          <t>Föryngringsavverkning</t>
        </is>
      </c>
      <c r="D508" s="1" t="n">
        <v>45939</v>
      </c>
      <c r="E508" s="1" t="n">
        <v>46291</v>
      </c>
      <c r="F508" t="inlineStr">
        <is>
          <t>UPPSALA LÄN</t>
        </is>
      </c>
      <c r="G508" t="inlineStr">
        <is>
          <t>UPPSALA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58193-2025</t>
        </is>
      </c>
      <c r="B509" t="inlineStr">
        <is>
          <t>avverkningsanmälan</t>
        </is>
      </c>
      <c r="C509" t="inlineStr">
        <is>
          <t>Föryngringsavverkning</t>
        </is>
      </c>
      <c r="D509" s="1" t="n">
        <v>45983</v>
      </c>
      <c r="E509" s="1" t="n">
        <v>46291</v>
      </c>
      <c r="F509" t="inlineStr">
        <is>
          <t>UPPSALA LÄN</t>
        </is>
      </c>
      <c r="G509" t="inlineStr">
        <is>
          <t>UPPSALA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31157-2023</t>
        </is>
      </c>
      <c r="B510" t="inlineStr">
        <is>
          <t>avverkningsanmälan</t>
        </is>
      </c>
      <c r="C510" t="inlineStr">
        <is>
          <t>Föryngringsavverkning</t>
        </is>
      </c>
      <c r="D510" s="1" t="n">
        <v>45113</v>
      </c>
      <c r="E510" s="1" t="n">
        <v>46291</v>
      </c>
      <c r="F510" t="inlineStr">
        <is>
          <t>UPPSALA LÄN</t>
        </is>
      </c>
      <c r="G510" t="inlineStr">
        <is>
          <t>UPPSALA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31161-2023</t>
        </is>
      </c>
      <c r="B511" t="inlineStr">
        <is>
          <t>avverkningsanmälan</t>
        </is>
      </c>
      <c r="C511" t="inlineStr">
        <is>
          <t>Föryngringsavverkning</t>
        </is>
      </c>
      <c r="D511" s="1" t="n">
        <v>45113</v>
      </c>
      <c r="E511" s="1" t="n">
        <v>46291</v>
      </c>
      <c r="F511" t="inlineStr">
        <is>
          <t>UPPSALA LÄN</t>
        </is>
      </c>
      <c r="G511" t="inlineStr">
        <is>
          <t>UPPSALA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38034-2025</t>
        </is>
      </c>
      <c r="B512" t="inlineStr">
        <is>
          <t>avverkningsanmälan</t>
        </is>
      </c>
      <c r="C512" t="inlineStr">
        <is>
          <t>Föryngringsavverkning</t>
        </is>
      </c>
      <c r="D512" s="1" t="n">
        <v>45882</v>
      </c>
      <c r="E512" s="1" t="n">
        <v>46291</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17593-2025</t>
        </is>
      </c>
      <c r="B513" t="inlineStr">
        <is>
          <t>avverkningsanmälan</t>
        </is>
      </c>
      <c r="C513" t="inlineStr">
        <is>
          <t>Föryngringsavverkning</t>
        </is>
      </c>
      <c r="D513" s="1" t="n">
        <v>45757</v>
      </c>
      <c r="E513" s="1" t="n">
        <v>46291</v>
      </c>
      <c r="F513" t="inlineStr">
        <is>
          <t>UPPSALA LÄN</t>
        </is>
      </c>
      <c r="G513" t="inlineStr">
        <is>
          <t>UPPSALA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59207-2025</t>
        </is>
      </c>
      <c r="B514" t="inlineStr">
        <is>
          <t>avverkningsanmälan</t>
        </is>
      </c>
      <c r="C514" t="inlineStr">
        <is>
          <t>Föryngringsavverkning</t>
        </is>
      </c>
      <c r="D514" s="1" t="n">
        <v>45988</v>
      </c>
      <c r="E514" s="1" t="n">
        <v>46291</v>
      </c>
      <c r="F514" t="inlineStr">
        <is>
          <t>UPPSALA LÄN</t>
        </is>
      </c>
      <c r="G514" t="inlineStr">
        <is>
          <t>UPPSALA</t>
        </is>
      </c>
      <c r="H514" t="inlineStr">
        <is>
          <t>Kyrkan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17596-2025</t>
        </is>
      </c>
      <c r="B515" t="inlineStr">
        <is>
          <t>avverkningsanmälan</t>
        </is>
      </c>
      <c r="C515" t="inlineStr">
        <is>
          <t>Föryngringsavverkning</t>
        </is>
      </c>
      <c r="D515" s="1" t="n">
        <v>45757</v>
      </c>
      <c r="E515" s="1" t="n">
        <v>46291</v>
      </c>
      <c r="F515" t="inlineStr">
        <is>
          <t>UPPSALA LÄN</t>
        </is>
      </c>
      <c r="G515" t="inlineStr">
        <is>
          <t>UPPSALA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19885-2026</t>
        </is>
      </c>
      <c r="B516" t="inlineStr">
        <is>
          <t>avverkningsanmälan</t>
        </is>
      </c>
      <c r="C516" t="inlineStr">
        <is>
          <t>Avverkning för annat ändamål</t>
        </is>
      </c>
      <c r="D516" s="1" t="n">
        <v>46135</v>
      </c>
      <c r="E516" s="1" t="n">
        <v>46291</v>
      </c>
      <c r="F516" t="inlineStr">
        <is>
          <t>UPPSALA LÄN</t>
        </is>
      </c>
      <c r="G516" t="inlineStr">
        <is>
          <t>UPPSALA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59779-2025</t>
        </is>
      </c>
      <c r="B517" t="inlineStr">
        <is>
          <t>avverkningsanmälan</t>
        </is>
      </c>
      <c r="C517" t="inlineStr">
        <is>
          <t>Föryngringsavverkning</t>
        </is>
      </c>
      <c r="D517" s="1" t="n">
        <v>45992</v>
      </c>
      <c r="E517" s="1" t="n">
        <v>46291</v>
      </c>
      <c r="F517" t="inlineStr">
        <is>
          <t>UPPSALA LÄN</t>
        </is>
      </c>
      <c r="G517" t="inlineStr">
        <is>
          <t>UPPSALA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59688-2025</t>
        </is>
      </c>
      <c r="B518" t="inlineStr">
        <is>
          <t>avverkningsanmälan</t>
        </is>
      </c>
      <c r="C518" t="inlineStr">
        <is>
          <t>Föryngringsavverkning</t>
        </is>
      </c>
      <c r="D518" s="1" t="n">
        <v>45992</v>
      </c>
      <c r="E518" s="1" t="n">
        <v>46291</v>
      </c>
      <c r="F518" t="inlineStr">
        <is>
          <t>UPPSALA LÄN</t>
        </is>
      </c>
      <c r="G518" t="inlineStr">
        <is>
          <t>UPPSALA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13128-2022</t>
        </is>
      </c>
      <c r="B519" t="inlineStr">
        <is>
          <t>avverkningsanmälan</t>
        </is>
      </c>
      <c r="C519" t="inlineStr">
        <is>
          <t>Föryngringsavverkning</t>
        </is>
      </c>
      <c r="D519" s="1" t="n">
        <v>44644</v>
      </c>
      <c r="E519" s="1" t="n">
        <v>46291</v>
      </c>
      <c r="F519" t="inlineStr">
        <is>
          <t>UPPSALA LÄN</t>
        </is>
      </c>
      <c r="G519" t="inlineStr">
        <is>
          <t>UPPSALA</t>
        </is>
      </c>
      <c r="H519" t="inlineStr">
        <is>
          <t>Övriga Aktiebolag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39529-2025</t>
        </is>
      </c>
      <c r="B520" t="inlineStr">
        <is>
          <t>avverkningsanmälan</t>
        </is>
      </c>
      <c r="C520" t="inlineStr">
        <is>
          <t>Föryngringsavverkning</t>
        </is>
      </c>
      <c r="D520" s="1" t="n">
        <v>45890</v>
      </c>
      <c r="E520" s="1" t="n">
        <v>46291</v>
      </c>
      <c r="F520" t="inlineStr">
        <is>
          <t>UPPSALA LÄN</t>
        </is>
      </c>
      <c r="G520" t="inlineStr">
        <is>
          <t>UPPSALA</t>
        </is>
      </c>
      <c r="H520" t="inlineStr">
        <is>
          <t>Allmännings- och besparingsskogar</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5814-2026</t>
        </is>
      </c>
      <c r="B521" t="inlineStr">
        <is>
          <t>avverkningsanmälan</t>
        </is>
      </c>
      <c r="C521" t="inlineStr">
        <is>
          <t>Föryngringsavverkning</t>
        </is>
      </c>
      <c r="D521" s="1" t="n">
        <v>46051</v>
      </c>
      <c r="E521" s="1" t="n">
        <v>46291</v>
      </c>
      <c r="F521" t="inlineStr">
        <is>
          <t>UPPSALA LÄN</t>
        </is>
      </c>
      <c r="G521" t="inlineStr">
        <is>
          <t>UPPSALA</t>
        </is>
      </c>
      <c r="H521" t="inlineStr">
        <is>
          <t>Kommuner</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60356-2025</t>
        </is>
      </c>
      <c r="B522" t="inlineStr">
        <is>
          <t>avverkningsanmälan</t>
        </is>
      </c>
      <c r="C522" t="inlineStr">
        <is>
          <t>Föryngringsavverkning</t>
        </is>
      </c>
      <c r="D522" s="1" t="n">
        <v>45995</v>
      </c>
      <c r="E522" s="1" t="n">
        <v>46291</v>
      </c>
      <c r="F522" t="inlineStr">
        <is>
          <t>UPPSALA LÄN</t>
        </is>
      </c>
      <c r="G522" t="inlineStr">
        <is>
          <t>UPPSALA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35978-2025</t>
        </is>
      </c>
      <c r="B523" t="inlineStr">
        <is>
          <t>avverkningsanmälan</t>
        </is>
      </c>
      <c r="C523" t="inlineStr">
        <is>
          <t>Föryngringsavverkning</t>
        </is>
      </c>
      <c r="D523" s="1" t="n">
        <v>45863</v>
      </c>
      <c r="E523" s="1" t="n">
        <v>46291</v>
      </c>
      <c r="F523" t="inlineStr">
        <is>
          <t>UPPSALA LÄN</t>
        </is>
      </c>
      <c r="G523" t="inlineStr">
        <is>
          <t>UPPSALA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60512-2025</t>
        </is>
      </c>
      <c r="B524" t="inlineStr">
        <is>
          <t>avverkningsanmälan</t>
        </is>
      </c>
      <c r="C524" t="inlineStr">
        <is>
          <t>Föryngringsavverkning</t>
        </is>
      </c>
      <c r="D524" s="1" t="n">
        <v>45995</v>
      </c>
      <c r="E524" s="1" t="n">
        <v>46291</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37352-2025</t>
        </is>
      </c>
      <c r="B525" t="inlineStr">
        <is>
          <t>avverkningsanmälan</t>
        </is>
      </c>
      <c r="C525" t="inlineStr">
        <is>
          <t>Föryngringsavverkning</t>
        </is>
      </c>
      <c r="D525" s="1" t="n">
        <v>45876</v>
      </c>
      <c r="E525" s="1" t="n">
        <v>46291</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6541-2025</t>
        </is>
      </c>
      <c r="B526" t="inlineStr">
        <is>
          <t>avverkningsanmälan</t>
        </is>
      </c>
      <c r="C526" t="inlineStr">
        <is>
          <t>Föryngringsavverkning</t>
        </is>
      </c>
      <c r="D526" s="1" t="n">
        <v>45699</v>
      </c>
      <c r="E526" s="1" t="n">
        <v>46291</v>
      </c>
      <c r="F526" t="inlineStr">
        <is>
          <t>UPPSALA LÄN</t>
        </is>
      </c>
      <c r="G526" t="inlineStr">
        <is>
          <t>UPPSALA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49937-2025</t>
        </is>
      </c>
      <c r="B527" t="inlineStr">
        <is>
          <t>avverkningsanmälan</t>
        </is>
      </c>
      <c r="C527" t="inlineStr">
        <is>
          <t>Föryngringsavverkning</t>
        </is>
      </c>
      <c r="D527" s="1" t="n">
        <v>45940</v>
      </c>
      <c r="E527" s="1" t="n">
        <v>46291</v>
      </c>
      <c r="F527" t="inlineStr">
        <is>
          <t>UPPSALA LÄN</t>
        </is>
      </c>
      <c r="G527" t="inlineStr">
        <is>
          <t>UPPSALA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6012-2025</t>
        </is>
      </c>
      <c r="B528" t="inlineStr">
        <is>
          <t>avverkningsanmälan</t>
        </is>
      </c>
      <c r="C528" t="inlineStr">
        <is>
          <t>Föryngringsavverkning</t>
        </is>
      </c>
      <c r="D528" s="1" t="n">
        <v>45695</v>
      </c>
      <c r="E528" s="1" t="n">
        <v>46291</v>
      </c>
      <c r="F528" t="inlineStr">
        <is>
          <t>UPPSALA LÄN</t>
        </is>
      </c>
      <c r="G528" t="inlineStr">
        <is>
          <t>UPPSALA</t>
        </is>
      </c>
      <c r="H528" t="inlineStr">
        <is>
          <t>Övriga Aktiebolag</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63307-2021</t>
        </is>
      </c>
      <c r="B529" t="inlineStr">
        <is>
          <t>avverkningsanmälan</t>
        </is>
      </c>
      <c r="C529" t="inlineStr">
        <is>
          <t>Föryngringsavverkning</t>
        </is>
      </c>
      <c r="D529" s="1" t="n">
        <v>44508</v>
      </c>
      <c r="E529" s="1" t="n">
        <v>46291</v>
      </c>
      <c r="F529" t="inlineStr">
        <is>
          <t>UPPSALA LÄN</t>
        </is>
      </c>
      <c r="G529" t="inlineStr">
        <is>
          <t>UPPSALA</t>
        </is>
      </c>
      <c r="H529" t="inlineStr">
        <is>
          <t>Bergvik skog öst AB</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66690-2021</t>
        </is>
      </c>
      <c r="B530" t="inlineStr">
        <is>
          <t>avverkningsanmälan</t>
        </is>
      </c>
      <c r="C530" t="inlineStr">
        <is>
          <t>Föryngringsavverkning</t>
        </is>
      </c>
      <c r="D530" s="1" t="n">
        <v>44519</v>
      </c>
      <c r="E530" s="1" t="n">
        <v>46291</v>
      </c>
      <c r="F530" t="inlineStr">
        <is>
          <t>UPPSALA LÄN</t>
        </is>
      </c>
      <c r="G530" t="inlineStr">
        <is>
          <t>UPPSALA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19345-2025</t>
        </is>
      </c>
      <c r="B531" t="inlineStr">
        <is>
          <t>avverkningsanmälan</t>
        </is>
      </c>
      <c r="C531" t="inlineStr">
        <is>
          <t>Föryngringsavverkning</t>
        </is>
      </c>
      <c r="D531" s="1" t="n">
        <v>45769</v>
      </c>
      <c r="E531" s="1" t="n">
        <v>46291</v>
      </c>
      <c r="F531" t="inlineStr">
        <is>
          <t>UPPSALA LÄN</t>
        </is>
      </c>
      <c r="G531" t="inlineStr">
        <is>
          <t>UPPSALA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58965-2025</t>
        </is>
      </c>
      <c r="B532" t="inlineStr">
        <is>
          <t>avverkningsanmälan</t>
        </is>
      </c>
      <c r="C532" t="inlineStr">
        <is>
          <t>Avverkning för annat ändamål</t>
        </is>
      </c>
      <c r="D532" s="1" t="n">
        <v>45987</v>
      </c>
      <c r="E532" s="1" t="n">
        <v>46291</v>
      </c>
      <c r="F532" t="inlineStr">
        <is>
          <t>UPPSALA LÄN</t>
        </is>
      </c>
      <c r="G532" t="inlineStr">
        <is>
          <t>UPPSALA</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28121-2025</t>
        </is>
      </c>
      <c r="B533" t="inlineStr">
        <is>
          <t>avverkningsanmälan</t>
        </is>
      </c>
      <c r="C533" t="inlineStr">
        <is>
          <t>Föryngringsavverkning</t>
        </is>
      </c>
      <c r="D533" s="1" t="n">
        <v>45817</v>
      </c>
      <c r="E533" s="1" t="n">
        <v>46291</v>
      </c>
      <c r="F533" t="inlineStr">
        <is>
          <t>UPPSALA LÄN</t>
        </is>
      </c>
      <c r="G533" t="inlineStr">
        <is>
          <t>UPPSALA</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27912-2023</t>
        </is>
      </c>
      <c r="B534" t="inlineStr">
        <is>
          <t>avverkningsanmälan</t>
        </is>
      </c>
      <c r="C534" t="inlineStr">
        <is>
          <t>Föryngringsavverkning</t>
        </is>
      </c>
      <c r="D534" s="1" t="n">
        <v>45098</v>
      </c>
      <c r="E534" s="1" t="n">
        <v>46291</v>
      </c>
      <c r="F534" t="inlineStr">
        <is>
          <t>UPPSALA LÄN</t>
        </is>
      </c>
      <c r="G534" t="inlineStr">
        <is>
          <t>UPPSALA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5764-2025</t>
        </is>
      </c>
      <c r="B535" t="inlineStr">
        <is>
          <t>avverkningsanmälan</t>
        </is>
      </c>
      <c r="C535" t="inlineStr">
        <is>
          <t>Avverkning för att bevara och utveckla /försöksver</t>
        </is>
      </c>
      <c r="D535" s="1" t="n">
        <v>45694</v>
      </c>
      <c r="E535" s="1" t="n">
        <v>46291</v>
      </c>
      <c r="F535" t="inlineStr">
        <is>
          <t>UPPSALA LÄN</t>
        </is>
      </c>
      <c r="G535" t="inlineStr">
        <is>
          <t>UPPSALA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40100-2022</t>
        </is>
      </c>
      <c r="B536" t="inlineStr">
        <is>
          <t>avverkningsanmälan</t>
        </is>
      </c>
      <c r="C536" t="inlineStr">
        <is>
          <t>Föryngringsavverkning</t>
        </is>
      </c>
      <c r="D536" s="1" t="n">
        <v>44820</v>
      </c>
      <c r="E536" s="1" t="n">
        <v>46291</v>
      </c>
      <c r="F536" t="inlineStr">
        <is>
          <t>UPPSALA LÄN</t>
        </is>
      </c>
      <c r="G536" t="inlineStr">
        <is>
          <t>UPPSALA</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21727-2023</t>
        </is>
      </c>
      <c r="B537" t="inlineStr">
        <is>
          <t>avverkningsanmälan</t>
        </is>
      </c>
      <c r="C537" t="inlineStr">
        <is>
          <t>Föryngringsavverkning</t>
        </is>
      </c>
      <c r="D537" s="1" t="n">
        <v>45065</v>
      </c>
      <c r="E537" s="1" t="n">
        <v>46291</v>
      </c>
      <c r="F537" t="inlineStr">
        <is>
          <t>UPPSALA LÄN</t>
        </is>
      </c>
      <c r="G537" t="inlineStr">
        <is>
          <t>UPPSALA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57770-2025</t>
        </is>
      </c>
      <c r="B538" t="inlineStr">
        <is>
          <t>avverkningsanmälan</t>
        </is>
      </c>
      <c r="C538" t="inlineStr">
        <is>
          <t>Föryngringsavverkning</t>
        </is>
      </c>
      <c r="D538" s="1" t="n">
        <v>45981</v>
      </c>
      <c r="E538" s="1" t="n">
        <v>46291</v>
      </c>
      <c r="F538" t="inlineStr">
        <is>
          <t>UPPSALA LÄN</t>
        </is>
      </c>
      <c r="G538" t="inlineStr">
        <is>
          <t>UPPSALA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27922-2025</t>
        </is>
      </c>
      <c r="B539" t="inlineStr">
        <is>
          <t>avverkningsanmälan</t>
        </is>
      </c>
      <c r="C539" t="inlineStr">
        <is>
          <t>Avverkning för annat ändamål</t>
        </is>
      </c>
      <c r="D539" s="1" t="n">
        <v>45817</v>
      </c>
      <c r="E539" s="1" t="n">
        <v>46291</v>
      </c>
      <c r="F539" t="inlineStr">
        <is>
          <t>UPPSALA LÄN</t>
        </is>
      </c>
      <c r="G539" t="inlineStr">
        <is>
          <t>UPPSALA</t>
        </is>
      </c>
      <c r="H539" t="inlineStr">
        <is>
          <t>Övriga Aktiebolag</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35155-2025</t>
        </is>
      </c>
      <c r="B540" t="inlineStr">
        <is>
          <t>avverkningsanmälan</t>
        </is>
      </c>
      <c r="C540" t="inlineStr">
        <is>
          <t>Föryngringsavverkning</t>
        </is>
      </c>
      <c r="D540" s="1" t="n">
        <v>45852</v>
      </c>
      <c r="E540" s="1" t="n">
        <v>46291</v>
      </c>
      <c r="F540" t="inlineStr">
        <is>
          <t>UPPSALA LÄN</t>
        </is>
      </c>
      <c r="G540" t="inlineStr">
        <is>
          <t>UPPSALA</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69698-2021</t>
        </is>
      </c>
      <c r="B541" t="inlineStr">
        <is>
          <t>avverkningsanmälan</t>
        </is>
      </c>
      <c r="C541" t="inlineStr">
        <is>
          <t>Föryngringsavverkning</t>
        </is>
      </c>
      <c r="D541" s="1" t="n">
        <v>44532</v>
      </c>
      <c r="E541" s="1" t="n">
        <v>46291</v>
      </c>
      <c r="F541" t="inlineStr">
        <is>
          <t>UPPSALA LÄN</t>
        </is>
      </c>
      <c r="G541" t="inlineStr">
        <is>
          <t>UPPSALA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32479-2025</t>
        </is>
      </c>
      <c r="B542" t="inlineStr">
        <is>
          <t>avverkningsanmälan</t>
        </is>
      </c>
      <c r="C542" t="inlineStr">
        <is>
          <t>Föryngringsavverkning</t>
        </is>
      </c>
      <c r="D542" s="1" t="n">
        <v>45838</v>
      </c>
      <c r="E542" s="1" t="n">
        <v>46291</v>
      </c>
      <c r="F542" t="inlineStr">
        <is>
          <t>UPPSALA LÄN</t>
        </is>
      </c>
      <c r="G542" t="inlineStr">
        <is>
          <t>UPPSALA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24098-2024</t>
        </is>
      </c>
      <c r="B543" t="inlineStr">
        <is>
          <t>avverkningsanmälan</t>
        </is>
      </c>
      <c r="C543" t="inlineStr">
        <is>
          <t>Föryngringsavverkning</t>
        </is>
      </c>
      <c r="D543" s="1" t="n">
        <v>45456</v>
      </c>
      <c r="E543" s="1" t="n">
        <v>46291</v>
      </c>
      <c r="F543" t="inlineStr">
        <is>
          <t>UPPSALA LÄN</t>
        </is>
      </c>
      <c r="G543" t="inlineStr">
        <is>
          <t>UPPSALA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20102-2023</t>
        </is>
      </c>
      <c r="B544" t="inlineStr">
        <is>
          <t>avverkningsanmälan</t>
        </is>
      </c>
      <c r="C544" t="inlineStr">
        <is>
          <t>Föryngringsavverkning</t>
        </is>
      </c>
      <c r="D544" s="1" t="n">
        <v>45054</v>
      </c>
      <c r="E544" s="1" t="n">
        <v>46291</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54724-2025</t>
        </is>
      </c>
      <c r="B545" t="inlineStr">
        <is>
          <t>avverkningsanmälan</t>
        </is>
      </c>
      <c r="C545" t="inlineStr">
        <is>
          <t>Föryngringsavverkning</t>
        </is>
      </c>
      <c r="D545" s="1" t="n">
        <v>45966</v>
      </c>
      <c r="E545" s="1" t="n">
        <v>46291</v>
      </c>
      <c r="F545" t="inlineStr">
        <is>
          <t>UPPSALA LÄN</t>
        </is>
      </c>
      <c r="G545" t="inlineStr">
        <is>
          <t>UPPSALA</t>
        </is>
      </c>
      <c r="H545" t="inlineStr">
        <is>
          <t>Bergvik skog öst AB</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19017-2023</t>
        </is>
      </c>
      <c r="B546" t="inlineStr">
        <is>
          <t>avverkningsanmälan</t>
        </is>
      </c>
      <c r="C546" t="inlineStr">
        <is>
          <t>Föryngringsavverkning</t>
        </is>
      </c>
      <c r="D546" s="1" t="n">
        <v>45047</v>
      </c>
      <c r="E546" s="1" t="n">
        <v>46291</v>
      </c>
      <c r="F546" t="inlineStr">
        <is>
          <t>UPPSALA LÄN</t>
        </is>
      </c>
      <c r="G546" t="inlineStr">
        <is>
          <t>UPPSALA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55862-2022</t>
        </is>
      </c>
      <c r="B547" t="inlineStr">
        <is>
          <t>avverkningsanmälan</t>
        </is>
      </c>
      <c r="C547" t="inlineStr">
        <is>
          <t>Föryngringsavverkning</t>
        </is>
      </c>
      <c r="D547" s="1" t="n">
        <v>44888</v>
      </c>
      <c r="E547" s="1" t="n">
        <v>46291</v>
      </c>
      <c r="F547" t="inlineStr">
        <is>
          <t>UPPSALA LÄN</t>
        </is>
      </c>
      <c r="G547" t="inlineStr">
        <is>
          <t>UPPSALA</t>
        </is>
      </c>
      <c r="H547" t="inlineStr">
        <is>
          <t>Bergvik skog öst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41444-2025</t>
        </is>
      </c>
      <c r="B548" t="inlineStr">
        <is>
          <t>avverkningsanmälan</t>
        </is>
      </c>
      <c r="C548" t="inlineStr">
        <is>
          <t>Föryngringsavverkning</t>
        </is>
      </c>
      <c r="D548" s="1" t="n">
        <v>45901</v>
      </c>
      <c r="E548" s="1" t="n">
        <v>46291</v>
      </c>
      <c r="F548" t="inlineStr">
        <is>
          <t>UPPSALA LÄN</t>
        </is>
      </c>
      <c r="G548" t="inlineStr">
        <is>
          <t>UPPSALA</t>
        </is>
      </c>
      <c r="H548" t="inlineStr">
        <is>
          <t>Kyrkan</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29047-2025</t>
        </is>
      </c>
      <c r="B549" t="inlineStr">
        <is>
          <t>avverkningsanmälan</t>
        </is>
      </c>
      <c r="C549" t="inlineStr">
        <is>
          <t>Föryngringsavverkning</t>
        </is>
      </c>
      <c r="D549" s="1" t="n">
        <v>45821</v>
      </c>
      <c r="E549" s="1" t="n">
        <v>46291</v>
      </c>
      <c r="F549" t="inlineStr">
        <is>
          <t>UPPSALA LÄN</t>
        </is>
      </c>
      <c r="G549" t="inlineStr">
        <is>
          <t>UPPSALA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29030-2025</t>
        </is>
      </c>
      <c r="B550" t="inlineStr">
        <is>
          <t>avverkningsanmälan</t>
        </is>
      </c>
      <c r="C550" t="inlineStr">
        <is>
          <t>Föryngringsavverkning</t>
        </is>
      </c>
      <c r="D550" s="1" t="n">
        <v>45821</v>
      </c>
      <c r="E550" s="1" t="n">
        <v>46291</v>
      </c>
      <c r="F550" t="inlineStr">
        <is>
          <t>UPPSALA LÄN</t>
        </is>
      </c>
      <c r="G550" t="inlineStr">
        <is>
          <t>UPPSALA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20499-2026</t>
        </is>
      </c>
      <c r="B551" t="inlineStr">
        <is>
          <t>avverkningsanmälan</t>
        </is>
      </c>
      <c r="C551" t="inlineStr">
        <is>
          <t>Föryngringsavverkning</t>
        </is>
      </c>
      <c r="D551" s="1" t="n">
        <v>46140</v>
      </c>
      <c r="E551" s="1" t="n">
        <v>46291</v>
      </c>
      <c r="F551" t="inlineStr">
        <is>
          <t>UPPSALA LÄN</t>
        </is>
      </c>
      <c r="G551" t="inlineStr">
        <is>
          <t>UPPSALA</t>
        </is>
      </c>
      <c r="H551" t="inlineStr">
        <is>
          <t>Allmännings- och besparingsskogar</t>
        </is>
      </c>
      <c r="I551" t="n">
        <v>13.5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33191-2023</t>
        </is>
      </c>
      <c r="B552" t="inlineStr">
        <is>
          <t>avverkningsanmälan</t>
        </is>
      </c>
      <c r="C552" t="inlineStr">
        <is>
          <t>Föryngringsavverkning</t>
        </is>
      </c>
      <c r="D552" s="1" t="n">
        <v>45127</v>
      </c>
      <c r="E552" s="1" t="n">
        <v>46291</v>
      </c>
      <c r="F552" t="inlineStr">
        <is>
          <t>UPPSALA LÄN</t>
        </is>
      </c>
      <c r="G552" t="inlineStr">
        <is>
          <t>UPPSALA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19139-2023</t>
        </is>
      </c>
      <c r="B553" t="inlineStr">
        <is>
          <t>avverkningsanmälan</t>
        </is>
      </c>
      <c r="C553" t="inlineStr">
        <is>
          <t>Föryngringsavverkning</t>
        </is>
      </c>
      <c r="D553" s="1" t="n">
        <v>45048</v>
      </c>
      <c r="E553" s="1" t="n">
        <v>46291</v>
      </c>
      <c r="F553" t="inlineStr">
        <is>
          <t>UPPSALA LÄN</t>
        </is>
      </c>
      <c r="G553" t="inlineStr">
        <is>
          <t>UPPSALA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37759-2025</t>
        </is>
      </c>
      <c r="B554" t="inlineStr">
        <is>
          <t>avverkningsanmälan</t>
        </is>
      </c>
      <c r="C554" t="inlineStr">
        <is>
          <t>Föryngringsavverkning</t>
        </is>
      </c>
      <c r="D554" s="1" t="n">
        <v>45880</v>
      </c>
      <c r="E554" s="1" t="n">
        <v>46291</v>
      </c>
      <c r="F554" t="inlineStr">
        <is>
          <t>UPPSALA LÄN</t>
        </is>
      </c>
      <c r="G554" t="inlineStr">
        <is>
          <t>UPPSALA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43-2024</t>
        </is>
      </c>
      <c r="B555" t="inlineStr">
        <is>
          <t>avverkningsanmälan</t>
        </is>
      </c>
      <c r="C555" t="inlineStr">
        <is>
          <t>Föryngringsavverkning</t>
        </is>
      </c>
      <c r="D555" s="1" t="n">
        <v>45293</v>
      </c>
      <c r="E555" s="1" t="n">
        <v>46291</v>
      </c>
      <c r="F555" t="inlineStr">
        <is>
          <t>UPPSALA LÄN</t>
        </is>
      </c>
      <c r="G555" t="inlineStr">
        <is>
          <t>UPPSALA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46807-2022</t>
        </is>
      </c>
      <c r="B556" t="inlineStr">
        <is>
          <t>avverkningsanmälan</t>
        </is>
      </c>
      <c r="C556" t="inlineStr">
        <is>
          <t>Föryngringsavverkning</t>
        </is>
      </c>
      <c r="D556" s="1" t="n">
        <v>44848</v>
      </c>
      <c r="E556" s="1" t="n">
        <v>46291</v>
      </c>
      <c r="F556" t="inlineStr">
        <is>
          <t>UPPSALA LÄN</t>
        </is>
      </c>
      <c r="G556" t="inlineStr">
        <is>
          <t>UPPSALA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60814-2023</t>
        </is>
      </c>
      <c r="B557" t="inlineStr">
        <is>
          <t>avverkningsanmälan</t>
        </is>
      </c>
      <c r="C557" t="inlineStr">
        <is>
          <t>Föryngringsavverkning</t>
        </is>
      </c>
      <c r="D557" s="1" t="n">
        <v>45259</v>
      </c>
      <c r="E557" s="1" t="n">
        <v>46291</v>
      </c>
      <c r="F557" t="inlineStr">
        <is>
          <t>UPPSALA LÄN</t>
        </is>
      </c>
      <c r="G557" t="inlineStr">
        <is>
          <t>UPPSALA</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49989-2025</t>
        </is>
      </c>
      <c r="B558" t="inlineStr">
        <is>
          <t>avverkningsanmälan</t>
        </is>
      </c>
      <c r="C558" t="inlineStr">
        <is>
          <t>Föryngringsavverkning</t>
        </is>
      </c>
      <c r="D558" s="1" t="n">
        <v>45942</v>
      </c>
      <c r="E558" s="1" t="n">
        <v>46291</v>
      </c>
      <c r="F558" t="inlineStr">
        <is>
          <t>UPPSALA LÄN</t>
        </is>
      </c>
      <c r="G558" t="inlineStr">
        <is>
          <t>UPPSALA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36253-2025</t>
        </is>
      </c>
      <c r="B559" t="inlineStr">
        <is>
          <t>avverkningsanmälan</t>
        </is>
      </c>
      <c r="C559" t="inlineStr">
        <is>
          <t>Föryngringsavverkning</t>
        </is>
      </c>
      <c r="D559" s="1" t="n">
        <v>45867</v>
      </c>
      <c r="E559" s="1" t="n">
        <v>46291</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5204-2025</t>
        </is>
      </c>
      <c r="B560" t="inlineStr">
        <is>
          <t>avverkningsanmälan</t>
        </is>
      </c>
      <c r="C560" t="inlineStr">
        <is>
          <t>Föryngringsavverkning</t>
        </is>
      </c>
      <c r="D560" s="1" t="n">
        <v>45691</v>
      </c>
      <c r="E560" s="1" t="n">
        <v>46291</v>
      </c>
      <c r="F560" t="inlineStr">
        <is>
          <t>UPPSALA LÄN</t>
        </is>
      </c>
      <c r="G560" t="inlineStr">
        <is>
          <t>UPPSALA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20777-2026</t>
        </is>
      </c>
      <c r="B561" t="inlineStr">
        <is>
          <t>avverkningsanmälan</t>
        </is>
      </c>
      <c r="C561" t="inlineStr">
        <is>
          <t>Föryngringsavverkning</t>
        </is>
      </c>
      <c r="D561" s="1" t="n">
        <v>46141</v>
      </c>
      <c r="E561" s="1" t="n">
        <v>46291</v>
      </c>
      <c r="F561" t="inlineStr">
        <is>
          <t>UPPSALA LÄN</t>
        </is>
      </c>
      <c r="G561" t="inlineStr">
        <is>
          <t>UPPSALA</t>
        </is>
      </c>
      <c r="H561" t="inlineStr">
        <is>
          <t>Holmen skog AB</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11744-2023</t>
        </is>
      </c>
      <c r="B562" t="inlineStr">
        <is>
          <t>avverkningsanmälan</t>
        </is>
      </c>
      <c r="C562" t="inlineStr">
        <is>
          <t>Föryngringsavverkning</t>
        </is>
      </c>
      <c r="D562" s="1" t="n">
        <v>44993</v>
      </c>
      <c r="E562" s="1" t="n">
        <v>46291</v>
      </c>
      <c r="F562" t="inlineStr">
        <is>
          <t>UPPSALA LÄN</t>
        </is>
      </c>
      <c r="G562" t="inlineStr">
        <is>
          <t>UPPSALA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69432-2021</t>
        </is>
      </c>
      <c r="B563" t="inlineStr">
        <is>
          <t>avverkningsanmälan</t>
        </is>
      </c>
      <c r="C563" t="inlineStr">
        <is>
          <t>Föryngringsavverkning</t>
        </is>
      </c>
      <c r="D563" s="1" t="n">
        <v>44531</v>
      </c>
      <c r="E563" s="1" t="n">
        <v>46291</v>
      </c>
      <c r="F563" t="inlineStr">
        <is>
          <t>UPPSALA LÄN</t>
        </is>
      </c>
      <c r="G563" t="inlineStr">
        <is>
          <t>UPPSALA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30585-2025</t>
        </is>
      </c>
      <c r="B564" t="inlineStr">
        <is>
          <t>avverkningsanmälan</t>
        </is>
      </c>
      <c r="C564" t="inlineStr">
        <is>
          <t>Föryngringsavverkning</t>
        </is>
      </c>
      <c r="D564" s="1" t="n">
        <v>45831</v>
      </c>
      <c r="E564" s="1" t="n">
        <v>46291</v>
      </c>
      <c r="F564" t="inlineStr">
        <is>
          <t>UPPSALA LÄN</t>
        </is>
      </c>
      <c r="G564" t="inlineStr">
        <is>
          <t>UPPSALA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69691-2021</t>
        </is>
      </c>
      <c r="B565" t="inlineStr">
        <is>
          <t>avverkningsanmälan</t>
        </is>
      </c>
      <c r="C565" t="inlineStr">
        <is>
          <t>Föryngringsavverkning</t>
        </is>
      </c>
      <c r="D565" s="1" t="n">
        <v>44532</v>
      </c>
      <c r="E565" s="1" t="n">
        <v>46291</v>
      </c>
      <c r="F565" t="inlineStr">
        <is>
          <t>UPPSALA LÄN</t>
        </is>
      </c>
      <c r="G565" t="inlineStr">
        <is>
          <t>UPPSALA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30839-2025</t>
        </is>
      </c>
      <c r="B566" t="inlineStr">
        <is>
          <t>avverkningsanmälan</t>
        </is>
      </c>
      <c r="C566" t="inlineStr">
        <is>
          <t>Föryngringsavverkning</t>
        </is>
      </c>
      <c r="D566" s="1" t="n">
        <v>45831</v>
      </c>
      <c r="E566" s="1" t="n">
        <v>46291</v>
      </c>
      <c r="F566" t="inlineStr">
        <is>
          <t>UPPSALA LÄN</t>
        </is>
      </c>
      <c r="G566" t="inlineStr">
        <is>
          <t>UPPSALA</t>
        </is>
      </c>
      <c r="H566" t="inlineStr">
        <is>
          <t>Kyrkan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21453-2026</t>
        </is>
      </c>
      <c r="B567" t="inlineStr">
        <is>
          <t>avverkningsanmälan</t>
        </is>
      </c>
      <c r="C567" t="inlineStr">
        <is>
          <t>Föryngringsavverkning</t>
        </is>
      </c>
      <c r="D567" s="1" t="n">
        <v>46146</v>
      </c>
      <c r="E567" s="1" t="n">
        <v>46291</v>
      </c>
      <c r="F567" t="inlineStr">
        <is>
          <t>UPPSALA LÄN</t>
        </is>
      </c>
      <c r="G567" t="inlineStr">
        <is>
          <t>UPPSALA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30898-2025</t>
        </is>
      </c>
      <c r="B568" t="inlineStr">
        <is>
          <t>avverkningsanmälan</t>
        </is>
      </c>
      <c r="C568" t="inlineStr">
        <is>
          <t>Föryngringsavverkning</t>
        </is>
      </c>
      <c r="D568" s="1" t="n">
        <v>45832</v>
      </c>
      <c r="E568" s="1" t="n">
        <v>46291</v>
      </c>
      <c r="F568" t="inlineStr">
        <is>
          <t>UPPSALA LÄN</t>
        </is>
      </c>
      <c r="G568" t="inlineStr">
        <is>
          <t>UPPSALA</t>
        </is>
      </c>
      <c r="H568" t="inlineStr">
        <is>
          <t>Kyrkan</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30567-2025</t>
        </is>
      </c>
      <c r="B569" t="inlineStr">
        <is>
          <t>avverkningsanmälan</t>
        </is>
      </c>
      <c r="C569" t="inlineStr">
        <is>
          <t>Föryngringsavverkning</t>
        </is>
      </c>
      <c r="D569" s="1" t="n">
        <v>45831</v>
      </c>
      <c r="E569" s="1" t="n">
        <v>46291</v>
      </c>
      <c r="F569" t="inlineStr">
        <is>
          <t>UPPSALA LÄN</t>
        </is>
      </c>
      <c r="G569" t="inlineStr">
        <is>
          <t>UPPSALA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17587-2025</t>
        </is>
      </c>
      <c r="B570" t="inlineStr">
        <is>
          <t>avverkningsanmälan</t>
        </is>
      </c>
      <c r="C570" t="inlineStr">
        <is>
          <t>Föryngringsavverkning</t>
        </is>
      </c>
      <c r="D570" s="1" t="n">
        <v>45757</v>
      </c>
      <c r="E570" s="1" t="n">
        <v>46291</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24012-2023</t>
        </is>
      </c>
      <c r="B571" t="inlineStr">
        <is>
          <t>avverkningsanmälan</t>
        </is>
      </c>
      <c r="C571" t="inlineStr">
        <is>
          <t>Föryngringsavverkning</t>
        </is>
      </c>
      <c r="D571" s="1" t="n">
        <v>45078</v>
      </c>
      <c r="E571" s="1" t="n">
        <v>46291</v>
      </c>
      <c r="F571" t="inlineStr">
        <is>
          <t>UPPSALA LÄN</t>
        </is>
      </c>
      <c r="G571" t="inlineStr">
        <is>
          <t>UPPSALA</t>
        </is>
      </c>
      <c r="H571" t="inlineStr">
        <is>
          <t>Kyrkan</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30897-2025</t>
        </is>
      </c>
      <c r="B572" t="inlineStr">
        <is>
          <t>avverkningsanmälan</t>
        </is>
      </c>
      <c r="C572" t="inlineStr">
        <is>
          <t>Föryngringsavverkning</t>
        </is>
      </c>
      <c r="D572" s="1" t="n">
        <v>45832</v>
      </c>
      <c r="E572" s="1" t="n">
        <v>46291</v>
      </c>
      <c r="F572" t="inlineStr">
        <is>
          <t>UPPSALA LÄN</t>
        </is>
      </c>
      <c r="G572" t="inlineStr">
        <is>
          <t>UPPSALA</t>
        </is>
      </c>
      <c r="H572" t="inlineStr">
        <is>
          <t>Kyrkan</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30838-2025</t>
        </is>
      </c>
      <c r="B573" t="inlineStr">
        <is>
          <t>avverkningsanmälan</t>
        </is>
      </c>
      <c r="C573" t="inlineStr">
        <is>
          <t>Föryngringsavverkning</t>
        </is>
      </c>
      <c r="D573" s="1" t="n">
        <v>45831</v>
      </c>
      <c r="E573" s="1" t="n">
        <v>46291</v>
      </c>
      <c r="F573" t="inlineStr">
        <is>
          <t>UPPSALA LÄN</t>
        </is>
      </c>
      <c r="G573" t="inlineStr">
        <is>
          <t>UPPSALA</t>
        </is>
      </c>
      <c r="H573" t="inlineStr">
        <is>
          <t>Kyrkan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47221-2023</t>
        </is>
      </c>
      <c r="B574" t="inlineStr">
        <is>
          <t>avverkningsanmälan</t>
        </is>
      </c>
      <c r="C574" t="inlineStr">
        <is>
          <t>Föryngringsavverkning</t>
        </is>
      </c>
      <c r="D574" s="1" t="n">
        <v>45202</v>
      </c>
      <c r="E574" s="1" t="n">
        <v>46291</v>
      </c>
      <c r="F574" t="inlineStr">
        <is>
          <t>UPPSALA LÄN</t>
        </is>
      </c>
      <c r="G574" t="inlineStr">
        <is>
          <t>UPPSALA</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58023-2022</t>
        </is>
      </c>
      <c r="B575" t="inlineStr">
        <is>
          <t>avverkningsanmälan</t>
        </is>
      </c>
      <c r="C575" t="inlineStr">
        <is>
          <t>Föryngringsavverkning</t>
        </is>
      </c>
      <c r="D575" s="1" t="n">
        <v>44900</v>
      </c>
      <c r="E575" s="1" t="n">
        <v>46291</v>
      </c>
      <c r="F575" t="inlineStr">
        <is>
          <t>UPPSALA LÄN</t>
        </is>
      </c>
      <c r="G575" t="inlineStr">
        <is>
          <t>UPPSALA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45878-2024</t>
        </is>
      </c>
      <c r="B576" t="inlineStr">
        <is>
          <t>avverkningsanmälan</t>
        </is>
      </c>
      <c r="C576" t="inlineStr">
        <is>
          <t>Föryngringsavverkning</t>
        </is>
      </c>
      <c r="D576" s="1" t="n">
        <v>45580</v>
      </c>
      <c r="E576" s="1" t="n">
        <v>46291</v>
      </c>
      <c r="F576" t="inlineStr">
        <is>
          <t>UPPSALA LÄN</t>
        </is>
      </c>
      <c r="G576" t="inlineStr">
        <is>
          <t>UPPSALA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5374-2023</t>
        </is>
      </c>
      <c r="B577" t="inlineStr">
        <is>
          <t>avverkningsanmälan</t>
        </is>
      </c>
      <c r="C577" t="inlineStr">
        <is>
          <t>Avverkning för annat ändamål</t>
        </is>
      </c>
      <c r="D577" s="1" t="n">
        <v>44944</v>
      </c>
      <c r="E577" s="1" t="n">
        <v>46291</v>
      </c>
      <c r="F577" t="inlineStr">
        <is>
          <t>UPPSALA LÄN</t>
        </is>
      </c>
      <c r="G577" t="inlineStr">
        <is>
          <t>UPPSALA</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341-2024</t>
        </is>
      </c>
      <c r="B578" t="inlineStr">
        <is>
          <t>avverkningsanmälan</t>
        </is>
      </c>
      <c r="C578" t="inlineStr">
        <is>
          <t>Föryngringsavverkning</t>
        </is>
      </c>
      <c r="D578" s="1" t="n">
        <v>45295</v>
      </c>
      <c r="E578" s="1" t="n">
        <v>46291</v>
      </c>
      <c r="F578" t="inlineStr">
        <is>
          <t>UPPSALA LÄN</t>
        </is>
      </c>
      <c r="G578" t="inlineStr">
        <is>
          <t>UPPSALA</t>
        </is>
      </c>
      <c r="H578" t="inlineStr">
        <is>
          <t>Allmännings- och besparingsskogar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22523-2026</t>
        </is>
      </c>
      <c r="B579" t="inlineStr">
        <is>
          <t>avverkningsanmälan</t>
        </is>
      </c>
      <c r="C579" t="inlineStr">
        <is>
          <t>Föryngringsavverkning</t>
        </is>
      </c>
      <c r="D579" s="1" t="n">
        <v>46155</v>
      </c>
      <c r="E579" s="1" t="n">
        <v>46291</v>
      </c>
      <c r="F579" t="inlineStr">
        <is>
          <t>UPPSALA LÄN</t>
        </is>
      </c>
      <c r="G579" t="inlineStr">
        <is>
          <t>UPPSALA</t>
        </is>
      </c>
      <c r="H579" t="inlineStr">
        <is>
          <t>Allmännings- och besparingsskogar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22531-2026</t>
        </is>
      </c>
      <c r="B580" t="inlineStr">
        <is>
          <t>avverkningsanmälan</t>
        </is>
      </c>
      <c r="C580" t="inlineStr">
        <is>
          <t>Föryngringsavverkning</t>
        </is>
      </c>
      <c r="D580" s="1" t="n">
        <v>46155</v>
      </c>
      <c r="E580" s="1" t="n">
        <v>46291</v>
      </c>
      <c r="F580" t="inlineStr">
        <is>
          <t>UPPSALA LÄN</t>
        </is>
      </c>
      <c r="G580" t="inlineStr">
        <is>
          <t>UPPSALA</t>
        </is>
      </c>
      <c r="H580" t="inlineStr">
        <is>
          <t>Allmännings- och besparingsskogar</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22557-2026</t>
        </is>
      </c>
      <c r="B581" t="inlineStr">
        <is>
          <t>avverkningsanmälan</t>
        </is>
      </c>
      <c r="C581" t="inlineStr">
        <is>
          <t>Föryngringsavverkning</t>
        </is>
      </c>
      <c r="D581" s="1" t="n">
        <v>46155</v>
      </c>
      <c r="E581" s="1" t="n">
        <v>46291</v>
      </c>
      <c r="F581" t="inlineStr">
        <is>
          <t>UPPSALA LÄN</t>
        </is>
      </c>
      <c r="G581" t="inlineStr">
        <is>
          <t>UPPSALA</t>
        </is>
      </c>
      <c r="H581" t="inlineStr">
        <is>
          <t>Övriga Aktiebolag</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22807-2026</t>
        </is>
      </c>
      <c r="B582" t="inlineStr">
        <is>
          <t>avverkningsanmälan</t>
        </is>
      </c>
      <c r="C582" t="inlineStr">
        <is>
          <t>Föryngringsavverkning</t>
        </is>
      </c>
      <c r="D582" s="1" t="n">
        <v>46160</v>
      </c>
      <c r="E582" s="1" t="n">
        <v>46291</v>
      </c>
      <c r="F582" t="inlineStr">
        <is>
          <t>UPPSALA LÄN</t>
        </is>
      </c>
      <c r="G582" t="inlineStr">
        <is>
          <t>UPPSALA</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40111-2024</t>
        </is>
      </c>
      <c r="B583" t="inlineStr">
        <is>
          <t>avverkningsanmälan</t>
        </is>
      </c>
      <c r="C583" t="inlineStr">
        <is>
          <t>Föryngringsavverkning</t>
        </is>
      </c>
      <c r="D583" s="1" t="n">
        <v>45554</v>
      </c>
      <c r="E583" s="1" t="n">
        <v>46291</v>
      </c>
      <c r="F583" t="inlineStr">
        <is>
          <t>UPPSALA LÄN</t>
        </is>
      </c>
      <c r="G583" t="inlineStr">
        <is>
          <t>UPPSALA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47316-2025</t>
        </is>
      </c>
      <c r="B584" t="inlineStr">
        <is>
          <t>avverkningsanmälan</t>
        </is>
      </c>
      <c r="C584" t="inlineStr">
        <is>
          <t>Föryngringsavverkning</t>
        </is>
      </c>
      <c r="D584" s="1" t="n">
        <v>45930</v>
      </c>
      <c r="E584" s="1" t="n">
        <v>46291</v>
      </c>
      <c r="F584" t="inlineStr">
        <is>
          <t>UPPSALA LÄN</t>
        </is>
      </c>
      <c r="G584" t="inlineStr">
        <is>
          <t>UPPSALA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22900-2026</t>
        </is>
      </c>
      <c r="B585" t="inlineStr">
        <is>
          <t>avverkningsanmälan</t>
        </is>
      </c>
      <c r="C585" t="inlineStr">
        <is>
          <t>Föryngringsavverkning</t>
        </is>
      </c>
      <c r="D585" s="1" t="n">
        <v>46160</v>
      </c>
      <c r="E585" s="1" t="n">
        <v>46291</v>
      </c>
      <c r="F585" t="inlineStr">
        <is>
          <t>UPPSALA LÄN</t>
        </is>
      </c>
      <c r="G585" t="inlineStr">
        <is>
          <t>UPPSALA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22838-2026</t>
        </is>
      </c>
      <c r="B586" t="inlineStr">
        <is>
          <t>avverkningsanmälan</t>
        </is>
      </c>
      <c r="C586" t="inlineStr">
        <is>
          <t>Föryngringsavverkning</t>
        </is>
      </c>
      <c r="D586" s="1" t="n">
        <v>46160</v>
      </c>
      <c r="E586" s="1" t="n">
        <v>46291</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38865-2022</t>
        </is>
      </c>
      <c r="B587" t="inlineStr">
        <is>
          <t>avverkningsanmälan</t>
        </is>
      </c>
      <c r="C587" t="inlineStr">
        <is>
          <t>Föryngringsavverkning</t>
        </is>
      </c>
      <c r="D587" s="1" t="n">
        <v>44816</v>
      </c>
      <c r="E587" s="1" t="n">
        <v>46291</v>
      </c>
      <c r="F587" t="inlineStr">
        <is>
          <t>UPPSALA LÄN</t>
        </is>
      </c>
      <c r="G587" t="inlineStr">
        <is>
          <t>UPPSALA</t>
        </is>
      </c>
      <c r="I587" t="n">
        <v>14.6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23124-2026</t>
        </is>
      </c>
      <c r="B588" t="inlineStr">
        <is>
          <t>avverkningsanmälan</t>
        </is>
      </c>
      <c r="C588" t="inlineStr">
        <is>
          <t>Föryngringsavverkning</t>
        </is>
      </c>
      <c r="D588" s="1" t="n">
        <v>46161</v>
      </c>
      <c r="E588" s="1" t="n">
        <v>46291</v>
      </c>
      <c r="F588" t="inlineStr">
        <is>
          <t>UPPSALA LÄN</t>
        </is>
      </c>
      <c r="G588" t="inlineStr">
        <is>
          <t>UPPSALA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18717-2025</t>
        </is>
      </c>
      <c r="B589" t="inlineStr">
        <is>
          <t>avverkningsanmälan</t>
        </is>
      </c>
      <c r="C589" t="inlineStr">
        <is>
          <t>Föryngringsavverkning</t>
        </is>
      </c>
      <c r="D589" s="1" t="n">
        <v>45763</v>
      </c>
      <c r="E589" s="1" t="n">
        <v>46291</v>
      </c>
      <c r="F589" t="inlineStr">
        <is>
          <t>UPPSALA LÄN</t>
        </is>
      </c>
      <c r="G589" t="inlineStr">
        <is>
          <t>UPPSALA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3261-2024</t>
        </is>
      </c>
      <c r="B590" t="inlineStr">
        <is>
          <t>avverkningsanmälan</t>
        </is>
      </c>
      <c r="C590" t="inlineStr">
        <is>
          <t>Föryngringsavverkning</t>
        </is>
      </c>
      <c r="D590" s="1" t="n">
        <v>45317</v>
      </c>
      <c r="E590" s="1" t="n">
        <v>46291</v>
      </c>
      <c r="F590" t="inlineStr">
        <is>
          <t>UPPSALA LÄN</t>
        </is>
      </c>
      <c r="G590" t="inlineStr">
        <is>
          <t>UPPSALA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20146-2026</t>
        </is>
      </c>
      <c r="B591" t="inlineStr">
        <is>
          <t>avverkningsanmälan</t>
        </is>
      </c>
      <c r="C591" t="inlineStr">
        <is>
          <t>Föryngringsavverkning</t>
        </is>
      </c>
      <c r="D591" s="1" t="n">
        <v>46137</v>
      </c>
      <c r="E591" s="1" t="n">
        <v>46291</v>
      </c>
      <c r="F591" t="inlineStr">
        <is>
          <t>UPPSALA LÄN</t>
        </is>
      </c>
      <c r="G591" t="inlineStr">
        <is>
          <t>UPPSALA</t>
        </is>
      </c>
      <c r="H591" t="inlineStr">
        <is>
          <t>Bergvik skog öst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1838-2024</t>
        </is>
      </c>
      <c r="B592" t="inlineStr">
        <is>
          <t>avverkningsanmälan</t>
        </is>
      </c>
      <c r="C592" t="inlineStr">
        <is>
          <t>Föryngringsavverkning</t>
        </is>
      </c>
      <c r="D592" s="1" t="n">
        <v>45307</v>
      </c>
      <c r="E592" s="1" t="n">
        <v>46291</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29019-2023</t>
        </is>
      </c>
      <c r="B593" t="inlineStr">
        <is>
          <t>avverkningsanmälan</t>
        </is>
      </c>
      <c r="C593" t="inlineStr">
        <is>
          <t>Föryngringsavverkning</t>
        </is>
      </c>
      <c r="D593" s="1" t="n">
        <v>45104</v>
      </c>
      <c r="E593" s="1" t="n">
        <v>46291</v>
      </c>
      <c r="F593" t="inlineStr">
        <is>
          <t>UPPSALA LÄN</t>
        </is>
      </c>
      <c r="G593" t="inlineStr">
        <is>
          <t>UPPSALA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28958-2025</t>
        </is>
      </c>
      <c r="B594" t="inlineStr">
        <is>
          <t>avverkningsanmälan</t>
        </is>
      </c>
      <c r="C594" t="inlineStr">
        <is>
          <t>Föryngringsavverkning</t>
        </is>
      </c>
      <c r="D594" s="1" t="n">
        <v>45821</v>
      </c>
      <c r="E594" s="1" t="n">
        <v>46291</v>
      </c>
      <c r="F594" t="inlineStr">
        <is>
          <t>UPPSALA LÄN</t>
        </is>
      </c>
      <c r="G594" t="inlineStr">
        <is>
          <t>UPPSALA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33261-2025</t>
        </is>
      </c>
      <c r="B595" t="inlineStr">
        <is>
          <t>avverkningsanmälan</t>
        </is>
      </c>
      <c r="C595" t="inlineStr">
        <is>
          <t>Föryngringsavverkning</t>
        </is>
      </c>
      <c r="D595" s="1" t="n">
        <v>45840</v>
      </c>
      <c r="E595" s="1" t="n">
        <v>46291</v>
      </c>
      <c r="F595" t="inlineStr">
        <is>
          <t>UPPSALA LÄN</t>
        </is>
      </c>
      <c r="G595" t="inlineStr">
        <is>
          <t>UPPSALA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33689-2023</t>
        </is>
      </c>
      <c r="B596" t="inlineStr">
        <is>
          <t>avverkningsanmälan</t>
        </is>
      </c>
      <c r="C596" t="inlineStr">
        <is>
          <t>Avverkning för annat ändamål</t>
        </is>
      </c>
      <c r="D596" s="1" t="n">
        <v>45119</v>
      </c>
      <c r="E596" s="1" t="n">
        <v>46291</v>
      </c>
      <c r="F596" t="inlineStr">
        <is>
          <t>UPPSALA LÄN</t>
        </is>
      </c>
      <c r="G596" t="inlineStr">
        <is>
          <t>UPPSALA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16676-2026</t>
        </is>
      </c>
      <c r="B597" t="inlineStr">
        <is>
          <t>avverkningsanmälan</t>
        </is>
      </c>
      <c r="C597" t="inlineStr">
        <is>
          <t>Föryngringsavverkning</t>
        </is>
      </c>
      <c r="D597" s="1" t="n">
        <v>46112</v>
      </c>
      <c r="E597" s="1" t="n">
        <v>46291</v>
      </c>
      <c r="F597" t="inlineStr">
        <is>
          <t>UPPSALA LÄN</t>
        </is>
      </c>
      <c r="G597" t="inlineStr">
        <is>
          <t>UPPSALA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16673-2026</t>
        </is>
      </c>
      <c r="B598" t="inlineStr">
        <is>
          <t>avverkningsanmälan</t>
        </is>
      </c>
      <c r="C598" t="inlineStr">
        <is>
          <t>Föryngringsavverkning</t>
        </is>
      </c>
      <c r="D598" s="1" t="n">
        <v>46112</v>
      </c>
      <c r="E598" s="1" t="n">
        <v>46291</v>
      </c>
      <c r="F598" t="inlineStr">
        <is>
          <t>UPPSALA LÄN</t>
        </is>
      </c>
      <c r="G598" t="inlineStr">
        <is>
          <t>UPPSALA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23413-2026</t>
        </is>
      </c>
      <c r="B599" t="inlineStr">
        <is>
          <t>avverkningsanmälan</t>
        </is>
      </c>
      <c r="C599" t="inlineStr">
        <is>
          <t>Föryngringsavverkning</t>
        </is>
      </c>
      <c r="D599" s="1" t="n">
        <v>46162</v>
      </c>
      <c r="E599" s="1" t="n">
        <v>46291</v>
      </c>
      <c r="F599" t="inlineStr">
        <is>
          <t>UPPSALA LÄN</t>
        </is>
      </c>
      <c r="G599" t="inlineStr">
        <is>
          <t>UPPSALA</t>
        </is>
      </c>
      <c r="H599" t="inlineStr">
        <is>
          <t>Bergvik skog öst AB</t>
        </is>
      </c>
      <c r="I599" t="n">
        <v>9.6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3314-2025</t>
        </is>
      </c>
      <c r="B600" t="inlineStr">
        <is>
          <t>avverkningsanmälan</t>
        </is>
      </c>
      <c r="C600" t="inlineStr">
        <is>
          <t>Föryngringsavverkning</t>
        </is>
      </c>
      <c r="D600" s="1" t="n">
        <v>45679</v>
      </c>
      <c r="E600" s="1" t="n">
        <v>46291</v>
      </c>
      <c r="F600" t="inlineStr">
        <is>
          <t>UPPSALA LÄN</t>
        </is>
      </c>
      <c r="G600" t="inlineStr">
        <is>
          <t>UPPSALA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23412-2026</t>
        </is>
      </c>
      <c r="B601" t="inlineStr">
        <is>
          <t>avverkningsanmälan</t>
        </is>
      </c>
      <c r="C601" t="inlineStr">
        <is>
          <t>Föryngringsavverkning</t>
        </is>
      </c>
      <c r="D601" s="1" t="n">
        <v>46162</v>
      </c>
      <c r="E601" s="1" t="n">
        <v>46291</v>
      </c>
      <c r="F601" t="inlineStr">
        <is>
          <t>UPPSALA LÄN</t>
        </is>
      </c>
      <c r="G601" t="inlineStr">
        <is>
          <t>UPPSALA</t>
        </is>
      </c>
      <c r="H601" t="inlineStr">
        <is>
          <t>Bergvik skog öst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18625-2025</t>
        </is>
      </c>
      <c r="B602" t="inlineStr">
        <is>
          <t>avverkningsanmälan</t>
        </is>
      </c>
      <c r="C602" t="inlineStr">
        <is>
          <t>Föryngringsavverkning</t>
        </is>
      </c>
      <c r="D602" s="1" t="n">
        <v>45763</v>
      </c>
      <c r="E602" s="1" t="n">
        <v>46291</v>
      </c>
      <c r="F602" t="inlineStr">
        <is>
          <t>UPPSALA LÄN</t>
        </is>
      </c>
      <c r="G602" t="inlineStr">
        <is>
          <t>UPPSALA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61805-2021</t>
        </is>
      </c>
      <c r="B603" t="inlineStr">
        <is>
          <t>avverkningsanmälan</t>
        </is>
      </c>
      <c r="C603" t="inlineStr">
        <is>
          <t>Föryngringsavverkning</t>
        </is>
      </c>
      <c r="D603" s="1" t="n">
        <v>44501</v>
      </c>
      <c r="E603" s="1" t="n">
        <v>46291</v>
      </c>
      <c r="F603" t="inlineStr">
        <is>
          <t>UPPSALA LÄN</t>
        </is>
      </c>
      <c r="G603" t="inlineStr">
        <is>
          <t>UPPSALA</t>
        </is>
      </c>
      <c r="H603" t="inlineStr">
        <is>
          <t>Bergvik skog öst AB</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17211-2025</t>
        </is>
      </c>
      <c r="B604" t="inlineStr">
        <is>
          <t>avverkningsanmälan</t>
        </is>
      </c>
      <c r="C604" t="inlineStr">
        <is>
          <t>Föryngringsavverkning</t>
        </is>
      </c>
      <c r="D604" s="1" t="n">
        <v>45756</v>
      </c>
      <c r="E604" s="1" t="n">
        <v>46291</v>
      </c>
      <c r="F604" t="inlineStr">
        <is>
          <t>UPPSALA LÄN</t>
        </is>
      </c>
      <c r="G604" t="inlineStr">
        <is>
          <t>UPPSALA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23614-2026</t>
        </is>
      </c>
      <c r="B605" t="inlineStr">
        <is>
          <t>avverkningsanmälan</t>
        </is>
      </c>
      <c r="C605" t="inlineStr">
        <is>
          <t>Föryngringsavverkning</t>
        </is>
      </c>
      <c r="D605" s="1" t="n">
        <v>46163</v>
      </c>
      <c r="E605" s="1" t="n">
        <v>46291</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23893-2026</t>
        </is>
      </c>
      <c r="B606" t="inlineStr">
        <is>
          <t>avverkningsanmälan</t>
        </is>
      </c>
      <c r="C606" t="inlineStr">
        <is>
          <t>Föryngringsavverkning</t>
        </is>
      </c>
      <c r="D606" s="1" t="n">
        <v>46167</v>
      </c>
      <c r="E606" s="1" t="n">
        <v>46291</v>
      </c>
      <c r="F606" t="inlineStr">
        <is>
          <t>UPPSALA LÄN</t>
        </is>
      </c>
      <c r="G606" t="inlineStr">
        <is>
          <t>UPPSALA</t>
        </is>
      </c>
      <c r="H606" t="inlineStr">
        <is>
          <t>Holmen skog AB</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23978-2026</t>
        </is>
      </c>
      <c r="B607" t="inlineStr">
        <is>
          <t>avverkningsanmälan</t>
        </is>
      </c>
      <c r="C607" t="inlineStr">
        <is>
          <t>Föryngringsavverkning</t>
        </is>
      </c>
      <c r="D607" s="1" t="n">
        <v>46167</v>
      </c>
      <c r="E607" s="1" t="n">
        <v>46291</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23971-2026</t>
        </is>
      </c>
      <c r="B608" t="inlineStr">
        <is>
          <t>avverkningsanmälan</t>
        </is>
      </c>
      <c r="C608" t="inlineStr">
        <is>
          <t>Föryngringsavverkning</t>
        </is>
      </c>
      <c r="D608" s="1" t="n">
        <v>46167</v>
      </c>
      <c r="E608" s="1" t="n">
        <v>46291</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73326-2021</t>
        </is>
      </c>
      <c r="B609" t="inlineStr">
        <is>
          <t>avverkningsanmälan</t>
        </is>
      </c>
      <c r="C609" t="inlineStr">
        <is>
          <t>Föryngringsavverkning</t>
        </is>
      </c>
      <c r="D609" s="1" t="n">
        <v>44548</v>
      </c>
      <c r="E609" s="1" t="n">
        <v>46291</v>
      </c>
      <c r="F609" t="inlineStr">
        <is>
          <t>UPPSALA LÄN</t>
        </is>
      </c>
      <c r="G609" t="inlineStr">
        <is>
          <t>UPPSALA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60820-2024</t>
        </is>
      </c>
      <c r="B610" t="inlineStr">
        <is>
          <t>avverkningsanmälan</t>
        </is>
      </c>
      <c r="C610" t="inlineStr">
        <is>
          <t>Föryngringsavverkning</t>
        </is>
      </c>
      <c r="D610" s="1" t="n">
        <v>45644</v>
      </c>
      <c r="E610" s="1" t="n">
        <v>46291</v>
      </c>
      <c r="F610" t="inlineStr">
        <is>
          <t>UPPSALA LÄN</t>
        </is>
      </c>
      <c r="G610" t="inlineStr">
        <is>
          <t>UPPSALA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46291</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23976-2026</t>
        </is>
      </c>
      <c r="B612" t="inlineStr">
        <is>
          <t>avverkningsanmälan</t>
        </is>
      </c>
      <c r="C612" t="inlineStr">
        <is>
          <t>Föryngringsavverkning</t>
        </is>
      </c>
      <c r="D612" s="1" t="n">
        <v>46167</v>
      </c>
      <c r="E612" s="1" t="n">
        <v>46291</v>
      </c>
      <c r="F612" t="inlineStr">
        <is>
          <t>UPPSALA LÄN</t>
        </is>
      </c>
      <c r="G612" t="inlineStr">
        <is>
          <t>UPPSALA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18675-2024</t>
        </is>
      </c>
      <c r="B613" t="inlineStr">
        <is>
          <t>avverkningsanmälan</t>
        </is>
      </c>
      <c r="C613" t="inlineStr">
        <is>
          <t>Föryngringsavverkning</t>
        </is>
      </c>
      <c r="D613" s="1" t="n">
        <v>45426</v>
      </c>
      <c r="E613" s="1" t="n">
        <v>46291</v>
      </c>
      <c r="F613" t="inlineStr">
        <is>
          <t>UPPSALA LÄN</t>
        </is>
      </c>
      <c r="G613" t="inlineStr">
        <is>
          <t>UPPSALA</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35148-2025</t>
        </is>
      </c>
      <c r="B614" t="inlineStr">
        <is>
          <t>avverkningsanmälan</t>
        </is>
      </c>
      <c r="C614" t="inlineStr">
        <is>
          <t>Föryngringsavverkning</t>
        </is>
      </c>
      <c r="D614" s="1" t="n">
        <v>45852</v>
      </c>
      <c r="E614" s="1" t="n">
        <v>46291</v>
      </c>
      <c r="F614" t="inlineStr">
        <is>
          <t>UPPSALA LÄN</t>
        </is>
      </c>
      <c r="G614" t="inlineStr">
        <is>
          <t>UPPSALA</t>
        </is>
      </c>
      <c r="H614" t="inlineStr">
        <is>
          <t>Holmen skog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35053-2025</t>
        </is>
      </c>
      <c r="B615" t="inlineStr">
        <is>
          <t>avverkningsanmälan</t>
        </is>
      </c>
      <c r="C615" t="inlineStr">
        <is>
          <t>Föryngringsavverkning</t>
        </is>
      </c>
      <c r="D615" s="1" t="n">
        <v>45852</v>
      </c>
      <c r="E615" s="1" t="n">
        <v>46291</v>
      </c>
      <c r="F615" t="inlineStr">
        <is>
          <t>UPPSALA LÄN</t>
        </is>
      </c>
      <c r="G615" t="inlineStr">
        <is>
          <t>UPPSALA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35150-2025</t>
        </is>
      </c>
      <c r="B616" t="inlineStr">
        <is>
          <t>avverkningsanmälan</t>
        </is>
      </c>
      <c r="C616" t="inlineStr">
        <is>
          <t>Föryngringsavverkning</t>
        </is>
      </c>
      <c r="D616" s="1" t="n">
        <v>45852</v>
      </c>
      <c r="E616" s="1" t="n">
        <v>46291</v>
      </c>
      <c r="F616" t="inlineStr">
        <is>
          <t>UPPSALA LÄN</t>
        </is>
      </c>
      <c r="G616" t="inlineStr">
        <is>
          <t>UPPSALA</t>
        </is>
      </c>
      <c r="H616" t="inlineStr">
        <is>
          <t>Holmen skog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9313-2023</t>
        </is>
      </c>
      <c r="B617" t="inlineStr">
        <is>
          <t>avverkningsanmälan</t>
        </is>
      </c>
      <c r="C617" t="inlineStr">
        <is>
          <t>Föryngringsavverkning</t>
        </is>
      </c>
      <c r="D617" s="1" t="n">
        <v>44980</v>
      </c>
      <c r="E617" s="1" t="n">
        <v>46291</v>
      </c>
      <c r="F617" t="inlineStr">
        <is>
          <t>UPPSALA LÄN</t>
        </is>
      </c>
      <c r="G617" t="inlineStr">
        <is>
          <t>UPPSALA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35510-2025</t>
        </is>
      </c>
      <c r="B618" t="inlineStr">
        <is>
          <t>avverkningsanmälan</t>
        </is>
      </c>
      <c r="C618" t="inlineStr">
        <is>
          <t>Föryngringsavverkning</t>
        </is>
      </c>
      <c r="D618" s="1" t="n">
        <v>45856</v>
      </c>
      <c r="E618" s="1" t="n">
        <v>46291</v>
      </c>
      <c r="F618" t="inlineStr">
        <is>
          <t>UPPSALA LÄN</t>
        </is>
      </c>
      <c r="G618" t="inlineStr">
        <is>
          <t>UPPSALA</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60735-2024</t>
        </is>
      </c>
      <c r="B619" t="inlineStr">
        <is>
          <t>avverkningsanmälan</t>
        </is>
      </c>
      <c r="C619" t="inlineStr">
        <is>
          <t>Föryngringsavverkning</t>
        </is>
      </c>
      <c r="D619" s="1" t="n">
        <v>45644</v>
      </c>
      <c r="E619" s="1" t="n">
        <v>46291</v>
      </c>
      <c r="F619" t="inlineStr">
        <is>
          <t>UPPSALA LÄN</t>
        </is>
      </c>
      <c r="G619" t="inlineStr">
        <is>
          <t>UPPSALA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59521-2023</t>
        </is>
      </c>
      <c r="B620" t="inlineStr">
        <is>
          <t>avverkningsanmälan</t>
        </is>
      </c>
      <c r="C620" t="inlineStr">
        <is>
          <t>Föryngringsavverkning</t>
        </is>
      </c>
      <c r="D620" s="1" t="n">
        <v>45254</v>
      </c>
      <c r="E620" s="1" t="n">
        <v>46291</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53615-2024</t>
        </is>
      </c>
      <c r="B621" t="inlineStr">
        <is>
          <t>avverkningsanmälan</t>
        </is>
      </c>
      <c r="C621" t="inlineStr">
        <is>
          <t>Föryngringsavverkning</t>
        </is>
      </c>
      <c r="D621" s="1" t="n">
        <v>45611</v>
      </c>
      <c r="E621" s="1" t="n">
        <v>46291</v>
      </c>
      <c r="F621" t="inlineStr">
        <is>
          <t>UPPSALA LÄN</t>
        </is>
      </c>
      <c r="G621" t="inlineStr">
        <is>
          <t>UPPSALA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18054-2025</t>
        </is>
      </c>
      <c r="B622" t="inlineStr">
        <is>
          <t>avverkningsanmälan</t>
        </is>
      </c>
      <c r="C622" t="inlineStr">
        <is>
          <t>Föryngringsavverkning</t>
        </is>
      </c>
      <c r="D622" s="1" t="n">
        <v>45761</v>
      </c>
      <c r="E622" s="1" t="n">
        <v>46291</v>
      </c>
      <c r="F622" t="inlineStr">
        <is>
          <t>UPPSALA LÄN</t>
        </is>
      </c>
      <c r="G622" t="inlineStr">
        <is>
          <t>UPPSALA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7226-2024</t>
        </is>
      </c>
      <c r="B623" t="inlineStr">
        <is>
          <t>avverkningsanmälan</t>
        </is>
      </c>
      <c r="C623" t="inlineStr">
        <is>
          <t>Föryngringsavverkning</t>
        </is>
      </c>
      <c r="D623" s="1" t="n">
        <v>45344</v>
      </c>
      <c r="E623" s="1" t="n">
        <v>46291</v>
      </c>
      <c r="F623" t="inlineStr">
        <is>
          <t>UPPSALA LÄN</t>
        </is>
      </c>
      <c r="G623" t="inlineStr">
        <is>
          <t>UPPSALA</t>
        </is>
      </c>
      <c r="H623" t="inlineStr">
        <is>
          <t>Kyrkan</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24807-2026</t>
        </is>
      </c>
      <c r="B624" t="inlineStr">
        <is>
          <t>avverkningsanmälan</t>
        </is>
      </c>
      <c r="C624" t="inlineStr">
        <is>
          <t>Föryngringsavverkning</t>
        </is>
      </c>
      <c r="D624" s="1" t="n">
        <v>46172</v>
      </c>
      <c r="E624" s="1" t="n">
        <v>46291</v>
      </c>
      <c r="F624" t="inlineStr">
        <is>
          <t>UPPSALA LÄN</t>
        </is>
      </c>
      <c r="G624" t="inlineStr">
        <is>
          <t>UPPSALA</t>
        </is>
      </c>
      <c r="H624" t="inlineStr">
        <is>
          <t>Bergvik skog öst AB</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24808-2026</t>
        </is>
      </c>
      <c r="B625" t="inlineStr">
        <is>
          <t>avverkningsanmälan</t>
        </is>
      </c>
      <c r="C625" t="inlineStr">
        <is>
          <t>Föryngringsavverkning</t>
        </is>
      </c>
      <c r="D625" s="1" t="n">
        <v>46172</v>
      </c>
      <c r="E625" s="1" t="n">
        <v>46291</v>
      </c>
      <c r="F625" t="inlineStr">
        <is>
          <t>UPPSALA LÄN</t>
        </is>
      </c>
      <c r="G625" t="inlineStr">
        <is>
          <t>UPPSALA</t>
        </is>
      </c>
      <c r="H625" t="inlineStr">
        <is>
          <t>Bergvik skog öst AB</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29901-2023</t>
        </is>
      </c>
      <c r="B626" t="inlineStr">
        <is>
          <t>avverkningsanmälan</t>
        </is>
      </c>
      <c r="C626" t="inlineStr">
        <is>
          <t>Föryngringsavverkning</t>
        </is>
      </c>
      <c r="D626" s="1" t="n">
        <v>45107</v>
      </c>
      <c r="E626" s="1" t="n">
        <v>46291</v>
      </c>
      <c r="F626" t="inlineStr">
        <is>
          <t>UPPSALA LÄN</t>
        </is>
      </c>
      <c r="G626" t="inlineStr">
        <is>
          <t>UPPSALA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29926-2023</t>
        </is>
      </c>
      <c r="B627" t="inlineStr">
        <is>
          <t>avverkningsanmälan</t>
        </is>
      </c>
      <c r="C627" t="inlineStr">
        <is>
          <t>Föryngringsavverkning</t>
        </is>
      </c>
      <c r="D627" s="1" t="n">
        <v>45107</v>
      </c>
      <c r="E627" s="1" t="n">
        <v>46291</v>
      </c>
      <c r="F627" t="inlineStr">
        <is>
          <t>UPPSALA LÄN</t>
        </is>
      </c>
      <c r="G627" t="inlineStr">
        <is>
          <t>UPPSALA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29927-2023</t>
        </is>
      </c>
      <c r="B628" t="inlineStr">
        <is>
          <t>avverkningsanmälan</t>
        </is>
      </c>
      <c r="C628" t="inlineStr">
        <is>
          <t>Föryngringsavverkning</t>
        </is>
      </c>
      <c r="D628" s="1" t="n">
        <v>45107</v>
      </c>
      <c r="E628" s="1" t="n">
        <v>46291</v>
      </c>
      <c r="F628" t="inlineStr">
        <is>
          <t>UPPSALA LÄN</t>
        </is>
      </c>
      <c r="G628" t="inlineStr">
        <is>
          <t>UPPSALA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7253-2024</t>
        </is>
      </c>
      <c r="B629" t="inlineStr">
        <is>
          <t>avverkningsanmälan</t>
        </is>
      </c>
      <c r="C629" t="inlineStr">
        <is>
          <t>Föryngringsavverkning</t>
        </is>
      </c>
      <c r="D629" s="1" t="n">
        <v>45344</v>
      </c>
      <c r="E629" s="1" t="n">
        <v>46291</v>
      </c>
      <c r="F629" t="inlineStr">
        <is>
          <t>UPPSALA LÄN</t>
        </is>
      </c>
      <c r="G629" t="inlineStr">
        <is>
          <t>UPPSALA</t>
        </is>
      </c>
      <c r="H629" t="inlineStr">
        <is>
          <t>Kyrkan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39148-2022</t>
        </is>
      </c>
      <c r="B630" t="inlineStr">
        <is>
          <t>avverkningsanmälan</t>
        </is>
      </c>
      <c r="C630" t="inlineStr">
        <is>
          <t>Föryngringsavverkning</t>
        </is>
      </c>
      <c r="D630" s="1" t="n">
        <v>44816</v>
      </c>
      <c r="E630" s="1" t="n">
        <v>46291</v>
      </c>
      <c r="F630" t="inlineStr">
        <is>
          <t>UPPSALA LÄN</t>
        </is>
      </c>
      <c r="G630" t="inlineStr">
        <is>
          <t>UPPSALA</t>
        </is>
      </c>
      <c r="H630" t="inlineStr">
        <is>
          <t>Övriga statliga verk och myndigheter</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34509-2023</t>
        </is>
      </c>
      <c r="B631" t="inlineStr">
        <is>
          <t>avverkningsanmälan</t>
        </is>
      </c>
      <c r="C631" t="inlineStr">
        <is>
          <t>Avverkning för annat ändamål</t>
        </is>
      </c>
      <c r="D631" s="1" t="n">
        <v>45133</v>
      </c>
      <c r="E631" s="1" t="n">
        <v>46291</v>
      </c>
      <c r="F631" t="inlineStr">
        <is>
          <t>UPPSALA LÄN</t>
        </is>
      </c>
      <c r="G631" t="inlineStr">
        <is>
          <t>UPPSALA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27119-2023</t>
        </is>
      </c>
      <c r="B632" t="inlineStr">
        <is>
          <t>avverkningsanmälan</t>
        </is>
      </c>
      <c r="C632" t="inlineStr">
        <is>
          <t>Föryngringsavverkning</t>
        </is>
      </c>
      <c r="D632" s="1" t="n">
        <v>45096</v>
      </c>
      <c r="E632" s="1" t="n">
        <v>46291</v>
      </c>
      <c r="F632" t="inlineStr">
        <is>
          <t>UPPSALA LÄN</t>
        </is>
      </c>
      <c r="G632" t="inlineStr">
        <is>
          <t>UPPSALA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27903-2023</t>
        </is>
      </c>
      <c r="B633" t="inlineStr">
        <is>
          <t>avverkningsanmälan</t>
        </is>
      </c>
      <c r="C633" t="inlineStr">
        <is>
          <t>Föryngringsavverkning</t>
        </is>
      </c>
      <c r="D633" s="1" t="n">
        <v>45098</v>
      </c>
      <c r="E633" s="1" t="n">
        <v>46291</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24734-2026</t>
        </is>
      </c>
      <c r="B634" t="inlineStr">
        <is>
          <t>avverkningsanmälan</t>
        </is>
      </c>
      <c r="C634" t="inlineStr">
        <is>
          <t>Föryngringsavverkning</t>
        </is>
      </c>
      <c r="D634" s="1" t="n">
        <v>46171</v>
      </c>
      <c r="E634" s="1" t="n">
        <v>46291</v>
      </c>
      <c r="F634" t="inlineStr">
        <is>
          <t>UPPSALA LÄN</t>
        </is>
      </c>
      <c r="G634" t="inlineStr">
        <is>
          <t>UPPSALA</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24685-2026</t>
        </is>
      </c>
      <c r="B635" t="inlineStr">
        <is>
          <t>avverkningsanmälan</t>
        </is>
      </c>
      <c r="C635" t="inlineStr">
        <is>
          <t>Föryngringsavverkning</t>
        </is>
      </c>
      <c r="D635" s="1" t="n">
        <v>46171</v>
      </c>
      <c r="E635" s="1" t="n">
        <v>46291</v>
      </c>
      <c r="F635" t="inlineStr">
        <is>
          <t>UPPSALA LÄN</t>
        </is>
      </c>
      <c r="G635" t="inlineStr">
        <is>
          <t>UPPSALA</t>
        </is>
      </c>
      <c r="H635" t="inlineStr">
        <is>
          <t>Allmännings- och besparingsskogar</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24737-2026</t>
        </is>
      </c>
      <c r="B636" t="inlineStr">
        <is>
          <t>avverkningsanmälan</t>
        </is>
      </c>
      <c r="C636" t="inlineStr">
        <is>
          <t>Föryngringsavverkning</t>
        </is>
      </c>
      <c r="D636" s="1" t="n">
        <v>46171</v>
      </c>
      <c r="E636" s="1" t="n">
        <v>46291</v>
      </c>
      <c r="F636" t="inlineStr">
        <is>
          <t>UPPSALA LÄN</t>
        </is>
      </c>
      <c r="G636" t="inlineStr">
        <is>
          <t>UPPSALA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72224-2021</t>
        </is>
      </c>
      <c r="B637" t="inlineStr">
        <is>
          <t>avverkningsanmälan</t>
        </is>
      </c>
      <c r="C637" t="inlineStr">
        <is>
          <t>Föryngringsavverkning</t>
        </is>
      </c>
      <c r="D637" s="1" t="n">
        <v>44544</v>
      </c>
      <c r="E637" s="1" t="n">
        <v>46291</v>
      </c>
      <c r="F637" t="inlineStr">
        <is>
          <t>UPPSALA LÄN</t>
        </is>
      </c>
      <c r="G637" t="inlineStr">
        <is>
          <t>UPPSALA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66686-2021</t>
        </is>
      </c>
      <c r="B638" t="inlineStr">
        <is>
          <t>avverkningsanmälan</t>
        </is>
      </c>
      <c r="C638" t="inlineStr">
        <is>
          <t>Föryngringsavverkning</t>
        </is>
      </c>
      <c r="D638" s="1" t="n">
        <v>44519</v>
      </c>
      <c r="E638" s="1" t="n">
        <v>46291</v>
      </c>
      <c r="F638" t="inlineStr">
        <is>
          <t>UPPSALA LÄN</t>
        </is>
      </c>
      <c r="G638" t="inlineStr">
        <is>
          <t>UPPSALA</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38934-2023</t>
        </is>
      </c>
      <c r="B639" t="inlineStr">
        <is>
          <t>avverkningsanmälan</t>
        </is>
      </c>
      <c r="C639" t="inlineStr">
        <is>
          <t>Föryngringsavverkning</t>
        </is>
      </c>
      <c r="D639" s="1" t="n">
        <v>45163</v>
      </c>
      <c r="E639" s="1" t="n">
        <v>46291</v>
      </c>
      <c r="F639" t="inlineStr">
        <is>
          <t>UPPSALA LÄN</t>
        </is>
      </c>
      <c r="G639" t="inlineStr">
        <is>
          <t>UPPSALA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7727-2024</t>
        </is>
      </c>
      <c r="B640" t="inlineStr">
        <is>
          <t>avverkningsanmälan</t>
        </is>
      </c>
      <c r="C640" t="inlineStr">
        <is>
          <t>Föryngringsavverkning</t>
        </is>
      </c>
      <c r="D640" s="1" t="n">
        <v>45349</v>
      </c>
      <c r="E640" s="1" t="n">
        <v>46291</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27125-2023</t>
        </is>
      </c>
      <c r="B641" t="inlineStr">
        <is>
          <t>avverkningsanmälan</t>
        </is>
      </c>
      <c r="C641" t="inlineStr">
        <is>
          <t>Föryngringsavverkning</t>
        </is>
      </c>
      <c r="D641" s="1" t="n">
        <v>45096</v>
      </c>
      <c r="E641" s="1" t="n">
        <v>46291</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14907-2025</t>
        </is>
      </c>
      <c r="B642" t="inlineStr">
        <is>
          <t>avverkningsanmälan</t>
        </is>
      </c>
      <c r="C642" t="inlineStr">
        <is>
          <t>Avverkning för att bevara och utveckla /försöksver</t>
        </is>
      </c>
      <c r="D642" s="1" t="n">
        <v>45743</v>
      </c>
      <c r="E642" s="1" t="n">
        <v>46291</v>
      </c>
      <c r="F642" t="inlineStr">
        <is>
          <t>UPPSALA LÄN</t>
        </is>
      </c>
      <c r="G642" t="inlineStr">
        <is>
          <t>UPPSALA</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6989-2022</t>
        </is>
      </c>
      <c r="B643" t="inlineStr">
        <is>
          <t>avverkningsanmälan</t>
        </is>
      </c>
      <c r="C643" t="inlineStr">
        <is>
          <t>Föryngringsavverkning</t>
        </is>
      </c>
      <c r="D643" s="1" t="n">
        <v>44603</v>
      </c>
      <c r="E643" s="1" t="n">
        <v>46291</v>
      </c>
      <c r="F643" t="inlineStr">
        <is>
          <t>UPPSALA LÄN</t>
        </is>
      </c>
      <c r="G643" t="inlineStr">
        <is>
          <t>UPPSALA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30616-2025</t>
        </is>
      </c>
      <c r="B644" t="inlineStr">
        <is>
          <t>avverkningsanmälan</t>
        </is>
      </c>
      <c r="C644" t="inlineStr">
        <is>
          <t>Föryngringsavverkning</t>
        </is>
      </c>
      <c r="D644" s="1" t="n">
        <v>45831</v>
      </c>
      <c r="E644" s="1" t="n">
        <v>46291</v>
      </c>
      <c r="F644" t="inlineStr">
        <is>
          <t>UPPSALA LÄN</t>
        </is>
      </c>
      <c r="G644" t="inlineStr">
        <is>
          <t>UPPSALA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38190-2023</t>
        </is>
      </c>
      <c r="B645" t="inlineStr">
        <is>
          <t>avverkningsanmälan</t>
        </is>
      </c>
      <c r="C645" t="inlineStr">
        <is>
          <t>Avverkning för annat ändamål</t>
        </is>
      </c>
      <c r="D645" s="1" t="n">
        <v>45161</v>
      </c>
      <c r="E645" s="1" t="n">
        <v>46291</v>
      </c>
      <c r="F645" t="inlineStr">
        <is>
          <t>UPPSALA LÄN</t>
        </is>
      </c>
      <c r="G645" t="inlineStr">
        <is>
          <t>UPPSALA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25376-2026</t>
        </is>
      </c>
      <c r="B646" t="inlineStr">
        <is>
          <t>avverkningsanmälan</t>
        </is>
      </c>
      <c r="C646" t="inlineStr">
        <is>
          <t>Föryngringsavverkning</t>
        </is>
      </c>
      <c r="D646" s="1" t="n">
        <v>46176</v>
      </c>
      <c r="E646" s="1" t="n">
        <v>46291</v>
      </c>
      <c r="F646" t="inlineStr">
        <is>
          <t>UPPSALA LÄN</t>
        </is>
      </c>
      <c r="G646" t="inlineStr">
        <is>
          <t>UPPSALA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34147-2024</t>
        </is>
      </c>
      <c r="B647" t="inlineStr">
        <is>
          <t>avverkningsanmälan</t>
        </is>
      </c>
      <c r="C647" t="inlineStr">
        <is>
          <t>Föryngringsavverkning</t>
        </is>
      </c>
      <c r="D647" s="1" t="n">
        <v>45524</v>
      </c>
      <c r="E647" s="1" t="n">
        <v>46291</v>
      </c>
      <c r="F647" t="inlineStr">
        <is>
          <t>UPPSALA LÄN</t>
        </is>
      </c>
      <c r="G647" t="inlineStr">
        <is>
          <t>UPPSALA</t>
        </is>
      </c>
      <c r="H647" t="inlineStr">
        <is>
          <t>Allmännings- och besparingsskogar</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11224-2022</t>
        </is>
      </c>
      <c r="B648" t="inlineStr">
        <is>
          <t>avverkningsanmälan</t>
        </is>
      </c>
      <c r="C648" t="inlineStr">
        <is>
          <t>Föryngringsavverkning</t>
        </is>
      </c>
      <c r="D648" s="1" t="n">
        <v>44629</v>
      </c>
      <c r="E648" s="1" t="n">
        <v>46291</v>
      </c>
      <c r="F648" t="inlineStr">
        <is>
          <t>UPPSALA LÄN</t>
        </is>
      </c>
      <c r="G648" t="inlineStr">
        <is>
          <t>UPPSALA</t>
        </is>
      </c>
      <c r="H648" t="inlineStr">
        <is>
          <t>Bergvik skog öst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26099-2024</t>
        </is>
      </c>
      <c r="B649" t="inlineStr">
        <is>
          <t>avverkningsanmälan</t>
        </is>
      </c>
      <c r="C649" t="inlineStr">
        <is>
          <t>Föryngringsavverkning</t>
        </is>
      </c>
      <c r="D649" s="1" t="n">
        <v>45468</v>
      </c>
      <c r="E649" s="1" t="n">
        <v>46291</v>
      </c>
      <c r="F649" t="inlineStr">
        <is>
          <t>UPPSALA LÄN</t>
        </is>
      </c>
      <c r="G649" t="inlineStr">
        <is>
          <t>UPPSALA</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17788-2023</t>
        </is>
      </c>
      <c r="B650" t="inlineStr">
        <is>
          <t>avverkningsanmälan</t>
        </is>
      </c>
      <c r="C650" t="inlineStr">
        <is>
          <t>Föryngringsavverkning</t>
        </is>
      </c>
      <c r="D650" s="1" t="n">
        <v>45037</v>
      </c>
      <c r="E650" s="1" t="n">
        <v>46291</v>
      </c>
      <c r="F650" t="inlineStr">
        <is>
          <t>UPPSALA LÄN</t>
        </is>
      </c>
      <c r="G650" t="inlineStr">
        <is>
          <t>UPPSALA</t>
        </is>
      </c>
      <c r="H650" t="inlineStr">
        <is>
          <t>Övriga Aktiebolag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33941-2023</t>
        </is>
      </c>
      <c r="B651" t="inlineStr">
        <is>
          <t>avverkningsanmälan</t>
        </is>
      </c>
      <c r="C651" t="inlineStr">
        <is>
          <t>Föryngringsavverkning</t>
        </is>
      </c>
      <c r="D651" s="1" t="n">
        <v>45134</v>
      </c>
      <c r="E651" s="1" t="n">
        <v>46291</v>
      </c>
      <c r="F651" t="inlineStr">
        <is>
          <t>UPPSALA LÄN</t>
        </is>
      </c>
      <c r="G651" t="inlineStr">
        <is>
          <t>UPPSALA</t>
        </is>
      </c>
      <c r="H651" t="inlineStr">
        <is>
          <t>Holmen skog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26000-2026</t>
        </is>
      </c>
      <c r="B652" t="inlineStr">
        <is>
          <t>avverkningsanmälan</t>
        </is>
      </c>
      <c r="C652" t="inlineStr">
        <is>
          <t>Föryngringsavverkning</t>
        </is>
      </c>
      <c r="D652" s="1" t="n">
        <v>46181</v>
      </c>
      <c r="E652" s="1" t="n">
        <v>46291</v>
      </c>
      <c r="F652" t="inlineStr">
        <is>
          <t>UPPSALA LÄN</t>
        </is>
      </c>
      <c r="G652" t="inlineStr">
        <is>
          <t>UPPSALA</t>
        </is>
      </c>
      <c r="H652" t="inlineStr">
        <is>
          <t>Sveaskog</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25756-2026</t>
        </is>
      </c>
      <c r="B653" t="inlineStr">
        <is>
          <t>avverkningsanmälan</t>
        </is>
      </c>
      <c r="C653" t="inlineStr">
        <is>
          <t>Föryngringsavverkning</t>
        </is>
      </c>
      <c r="D653" s="1" t="n">
        <v>46178</v>
      </c>
      <c r="E653" s="1" t="n">
        <v>46291</v>
      </c>
      <c r="F653" t="inlineStr">
        <is>
          <t>UPPSALA LÄN</t>
        </is>
      </c>
      <c r="G653" t="inlineStr">
        <is>
          <t>UPPSALA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70031-2021</t>
        </is>
      </c>
      <c r="B654" t="inlineStr">
        <is>
          <t>avverkningsanmälan</t>
        </is>
      </c>
      <c r="C654" t="inlineStr">
        <is>
          <t>Föryngringsavverkning</t>
        </is>
      </c>
      <c r="D654" s="1" t="n">
        <v>44533</v>
      </c>
      <c r="E654" s="1" t="n">
        <v>46291</v>
      </c>
      <c r="F654" t="inlineStr">
        <is>
          <t>UPPSALA LÄN</t>
        </is>
      </c>
      <c r="G654" t="inlineStr">
        <is>
          <t>UPPSALA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70228-2021</t>
        </is>
      </c>
      <c r="B655" t="inlineStr">
        <is>
          <t>avverkningsanmälan</t>
        </is>
      </c>
      <c r="C655" t="inlineStr">
        <is>
          <t>Föryngringsavverkning</t>
        </is>
      </c>
      <c r="D655" s="1" t="n">
        <v>44535</v>
      </c>
      <c r="E655" s="1" t="n">
        <v>46291</v>
      </c>
      <c r="F655" t="inlineStr">
        <is>
          <t>UPPSALA LÄN</t>
        </is>
      </c>
      <c r="G655" t="inlineStr">
        <is>
          <t>UPPSALA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12221-2022</t>
        </is>
      </c>
      <c r="B656" t="inlineStr">
        <is>
          <t>avverkningsanmälan</t>
        </is>
      </c>
      <c r="C656" t="inlineStr">
        <is>
          <t>Föryngringsavverkning</t>
        </is>
      </c>
      <c r="D656" s="1" t="n">
        <v>44637</v>
      </c>
      <c r="E656" s="1" t="n">
        <v>46291</v>
      </c>
      <c r="F656" t="inlineStr">
        <is>
          <t>UPPSALA LÄN</t>
        </is>
      </c>
      <c r="G656" t="inlineStr">
        <is>
          <t>UPPSALA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26844-2026</t>
        </is>
      </c>
      <c r="B657" t="inlineStr">
        <is>
          <t>avverkningsanmälan</t>
        </is>
      </c>
      <c r="C657" t="inlineStr">
        <is>
          <t>Föryngringsavverkning</t>
        </is>
      </c>
      <c r="D657" s="1" t="n">
        <v>46185</v>
      </c>
      <c r="E657" s="1" t="n">
        <v>46291</v>
      </c>
      <c r="F657" t="inlineStr">
        <is>
          <t>UPPSALA LÄN</t>
        </is>
      </c>
      <c r="G657" t="inlineStr">
        <is>
          <t>UPPSALA</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38493-2023</t>
        </is>
      </c>
      <c r="B658" t="inlineStr">
        <is>
          <t>avverkningsanmälan</t>
        </is>
      </c>
      <c r="C658" t="inlineStr">
        <is>
          <t>Föryngringsavverkning</t>
        </is>
      </c>
      <c r="D658" s="1" t="n">
        <v>45162</v>
      </c>
      <c r="E658" s="1" t="n">
        <v>46291</v>
      </c>
      <c r="F658" t="inlineStr">
        <is>
          <t>UPPSALA LÄN</t>
        </is>
      </c>
      <c r="G658" t="inlineStr">
        <is>
          <t>UPPSALA</t>
        </is>
      </c>
      <c r="H658" t="inlineStr">
        <is>
          <t>Allmännings- och besparingsskogar</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35142-2023</t>
        </is>
      </c>
      <c r="B659" t="inlineStr">
        <is>
          <t>avverkningsanmälan</t>
        </is>
      </c>
      <c r="C659" t="inlineStr">
        <is>
          <t>Avverkning för annat ändamål</t>
        </is>
      </c>
      <c r="D659" s="1" t="n">
        <v>45145</v>
      </c>
      <c r="E659" s="1" t="n">
        <v>46291</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26742-2026</t>
        </is>
      </c>
      <c r="B660" t="inlineStr">
        <is>
          <t>avverkningsanmälan</t>
        </is>
      </c>
      <c r="C660" t="inlineStr">
        <is>
          <t>Föryngringsavverkning</t>
        </is>
      </c>
      <c r="D660" s="1" t="n">
        <v>46184</v>
      </c>
      <c r="E660" s="1" t="n">
        <v>46291</v>
      </c>
      <c r="F660" t="inlineStr">
        <is>
          <t>UPPSALA LÄN</t>
        </is>
      </c>
      <c r="G660" t="inlineStr">
        <is>
          <t>UPPSALA</t>
        </is>
      </c>
      <c r="H660" t="inlineStr">
        <is>
          <t>Kyrkan</t>
        </is>
      </c>
      <c r="I660" t="n">
        <v>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47083-2023</t>
        </is>
      </c>
      <c r="B661" t="inlineStr">
        <is>
          <t>avverkningsanmälan</t>
        </is>
      </c>
      <c r="C661" t="inlineStr">
        <is>
          <t>Föryngringsavverkning</t>
        </is>
      </c>
      <c r="D661" s="1" t="n">
        <v>45201</v>
      </c>
      <c r="E661" s="1" t="n">
        <v>46291</v>
      </c>
      <c r="F661" t="inlineStr">
        <is>
          <t>UPPSALA LÄN</t>
        </is>
      </c>
      <c r="G661" t="inlineStr">
        <is>
          <t>UPPSALA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9255-2024</t>
        </is>
      </c>
      <c r="B662" t="inlineStr">
        <is>
          <t>avverkningsanmälan</t>
        </is>
      </c>
      <c r="C662" t="inlineStr">
        <is>
          <t>Avverkning för annat ändamål</t>
        </is>
      </c>
      <c r="D662" s="1" t="n">
        <v>45358</v>
      </c>
      <c r="E662" s="1" t="n">
        <v>46291</v>
      </c>
      <c r="F662" t="inlineStr">
        <is>
          <t>UPPSALA LÄN</t>
        </is>
      </c>
      <c r="G662" t="inlineStr">
        <is>
          <t>UPPSALA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66983-2021</t>
        </is>
      </c>
      <c r="B663" t="inlineStr">
        <is>
          <t>avverkningsanmälan</t>
        </is>
      </c>
      <c r="C663" t="inlineStr">
        <is>
          <t>Avverkning för annat ändamål</t>
        </is>
      </c>
      <c r="D663" s="1" t="n">
        <v>44522</v>
      </c>
      <c r="E663" s="1" t="n">
        <v>46291</v>
      </c>
      <c r="F663" t="inlineStr">
        <is>
          <t>UPPSALA LÄN</t>
        </is>
      </c>
      <c r="G663" t="inlineStr">
        <is>
          <t>UPPSALA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27362-2026</t>
        </is>
      </c>
      <c r="B664" t="inlineStr">
        <is>
          <t>avverkningsanmälan</t>
        </is>
      </c>
      <c r="C664" t="inlineStr">
        <is>
          <t>Föryngringsavverkning</t>
        </is>
      </c>
      <c r="D664" s="1" t="n">
        <v>46188</v>
      </c>
      <c r="E664" s="1" t="n">
        <v>46291</v>
      </c>
      <c r="F664" t="inlineStr">
        <is>
          <t>UPPSALA LÄN</t>
        </is>
      </c>
      <c r="G664" t="inlineStr">
        <is>
          <t>UPPSALA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9242-2022</t>
        </is>
      </c>
      <c r="B665" t="inlineStr">
        <is>
          <t>avverkningsanmälan</t>
        </is>
      </c>
      <c r="C665" t="inlineStr">
        <is>
          <t>Föryngringsavverkning</t>
        </is>
      </c>
      <c r="D665" s="1" t="n">
        <v>44616</v>
      </c>
      <c r="E665" s="1" t="n">
        <v>46291</v>
      </c>
      <c r="F665" t="inlineStr">
        <is>
          <t>UPPSALA LÄN</t>
        </is>
      </c>
      <c r="G665" t="inlineStr">
        <is>
          <t>UPPSALA</t>
        </is>
      </c>
      <c r="H665" t="inlineStr">
        <is>
          <t>Övriga Aktiebolag</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27113-2026</t>
        </is>
      </c>
      <c r="B666" t="inlineStr">
        <is>
          <t>avverkningsanmälan</t>
        </is>
      </c>
      <c r="C666" t="inlineStr">
        <is>
          <t>Föryngringsavverkning</t>
        </is>
      </c>
      <c r="D666" s="1" t="n">
        <v>46188</v>
      </c>
      <c r="E666" s="1" t="n">
        <v>46291</v>
      </c>
      <c r="F666" t="inlineStr">
        <is>
          <t>UPPSALA LÄN</t>
        </is>
      </c>
      <c r="G666" t="inlineStr">
        <is>
          <t>UPPSALA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27118-2026</t>
        </is>
      </c>
      <c r="B667" t="inlineStr">
        <is>
          <t>avverkningsanmälan</t>
        </is>
      </c>
      <c r="C667" t="inlineStr">
        <is>
          <t>Föryngringsavverkning</t>
        </is>
      </c>
      <c r="D667" s="1" t="n">
        <v>46188</v>
      </c>
      <c r="E667" s="1" t="n">
        <v>46291</v>
      </c>
      <c r="F667" t="inlineStr">
        <is>
          <t>UPPSALA LÄN</t>
        </is>
      </c>
      <c r="G667" t="inlineStr">
        <is>
          <t>UPPSALA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27320-2026</t>
        </is>
      </c>
      <c r="B668" t="inlineStr">
        <is>
          <t>avverkningsanmälan</t>
        </is>
      </c>
      <c r="C668" t="inlineStr">
        <is>
          <t>Föryngringsavverkning</t>
        </is>
      </c>
      <c r="D668" s="1" t="n">
        <v>46188</v>
      </c>
      <c r="E668" s="1" t="n">
        <v>46291</v>
      </c>
      <c r="F668" t="inlineStr">
        <is>
          <t>UPPSALA LÄN</t>
        </is>
      </c>
      <c r="G668" t="inlineStr">
        <is>
          <t>UPPSALA</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27900-2026</t>
        </is>
      </c>
      <c r="B669" t="inlineStr">
        <is>
          <t>avverkningsanmälan</t>
        </is>
      </c>
      <c r="C669" t="inlineStr">
        <is>
          <t>Föryngringsavverkning</t>
        </is>
      </c>
      <c r="D669" s="1" t="n">
        <v>46191</v>
      </c>
      <c r="E669" s="1" t="n">
        <v>46291</v>
      </c>
      <c r="F669" t="inlineStr">
        <is>
          <t>UPPSALA LÄN</t>
        </is>
      </c>
      <c r="G669" t="inlineStr">
        <is>
          <t>UPPSALA</t>
        </is>
      </c>
      <c r="H669" t="inlineStr">
        <is>
          <t>Bergvik skog öst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42063-2023</t>
        </is>
      </c>
      <c r="B670" t="inlineStr">
        <is>
          <t>avverkningsanmälan</t>
        </is>
      </c>
      <c r="C670" t="inlineStr">
        <is>
          <t>Föryngringsavverkning</t>
        </is>
      </c>
      <c r="D670" s="1" t="n">
        <v>45177</v>
      </c>
      <c r="E670" s="1" t="n">
        <v>46291</v>
      </c>
      <c r="F670" t="inlineStr">
        <is>
          <t>UPPSALA LÄN</t>
        </is>
      </c>
      <c r="G670" t="inlineStr">
        <is>
          <t>UPPSALA</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37010-2025</t>
        </is>
      </c>
      <c r="B671" t="inlineStr">
        <is>
          <t>avverkningsanmälan</t>
        </is>
      </c>
      <c r="C671" t="inlineStr">
        <is>
          <t>Föryngringsavverkning</t>
        </is>
      </c>
      <c r="D671" s="1" t="n">
        <v>45874</v>
      </c>
      <c r="E671" s="1" t="n">
        <v>46291</v>
      </c>
      <c r="F671" t="inlineStr">
        <is>
          <t>UPPSALA LÄN</t>
        </is>
      </c>
      <c r="G671" t="inlineStr">
        <is>
          <t>UPPSALA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27904-2026</t>
        </is>
      </c>
      <c r="B672" t="inlineStr">
        <is>
          <t>avverkningsanmälan</t>
        </is>
      </c>
      <c r="C672" t="inlineStr">
        <is>
          <t>Föryngringsavverkning</t>
        </is>
      </c>
      <c r="D672" s="1" t="n">
        <v>46191</v>
      </c>
      <c r="E672" s="1" t="n">
        <v>46291</v>
      </c>
      <c r="F672" t="inlineStr">
        <is>
          <t>UPPSALA LÄN</t>
        </is>
      </c>
      <c r="G672" t="inlineStr">
        <is>
          <t>UPPSALA</t>
        </is>
      </c>
      <c r="H672" t="inlineStr">
        <is>
          <t>Bergvik skog öst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27817-2026</t>
        </is>
      </c>
      <c r="B673" t="inlineStr">
        <is>
          <t>avverkningsanmälan</t>
        </is>
      </c>
      <c r="C673" t="inlineStr">
        <is>
          <t>Föryngringsavverkning</t>
        </is>
      </c>
      <c r="D673" s="1" t="n">
        <v>46191</v>
      </c>
      <c r="E673" s="1" t="n">
        <v>46291</v>
      </c>
      <c r="F673" t="inlineStr">
        <is>
          <t>UPPSALA LÄN</t>
        </is>
      </c>
      <c r="G673" t="inlineStr">
        <is>
          <t>UPPSALA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27893-2026</t>
        </is>
      </c>
      <c r="B674" t="inlineStr">
        <is>
          <t>avverkningsanmälan</t>
        </is>
      </c>
      <c r="C674" t="inlineStr">
        <is>
          <t>Föryngringsavverkning</t>
        </is>
      </c>
      <c r="D674" s="1" t="n">
        <v>46191</v>
      </c>
      <c r="E674" s="1" t="n">
        <v>46291</v>
      </c>
      <c r="F674" t="inlineStr">
        <is>
          <t>UPPSALA LÄN</t>
        </is>
      </c>
      <c r="G674" t="inlineStr">
        <is>
          <t>UPPSALA</t>
        </is>
      </c>
      <c r="H674" t="inlineStr">
        <is>
          <t>Allmännings- och besparingsskogar</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27903-2026</t>
        </is>
      </c>
      <c r="B675" t="inlineStr">
        <is>
          <t>avverkningsanmälan</t>
        </is>
      </c>
      <c r="C675" t="inlineStr">
        <is>
          <t>Föryngringsavverkning</t>
        </is>
      </c>
      <c r="D675" s="1" t="n">
        <v>46191</v>
      </c>
      <c r="E675" s="1" t="n">
        <v>46291</v>
      </c>
      <c r="F675" t="inlineStr">
        <is>
          <t>UPPSALA LÄN</t>
        </is>
      </c>
      <c r="G675" t="inlineStr">
        <is>
          <t>UPPSALA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18781-2025</t>
        </is>
      </c>
      <c r="B676" t="inlineStr">
        <is>
          <t>avverkningsanmälan</t>
        </is>
      </c>
      <c r="C676" t="inlineStr">
        <is>
          <t>Föryngringsavverkning</t>
        </is>
      </c>
      <c r="D676" s="1" t="n">
        <v>45763</v>
      </c>
      <c r="E676" s="1" t="n">
        <v>46291</v>
      </c>
      <c r="F676" t="inlineStr">
        <is>
          <t>UPPSALA LÄN</t>
        </is>
      </c>
      <c r="G676" t="inlineStr">
        <is>
          <t>UPPSALA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28165-2026</t>
        </is>
      </c>
      <c r="B677" t="inlineStr">
        <is>
          <t>avverkningsanmälan</t>
        </is>
      </c>
      <c r="C677" t="inlineStr">
        <is>
          <t>Föryngringsavverkning</t>
        </is>
      </c>
      <c r="D677" s="1" t="n">
        <v>46195</v>
      </c>
      <c r="E677" s="1" t="n">
        <v>46291</v>
      </c>
      <c r="F677" t="inlineStr">
        <is>
          <t>UPPSALA LÄN</t>
        </is>
      </c>
      <c r="G677" t="inlineStr">
        <is>
          <t>UPPSALA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37626-2023</t>
        </is>
      </c>
      <c r="B678" t="inlineStr">
        <is>
          <t>avverkningsanmälan</t>
        </is>
      </c>
      <c r="C678" t="inlineStr">
        <is>
          <t>Föryngringsavverkning</t>
        </is>
      </c>
      <c r="D678" s="1" t="n">
        <v>45159</v>
      </c>
      <c r="E678" s="1" t="n">
        <v>46291</v>
      </c>
      <c r="F678" t="inlineStr">
        <is>
          <t>UPPSALA LÄN</t>
        </is>
      </c>
      <c r="G678" t="inlineStr">
        <is>
          <t>UPPSALA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17232-2022</t>
        </is>
      </c>
      <c r="B679" t="inlineStr">
        <is>
          <t>avverkningsanmälan</t>
        </is>
      </c>
      <c r="C679" t="inlineStr">
        <is>
          <t>Föryngringsavverkning</t>
        </is>
      </c>
      <c r="D679" s="1" t="n">
        <v>44678</v>
      </c>
      <c r="E679" s="1" t="n">
        <v>46291</v>
      </c>
      <c r="F679" t="inlineStr">
        <is>
          <t>UPPSALA LÄN</t>
        </is>
      </c>
      <c r="G679" t="inlineStr">
        <is>
          <t>UPPSALA</t>
        </is>
      </c>
      <c r="H679" t="inlineStr">
        <is>
          <t>Övriga Aktiebolag</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8404-2022</t>
        </is>
      </c>
      <c r="B680" t="inlineStr">
        <is>
          <t>avverkningsanmälan</t>
        </is>
      </c>
      <c r="C680" t="inlineStr">
        <is>
          <t>Föryngringsavverkning</t>
        </is>
      </c>
      <c r="D680" s="1" t="n">
        <v>44610</v>
      </c>
      <c r="E680" s="1" t="n">
        <v>46291</v>
      </c>
      <c r="F680" t="inlineStr">
        <is>
          <t>UPPSALA LÄN</t>
        </is>
      </c>
      <c r="G680" t="inlineStr">
        <is>
          <t>UPPSALA</t>
        </is>
      </c>
      <c r="H680" t="inlineStr">
        <is>
          <t>Allmännings- och besparingsskogar</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53921-2024</t>
        </is>
      </c>
      <c r="B681" t="inlineStr">
        <is>
          <t>avverkningsanmälan</t>
        </is>
      </c>
      <c r="C681" t="inlineStr">
        <is>
          <t>Föryngringsavverkning</t>
        </is>
      </c>
      <c r="D681" s="1" t="n">
        <v>45615</v>
      </c>
      <c r="E681" s="1" t="n">
        <v>46291</v>
      </c>
      <c r="F681" t="inlineStr">
        <is>
          <t>UPPSALA LÄN</t>
        </is>
      </c>
      <c r="G681" t="inlineStr">
        <is>
          <t>UPPSALA</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59562-2024</t>
        </is>
      </c>
      <c r="B682" t="inlineStr">
        <is>
          <t>avverkningsanmälan</t>
        </is>
      </c>
      <c r="C682" t="inlineStr">
        <is>
          <t>Föryngringsavverkning</t>
        </is>
      </c>
      <c r="D682" s="1" t="n">
        <v>45638</v>
      </c>
      <c r="E682" s="1" t="n">
        <v>46291</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60698-2024</t>
        </is>
      </c>
      <c r="B683" t="inlineStr">
        <is>
          <t>avverkningsanmälan</t>
        </is>
      </c>
      <c r="C683" t="inlineStr">
        <is>
          <t>Föryngringsavverkning</t>
        </is>
      </c>
      <c r="D683" s="1" t="n">
        <v>45644</v>
      </c>
      <c r="E683" s="1" t="n">
        <v>46291</v>
      </c>
      <c r="F683" t="inlineStr">
        <is>
          <t>UPPSALA LÄN</t>
        </is>
      </c>
      <c r="G683" t="inlineStr">
        <is>
          <t>UPPSALA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44115-2023</t>
        </is>
      </c>
      <c r="B684" t="inlineStr">
        <is>
          <t>avverkningsanmälan</t>
        </is>
      </c>
      <c r="C684" t="inlineStr">
        <is>
          <t>Föryngringsavverkning</t>
        </is>
      </c>
      <c r="D684" s="1" t="n">
        <v>45188</v>
      </c>
      <c r="E684" s="1" t="n">
        <v>46291</v>
      </c>
      <c r="F684" t="inlineStr">
        <is>
          <t>UPPSALA LÄN</t>
        </is>
      </c>
      <c r="G684" t="inlineStr">
        <is>
          <t>UPPSALA</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42772-2022</t>
        </is>
      </c>
      <c r="B685" t="inlineStr">
        <is>
          <t>avverkningsanmälan</t>
        </is>
      </c>
      <c r="C685" t="inlineStr">
        <is>
          <t>Föryngringsavverkning</t>
        </is>
      </c>
      <c r="D685" s="1" t="n">
        <v>44832</v>
      </c>
      <c r="E685" s="1" t="n">
        <v>46291</v>
      </c>
      <c r="F685" t="inlineStr">
        <is>
          <t>UPPSALA LÄN</t>
        </is>
      </c>
      <c r="G685" t="inlineStr">
        <is>
          <t>UPPSALA</t>
        </is>
      </c>
      <c r="I685" t="n">
        <v>17.7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28955-2026</t>
        </is>
      </c>
      <c r="B686" t="inlineStr">
        <is>
          <t>avverkningsanmälan</t>
        </is>
      </c>
      <c r="C686" t="inlineStr">
        <is>
          <t>Föryngringsavverkning</t>
        </is>
      </c>
      <c r="D686" s="1" t="n">
        <v>46199</v>
      </c>
      <c r="E686" s="1" t="n">
        <v>46291</v>
      </c>
      <c r="F686" t="inlineStr">
        <is>
          <t>UPPSALA LÄN</t>
        </is>
      </c>
      <c r="G686" t="inlineStr">
        <is>
          <t>UPPSALA</t>
        </is>
      </c>
      <c r="H686" t="inlineStr">
        <is>
          <t>Holmen skog AB</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29007-2026</t>
        </is>
      </c>
      <c r="B687" t="inlineStr">
        <is>
          <t>avverkningsanmälan</t>
        </is>
      </c>
      <c r="C687" t="inlineStr">
        <is>
          <t>Föryngringsavverkning</t>
        </is>
      </c>
      <c r="D687" s="1" t="n">
        <v>46199</v>
      </c>
      <c r="E687" s="1" t="n">
        <v>46291</v>
      </c>
      <c r="F687" t="inlineStr">
        <is>
          <t>UPPSALA LÄN</t>
        </is>
      </c>
      <c r="G687" t="inlineStr">
        <is>
          <t>UPPSALA</t>
        </is>
      </c>
      <c r="H687" t="inlineStr">
        <is>
          <t>Övriga Aktiebolag</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37856-2025</t>
        </is>
      </c>
      <c r="B688" t="inlineStr">
        <is>
          <t>avverkningsanmälan</t>
        </is>
      </c>
      <c r="C688" t="inlineStr">
        <is>
          <t>Föryngringsavverkning</t>
        </is>
      </c>
      <c r="D688" s="1" t="n">
        <v>45881</v>
      </c>
      <c r="E688" s="1" t="n">
        <v>46291</v>
      </c>
      <c r="F688" t="inlineStr">
        <is>
          <t>UPPSALA LÄN</t>
        </is>
      </c>
      <c r="G688" t="inlineStr">
        <is>
          <t>UPPSALA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6363-2024</t>
        </is>
      </c>
      <c r="B689" t="inlineStr">
        <is>
          <t>avverkningsanmälan</t>
        </is>
      </c>
      <c r="C689" t="inlineStr">
        <is>
          <t>Föryngringsavverkning</t>
        </is>
      </c>
      <c r="D689" s="1" t="n">
        <v>45338</v>
      </c>
      <c r="E689" s="1" t="n">
        <v>46291</v>
      </c>
      <c r="F689" t="inlineStr">
        <is>
          <t>UPPSALA LÄN</t>
        </is>
      </c>
      <c r="G689" t="inlineStr">
        <is>
          <t>UPPSALA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10490-2025</t>
        </is>
      </c>
      <c r="B690" t="inlineStr">
        <is>
          <t>avverkningsanmälan</t>
        </is>
      </c>
      <c r="C690" t="inlineStr">
        <is>
          <t>Föryngringsavverkning</t>
        </is>
      </c>
      <c r="D690" s="1" t="n">
        <v>45721</v>
      </c>
      <c r="E690" s="1" t="n">
        <v>46291</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46202-2024</t>
        </is>
      </c>
      <c r="B691" t="inlineStr">
        <is>
          <t>avverkningsanmälan</t>
        </is>
      </c>
      <c r="C691" t="inlineStr">
        <is>
          <t>Föryngringsavverkning</t>
        </is>
      </c>
      <c r="D691" s="1" t="n">
        <v>45581</v>
      </c>
      <c r="E691" s="1" t="n">
        <v>46291</v>
      </c>
      <c r="F691" t="inlineStr">
        <is>
          <t>UPPSALA LÄN</t>
        </is>
      </c>
      <c r="G691" t="inlineStr">
        <is>
          <t>UPPSALA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28795-2026</t>
        </is>
      </c>
      <c r="B692" t="inlineStr">
        <is>
          <t>avverkningsanmälan</t>
        </is>
      </c>
      <c r="C692" t="inlineStr">
        <is>
          <t>Föryngringsavverkning</t>
        </is>
      </c>
      <c r="D692" s="1" t="n">
        <v>46198</v>
      </c>
      <c r="E692" s="1" t="n">
        <v>46291</v>
      </c>
      <c r="F692" t="inlineStr">
        <is>
          <t>UPPSALA LÄN</t>
        </is>
      </c>
      <c r="G692" t="inlineStr">
        <is>
          <t>UPPSALA</t>
        </is>
      </c>
      <c r="H692" t="inlineStr">
        <is>
          <t>Holmen skog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35906-2023</t>
        </is>
      </c>
      <c r="B693" t="inlineStr">
        <is>
          <t>avverkningsanmälan</t>
        </is>
      </c>
      <c r="C693" t="inlineStr">
        <is>
          <t>Föryngringsavverkning</t>
        </is>
      </c>
      <c r="D693" s="1" t="n">
        <v>45148</v>
      </c>
      <c r="E693" s="1" t="n">
        <v>46291</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35914-2023</t>
        </is>
      </c>
      <c r="B694" t="inlineStr">
        <is>
          <t>avverkningsanmälan</t>
        </is>
      </c>
      <c r="C694" t="inlineStr">
        <is>
          <t>Föryngringsavverkning</t>
        </is>
      </c>
      <c r="D694" s="1" t="n">
        <v>45148</v>
      </c>
      <c r="E694" s="1" t="n">
        <v>46291</v>
      </c>
      <c r="F694" t="inlineStr">
        <is>
          <t>UPPSALA LÄN</t>
        </is>
      </c>
      <c r="G694" t="inlineStr">
        <is>
          <t>UPPSALA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35916-2023</t>
        </is>
      </c>
      <c r="B695" t="inlineStr">
        <is>
          <t>avverkningsanmälan</t>
        </is>
      </c>
      <c r="C695" t="inlineStr">
        <is>
          <t>Föryngringsavverkning</t>
        </is>
      </c>
      <c r="D695" s="1" t="n">
        <v>45148</v>
      </c>
      <c r="E695" s="1" t="n">
        <v>46291</v>
      </c>
      <c r="F695" t="inlineStr">
        <is>
          <t>UPPSALA LÄN</t>
        </is>
      </c>
      <c r="G695" t="inlineStr">
        <is>
          <t>UPPSALA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28673-2026</t>
        </is>
      </c>
      <c r="B696" t="inlineStr">
        <is>
          <t>avverkningsanmälan</t>
        </is>
      </c>
      <c r="C696" t="inlineStr">
        <is>
          <t>Föryngringsavverkning</t>
        </is>
      </c>
      <c r="D696" s="1" t="n">
        <v>46198</v>
      </c>
      <c r="E696" s="1" t="n">
        <v>46291</v>
      </c>
      <c r="F696" t="inlineStr">
        <is>
          <t>UPPSALA LÄN</t>
        </is>
      </c>
      <c r="G696" t="inlineStr">
        <is>
          <t>UPPSALA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4312-2022</t>
        </is>
      </c>
      <c r="B697" t="inlineStr">
        <is>
          <t>avverkningsanmälan</t>
        </is>
      </c>
      <c r="C697" t="inlineStr">
        <is>
          <t>Föryngringsavverkning</t>
        </is>
      </c>
      <c r="D697" s="1" t="n">
        <v>44588</v>
      </c>
      <c r="E697" s="1" t="n">
        <v>46291</v>
      </c>
      <c r="F697" t="inlineStr">
        <is>
          <t>UPPSALA LÄN</t>
        </is>
      </c>
      <c r="G697" t="inlineStr">
        <is>
          <t>UPPSALA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29282-2026</t>
        </is>
      </c>
      <c r="B698" t="inlineStr">
        <is>
          <t>avverkningsanmälan</t>
        </is>
      </c>
      <c r="C698" t="inlineStr">
        <is>
          <t>Föryngringsavverkning</t>
        </is>
      </c>
      <c r="D698" s="1" t="n">
        <v>46202</v>
      </c>
      <c r="E698" s="1" t="n">
        <v>46291</v>
      </c>
      <c r="F698" t="inlineStr">
        <is>
          <t>UPPSALA LÄN</t>
        </is>
      </c>
      <c r="G698" t="inlineStr">
        <is>
          <t>UPPSALA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38113-2025</t>
        </is>
      </c>
      <c r="B699" t="inlineStr">
        <is>
          <t>avverkningsanmälan</t>
        </is>
      </c>
      <c r="C699" t="inlineStr">
        <is>
          <t>Föryngringsavverkning</t>
        </is>
      </c>
      <c r="D699" s="1" t="n">
        <v>45882</v>
      </c>
      <c r="E699" s="1" t="n">
        <v>46291</v>
      </c>
      <c r="F699" t="inlineStr">
        <is>
          <t>UPPSALA LÄN</t>
        </is>
      </c>
      <c r="G699" t="inlineStr">
        <is>
          <t>UPPSALA</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4065-2024</t>
        </is>
      </c>
      <c r="B700" t="inlineStr">
        <is>
          <t>avverkningsanmälan</t>
        </is>
      </c>
      <c r="C700" t="inlineStr">
        <is>
          <t>Föryngringsavverkning</t>
        </is>
      </c>
      <c r="D700" s="1" t="n">
        <v>45323</v>
      </c>
      <c r="E700" s="1" t="n">
        <v>46291</v>
      </c>
      <c r="F700" t="inlineStr">
        <is>
          <t>UPPSALA LÄN</t>
        </is>
      </c>
      <c r="G700" t="inlineStr">
        <is>
          <t>UPPSALA</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45662-2023</t>
        </is>
      </c>
      <c r="B701" t="inlineStr">
        <is>
          <t>avverkningsanmälan</t>
        </is>
      </c>
      <c r="C701" t="inlineStr">
        <is>
          <t>Föryngringsavverkning</t>
        </is>
      </c>
      <c r="D701" s="1" t="n">
        <v>45194</v>
      </c>
      <c r="E701" s="1" t="n">
        <v>46291</v>
      </c>
      <c r="F701" t="inlineStr">
        <is>
          <t>UPPSALA LÄN</t>
        </is>
      </c>
      <c r="G701" t="inlineStr">
        <is>
          <t>UPPSALA</t>
        </is>
      </c>
      <c r="H701" t="inlineStr">
        <is>
          <t>Bergvik skog öst AB</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50463-2024</t>
        </is>
      </c>
      <c r="B702" t="inlineStr">
        <is>
          <t>avverkningsanmälan</t>
        </is>
      </c>
      <c r="C702" t="inlineStr">
        <is>
          <t>Föryngringsavverkning</t>
        </is>
      </c>
      <c r="D702" s="1" t="n">
        <v>45601</v>
      </c>
      <c r="E702" s="1" t="n">
        <v>46291</v>
      </c>
      <c r="F702" t="inlineStr">
        <is>
          <t>UPPSALA LÄN</t>
        </is>
      </c>
      <c r="G702" t="inlineStr">
        <is>
          <t>UPPSALA</t>
        </is>
      </c>
      <c r="H702" t="inlineStr">
        <is>
          <t>Allmännings- och besparingsskogar</t>
        </is>
      </c>
      <c r="I702" t="n">
        <v>12.6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29139-2026</t>
        </is>
      </c>
      <c r="B703" t="inlineStr">
        <is>
          <t>avverkningsanmälan</t>
        </is>
      </c>
      <c r="C703" t="inlineStr">
        <is>
          <t>Föryngringsavverkning</t>
        </is>
      </c>
      <c r="D703" s="1" t="n">
        <v>46202</v>
      </c>
      <c r="E703" s="1" t="n">
        <v>46291</v>
      </c>
      <c r="F703" t="inlineStr">
        <is>
          <t>UPPSALA LÄN</t>
        </is>
      </c>
      <c r="G703" t="inlineStr">
        <is>
          <t>UPPSALA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5189-2022</t>
        </is>
      </c>
      <c r="B704" t="inlineStr">
        <is>
          <t>avverkningsanmälan</t>
        </is>
      </c>
      <c r="C704" t="inlineStr">
        <is>
          <t>Föryngringsavverkning</t>
        </is>
      </c>
      <c r="D704" s="1" t="n">
        <v>44594</v>
      </c>
      <c r="E704" s="1" t="n">
        <v>46291</v>
      </c>
      <c r="F704" t="inlineStr">
        <is>
          <t>UPPSALA LÄN</t>
        </is>
      </c>
      <c r="G704" t="inlineStr">
        <is>
          <t>UPPSALA</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11201-2024</t>
        </is>
      </c>
      <c r="B705" t="inlineStr">
        <is>
          <t>avverkningsanmälan</t>
        </is>
      </c>
      <c r="C705" t="inlineStr">
        <is>
          <t>Föryngringsavverkning</t>
        </is>
      </c>
      <c r="D705" s="1" t="n">
        <v>45371</v>
      </c>
      <c r="E705" s="1" t="n">
        <v>46291</v>
      </c>
      <c r="F705" t="inlineStr">
        <is>
          <t>UPPSALA LÄN</t>
        </is>
      </c>
      <c r="G705" t="inlineStr">
        <is>
          <t>UPPSALA</t>
        </is>
      </c>
      <c r="H705" t="inlineStr">
        <is>
          <t>Kommuner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2790-2025</t>
        </is>
      </c>
      <c r="B706" t="inlineStr">
        <is>
          <t>avverkningsanmälan</t>
        </is>
      </c>
      <c r="C706" t="inlineStr">
        <is>
          <t>Avverkning för annat ändamål</t>
        </is>
      </c>
      <c r="D706" s="1" t="n">
        <v>45677</v>
      </c>
      <c r="E706" s="1" t="n">
        <v>46291</v>
      </c>
      <c r="F706" t="inlineStr">
        <is>
          <t>UPPSALA LÄN</t>
        </is>
      </c>
      <c r="G706" t="inlineStr">
        <is>
          <t>UPPSALA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11162-2022</t>
        </is>
      </c>
      <c r="B707" t="inlineStr">
        <is>
          <t>avverkningsanmälan</t>
        </is>
      </c>
      <c r="C707" t="inlineStr">
        <is>
          <t>Föryngringsavverkning</t>
        </is>
      </c>
      <c r="D707" s="1" t="n">
        <v>44629</v>
      </c>
      <c r="E707" s="1" t="n">
        <v>46291</v>
      </c>
      <c r="F707" t="inlineStr">
        <is>
          <t>UPPSALA LÄN</t>
        </is>
      </c>
      <c r="G707" t="inlineStr">
        <is>
          <t>UPPSALA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8132-2024</t>
        </is>
      </c>
      <c r="B708" t="inlineStr">
        <is>
          <t>avverkningsanmälan</t>
        </is>
      </c>
      <c r="C708" t="inlineStr">
        <is>
          <t>Föryngringsavverkning</t>
        </is>
      </c>
      <c r="D708" s="1" t="n">
        <v>45351</v>
      </c>
      <c r="E708" s="1" t="n">
        <v>46291</v>
      </c>
      <c r="F708" t="inlineStr">
        <is>
          <t>UPPSALA LÄN</t>
        </is>
      </c>
      <c r="G708" t="inlineStr">
        <is>
          <t>UPPSALA</t>
        </is>
      </c>
      <c r="H708" t="inlineStr">
        <is>
          <t>Övriga Aktiebolag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33907-2026</t>
        </is>
      </c>
      <c r="B709" t="inlineStr">
        <is>
          <t>avverkningsanmälan</t>
        </is>
      </c>
      <c r="C709" t="inlineStr">
        <is>
          <t>Föryngringsavverkning</t>
        </is>
      </c>
      <c r="D709" s="1" t="n">
        <v>46251</v>
      </c>
      <c r="E709" s="1" t="n">
        <v>46291</v>
      </c>
      <c r="F709" t="inlineStr">
        <is>
          <t>UPPSALA LÄN</t>
        </is>
      </c>
      <c r="G709" t="inlineStr">
        <is>
          <t>UPPSALA</t>
        </is>
      </c>
      <c r="H709" t="inlineStr">
        <is>
          <t>Bergvik skog öst AB</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20087-2023</t>
        </is>
      </c>
      <c r="B710" t="inlineStr">
        <is>
          <t>avverkningsanmälan</t>
        </is>
      </c>
      <c r="C710" t="inlineStr">
        <is>
          <t>Föryngringsavverkning</t>
        </is>
      </c>
      <c r="D710" s="1" t="n">
        <v>45054</v>
      </c>
      <c r="E710" s="1" t="n">
        <v>46291</v>
      </c>
      <c r="F710" t="inlineStr">
        <is>
          <t>UPPSALA LÄN</t>
        </is>
      </c>
      <c r="G710" t="inlineStr">
        <is>
          <t>UPPSALA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30244-2026</t>
        </is>
      </c>
      <c r="B711" t="inlineStr">
        <is>
          <t>avverkningsanmälan</t>
        </is>
      </c>
      <c r="C711" t="inlineStr">
        <is>
          <t>Föryngringsavverkning</t>
        </is>
      </c>
      <c r="D711" s="1" t="n">
        <v>46206</v>
      </c>
      <c r="E711" s="1" t="n">
        <v>46291</v>
      </c>
      <c r="F711" t="inlineStr">
        <is>
          <t>UPPSALA LÄN</t>
        </is>
      </c>
      <c r="G711" t="inlineStr">
        <is>
          <t>UPPSALA</t>
        </is>
      </c>
      <c r="H711" t="inlineStr">
        <is>
          <t>Övriga Aktiebolag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33904-2026</t>
        </is>
      </c>
      <c r="B712" t="inlineStr">
        <is>
          <t>avverkningsanmälan</t>
        </is>
      </c>
      <c r="C712" t="inlineStr">
        <is>
          <t>Föryngringsavverkning</t>
        </is>
      </c>
      <c r="D712" s="1" t="n">
        <v>46251</v>
      </c>
      <c r="E712" s="1" t="n">
        <v>46291</v>
      </c>
      <c r="F712" t="inlineStr">
        <is>
          <t>UPPSALA LÄN</t>
        </is>
      </c>
      <c r="G712" t="inlineStr">
        <is>
          <t>UPPSALA</t>
        </is>
      </c>
      <c r="H712" t="inlineStr">
        <is>
          <t>Bergvik skog öst AB</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45575-2023</t>
        </is>
      </c>
      <c r="B713" t="inlineStr">
        <is>
          <t>avverkningsanmälan</t>
        </is>
      </c>
      <c r="C713" t="inlineStr">
        <is>
          <t>Föryngringsavverkning</t>
        </is>
      </c>
      <c r="D713" s="1" t="n">
        <v>45194</v>
      </c>
      <c r="E713" s="1" t="n">
        <v>46291</v>
      </c>
      <c r="F713" t="inlineStr">
        <is>
          <t>UPPSALA LÄN</t>
        </is>
      </c>
      <c r="G713" t="inlineStr">
        <is>
          <t>UPPSALA</t>
        </is>
      </c>
      <c r="H713" t="inlineStr">
        <is>
          <t>Bergvik skog öst AB</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39865-2022</t>
        </is>
      </c>
      <c r="B714" t="inlineStr">
        <is>
          <t>avverkningsanmälan</t>
        </is>
      </c>
      <c r="C714" t="inlineStr">
        <is>
          <t>Föryngringsavverkning</t>
        </is>
      </c>
      <c r="D714" s="1" t="n">
        <v>44819</v>
      </c>
      <c r="E714" s="1" t="n">
        <v>46291</v>
      </c>
      <c r="F714" t="inlineStr">
        <is>
          <t>UPPSALA LÄN</t>
        </is>
      </c>
      <c r="G714" t="inlineStr">
        <is>
          <t>UPPSALA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30272-2026</t>
        </is>
      </c>
      <c r="B715" t="inlineStr">
        <is>
          <t>avverkningsanmälan</t>
        </is>
      </c>
      <c r="C715" t="inlineStr">
        <is>
          <t>Föryngringsavverkning</t>
        </is>
      </c>
      <c r="D715" s="1" t="n">
        <v>46206</v>
      </c>
      <c r="E715" s="1" t="n">
        <v>46291</v>
      </c>
      <c r="F715" t="inlineStr">
        <is>
          <t>UPPSALA LÄN</t>
        </is>
      </c>
      <c r="G715" t="inlineStr">
        <is>
          <t>UPPSALA</t>
        </is>
      </c>
      <c r="H715" t="inlineStr">
        <is>
          <t>Övriga Aktiebolag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33906-2026</t>
        </is>
      </c>
      <c r="B716" t="inlineStr">
        <is>
          <t>avverkningsanmälan</t>
        </is>
      </c>
      <c r="C716" t="inlineStr">
        <is>
          <t>Föryngringsavverkning</t>
        </is>
      </c>
      <c r="D716" s="1" t="n">
        <v>46251</v>
      </c>
      <c r="E716" s="1" t="n">
        <v>46291</v>
      </c>
      <c r="F716" t="inlineStr">
        <is>
          <t>UPPSALA LÄN</t>
        </is>
      </c>
      <c r="G716" t="inlineStr">
        <is>
          <t>UPPSALA</t>
        </is>
      </c>
      <c r="H716" t="inlineStr">
        <is>
          <t>Bergvik skog öst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30095-2026</t>
        </is>
      </c>
      <c r="B717" t="inlineStr">
        <is>
          <t>avverkningsanmälan</t>
        </is>
      </c>
      <c r="C717" t="inlineStr">
        <is>
          <t>Föryngringsavverkning</t>
        </is>
      </c>
      <c r="D717" s="1" t="n">
        <v>46206</v>
      </c>
      <c r="E717" s="1" t="n">
        <v>46291</v>
      </c>
      <c r="F717" t="inlineStr">
        <is>
          <t>UPPSALA LÄN</t>
        </is>
      </c>
      <c r="G717" t="inlineStr">
        <is>
          <t>UPPSALA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20206-2023</t>
        </is>
      </c>
      <c r="B718" t="inlineStr">
        <is>
          <t>avverkningsanmälan</t>
        </is>
      </c>
      <c r="C718" t="inlineStr">
        <is>
          <t>Föryngringsavverkning</t>
        </is>
      </c>
      <c r="D718" s="1" t="n">
        <v>45055</v>
      </c>
      <c r="E718" s="1" t="n">
        <v>46291</v>
      </c>
      <c r="F718" t="inlineStr">
        <is>
          <t>UPPSALA LÄN</t>
        </is>
      </c>
      <c r="G718" t="inlineStr">
        <is>
          <t>UPPSALA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33905-2026</t>
        </is>
      </c>
      <c r="B719" t="inlineStr">
        <is>
          <t>avverkningsanmälan</t>
        </is>
      </c>
      <c r="C719" t="inlineStr">
        <is>
          <t>Föryngringsavverkning</t>
        </is>
      </c>
      <c r="D719" s="1" t="n">
        <v>46251</v>
      </c>
      <c r="E719" s="1" t="n">
        <v>46291</v>
      </c>
      <c r="F719" t="inlineStr">
        <is>
          <t>UPPSALA LÄN</t>
        </is>
      </c>
      <c r="G719" t="inlineStr">
        <is>
          <t>UPPSALA</t>
        </is>
      </c>
      <c r="H719" t="inlineStr">
        <is>
          <t>Bergvik skog öst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43029-2023</t>
        </is>
      </c>
      <c r="B720" t="inlineStr">
        <is>
          <t>avverkningsanmälan</t>
        </is>
      </c>
      <c r="C720" t="inlineStr">
        <is>
          <t>Föryngringsavverkning</t>
        </is>
      </c>
      <c r="D720" s="1" t="n">
        <v>45182</v>
      </c>
      <c r="E720" s="1" t="n">
        <v>46291</v>
      </c>
      <c r="F720" t="inlineStr">
        <is>
          <t>UPPSALA LÄN</t>
        </is>
      </c>
      <c r="G720" t="inlineStr">
        <is>
          <t>UPPSALA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43031-2023</t>
        </is>
      </c>
      <c r="B721" t="inlineStr">
        <is>
          <t>avverkningsanmälan</t>
        </is>
      </c>
      <c r="C721" t="inlineStr">
        <is>
          <t>Föryngringsavverkning</t>
        </is>
      </c>
      <c r="D721" s="1" t="n">
        <v>45182</v>
      </c>
      <c r="E721" s="1" t="n">
        <v>46291</v>
      </c>
      <c r="F721" t="inlineStr">
        <is>
          <t>UPPSALA LÄN</t>
        </is>
      </c>
      <c r="G721" t="inlineStr">
        <is>
          <t>UPPSALA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30054-2026</t>
        </is>
      </c>
      <c r="B722" t="inlineStr">
        <is>
          <t>avverkningsanmälan</t>
        </is>
      </c>
      <c r="C722" t="inlineStr">
        <is>
          <t>Föryngringsavverkning</t>
        </is>
      </c>
      <c r="D722" s="1" t="n">
        <v>46206</v>
      </c>
      <c r="E722" s="1" t="n">
        <v>46291</v>
      </c>
      <c r="F722" t="inlineStr">
        <is>
          <t>UPPSALA LÄN</t>
        </is>
      </c>
      <c r="G722" t="inlineStr">
        <is>
          <t>UPPSALA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26762-2023</t>
        </is>
      </c>
      <c r="B723" t="inlineStr">
        <is>
          <t>avverkningsanmälan</t>
        </is>
      </c>
      <c r="C723" t="inlineStr">
        <is>
          <t>Föryngringsavverkning</t>
        </is>
      </c>
      <c r="D723" s="1" t="n">
        <v>45093</v>
      </c>
      <c r="E723" s="1" t="n">
        <v>46291</v>
      </c>
      <c r="F723" t="inlineStr">
        <is>
          <t>UPPSALA LÄN</t>
        </is>
      </c>
      <c r="G723" t="inlineStr">
        <is>
          <t>UPPSALA</t>
        </is>
      </c>
      <c r="H723" t="inlineStr">
        <is>
          <t>Sveaskog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53224-2025</t>
        </is>
      </c>
      <c r="B724" t="inlineStr">
        <is>
          <t>avverkningsanmälan</t>
        </is>
      </c>
      <c r="C724" t="inlineStr">
        <is>
          <t>Föryngringsavverkning</t>
        </is>
      </c>
      <c r="D724" s="1" t="n">
        <v>45958</v>
      </c>
      <c r="E724" s="1" t="n">
        <v>46291</v>
      </c>
      <c r="F724" t="inlineStr">
        <is>
          <t>UPPSALA LÄN</t>
        </is>
      </c>
      <c r="G724" t="inlineStr">
        <is>
          <t>UPPSALA</t>
        </is>
      </c>
      <c r="H724" t="inlineStr">
        <is>
          <t>Bergvik skog väst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16434-2024</t>
        </is>
      </c>
      <c r="B725" t="inlineStr">
        <is>
          <t>avverkningsanmälan</t>
        </is>
      </c>
      <c r="C725" t="inlineStr">
        <is>
          <t>Föryngringsavverkning</t>
        </is>
      </c>
      <c r="D725" s="1" t="n">
        <v>45407</v>
      </c>
      <c r="E725" s="1" t="n">
        <v>46291</v>
      </c>
      <c r="F725" t="inlineStr">
        <is>
          <t>UPPSALA LÄN</t>
        </is>
      </c>
      <c r="G725" t="inlineStr">
        <is>
          <t>UPPSALA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44080-2023</t>
        </is>
      </c>
      <c r="B726" t="inlineStr">
        <is>
          <t>avverkningsanmälan</t>
        </is>
      </c>
      <c r="C726" t="inlineStr">
        <is>
          <t>Föryngringsavverkning</t>
        </is>
      </c>
      <c r="D726" s="1" t="n">
        <v>45188</v>
      </c>
      <c r="E726" s="1" t="n">
        <v>46291</v>
      </c>
      <c r="F726" t="inlineStr">
        <is>
          <t>UPPSALA LÄN</t>
        </is>
      </c>
      <c r="G726" t="inlineStr">
        <is>
          <t>UPPSALA</t>
        </is>
      </c>
      <c r="I726" t="n">
        <v>13.3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53963-2023</t>
        </is>
      </c>
      <c r="B727" t="inlineStr">
        <is>
          <t>avverkningsanmälan</t>
        </is>
      </c>
      <c r="C727" t="inlineStr">
        <is>
          <t>Föryngringsavverkning</t>
        </is>
      </c>
      <c r="D727" s="1" t="n">
        <v>45231</v>
      </c>
      <c r="E727" s="1" t="n">
        <v>46291</v>
      </c>
      <c r="F727" t="inlineStr">
        <is>
          <t>UPPSALA LÄN</t>
        </is>
      </c>
      <c r="G727" t="inlineStr">
        <is>
          <t>UPPSALA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2897-2025</t>
        </is>
      </c>
      <c r="B728" t="inlineStr">
        <is>
          <t>avverkningsanmälan</t>
        </is>
      </c>
      <c r="C728" t="inlineStr">
        <is>
          <t>Föryngringsavverkning</t>
        </is>
      </c>
      <c r="D728" s="1" t="n">
        <v>45677</v>
      </c>
      <c r="E728" s="1" t="n">
        <v>46291</v>
      </c>
      <c r="F728" t="inlineStr">
        <is>
          <t>UPPSALA LÄN</t>
        </is>
      </c>
      <c r="G728" t="inlineStr">
        <is>
          <t>UPPSALA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6059-2025</t>
        </is>
      </c>
      <c r="B729" t="inlineStr">
        <is>
          <t>avverkningsanmälan</t>
        </is>
      </c>
      <c r="C729" t="inlineStr">
        <is>
          <t>Föryngringsavverkning</t>
        </is>
      </c>
      <c r="D729" s="1" t="n">
        <v>45695</v>
      </c>
      <c r="E729" s="1" t="n">
        <v>46291</v>
      </c>
      <c r="F729" t="inlineStr">
        <is>
          <t>UPPSALA LÄN</t>
        </is>
      </c>
      <c r="G729" t="inlineStr">
        <is>
          <t>UPPSALA</t>
        </is>
      </c>
      <c r="H729" t="inlineStr">
        <is>
          <t>Bergvik skog öst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34469-2026</t>
        </is>
      </c>
      <c r="B730" t="inlineStr">
        <is>
          <t>avverkningsanmälan</t>
        </is>
      </c>
      <c r="C730" t="inlineStr">
        <is>
          <t>Föryngringsavverkning</t>
        </is>
      </c>
      <c r="D730" s="1" t="n">
        <v>46254</v>
      </c>
      <c r="E730" s="1" t="n">
        <v>46291</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50395-2023</t>
        </is>
      </c>
      <c r="B731" t="inlineStr">
        <is>
          <t>avverkningsanmälan</t>
        </is>
      </c>
      <c r="C731" t="inlineStr">
        <is>
          <t>Föryngringsavverkning</t>
        </is>
      </c>
      <c r="D731" s="1" t="n">
        <v>45216</v>
      </c>
      <c r="E731" s="1" t="n">
        <v>46291</v>
      </c>
      <c r="F731" t="inlineStr">
        <is>
          <t>UPPSALA LÄN</t>
        </is>
      </c>
      <c r="G731" t="inlineStr">
        <is>
          <t>UPPSALA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50473-2023</t>
        </is>
      </c>
      <c r="B732" t="inlineStr">
        <is>
          <t>avverkningsanmälan</t>
        </is>
      </c>
      <c r="C732" t="inlineStr">
        <is>
          <t>Föryngringsavverkning</t>
        </is>
      </c>
      <c r="D732" s="1" t="n">
        <v>45216</v>
      </c>
      <c r="E732" s="1" t="n">
        <v>46291</v>
      </c>
      <c r="F732" t="inlineStr">
        <is>
          <t>UPPSALA LÄN</t>
        </is>
      </c>
      <c r="G732" t="inlineStr">
        <is>
          <t>UPPSALA</t>
        </is>
      </c>
      <c r="H732" t="inlineStr">
        <is>
          <t>Allmännings- och besparingsskogar</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5725-2025</t>
        </is>
      </c>
      <c r="B733" t="inlineStr">
        <is>
          <t>avverkningsanmälan</t>
        </is>
      </c>
      <c r="C733" t="inlineStr">
        <is>
          <t>Föryngringsavverkning</t>
        </is>
      </c>
      <c r="D733" s="1" t="n">
        <v>45694</v>
      </c>
      <c r="E733" s="1" t="n">
        <v>46291</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4059-2022</t>
        </is>
      </c>
      <c r="B734" t="inlineStr">
        <is>
          <t>avverkningsanmälan</t>
        </is>
      </c>
      <c r="C734" t="inlineStr">
        <is>
          <t>Föryngringsavverkning</t>
        </is>
      </c>
      <c r="D734" s="1" t="n">
        <v>44588</v>
      </c>
      <c r="E734" s="1" t="n">
        <v>46291</v>
      </c>
      <c r="F734" t="inlineStr">
        <is>
          <t>UPPSALA LÄN</t>
        </is>
      </c>
      <c r="G734" t="inlineStr">
        <is>
          <t>UPPSALA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34762-2026</t>
        </is>
      </c>
      <c r="B735" t="inlineStr">
        <is>
          <t>avverkningsanmälan</t>
        </is>
      </c>
      <c r="C735" t="inlineStr">
        <is>
          <t>Föryngringsavverkning</t>
        </is>
      </c>
      <c r="D735" s="1" t="n">
        <v>46258</v>
      </c>
      <c r="E735" s="1" t="n">
        <v>46291</v>
      </c>
      <c r="F735" t="inlineStr">
        <is>
          <t>UPPSALA LÄN</t>
        </is>
      </c>
      <c r="G735" t="inlineStr">
        <is>
          <t>UPPSALA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48564-2023</t>
        </is>
      </c>
      <c r="B736" t="inlineStr">
        <is>
          <t>avverkningsanmälan</t>
        </is>
      </c>
      <c r="C736" t="inlineStr">
        <is>
          <t>Föryngringsavverkning</t>
        </is>
      </c>
      <c r="D736" s="1" t="n">
        <v>45208</v>
      </c>
      <c r="E736" s="1" t="n">
        <v>46291</v>
      </c>
      <c r="F736" t="inlineStr">
        <is>
          <t>UPPSALA LÄN</t>
        </is>
      </c>
      <c r="G736" t="inlineStr">
        <is>
          <t>UPPSALA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7501-2025</t>
        </is>
      </c>
      <c r="B737" t="inlineStr">
        <is>
          <t>avverkningsanmälan</t>
        </is>
      </c>
      <c r="C737" t="inlineStr">
        <is>
          <t>Föryngringsavverkning</t>
        </is>
      </c>
      <c r="D737" s="1" t="n">
        <v>45705</v>
      </c>
      <c r="E737" s="1" t="n">
        <v>46291</v>
      </c>
      <c r="F737" t="inlineStr">
        <is>
          <t>UPPSALA LÄN</t>
        </is>
      </c>
      <c r="G737" t="inlineStr">
        <is>
          <t>UPPSALA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42273-2023</t>
        </is>
      </c>
      <c r="B738" t="inlineStr">
        <is>
          <t>avverkningsanmälan</t>
        </is>
      </c>
      <c r="C738" t="inlineStr">
        <is>
          <t>Föryngringsavverkning</t>
        </is>
      </c>
      <c r="D738" s="1" t="n">
        <v>45180</v>
      </c>
      <c r="E738" s="1" t="n">
        <v>46291</v>
      </c>
      <c r="F738" t="inlineStr">
        <is>
          <t>UPPSALA LÄN</t>
        </is>
      </c>
      <c r="G738" t="inlineStr">
        <is>
          <t>UPPSALA</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8877-2022</t>
        </is>
      </c>
      <c r="B739" t="inlineStr">
        <is>
          <t>avverkningsanmälan</t>
        </is>
      </c>
      <c r="C739" t="inlineStr">
        <is>
          <t>Föryngringsavverkning</t>
        </is>
      </c>
      <c r="D739" s="1" t="n">
        <v>44614</v>
      </c>
      <c r="E739" s="1" t="n">
        <v>46291</v>
      </c>
      <c r="F739" t="inlineStr">
        <is>
          <t>UPPSALA LÄN</t>
        </is>
      </c>
      <c r="G739" t="inlineStr">
        <is>
          <t>UPPSALA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17562-2022</t>
        </is>
      </c>
      <c r="B740" t="inlineStr">
        <is>
          <t>avverkningsanmälan</t>
        </is>
      </c>
      <c r="C740" t="inlineStr">
        <is>
          <t>Föryngringsavverkning</t>
        </is>
      </c>
      <c r="D740" s="1" t="n">
        <v>44679</v>
      </c>
      <c r="E740" s="1" t="n">
        <v>46291</v>
      </c>
      <c r="F740" t="inlineStr">
        <is>
          <t>UPPSALA LÄN</t>
        </is>
      </c>
      <c r="G740" t="inlineStr">
        <is>
          <t>UPPSALA</t>
        </is>
      </c>
      <c r="H740" t="inlineStr">
        <is>
          <t>Bergvik skog öst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36123-2023</t>
        </is>
      </c>
      <c r="B741" t="inlineStr">
        <is>
          <t>avverkningsanmälan</t>
        </is>
      </c>
      <c r="C741" t="inlineStr">
        <is>
          <t>Föryngringsavverkning</t>
        </is>
      </c>
      <c r="D741" s="1" t="n">
        <v>45149</v>
      </c>
      <c r="E741" s="1" t="n">
        <v>46291</v>
      </c>
      <c r="F741" t="inlineStr">
        <is>
          <t>UPPSALA LÄN</t>
        </is>
      </c>
      <c r="G741" t="inlineStr">
        <is>
          <t>UPPSALA</t>
        </is>
      </c>
      <c r="H741" t="inlineStr">
        <is>
          <t>Allmännings- och besparingsskogar</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31210-2026</t>
        </is>
      </c>
      <c r="B742" t="inlineStr">
        <is>
          <t>avverkningsanmälan</t>
        </is>
      </c>
      <c r="C742" t="inlineStr">
        <is>
          <t>Avverkning för att bevara och utveckla /försöksver</t>
        </is>
      </c>
      <c r="D742" s="1" t="n">
        <v>46217</v>
      </c>
      <c r="E742" s="1" t="n">
        <v>46291</v>
      </c>
      <c r="F742" t="inlineStr">
        <is>
          <t>UPPSALA LÄN</t>
        </is>
      </c>
      <c r="G742" t="inlineStr">
        <is>
          <t>UPPSALA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42543-2023</t>
        </is>
      </c>
      <c r="B743" t="inlineStr">
        <is>
          <t>avverkningsanmälan</t>
        </is>
      </c>
      <c r="C743" t="inlineStr">
        <is>
          <t>Föryngringsavverkning</t>
        </is>
      </c>
      <c r="D743" s="1" t="n">
        <v>45181</v>
      </c>
      <c r="E743" s="1" t="n">
        <v>46291</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59585-2023</t>
        </is>
      </c>
      <c r="B744" t="inlineStr">
        <is>
          <t>avverkningsanmälan</t>
        </is>
      </c>
      <c r="C744" t="inlineStr">
        <is>
          <t>Föryngringsavverkning</t>
        </is>
      </c>
      <c r="D744" s="1" t="n">
        <v>45254</v>
      </c>
      <c r="E744" s="1" t="n">
        <v>46291</v>
      </c>
      <c r="F744" t="inlineStr">
        <is>
          <t>UPPSALA LÄN</t>
        </is>
      </c>
      <c r="G744" t="inlineStr">
        <is>
          <t>UPPSALA</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17558-2022</t>
        </is>
      </c>
      <c r="B745" t="inlineStr">
        <is>
          <t>avverkningsanmälan</t>
        </is>
      </c>
      <c r="C745" t="inlineStr">
        <is>
          <t>Föryngringsavverkning</t>
        </is>
      </c>
      <c r="D745" s="1" t="n">
        <v>44679</v>
      </c>
      <c r="E745" s="1" t="n">
        <v>46291</v>
      </c>
      <c r="F745" t="inlineStr">
        <is>
          <t>UPPSALA LÄN</t>
        </is>
      </c>
      <c r="G745" t="inlineStr">
        <is>
          <t>UPPSALA</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35142-2026</t>
        </is>
      </c>
      <c r="B746" t="inlineStr">
        <is>
          <t>avverkningsanmälan</t>
        </is>
      </c>
      <c r="C746" t="inlineStr">
        <is>
          <t>Föryngringsavverkning</t>
        </is>
      </c>
      <c r="D746" s="1" t="n">
        <v>46260</v>
      </c>
      <c r="E746" s="1" t="n">
        <v>46291</v>
      </c>
      <c r="F746" t="inlineStr">
        <is>
          <t>UPPSALA LÄN</t>
        </is>
      </c>
      <c r="G746" t="inlineStr">
        <is>
          <t>UPPSALA</t>
        </is>
      </c>
      <c r="H746" t="inlineStr">
        <is>
          <t>Kyrkan</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43818-2023</t>
        </is>
      </c>
      <c r="B747" t="inlineStr">
        <is>
          <t>avverkningsanmälan</t>
        </is>
      </c>
      <c r="C747" t="inlineStr">
        <is>
          <t>Föryngringsavverkning</t>
        </is>
      </c>
      <c r="D747" s="1" t="n">
        <v>45182</v>
      </c>
      <c r="E747" s="1" t="n">
        <v>46291</v>
      </c>
      <c r="F747" t="inlineStr">
        <is>
          <t>UPPSALA LÄN</t>
        </is>
      </c>
      <c r="G747" t="inlineStr">
        <is>
          <t>UPPSALA</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31304-2026</t>
        </is>
      </c>
      <c r="B748" t="inlineStr">
        <is>
          <t>avverkningsanmälan</t>
        </is>
      </c>
      <c r="C748" t="inlineStr">
        <is>
          <t>Föryngringsavverkning</t>
        </is>
      </c>
      <c r="D748" s="1" t="n">
        <v>46218</v>
      </c>
      <c r="E748" s="1" t="n">
        <v>46291</v>
      </c>
      <c r="F748" t="inlineStr">
        <is>
          <t>UPPSALA LÄN</t>
        </is>
      </c>
      <c r="G748" t="inlineStr">
        <is>
          <t>UPPSALA</t>
        </is>
      </c>
      <c r="H748" t="inlineStr">
        <is>
          <t>Bergvik skog öst AB</t>
        </is>
      </c>
      <c r="I748" t="n">
        <v>12.1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35311-2026</t>
        </is>
      </c>
      <c r="B749" t="inlineStr">
        <is>
          <t>avverkningsanmälan</t>
        </is>
      </c>
      <c r="C749" t="inlineStr">
        <is>
          <t>Föryngringsavverkning</t>
        </is>
      </c>
      <c r="D749" s="1" t="n">
        <v>46261</v>
      </c>
      <c r="E749" s="1" t="n">
        <v>46291</v>
      </c>
      <c r="F749" t="inlineStr">
        <is>
          <t>UPPSALA LÄN</t>
        </is>
      </c>
      <c r="G749" t="inlineStr">
        <is>
          <t>UPPSALA</t>
        </is>
      </c>
      <c r="H749" t="inlineStr">
        <is>
          <t>Allmännings- och besparingsskogar</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5729-2025</t>
        </is>
      </c>
      <c r="B750" t="inlineStr">
        <is>
          <t>avverkningsanmälan</t>
        </is>
      </c>
      <c r="C750" t="inlineStr">
        <is>
          <t>Avverkning för att bevara och utveckla /försöksver</t>
        </is>
      </c>
      <c r="D750" s="1" t="n">
        <v>45694</v>
      </c>
      <c r="E750" s="1" t="n">
        <v>46291</v>
      </c>
      <c r="F750" t="inlineStr">
        <is>
          <t>UPPSALA LÄN</t>
        </is>
      </c>
      <c r="G750" t="inlineStr">
        <is>
          <t>UPPSALA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20497-2022</t>
        </is>
      </c>
      <c r="B751" t="inlineStr">
        <is>
          <t>avverkningsanmälan</t>
        </is>
      </c>
      <c r="C751" t="inlineStr">
        <is>
          <t>Föryngringsavverkning</t>
        </is>
      </c>
      <c r="D751" s="1" t="n">
        <v>44699</v>
      </c>
      <c r="E751" s="1" t="n">
        <v>46291</v>
      </c>
      <c r="F751" t="inlineStr">
        <is>
          <t>UPPSALA LÄN</t>
        </is>
      </c>
      <c r="G751" t="inlineStr">
        <is>
          <t>UPPSALA</t>
        </is>
      </c>
      <c r="H751" t="inlineStr">
        <is>
          <t>Övriga statliga verk och myndigheter</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52503-2023</t>
        </is>
      </c>
      <c r="B752" t="inlineStr">
        <is>
          <t>avverkningsanmälan</t>
        </is>
      </c>
      <c r="C752" t="inlineStr">
        <is>
          <t>Föryngringsavverkning</t>
        </is>
      </c>
      <c r="D752" s="1" t="n">
        <v>45225</v>
      </c>
      <c r="E752" s="1" t="n">
        <v>46291</v>
      </c>
      <c r="F752" t="inlineStr">
        <is>
          <t>UPPSALA LÄN</t>
        </is>
      </c>
      <c r="G752" t="inlineStr">
        <is>
          <t>UPPSALA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60447-2023</t>
        </is>
      </c>
      <c r="B753" t="inlineStr">
        <is>
          <t>avverkningsanmälan</t>
        </is>
      </c>
      <c r="C753" t="inlineStr">
        <is>
          <t>Föryngringsavverkning</t>
        </is>
      </c>
      <c r="D753" s="1" t="n">
        <v>45259</v>
      </c>
      <c r="E753" s="1" t="n">
        <v>46291</v>
      </c>
      <c r="F753" t="inlineStr">
        <is>
          <t>UPPSALA LÄN</t>
        </is>
      </c>
      <c r="G753" t="inlineStr">
        <is>
          <t>UPPSALA</t>
        </is>
      </c>
      <c r="H753" t="inlineStr">
        <is>
          <t>Bergvik skog öst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54783-2023</t>
        </is>
      </c>
      <c r="B754" t="inlineStr">
        <is>
          <t>avverkningsanmälan</t>
        </is>
      </c>
      <c r="C754" t="inlineStr">
        <is>
          <t>Föryngringsavverkning</t>
        </is>
      </c>
      <c r="D754" s="1" t="n">
        <v>45236</v>
      </c>
      <c r="E754" s="1" t="n">
        <v>46291</v>
      </c>
      <c r="F754" t="inlineStr">
        <is>
          <t>UPPSALA LÄN</t>
        </is>
      </c>
      <c r="G754" t="inlineStr">
        <is>
          <t>UPPSALA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600-2024</t>
        </is>
      </c>
      <c r="B755" t="inlineStr">
        <is>
          <t>avverkningsanmälan</t>
        </is>
      </c>
      <c r="C755" t="inlineStr">
        <is>
          <t>Avverkning för annat ändamål</t>
        </is>
      </c>
      <c r="D755" s="1" t="n">
        <v>45299</v>
      </c>
      <c r="E755" s="1" t="n">
        <v>46291</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29902-2026</t>
        </is>
      </c>
      <c r="B756" t="inlineStr">
        <is>
          <t>avverkningsanmälan</t>
        </is>
      </c>
      <c r="C756" t="inlineStr">
        <is>
          <t>Föryngringsavverkning</t>
        </is>
      </c>
      <c r="D756" s="1" t="n">
        <v>46205</v>
      </c>
      <c r="E756" s="1" t="n">
        <v>46291</v>
      </c>
      <c r="F756" t="inlineStr">
        <is>
          <t>UPPSALA LÄN</t>
        </is>
      </c>
      <c r="G756" t="inlineStr">
        <is>
          <t>UPPSALA</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62287-2023</t>
        </is>
      </c>
      <c r="B757" t="inlineStr">
        <is>
          <t>avverkningsanmälan</t>
        </is>
      </c>
      <c r="C757" t="inlineStr">
        <is>
          <t>Föryngringsavverkning</t>
        </is>
      </c>
      <c r="D757" s="1" t="n">
        <v>45267</v>
      </c>
      <c r="E757" s="1" t="n">
        <v>46291</v>
      </c>
      <c r="F757" t="inlineStr">
        <is>
          <t>UPPSALA LÄN</t>
        </is>
      </c>
      <c r="G757" t="inlineStr">
        <is>
          <t>UPPSALA</t>
        </is>
      </c>
      <c r="H757" t="inlineStr">
        <is>
          <t>Allmännings- och besparingsskogar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54808-2023</t>
        </is>
      </c>
      <c r="B758" t="inlineStr">
        <is>
          <t>avverkningsanmälan</t>
        </is>
      </c>
      <c r="C758" t="inlineStr">
        <is>
          <t>Föryngringsavverkning</t>
        </is>
      </c>
      <c r="D758" s="1" t="n">
        <v>45236</v>
      </c>
      <c r="E758" s="1" t="n">
        <v>46291</v>
      </c>
      <c r="F758" t="inlineStr">
        <is>
          <t>UPPSALA LÄN</t>
        </is>
      </c>
      <c r="G758" t="inlineStr">
        <is>
          <t>UPPSALA</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34983-2026</t>
        </is>
      </c>
      <c r="B759" t="inlineStr">
        <is>
          <t>avverkningsanmälan</t>
        </is>
      </c>
      <c r="C759" t="inlineStr">
        <is>
          <t>Föryngringsavverkning</t>
        </is>
      </c>
      <c r="D759" s="1" t="n">
        <v>46259</v>
      </c>
      <c r="E759" s="1" t="n">
        <v>46291</v>
      </c>
      <c r="F759" t="inlineStr">
        <is>
          <t>UPPSALA LÄN</t>
        </is>
      </c>
      <c r="G759" t="inlineStr">
        <is>
          <t>UPPSALA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35870-2026</t>
        </is>
      </c>
      <c r="B760" t="inlineStr">
        <is>
          <t>avverkningsanmälan</t>
        </is>
      </c>
      <c r="C760" t="inlineStr">
        <is>
          <t>Föryngringsavverkning</t>
        </is>
      </c>
      <c r="D760" s="1" t="n">
        <v>46266</v>
      </c>
      <c r="E760" s="1" t="n">
        <v>46291</v>
      </c>
      <c r="F760" t="inlineStr">
        <is>
          <t>UPPSALA LÄN</t>
        </is>
      </c>
      <c r="G760" t="inlineStr">
        <is>
          <t>UPPSALA</t>
        </is>
      </c>
      <c r="H760" t="inlineStr">
        <is>
          <t>Kyrkan</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36074-2026</t>
        </is>
      </c>
      <c r="B761" t="inlineStr">
        <is>
          <t>avverkningsanmälan</t>
        </is>
      </c>
      <c r="C761" t="inlineStr">
        <is>
          <t>Föryngringsavverkning</t>
        </is>
      </c>
      <c r="D761" s="1" t="n">
        <v>46267</v>
      </c>
      <c r="E761" s="1" t="n">
        <v>46291</v>
      </c>
      <c r="F761" t="inlineStr">
        <is>
          <t>UPPSALA LÄN</t>
        </is>
      </c>
      <c r="G761" t="inlineStr">
        <is>
          <t>UPPSALA</t>
        </is>
      </c>
      <c r="H761" t="inlineStr">
        <is>
          <t>Övriga Aktiebolag</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36072-2026</t>
        </is>
      </c>
      <c r="B762" t="inlineStr">
        <is>
          <t>avverkningsanmälan</t>
        </is>
      </c>
      <c r="C762" t="inlineStr">
        <is>
          <t>Föryngringsavverkning</t>
        </is>
      </c>
      <c r="D762" s="1" t="n">
        <v>46267</v>
      </c>
      <c r="E762" s="1" t="n">
        <v>46291</v>
      </c>
      <c r="F762" t="inlineStr">
        <is>
          <t>UPPSALA LÄN</t>
        </is>
      </c>
      <c r="G762" t="inlineStr">
        <is>
          <t>UPPSALA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35542-2022</t>
        </is>
      </c>
      <c r="B763" t="inlineStr">
        <is>
          <t>avverkningsanmälan</t>
        </is>
      </c>
      <c r="C763" t="inlineStr">
        <is>
          <t>Föryngringsavverkning</t>
        </is>
      </c>
      <c r="D763" s="1" t="n">
        <v>44799</v>
      </c>
      <c r="E763" s="1" t="n">
        <v>46291</v>
      </c>
      <c r="F763" t="inlineStr">
        <is>
          <t>UPPSALA LÄN</t>
        </is>
      </c>
      <c r="G763" t="inlineStr">
        <is>
          <t>UPPSALA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31607-2026</t>
        </is>
      </c>
      <c r="B764" t="inlineStr">
        <is>
          <t>avverkningsanmälan</t>
        </is>
      </c>
      <c r="C764" t="inlineStr">
        <is>
          <t>Föryngringsavverkning</t>
        </is>
      </c>
      <c r="D764" s="1" t="n">
        <v>46224</v>
      </c>
      <c r="E764" s="1" t="n">
        <v>46291</v>
      </c>
      <c r="F764" t="inlineStr">
        <is>
          <t>UPPSALA LÄN</t>
        </is>
      </c>
      <c r="G764" t="inlineStr">
        <is>
          <t>UPPSALA</t>
        </is>
      </c>
      <c r="H764" t="inlineStr">
        <is>
          <t>Bergvik skog öst AB</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3813-2024</t>
        </is>
      </c>
      <c r="B765" t="inlineStr">
        <is>
          <t>avverkningsanmälan</t>
        </is>
      </c>
      <c r="C765" t="inlineStr">
        <is>
          <t>Föryngringsavverkning</t>
        </is>
      </c>
      <c r="D765" s="1" t="n">
        <v>45321</v>
      </c>
      <c r="E765" s="1" t="n">
        <v>46291</v>
      </c>
      <c r="F765" t="inlineStr">
        <is>
          <t>UPPSALA LÄN</t>
        </is>
      </c>
      <c r="G765" t="inlineStr">
        <is>
          <t>UPPSALA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36139-2026</t>
        </is>
      </c>
      <c r="B766" t="inlineStr">
        <is>
          <t>avverkningsanmälan</t>
        </is>
      </c>
      <c r="C766" t="inlineStr">
        <is>
          <t>Föryngringsavverkning</t>
        </is>
      </c>
      <c r="D766" s="1" t="n">
        <v>46267</v>
      </c>
      <c r="E766" s="1" t="n">
        <v>46291</v>
      </c>
      <c r="F766" t="inlineStr">
        <is>
          <t>UPPSALA LÄN</t>
        </is>
      </c>
      <c r="G766" t="inlineStr">
        <is>
          <t>UPPSALA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3260-2024</t>
        </is>
      </c>
      <c r="B767" t="inlineStr">
        <is>
          <t>avverkningsanmälan</t>
        </is>
      </c>
      <c r="C767" t="inlineStr">
        <is>
          <t>Föryngringsavverkning</t>
        </is>
      </c>
      <c r="D767" s="1" t="n">
        <v>45317</v>
      </c>
      <c r="E767" s="1" t="n">
        <v>46291</v>
      </c>
      <c r="F767" t="inlineStr">
        <is>
          <t>UPPSALA LÄN</t>
        </is>
      </c>
      <c r="G767" t="inlineStr">
        <is>
          <t>UPPSALA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36147-2026</t>
        </is>
      </c>
      <c r="B768" t="inlineStr">
        <is>
          <t>avverkningsanmälan</t>
        </is>
      </c>
      <c r="C768" t="inlineStr">
        <is>
          <t>Föryngringsavverkning</t>
        </is>
      </c>
      <c r="D768" s="1" t="n">
        <v>46267</v>
      </c>
      <c r="E768" s="1" t="n">
        <v>46291</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9611-2024</t>
        </is>
      </c>
      <c r="B769" t="inlineStr">
        <is>
          <t>avverkningsanmälan</t>
        </is>
      </c>
      <c r="C769" t="inlineStr">
        <is>
          <t>Föryngringsavverkning</t>
        </is>
      </c>
      <c r="D769" s="1" t="n">
        <v>45361</v>
      </c>
      <c r="E769" s="1" t="n">
        <v>46291</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36832-2026</t>
        </is>
      </c>
      <c r="B770" t="inlineStr">
        <is>
          <t>avverkningsanmälan</t>
        </is>
      </c>
      <c r="C770" t="inlineStr">
        <is>
          <t>Föryngringsavverkning</t>
        </is>
      </c>
      <c r="D770" s="1" t="n">
        <v>46272</v>
      </c>
      <c r="E770" s="1" t="n">
        <v>46291</v>
      </c>
      <c r="F770" t="inlineStr">
        <is>
          <t>UPPSALA LÄN</t>
        </is>
      </c>
      <c r="G770" t="inlineStr">
        <is>
          <t>UPPSALA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39107-2023</t>
        </is>
      </c>
      <c r="B771" t="inlineStr">
        <is>
          <t>avverkningsanmälan</t>
        </is>
      </c>
      <c r="C771" t="inlineStr">
        <is>
          <t>Föryngringsavverkning</t>
        </is>
      </c>
      <c r="D771" s="1" t="n">
        <v>45164</v>
      </c>
      <c r="E771" s="1" t="n">
        <v>46291</v>
      </c>
      <c r="F771" t="inlineStr">
        <is>
          <t>UPPSALA LÄN</t>
        </is>
      </c>
      <c r="G771" t="inlineStr">
        <is>
          <t>UPPSALA</t>
        </is>
      </c>
      <c r="H771" t="inlineStr">
        <is>
          <t>Bergvik skog öst AB</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8109-2024</t>
        </is>
      </c>
      <c r="B772" t="inlineStr">
        <is>
          <t>avverkningsanmälan</t>
        </is>
      </c>
      <c r="C772" t="inlineStr">
        <is>
          <t>Föryngringsavverkning</t>
        </is>
      </c>
      <c r="D772" s="1" t="n">
        <v>45351</v>
      </c>
      <c r="E772" s="1" t="n">
        <v>46291</v>
      </c>
      <c r="F772" t="inlineStr">
        <is>
          <t>UPPSALA LÄN</t>
        </is>
      </c>
      <c r="G772" t="inlineStr">
        <is>
          <t>UPPSALA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554-2023</t>
        </is>
      </c>
      <c r="B773" t="inlineStr">
        <is>
          <t>avverkningsanmälan</t>
        </is>
      </c>
      <c r="C773" t="inlineStr">
        <is>
          <t>Föryngringsavverkning</t>
        </is>
      </c>
      <c r="D773" s="1" t="n">
        <v>44930</v>
      </c>
      <c r="E773" s="1" t="n">
        <v>46291</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2357-2024</t>
        </is>
      </c>
      <c r="B774" t="inlineStr">
        <is>
          <t>avverkningsanmälan</t>
        </is>
      </c>
      <c r="C774" t="inlineStr">
        <is>
          <t>Föryngringsavverkning</t>
        </is>
      </c>
      <c r="D774" s="1" t="n">
        <v>45310</v>
      </c>
      <c r="E774" s="1" t="n">
        <v>46291</v>
      </c>
      <c r="F774" t="inlineStr">
        <is>
          <t>UPPSALA LÄN</t>
        </is>
      </c>
      <c r="G774" t="inlineStr">
        <is>
          <t>UPPSALA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36948-2026</t>
        </is>
      </c>
      <c r="B775" t="inlineStr">
        <is>
          <t>avverkningsanmälan</t>
        </is>
      </c>
      <c r="C775" t="inlineStr">
        <is>
          <t>Föryngringsavverkning</t>
        </is>
      </c>
      <c r="D775" s="1" t="n">
        <v>46273</v>
      </c>
      <c r="E775" s="1" t="n">
        <v>46291</v>
      </c>
      <c r="F775" t="inlineStr">
        <is>
          <t>UPPSALA LÄN</t>
        </is>
      </c>
      <c r="G775" t="inlineStr">
        <is>
          <t>UPPSALA</t>
        </is>
      </c>
      <c r="H775" t="inlineStr">
        <is>
          <t>Övriga statliga verk och myndigheter</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59489-2023</t>
        </is>
      </c>
      <c r="B776" t="inlineStr">
        <is>
          <t>avverkningsanmälan</t>
        </is>
      </c>
      <c r="C776" t="inlineStr">
        <is>
          <t>Föryngringsavverkning</t>
        </is>
      </c>
      <c r="D776" s="1" t="n">
        <v>45254</v>
      </c>
      <c r="E776" s="1" t="n">
        <v>46291</v>
      </c>
      <c r="F776" t="inlineStr">
        <is>
          <t>UPPSALA LÄN</t>
        </is>
      </c>
      <c r="G776" t="inlineStr">
        <is>
          <t>UPPSALA</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26323-2023</t>
        </is>
      </c>
      <c r="B777" t="inlineStr">
        <is>
          <t>avverkningsanmälan</t>
        </is>
      </c>
      <c r="C777" t="inlineStr">
        <is>
          <t>Föryngringsavverkning</t>
        </is>
      </c>
      <c r="D777" s="1" t="n">
        <v>45091</v>
      </c>
      <c r="E777" s="1" t="n">
        <v>46291</v>
      </c>
      <c r="F777" t="inlineStr">
        <is>
          <t>UPPSALA LÄN</t>
        </is>
      </c>
      <c r="G777" t="inlineStr">
        <is>
          <t>UPPSALA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37207-2026</t>
        </is>
      </c>
      <c r="B778" t="inlineStr">
        <is>
          <t>avverkningsanmälan</t>
        </is>
      </c>
      <c r="C778" t="inlineStr">
        <is>
          <t>Föryngringsavverkning</t>
        </is>
      </c>
      <c r="D778" s="1" t="n">
        <v>46274</v>
      </c>
      <c r="E778" s="1" t="n">
        <v>46291</v>
      </c>
      <c r="F778" t="inlineStr">
        <is>
          <t>UPPSALA LÄN</t>
        </is>
      </c>
      <c r="G778" t="inlineStr">
        <is>
          <t>UPPSALA</t>
        </is>
      </c>
      <c r="H778" t="inlineStr">
        <is>
          <t>Sveaskog</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36950-2026</t>
        </is>
      </c>
      <c r="B779" t="inlineStr">
        <is>
          <t>avverkningsanmälan</t>
        </is>
      </c>
      <c r="C779" t="inlineStr">
        <is>
          <t>Föryngringsavverkning</t>
        </is>
      </c>
      <c r="D779" s="1" t="n">
        <v>46273</v>
      </c>
      <c r="E779" s="1" t="n">
        <v>46291</v>
      </c>
      <c r="F779" t="inlineStr">
        <is>
          <t>UPPSALA LÄN</t>
        </is>
      </c>
      <c r="G779" t="inlineStr">
        <is>
          <t>UPPSALA</t>
        </is>
      </c>
      <c r="H779" t="inlineStr">
        <is>
          <t>Övriga statliga verk och myndigheter</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37173-2026</t>
        </is>
      </c>
      <c r="B780" t="inlineStr">
        <is>
          <t>avverkningsanmälan</t>
        </is>
      </c>
      <c r="C780" t="inlineStr">
        <is>
          <t>Föryngringsavverkning</t>
        </is>
      </c>
      <c r="D780" s="1" t="n">
        <v>46274</v>
      </c>
      <c r="E780" s="1" t="n">
        <v>46291</v>
      </c>
      <c r="F780" t="inlineStr">
        <is>
          <t>UPPSALA LÄN</t>
        </is>
      </c>
      <c r="G780" t="inlineStr">
        <is>
          <t>UPPSALA</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29136-2026</t>
        </is>
      </c>
      <c r="B781" t="inlineStr">
        <is>
          <t>avverkningsanmälan</t>
        </is>
      </c>
      <c r="C781" t="inlineStr">
        <is>
          <t>Föryngringsavverkning</t>
        </is>
      </c>
      <c r="D781" s="1" t="n">
        <v>46202</v>
      </c>
      <c r="E781" s="1" t="n">
        <v>46291</v>
      </c>
      <c r="F781" t="inlineStr">
        <is>
          <t>UPPSALA LÄN</t>
        </is>
      </c>
      <c r="G781" t="inlineStr">
        <is>
          <t>UPPSALA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35717-2026</t>
        </is>
      </c>
      <c r="B782" t="inlineStr">
        <is>
          <t>avverkningsanmälan</t>
        </is>
      </c>
      <c r="C782" t="inlineStr">
        <is>
          <t>Föryngringsavverkning</t>
        </is>
      </c>
      <c r="D782" s="1" t="n">
        <v>46265</v>
      </c>
      <c r="E782" s="1" t="n">
        <v>46291</v>
      </c>
      <c r="F782" t="inlineStr">
        <is>
          <t>UPPSALA LÄN</t>
        </is>
      </c>
      <c r="G782" t="inlineStr">
        <is>
          <t>UPPSALA</t>
        </is>
      </c>
      <c r="H782" t="inlineStr">
        <is>
          <t>Övriga statliga verk och myndigheter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37652-2026</t>
        </is>
      </c>
      <c r="B783" t="inlineStr">
        <is>
          <t>avverkningsanmälan</t>
        </is>
      </c>
      <c r="C783" t="inlineStr">
        <is>
          <t>Föryngringsavverkning</t>
        </is>
      </c>
      <c r="D783" s="1" t="n">
        <v>46276</v>
      </c>
      <c r="E783" s="1" t="n">
        <v>46291</v>
      </c>
      <c r="F783" t="inlineStr">
        <is>
          <t>UPPSALA LÄN</t>
        </is>
      </c>
      <c r="G783" t="inlineStr">
        <is>
          <t>UPPSALA</t>
        </is>
      </c>
      <c r="H783" t="inlineStr">
        <is>
          <t>Bergvik skog öst AB</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37654-2026</t>
        </is>
      </c>
      <c r="B784" t="inlineStr">
        <is>
          <t>avverkningsanmälan</t>
        </is>
      </c>
      <c r="C784" t="inlineStr">
        <is>
          <t>Föryngringsavverkning</t>
        </is>
      </c>
      <c r="D784" s="1" t="n">
        <v>46276</v>
      </c>
      <c r="E784" s="1" t="n">
        <v>46291</v>
      </c>
      <c r="F784" t="inlineStr">
        <is>
          <t>UPPSALA LÄN</t>
        </is>
      </c>
      <c r="G784" t="inlineStr">
        <is>
          <t>UPPSALA</t>
        </is>
      </c>
      <c r="H784" t="inlineStr">
        <is>
          <t>Bergvik skog öst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37374-2026</t>
        </is>
      </c>
      <c r="B785" t="inlineStr">
        <is>
          <t>avverkningsanmälan</t>
        </is>
      </c>
      <c r="C785" t="inlineStr">
        <is>
          <t>Föryngringsavverkning</t>
        </is>
      </c>
      <c r="D785" s="1" t="n">
        <v>46275</v>
      </c>
      <c r="E785" s="1" t="n">
        <v>46291</v>
      </c>
      <c r="F785" t="inlineStr">
        <is>
          <t>UPPSALA LÄN</t>
        </is>
      </c>
      <c r="G785" t="inlineStr">
        <is>
          <t>UPPSALA</t>
        </is>
      </c>
      <c r="H785" t="inlineStr">
        <is>
          <t>Bergvik skog öst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33332-2022</t>
        </is>
      </c>
      <c r="B786" t="inlineStr">
        <is>
          <t>avverkningsanmälan</t>
        </is>
      </c>
      <c r="C786" t="inlineStr">
        <is>
          <t>Föryngringsavverkning</t>
        </is>
      </c>
      <c r="D786" s="1" t="n">
        <v>44788</v>
      </c>
      <c r="E786" s="1" t="n">
        <v>46291</v>
      </c>
      <c r="F786" t="inlineStr">
        <is>
          <t>UPPSALA LÄN</t>
        </is>
      </c>
      <c r="G786" t="inlineStr">
        <is>
          <t>UPPSALA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32312-2026</t>
        </is>
      </c>
      <c r="B787" t="inlineStr">
        <is>
          <t>avverkningsanmälan</t>
        </is>
      </c>
      <c r="C787" t="inlineStr">
        <is>
          <t>Föryngringsavverkning</t>
        </is>
      </c>
      <c r="D787" s="1" t="n">
        <v>46237</v>
      </c>
      <c r="E787" s="1" t="n">
        <v>46291</v>
      </c>
      <c r="F787" t="inlineStr">
        <is>
          <t>UPPSALA LÄN</t>
        </is>
      </c>
      <c r="G787" t="inlineStr">
        <is>
          <t>UPPSALA</t>
        </is>
      </c>
      <c r="H787" t="inlineStr">
        <is>
          <t>Bergvik skog öst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32315-2026</t>
        </is>
      </c>
      <c r="B788" t="inlineStr">
        <is>
          <t>avverkningsanmälan</t>
        </is>
      </c>
      <c r="C788" t="inlineStr">
        <is>
          <t>Föryngringsavverkning</t>
        </is>
      </c>
      <c r="D788" s="1" t="n">
        <v>46237</v>
      </c>
      <c r="E788" s="1" t="n">
        <v>46291</v>
      </c>
      <c r="F788" t="inlineStr">
        <is>
          <t>UPPSALA LÄN</t>
        </is>
      </c>
      <c r="G788" t="inlineStr">
        <is>
          <t>UPPSALA</t>
        </is>
      </c>
      <c r="H788" t="inlineStr">
        <is>
          <t>Bergvik skog öst AB</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39608-2022</t>
        </is>
      </c>
      <c r="B789" t="inlineStr">
        <is>
          <t>avverkningsanmälan</t>
        </is>
      </c>
      <c r="C789" t="inlineStr">
        <is>
          <t>Föryngringsavverkning</t>
        </is>
      </c>
      <c r="D789" s="1" t="n">
        <v>44817</v>
      </c>
      <c r="E789" s="1" t="n">
        <v>46291</v>
      </c>
      <c r="F789" t="inlineStr">
        <is>
          <t>UPPSALA LÄN</t>
        </is>
      </c>
      <c r="G789" t="inlineStr">
        <is>
          <t>UPPSALA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50267-2023</t>
        </is>
      </c>
      <c r="B790" t="inlineStr">
        <is>
          <t>avverkningsanmälan</t>
        </is>
      </c>
      <c r="C790" t="inlineStr">
        <is>
          <t>Föryngringsavverkning</t>
        </is>
      </c>
      <c r="D790" s="1" t="n">
        <v>45216</v>
      </c>
      <c r="E790" s="1" t="n">
        <v>46291</v>
      </c>
      <c r="F790" t="inlineStr">
        <is>
          <t>UPPSALA LÄN</t>
        </is>
      </c>
      <c r="G790" t="inlineStr">
        <is>
          <t>UPPSALA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38085-2026</t>
        </is>
      </c>
      <c r="B791" t="inlineStr">
        <is>
          <t>avverkningsanmälan</t>
        </is>
      </c>
      <c r="C791" t="inlineStr">
        <is>
          <t>Föryngringsavverkning</t>
        </is>
      </c>
      <c r="D791" s="1" t="n">
        <v>46281</v>
      </c>
      <c r="E791" s="1" t="n">
        <v>46291</v>
      </c>
      <c r="F791" t="inlineStr">
        <is>
          <t>UPPSALA LÄN</t>
        </is>
      </c>
      <c r="G791" t="inlineStr">
        <is>
          <t>UPPSALA</t>
        </is>
      </c>
      <c r="H791" t="inlineStr">
        <is>
          <t>Bergvik skog öst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32109-2026</t>
        </is>
      </c>
      <c r="B792" t="inlineStr">
        <is>
          <t>avverkningsanmälan</t>
        </is>
      </c>
      <c r="C792" t="inlineStr">
        <is>
          <t>Föryngringsavverkning</t>
        </is>
      </c>
      <c r="D792" s="1" t="n">
        <v>46234</v>
      </c>
      <c r="E792" s="1" t="n">
        <v>46291</v>
      </c>
      <c r="F792" t="inlineStr">
        <is>
          <t>UPPSALA LÄN</t>
        </is>
      </c>
      <c r="G792" t="inlineStr">
        <is>
          <t>UPPSALA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32103-2026</t>
        </is>
      </c>
      <c r="B793" t="inlineStr">
        <is>
          <t>avverkningsanmälan</t>
        </is>
      </c>
      <c r="C793" t="inlineStr">
        <is>
          <t>Föryngringsavverkning</t>
        </is>
      </c>
      <c r="D793" s="1" t="n">
        <v>46234</v>
      </c>
      <c r="E793" s="1" t="n">
        <v>46291</v>
      </c>
      <c r="F793" t="inlineStr">
        <is>
          <t>UPPSALA LÄN</t>
        </is>
      </c>
      <c r="G793" t="inlineStr">
        <is>
          <t>UPPSALA</t>
        </is>
      </c>
      <c r="I793" t="n">
        <v>10.7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50037-2024</t>
        </is>
      </c>
      <c r="B794" t="inlineStr">
        <is>
          <t>avverkningsanmälan</t>
        </is>
      </c>
      <c r="C794" t="inlineStr">
        <is>
          <t>Föryngringsavverkning</t>
        </is>
      </c>
      <c r="D794" s="1" t="n">
        <v>45599</v>
      </c>
      <c r="E794" s="1" t="n">
        <v>46291</v>
      </c>
      <c r="F794" t="inlineStr">
        <is>
          <t>UPPSALA LÄN</t>
        </is>
      </c>
      <c r="G794" t="inlineStr">
        <is>
          <t>UPPSALA</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32703-2026</t>
        </is>
      </c>
      <c r="B795" t="inlineStr">
        <is>
          <t>avverkningsanmälan</t>
        </is>
      </c>
      <c r="C795" t="inlineStr">
        <is>
          <t>Föryngringsavverkning</t>
        </is>
      </c>
      <c r="D795" s="1" t="n">
        <v>46240</v>
      </c>
      <c r="E795" s="1" t="n">
        <v>46291</v>
      </c>
      <c r="F795" t="inlineStr">
        <is>
          <t>UPPSALA LÄN</t>
        </is>
      </c>
      <c r="G795" t="inlineStr">
        <is>
          <t>UPPSALA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9820-2023</t>
        </is>
      </c>
      <c r="B796" t="inlineStr">
        <is>
          <t>avverkningsanmälan</t>
        </is>
      </c>
      <c r="C796" t="inlineStr">
        <is>
          <t>Föryngringsavverkning</t>
        </is>
      </c>
      <c r="D796" s="1" t="n">
        <v>44984</v>
      </c>
      <c r="E796" s="1" t="n">
        <v>46291</v>
      </c>
      <c r="F796" t="inlineStr">
        <is>
          <t>UPPSALA LÄN</t>
        </is>
      </c>
      <c r="G796" t="inlineStr">
        <is>
          <t>UPPSALA</t>
        </is>
      </c>
      <c r="H796" t="inlineStr">
        <is>
          <t>Kyrkan</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36741-2026</t>
        </is>
      </c>
      <c r="B797" t="inlineStr">
        <is>
          <t>avverkningsanmälan</t>
        </is>
      </c>
      <c r="C797" t="inlineStr">
        <is>
          <t>Avverkning för att bevara och utveckla /försöksver</t>
        </is>
      </c>
      <c r="D797" s="1" t="n">
        <v>46272</v>
      </c>
      <c r="E797" s="1" t="n">
        <v>46291</v>
      </c>
      <c r="F797" t="inlineStr">
        <is>
          <t>UPPSALA LÄN</t>
        </is>
      </c>
      <c r="G797" t="inlineStr">
        <is>
          <t>UPPSALA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38696-2026</t>
        </is>
      </c>
      <c r="B798" t="inlineStr">
        <is>
          <t>avverkningsanmälan</t>
        </is>
      </c>
      <c r="C798" t="inlineStr">
        <is>
          <t>Avverkning för annat ändamål</t>
        </is>
      </c>
      <c r="D798" s="1" t="n">
        <v>46283</v>
      </c>
      <c r="E798" s="1" t="n">
        <v>46291</v>
      </c>
      <c r="F798" t="inlineStr">
        <is>
          <t>UPPSALA LÄN</t>
        </is>
      </c>
      <c r="G798" t="inlineStr">
        <is>
          <t>UPPSALA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13799-2024</t>
        </is>
      </c>
      <c r="B799" t="inlineStr">
        <is>
          <t>avverkningsanmälan</t>
        </is>
      </c>
      <c r="C799" t="inlineStr">
        <is>
          <t>Föryngringsavverkning</t>
        </is>
      </c>
      <c r="D799" s="1" t="n">
        <v>45391</v>
      </c>
      <c r="E799" s="1" t="n">
        <v>46291</v>
      </c>
      <c r="F799" t="inlineStr">
        <is>
          <t>UPPSALA LÄN</t>
        </is>
      </c>
      <c r="G799" t="inlineStr">
        <is>
          <t>UPPSALA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33816-2024</t>
        </is>
      </c>
      <c r="B800" t="inlineStr">
        <is>
          <t>avverkningsanmälan</t>
        </is>
      </c>
      <c r="C800" t="inlineStr">
        <is>
          <t>Föryngringsavverkning</t>
        </is>
      </c>
      <c r="D800" s="1" t="n">
        <v>45520</v>
      </c>
      <c r="E800" s="1" t="n">
        <v>46291</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2927-2022</t>
        </is>
      </c>
      <c r="B801" t="inlineStr">
        <is>
          <t>avverkningsanmälan</t>
        </is>
      </c>
      <c r="C801" t="inlineStr">
        <is>
          <t>Föryngringsavverkning</t>
        </is>
      </c>
      <c r="D801" s="1" t="n">
        <v>44581</v>
      </c>
      <c r="E801" s="1" t="n">
        <v>46291</v>
      </c>
      <c r="F801" t="inlineStr">
        <is>
          <t>UPPSALA LÄN</t>
        </is>
      </c>
      <c r="G801" t="inlineStr">
        <is>
          <t>UPPSALA</t>
        </is>
      </c>
      <c r="H801" t="inlineStr">
        <is>
          <t>Holmen skog AB</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733-2022</t>
        </is>
      </c>
      <c r="B802" t="inlineStr">
        <is>
          <t>avverkningsanmälan</t>
        </is>
      </c>
      <c r="C802" t="inlineStr">
        <is>
          <t>Föryngringsavverkning</t>
        </is>
      </c>
      <c r="D802" s="1" t="n">
        <v>44568</v>
      </c>
      <c r="E802" s="1" t="n">
        <v>46291</v>
      </c>
      <c r="F802" t="inlineStr">
        <is>
          <t>UPPSALA LÄN</t>
        </is>
      </c>
      <c r="G802" t="inlineStr">
        <is>
          <t>UPPSALA</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59719-2022</t>
        </is>
      </c>
      <c r="B803" t="inlineStr">
        <is>
          <t>avverkningsanmälan</t>
        </is>
      </c>
      <c r="C803" t="inlineStr">
        <is>
          <t>Föryngringsavverkning</t>
        </is>
      </c>
      <c r="D803" s="1" t="n">
        <v>44908</v>
      </c>
      <c r="E803" s="1" t="n">
        <v>46291</v>
      </c>
      <c r="F803" t="inlineStr">
        <is>
          <t>UPPSALA LÄN</t>
        </is>
      </c>
      <c r="G803" t="inlineStr">
        <is>
          <t>UPPSALA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3353-2023</t>
        </is>
      </c>
      <c r="B804" t="inlineStr">
        <is>
          <t>avverkningsanmälan</t>
        </is>
      </c>
      <c r="C804" t="inlineStr">
        <is>
          <t>Föryngringsavverkning</t>
        </is>
      </c>
      <c r="D804" s="1" t="n">
        <v>44949</v>
      </c>
      <c r="E804" s="1" t="n">
        <v>46291</v>
      </c>
      <c r="F804" t="inlineStr">
        <is>
          <t>UPPSALA LÄN</t>
        </is>
      </c>
      <c r="G804" t="inlineStr">
        <is>
          <t>UPPSALA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3086-2023</t>
        </is>
      </c>
      <c r="B805" t="inlineStr">
        <is>
          <t>avverkningsanmälan</t>
        </is>
      </c>
      <c r="C805" t="inlineStr">
        <is>
          <t>Föryngringsavverkning</t>
        </is>
      </c>
      <c r="D805" s="1" t="n">
        <v>44946</v>
      </c>
      <c r="E805" s="1" t="n">
        <v>46291</v>
      </c>
      <c r="F805" t="inlineStr">
        <is>
          <t>UPPSALA LÄN</t>
        </is>
      </c>
      <c r="G805" t="inlineStr">
        <is>
          <t>UPPSALA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16811-2023</t>
        </is>
      </c>
      <c r="B806" t="inlineStr">
        <is>
          <t>avverkningsanmälan</t>
        </is>
      </c>
      <c r="C806" t="inlineStr">
        <is>
          <t>Föryngringsavverkning</t>
        </is>
      </c>
      <c r="D806" s="1" t="n">
        <v>45033</v>
      </c>
      <c r="E806" s="1" t="n">
        <v>46291</v>
      </c>
      <c r="F806" t="inlineStr">
        <is>
          <t>UPPSALA LÄN</t>
        </is>
      </c>
      <c r="G806" t="inlineStr">
        <is>
          <t>UPPSALA</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69436-2021</t>
        </is>
      </c>
      <c r="B807" t="inlineStr">
        <is>
          <t>avverkningsanmälan</t>
        </is>
      </c>
      <c r="C807" t="inlineStr">
        <is>
          <t>Föryngringsavverkning</t>
        </is>
      </c>
      <c r="D807" s="1" t="n">
        <v>44531</v>
      </c>
      <c r="E807" s="1" t="n">
        <v>46291</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5678-2023</t>
        </is>
      </c>
      <c r="B808" t="inlineStr">
        <is>
          <t>avverkningsanmälan</t>
        </is>
      </c>
      <c r="C808" t="inlineStr">
        <is>
          <t>Föryngringsavverkning</t>
        </is>
      </c>
      <c r="D808" s="1" t="n">
        <v>44960</v>
      </c>
      <c r="E808" s="1" t="n">
        <v>46291</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5028-2022</t>
        </is>
      </c>
      <c r="B809" t="inlineStr">
        <is>
          <t>avverkningsanmälan</t>
        </is>
      </c>
      <c r="C809" t="inlineStr">
        <is>
          <t>Föryngringsavverkning</t>
        </is>
      </c>
      <c r="D809" s="1" t="n">
        <v>44593</v>
      </c>
      <c r="E809" s="1" t="n">
        <v>46291</v>
      </c>
      <c r="F809" t="inlineStr">
        <is>
          <t>UPPSALA LÄN</t>
        </is>
      </c>
      <c r="G809" t="inlineStr">
        <is>
          <t>UPPSALA</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179-2023</t>
        </is>
      </c>
      <c r="B810" t="inlineStr">
        <is>
          <t>avverkningsanmälan</t>
        </is>
      </c>
      <c r="C810" t="inlineStr">
        <is>
          <t>Föryngringsavverkning</t>
        </is>
      </c>
      <c r="D810" s="1" t="n">
        <v>44928</v>
      </c>
      <c r="E810" s="1" t="n">
        <v>46291</v>
      </c>
      <c r="F810" t="inlineStr">
        <is>
          <t>UPPSALA LÄN</t>
        </is>
      </c>
      <c r="G810" t="inlineStr">
        <is>
          <t>UPPSALA</t>
        </is>
      </c>
      <c r="H810" t="inlineStr">
        <is>
          <t>Kommuner</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39795-2022</t>
        </is>
      </c>
      <c r="B811" t="inlineStr">
        <is>
          <t>avverkningsanmälan</t>
        </is>
      </c>
      <c r="C811" t="inlineStr">
        <is>
          <t>Föryngringsavverkning</t>
        </is>
      </c>
      <c r="D811" s="1" t="n">
        <v>44819</v>
      </c>
      <c r="E811" s="1" t="n">
        <v>46291</v>
      </c>
      <c r="F811" t="inlineStr">
        <is>
          <t>UPPSALA LÄN</t>
        </is>
      </c>
      <c r="G811" t="inlineStr">
        <is>
          <t>UPPSALA</t>
        </is>
      </c>
      <c r="H811" t="inlineStr">
        <is>
          <t>Övriga Aktiebolag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9206-2022</t>
        </is>
      </c>
      <c r="B812" t="inlineStr">
        <is>
          <t>avverkningsanmälan</t>
        </is>
      </c>
      <c r="C812" t="inlineStr">
        <is>
          <t>Föryngringsavverkning</t>
        </is>
      </c>
      <c r="D812" s="1" t="n">
        <v>44616</v>
      </c>
      <c r="E812" s="1" t="n">
        <v>46291</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39868-2026</t>
        </is>
      </c>
      <c r="B813" t="inlineStr">
        <is>
          <t>avverkningsanmälan</t>
        </is>
      </c>
      <c r="C813" t="inlineStr">
        <is>
          <t>Föryngringsavverkning</t>
        </is>
      </c>
      <c r="D813" s="1" t="n">
        <v>46290</v>
      </c>
      <c r="E813" s="1" t="n">
        <v>46291</v>
      </c>
      <c r="F813" t="inlineStr">
        <is>
          <t>UPPSALA LÄN</t>
        </is>
      </c>
      <c r="G813" t="inlineStr">
        <is>
          <t>UPPSALA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74495-2021</t>
        </is>
      </c>
      <c r="B814" t="inlineStr">
        <is>
          <t>avverkningsanmälan</t>
        </is>
      </c>
      <c r="C814" t="inlineStr">
        <is>
          <t>Föryngringsavverkning</t>
        </is>
      </c>
      <c r="D814" s="1" t="n">
        <v>44560</v>
      </c>
      <c r="E814" s="1" t="n">
        <v>46291</v>
      </c>
      <c r="F814" t="inlineStr">
        <is>
          <t>UPPSALA LÄN</t>
        </is>
      </c>
      <c r="G814" t="inlineStr">
        <is>
          <t>UPPSALA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6408-2022</t>
        </is>
      </c>
      <c r="B815" t="inlineStr">
        <is>
          <t>avverkningsanmälan</t>
        </is>
      </c>
      <c r="C815" t="inlineStr">
        <is>
          <t>Avverkning för att bevara och utveckla /försöksver</t>
        </is>
      </c>
      <c r="D815" s="1" t="n">
        <v>44600</v>
      </c>
      <c r="E815" s="1" t="n">
        <v>46291</v>
      </c>
      <c r="F815" t="inlineStr">
        <is>
          <t>UPPSALA LÄN</t>
        </is>
      </c>
      <c r="G815" t="inlineStr">
        <is>
          <t>UPPSALA</t>
        </is>
      </c>
      <c r="H815" t="inlineStr">
        <is>
          <t>Bergvik skog öst AB</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10383-2022</t>
        </is>
      </c>
      <c r="B816" t="inlineStr">
        <is>
          <t>avverkningsanmälan</t>
        </is>
      </c>
      <c r="C816" t="inlineStr">
        <is>
          <t>Föryngringsavverkning</t>
        </is>
      </c>
      <c r="D816" s="1" t="n">
        <v>44623</v>
      </c>
      <c r="E816" s="1" t="n">
        <v>46291</v>
      </c>
      <c r="F816" t="inlineStr">
        <is>
          <t>UPPSALA LÄN</t>
        </is>
      </c>
      <c r="G816" t="inlineStr">
        <is>
          <t>UPPSALA</t>
        </is>
      </c>
      <c r="H816" t="inlineStr">
        <is>
          <t>Övriga Aktiebolag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10456-2022</t>
        </is>
      </c>
      <c r="B817" t="inlineStr">
        <is>
          <t>avverkningsanmälan</t>
        </is>
      </c>
      <c r="C817" t="inlineStr">
        <is>
          <t>Föryngringsavverkning</t>
        </is>
      </c>
      <c r="D817" s="1" t="n">
        <v>44623</v>
      </c>
      <c r="E817" s="1" t="n">
        <v>46291</v>
      </c>
      <c r="F817" t="inlineStr">
        <is>
          <t>UPPSALA LÄN</t>
        </is>
      </c>
      <c r="G817" t="inlineStr">
        <is>
          <t>UPPSALA</t>
        </is>
      </c>
      <c r="H817" t="inlineStr">
        <is>
          <t>Övriga Aktiebolag</t>
        </is>
      </c>
      <c r="I817" t="n">
        <v>12.6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39548-2023</t>
        </is>
      </c>
      <c r="B818" t="inlineStr">
        <is>
          <t>avverkningsanmälan</t>
        </is>
      </c>
      <c r="C818" t="inlineStr">
        <is>
          <t>Föryngringsavverkning</t>
        </is>
      </c>
      <c r="D818" s="1" t="n">
        <v>45167</v>
      </c>
      <c r="E818" s="1" t="n">
        <v>46291</v>
      </c>
      <c r="F818" t="inlineStr">
        <is>
          <t>UPPSALA LÄN</t>
        </is>
      </c>
      <c r="G818" t="inlineStr">
        <is>
          <t>UPPSALA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6422-2023</t>
        </is>
      </c>
      <c r="B819" t="inlineStr">
        <is>
          <t>avverkningsanmälan</t>
        </is>
      </c>
      <c r="C819" t="inlineStr">
        <is>
          <t>Föryngringsavverkning</t>
        </is>
      </c>
      <c r="D819" s="1" t="n">
        <v>44965</v>
      </c>
      <c r="E819" s="1" t="n">
        <v>46291</v>
      </c>
      <c r="F819" t="inlineStr">
        <is>
          <t>UPPSALA LÄN</t>
        </is>
      </c>
      <c r="G819" t="inlineStr">
        <is>
          <t>UPPSALA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6423-2023</t>
        </is>
      </c>
      <c r="B820" t="inlineStr">
        <is>
          <t>avverkningsanmälan</t>
        </is>
      </c>
      <c r="C820" t="inlineStr">
        <is>
          <t>Föryngringsavverkning</t>
        </is>
      </c>
      <c r="D820" s="1" t="n">
        <v>44965</v>
      </c>
      <c r="E820" s="1" t="n">
        <v>46291</v>
      </c>
      <c r="F820" t="inlineStr">
        <is>
          <t>UPPSALA LÄN</t>
        </is>
      </c>
      <c r="G820" t="inlineStr">
        <is>
          <t>UPPSALA</t>
        </is>
      </c>
      <c r="I820" t="n">
        <v>8.800000000000001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1994-2024</t>
        </is>
      </c>
      <c r="B821" t="inlineStr">
        <is>
          <t>avverkningsanmälan</t>
        </is>
      </c>
      <c r="C821" t="inlineStr">
        <is>
          <t>Föryngringsavverkning</t>
        </is>
      </c>
      <c r="D821" s="1" t="n">
        <v>45308</v>
      </c>
      <c r="E821" s="1" t="n">
        <v>46291</v>
      </c>
      <c r="F821" t="inlineStr">
        <is>
          <t>UPPSALA LÄN</t>
        </is>
      </c>
      <c r="G821" t="inlineStr">
        <is>
          <t>UPPSALA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49682-2023</t>
        </is>
      </c>
      <c r="B822" t="inlineStr">
        <is>
          <t>avverkningsanmälan</t>
        </is>
      </c>
      <c r="C822" t="inlineStr">
        <is>
          <t>Föryngringsavverkning</t>
        </is>
      </c>
      <c r="D822" s="1" t="n">
        <v>45212</v>
      </c>
      <c r="E822" s="1" t="n">
        <v>46291</v>
      </c>
      <c r="F822" t="inlineStr">
        <is>
          <t>UPPSALA LÄN</t>
        </is>
      </c>
      <c r="G822" t="inlineStr">
        <is>
          <t>UPPSALA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55073-2022</t>
        </is>
      </c>
      <c r="B823" t="inlineStr">
        <is>
          <t>avverkningsanmälan</t>
        </is>
      </c>
      <c r="C823" t="inlineStr">
        <is>
          <t>Föryngringsavverkning</t>
        </is>
      </c>
      <c r="D823" s="1" t="n">
        <v>44886</v>
      </c>
      <c r="E823" s="1" t="n">
        <v>46291</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42681-2023</t>
        </is>
      </c>
      <c r="B824" t="inlineStr">
        <is>
          <t>avverkningsanmälan</t>
        </is>
      </c>
      <c r="C824" t="inlineStr">
        <is>
          <t>Föryngringsavverkning</t>
        </is>
      </c>
      <c r="D824" s="1" t="n">
        <v>45181</v>
      </c>
      <c r="E824" s="1" t="n">
        <v>46291</v>
      </c>
      <c r="F824" t="inlineStr">
        <is>
          <t>UPPSALA LÄN</t>
        </is>
      </c>
      <c r="G824" t="inlineStr">
        <is>
          <t>UPPSALA</t>
        </is>
      </c>
      <c r="H824" t="inlineStr">
        <is>
          <t>Bergvik skog öst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27543-2022</t>
        </is>
      </c>
      <c r="B825" t="inlineStr">
        <is>
          <t>avverkningsanmälan</t>
        </is>
      </c>
      <c r="C825" t="inlineStr">
        <is>
          <t>Föryngringsavverkning</t>
        </is>
      </c>
      <c r="D825" s="1" t="n">
        <v>44742</v>
      </c>
      <c r="E825" s="1" t="n">
        <v>46291</v>
      </c>
      <c r="F825" t="inlineStr">
        <is>
          <t>UPPSALA LÄN</t>
        </is>
      </c>
      <c r="G825" t="inlineStr">
        <is>
          <t>UPPSALA</t>
        </is>
      </c>
      <c r="H825" t="inlineStr">
        <is>
          <t>Kyrkan</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6679-2024</t>
        </is>
      </c>
      <c r="B826" t="inlineStr">
        <is>
          <t>avverkningsanmälan</t>
        </is>
      </c>
      <c r="C826" t="inlineStr">
        <is>
          <t>Föryngringsavverkning</t>
        </is>
      </c>
      <c r="D826" s="1" t="n">
        <v>45341</v>
      </c>
      <c r="E826" s="1" t="n">
        <v>46291</v>
      </c>
      <c r="F826" t="inlineStr">
        <is>
          <t>UPPSALA LÄN</t>
        </is>
      </c>
      <c r="G826" t="inlineStr">
        <is>
          <t>UPPSALA</t>
        </is>
      </c>
      <c r="H826" t="inlineStr">
        <is>
          <t>Bergvik skog öst AB</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781-2024</t>
        </is>
      </c>
      <c r="B827" t="inlineStr">
        <is>
          <t>avverkningsanmälan</t>
        </is>
      </c>
      <c r="C827" t="inlineStr">
        <is>
          <t>Föryngringsavverkning</t>
        </is>
      </c>
      <c r="D827" s="1" t="n">
        <v>45300</v>
      </c>
      <c r="E827" s="1" t="n">
        <v>46291</v>
      </c>
      <c r="F827" t="inlineStr">
        <is>
          <t>UPPSALA LÄN</t>
        </is>
      </c>
      <c r="G827" t="inlineStr">
        <is>
          <t>UPPSALA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27599-2023</t>
        </is>
      </c>
      <c r="B828" t="inlineStr">
        <is>
          <t>avverkningsanmälan</t>
        </is>
      </c>
      <c r="C828" t="inlineStr">
        <is>
          <t>Föryngringsavverkning</t>
        </is>
      </c>
      <c r="D828" s="1" t="n">
        <v>45097</v>
      </c>
      <c r="E828" s="1" t="n">
        <v>46291</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7058-2023</t>
        </is>
      </c>
      <c r="B829" t="inlineStr">
        <is>
          <t>avverkningsanmälan</t>
        </is>
      </c>
      <c r="C829" t="inlineStr">
        <is>
          <t>Föryngringsavverkning</t>
        </is>
      </c>
      <c r="D829" s="1" t="n">
        <v>44969</v>
      </c>
      <c r="E829" s="1" t="n">
        <v>46291</v>
      </c>
      <c r="F829" t="inlineStr">
        <is>
          <t>UPPSALA LÄN</t>
        </is>
      </c>
      <c r="G829" t="inlineStr">
        <is>
          <t>UPPSALA</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3214-2023</t>
        </is>
      </c>
      <c r="B830" t="inlineStr">
        <is>
          <t>avverkningsanmälan</t>
        </is>
      </c>
      <c r="C830" t="inlineStr">
        <is>
          <t>Avverkning för annat ändamål</t>
        </is>
      </c>
      <c r="D830" s="1" t="n">
        <v>44944</v>
      </c>
      <c r="E830" s="1" t="n">
        <v>46291</v>
      </c>
      <c r="F830" t="inlineStr">
        <is>
          <t>UPPSALA LÄN</t>
        </is>
      </c>
      <c r="G830" t="inlineStr">
        <is>
          <t>UPPSALA</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50669-2024</t>
        </is>
      </c>
      <c r="B831" t="inlineStr">
        <is>
          <t>avverkningsanmälan</t>
        </is>
      </c>
      <c r="C831" t="inlineStr">
        <is>
          <t>Föryngringsavverkning</t>
        </is>
      </c>
      <c r="D831" s="1" t="n">
        <v>45601</v>
      </c>
      <c r="E831" s="1" t="n">
        <v>46291</v>
      </c>
      <c r="F831" t="inlineStr">
        <is>
          <t>UPPSALA LÄN</t>
        </is>
      </c>
      <c r="G831" t="inlineStr">
        <is>
          <t>UPPSALA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36782-2023</t>
        </is>
      </c>
      <c r="B832" t="inlineStr">
        <is>
          <t>avverkningsanmälan</t>
        </is>
      </c>
      <c r="C832" t="inlineStr">
        <is>
          <t>Föryngringsavverkning</t>
        </is>
      </c>
      <c r="D832" s="1" t="n">
        <v>45154</v>
      </c>
      <c r="E832" s="1" t="n">
        <v>46291</v>
      </c>
      <c r="F832" t="inlineStr">
        <is>
          <t>UPPSALA LÄN</t>
        </is>
      </c>
      <c r="G832" t="inlineStr">
        <is>
          <t>UPPSALA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14337-2022</t>
        </is>
      </c>
      <c r="B833" t="inlineStr">
        <is>
          <t>avverkningsanmälan</t>
        </is>
      </c>
      <c r="C833" t="inlineStr">
        <is>
          <t>Föryngringsavverkning</t>
        </is>
      </c>
      <c r="D833" s="1" t="n">
        <v>44652</v>
      </c>
      <c r="E833" s="1" t="n">
        <v>46291</v>
      </c>
      <c r="F833" t="inlineStr">
        <is>
          <t>UPPSALA LÄN</t>
        </is>
      </c>
      <c r="G833" t="inlineStr">
        <is>
          <t>UPPSALA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2980-2025</t>
        </is>
      </c>
      <c r="B834" t="inlineStr">
        <is>
          <t>avverkningsanmälan</t>
        </is>
      </c>
      <c r="C834" t="inlineStr">
        <is>
          <t>Avverkning för att bevara och utveckla /försöksver</t>
        </is>
      </c>
      <c r="D834" s="1" t="n">
        <v>45678</v>
      </c>
      <c r="E834" s="1" t="n">
        <v>46291</v>
      </c>
      <c r="F834" t="inlineStr">
        <is>
          <t>UPPSALA LÄN</t>
        </is>
      </c>
      <c r="G834" t="inlineStr">
        <is>
          <t>UPPSALA</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17448-2022</t>
        </is>
      </c>
      <c r="B835" t="inlineStr">
        <is>
          <t>avverkningsanmälan</t>
        </is>
      </c>
      <c r="C835" t="inlineStr">
        <is>
          <t>Föryngringsavverkning</t>
        </is>
      </c>
      <c r="D835" s="1" t="n">
        <v>44679</v>
      </c>
      <c r="E835" s="1" t="n">
        <v>46291</v>
      </c>
      <c r="F835" t="inlineStr">
        <is>
          <t>UPPSALA LÄN</t>
        </is>
      </c>
      <c r="G835" t="inlineStr">
        <is>
          <t>UPPSALA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5722-2025</t>
        </is>
      </c>
      <c r="B836" t="inlineStr">
        <is>
          <t>avverkningsanmälan</t>
        </is>
      </c>
      <c r="C836" t="inlineStr">
        <is>
          <t>Föryngringsavverkning</t>
        </is>
      </c>
      <c r="D836" s="1" t="n">
        <v>45694</v>
      </c>
      <c r="E836" s="1" t="n">
        <v>46291</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37316-2022</t>
        </is>
      </c>
      <c r="B837" t="inlineStr">
        <is>
          <t>avverkningsanmälan</t>
        </is>
      </c>
      <c r="C837" t="inlineStr">
        <is>
          <t>Föryngringsavverkning</t>
        </is>
      </c>
      <c r="D837" s="1" t="n">
        <v>44806</v>
      </c>
      <c r="E837" s="1" t="n">
        <v>46291</v>
      </c>
      <c r="F837" t="inlineStr">
        <is>
          <t>UPPSALA LÄN</t>
        </is>
      </c>
      <c r="G837" t="inlineStr">
        <is>
          <t>UPPSALA</t>
        </is>
      </c>
      <c r="I837" t="n">
        <v>10.6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19380-2023</t>
        </is>
      </c>
      <c r="B838" t="inlineStr">
        <is>
          <t>avverkningsanmälan</t>
        </is>
      </c>
      <c r="C838" t="inlineStr">
        <is>
          <t>Föryngringsavverkning</t>
        </is>
      </c>
      <c r="D838" s="1" t="n">
        <v>45049</v>
      </c>
      <c r="E838" s="1" t="n">
        <v>46291</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13343-2022</t>
        </is>
      </c>
      <c r="B839" t="inlineStr">
        <is>
          <t>avverkningsanmälan</t>
        </is>
      </c>
      <c r="C839" t="inlineStr">
        <is>
          <t>Föryngringsavverkning</t>
        </is>
      </c>
      <c r="D839" s="1" t="n">
        <v>44645</v>
      </c>
      <c r="E839" s="1" t="n">
        <v>46291</v>
      </c>
      <c r="F839" t="inlineStr">
        <is>
          <t>UPPSALA LÄN</t>
        </is>
      </c>
      <c r="G839" t="inlineStr">
        <is>
          <t>UPPSALA</t>
        </is>
      </c>
      <c r="H839" t="inlineStr">
        <is>
          <t>Övriga Aktiebolag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60925-2021</t>
        </is>
      </c>
      <c r="B840" t="inlineStr">
        <is>
          <t>avverkningsanmälan</t>
        </is>
      </c>
      <c r="C840" t="inlineStr">
        <is>
          <t>Föryngringsavverkning</t>
        </is>
      </c>
      <c r="D840" s="1" t="n">
        <v>44497</v>
      </c>
      <c r="E840" s="1" t="n">
        <v>46291</v>
      </c>
      <c r="F840" t="inlineStr">
        <is>
          <t>UPPSALA LÄN</t>
        </is>
      </c>
      <c r="G840" t="inlineStr">
        <is>
          <t>UPPSALA</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36392-2023</t>
        </is>
      </c>
      <c r="B841" t="inlineStr">
        <is>
          <t>avverkningsanmälan</t>
        </is>
      </c>
      <c r="C841" t="inlineStr">
        <is>
          <t>Föryngringsavverkning</t>
        </is>
      </c>
      <c r="D841" s="1" t="n">
        <v>45152</v>
      </c>
      <c r="E841" s="1" t="n">
        <v>46291</v>
      </c>
      <c r="F841" t="inlineStr">
        <is>
          <t>UPPSALA LÄN</t>
        </is>
      </c>
      <c r="G841" t="inlineStr">
        <is>
          <t>UPPSALA</t>
        </is>
      </c>
      <c r="I841" t="n">
        <v>9.800000000000001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6155-2023</t>
        </is>
      </c>
      <c r="B842" t="inlineStr">
        <is>
          <t>avverkningsanmälan</t>
        </is>
      </c>
      <c r="C842" t="inlineStr">
        <is>
          <t>Föryngringsavverkning</t>
        </is>
      </c>
      <c r="D842" s="1" t="n">
        <v>44964</v>
      </c>
      <c r="E842" s="1" t="n">
        <v>46291</v>
      </c>
      <c r="F842" t="inlineStr">
        <is>
          <t>UPPSALA LÄN</t>
        </is>
      </c>
      <c r="G842" t="inlineStr">
        <is>
          <t>UPPSALA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6009-2022</t>
        </is>
      </c>
      <c r="B843" t="inlineStr">
        <is>
          <t>avverkningsanmälan</t>
        </is>
      </c>
      <c r="C843" t="inlineStr">
        <is>
          <t>Föryngringsavverkning</t>
        </is>
      </c>
      <c r="D843" s="1" t="n">
        <v>44599</v>
      </c>
      <c r="E843" s="1" t="n">
        <v>46291</v>
      </c>
      <c r="F843" t="inlineStr">
        <is>
          <t>UPPSALA LÄN</t>
        </is>
      </c>
      <c r="G843" t="inlineStr">
        <is>
          <t>UPPSALA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12606-2023</t>
        </is>
      </c>
      <c r="B844" t="inlineStr">
        <is>
          <t>avverkningsanmälan</t>
        </is>
      </c>
      <c r="C844" t="inlineStr">
        <is>
          <t>Föryngringsavverkning</t>
        </is>
      </c>
      <c r="D844" s="1" t="n">
        <v>45000</v>
      </c>
      <c r="E844" s="1" t="n">
        <v>46291</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18410-2025</t>
        </is>
      </c>
      <c r="B845" t="inlineStr">
        <is>
          <t>avverkningsanmälan</t>
        </is>
      </c>
      <c r="C845" t="inlineStr">
        <is>
          <t>Föryngringsavverkning</t>
        </is>
      </c>
      <c r="D845" s="1" t="n">
        <v>45762</v>
      </c>
      <c r="E845" s="1" t="n">
        <v>46291</v>
      </c>
      <c r="F845" t="inlineStr">
        <is>
          <t>UPPSALA LÄN</t>
        </is>
      </c>
      <c r="G845" t="inlineStr">
        <is>
          <t>UPPSALA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8672-2024</t>
        </is>
      </c>
      <c r="B846" t="inlineStr">
        <is>
          <t>avverkningsanmälan</t>
        </is>
      </c>
      <c r="C846" t="inlineStr">
        <is>
          <t>Avverkning för annat ändamål</t>
        </is>
      </c>
      <c r="D846" s="1" t="n">
        <v>45352</v>
      </c>
      <c r="E846" s="1" t="n">
        <v>46291</v>
      </c>
      <c r="F846" t="inlineStr">
        <is>
          <t>UPPSALA LÄN</t>
        </is>
      </c>
      <c r="G846" t="inlineStr">
        <is>
          <t>UPPSALA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5362-2023</t>
        </is>
      </c>
      <c r="B847" t="inlineStr">
        <is>
          <t>avverkningsanmälan</t>
        </is>
      </c>
      <c r="C847" t="inlineStr">
        <is>
          <t>Avverkning för annat ändamål</t>
        </is>
      </c>
      <c r="D847" s="1" t="n">
        <v>44944</v>
      </c>
      <c r="E847" s="1" t="n">
        <v>46291</v>
      </c>
      <c r="F847" t="inlineStr">
        <is>
          <t>UPPSALA LÄN</t>
        </is>
      </c>
      <c r="G847" t="inlineStr">
        <is>
          <t>UPPSALA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61947-2023</t>
        </is>
      </c>
      <c r="B848" t="inlineStr">
        <is>
          <t>avverkningsanmälan</t>
        </is>
      </c>
      <c r="C848" t="inlineStr">
        <is>
          <t>Avverkning för annat ändamål</t>
        </is>
      </c>
      <c r="D848" s="1" t="n">
        <v>45266</v>
      </c>
      <c r="E848" s="1" t="n">
        <v>46291</v>
      </c>
      <c r="F848" t="inlineStr">
        <is>
          <t>UPPSALA LÄN</t>
        </is>
      </c>
      <c r="G848" t="inlineStr">
        <is>
          <t>UPPSALA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51661-2022</t>
        </is>
      </c>
      <c r="B849" t="inlineStr">
        <is>
          <t>avverkningsanmälan</t>
        </is>
      </c>
      <c r="C849" t="inlineStr">
        <is>
          <t>Föryngringsavverkning</t>
        </is>
      </c>
      <c r="D849" s="1" t="n">
        <v>44872</v>
      </c>
      <c r="E849" s="1" t="n">
        <v>46291</v>
      </c>
      <c r="F849" t="inlineStr">
        <is>
          <t>UPPSALA LÄN</t>
        </is>
      </c>
      <c r="G849" t="inlineStr">
        <is>
          <t>UPPSALA</t>
        </is>
      </c>
      <c r="I849" t="n">
        <v>8.9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32553-2024</t>
        </is>
      </c>
      <c r="B850" t="inlineStr">
        <is>
          <t>avverkningsanmälan</t>
        </is>
      </c>
      <c r="C850" t="inlineStr">
        <is>
          <t>Föryngringsavverkning</t>
        </is>
      </c>
      <c r="D850" s="1" t="n">
        <v>45513</v>
      </c>
      <c r="E850" s="1" t="n">
        <v>46291</v>
      </c>
      <c r="F850" t="inlineStr">
        <is>
          <t>UPPSALA LÄN</t>
        </is>
      </c>
      <c r="G850" t="inlineStr">
        <is>
          <t>UPPSALA</t>
        </is>
      </c>
      <c r="H850" t="inlineStr">
        <is>
          <t>Bergvik skog öst AB</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19276-2023</t>
        </is>
      </c>
      <c r="B851" t="inlineStr">
        <is>
          <t>avverkningsanmälan</t>
        </is>
      </c>
      <c r="C851" t="inlineStr">
        <is>
          <t>Föryngringsavverkning</t>
        </is>
      </c>
      <c r="D851" s="1" t="n">
        <v>45049</v>
      </c>
      <c r="E851" s="1" t="n">
        <v>46291</v>
      </c>
      <c r="F851" t="inlineStr">
        <is>
          <t>UPPSALA LÄN</t>
        </is>
      </c>
      <c r="G851" t="inlineStr">
        <is>
          <t>UPPSALA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5974-2024</t>
        </is>
      </c>
      <c r="B852" t="inlineStr">
        <is>
          <t>avverkningsanmälan</t>
        </is>
      </c>
      <c r="C852" t="inlineStr">
        <is>
          <t>Föryngringsavverkning</t>
        </is>
      </c>
      <c r="D852" s="1" t="n">
        <v>45336</v>
      </c>
      <c r="E852" s="1" t="n">
        <v>46291</v>
      </c>
      <c r="F852" t="inlineStr">
        <is>
          <t>UPPSALA LÄN</t>
        </is>
      </c>
      <c r="G852" t="inlineStr">
        <is>
          <t>UPPSALA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40325-2023</t>
        </is>
      </c>
      <c r="B853" t="inlineStr">
        <is>
          <t>avverkningsanmälan</t>
        </is>
      </c>
      <c r="C853" t="inlineStr">
        <is>
          <t>Föryngringsavverkning</t>
        </is>
      </c>
      <c r="D853" s="1" t="n">
        <v>45169</v>
      </c>
      <c r="E853" s="1" t="n">
        <v>46291</v>
      </c>
      <c r="F853" t="inlineStr">
        <is>
          <t>UPPSALA LÄN</t>
        </is>
      </c>
      <c r="G853" t="inlineStr">
        <is>
          <t>UPPSALA</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56872-2023</t>
        </is>
      </c>
      <c r="B854" t="inlineStr">
        <is>
          <t>avverkningsanmälan</t>
        </is>
      </c>
      <c r="C854" t="inlineStr">
        <is>
          <t>Föryngringsavverkning</t>
        </is>
      </c>
      <c r="D854" s="1" t="n">
        <v>45244</v>
      </c>
      <c r="E854" s="1" t="n">
        <v>46291</v>
      </c>
      <c r="F854" t="inlineStr">
        <is>
          <t>UPPSALA LÄN</t>
        </is>
      </c>
      <c r="G854" t="inlineStr">
        <is>
          <t>UPPSALA</t>
        </is>
      </c>
      <c r="H854" t="inlineStr">
        <is>
          <t>Holmen skog AB</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20301-2024</t>
        </is>
      </c>
      <c r="B855" t="inlineStr">
        <is>
          <t>avverkningsanmälan</t>
        </is>
      </c>
      <c r="C855" t="inlineStr">
        <is>
          <t>Föryngringsavverkning</t>
        </is>
      </c>
      <c r="D855" s="1" t="n">
        <v>45435</v>
      </c>
      <c r="E855" s="1" t="n">
        <v>46291</v>
      </c>
      <c r="F855" t="inlineStr">
        <is>
          <t>UPPSALA LÄN</t>
        </is>
      </c>
      <c r="G855" t="inlineStr">
        <is>
          <t>UPPSALA</t>
        </is>
      </c>
      <c r="H855" t="inlineStr">
        <is>
          <t>Kyrkan</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18805-2025</t>
        </is>
      </c>
      <c r="B856" t="inlineStr">
        <is>
          <t>avverkningsanmälan</t>
        </is>
      </c>
      <c r="C856" t="inlineStr">
        <is>
          <t>Föryngringsavverkning</t>
        </is>
      </c>
      <c r="D856" s="1" t="n">
        <v>45763</v>
      </c>
      <c r="E856" s="1" t="n">
        <v>46291</v>
      </c>
      <c r="F856" t="inlineStr">
        <is>
          <t>UPPSALA LÄN</t>
        </is>
      </c>
      <c r="G856" t="inlineStr">
        <is>
          <t>UPPSALA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39007-2024</t>
        </is>
      </c>
      <c r="B857" t="inlineStr">
        <is>
          <t>avverkningsanmälan</t>
        </is>
      </c>
      <c r="C857" t="inlineStr">
        <is>
          <t>Föryngringsavverkning</t>
        </is>
      </c>
      <c r="D857" s="1" t="n">
        <v>45548</v>
      </c>
      <c r="E857" s="1" t="n">
        <v>46291</v>
      </c>
      <c r="F857" t="inlineStr">
        <is>
          <t>UPPSALA LÄN</t>
        </is>
      </c>
      <c r="G857" t="inlineStr">
        <is>
          <t>UPPSALA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69595-2021</t>
        </is>
      </c>
      <c r="B858" t="inlineStr">
        <is>
          <t>avverkningsanmälan</t>
        </is>
      </c>
      <c r="C858" t="inlineStr">
        <is>
          <t>Föryngringsavverkning</t>
        </is>
      </c>
      <c r="D858" s="1" t="n">
        <v>44532</v>
      </c>
      <c r="E858" s="1" t="n">
        <v>46291</v>
      </c>
      <c r="F858" t="inlineStr">
        <is>
          <t>UPPSALA LÄN</t>
        </is>
      </c>
      <c r="G858" t="inlineStr">
        <is>
          <t>UPPSALA</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44830-2023</t>
        </is>
      </c>
      <c r="B859" t="inlineStr">
        <is>
          <t>avverkningsanmälan</t>
        </is>
      </c>
      <c r="C859" t="inlineStr">
        <is>
          <t>Föryngringsavverkning</t>
        </is>
      </c>
      <c r="D859" s="1" t="n">
        <v>45190</v>
      </c>
      <c r="E859" s="1" t="n">
        <v>46291</v>
      </c>
      <c r="F859" t="inlineStr">
        <is>
          <t>UPPSALA LÄN</t>
        </is>
      </c>
      <c r="G859" t="inlineStr">
        <is>
          <t>UPPSALA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9426-2023</t>
        </is>
      </c>
      <c r="B860" t="inlineStr">
        <is>
          <t>avverkningsanmälan</t>
        </is>
      </c>
      <c r="C860" t="inlineStr">
        <is>
          <t>Föryngringsavverkning</t>
        </is>
      </c>
      <c r="D860" s="1" t="n">
        <v>44977</v>
      </c>
      <c r="E860" s="1" t="n">
        <v>46291</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5975-2024</t>
        </is>
      </c>
      <c r="B861" t="inlineStr">
        <is>
          <t>avverkningsanmälan</t>
        </is>
      </c>
      <c r="C861" t="inlineStr">
        <is>
          <t>Föryngringsavverkning</t>
        </is>
      </c>
      <c r="D861" s="1" t="n">
        <v>45336</v>
      </c>
      <c r="E861" s="1" t="n">
        <v>46291</v>
      </c>
      <c r="F861" t="inlineStr">
        <is>
          <t>UPPSALA LÄN</t>
        </is>
      </c>
      <c r="G861" t="inlineStr">
        <is>
          <t>UPPSALA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32428-2023</t>
        </is>
      </c>
      <c r="B862" t="inlineStr">
        <is>
          <t>avverkningsanmälan</t>
        </is>
      </c>
      <c r="C862" t="inlineStr">
        <is>
          <t>Föryngringsavverkning</t>
        </is>
      </c>
      <c r="D862" s="1" t="n">
        <v>45110</v>
      </c>
      <c r="E862" s="1" t="n">
        <v>46291</v>
      </c>
      <c r="F862" t="inlineStr">
        <is>
          <t>UPPSALA LÄN</t>
        </is>
      </c>
      <c r="G862" t="inlineStr">
        <is>
          <t>UPPSALA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45489-2023</t>
        </is>
      </c>
      <c r="B863" t="inlineStr">
        <is>
          <t>avverkningsanmälan</t>
        </is>
      </c>
      <c r="C863" t="inlineStr">
        <is>
          <t>Föryngringsavverkning</t>
        </is>
      </c>
      <c r="D863" s="1" t="n">
        <v>45194</v>
      </c>
      <c r="E863" s="1" t="n">
        <v>46291</v>
      </c>
      <c r="F863" t="inlineStr">
        <is>
          <t>UPPSALA LÄN</t>
        </is>
      </c>
      <c r="G863" t="inlineStr">
        <is>
          <t>UPPSALA</t>
        </is>
      </c>
      <c r="H863" t="inlineStr">
        <is>
          <t>Allmännings- och besparingsskogar</t>
        </is>
      </c>
      <c r="I863" t="n">
        <v>15.8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27473-2024</t>
        </is>
      </c>
      <c r="B864" t="inlineStr">
        <is>
          <t>avverkningsanmälan</t>
        </is>
      </c>
      <c r="C864" t="inlineStr">
        <is>
          <t>Föryngringsavverkning</t>
        </is>
      </c>
      <c r="D864" s="1" t="n">
        <v>45474</v>
      </c>
      <c r="E864" s="1" t="n">
        <v>46291</v>
      </c>
      <c r="F864" t="inlineStr">
        <is>
          <t>UPPSALA LÄN</t>
        </is>
      </c>
      <c r="G864" t="inlineStr">
        <is>
          <t>UPPSALA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784-2024</t>
        </is>
      </c>
      <c r="B865" t="inlineStr">
        <is>
          <t>avverkningsanmälan</t>
        </is>
      </c>
      <c r="C865" t="inlineStr">
        <is>
          <t>Föryngringsavverkning</t>
        </is>
      </c>
      <c r="D865" s="1" t="n">
        <v>45300</v>
      </c>
      <c r="E865" s="1" t="n">
        <v>46291</v>
      </c>
      <c r="F865" t="inlineStr">
        <is>
          <t>UPPSALA LÄN</t>
        </is>
      </c>
      <c r="G865" t="inlineStr">
        <is>
          <t>UPPSALA</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48153-2024</t>
        </is>
      </c>
      <c r="B866" t="inlineStr">
        <is>
          <t>avverkningsanmälan</t>
        </is>
      </c>
      <c r="C866" t="inlineStr">
        <is>
          <t>Föryngringsavverkning</t>
        </is>
      </c>
      <c r="D866" s="1" t="n">
        <v>45589</v>
      </c>
      <c r="E866" s="1" t="n">
        <v>46291</v>
      </c>
      <c r="F866" t="inlineStr">
        <is>
          <t>UPPSALA LÄN</t>
        </is>
      </c>
      <c r="G866" t="inlineStr">
        <is>
          <t>UPPSALA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8132-2022</t>
        </is>
      </c>
      <c r="B867" t="inlineStr">
        <is>
          <t>avverkningsanmälan</t>
        </is>
      </c>
      <c r="C867" t="inlineStr">
        <is>
          <t>Föryngringsavverkning</t>
        </is>
      </c>
      <c r="D867" s="1" t="n">
        <v>44609</v>
      </c>
      <c r="E867" s="1" t="n">
        <v>46291</v>
      </c>
      <c r="F867" t="inlineStr">
        <is>
          <t>UPPSALA LÄN</t>
        </is>
      </c>
      <c r="G867" t="inlineStr">
        <is>
          <t>UPPSALA</t>
        </is>
      </c>
      <c r="H867" t="inlineStr">
        <is>
          <t>Kommuner</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62471-2021</t>
        </is>
      </c>
      <c r="B868" t="inlineStr">
        <is>
          <t>avverkningsanmälan</t>
        </is>
      </c>
      <c r="C868" t="inlineStr">
        <is>
          <t>Föryngringsavverkning</t>
        </is>
      </c>
      <c r="D868" s="1" t="n">
        <v>44503</v>
      </c>
      <c r="E868" s="1" t="n">
        <v>46291</v>
      </c>
      <c r="F868" t="inlineStr">
        <is>
          <t>UPPSALA LÄN</t>
        </is>
      </c>
      <c r="G868" t="inlineStr">
        <is>
          <t>UPPSALA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10565-2022</t>
        </is>
      </c>
      <c r="B869" t="inlineStr">
        <is>
          <t>avverkningsanmälan</t>
        </is>
      </c>
      <c r="C869" t="inlineStr">
        <is>
          <t>Föryngringsavverkning</t>
        </is>
      </c>
      <c r="D869" s="1" t="n">
        <v>44624</v>
      </c>
      <c r="E869" s="1" t="n">
        <v>46291</v>
      </c>
      <c r="F869" t="inlineStr">
        <is>
          <t>UPPSALA LÄN</t>
        </is>
      </c>
      <c r="G869" t="inlineStr">
        <is>
          <t>UPPSALA</t>
        </is>
      </c>
      <c r="H869" t="inlineStr">
        <is>
          <t>Bergvik skog öst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12284-2025</t>
        </is>
      </c>
      <c r="B870" t="inlineStr">
        <is>
          <t>avverkningsanmälan</t>
        </is>
      </c>
      <c r="C870" t="inlineStr">
        <is>
          <t>Föryngringsavverkning</t>
        </is>
      </c>
      <c r="D870" s="1" t="n">
        <v>45729</v>
      </c>
      <c r="E870" s="1" t="n">
        <v>46291</v>
      </c>
      <c r="F870" t="inlineStr">
        <is>
          <t>UPPSALA LÄN</t>
        </is>
      </c>
      <c r="G870" t="inlineStr">
        <is>
          <t>UPPSALA</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12287-2025</t>
        </is>
      </c>
      <c r="B871" t="inlineStr">
        <is>
          <t>avverkningsanmälan</t>
        </is>
      </c>
      <c r="C871" t="inlineStr">
        <is>
          <t>Föryngringsavverkning</t>
        </is>
      </c>
      <c r="D871" s="1" t="n">
        <v>45729</v>
      </c>
      <c r="E871" s="1" t="n">
        <v>46291</v>
      </c>
      <c r="F871" t="inlineStr">
        <is>
          <t>UPPSALA LÄN</t>
        </is>
      </c>
      <c r="G871" t="inlineStr">
        <is>
          <t>UPPSALA</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4461-2024</t>
        </is>
      </c>
      <c r="B872" t="inlineStr">
        <is>
          <t>avverkningsanmälan</t>
        </is>
      </c>
      <c r="C872" t="inlineStr">
        <is>
          <t>Föryngringsavverkning</t>
        </is>
      </c>
      <c r="D872" s="1" t="n">
        <v>45327</v>
      </c>
      <c r="E872" s="1" t="n">
        <v>46291</v>
      </c>
      <c r="F872" t="inlineStr">
        <is>
          <t>UPPSALA LÄN</t>
        </is>
      </c>
      <c r="G872" t="inlineStr">
        <is>
          <t>UPPSALA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14784-2023</t>
        </is>
      </c>
      <c r="B873" t="inlineStr">
        <is>
          <t>avverkningsanmälan</t>
        </is>
      </c>
      <c r="C873" t="inlineStr">
        <is>
          <t>Föryngringsavverkning</t>
        </is>
      </c>
      <c r="D873" s="1" t="n">
        <v>45014</v>
      </c>
      <c r="E873" s="1" t="n">
        <v>46291</v>
      </c>
      <c r="F873" t="inlineStr">
        <is>
          <t>UPPSALA LÄN</t>
        </is>
      </c>
      <c r="G873" t="inlineStr">
        <is>
          <t>UPPSALA</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4929-2022</t>
        </is>
      </c>
      <c r="B874" t="inlineStr">
        <is>
          <t>avverkningsanmälan</t>
        </is>
      </c>
      <c r="C874" t="inlineStr">
        <is>
          <t>Föryngringsavverkning</t>
        </is>
      </c>
      <c r="D874" s="1" t="n">
        <v>44593</v>
      </c>
      <c r="E874" s="1" t="n">
        <v>46291</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4240-2025</t>
        </is>
      </c>
      <c r="B875" t="inlineStr">
        <is>
          <t>avverkningsanmälan</t>
        </is>
      </c>
      <c r="C875" t="inlineStr">
        <is>
          <t>Föryngringsavverkning</t>
        </is>
      </c>
      <c r="D875" s="1" t="n">
        <v>45685</v>
      </c>
      <c r="E875" s="1" t="n">
        <v>46291</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24787-2024</t>
        </is>
      </c>
      <c r="B876" t="inlineStr">
        <is>
          <t>avverkningsanmälan</t>
        </is>
      </c>
      <c r="C876" t="inlineStr">
        <is>
          <t>Avverkning för annat ändamål</t>
        </is>
      </c>
      <c r="D876" s="1" t="n">
        <v>45460</v>
      </c>
      <c r="E876" s="1" t="n">
        <v>46291</v>
      </c>
      <c r="F876" t="inlineStr">
        <is>
          <t>UPPSALA LÄN</t>
        </is>
      </c>
      <c r="G876" t="inlineStr">
        <is>
          <t>UPPSALA</t>
        </is>
      </c>
      <c r="H876" t="inlineStr">
        <is>
          <t>Övriga Aktiebolag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7388-2024</t>
        </is>
      </c>
      <c r="B877" t="inlineStr">
        <is>
          <t>avverkningsanmälan</t>
        </is>
      </c>
      <c r="C877" t="inlineStr">
        <is>
          <t>Föryngringsavverkning</t>
        </is>
      </c>
      <c r="D877" s="1" t="n">
        <v>45345</v>
      </c>
      <c r="E877" s="1" t="n">
        <v>46291</v>
      </c>
      <c r="F877" t="inlineStr">
        <is>
          <t>UPPSALA LÄN</t>
        </is>
      </c>
      <c r="G877" t="inlineStr">
        <is>
          <t>UPPSALA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60984-2022</t>
        </is>
      </c>
      <c r="B878" t="inlineStr">
        <is>
          <t>avverkningsanmälan</t>
        </is>
      </c>
      <c r="C878" t="inlineStr">
        <is>
          <t>Föryngringsavverkning</t>
        </is>
      </c>
      <c r="D878" s="1" t="n">
        <v>44914</v>
      </c>
      <c r="E878" s="1" t="n">
        <v>46291</v>
      </c>
      <c r="F878" t="inlineStr">
        <is>
          <t>UPPSALA LÄN</t>
        </is>
      </c>
      <c r="G878" t="inlineStr">
        <is>
          <t>UPPSALA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21052-2023</t>
        </is>
      </c>
      <c r="B879" t="inlineStr">
        <is>
          <t>avverkningsanmälan</t>
        </is>
      </c>
      <c r="C879" t="inlineStr">
        <is>
          <t>Föryngringsavverkning</t>
        </is>
      </c>
      <c r="D879" s="1" t="n">
        <v>45061</v>
      </c>
      <c r="E879" s="1" t="n">
        <v>46291</v>
      </c>
      <c r="F879" t="inlineStr">
        <is>
          <t>UPPSALA LÄN</t>
        </is>
      </c>
      <c r="G879" t="inlineStr">
        <is>
          <t>UPPSALA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60701-2022</t>
        </is>
      </c>
      <c r="B880" t="inlineStr">
        <is>
          <t>avverkningsanmälan</t>
        </is>
      </c>
      <c r="C880" t="inlineStr">
        <is>
          <t>Avverkning för annat ändamål</t>
        </is>
      </c>
      <c r="D880" s="1" t="n">
        <v>44912</v>
      </c>
      <c r="E880" s="1" t="n">
        <v>46291</v>
      </c>
      <c r="F880" t="inlineStr">
        <is>
          <t>UPPSALA LÄN</t>
        </is>
      </c>
      <c r="G880" t="inlineStr">
        <is>
          <t>UPPSALA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6997-2023</t>
        </is>
      </c>
      <c r="B881" t="inlineStr">
        <is>
          <t>avverkningsanmälan</t>
        </is>
      </c>
      <c r="C881" t="inlineStr">
        <is>
          <t>Föryngringsavverkning</t>
        </is>
      </c>
      <c r="D881" s="1" t="n">
        <v>44967</v>
      </c>
      <c r="E881" s="1" t="n">
        <v>46291</v>
      </c>
      <c r="F881" t="inlineStr">
        <is>
          <t>UPPSALA LÄN</t>
        </is>
      </c>
      <c r="G881" t="inlineStr">
        <is>
          <t>UPPSALA</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23157-2023</t>
        </is>
      </c>
      <c r="B882" t="inlineStr">
        <is>
          <t>avverkningsanmälan</t>
        </is>
      </c>
      <c r="C882" t="inlineStr">
        <is>
          <t>Föryngringsavverkning</t>
        </is>
      </c>
      <c r="D882" s="1" t="n">
        <v>45075</v>
      </c>
      <c r="E882" s="1" t="n">
        <v>46291</v>
      </c>
      <c r="F882" t="inlineStr">
        <is>
          <t>UPPSALA LÄN</t>
        </is>
      </c>
      <c r="G882" t="inlineStr">
        <is>
          <t>UPPSALA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6549-2025</t>
        </is>
      </c>
      <c r="B883" t="inlineStr">
        <is>
          <t>avverkningsanmälan</t>
        </is>
      </c>
      <c r="C883" t="inlineStr">
        <is>
          <t>Föryngringsavverkning</t>
        </is>
      </c>
      <c r="D883" s="1" t="n">
        <v>45699</v>
      </c>
      <c r="E883" s="1" t="n">
        <v>46291</v>
      </c>
      <c r="F883" t="inlineStr">
        <is>
          <t>UPPSALA LÄN</t>
        </is>
      </c>
      <c r="G883" t="inlineStr">
        <is>
          <t>UPPSALA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12830-2025</t>
        </is>
      </c>
      <c r="B884" t="inlineStr">
        <is>
          <t>avverkningsanmälan</t>
        </is>
      </c>
      <c r="C884" t="inlineStr">
        <is>
          <t>Föryngringsavverkning</t>
        </is>
      </c>
      <c r="D884" s="1" t="n">
        <v>45733</v>
      </c>
      <c r="E884" s="1" t="n">
        <v>46291</v>
      </c>
      <c r="F884" t="inlineStr">
        <is>
          <t>UPPSALA LÄN</t>
        </is>
      </c>
      <c r="G884" t="inlineStr">
        <is>
          <t>UPPSALA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18808-2024</t>
        </is>
      </c>
      <c r="B885" t="inlineStr">
        <is>
          <t>avverkningsanmälan</t>
        </is>
      </c>
      <c r="C885" t="inlineStr">
        <is>
          <t>Föryngringsavverkning</t>
        </is>
      </c>
      <c r="D885" s="1" t="n">
        <v>45426</v>
      </c>
      <c r="E885" s="1" t="n">
        <v>46291</v>
      </c>
      <c r="F885" t="inlineStr">
        <is>
          <t>UPPSALA LÄN</t>
        </is>
      </c>
      <c r="G885" t="inlineStr">
        <is>
          <t>UPPSALA</t>
        </is>
      </c>
      <c r="I885" t="n">
        <v>11.5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28782-2024</t>
        </is>
      </c>
      <c r="B886" t="inlineStr">
        <is>
          <t>avverkningsanmälan</t>
        </is>
      </c>
      <c r="C886" t="inlineStr">
        <is>
          <t>Föryngringsavverkning</t>
        </is>
      </c>
      <c r="D886" s="1" t="n">
        <v>45478</v>
      </c>
      <c r="E886" s="1" t="n">
        <v>46291</v>
      </c>
      <c r="F886" t="inlineStr">
        <is>
          <t>UPPSALA LÄN</t>
        </is>
      </c>
      <c r="G886" t="inlineStr">
        <is>
          <t>UPPSALA</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36781-2023</t>
        </is>
      </c>
      <c r="B887" t="inlineStr">
        <is>
          <t>avverkningsanmälan</t>
        </is>
      </c>
      <c r="C887" t="inlineStr">
        <is>
          <t>Föryngringsavverkning</t>
        </is>
      </c>
      <c r="D887" s="1" t="n">
        <v>45154</v>
      </c>
      <c r="E887" s="1" t="n">
        <v>46291</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12282-2025</t>
        </is>
      </c>
      <c r="B888" t="inlineStr">
        <is>
          <t>avverkningsanmälan</t>
        </is>
      </c>
      <c r="C888" t="inlineStr">
        <is>
          <t>Föryngringsavverkning</t>
        </is>
      </c>
      <c r="D888" s="1" t="n">
        <v>45729</v>
      </c>
      <c r="E888" s="1" t="n">
        <v>46291</v>
      </c>
      <c r="F888" t="inlineStr">
        <is>
          <t>UPPSALA LÄN</t>
        </is>
      </c>
      <c r="G888" t="inlineStr">
        <is>
          <t>UPPSALA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41545-2023</t>
        </is>
      </c>
      <c r="B889" t="inlineStr">
        <is>
          <t>avverkningsanmälan</t>
        </is>
      </c>
      <c r="C889" t="inlineStr">
        <is>
          <t>Föryngringsavverkning</t>
        </is>
      </c>
      <c r="D889" s="1" t="n">
        <v>45175</v>
      </c>
      <c r="E889" s="1" t="n">
        <v>46291</v>
      </c>
      <c r="F889" t="inlineStr">
        <is>
          <t>UPPSALA LÄN</t>
        </is>
      </c>
      <c r="G889" t="inlineStr">
        <is>
          <t>UPPSALA</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60691-2024</t>
        </is>
      </c>
      <c r="B890" t="inlineStr">
        <is>
          <t>avverkningsanmälan</t>
        </is>
      </c>
      <c r="C890" t="inlineStr">
        <is>
          <t>Föryngringsavverkning</t>
        </is>
      </c>
      <c r="D890" s="1" t="n">
        <v>45644</v>
      </c>
      <c r="E890" s="1" t="n">
        <v>46291</v>
      </c>
      <c r="F890" t="inlineStr">
        <is>
          <t>UPPSALA LÄN</t>
        </is>
      </c>
      <c r="G890" t="inlineStr">
        <is>
          <t>UPPSALA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13526-2023</t>
        </is>
      </c>
      <c r="B891" t="inlineStr">
        <is>
          <t>avverkningsanmälan</t>
        </is>
      </c>
      <c r="C891" t="inlineStr">
        <is>
          <t>Föryngringsavverkning</t>
        </is>
      </c>
      <c r="D891" s="1" t="n">
        <v>45006</v>
      </c>
      <c r="E891" s="1" t="n">
        <v>46291</v>
      </c>
      <c r="F891" t="inlineStr">
        <is>
          <t>UPPSALA LÄN</t>
        </is>
      </c>
      <c r="G891" t="inlineStr">
        <is>
          <t>UPPSALA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1825-2024</t>
        </is>
      </c>
      <c r="B892" t="inlineStr">
        <is>
          <t>avverkningsanmälan</t>
        </is>
      </c>
      <c r="C892" t="inlineStr">
        <is>
          <t>Föryngringsavverkning</t>
        </is>
      </c>
      <c r="D892" s="1" t="n">
        <v>45307</v>
      </c>
      <c r="E892" s="1" t="n">
        <v>46291</v>
      </c>
      <c r="F892" t="inlineStr">
        <is>
          <t>UPPSALA LÄN</t>
        </is>
      </c>
      <c r="G892" t="inlineStr">
        <is>
          <t>UPPSALA</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4412-2024</t>
        </is>
      </c>
      <c r="B893" t="inlineStr">
        <is>
          <t>avverkningsanmälan</t>
        </is>
      </c>
      <c r="C893" t="inlineStr">
        <is>
          <t>Föryngringsavverkning</t>
        </is>
      </c>
      <c r="D893" s="1" t="n">
        <v>45327</v>
      </c>
      <c r="E893" s="1" t="n">
        <v>46291</v>
      </c>
      <c r="F893" t="inlineStr">
        <is>
          <t>UPPSALA LÄN</t>
        </is>
      </c>
      <c r="G893" t="inlineStr">
        <is>
          <t>UPPSALA</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787-2024</t>
        </is>
      </c>
      <c r="B894" t="inlineStr">
        <is>
          <t>avverkningsanmälan</t>
        </is>
      </c>
      <c r="C894" t="inlineStr">
        <is>
          <t>Föryngringsavverkning</t>
        </is>
      </c>
      <c r="D894" s="1" t="n">
        <v>45300</v>
      </c>
      <c r="E894" s="1" t="n">
        <v>46291</v>
      </c>
      <c r="F894" t="inlineStr">
        <is>
          <t>UPPSALA LÄN</t>
        </is>
      </c>
      <c r="G894" t="inlineStr">
        <is>
          <t>UPPSALA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29815-2023</t>
        </is>
      </c>
      <c r="B895" t="inlineStr">
        <is>
          <t>avverkningsanmälan</t>
        </is>
      </c>
      <c r="C895" t="inlineStr">
        <is>
          <t>Föryngringsavverkning</t>
        </is>
      </c>
      <c r="D895" s="1" t="n">
        <v>45107</v>
      </c>
      <c r="E895" s="1" t="n">
        <v>46291</v>
      </c>
      <c r="F895" t="inlineStr">
        <is>
          <t>UPPSALA LÄN</t>
        </is>
      </c>
      <c r="G895" t="inlineStr">
        <is>
          <t>UPPSALA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33667-2024</t>
        </is>
      </c>
      <c r="B896" t="inlineStr">
        <is>
          <t>avverkningsanmälan</t>
        </is>
      </c>
      <c r="C896" t="inlineStr">
        <is>
          <t>Föryngringsavverkning</t>
        </is>
      </c>
      <c r="D896" s="1" t="n">
        <v>45520</v>
      </c>
      <c r="E896" s="1" t="n">
        <v>46291</v>
      </c>
      <c r="F896" t="inlineStr">
        <is>
          <t>UPPSALA LÄN</t>
        </is>
      </c>
      <c r="G896" t="inlineStr">
        <is>
          <t>UPPSALA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44847-2024</t>
        </is>
      </c>
      <c r="B897" t="inlineStr">
        <is>
          <t>avverkningsanmälan</t>
        </is>
      </c>
      <c r="C897" t="inlineStr">
        <is>
          <t>Föryngringsavverkning</t>
        </is>
      </c>
      <c r="D897" s="1" t="n">
        <v>45574</v>
      </c>
      <c r="E897" s="1" t="n">
        <v>46291</v>
      </c>
      <c r="F897" t="inlineStr">
        <is>
          <t>UPPSALA LÄN</t>
        </is>
      </c>
      <c r="G897" t="inlineStr">
        <is>
          <t>UPPSALA</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21279-2025</t>
        </is>
      </c>
      <c r="B898" t="inlineStr">
        <is>
          <t>avverkningsanmälan</t>
        </is>
      </c>
      <c r="C898" t="inlineStr">
        <is>
          <t>Föryngringsavverkning</t>
        </is>
      </c>
      <c r="D898" s="1" t="n">
        <v>45779</v>
      </c>
      <c r="E898" s="1" t="n">
        <v>46291</v>
      </c>
      <c r="F898" t="inlineStr">
        <is>
          <t>UPPSALA LÄN</t>
        </is>
      </c>
      <c r="G898" t="inlineStr">
        <is>
          <t>UPPSALA</t>
        </is>
      </c>
      <c r="H898" t="inlineStr">
        <is>
          <t>Övriga Aktiebolag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750-2022</t>
        </is>
      </c>
      <c r="B899" t="inlineStr">
        <is>
          <t>avverkningsanmälan</t>
        </is>
      </c>
      <c r="C899" t="inlineStr">
        <is>
          <t>Föryngringsavverkning</t>
        </is>
      </c>
      <c r="D899" s="1" t="n">
        <v>44569</v>
      </c>
      <c r="E899" s="1" t="n">
        <v>46291</v>
      </c>
      <c r="F899" t="inlineStr">
        <is>
          <t>UPPSALA LÄN</t>
        </is>
      </c>
      <c r="G899" t="inlineStr">
        <is>
          <t>UPPSALA</t>
        </is>
      </c>
      <c r="H899" t="inlineStr">
        <is>
          <t>Holmen skog AB</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4980-2024</t>
        </is>
      </c>
      <c r="B900" t="inlineStr">
        <is>
          <t>avverkningsanmälan</t>
        </is>
      </c>
      <c r="C900" t="inlineStr">
        <is>
          <t>Föryngringsavverkning</t>
        </is>
      </c>
      <c r="D900" s="1" t="n">
        <v>45329</v>
      </c>
      <c r="E900" s="1" t="n">
        <v>46291</v>
      </c>
      <c r="F900" t="inlineStr">
        <is>
          <t>UPPSALA LÄN</t>
        </is>
      </c>
      <c r="G900" t="inlineStr">
        <is>
          <t>UPPSALA</t>
        </is>
      </c>
      <c r="I900" t="n">
        <v>10.8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42131-2023</t>
        </is>
      </c>
      <c r="B901" t="inlineStr">
        <is>
          <t>avverkningsanmälan</t>
        </is>
      </c>
      <c r="C901" t="inlineStr">
        <is>
          <t>Föryngringsavverkning</t>
        </is>
      </c>
      <c r="D901" s="1" t="n">
        <v>45177</v>
      </c>
      <c r="E901" s="1" t="n">
        <v>46291</v>
      </c>
      <c r="F901" t="inlineStr">
        <is>
          <t>UPPSALA LÄN</t>
        </is>
      </c>
      <c r="G901" t="inlineStr">
        <is>
          <t>UPPSALA</t>
        </is>
      </c>
      <c r="H901" t="inlineStr">
        <is>
          <t>Allmännings- och besparingsskogar</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40701-2024</t>
        </is>
      </c>
      <c r="B902" t="inlineStr">
        <is>
          <t>avverkningsanmälan</t>
        </is>
      </c>
      <c r="C902" t="inlineStr">
        <is>
          <t>Föryngringsavverkning</t>
        </is>
      </c>
      <c r="D902" s="1" t="n">
        <v>45558</v>
      </c>
      <c r="E902" s="1" t="n">
        <v>46291</v>
      </c>
      <c r="F902" t="inlineStr">
        <is>
          <t>UPPSALA LÄN</t>
        </is>
      </c>
      <c r="G902" t="inlineStr">
        <is>
          <t>UPPSALA</t>
        </is>
      </c>
      <c r="I902" t="n">
        <v>9.699999999999999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42276-2024</t>
        </is>
      </c>
      <c r="B903" t="inlineStr">
        <is>
          <t>avverkningsanmälan</t>
        </is>
      </c>
      <c r="C903" t="inlineStr">
        <is>
          <t>Föryngringsavverkning</t>
        </is>
      </c>
      <c r="D903" s="1" t="n">
        <v>45562</v>
      </c>
      <c r="E903" s="1" t="n">
        <v>46291</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10650-2024</t>
        </is>
      </c>
      <c r="B904" t="inlineStr">
        <is>
          <t>avverkningsanmälan</t>
        </is>
      </c>
      <c r="C904" t="inlineStr">
        <is>
          <t>Föryngringsavverkning</t>
        </is>
      </c>
      <c r="D904" s="1" t="n">
        <v>45368</v>
      </c>
      <c r="E904" s="1" t="n">
        <v>46291</v>
      </c>
      <c r="F904" t="inlineStr">
        <is>
          <t>UPPSALA LÄN</t>
        </is>
      </c>
      <c r="G904" t="inlineStr">
        <is>
          <t>UPPSALA</t>
        </is>
      </c>
      <c r="H904" t="inlineStr">
        <is>
          <t>Bergvik skog öst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758-2022</t>
        </is>
      </c>
      <c r="B905" t="inlineStr">
        <is>
          <t>avverkningsanmälan</t>
        </is>
      </c>
      <c r="C905" t="inlineStr">
        <is>
          <t>Föryngringsavverkning</t>
        </is>
      </c>
      <c r="D905" s="1" t="n">
        <v>44569</v>
      </c>
      <c r="E905" s="1" t="n">
        <v>46291</v>
      </c>
      <c r="F905" t="inlineStr">
        <is>
          <t>UPPSALA LÄN</t>
        </is>
      </c>
      <c r="G905" t="inlineStr">
        <is>
          <t>UPPSALA</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3973-2025</t>
        </is>
      </c>
      <c r="B906" t="inlineStr">
        <is>
          <t>avverkningsanmälan</t>
        </is>
      </c>
      <c r="C906" t="inlineStr">
        <is>
          <t>Föryngringsavverkning</t>
        </is>
      </c>
      <c r="D906" s="1" t="n">
        <v>45684</v>
      </c>
      <c r="E906" s="1" t="n">
        <v>46291</v>
      </c>
      <c r="F906" t="inlineStr">
        <is>
          <t>UPPSALA LÄN</t>
        </is>
      </c>
      <c r="G906" t="inlineStr">
        <is>
          <t>UPPSALA</t>
        </is>
      </c>
      <c r="I906" t="n">
        <v>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59570-2023</t>
        </is>
      </c>
      <c r="B907" t="inlineStr">
        <is>
          <t>avverkningsanmälan</t>
        </is>
      </c>
      <c r="C907" t="inlineStr">
        <is>
          <t>Föryngringsavverkning</t>
        </is>
      </c>
      <c r="D907" s="1" t="n">
        <v>45254</v>
      </c>
      <c r="E907" s="1" t="n">
        <v>46291</v>
      </c>
      <c r="F907" t="inlineStr">
        <is>
          <t>UPPSALA LÄN</t>
        </is>
      </c>
      <c r="G907" t="inlineStr">
        <is>
          <t>UPPSALA</t>
        </is>
      </c>
      <c r="I907" t="n">
        <v>6.7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11260-2024</t>
        </is>
      </c>
      <c r="B908" t="inlineStr">
        <is>
          <t>avverkningsanmälan</t>
        </is>
      </c>
      <c r="C908" t="inlineStr">
        <is>
          <t>Föryngringsavverkning</t>
        </is>
      </c>
      <c r="D908" s="1" t="n">
        <v>45371</v>
      </c>
      <c r="E908" s="1" t="n">
        <v>46291</v>
      </c>
      <c r="F908" t="inlineStr">
        <is>
          <t>UPPSALA LÄN</t>
        </is>
      </c>
      <c r="G908" t="inlineStr">
        <is>
          <t>UPPSALA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26208-2023</t>
        </is>
      </c>
      <c r="B909" t="inlineStr">
        <is>
          <t>avverkningsanmälan</t>
        </is>
      </c>
      <c r="C909" t="inlineStr">
        <is>
          <t>Föryngringsavverkning</t>
        </is>
      </c>
      <c r="D909" s="1" t="n">
        <v>45091</v>
      </c>
      <c r="E909" s="1" t="n">
        <v>46291</v>
      </c>
      <c r="F909" t="inlineStr">
        <is>
          <t>UPPSALA LÄN</t>
        </is>
      </c>
      <c r="G909" t="inlineStr">
        <is>
          <t>UPPSALA</t>
        </is>
      </c>
      <c r="H909" t="inlineStr">
        <is>
          <t>Holmen skog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46751-2024</t>
        </is>
      </c>
      <c r="B910" t="inlineStr">
        <is>
          <t>avverkningsanmälan</t>
        </is>
      </c>
      <c r="C910" t="inlineStr">
        <is>
          <t>Föryngringsavverkning</t>
        </is>
      </c>
      <c r="D910" s="1" t="n">
        <v>45583</v>
      </c>
      <c r="E910" s="1" t="n">
        <v>46291</v>
      </c>
      <c r="F910" t="inlineStr">
        <is>
          <t>UPPSALA LÄN</t>
        </is>
      </c>
      <c r="G910" t="inlineStr">
        <is>
          <t>UPPSALA</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46925-2024</t>
        </is>
      </c>
      <c r="B911" t="inlineStr">
        <is>
          <t>avverkningsanmälan</t>
        </is>
      </c>
      <c r="C911" t="inlineStr">
        <is>
          <t>Föryngringsavverkning</t>
        </is>
      </c>
      <c r="D911" s="1" t="n">
        <v>45584</v>
      </c>
      <c r="E911" s="1" t="n">
        <v>46291</v>
      </c>
      <c r="F911" t="inlineStr">
        <is>
          <t>UPPSALA LÄN</t>
        </is>
      </c>
      <c r="G911" t="inlineStr">
        <is>
          <t>UPPSALA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46291</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46291</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46291</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46291</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46291</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191-2024</t>
        </is>
      </c>
      <c r="B917" t="inlineStr">
        <is>
          <t>samrådsanmälan</t>
        </is>
      </c>
      <c r="C917" t="inlineStr">
        <is>
          <t>Skogsgödsling</t>
        </is>
      </c>
      <c r="D917" s="1" t="n">
        <v>45315</v>
      </c>
      <c r="E917" s="1" t="n">
        <v>46291</v>
      </c>
      <c r="F917" t="inlineStr">
        <is>
          <t>UPPSALA LÄN</t>
        </is>
      </c>
      <c r="G917" t="inlineStr">
        <is>
          <t>UPPSALA</t>
        </is>
      </c>
      <c r="H917" t="inlineStr">
        <is>
          <t>Bergvik skog öst AB</t>
        </is>
      </c>
      <c r="I917" t="n">
        <v>116.9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2941-2023</t>
        </is>
      </c>
      <c r="B918" t="inlineStr">
        <is>
          <t>samrådsanmälan</t>
        </is>
      </c>
      <c r="C918" t="inlineStr">
        <is>
          <t>Annan skogsbruksåtgärd</t>
        </is>
      </c>
      <c r="D918" s="1" t="n">
        <v>45173</v>
      </c>
      <c r="E918" s="1" t="n">
        <v>46291</v>
      </c>
      <c r="F918" t="inlineStr">
        <is>
          <t>UPPSALA LÄN</t>
        </is>
      </c>
      <c r="G918" t="inlineStr">
        <is>
          <t>UPPSALA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789-2023</t>
        </is>
      </c>
      <c r="B919" t="inlineStr">
        <is>
          <t>samrådsanmälan</t>
        </is>
      </c>
      <c r="C919" t="inlineStr">
        <is>
          <t>Annan skogsbruksåtgärd</t>
        </is>
      </c>
      <c r="D919" s="1" t="n">
        <v>44985</v>
      </c>
      <c r="E919" s="1" t="n">
        <v>46291</v>
      </c>
      <c r="F919" t="inlineStr">
        <is>
          <t>UPPSALA LÄN</t>
        </is>
      </c>
      <c r="G919" t="inlineStr">
        <is>
          <t>UPPSALA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1201-2024</t>
        </is>
      </c>
      <c r="B920" t="inlineStr">
        <is>
          <t>samrådsanmälan</t>
        </is>
      </c>
      <c r="C920" t="inlineStr">
        <is>
          <t>Annan skogsbruksåtgärd</t>
        </is>
      </c>
      <c r="D920" s="1" t="n">
        <v>45398</v>
      </c>
      <c r="E920" s="1" t="n">
        <v>46291</v>
      </c>
      <c r="F920" t="inlineStr">
        <is>
          <t>UPPSALA LÄN</t>
        </is>
      </c>
      <c r="G920" t="inlineStr">
        <is>
          <t>UPPSALA</t>
        </is>
      </c>
      <c r="H920" t="inlineStr">
        <is>
          <t>Bergvik skog öst AB</t>
        </is>
      </c>
      <c r="I920" t="n">
        <v>37.1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46291</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46291</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46291</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46291</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46291</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2026-09-26T02:02:36Z</dcterms:created>
  <dcterms:modified xmlns:dcterms="http://purl.org/dc/terms/" xmlns:xsi="http://www.w3.org/2001/XMLSchema-instance" xsi:type="dcterms:W3CDTF">2026-09-26T02:02:37Z</dcterms:modified>
</cp:coreProperties>
</file>