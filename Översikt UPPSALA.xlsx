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45916</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45916</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45916</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45916</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45916</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45916</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45916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45916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45916</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45916</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45916</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25609-2025</t>
        </is>
      </c>
      <c r="B15" s="1" t="n">
        <v>45803.55737268519</v>
      </c>
      <c r="C15" s="1" t="n">
        <v>45916</v>
      </c>
      <c r="D15" t="inlineStr">
        <is>
          <t>UPPSALA LÄN</t>
        </is>
      </c>
      <c r="E15" t="inlineStr">
        <is>
          <t>UPPSALA</t>
        </is>
      </c>
      <c r="F15" t="inlineStr">
        <is>
          <t>Holmen skog AB</t>
        </is>
      </c>
      <c r="G15" t="n">
        <v>4.5</v>
      </c>
      <c r="H15" t="n">
        <v>4</v>
      </c>
      <c r="I15" t="n">
        <v>5</v>
      </c>
      <c r="J15" t="n">
        <v>2</v>
      </c>
      <c r="K15" t="n">
        <v>2</v>
      </c>
      <c r="L15" t="n">
        <v>0</v>
      </c>
      <c r="M15" t="n">
        <v>0</v>
      </c>
      <c r="N15" t="n">
        <v>0</v>
      </c>
      <c r="O15" t="n">
        <v>4</v>
      </c>
      <c r="P15" t="n">
        <v>2</v>
      </c>
      <c r="Q15" t="n">
        <v>11</v>
      </c>
      <c r="R15" s="2" t="inlineStr">
        <is>
          <t>Knärot
Laxporing
Spillkråka
Vedtrappmossa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25604-2025</t>
        </is>
      </c>
      <c r="B16" s="1" t="n">
        <v>45803.55260416667</v>
      </c>
      <c r="C16" s="1" t="n">
        <v>45916</v>
      </c>
      <c r="D16" t="inlineStr">
        <is>
          <t>UPPSALA LÄN</t>
        </is>
      </c>
      <c r="E16" t="inlineStr">
        <is>
          <t>UPPSALA</t>
        </is>
      </c>
      <c r="F16" t="inlineStr">
        <is>
          <t>Holmen skog AB</t>
        </is>
      </c>
      <c r="G16" t="n">
        <v>4.7</v>
      </c>
      <c r="H16" t="n">
        <v>8</v>
      </c>
      <c r="I16" t="n">
        <v>3</v>
      </c>
      <c r="J16" t="n">
        <v>2</v>
      </c>
      <c r="K16" t="n">
        <v>2</v>
      </c>
      <c r="L16" t="n">
        <v>0</v>
      </c>
      <c r="M16" t="n">
        <v>0</v>
      </c>
      <c r="N16" t="n">
        <v>0</v>
      </c>
      <c r="O16" t="n">
        <v>4</v>
      </c>
      <c r="P16" t="n">
        <v>2</v>
      </c>
      <c r="Q16" t="n">
        <v>11</v>
      </c>
      <c r="R16" s="2" t="inlineStr">
        <is>
          <t>Knärot
Tallbit
Spillkråka
Talltita
Bronshjon
Grönpyrola
Vågbandad barkbock
Grönsiska
Kungsfågel
Kopparödla
Blåsippa</t>
        </is>
      </c>
      <c r="S16">
        <f>HYPERLINK("https://klasma.github.io/Logging_0380/artfynd/A 25604-2025 artfynd.xlsx", "A 25604-2025")</f>
        <v/>
      </c>
      <c r="T16">
        <f>HYPERLINK("https://klasma.github.io/Logging_0380/kartor/A 25604-2025 karta.png", "A 25604-2025")</f>
        <v/>
      </c>
      <c r="U16">
        <f>HYPERLINK("https://klasma.github.io/Logging_0380/knärot/A 25604-2025 karta knärot.png", "A 25604-2025")</f>
        <v/>
      </c>
      <c r="V16">
        <f>HYPERLINK("https://klasma.github.io/Logging_0380/klagomål/A 25604-2025 FSC-klagomål.docx", "A 25604-2025")</f>
        <v/>
      </c>
      <c r="W16">
        <f>HYPERLINK("https://klasma.github.io/Logging_0380/klagomålsmail/A 25604-2025 FSC-klagomål mail.docx", "A 25604-2025")</f>
        <v/>
      </c>
      <c r="X16">
        <f>HYPERLINK("https://klasma.github.io/Logging_0380/tillsyn/A 25604-2025 tillsynsbegäran.docx", "A 25604-2025")</f>
        <v/>
      </c>
      <c r="Y16">
        <f>HYPERLINK("https://klasma.github.io/Logging_0380/tillsynsmail/A 25604-2025 tillsynsbegäran mail.docx", "A 25604-2025")</f>
        <v/>
      </c>
      <c r="Z16">
        <f>HYPERLINK("https://klasma.github.io/Logging_0380/fåglar/A 25604-2025 prioriterade fågelarter.docx", "A 25604-2025")</f>
        <v/>
      </c>
    </row>
    <row r="17" ht="15" customHeight="1">
      <c r="A17" t="inlineStr">
        <is>
          <t>A 25143-2023</t>
        </is>
      </c>
      <c r="B17" s="1" t="n">
        <v>45086</v>
      </c>
      <c r="C17" s="1" t="n">
        <v>45916</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47453-2023</t>
        </is>
      </c>
      <c r="B18" s="1" t="n">
        <v>45202</v>
      </c>
      <c r="C18" s="1" t="n">
        <v>45916</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45916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45916</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27281-2025</t>
        </is>
      </c>
      <c r="B21" s="1" t="n">
        <v>45812</v>
      </c>
      <c r="C21" s="1" t="n">
        <v>45916</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2021-2022</t>
        </is>
      </c>
      <c r="B22" s="1" t="n">
        <v>44575</v>
      </c>
      <c r="C22" s="1" t="n">
        <v>45916</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45916</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45916</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45916</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45916</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26460-2023</t>
        </is>
      </c>
      <c r="B27" s="1" t="n">
        <v>45092</v>
      </c>
      <c r="C27" s="1" t="n">
        <v>45916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45916</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45916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24987-2025</t>
        </is>
      </c>
      <c r="B30" s="1" t="n">
        <v>45799.60315972222</v>
      </c>
      <c r="C30" s="1" t="n">
        <v>45916</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25651-2025</t>
        </is>
      </c>
      <c r="B31" s="1" t="n">
        <v>45803.61035879629</v>
      </c>
      <c r="C31" s="1" t="n">
        <v>45916</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69711-2021</t>
        </is>
      </c>
      <c r="B32" s="1" t="n">
        <v>44532</v>
      </c>
      <c r="C32" s="1" t="n">
        <v>45916</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33636-2025</t>
        </is>
      </c>
      <c r="B33" s="1" t="n">
        <v>45841.64539351852</v>
      </c>
      <c r="C33" s="1" t="n">
        <v>45916</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34459-2022</t>
        </is>
      </c>
      <c r="B34" s="1" t="n">
        <v>44792</v>
      </c>
      <c r="C34" s="1" t="n">
        <v>45916</v>
      </c>
      <c r="D34" t="inlineStr">
        <is>
          <t>UPPSALA LÄN</t>
        </is>
      </c>
      <c r="E34" t="inlineStr">
        <is>
          <t>UPPSALA</t>
        </is>
      </c>
      <c r="F34" t="inlineStr">
        <is>
          <t>Kommuner</t>
        </is>
      </c>
      <c r="G34" t="n">
        <v>2.6</v>
      </c>
      <c r="H34" t="n">
        <v>5</v>
      </c>
      <c r="I34" t="n">
        <v>1</v>
      </c>
      <c r="J34" t="n">
        <v>0</v>
      </c>
      <c r="K34" t="n">
        <v>0</v>
      </c>
      <c r="L34" t="n">
        <v>1</v>
      </c>
      <c r="M34" t="n">
        <v>0</v>
      </c>
      <c r="N34" t="n">
        <v>0</v>
      </c>
      <c r="O34" t="n">
        <v>1</v>
      </c>
      <c r="P34" t="n">
        <v>1</v>
      </c>
      <c r="Q34" t="n">
        <v>6</v>
      </c>
      <c r="R34" s="2" t="inlineStr">
        <is>
          <t>Cinnoberbagge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61388-2021</t>
        </is>
      </c>
      <c r="B35" s="1" t="n">
        <v>44500</v>
      </c>
      <c r="C35" s="1" t="n">
        <v>45916</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3100-2024</t>
        </is>
      </c>
      <c r="B36" s="1" t="n">
        <v>45316</v>
      </c>
      <c r="C36" s="1" t="n">
        <v>45916</v>
      </c>
      <c r="D36" t="inlineStr">
        <is>
          <t>UPPSALA LÄN</t>
        </is>
      </c>
      <c r="E36" t="inlineStr">
        <is>
          <t>UPPSALA</t>
        </is>
      </c>
      <c r="F36" t="inlineStr">
        <is>
          <t>Holmen skog AB</t>
        </is>
      </c>
      <c r="G36" t="n">
        <v>3.5</v>
      </c>
      <c r="H36" t="n">
        <v>5</v>
      </c>
      <c r="I36" t="n">
        <v>1</v>
      </c>
      <c r="J36" t="n">
        <v>0</v>
      </c>
      <c r="K36" t="n">
        <v>0</v>
      </c>
      <c r="L36" t="n">
        <v>0</v>
      </c>
      <c r="M36" t="n">
        <v>0</v>
      </c>
      <c r="N36" t="n">
        <v>0</v>
      </c>
      <c r="O36" t="n">
        <v>0</v>
      </c>
      <c r="P36" t="n">
        <v>0</v>
      </c>
      <c r="Q36" t="n">
        <v>5</v>
      </c>
      <c r="R36" s="2" t="inlineStr">
        <is>
          <t>Nästrot
Grönsiska
Järnsparv
Kungsfågel
Blåsippa</t>
        </is>
      </c>
      <c r="S36">
        <f>HYPERLINK("https://klasma.github.io/Logging_0380/artfynd/A 3100-2024 artfynd.xlsx", "A 3100-2024")</f>
        <v/>
      </c>
      <c r="T36">
        <f>HYPERLINK("https://klasma.github.io/Logging_0380/kartor/A 3100-2024 karta.png", "A 3100-2024")</f>
        <v/>
      </c>
      <c r="V36">
        <f>HYPERLINK("https://klasma.github.io/Logging_0380/klagomål/A 3100-2024 FSC-klagomål.docx", "A 3100-2024")</f>
        <v/>
      </c>
      <c r="W36">
        <f>HYPERLINK("https://klasma.github.io/Logging_0380/klagomålsmail/A 3100-2024 FSC-klagomål mail.docx", "A 3100-2024")</f>
        <v/>
      </c>
      <c r="X36">
        <f>HYPERLINK("https://klasma.github.io/Logging_0380/tillsyn/A 3100-2024 tillsynsbegäran.docx", "A 3100-2024")</f>
        <v/>
      </c>
      <c r="Y36">
        <f>HYPERLINK("https://klasma.github.io/Logging_0380/tillsynsmail/A 3100-2024 tillsynsbegäran mail.docx", "A 3100-2024")</f>
        <v/>
      </c>
      <c r="Z36">
        <f>HYPERLINK("https://klasma.github.io/Logging_0380/fåglar/A 3100-2024 prioriterade fågelarter.docx", "A 3100-2024")</f>
        <v/>
      </c>
    </row>
    <row r="37" ht="15" customHeight="1">
      <c r="A37" t="inlineStr">
        <is>
          <t>A 13546-2025</t>
        </is>
      </c>
      <c r="B37" s="1" t="n">
        <v>45736.53695601852</v>
      </c>
      <c r="C37" s="1" t="n">
        <v>45916</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45916</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45916</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45916</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43970-2025</t>
        </is>
      </c>
      <c r="B41" s="1" t="n">
        <v>45915</v>
      </c>
      <c r="C41" s="1" t="n">
        <v>45916</v>
      </c>
      <c r="D41" t="inlineStr">
        <is>
          <t>UPPSALA LÄN</t>
        </is>
      </c>
      <c r="E41" t="inlineStr">
        <is>
          <t>UPPSALA</t>
        </is>
      </c>
      <c r="G41" t="n">
        <v>9.4</v>
      </c>
      <c r="H41" t="n">
        <v>2</v>
      </c>
      <c r="I41" t="n">
        <v>1</v>
      </c>
      <c r="J41" t="n">
        <v>2</v>
      </c>
      <c r="K41" t="n">
        <v>2</v>
      </c>
      <c r="L41" t="n">
        <v>0</v>
      </c>
      <c r="M41" t="n">
        <v>0</v>
      </c>
      <c r="N41" t="n">
        <v>0</v>
      </c>
      <c r="O41" t="n">
        <v>4</v>
      </c>
      <c r="P41" t="n">
        <v>2</v>
      </c>
      <c r="Q41" t="n">
        <v>5</v>
      </c>
      <c r="R41" s="2" t="inlineStr">
        <is>
          <t>Knärot
Raggbock
Mindre timmerman
Slaguggla
Bronshjon</t>
        </is>
      </c>
      <c r="S41">
        <f>HYPERLINK("https://klasma.github.io/Logging_0380/artfynd/A 43970-2025 artfynd.xlsx", "A 43970-2025")</f>
        <v/>
      </c>
      <c r="T41">
        <f>HYPERLINK("https://klasma.github.io/Logging_0380/kartor/A 43970-2025 karta.png", "A 43970-2025")</f>
        <v/>
      </c>
      <c r="U41">
        <f>HYPERLINK("https://klasma.github.io/Logging_0380/knärot/A 43970-2025 karta knärot.png", "A 43970-2025")</f>
        <v/>
      </c>
      <c r="V41">
        <f>HYPERLINK("https://klasma.github.io/Logging_0380/klagomål/A 43970-2025 FSC-klagomål.docx", "A 43970-2025")</f>
        <v/>
      </c>
      <c r="W41">
        <f>HYPERLINK("https://klasma.github.io/Logging_0380/klagomålsmail/A 43970-2025 FSC-klagomål mail.docx", "A 43970-2025")</f>
        <v/>
      </c>
      <c r="X41">
        <f>HYPERLINK("https://klasma.github.io/Logging_0380/tillsyn/A 43970-2025 tillsynsbegäran.docx", "A 43970-2025")</f>
        <v/>
      </c>
      <c r="Y41">
        <f>HYPERLINK("https://klasma.github.io/Logging_0380/tillsynsmail/A 43970-2025 tillsynsbegäran mail.docx", "A 43970-2025")</f>
        <v/>
      </c>
      <c r="Z41">
        <f>HYPERLINK("https://klasma.github.io/Logging_0380/fåglar/A 43970-2025 prioriterade fågelarter.docx", "A 43970-2025")</f>
        <v/>
      </c>
    </row>
    <row r="42" ht="15" customHeight="1">
      <c r="A42" t="inlineStr">
        <is>
          <t>A 27389-2021</t>
        </is>
      </c>
      <c r="B42" s="1" t="n">
        <v>44351</v>
      </c>
      <c r="C42" s="1" t="n">
        <v>45916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23153-2022</t>
        </is>
      </c>
      <c r="B43" s="1" t="n">
        <v>44719</v>
      </c>
      <c r="C43" s="1" t="n">
        <v>45916</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45916</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8323-2023</t>
        </is>
      </c>
      <c r="B45" s="1" t="n">
        <v>44974</v>
      </c>
      <c r="C45" s="1" t="n">
        <v>45916</v>
      </c>
      <c r="D45" t="inlineStr">
        <is>
          <t>UPPSALA LÄN</t>
        </is>
      </c>
      <c r="E45" t="inlineStr">
        <is>
          <t>UPPSALA</t>
        </is>
      </c>
      <c r="G45" t="n">
        <v>9.4</v>
      </c>
      <c r="H45" t="n">
        <v>1</v>
      </c>
      <c r="I45" t="n">
        <v>2</v>
      </c>
      <c r="J45" t="n">
        <v>1</v>
      </c>
      <c r="K45" t="n">
        <v>0</v>
      </c>
      <c r="L45" t="n">
        <v>0</v>
      </c>
      <c r="M45" t="n">
        <v>0</v>
      </c>
      <c r="N45" t="n">
        <v>0</v>
      </c>
      <c r="O45" t="n">
        <v>1</v>
      </c>
      <c r="P45" t="n">
        <v>0</v>
      </c>
      <c r="Q45" t="n">
        <v>4</v>
      </c>
      <c r="R45" s="2" t="inlineStr">
        <is>
          <t>Leptoporus erubescens
Blodticka
Grönpyrola
Revlummer</t>
        </is>
      </c>
      <c r="S45">
        <f>HYPERLINK("https://klasma.github.io/Logging_0380/artfynd/A 8323-2023 artfynd.xlsx", "A 8323-2023")</f>
        <v/>
      </c>
      <c r="T45">
        <f>HYPERLINK("https://klasma.github.io/Logging_0380/kartor/A 8323-2023 karta.png", "A 8323-2023")</f>
        <v/>
      </c>
      <c r="V45">
        <f>HYPERLINK("https://klasma.github.io/Logging_0380/klagomål/A 8323-2023 FSC-klagomål.docx", "A 8323-2023")</f>
        <v/>
      </c>
      <c r="W45">
        <f>HYPERLINK("https://klasma.github.io/Logging_0380/klagomålsmail/A 8323-2023 FSC-klagomål mail.docx", "A 8323-2023")</f>
        <v/>
      </c>
      <c r="X45">
        <f>HYPERLINK("https://klasma.github.io/Logging_0380/tillsyn/A 8323-2023 tillsynsbegäran.docx", "A 8323-2023")</f>
        <v/>
      </c>
      <c r="Y45">
        <f>HYPERLINK("https://klasma.github.io/Logging_0380/tillsynsmail/A 8323-2023 tillsynsbegäran mail.docx", "A 8323-2023")</f>
        <v/>
      </c>
    </row>
    <row r="46" ht="15" customHeight="1">
      <c r="A46" t="inlineStr">
        <is>
          <t>A 21809-2024</t>
        </is>
      </c>
      <c r="B46" s="1" t="n">
        <v>45442</v>
      </c>
      <c r="C46" s="1" t="n">
        <v>45916</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26758-2022</t>
        </is>
      </c>
      <c r="B47" s="1" t="n">
        <v>44740</v>
      </c>
      <c r="C47" s="1" t="n">
        <v>45916</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45916</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15297-2022</t>
        </is>
      </c>
      <c r="B49" s="1" t="n">
        <v>44659</v>
      </c>
      <c r="C49" s="1" t="n">
        <v>45916</v>
      </c>
      <c r="D49" t="inlineStr">
        <is>
          <t>UPPSALA LÄN</t>
        </is>
      </c>
      <c r="E49" t="inlineStr">
        <is>
          <t>UPPSALA</t>
        </is>
      </c>
      <c r="F49" t="inlineStr">
        <is>
          <t>Övriga Aktiebolag</t>
        </is>
      </c>
      <c r="G49" t="n">
        <v>6.6</v>
      </c>
      <c r="H49" t="n">
        <v>0</v>
      </c>
      <c r="I49" t="n">
        <v>2</v>
      </c>
      <c r="J49" t="n">
        <v>2</v>
      </c>
      <c r="K49" t="n">
        <v>0</v>
      </c>
      <c r="L49" t="n">
        <v>0</v>
      </c>
      <c r="M49" t="n">
        <v>0</v>
      </c>
      <c r="N49" t="n">
        <v>0</v>
      </c>
      <c r="O49" t="n">
        <v>2</v>
      </c>
      <c r="P49" t="n">
        <v>0</v>
      </c>
      <c r="Q49" t="n">
        <v>4</v>
      </c>
      <c r="R49" s="2" t="inlineStr">
        <is>
          <t>Blekticka
Ekticka
Fällmossa
Stor aspticka</t>
        </is>
      </c>
      <c r="S49">
        <f>HYPERLINK("https://klasma.github.io/Logging_0380/artfynd/A 15297-2022 artfynd.xlsx", "A 15297-2022")</f>
        <v/>
      </c>
      <c r="T49">
        <f>HYPERLINK("https://klasma.github.io/Logging_0380/kartor/A 15297-2022 karta.png", "A 15297-2022")</f>
        <v/>
      </c>
      <c r="V49">
        <f>HYPERLINK("https://klasma.github.io/Logging_0380/klagomål/A 15297-2022 FSC-klagomål.docx", "A 15297-2022")</f>
        <v/>
      </c>
      <c r="W49">
        <f>HYPERLINK("https://klasma.github.io/Logging_0380/klagomålsmail/A 15297-2022 FSC-klagomål mail.docx", "A 15297-2022")</f>
        <v/>
      </c>
      <c r="X49">
        <f>HYPERLINK("https://klasma.github.io/Logging_0380/tillsyn/A 15297-2022 tillsynsbegäran.docx", "A 15297-2022")</f>
        <v/>
      </c>
      <c r="Y49">
        <f>HYPERLINK("https://klasma.github.io/Logging_0380/tillsynsmail/A 15297-2022 tillsynsbegäran mail.docx", "A 15297-2022")</f>
        <v/>
      </c>
    </row>
    <row r="50" ht="15" customHeight="1">
      <c r="A50" t="inlineStr">
        <is>
          <t>A 34147-2022</t>
        </is>
      </c>
      <c r="B50" s="1" t="n">
        <v>44791</v>
      </c>
      <c r="C50" s="1" t="n">
        <v>45916</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36471-2022</t>
        </is>
      </c>
      <c r="B51" s="1" t="n">
        <v>44804</v>
      </c>
      <c r="C51" s="1" t="n">
        <v>45916</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45916</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30716-2025</t>
        </is>
      </c>
      <c r="B53" s="1" t="n">
        <v>45831.55982638889</v>
      </c>
      <c r="C53" s="1" t="n">
        <v>45916</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45916</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18079-2022</t>
        </is>
      </c>
      <c r="B55" s="1" t="n">
        <v>44684</v>
      </c>
      <c r="C55" s="1" t="n">
        <v>45916</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25943-2023</t>
        </is>
      </c>
      <c r="B56" s="1" t="n">
        <v>45090</v>
      </c>
      <c r="C56" s="1" t="n">
        <v>45916</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18425-2025</t>
        </is>
      </c>
      <c r="B57" s="1" t="n">
        <v>45762.62260416667</v>
      </c>
      <c r="C57" s="1" t="n">
        <v>45916</v>
      </c>
      <c r="D57" t="inlineStr">
        <is>
          <t>UPPSALA LÄN</t>
        </is>
      </c>
      <c r="E57" t="inlineStr">
        <is>
          <t>UPPSALA</t>
        </is>
      </c>
      <c r="G57" t="n">
        <v>9.800000000000001</v>
      </c>
      <c r="H57" t="n">
        <v>1</v>
      </c>
      <c r="I57" t="n">
        <v>0</v>
      </c>
      <c r="J57" t="n">
        <v>2</v>
      </c>
      <c r="K57" t="n">
        <v>0</v>
      </c>
      <c r="L57" t="n">
        <v>0</v>
      </c>
      <c r="M57" t="n">
        <v>0</v>
      </c>
      <c r="N57" t="n">
        <v>0</v>
      </c>
      <c r="O57" t="n">
        <v>2</v>
      </c>
      <c r="P57" t="n">
        <v>0</v>
      </c>
      <c r="Q57" t="n">
        <v>2</v>
      </c>
      <c r="R57" s="2" t="inlineStr">
        <is>
          <t>Spillkråka
Tallticka</t>
        </is>
      </c>
      <c r="S57">
        <f>HYPERLINK("https://klasma.github.io/Logging_0380/artfynd/A 18425-2025 artfynd.xlsx", "A 18425-2025")</f>
        <v/>
      </c>
      <c r="T57">
        <f>HYPERLINK("https://klasma.github.io/Logging_0380/kartor/A 18425-2025 karta.png", "A 18425-2025")</f>
        <v/>
      </c>
      <c r="V57">
        <f>HYPERLINK("https://klasma.github.io/Logging_0380/klagomål/A 18425-2025 FSC-klagomål.docx", "A 18425-2025")</f>
        <v/>
      </c>
      <c r="W57">
        <f>HYPERLINK("https://klasma.github.io/Logging_0380/klagomålsmail/A 18425-2025 FSC-klagomål mail.docx", "A 18425-2025")</f>
        <v/>
      </c>
      <c r="X57">
        <f>HYPERLINK("https://klasma.github.io/Logging_0380/tillsyn/A 18425-2025 tillsynsbegäran.docx", "A 18425-2025")</f>
        <v/>
      </c>
      <c r="Y57">
        <f>HYPERLINK("https://klasma.github.io/Logging_0380/tillsynsmail/A 18425-2025 tillsynsbegäran mail.docx", "A 18425-2025")</f>
        <v/>
      </c>
      <c r="Z57">
        <f>HYPERLINK("https://klasma.github.io/Logging_0380/fåglar/A 18425-2025 prioriterade fågelarter.docx", "A 18425-2025")</f>
        <v/>
      </c>
    </row>
    <row r="58" ht="15" customHeight="1">
      <c r="A58" t="inlineStr">
        <is>
          <t>A 6998-2023</t>
        </is>
      </c>
      <c r="B58" s="1" t="n">
        <v>44967</v>
      </c>
      <c r="C58" s="1" t="n">
        <v>45916</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25660-2025</t>
        </is>
      </c>
      <c r="B59" s="1" t="n">
        <v>45803.61554398148</v>
      </c>
      <c r="C59" s="1" t="n">
        <v>45916</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5755-2025</t>
        </is>
      </c>
      <c r="B60" s="1" t="n">
        <v>45694.55559027778</v>
      </c>
      <c r="C60" s="1" t="n">
        <v>45916</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9401-2025</t>
        </is>
      </c>
      <c r="B61" s="1" t="n">
        <v>45715.38105324074</v>
      </c>
      <c r="C61" s="1" t="n">
        <v>45916</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39933-2023</t>
        </is>
      </c>
      <c r="B62" s="1" t="n">
        <v>45168.50667824074</v>
      </c>
      <c r="C62" s="1" t="n">
        <v>45916</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58906-2021</t>
        </is>
      </c>
      <c r="B63" s="1" t="n">
        <v>44489</v>
      </c>
      <c r="C63" s="1" t="n">
        <v>45916</v>
      </c>
      <c r="D63" t="inlineStr">
        <is>
          <t>UPPSALA LÄN</t>
        </is>
      </c>
      <c r="E63" t="inlineStr">
        <is>
          <t>UPPSALA</t>
        </is>
      </c>
      <c r="G63" t="n">
        <v>8.6</v>
      </c>
      <c r="H63" t="n">
        <v>1</v>
      </c>
      <c r="I63" t="n">
        <v>0</v>
      </c>
      <c r="J63" t="n">
        <v>1</v>
      </c>
      <c r="K63" t="n">
        <v>0</v>
      </c>
      <c r="L63" t="n">
        <v>0</v>
      </c>
      <c r="M63" t="n">
        <v>0</v>
      </c>
      <c r="N63" t="n">
        <v>0</v>
      </c>
      <c r="O63" t="n">
        <v>1</v>
      </c>
      <c r="P63" t="n">
        <v>0</v>
      </c>
      <c r="Q63" t="n">
        <v>2</v>
      </c>
      <c r="R63" s="2" t="inlineStr">
        <is>
          <t>Ullticka
Tjäder</t>
        </is>
      </c>
      <c r="S63">
        <f>HYPERLINK("https://klasma.github.io/Logging_0380/artfynd/A 58906-2021 artfynd.xlsx", "A 58906-2021")</f>
        <v/>
      </c>
      <c r="T63">
        <f>HYPERLINK("https://klasma.github.io/Logging_0380/kartor/A 58906-2021 karta.png", "A 58906-2021")</f>
        <v/>
      </c>
      <c r="V63">
        <f>HYPERLINK("https://klasma.github.io/Logging_0380/klagomål/A 58906-2021 FSC-klagomål.docx", "A 58906-2021")</f>
        <v/>
      </c>
      <c r="W63">
        <f>HYPERLINK("https://klasma.github.io/Logging_0380/klagomålsmail/A 58906-2021 FSC-klagomål mail.docx", "A 58906-2021")</f>
        <v/>
      </c>
      <c r="X63">
        <f>HYPERLINK("https://klasma.github.io/Logging_0380/tillsyn/A 58906-2021 tillsynsbegäran.docx", "A 58906-2021")</f>
        <v/>
      </c>
      <c r="Y63">
        <f>HYPERLINK("https://klasma.github.io/Logging_0380/tillsynsmail/A 58906-2021 tillsynsbegäran mail.docx", "A 58906-2021")</f>
        <v/>
      </c>
      <c r="Z63">
        <f>HYPERLINK("https://klasma.github.io/Logging_0380/fåglar/A 58906-2021 prioriterade fågelarter.docx", "A 58906-2021")</f>
        <v/>
      </c>
    </row>
    <row r="64" ht="15" customHeight="1">
      <c r="A64" t="inlineStr">
        <is>
          <t>A 88-2024</t>
        </is>
      </c>
      <c r="B64" s="1" t="n">
        <v>45293</v>
      </c>
      <c r="C64" s="1" t="n">
        <v>45916</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33707-2025</t>
        </is>
      </c>
      <c r="B65" s="1" t="n">
        <v>45841.80690972223</v>
      </c>
      <c r="C65" s="1" t="n">
        <v>45916</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44675-2023</t>
        </is>
      </c>
      <c r="B66" s="1" t="n">
        <v>45189</v>
      </c>
      <c r="C66" s="1" t="n">
        <v>45916</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41921-2025</t>
        </is>
      </c>
      <c r="B67" s="1" t="n">
        <v>45903</v>
      </c>
      <c r="C67" s="1" t="n">
        <v>45916</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27502-2024</t>
        </is>
      </c>
      <c r="B68" s="1" t="n">
        <v>45474</v>
      </c>
      <c r="C68" s="1" t="n">
        <v>45916</v>
      </c>
      <c r="D68" t="inlineStr">
        <is>
          <t>UPPSALA LÄN</t>
        </is>
      </c>
      <c r="E68" t="inlineStr">
        <is>
          <t>UPPSALA</t>
        </is>
      </c>
      <c r="G68" t="n">
        <v>13.6</v>
      </c>
      <c r="H68" t="n">
        <v>2</v>
      </c>
      <c r="I68" t="n">
        <v>0</v>
      </c>
      <c r="J68" t="n">
        <v>1</v>
      </c>
      <c r="K68" t="n">
        <v>1</v>
      </c>
      <c r="L68" t="n">
        <v>0</v>
      </c>
      <c r="M68" t="n">
        <v>0</v>
      </c>
      <c r="N68" t="n">
        <v>0</v>
      </c>
      <c r="O68" t="n">
        <v>2</v>
      </c>
      <c r="P68" t="n">
        <v>1</v>
      </c>
      <c r="Q68" t="n">
        <v>2</v>
      </c>
      <c r="R68" s="2" t="inlineStr">
        <is>
          <t>Knärot
Talltita</t>
        </is>
      </c>
      <c r="S68">
        <f>HYPERLINK("https://klasma.github.io/Logging_0380/artfynd/A 27502-2024 artfynd.xlsx", "A 27502-2024")</f>
        <v/>
      </c>
      <c r="T68">
        <f>HYPERLINK("https://klasma.github.io/Logging_0380/kartor/A 27502-2024 karta.png", "A 27502-2024")</f>
        <v/>
      </c>
      <c r="U68">
        <f>HYPERLINK("https://klasma.github.io/Logging_0380/knärot/A 27502-2024 karta knärot.png", "A 27502-2024")</f>
        <v/>
      </c>
      <c r="V68">
        <f>HYPERLINK("https://klasma.github.io/Logging_0380/klagomål/A 27502-2024 FSC-klagomål.docx", "A 27502-2024")</f>
        <v/>
      </c>
      <c r="W68">
        <f>HYPERLINK("https://klasma.github.io/Logging_0380/klagomålsmail/A 27502-2024 FSC-klagomål mail.docx", "A 27502-2024")</f>
        <v/>
      </c>
      <c r="X68">
        <f>HYPERLINK("https://klasma.github.io/Logging_0380/tillsyn/A 27502-2024 tillsynsbegäran.docx", "A 27502-2024")</f>
        <v/>
      </c>
      <c r="Y68">
        <f>HYPERLINK("https://klasma.github.io/Logging_0380/tillsynsmail/A 27502-2024 tillsynsbegäran mail.docx", "A 27502-2024")</f>
        <v/>
      </c>
      <c r="Z68">
        <f>HYPERLINK("https://klasma.github.io/Logging_0380/fåglar/A 27502-2024 prioriterade fågelarter.docx", "A 27502-2024")</f>
        <v/>
      </c>
    </row>
    <row r="69" ht="15" customHeight="1">
      <c r="A69" t="inlineStr">
        <is>
          <t>A 17277-2023</t>
        </is>
      </c>
      <c r="B69" s="1" t="n">
        <v>45035.44672453704</v>
      </c>
      <c r="C69" s="1" t="n">
        <v>45916</v>
      </c>
      <c r="D69" t="inlineStr">
        <is>
          <t>UPPSALA LÄN</t>
        </is>
      </c>
      <c r="E69" t="inlineStr">
        <is>
          <t>UPPSALA</t>
        </is>
      </c>
      <c r="F69" t="inlineStr">
        <is>
          <t>Övriga Aktiebolag</t>
        </is>
      </c>
      <c r="G69" t="n">
        <v>6.1</v>
      </c>
      <c r="H69" t="n">
        <v>2</v>
      </c>
      <c r="I69" t="n">
        <v>0</v>
      </c>
      <c r="J69" t="n">
        <v>1</v>
      </c>
      <c r="K69" t="n">
        <v>0</v>
      </c>
      <c r="L69" t="n">
        <v>0</v>
      </c>
      <c r="M69" t="n">
        <v>0</v>
      </c>
      <c r="N69" t="n">
        <v>0</v>
      </c>
      <c r="O69" t="n">
        <v>1</v>
      </c>
      <c r="P69" t="n">
        <v>0</v>
      </c>
      <c r="Q69" t="n">
        <v>2</v>
      </c>
      <c r="R69" s="2" t="inlineStr">
        <is>
          <t>Slaguggla
Trana</t>
        </is>
      </c>
      <c r="S69">
        <f>HYPERLINK("https://klasma.github.io/Logging_0380/artfynd/A 17277-2023 artfynd.xlsx", "A 17277-2023")</f>
        <v/>
      </c>
      <c r="T69">
        <f>HYPERLINK("https://klasma.github.io/Logging_0380/kartor/A 17277-2023 karta.png", "A 17277-2023")</f>
        <v/>
      </c>
      <c r="V69">
        <f>HYPERLINK("https://klasma.github.io/Logging_0380/klagomål/A 17277-2023 FSC-klagomål.docx", "A 17277-2023")</f>
        <v/>
      </c>
      <c r="W69">
        <f>HYPERLINK("https://klasma.github.io/Logging_0380/klagomålsmail/A 17277-2023 FSC-klagomål mail.docx", "A 17277-2023")</f>
        <v/>
      </c>
      <c r="X69">
        <f>HYPERLINK("https://klasma.github.io/Logging_0380/tillsyn/A 17277-2023 tillsynsbegäran.docx", "A 17277-2023")</f>
        <v/>
      </c>
      <c r="Y69">
        <f>HYPERLINK("https://klasma.github.io/Logging_0380/tillsynsmail/A 17277-2023 tillsynsbegäran mail.docx", "A 17277-2023")</f>
        <v/>
      </c>
      <c r="Z69">
        <f>HYPERLINK("https://klasma.github.io/Logging_0380/fåglar/A 17277-2023 prioriterade fågelarter.docx", "A 17277-2023")</f>
        <v/>
      </c>
    </row>
    <row r="70" ht="15" customHeight="1">
      <c r="A70" t="inlineStr">
        <is>
          <t>A 51749-2023</t>
        </is>
      </c>
      <c r="B70" s="1" t="n">
        <v>45222</v>
      </c>
      <c r="C70" s="1" t="n">
        <v>45916</v>
      </c>
      <c r="D70" t="inlineStr">
        <is>
          <t>UPPSALA LÄN</t>
        </is>
      </c>
      <c r="E70" t="inlineStr">
        <is>
          <t>UPPSALA</t>
        </is>
      </c>
      <c r="G70" t="n">
        <v>3.6</v>
      </c>
      <c r="H70" t="n">
        <v>1</v>
      </c>
      <c r="I70" t="n">
        <v>0</v>
      </c>
      <c r="J70" t="n">
        <v>1</v>
      </c>
      <c r="K70" t="n">
        <v>0</v>
      </c>
      <c r="L70" t="n">
        <v>0</v>
      </c>
      <c r="M70" t="n">
        <v>0</v>
      </c>
      <c r="N70" t="n">
        <v>0</v>
      </c>
      <c r="O70" t="n">
        <v>1</v>
      </c>
      <c r="P70" t="n">
        <v>0</v>
      </c>
      <c r="Q70" t="n">
        <v>2</v>
      </c>
      <c r="R70" s="2" t="inlineStr">
        <is>
          <t>Säfferot
Gullviva</t>
        </is>
      </c>
      <c r="S70">
        <f>HYPERLINK("https://klasma.github.io/Logging_0380/artfynd/A 51749-2023 artfynd.xlsx", "A 51749-2023")</f>
        <v/>
      </c>
      <c r="T70">
        <f>HYPERLINK("https://klasma.github.io/Logging_0380/kartor/A 51749-2023 karta.png", "A 51749-2023")</f>
        <v/>
      </c>
      <c r="V70">
        <f>HYPERLINK("https://klasma.github.io/Logging_0380/klagomål/A 51749-2023 FSC-klagomål.docx", "A 51749-2023")</f>
        <v/>
      </c>
      <c r="W70">
        <f>HYPERLINK("https://klasma.github.io/Logging_0380/klagomålsmail/A 51749-2023 FSC-klagomål mail.docx", "A 51749-2023")</f>
        <v/>
      </c>
      <c r="X70">
        <f>HYPERLINK("https://klasma.github.io/Logging_0380/tillsyn/A 51749-2023 tillsynsbegäran.docx", "A 51749-2023")</f>
        <v/>
      </c>
      <c r="Y70">
        <f>HYPERLINK("https://klasma.github.io/Logging_0380/tillsynsmail/A 51749-2023 tillsynsbegäran mail.docx", "A 51749-2023")</f>
        <v/>
      </c>
    </row>
    <row r="71" ht="15" customHeight="1">
      <c r="A71" t="inlineStr">
        <is>
          <t>A 8865-2022</t>
        </is>
      </c>
      <c r="B71" s="1" t="n">
        <v>44614</v>
      </c>
      <c r="C71" s="1" t="n">
        <v>45916</v>
      </c>
      <c r="D71" t="inlineStr">
        <is>
          <t>UPPSALA LÄN</t>
        </is>
      </c>
      <c r="E71" t="inlineStr">
        <is>
          <t>UPPSALA</t>
        </is>
      </c>
      <c r="G71" t="n">
        <v>1.1</v>
      </c>
      <c r="H71" t="n">
        <v>0</v>
      </c>
      <c r="I71" t="n">
        <v>1</v>
      </c>
      <c r="J71" t="n">
        <v>0</v>
      </c>
      <c r="K71" t="n">
        <v>0</v>
      </c>
      <c r="L71" t="n">
        <v>0</v>
      </c>
      <c r="M71" t="n">
        <v>0</v>
      </c>
      <c r="N71" t="n">
        <v>0</v>
      </c>
      <c r="O71" t="n">
        <v>0</v>
      </c>
      <c r="P71" t="n">
        <v>0</v>
      </c>
      <c r="Q71" t="n">
        <v>1</v>
      </c>
      <c r="R71" s="2" t="inlineStr">
        <is>
          <t>Narrtagging</t>
        </is>
      </c>
      <c r="S71">
        <f>HYPERLINK("https://klasma.github.io/Logging_0380/artfynd/A 8865-2022 artfynd.xlsx", "A 8865-2022")</f>
        <v/>
      </c>
      <c r="T71">
        <f>HYPERLINK("https://klasma.github.io/Logging_0380/kartor/A 8865-2022 karta.png", "A 8865-2022")</f>
        <v/>
      </c>
      <c r="V71">
        <f>HYPERLINK("https://klasma.github.io/Logging_0380/klagomål/A 8865-2022 FSC-klagomål.docx", "A 8865-2022")</f>
        <v/>
      </c>
      <c r="W71">
        <f>HYPERLINK("https://klasma.github.io/Logging_0380/klagomålsmail/A 8865-2022 FSC-klagomål mail.docx", "A 8865-2022")</f>
        <v/>
      </c>
      <c r="X71">
        <f>HYPERLINK("https://klasma.github.io/Logging_0380/tillsyn/A 8865-2022 tillsynsbegäran.docx", "A 8865-2022")</f>
        <v/>
      </c>
      <c r="Y71">
        <f>HYPERLINK("https://klasma.github.io/Logging_0380/tillsynsmail/A 8865-2022 tillsynsbegäran mail.docx", "A 8865-2022")</f>
        <v/>
      </c>
    </row>
    <row r="72" ht="15" customHeight="1">
      <c r="A72" t="inlineStr">
        <is>
          <t>A 34020-2021</t>
        </is>
      </c>
      <c r="B72" s="1" t="n">
        <v>44379</v>
      </c>
      <c r="C72" s="1" t="n">
        <v>45916</v>
      </c>
      <c r="D72" t="inlineStr">
        <is>
          <t>UPPSALA LÄN</t>
        </is>
      </c>
      <c r="E72" t="inlineStr">
        <is>
          <t>UPPSALA</t>
        </is>
      </c>
      <c r="G72" t="n">
        <v>1.9</v>
      </c>
      <c r="H72" t="n">
        <v>0</v>
      </c>
      <c r="I72" t="n">
        <v>0</v>
      </c>
      <c r="J72" t="n">
        <v>1</v>
      </c>
      <c r="K72" t="n">
        <v>0</v>
      </c>
      <c r="L72" t="n">
        <v>0</v>
      </c>
      <c r="M72" t="n">
        <v>0</v>
      </c>
      <c r="N72" t="n">
        <v>0</v>
      </c>
      <c r="O72" t="n">
        <v>1</v>
      </c>
      <c r="P72" t="n">
        <v>0</v>
      </c>
      <c r="Q72" t="n">
        <v>1</v>
      </c>
      <c r="R72" s="2" t="inlineStr">
        <is>
          <t>Tallticka</t>
        </is>
      </c>
      <c r="S72">
        <f>HYPERLINK("https://klasma.github.io/Logging_0380/artfynd/A 34020-2021 artfynd.xlsx", "A 34020-2021")</f>
        <v/>
      </c>
      <c r="T72">
        <f>HYPERLINK("https://klasma.github.io/Logging_0380/kartor/A 34020-2021 karta.png", "A 34020-2021")</f>
        <v/>
      </c>
      <c r="V72">
        <f>HYPERLINK("https://klasma.github.io/Logging_0380/klagomål/A 34020-2021 FSC-klagomål.docx", "A 34020-2021")</f>
        <v/>
      </c>
      <c r="W72">
        <f>HYPERLINK("https://klasma.github.io/Logging_0380/klagomålsmail/A 34020-2021 FSC-klagomål mail.docx", "A 34020-2021")</f>
        <v/>
      </c>
      <c r="X72">
        <f>HYPERLINK("https://klasma.github.io/Logging_0380/tillsyn/A 34020-2021 tillsynsbegäran.docx", "A 34020-2021")</f>
        <v/>
      </c>
      <c r="Y72">
        <f>HYPERLINK("https://klasma.github.io/Logging_0380/tillsynsmail/A 34020-2021 tillsynsbegäran mail.docx", "A 34020-2021")</f>
        <v/>
      </c>
    </row>
    <row r="73" ht="15" customHeight="1">
      <c r="A73" t="inlineStr">
        <is>
          <t>A 14255-2022</t>
        </is>
      </c>
      <c r="B73" s="1" t="n">
        <v>44651</v>
      </c>
      <c r="C73" s="1" t="n">
        <v>45916</v>
      </c>
      <c r="D73" t="inlineStr">
        <is>
          <t>UPPSALA LÄN</t>
        </is>
      </c>
      <c r="E73" t="inlineStr">
        <is>
          <t>UPPSALA</t>
        </is>
      </c>
      <c r="F73" t="inlineStr">
        <is>
          <t>Holmen skog AB</t>
        </is>
      </c>
      <c r="G73" t="n">
        <v>3</v>
      </c>
      <c r="H73" t="n">
        <v>0</v>
      </c>
      <c r="I73" t="n">
        <v>0</v>
      </c>
      <c r="J73" t="n">
        <v>1</v>
      </c>
      <c r="K73" t="n">
        <v>0</v>
      </c>
      <c r="L73" t="n">
        <v>0</v>
      </c>
      <c r="M73" t="n">
        <v>0</v>
      </c>
      <c r="N73" t="n">
        <v>0</v>
      </c>
      <c r="O73" t="n">
        <v>1</v>
      </c>
      <c r="P73" t="n">
        <v>0</v>
      </c>
      <c r="Q73" t="n">
        <v>1</v>
      </c>
      <c r="R73" s="2" t="inlineStr">
        <is>
          <t>Rödbrun blekspik</t>
        </is>
      </c>
      <c r="S73">
        <f>HYPERLINK("https://klasma.github.io/Logging_0380/artfynd/A 14255-2022 artfynd.xlsx", "A 14255-2022")</f>
        <v/>
      </c>
      <c r="T73">
        <f>HYPERLINK("https://klasma.github.io/Logging_0380/kartor/A 14255-2022 karta.png", "A 14255-2022")</f>
        <v/>
      </c>
      <c r="V73">
        <f>HYPERLINK("https://klasma.github.io/Logging_0380/klagomål/A 14255-2022 FSC-klagomål.docx", "A 14255-2022")</f>
        <v/>
      </c>
      <c r="W73">
        <f>HYPERLINK("https://klasma.github.io/Logging_0380/klagomålsmail/A 14255-2022 FSC-klagomål mail.docx", "A 14255-2022")</f>
        <v/>
      </c>
      <c r="X73">
        <f>HYPERLINK("https://klasma.github.io/Logging_0380/tillsyn/A 14255-2022 tillsynsbegäran.docx", "A 14255-2022")</f>
        <v/>
      </c>
      <c r="Y73">
        <f>HYPERLINK("https://klasma.github.io/Logging_0380/tillsynsmail/A 14255-2022 tillsynsbegäran mail.docx", "A 14255-2022")</f>
        <v/>
      </c>
    </row>
    <row r="74" ht="15" customHeight="1">
      <c r="A74" t="inlineStr">
        <is>
          <t>A 58050-2021</t>
        </is>
      </c>
      <c r="B74" s="1" t="n">
        <v>44487</v>
      </c>
      <c r="C74" s="1" t="n">
        <v>45916</v>
      </c>
      <c r="D74" t="inlineStr">
        <is>
          <t>UPPSALA LÄN</t>
        </is>
      </c>
      <c r="E74" t="inlineStr">
        <is>
          <t>UPPSALA</t>
        </is>
      </c>
      <c r="G74" t="n">
        <v>4.4</v>
      </c>
      <c r="H74" t="n">
        <v>0</v>
      </c>
      <c r="I74" t="n">
        <v>0</v>
      </c>
      <c r="J74" t="n">
        <v>1</v>
      </c>
      <c r="K74" t="n">
        <v>0</v>
      </c>
      <c r="L74" t="n">
        <v>0</v>
      </c>
      <c r="M74" t="n">
        <v>0</v>
      </c>
      <c r="N74" t="n">
        <v>0</v>
      </c>
      <c r="O74" t="n">
        <v>1</v>
      </c>
      <c r="P74" t="n">
        <v>0</v>
      </c>
      <c r="Q74" t="n">
        <v>1</v>
      </c>
      <c r="R74" s="2" t="inlineStr">
        <is>
          <t>Ullticka</t>
        </is>
      </c>
      <c r="S74">
        <f>HYPERLINK("https://klasma.github.io/Logging_0380/artfynd/A 58050-2021 artfynd.xlsx", "A 58050-2021")</f>
        <v/>
      </c>
      <c r="T74">
        <f>HYPERLINK("https://klasma.github.io/Logging_0380/kartor/A 58050-2021 karta.png", "A 58050-2021")</f>
        <v/>
      </c>
      <c r="V74">
        <f>HYPERLINK("https://klasma.github.io/Logging_0380/klagomål/A 58050-2021 FSC-klagomål.docx", "A 58050-2021")</f>
        <v/>
      </c>
      <c r="W74">
        <f>HYPERLINK("https://klasma.github.io/Logging_0380/klagomålsmail/A 58050-2021 FSC-klagomål mail.docx", "A 58050-2021")</f>
        <v/>
      </c>
      <c r="X74">
        <f>HYPERLINK("https://klasma.github.io/Logging_0380/tillsyn/A 58050-2021 tillsynsbegäran.docx", "A 58050-2021")</f>
        <v/>
      </c>
      <c r="Y74">
        <f>HYPERLINK("https://klasma.github.io/Logging_0380/tillsynsmail/A 58050-2021 tillsynsbegäran mail.docx", "A 58050-2021")</f>
        <v/>
      </c>
    </row>
    <row r="75" ht="15" customHeight="1">
      <c r="A75" t="inlineStr">
        <is>
          <t>A 18624-2025</t>
        </is>
      </c>
      <c r="B75" s="1" t="n">
        <v>45763.52524305556</v>
      </c>
      <c r="C75" s="1" t="n">
        <v>45916</v>
      </c>
      <c r="D75" t="inlineStr">
        <is>
          <t>UPPSALA LÄN</t>
        </is>
      </c>
      <c r="E75" t="inlineStr">
        <is>
          <t>UPPSALA</t>
        </is>
      </c>
      <c r="G75" t="n">
        <v>5</v>
      </c>
      <c r="H75" t="n">
        <v>0</v>
      </c>
      <c r="I75" t="n">
        <v>1</v>
      </c>
      <c r="J75" t="n">
        <v>0</v>
      </c>
      <c r="K75" t="n">
        <v>0</v>
      </c>
      <c r="L75" t="n">
        <v>0</v>
      </c>
      <c r="M75" t="n">
        <v>0</v>
      </c>
      <c r="N75" t="n">
        <v>0</v>
      </c>
      <c r="O75" t="n">
        <v>0</v>
      </c>
      <c r="P75" t="n">
        <v>0</v>
      </c>
      <c r="Q75" t="n">
        <v>1</v>
      </c>
      <c r="R75" s="2" t="inlineStr">
        <is>
          <t>Blåmossa</t>
        </is>
      </c>
      <c r="S75">
        <f>HYPERLINK("https://klasma.github.io/Logging_0380/artfynd/A 18624-2025 artfynd.xlsx", "A 18624-2025")</f>
        <v/>
      </c>
      <c r="T75">
        <f>HYPERLINK("https://klasma.github.io/Logging_0380/kartor/A 18624-2025 karta.png", "A 18624-2025")</f>
        <v/>
      </c>
      <c r="V75">
        <f>HYPERLINK("https://klasma.github.io/Logging_0380/klagomål/A 18624-2025 FSC-klagomål.docx", "A 18624-2025")</f>
        <v/>
      </c>
      <c r="W75">
        <f>HYPERLINK("https://klasma.github.io/Logging_0380/klagomålsmail/A 18624-2025 FSC-klagomål mail.docx", "A 18624-2025")</f>
        <v/>
      </c>
      <c r="X75">
        <f>HYPERLINK("https://klasma.github.io/Logging_0380/tillsyn/A 18624-2025 tillsynsbegäran.docx", "A 18624-2025")</f>
        <v/>
      </c>
      <c r="Y75">
        <f>HYPERLINK("https://klasma.github.io/Logging_0380/tillsynsmail/A 18624-2025 tillsynsbegäran mail.docx", "A 18624-2025")</f>
        <v/>
      </c>
    </row>
    <row r="76" ht="15" customHeight="1">
      <c r="A76" t="inlineStr">
        <is>
          <t>A 9206-2024</t>
        </is>
      </c>
      <c r="B76" s="1" t="n">
        <v>45358</v>
      </c>
      <c r="C76" s="1" t="n">
        <v>45916</v>
      </c>
      <c r="D76" t="inlineStr">
        <is>
          <t>UPPSALA LÄN</t>
        </is>
      </c>
      <c r="E76" t="inlineStr">
        <is>
          <t>UPPSALA</t>
        </is>
      </c>
      <c r="F76" t="inlineStr">
        <is>
          <t>Allmännings- och besparingsskogar</t>
        </is>
      </c>
      <c r="G76" t="n">
        <v>22.2</v>
      </c>
      <c r="H76" t="n">
        <v>1</v>
      </c>
      <c r="I76" t="n">
        <v>0</v>
      </c>
      <c r="J76" t="n">
        <v>0</v>
      </c>
      <c r="K76" t="n">
        <v>1</v>
      </c>
      <c r="L76" t="n">
        <v>0</v>
      </c>
      <c r="M76" t="n">
        <v>0</v>
      </c>
      <c r="N76" t="n">
        <v>0</v>
      </c>
      <c r="O76" t="n">
        <v>1</v>
      </c>
      <c r="P76" t="n">
        <v>1</v>
      </c>
      <c r="Q76" t="n">
        <v>1</v>
      </c>
      <c r="R76" s="2" t="inlineStr">
        <is>
          <t>Knärot</t>
        </is>
      </c>
      <c r="S76">
        <f>HYPERLINK("https://klasma.github.io/Logging_0380/artfynd/A 9206-2024 artfynd.xlsx", "A 9206-2024")</f>
        <v/>
      </c>
      <c r="T76">
        <f>HYPERLINK("https://klasma.github.io/Logging_0380/kartor/A 9206-2024 karta.png", "A 9206-2024")</f>
        <v/>
      </c>
      <c r="U76">
        <f>HYPERLINK("https://klasma.github.io/Logging_0380/knärot/A 9206-2024 karta knärot.png", "A 9206-2024")</f>
        <v/>
      </c>
      <c r="V76">
        <f>HYPERLINK("https://klasma.github.io/Logging_0380/klagomål/A 9206-2024 FSC-klagomål.docx", "A 9206-2024")</f>
        <v/>
      </c>
      <c r="W76">
        <f>HYPERLINK("https://klasma.github.io/Logging_0380/klagomålsmail/A 9206-2024 FSC-klagomål mail.docx", "A 9206-2024")</f>
        <v/>
      </c>
      <c r="X76">
        <f>HYPERLINK("https://klasma.github.io/Logging_0380/tillsyn/A 9206-2024 tillsynsbegäran.docx", "A 9206-2024")</f>
        <v/>
      </c>
      <c r="Y76">
        <f>HYPERLINK("https://klasma.github.io/Logging_0380/tillsynsmail/A 9206-2024 tillsynsbegäran mail.docx", "A 9206-2024")</f>
        <v/>
      </c>
    </row>
    <row r="77" ht="15" customHeight="1">
      <c r="A77" t="inlineStr">
        <is>
          <t>A 5732-2025</t>
        </is>
      </c>
      <c r="B77" s="1" t="n">
        <v>45694.49650462963</v>
      </c>
      <c r="C77" s="1" t="n">
        <v>45916</v>
      </c>
      <c r="D77" t="inlineStr">
        <is>
          <t>UPPSALA LÄN</t>
        </is>
      </c>
      <c r="E77" t="inlineStr">
        <is>
          <t>UPPSALA</t>
        </is>
      </c>
      <c r="G77" t="n">
        <v>1.9</v>
      </c>
      <c r="H77" t="n">
        <v>0</v>
      </c>
      <c r="I77" t="n">
        <v>1</v>
      </c>
      <c r="J77" t="n">
        <v>0</v>
      </c>
      <c r="K77" t="n">
        <v>0</v>
      </c>
      <c r="L77" t="n">
        <v>0</v>
      </c>
      <c r="M77" t="n">
        <v>0</v>
      </c>
      <c r="N77" t="n">
        <v>0</v>
      </c>
      <c r="O77" t="n">
        <v>0</v>
      </c>
      <c r="P77" t="n">
        <v>0</v>
      </c>
      <c r="Q77" t="n">
        <v>1</v>
      </c>
      <c r="R77" s="2" t="inlineStr">
        <is>
          <t>Fällmossa</t>
        </is>
      </c>
      <c r="S77">
        <f>HYPERLINK("https://klasma.github.io/Logging_0380/artfynd/A 5732-2025 artfynd.xlsx", "A 5732-2025")</f>
        <v/>
      </c>
      <c r="T77">
        <f>HYPERLINK("https://klasma.github.io/Logging_0380/kartor/A 5732-2025 karta.png", "A 5732-2025")</f>
        <v/>
      </c>
      <c r="V77">
        <f>HYPERLINK("https://klasma.github.io/Logging_0380/klagomål/A 5732-2025 FSC-klagomål.docx", "A 5732-2025")</f>
        <v/>
      </c>
      <c r="W77">
        <f>HYPERLINK("https://klasma.github.io/Logging_0380/klagomålsmail/A 5732-2025 FSC-klagomål mail.docx", "A 5732-2025")</f>
        <v/>
      </c>
      <c r="X77">
        <f>HYPERLINK("https://klasma.github.io/Logging_0380/tillsyn/A 5732-2025 tillsynsbegäran.docx", "A 5732-2025")</f>
        <v/>
      </c>
      <c r="Y77">
        <f>HYPERLINK("https://klasma.github.io/Logging_0380/tillsynsmail/A 5732-2025 tillsynsbegäran mail.docx", "A 5732-2025")</f>
        <v/>
      </c>
    </row>
    <row r="78" ht="15" customHeight="1">
      <c r="A78" t="inlineStr">
        <is>
          <t>A 29906-2023</t>
        </is>
      </c>
      <c r="B78" s="1" t="n">
        <v>45107</v>
      </c>
      <c r="C78" s="1" t="n">
        <v>45916</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26923-2025</t>
        </is>
      </c>
      <c r="B79" s="1" t="n">
        <v>45811.38710648148</v>
      </c>
      <c r="C79" s="1" t="n">
        <v>45916</v>
      </c>
      <c r="D79" t="inlineStr">
        <is>
          <t>UPPSALA LÄN</t>
        </is>
      </c>
      <c r="E79" t="inlineStr">
        <is>
          <t>UPPSALA</t>
        </is>
      </c>
      <c r="F79" t="inlineStr">
        <is>
          <t>Kyrkan</t>
        </is>
      </c>
      <c r="G79" t="n">
        <v>9.800000000000001</v>
      </c>
      <c r="H79" t="n">
        <v>1</v>
      </c>
      <c r="I79" t="n">
        <v>0</v>
      </c>
      <c r="J79" t="n">
        <v>0</v>
      </c>
      <c r="K79" t="n">
        <v>0</v>
      </c>
      <c r="L79" t="n">
        <v>0</v>
      </c>
      <c r="M79" t="n">
        <v>0</v>
      </c>
      <c r="N79" t="n">
        <v>0</v>
      </c>
      <c r="O79" t="n">
        <v>0</v>
      </c>
      <c r="P79" t="n">
        <v>0</v>
      </c>
      <c r="Q79" t="n">
        <v>1</v>
      </c>
      <c r="R79" s="2" t="inlineStr">
        <is>
          <t>Fläcknycklar</t>
        </is>
      </c>
      <c r="S79">
        <f>HYPERLINK("https://klasma.github.io/Logging_0380/artfynd/A 26923-2025 artfynd.xlsx", "A 26923-2025")</f>
        <v/>
      </c>
      <c r="T79">
        <f>HYPERLINK("https://klasma.github.io/Logging_0380/kartor/A 26923-2025 karta.png", "A 26923-2025")</f>
        <v/>
      </c>
      <c r="V79">
        <f>HYPERLINK("https://klasma.github.io/Logging_0380/klagomål/A 26923-2025 FSC-klagomål.docx", "A 26923-2025")</f>
        <v/>
      </c>
      <c r="W79">
        <f>HYPERLINK("https://klasma.github.io/Logging_0380/klagomålsmail/A 26923-2025 FSC-klagomål mail.docx", "A 26923-2025")</f>
        <v/>
      </c>
      <c r="X79">
        <f>HYPERLINK("https://klasma.github.io/Logging_0380/tillsyn/A 26923-2025 tillsynsbegäran.docx", "A 26923-2025")</f>
        <v/>
      </c>
      <c r="Y79">
        <f>HYPERLINK("https://klasma.github.io/Logging_0380/tillsynsmail/A 26923-2025 tillsynsbegäran mail.docx", "A 26923-2025")</f>
        <v/>
      </c>
    </row>
    <row r="80" ht="15" customHeight="1">
      <c r="A80" t="inlineStr">
        <is>
          <t>A 27848-2023</t>
        </is>
      </c>
      <c r="B80" s="1" t="n">
        <v>45098</v>
      </c>
      <c r="C80" s="1" t="n">
        <v>45916</v>
      </c>
      <c r="D80" t="inlineStr">
        <is>
          <t>UPPSALA LÄN</t>
        </is>
      </c>
      <c r="E80" t="inlineStr">
        <is>
          <t>UPPSALA</t>
        </is>
      </c>
      <c r="G80" t="n">
        <v>14.3</v>
      </c>
      <c r="H80" t="n">
        <v>0</v>
      </c>
      <c r="I80" t="n">
        <v>1</v>
      </c>
      <c r="J80" t="n">
        <v>0</v>
      </c>
      <c r="K80" t="n">
        <v>0</v>
      </c>
      <c r="L80" t="n">
        <v>0</v>
      </c>
      <c r="M80" t="n">
        <v>0</v>
      </c>
      <c r="N80" t="n">
        <v>0</v>
      </c>
      <c r="O80" t="n">
        <v>0</v>
      </c>
      <c r="P80" t="n">
        <v>0</v>
      </c>
      <c r="Q80" t="n">
        <v>1</v>
      </c>
      <c r="R80" s="2" t="inlineStr">
        <is>
          <t>Blåmossa</t>
        </is>
      </c>
      <c r="S80">
        <f>HYPERLINK("https://klasma.github.io/Logging_0380/artfynd/A 27848-2023 artfynd.xlsx", "A 27848-2023")</f>
        <v/>
      </c>
      <c r="T80">
        <f>HYPERLINK("https://klasma.github.io/Logging_0380/kartor/A 27848-2023 karta.png", "A 27848-2023")</f>
        <v/>
      </c>
      <c r="V80">
        <f>HYPERLINK("https://klasma.github.io/Logging_0380/klagomål/A 27848-2023 FSC-klagomål.docx", "A 27848-2023")</f>
        <v/>
      </c>
      <c r="W80">
        <f>HYPERLINK("https://klasma.github.io/Logging_0380/klagomålsmail/A 27848-2023 FSC-klagomål mail.docx", "A 27848-2023")</f>
        <v/>
      </c>
      <c r="X80">
        <f>HYPERLINK("https://klasma.github.io/Logging_0380/tillsyn/A 27848-2023 tillsynsbegäran.docx", "A 27848-2023")</f>
        <v/>
      </c>
      <c r="Y80">
        <f>HYPERLINK("https://klasma.github.io/Logging_0380/tillsynsmail/A 27848-2023 tillsynsbegäran mail.docx", "A 27848-2023")</f>
        <v/>
      </c>
    </row>
    <row r="81" ht="15" customHeight="1">
      <c r="A81" t="inlineStr">
        <is>
          <t>A 844-2025</t>
        </is>
      </c>
      <c r="B81" s="1" t="n">
        <v>45665</v>
      </c>
      <c r="C81" s="1" t="n">
        <v>45916</v>
      </c>
      <c r="D81" t="inlineStr">
        <is>
          <t>UPPSALA LÄN</t>
        </is>
      </c>
      <c r="E81" t="inlineStr">
        <is>
          <t>UPPSALA</t>
        </is>
      </c>
      <c r="G81" t="n">
        <v>2.6</v>
      </c>
      <c r="H81" t="n">
        <v>1</v>
      </c>
      <c r="I81" t="n">
        <v>0</v>
      </c>
      <c r="J81" t="n">
        <v>0</v>
      </c>
      <c r="K81" t="n">
        <v>0</v>
      </c>
      <c r="L81" t="n">
        <v>0</v>
      </c>
      <c r="M81" t="n">
        <v>0</v>
      </c>
      <c r="N81" t="n">
        <v>0</v>
      </c>
      <c r="O81" t="n">
        <v>0</v>
      </c>
      <c r="P81" t="n">
        <v>0</v>
      </c>
      <c r="Q81" t="n">
        <v>1</v>
      </c>
      <c r="R81" s="2" t="inlineStr">
        <is>
          <t>Tjäder</t>
        </is>
      </c>
      <c r="S81">
        <f>HYPERLINK("https://klasma.github.io/Logging_0380/artfynd/A 844-2025 artfynd.xlsx", "A 844-2025")</f>
        <v/>
      </c>
      <c r="T81">
        <f>HYPERLINK("https://klasma.github.io/Logging_0380/kartor/A 844-2025 karta.png", "A 844-2025")</f>
        <v/>
      </c>
      <c r="V81">
        <f>HYPERLINK("https://klasma.github.io/Logging_0380/klagomål/A 844-2025 FSC-klagomål.docx", "A 844-2025")</f>
        <v/>
      </c>
      <c r="W81">
        <f>HYPERLINK("https://klasma.github.io/Logging_0380/klagomålsmail/A 844-2025 FSC-klagomål mail.docx", "A 844-2025")</f>
        <v/>
      </c>
      <c r="X81">
        <f>HYPERLINK("https://klasma.github.io/Logging_0380/tillsyn/A 844-2025 tillsynsbegäran.docx", "A 844-2025")</f>
        <v/>
      </c>
      <c r="Y81">
        <f>HYPERLINK("https://klasma.github.io/Logging_0380/tillsynsmail/A 844-2025 tillsynsbegäran mail.docx", "A 844-2025")</f>
        <v/>
      </c>
      <c r="Z81">
        <f>HYPERLINK("https://klasma.github.io/Logging_0380/fåglar/A 844-2025 prioriterade fågelarter.docx", "A 844-2025")</f>
        <v/>
      </c>
    </row>
    <row r="82" ht="15" customHeight="1">
      <c r="A82" t="inlineStr">
        <is>
          <t>A 3304-2025</t>
        </is>
      </c>
      <c r="B82" s="1" t="n">
        <v>45679</v>
      </c>
      <c r="C82" s="1" t="n">
        <v>45916</v>
      </c>
      <c r="D82" t="inlineStr">
        <is>
          <t>UPPSALA LÄN</t>
        </is>
      </c>
      <c r="E82" t="inlineStr">
        <is>
          <t>UPPSALA</t>
        </is>
      </c>
      <c r="F82" t="inlineStr">
        <is>
          <t>Övriga statliga verk och myndigheter</t>
        </is>
      </c>
      <c r="G82" t="n">
        <v>3.8</v>
      </c>
      <c r="H82" t="n">
        <v>1</v>
      </c>
      <c r="I82" t="n">
        <v>0</v>
      </c>
      <c r="J82" t="n">
        <v>0</v>
      </c>
      <c r="K82" t="n">
        <v>0</v>
      </c>
      <c r="L82" t="n">
        <v>0</v>
      </c>
      <c r="M82" t="n">
        <v>0</v>
      </c>
      <c r="N82" t="n">
        <v>0</v>
      </c>
      <c r="O82" t="n">
        <v>0</v>
      </c>
      <c r="P82" t="n">
        <v>0</v>
      </c>
      <c r="Q82" t="n">
        <v>1</v>
      </c>
      <c r="R82" s="2" t="inlineStr">
        <is>
          <t>Blåsippa</t>
        </is>
      </c>
      <c r="S82">
        <f>HYPERLINK("https://klasma.github.io/Logging_0380/artfynd/A 3304-2025 artfynd.xlsx", "A 3304-2025")</f>
        <v/>
      </c>
      <c r="T82">
        <f>HYPERLINK("https://klasma.github.io/Logging_0380/kartor/A 3304-2025 karta.png", "A 3304-2025")</f>
        <v/>
      </c>
      <c r="V82">
        <f>HYPERLINK("https://klasma.github.io/Logging_0380/klagomål/A 3304-2025 FSC-klagomål.docx", "A 3304-2025")</f>
        <v/>
      </c>
      <c r="W82">
        <f>HYPERLINK("https://klasma.github.io/Logging_0380/klagomålsmail/A 3304-2025 FSC-klagomål mail.docx", "A 3304-2025")</f>
        <v/>
      </c>
      <c r="X82">
        <f>HYPERLINK("https://klasma.github.io/Logging_0380/tillsyn/A 3304-2025 tillsynsbegäran.docx", "A 3304-2025")</f>
        <v/>
      </c>
      <c r="Y82">
        <f>HYPERLINK("https://klasma.github.io/Logging_0380/tillsynsmail/A 3304-2025 tillsynsbegäran mail.docx", "A 3304-2025")</f>
        <v/>
      </c>
    </row>
    <row r="83" ht="15" customHeight="1">
      <c r="A83" t="inlineStr">
        <is>
          <t>A 28056-2025</t>
        </is>
      </c>
      <c r="B83" s="1" t="n">
        <v>45817</v>
      </c>
      <c r="C83" s="1" t="n">
        <v>45916</v>
      </c>
      <c r="D83" t="inlineStr">
        <is>
          <t>UPPSALA LÄN</t>
        </is>
      </c>
      <c r="E83" t="inlineStr">
        <is>
          <t>UPPSALA</t>
        </is>
      </c>
      <c r="G83" t="n">
        <v>19.3</v>
      </c>
      <c r="H83" t="n">
        <v>1</v>
      </c>
      <c r="I83" t="n">
        <v>0</v>
      </c>
      <c r="J83" t="n">
        <v>0</v>
      </c>
      <c r="K83" t="n">
        <v>1</v>
      </c>
      <c r="L83" t="n">
        <v>0</v>
      </c>
      <c r="M83" t="n">
        <v>0</v>
      </c>
      <c r="N83" t="n">
        <v>0</v>
      </c>
      <c r="O83" t="n">
        <v>1</v>
      </c>
      <c r="P83" t="n">
        <v>1</v>
      </c>
      <c r="Q83" t="n">
        <v>1</v>
      </c>
      <c r="R83" s="2" t="inlineStr">
        <is>
          <t>Knärot</t>
        </is>
      </c>
      <c r="S83">
        <f>HYPERLINK("https://klasma.github.io/Logging_0380/artfynd/A 28056-2025 artfynd.xlsx", "A 28056-2025")</f>
        <v/>
      </c>
      <c r="T83">
        <f>HYPERLINK("https://klasma.github.io/Logging_0380/kartor/A 28056-2025 karta.png", "A 28056-2025")</f>
        <v/>
      </c>
      <c r="U83">
        <f>HYPERLINK("https://klasma.github.io/Logging_0380/knärot/A 28056-2025 karta knärot.png", "A 28056-2025")</f>
        <v/>
      </c>
      <c r="V83">
        <f>HYPERLINK("https://klasma.github.io/Logging_0380/klagomål/A 28056-2025 FSC-klagomål.docx", "A 28056-2025")</f>
        <v/>
      </c>
      <c r="W83">
        <f>HYPERLINK("https://klasma.github.io/Logging_0380/klagomålsmail/A 28056-2025 FSC-klagomål mail.docx", "A 28056-2025")</f>
        <v/>
      </c>
      <c r="X83">
        <f>HYPERLINK("https://klasma.github.io/Logging_0380/tillsyn/A 28056-2025 tillsynsbegäran.docx", "A 28056-2025")</f>
        <v/>
      </c>
      <c r="Y83">
        <f>HYPERLINK("https://klasma.github.io/Logging_0380/tillsynsmail/A 28056-2025 tillsynsbegäran mail.docx", "A 28056-2025")</f>
        <v/>
      </c>
    </row>
    <row r="84" ht="15" customHeight="1">
      <c r="A84" t="inlineStr">
        <is>
          <t>A 27824-2025</t>
        </is>
      </c>
      <c r="B84" s="1" t="n">
        <v>45817.34614583333</v>
      </c>
      <c r="C84" s="1" t="n">
        <v>45916</v>
      </c>
      <c r="D84" t="inlineStr">
        <is>
          <t>UPPSALA LÄN</t>
        </is>
      </c>
      <c r="E84" t="inlineStr">
        <is>
          <t>UPPSALA</t>
        </is>
      </c>
      <c r="F84" t="inlineStr">
        <is>
          <t>Kyrkan</t>
        </is>
      </c>
      <c r="G84" t="n">
        <v>3.3</v>
      </c>
      <c r="H84" t="n">
        <v>0</v>
      </c>
      <c r="I84" t="n">
        <v>1</v>
      </c>
      <c r="J84" t="n">
        <v>0</v>
      </c>
      <c r="K84" t="n">
        <v>0</v>
      </c>
      <c r="L84" t="n">
        <v>0</v>
      </c>
      <c r="M84" t="n">
        <v>0</v>
      </c>
      <c r="N84" t="n">
        <v>0</v>
      </c>
      <c r="O84" t="n">
        <v>0</v>
      </c>
      <c r="P84" t="n">
        <v>0</v>
      </c>
      <c r="Q84" t="n">
        <v>1</v>
      </c>
      <c r="R84" s="2" t="inlineStr">
        <is>
          <t>Sårläka</t>
        </is>
      </c>
      <c r="S84">
        <f>HYPERLINK("https://klasma.github.io/Logging_0380/artfynd/A 27824-2025 artfynd.xlsx", "A 27824-2025")</f>
        <v/>
      </c>
      <c r="T84">
        <f>HYPERLINK("https://klasma.github.io/Logging_0380/kartor/A 27824-2025 karta.png", "A 27824-2025")</f>
        <v/>
      </c>
      <c r="V84">
        <f>HYPERLINK("https://klasma.github.io/Logging_0380/klagomål/A 27824-2025 FSC-klagomål.docx", "A 27824-2025")</f>
        <v/>
      </c>
      <c r="W84">
        <f>HYPERLINK("https://klasma.github.io/Logging_0380/klagomålsmail/A 27824-2025 FSC-klagomål mail.docx", "A 27824-2025")</f>
        <v/>
      </c>
      <c r="X84">
        <f>HYPERLINK("https://klasma.github.io/Logging_0380/tillsyn/A 27824-2025 tillsynsbegäran.docx", "A 27824-2025")</f>
        <v/>
      </c>
      <c r="Y84">
        <f>HYPERLINK("https://klasma.github.io/Logging_0380/tillsynsmail/A 27824-2025 tillsynsbegäran mail.docx", "A 27824-2025")</f>
        <v/>
      </c>
    </row>
    <row r="85" ht="15" customHeight="1">
      <c r="A85" t="inlineStr">
        <is>
          <t>A 28299-2025</t>
        </is>
      </c>
      <c r="B85" s="1" t="n">
        <v>45818.60254629629</v>
      </c>
      <c r="C85" s="1" t="n">
        <v>45916</v>
      </c>
      <c r="D85" t="inlineStr">
        <is>
          <t>UPPSALA LÄN</t>
        </is>
      </c>
      <c r="E85" t="inlineStr">
        <is>
          <t>UPPSALA</t>
        </is>
      </c>
      <c r="F85" t="inlineStr">
        <is>
          <t>Holmen skog AB</t>
        </is>
      </c>
      <c r="G85" t="n">
        <v>12</v>
      </c>
      <c r="H85" t="n">
        <v>0</v>
      </c>
      <c r="I85" t="n">
        <v>0</v>
      </c>
      <c r="J85" t="n">
        <v>1</v>
      </c>
      <c r="K85" t="n">
        <v>0</v>
      </c>
      <c r="L85" t="n">
        <v>0</v>
      </c>
      <c r="M85" t="n">
        <v>0</v>
      </c>
      <c r="N85" t="n">
        <v>0</v>
      </c>
      <c r="O85" t="n">
        <v>1</v>
      </c>
      <c r="P85" t="n">
        <v>0</v>
      </c>
      <c r="Q85" t="n">
        <v>1</v>
      </c>
      <c r="R85" s="2" t="inlineStr">
        <is>
          <t>Slåtterfibbla</t>
        </is>
      </c>
      <c r="S85">
        <f>HYPERLINK("https://klasma.github.io/Logging_0380/artfynd/A 28299-2025 artfynd.xlsx", "A 28299-2025")</f>
        <v/>
      </c>
      <c r="T85">
        <f>HYPERLINK("https://klasma.github.io/Logging_0380/kartor/A 28299-2025 karta.png", "A 28299-2025")</f>
        <v/>
      </c>
      <c r="V85">
        <f>HYPERLINK("https://klasma.github.io/Logging_0380/klagomål/A 28299-2025 FSC-klagomål.docx", "A 28299-2025")</f>
        <v/>
      </c>
      <c r="W85">
        <f>HYPERLINK("https://klasma.github.io/Logging_0380/klagomålsmail/A 28299-2025 FSC-klagomål mail.docx", "A 28299-2025")</f>
        <v/>
      </c>
      <c r="X85">
        <f>HYPERLINK("https://klasma.github.io/Logging_0380/tillsyn/A 28299-2025 tillsynsbegäran.docx", "A 28299-2025")</f>
        <v/>
      </c>
      <c r="Y85">
        <f>HYPERLINK("https://klasma.github.io/Logging_0380/tillsynsmail/A 28299-2025 tillsynsbegäran mail.docx", "A 28299-2025")</f>
        <v/>
      </c>
    </row>
    <row r="86" ht="15" customHeight="1">
      <c r="A86" t="inlineStr">
        <is>
          <t>A 13526-2025</t>
        </is>
      </c>
      <c r="B86" s="1" t="n">
        <v>45736.49902777778</v>
      </c>
      <c r="C86" s="1" t="n">
        <v>45916</v>
      </c>
      <c r="D86" t="inlineStr">
        <is>
          <t>UPPSALA LÄN</t>
        </is>
      </c>
      <c r="E86" t="inlineStr">
        <is>
          <t>UPPSALA</t>
        </is>
      </c>
      <c r="F86" t="inlineStr">
        <is>
          <t>Allmännings- och besparingsskogar</t>
        </is>
      </c>
      <c r="G86" t="n">
        <v>3</v>
      </c>
      <c r="H86" t="n">
        <v>0</v>
      </c>
      <c r="I86" t="n">
        <v>0</v>
      </c>
      <c r="J86" t="n">
        <v>1</v>
      </c>
      <c r="K86" t="n">
        <v>0</v>
      </c>
      <c r="L86" t="n">
        <v>0</v>
      </c>
      <c r="M86" t="n">
        <v>0</v>
      </c>
      <c r="N86" t="n">
        <v>0</v>
      </c>
      <c r="O86" t="n">
        <v>1</v>
      </c>
      <c r="P86" t="n">
        <v>0</v>
      </c>
      <c r="Q86" t="n">
        <v>1</v>
      </c>
      <c r="R86" s="2" t="inlineStr">
        <is>
          <t>Vedtrappmossa</t>
        </is>
      </c>
      <c r="S86">
        <f>HYPERLINK("https://klasma.github.io/Logging_0380/artfynd/A 13526-2025 artfynd.xlsx", "A 13526-2025")</f>
        <v/>
      </c>
      <c r="T86">
        <f>HYPERLINK("https://klasma.github.io/Logging_0380/kartor/A 13526-2025 karta.png", "A 13526-2025")</f>
        <v/>
      </c>
      <c r="V86">
        <f>HYPERLINK("https://klasma.github.io/Logging_0380/klagomål/A 13526-2025 FSC-klagomål.docx", "A 13526-2025")</f>
        <v/>
      </c>
      <c r="W86">
        <f>HYPERLINK("https://klasma.github.io/Logging_0380/klagomålsmail/A 13526-2025 FSC-klagomål mail.docx", "A 13526-2025")</f>
        <v/>
      </c>
      <c r="X86">
        <f>HYPERLINK("https://klasma.github.io/Logging_0380/tillsyn/A 13526-2025 tillsynsbegäran.docx", "A 13526-2025")</f>
        <v/>
      </c>
      <c r="Y86">
        <f>HYPERLINK("https://klasma.github.io/Logging_0380/tillsynsmail/A 13526-2025 tillsynsbegäran mail.docx", "A 13526-2025")</f>
        <v/>
      </c>
    </row>
    <row r="87" ht="15" customHeight="1">
      <c r="A87" t="inlineStr">
        <is>
          <t>A 2729-2024</t>
        </is>
      </c>
      <c r="B87" s="1" t="n">
        <v>45314.55579861111</v>
      </c>
      <c r="C87" s="1" t="n">
        <v>45916</v>
      </c>
      <c r="D87" t="inlineStr">
        <is>
          <t>UPPSALA LÄN</t>
        </is>
      </c>
      <c r="E87" t="inlineStr">
        <is>
          <t>UPPSALA</t>
        </is>
      </c>
      <c r="G87" t="n">
        <v>3.3</v>
      </c>
      <c r="H87" t="n">
        <v>1</v>
      </c>
      <c r="I87" t="n">
        <v>0</v>
      </c>
      <c r="J87" t="n">
        <v>0</v>
      </c>
      <c r="K87" t="n">
        <v>0</v>
      </c>
      <c r="L87" t="n">
        <v>0</v>
      </c>
      <c r="M87" t="n">
        <v>0</v>
      </c>
      <c r="N87" t="n">
        <v>0</v>
      </c>
      <c r="O87" t="n">
        <v>0</v>
      </c>
      <c r="P87" t="n">
        <v>0</v>
      </c>
      <c r="Q87" t="n">
        <v>1</v>
      </c>
      <c r="R87" s="2" t="inlineStr">
        <is>
          <t>Revlummer</t>
        </is>
      </c>
      <c r="S87">
        <f>HYPERLINK("https://klasma.github.io/Logging_0380/artfynd/A 2729-2024 artfynd.xlsx", "A 2729-2024")</f>
        <v/>
      </c>
      <c r="T87">
        <f>HYPERLINK("https://klasma.github.io/Logging_0380/kartor/A 2729-2024 karta.png", "A 2729-2024")</f>
        <v/>
      </c>
      <c r="V87">
        <f>HYPERLINK("https://klasma.github.io/Logging_0380/klagomål/A 2729-2024 FSC-klagomål.docx", "A 2729-2024")</f>
        <v/>
      </c>
      <c r="W87">
        <f>HYPERLINK("https://klasma.github.io/Logging_0380/klagomålsmail/A 2729-2024 FSC-klagomål mail.docx", "A 2729-2024")</f>
        <v/>
      </c>
      <c r="X87">
        <f>HYPERLINK("https://klasma.github.io/Logging_0380/tillsyn/A 2729-2024 tillsynsbegäran.docx", "A 2729-2024")</f>
        <v/>
      </c>
      <c r="Y87">
        <f>HYPERLINK("https://klasma.github.io/Logging_0380/tillsynsmail/A 2729-2024 tillsynsbegäran mail.docx", "A 2729-2024")</f>
        <v/>
      </c>
    </row>
    <row r="88" ht="15" customHeight="1">
      <c r="A88" t="inlineStr">
        <is>
          <t>A 28950-2025</t>
        </is>
      </c>
      <c r="B88" s="1" t="n">
        <v>45820.84516203704</v>
      </c>
      <c r="C88" s="1" t="n">
        <v>45916</v>
      </c>
      <c r="D88" t="inlineStr">
        <is>
          <t>UPPSALA LÄN</t>
        </is>
      </c>
      <c r="E88" t="inlineStr">
        <is>
          <t>UPPSALA</t>
        </is>
      </c>
      <c r="F88" t="inlineStr">
        <is>
          <t>Bergvik skog öst AB</t>
        </is>
      </c>
      <c r="G88" t="n">
        <v>6</v>
      </c>
      <c r="H88" t="n">
        <v>0</v>
      </c>
      <c r="I88" t="n">
        <v>0</v>
      </c>
      <c r="J88" t="n">
        <v>0</v>
      </c>
      <c r="K88" t="n">
        <v>0</v>
      </c>
      <c r="L88" t="n">
        <v>1</v>
      </c>
      <c r="M88" t="n">
        <v>0</v>
      </c>
      <c r="N88" t="n">
        <v>0</v>
      </c>
      <c r="O88" t="n">
        <v>1</v>
      </c>
      <c r="P88" t="n">
        <v>1</v>
      </c>
      <c r="Q88" t="n">
        <v>1</v>
      </c>
      <c r="R88" s="2" t="inlineStr">
        <is>
          <t>Fältgentiana</t>
        </is>
      </c>
      <c r="S88">
        <f>HYPERLINK("https://klasma.github.io/Logging_0380/artfynd/A 28950-2025 artfynd.xlsx", "A 28950-2025")</f>
        <v/>
      </c>
      <c r="T88">
        <f>HYPERLINK("https://klasma.github.io/Logging_0380/kartor/A 28950-2025 karta.png", "A 28950-2025")</f>
        <v/>
      </c>
      <c r="V88">
        <f>HYPERLINK("https://klasma.github.io/Logging_0380/klagomål/A 28950-2025 FSC-klagomål.docx", "A 28950-2025")</f>
        <v/>
      </c>
      <c r="W88">
        <f>HYPERLINK("https://klasma.github.io/Logging_0380/klagomålsmail/A 28950-2025 FSC-klagomål mail.docx", "A 28950-2025")</f>
        <v/>
      </c>
      <c r="X88">
        <f>HYPERLINK("https://klasma.github.io/Logging_0380/tillsyn/A 28950-2025 tillsynsbegäran.docx", "A 28950-2025")</f>
        <v/>
      </c>
      <c r="Y88">
        <f>HYPERLINK("https://klasma.github.io/Logging_0380/tillsynsmail/A 28950-2025 tillsynsbegäran mail.docx", "A 28950-2025")</f>
        <v/>
      </c>
    </row>
    <row r="89" ht="15" customHeight="1">
      <c r="A89" t="inlineStr">
        <is>
          <t>A 61818-2022</t>
        </is>
      </c>
      <c r="B89" s="1" t="n">
        <v>44917</v>
      </c>
      <c r="C89" s="1" t="n">
        <v>45916</v>
      </c>
      <c r="D89" t="inlineStr">
        <is>
          <t>UPPSALA LÄN</t>
        </is>
      </c>
      <c r="E89" t="inlineStr">
        <is>
          <t>UPPSALA</t>
        </is>
      </c>
      <c r="F89" t="inlineStr">
        <is>
          <t>Holmen skog AB</t>
        </is>
      </c>
      <c r="G89" t="n">
        <v>0.8</v>
      </c>
      <c r="H89" t="n">
        <v>0</v>
      </c>
      <c r="I89" t="n">
        <v>0</v>
      </c>
      <c r="J89" t="n">
        <v>1</v>
      </c>
      <c r="K89" t="n">
        <v>0</v>
      </c>
      <c r="L89" t="n">
        <v>0</v>
      </c>
      <c r="M89" t="n">
        <v>0</v>
      </c>
      <c r="N89" t="n">
        <v>0</v>
      </c>
      <c r="O89" t="n">
        <v>1</v>
      </c>
      <c r="P89" t="n">
        <v>0</v>
      </c>
      <c r="Q89" t="n">
        <v>1</v>
      </c>
      <c r="R89" s="2" t="inlineStr">
        <is>
          <t>Blekticka</t>
        </is>
      </c>
      <c r="S89">
        <f>HYPERLINK("https://klasma.github.io/Logging_0380/artfynd/A 61818-2022 artfynd.xlsx", "A 61818-2022")</f>
        <v/>
      </c>
      <c r="T89">
        <f>HYPERLINK("https://klasma.github.io/Logging_0380/kartor/A 61818-2022 karta.png", "A 61818-2022")</f>
        <v/>
      </c>
      <c r="V89">
        <f>HYPERLINK("https://klasma.github.io/Logging_0380/klagomål/A 61818-2022 FSC-klagomål.docx", "A 61818-2022")</f>
        <v/>
      </c>
      <c r="W89">
        <f>HYPERLINK("https://klasma.github.io/Logging_0380/klagomålsmail/A 61818-2022 FSC-klagomål mail.docx", "A 61818-2022")</f>
        <v/>
      </c>
      <c r="X89">
        <f>HYPERLINK("https://klasma.github.io/Logging_0380/tillsyn/A 61818-2022 tillsynsbegäran.docx", "A 61818-2022")</f>
        <v/>
      </c>
      <c r="Y89">
        <f>HYPERLINK("https://klasma.github.io/Logging_0380/tillsynsmail/A 61818-2022 tillsynsbegäran mail.docx", "A 61818-2022")</f>
        <v/>
      </c>
    </row>
    <row r="90" ht="15" customHeight="1">
      <c r="A90" t="inlineStr">
        <is>
          <t>A 49015-2022</t>
        </is>
      </c>
      <c r="B90" s="1" t="n">
        <v>44855</v>
      </c>
      <c r="C90" s="1" t="n">
        <v>45916</v>
      </c>
      <c r="D90" t="inlineStr">
        <is>
          <t>UPPSALA LÄN</t>
        </is>
      </c>
      <c r="E90" t="inlineStr">
        <is>
          <t>UPPSALA</t>
        </is>
      </c>
      <c r="F90" t="inlineStr">
        <is>
          <t>Kommuner</t>
        </is>
      </c>
      <c r="G90" t="n">
        <v>4.5</v>
      </c>
      <c r="H90" t="n">
        <v>0</v>
      </c>
      <c r="I90" t="n">
        <v>0</v>
      </c>
      <c r="J90" t="n">
        <v>1</v>
      </c>
      <c r="K90" t="n">
        <v>0</v>
      </c>
      <c r="L90" t="n">
        <v>0</v>
      </c>
      <c r="M90" t="n">
        <v>0</v>
      </c>
      <c r="N90" t="n">
        <v>0</v>
      </c>
      <c r="O90" t="n">
        <v>1</v>
      </c>
      <c r="P90" t="n">
        <v>0</v>
      </c>
      <c r="Q90" t="n">
        <v>1</v>
      </c>
      <c r="R90" s="2" t="inlineStr">
        <is>
          <t>Harticka</t>
        </is>
      </c>
      <c r="S90">
        <f>HYPERLINK("https://klasma.github.io/Logging_0380/artfynd/A 49015-2022 artfynd.xlsx", "A 49015-2022")</f>
        <v/>
      </c>
      <c r="T90">
        <f>HYPERLINK("https://klasma.github.io/Logging_0380/kartor/A 49015-2022 karta.png", "A 49015-2022")</f>
        <v/>
      </c>
      <c r="V90">
        <f>HYPERLINK("https://klasma.github.io/Logging_0380/klagomål/A 49015-2022 FSC-klagomål.docx", "A 49015-2022")</f>
        <v/>
      </c>
      <c r="W90">
        <f>HYPERLINK("https://klasma.github.io/Logging_0380/klagomålsmail/A 49015-2022 FSC-klagomål mail.docx", "A 49015-2022")</f>
        <v/>
      </c>
      <c r="X90">
        <f>HYPERLINK("https://klasma.github.io/Logging_0380/tillsyn/A 49015-2022 tillsynsbegäran.docx", "A 49015-2022")</f>
        <v/>
      </c>
      <c r="Y90">
        <f>HYPERLINK("https://klasma.github.io/Logging_0380/tillsynsmail/A 49015-2022 tillsynsbegäran mail.docx", "A 49015-2022")</f>
        <v/>
      </c>
    </row>
    <row r="91" ht="15" customHeight="1">
      <c r="A91" t="inlineStr">
        <is>
          <t>A 36842-2025</t>
        </is>
      </c>
      <c r="B91" s="1" t="n">
        <v>45874</v>
      </c>
      <c r="C91" s="1" t="n">
        <v>45916</v>
      </c>
      <c r="D91" t="inlineStr">
        <is>
          <t>UPPSALA LÄN</t>
        </is>
      </c>
      <c r="E91" t="inlineStr">
        <is>
          <t>UPPSALA</t>
        </is>
      </c>
      <c r="G91" t="n">
        <v>9.9</v>
      </c>
      <c r="H91" t="n">
        <v>0</v>
      </c>
      <c r="I91" t="n">
        <v>1</v>
      </c>
      <c r="J91" t="n">
        <v>0</v>
      </c>
      <c r="K91" t="n">
        <v>0</v>
      </c>
      <c r="L91" t="n">
        <v>0</v>
      </c>
      <c r="M91" t="n">
        <v>0</v>
      </c>
      <c r="N91" t="n">
        <v>0</v>
      </c>
      <c r="O91" t="n">
        <v>0</v>
      </c>
      <c r="P91" t="n">
        <v>0</v>
      </c>
      <c r="Q91" t="n">
        <v>1</v>
      </c>
      <c r="R91" s="2" t="inlineStr">
        <is>
          <t>Vedticka</t>
        </is>
      </c>
      <c r="S91">
        <f>HYPERLINK("https://klasma.github.io/Logging_0380/artfynd/A 36842-2025 artfynd.xlsx", "A 36842-2025")</f>
        <v/>
      </c>
      <c r="T91">
        <f>HYPERLINK("https://klasma.github.io/Logging_0380/kartor/A 36842-2025 karta.png", "A 36842-2025")</f>
        <v/>
      </c>
      <c r="V91">
        <f>HYPERLINK("https://klasma.github.io/Logging_0380/klagomål/A 36842-2025 FSC-klagomål.docx", "A 36842-2025")</f>
        <v/>
      </c>
      <c r="W91">
        <f>HYPERLINK("https://klasma.github.io/Logging_0380/klagomålsmail/A 36842-2025 FSC-klagomål mail.docx", "A 36842-2025")</f>
        <v/>
      </c>
      <c r="X91">
        <f>HYPERLINK("https://klasma.github.io/Logging_0380/tillsyn/A 36842-2025 tillsynsbegäran.docx", "A 36842-2025")</f>
        <v/>
      </c>
      <c r="Y91">
        <f>HYPERLINK("https://klasma.github.io/Logging_0380/tillsynsmail/A 36842-2025 tillsynsbegäran mail.docx", "A 36842-2025")</f>
        <v/>
      </c>
    </row>
    <row r="92" ht="15" customHeight="1">
      <c r="A92" t="inlineStr">
        <is>
          <t>A 37004-2025</t>
        </is>
      </c>
      <c r="B92" s="1" t="n">
        <v>45874.69282407407</v>
      </c>
      <c r="C92" s="1" t="n">
        <v>45916</v>
      </c>
      <c r="D92" t="inlineStr">
        <is>
          <t>UPPSALA LÄN</t>
        </is>
      </c>
      <c r="E92" t="inlineStr">
        <is>
          <t>UPPSALA</t>
        </is>
      </c>
      <c r="G92" t="n">
        <v>15.8</v>
      </c>
      <c r="H92" t="n">
        <v>1</v>
      </c>
      <c r="I92" t="n">
        <v>0</v>
      </c>
      <c r="J92" t="n">
        <v>0</v>
      </c>
      <c r="K92" t="n">
        <v>0</v>
      </c>
      <c r="L92" t="n">
        <v>0</v>
      </c>
      <c r="M92" t="n">
        <v>0</v>
      </c>
      <c r="N92" t="n">
        <v>0</v>
      </c>
      <c r="O92" t="n">
        <v>0</v>
      </c>
      <c r="P92" t="n">
        <v>0</v>
      </c>
      <c r="Q92" t="n">
        <v>1</v>
      </c>
      <c r="R92" s="2" t="inlineStr">
        <is>
          <t>Vanlig padda</t>
        </is>
      </c>
      <c r="S92">
        <f>HYPERLINK("https://klasma.github.io/Logging_0380/artfynd/A 37004-2025 artfynd.xlsx", "A 37004-2025")</f>
        <v/>
      </c>
      <c r="T92">
        <f>HYPERLINK("https://klasma.github.io/Logging_0380/kartor/A 37004-2025 karta.png", "A 37004-2025")</f>
        <v/>
      </c>
      <c r="V92">
        <f>HYPERLINK("https://klasma.github.io/Logging_0380/klagomål/A 37004-2025 FSC-klagomål.docx", "A 37004-2025")</f>
        <v/>
      </c>
      <c r="W92">
        <f>HYPERLINK("https://klasma.github.io/Logging_0380/klagomålsmail/A 37004-2025 FSC-klagomål mail.docx", "A 37004-2025")</f>
        <v/>
      </c>
      <c r="X92">
        <f>HYPERLINK("https://klasma.github.io/Logging_0380/tillsyn/A 37004-2025 tillsynsbegäran.docx", "A 37004-2025")</f>
        <v/>
      </c>
      <c r="Y92">
        <f>HYPERLINK("https://klasma.github.io/Logging_0380/tillsynsmail/A 37004-2025 tillsynsbegäran mail.docx", "A 37004-2025")</f>
        <v/>
      </c>
    </row>
    <row r="93" ht="15" customHeight="1">
      <c r="A93" t="inlineStr">
        <is>
          <t>A 5009-2023</t>
        </is>
      </c>
      <c r="B93" s="1" t="n">
        <v>44958</v>
      </c>
      <c r="C93" s="1" t="n">
        <v>45916</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16761-2022</t>
        </is>
      </c>
      <c r="B94" s="1" t="n">
        <v>44673.47858796296</v>
      </c>
      <c r="C94" s="1" t="n">
        <v>45916</v>
      </c>
      <c r="D94" t="inlineStr">
        <is>
          <t>UPPSALA LÄN</t>
        </is>
      </c>
      <c r="E94" t="inlineStr">
        <is>
          <t>UPPSALA</t>
        </is>
      </c>
      <c r="G94" t="n">
        <v>0.6</v>
      </c>
      <c r="H94" t="n">
        <v>1</v>
      </c>
      <c r="I94" t="n">
        <v>0</v>
      </c>
      <c r="J94" t="n">
        <v>0</v>
      </c>
      <c r="K94" t="n">
        <v>0</v>
      </c>
      <c r="L94" t="n">
        <v>0</v>
      </c>
      <c r="M94" t="n">
        <v>0</v>
      </c>
      <c r="N94" t="n">
        <v>0</v>
      </c>
      <c r="O94" t="n">
        <v>0</v>
      </c>
      <c r="P94" t="n">
        <v>0</v>
      </c>
      <c r="Q94" t="n">
        <v>1</v>
      </c>
      <c r="R94" s="2" t="inlineStr">
        <is>
          <t>Trädlärka</t>
        </is>
      </c>
      <c r="S94">
        <f>HYPERLINK("https://klasma.github.io/Logging_0380/artfynd/A 16761-2022 artfynd.xlsx", "A 16761-2022")</f>
        <v/>
      </c>
      <c r="T94">
        <f>HYPERLINK("https://klasma.github.io/Logging_0380/kartor/A 16761-2022 karta.png", "A 16761-2022")</f>
        <v/>
      </c>
      <c r="V94">
        <f>HYPERLINK("https://klasma.github.io/Logging_0380/klagomål/A 16761-2022 FSC-klagomål.docx", "A 16761-2022")</f>
        <v/>
      </c>
      <c r="W94">
        <f>HYPERLINK("https://klasma.github.io/Logging_0380/klagomålsmail/A 16761-2022 FSC-klagomål mail.docx", "A 16761-2022")</f>
        <v/>
      </c>
      <c r="X94">
        <f>HYPERLINK("https://klasma.github.io/Logging_0380/tillsyn/A 16761-2022 tillsynsbegäran.docx", "A 16761-2022")</f>
        <v/>
      </c>
      <c r="Y94">
        <f>HYPERLINK("https://klasma.github.io/Logging_0380/tillsynsmail/A 16761-2022 tillsynsbegäran mail.docx", "A 16761-2022")</f>
        <v/>
      </c>
      <c r="Z94">
        <f>HYPERLINK("https://klasma.github.io/Logging_0380/fåglar/A 16761-2022 prioriterade fågelarter.docx", "A 16761-2022")</f>
        <v/>
      </c>
    </row>
    <row r="95" ht="15" customHeight="1">
      <c r="A95" t="inlineStr">
        <is>
          <t>A 33708-2025</t>
        </is>
      </c>
      <c r="B95" s="1" t="n">
        <v>45841.81555555556</v>
      </c>
      <c r="C95" s="1" t="n">
        <v>45916</v>
      </c>
      <c r="D95" t="inlineStr">
        <is>
          <t>UPPSALA LÄN</t>
        </is>
      </c>
      <c r="E95" t="inlineStr">
        <is>
          <t>UPPSALA</t>
        </is>
      </c>
      <c r="F95" t="inlineStr">
        <is>
          <t>Holmen skog AB</t>
        </is>
      </c>
      <c r="G95" t="n">
        <v>2</v>
      </c>
      <c r="H95" t="n">
        <v>0</v>
      </c>
      <c r="I95" t="n">
        <v>1</v>
      </c>
      <c r="J95" t="n">
        <v>0</v>
      </c>
      <c r="K95" t="n">
        <v>0</v>
      </c>
      <c r="L95" t="n">
        <v>0</v>
      </c>
      <c r="M95" t="n">
        <v>0</v>
      </c>
      <c r="N95" t="n">
        <v>0</v>
      </c>
      <c r="O95" t="n">
        <v>0</v>
      </c>
      <c r="P95" t="n">
        <v>0</v>
      </c>
      <c r="Q95" t="n">
        <v>1</v>
      </c>
      <c r="R95" s="2" t="inlineStr">
        <is>
          <t>Svavelriska</t>
        </is>
      </c>
      <c r="S95">
        <f>HYPERLINK("https://klasma.github.io/Logging_0380/artfynd/A 33708-2025 artfynd.xlsx", "A 33708-2025")</f>
        <v/>
      </c>
      <c r="T95">
        <f>HYPERLINK("https://klasma.github.io/Logging_0380/kartor/A 33708-2025 karta.png", "A 33708-2025")</f>
        <v/>
      </c>
      <c r="V95">
        <f>HYPERLINK("https://klasma.github.io/Logging_0380/klagomål/A 33708-2025 FSC-klagomål.docx", "A 33708-2025")</f>
        <v/>
      </c>
      <c r="W95">
        <f>HYPERLINK("https://klasma.github.io/Logging_0380/klagomålsmail/A 33708-2025 FSC-klagomål mail.docx", "A 33708-2025")</f>
        <v/>
      </c>
      <c r="X95">
        <f>HYPERLINK("https://klasma.github.io/Logging_0380/tillsyn/A 33708-2025 tillsynsbegäran.docx", "A 33708-2025")</f>
        <v/>
      </c>
      <c r="Y95">
        <f>HYPERLINK("https://klasma.github.io/Logging_0380/tillsynsmail/A 33708-2025 tillsynsbegäran mail.docx", "A 33708-2025")</f>
        <v/>
      </c>
    </row>
    <row r="96" ht="15" customHeight="1">
      <c r="A96" t="inlineStr">
        <is>
          <t>A 25729-2024</t>
        </is>
      </c>
      <c r="B96" s="1" t="n">
        <v>45464</v>
      </c>
      <c r="C96" s="1" t="n">
        <v>45916</v>
      </c>
      <c r="D96" t="inlineStr">
        <is>
          <t>UPPSALA LÄN</t>
        </is>
      </c>
      <c r="E96" t="inlineStr">
        <is>
          <t>UPPSALA</t>
        </is>
      </c>
      <c r="G96" t="n">
        <v>22.3</v>
      </c>
      <c r="H96" t="n">
        <v>0</v>
      </c>
      <c r="I96" t="n">
        <v>0</v>
      </c>
      <c r="J96" t="n">
        <v>1</v>
      </c>
      <c r="K96" t="n">
        <v>0</v>
      </c>
      <c r="L96" t="n">
        <v>0</v>
      </c>
      <c r="M96" t="n">
        <v>0</v>
      </c>
      <c r="N96" t="n">
        <v>0</v>
      </c>
      <c r="O96" t="n">
        <v>1</v>
      </c>
      <c r="P96" t="n">
        <v>0</v>
      </c>
      <c r="Q96" t="n">
        <v>1</v>
      </c>
      <c r="R96" s="2" t="inlineStr">
        <is>
          <t>Ullticka</t>
        </is>
      </c>
      <c r="S96">
        <f>HYPERLINK("https://klasma.github.io/Logging_0380/artfynd/A 25729-2024 artfynd.xlsx", "A 25729-2024")</f>
        <v/>
      </c>
      <c r="T96">
        <f>HYPERLINK("https://klasma.github.io/Logging_0380/kartor/A 25729-2024 karta.png", "A 25729-2024")</f>
        <v/>
      </c>
      <c r="V96">
        <f>HYPERLINK("https://klasma.github.io/Logging_0380/klagomål/A 25729-2024 FSC-klagomål.docx", "A 25729-2024")</f>
        <v/>
      </c>
      <c r="W96">
        <f>HYPERLINK("https://klasma.github.io/Logging_0380/klagomålsmail/A 25729-2024 FSC-klagomål mail.docx", "A 25729-2024")</f>
        <v/>
      </c>
      <c r="X96">
        <f>HYPERLINK("https://klasma.github.io/Logging_0380/tillsyn/A 25729-2024 tillsynsbegäran.docx", "A 25729-2024")</f>
        <v/>
      </c>
      <c r="Y96">
        <f>HYPERLINK("https://klasma.github.io/Logging_0380/tillsynsmail/A 25729-2024 tillsynsbegäran mail.docx", "A 25729-2024")</f>
        <v/>
      </c>
    </row>
    <row r="97" ht="15" customHeight="1">
      <c r="A97" t="inlineStr">
        <is>
          <t>A 52849-2021</t>
        </is>
      </c>
      <c r="B97" s="1" t="n">
        <v>44467</v>
      </c>
      <c r="C97" s="1" t="n">
        <v>45916</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18373-2025</t>
        </is>
      </c>
      <c r="B98" s="1" t="n">
        <v>45762.57244212963</v>
      </c>
      <c r="C98" s="1" t="n">
        <v>45916</v>
      </c>
      <c r="D98" t="inlineStr">
        <is>
          <t>UPPSALA LÄN</t>
        </is>
      </c>
      <c r="E98" t="inlineStr">
        <is>
          <t>UPPSALA</t>
        </is>
      </c>
      <c r="G98" t="n">
        <v>9.5</v>
      </c>
      <c r="H98" t="n">
        <v>0</v>
      </c>
      <c r="I98" t="n">
        <v>0</v>
      </c>
      <c r="J98" t="n">
        <v>1</v>
      </c>
      <c r="K98" t="n">
        <v>0</v>
      </c>
      <c r="L98" t="n">
        <v>0</v>
      </c>
      <c r="M98" t="n">
        <v>0</v>
      </c>
      <c r="N98" t="n">
        <v>0</v>
      </c>
      <c r="O98" t="n">
        <v>1</v>
      </c>
      <c r="P98" t="n">
        <v>0</v>
      </c>
      <c r="Q98" t="n">
        <v>1</v>
      </c>
      <c r="R98" s="2" t="inlineStr">
        <is>
          <t>Ullticka</t>
        </is>
      </c>
      <c r="S98">
        <f>HYPERLINK("https://klasma.github.io/Logging_0380/artfynd/A 18373-2025 artfynd.xlsx", "A 18373-2025")</f>
        <v/>
      </c>
      <c r="T98">
        <f>HYPERLINK("https://klasma.github.io/Logging_0380/kartor/A 18373-2025 karta.png", "A 18373-2025")</f>
        <v/>
      </c>
      <c r="V98">
        <f>HYPERLINK("https://klasma.github.io/Logging_0380/klagomål/A 18373-2025 FSC-klagomål.docx", "A 18373-2025")</f>
        <v/>
      </c>
      <c r="W98">
        <f>HYPERLINK("https://klasma.github.io/Logging_0380/klagomålsmail/A 18373-2025 FSC-klagomål mail.docx", "A 18373-2025")</f>
        <v/>
      </c>
      <c r="X98">
        <f>HYPERLINK("https://klasma.github.io/Logging_0380/tillsyn/A 18373-2025 tillsynsbegäran.docx", "A 18373-2025")</f>
        <v/>
      </c>
      <c r="Y98">
        <f>HYPERLINK("https://klasma.github.io/Logging_0380/tillsynsmail/A 18373-2025 tillsynsbegäran mail.docx", "A 18373-2025")</f>
        <v/>
      </c>
    </row>
    <row r="99" ht="15" customHeight="1">
      <c r="A99" t="inlineStr">
        <is>
          <t>A 35260-2025</t>
        </is>
      </c>
      <c r="B99" s="1" t="n">
        <v>45853.76976851852</v>
      </c>
      <c r="C99" s="1" t="n">
        <v>45916</v>
      </c>
      <c r="D99" t="inlineStr">
        <is>
          <t>UPPSALA LÄN</t>
        </is>
      </c>
      <c r="E99" t="inlineStr">
        <is>
          <t>UPPSALA</t>
        </is>
      </c>
      <c r="G99" t="n">
        <v>7.3</v>
      </c>
      <c r="H99" t="n">
        <v>0</v>
      </c>
      <c r="I99" t="n">
        <v>1</v>
      </c>
      <c r="J99" t="n">
        <v>0</v>
      </c>
      <c r="K99" t="n">
        <v>0</v>
      </c>
      <c r="L99" t="n">
        <v>0</v>
      </c>
      <c r="M99" t="n">
        <v>0</v>
      </c>
      <c r="N99" t="n">
        <v>0</v>
      </c>
      <c r="O99" t="n">
        <v>0</v>
      </c>
      <c r="P99" t="n">
        <v>0</v>
      </c>
      <c r="Q99" t="n">
        <v>1</v>
      </c>
      <c r="R99" s="2" t="inlineStr">
        <is>
          <t>Svavelriska</t>
        </is>
      </c>
      <c r="S99">
        <f>HYPERLINK("https://klasma.github.io/Logging_0380/artfynd/A 35260-2025 artfynd.xlsx", "A 35260-2025")</f>
        <v/>
      </c>
      <c r="T99">
        <f>HYPERLINK("https://klasma.github.io/Logging_0380/kartor/A 35260-2025 karta.png", "A 35260-2025")</f>
        <v/>
      </c>
      <c r="V99">
        <f>HYPERLINK("https://klasma.github.io/Logging_0380/klagomål/A 35260-2025 FSC-klagomål.docx", "A 35260-2025")</f>
        <v/>
      </c>
      <c r="W99">
        <f>HYPERLINK("https://klasma.github.io/Logging_0380/klagomålsmail/A 35260-2025 FSC-klagomål mail.docx", "A 35260-2025")</f>
        <v/>
      </c>
      <c r="X99">
        <f>HYPERLINK("https://klasma.github.io/Logging_0380/tillsyn/A 35260-2025 tillsynsbegäran.docx", "A 35260-2025")</f>
        <v/>
      </c>
      <c r="Y99">
        <f>HYPERLINK("https://klasma.github.io/Logging_0380/tillsynsmail/A 35260-2025 tillsynsbegäran mail.docx", "A 35260-2025")</f>
        <v/>
      </c>
    </row>
    <row r="100" ht="15" customHeight="1">
      <c r="A100" t="inlineStr">
        <is>
          <t>A 40568-2025</t>
        </is>
      </c>
      <c r="B100" s="1" t="n">
        <v>45896.47487268518</v>
      </c>
      <c r="C100" s="1" t="n">
        <v>45916</v>
      </c>
      <c r="D100" t="inlineStr">
        <is>
          <t>UPPSALA LÄN</t>
        </is>
      </c>
      <c r="E100" t="inlineStr">
        <is>
          <t>UPPSALA</t>
        </is>
      </c>
      <c r="F100" t="inlineStr">
        <is>
          <t>Kyrkan</t>
        </is>
      </c>
      <c r="G100" t="n">
        <v>2.1</v>
      </c>
      <c r="H100" t="n">
        <v>0</v>
      </c>
      <c r="I100" t="n">
        <v>1</v>
      </c>
      <c r="J100" t="n">
        <v>0</v>
      </c>
      <c r="K100" t="n">
        <v>0</v>
      </c>
      <c r="L100" t="n">
        <v>0</v>
      </c>
      <c r="M100" t="n">
        <v>0</v>
      </c>
      <c r="N100" t="n">
        <v>0</v>
      </c>
      <c r="O100" t="n">
        <v>0</v>
      </c>
      <c r="P100" t="n">
        <v>0</v>
      </c>
      <c r="Q100" t="n">
        <v>1</v>
      </c>
      <c r="R100" s="2" t="inlineStr">
        <is>
          <t>Rödgul trumpetsvamp</t>
        </is>
      </c>
      <c r="S100">
        <f>HYPERLINK("https://klasma.github.io/Logging_0380/artfynd/A 40568-2025 artfynd.xlsx", "A 40568-2025")</f>
        <v/>
      </c>
      <c r="T100">
        <f>HYPERLINK("https://klasma.github.io/Logging_0380/kartor/A 40568-2025 karta.png", "A 40568-2025")</f>
        <v/>
      </c>
      <c r="V100">
        <f>HYPERLINK("https://klasma.github.io/Logging_0380/klagomål/A 40568-2025 FSC-klagomål.docx", "A 40568-2025")</f>
        <v/>
      </c>
      <c r="W100">
        <f>HYPERLINK("https://klasma.github.io/Logging_0380/klagomålsmail/A 40568-2025 FSC-klagomål mail.docx", "A 40568-2025")</f>
        <v/>
      </c>
      <c r="X100">
        <f>HYPERLINK("https://klasma.github.io/Logging_0380/tillsyn/A 40568-2025 tillsynsbegäran.docx", "A 40568-2025")</f>
        <v/>
      </c>
      <c r="Y100">
        <f>HYPERLINK("https://klasma.github.io/Logging_0380/tillsynsmail/A 40568-2025 tillsynsbegäran mail.docx", "A 40568-2025")</f>
        <v/>
      </c>
    </row>
    <row r="101" ht="15" customHeight="1">
      <c r="A101" t="inlineStr">
        <is>
          <t>A 41606-2025</t>
        </is>
      </c>
      <c r="B101" s="1" t="n">
        <v>45901.66702546296</v>
      </c>
      <c r="C101" s="1" t="n">
        <v>45916</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29902-2023</t>
        </is>
      </c>
      <c r="B102" s="1" t="n">
        <v>45107</v>
      </c>
      <c r="C102" s="1" t="n">
        <v>45916</v>
      </c>
      <c r="D102" t="inlineStr">
        <is>
          <t>UPPSALA LÄN</t>
        </is>
      </c>
      <c r="E102" t="inlineStr">
        <is>
          <t>UPPSALA</t>
        </is>
      </c>
      <c r="F102" t="inlineStr">
        <is>
          <t>Kyrkan</t>
        </is>
      </c>
      <c r="G102" t="n">
        <v>10.6</v>
      </c>
      <c r="H102" t="n">
        <v>1</v>
      </c>
      <c r="I102" t="n">
        <v>0</v>
      </c>
      <c r="J102" t="n">
        <v>1</v>
      </c>
      <c r="K102" t="n">
        <v>0</v>
      </c>
      <c r="L102" t="n">
        <v>0</v>
      </c>
      <c r="M102" t="n">
        <v>0</v>
      </c>
      <c r="N102" t="n">
        <v>0</v>
      </c>
      <c r="O102" t="n">
        <v>1</v>
      </c>
      <c r="P102" t="n">
        <v>0</v>
      </c>
      <c r="Q102" t="n">
        <v>1</v>
      </c>
      <c r="R102" s="2" t="inlineStr">
        <is>
          <t>Järpe</t>
        </is>
      </c>
      <c r="S102">
        <f>HYPERLINK("https://klasma.github.io/Logging_0380/artfynd/A 29902-2023 artfynd.xlsx", "A 29902-2023")</f>
        <v/>
      </c>
      <c r="T102">
        <f>HYPERLINK("https://klasma.github.io/Logging_0380/kartor/A 29902-2023 karta.png", "A 29902-2023")</f>
        <v/>
      </c>
      <c r="V102">
        <f>HYPERLINK("https://klasma.github.io/Logging_0380/klagomål/A 29902-2023 FSC-klagomål.docx", "A 29902-2023")</f>
        <v/>
      </c>
      <c r="W102">
        <f>HYPERLINK("https://klasma.github.io/Logging_0380/klagomålsmail/A 29902-2023 FSC-klagomål mail.docx", "A 29902-2023")</f>
        <v/>
      </c>
      <c r="X102">
        <f>HYPERLINK("https://klasma.github.io/Logging_0380/tillsyn/A 29902-2023 tillsynsbegäran.docx", "A 29902-2023")</f>
        <v/>
      </c>
      <c r="Y102">
        <f>HYPERLINK("https://klasma.github.io/Logging_0380/tillsynsmail/A 29902-2023 tillsynsbegäran mail.docx", "A 29902-2023")</f>
        <v/>
      </c>
      <c r="Z102">
        <f>HYPERLINK("https://klasma.github.io/Logging_0380/fåglar/A 29902-2023 prioriterade fågelarter.docx", "A 29902-2023")</f>
        <v/>
      </c>
    </row>
    <row r="103" ht="15" customHeight="1">
      <c r="A103" t="inlineStr">
        <is>
          <t>A 39741-2023</t>
        </is>
      </c>
      <c r="B103" s="1" t="n">
        <v>45167</v>
      </c>
      <c r="C103" s="1" t="n">
        <v>45916</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26135-2025</t>
        </is>
      </c>
      <c r="B104" s="1" t="n">
        <v>45805.41232638889</v>
      </c>
      <c r="C104" s="1" t="n">
        <v>45916</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60055-2022</t>
        </is>
      </c>
      <c r="B105" s="1" t="n">
        <v>44909</v>
      </c>
      <c r="C105" s="1" t="n">
        <v>45916</v>
      </c>
      <c r="D105" t="inlineStr">
        <is>
          <t>UPPSALA LÄN</t>
        </is>
      </c>
      <c r="E105" t="inlineStr">
        <is>
          <t>UPPSALA</t>
        </is>
      </c>
      <c r="G105" t="n">
        <v>11.4</v>
      </c>
      <c r="H105" t="n">
        <v>1</v>
      </c>
      <c r="I105" t="n">
        <v>0</v>
      </c>
      <c r="J105" t="n">
        <v>0</v>
      </c>
      <c r="K105" t="n">
        <v>0</v>
      </c>
      <c r="L105" t="n">
        <v>0</v>
      </c>
      <c r="M105" t="n">
        <v>0</v>
      </c>
      <c r="N105" t="n">
        <v>0</v>
      </c>
      <c r="O105" t="n">
        <v>0</v>
      </c>
      <c r="P105" t="n">
        <v>0</v>
      </c>
      <c r="Q105" t="n">
        <v>1</v>
      </c>
      <c r="R105" s="2" t="inlineStr">
        <is>
          <t>Tjäder</t>
        </is>
      </c>
      <c r="S105">
        <f>HYPERLINK("https://klasma.github.io/Logging_0380/artfynd/A 60055-2022 artfynd.xlsx", "A 60055-2022")</f>
        <v/>
      </c>
      <c r="T105">
        <f>HYPERLINK("https://klasma.github.io/Logging_0380/kartor/A 60055-2022 karta.png", "A 60055-2022")</f>
        <v/>
      </c>
      <c r="V105">
        <f>HYPERLINK("https://klasma.github.io/Logging_0380/klagomål/A 60055-2022 FSC-klagomål.docx", "A 60055-2022")</f>
        <v/>
      </c>
      <c r="W105">
        <f>HYPERLINK("https://klasma.github.io/Logging_0380/klagomålsmail/A 60055-2022 FSC-klagomål mail.docx", "A 60055-2022")</f>
        <v/>
      </c>
      <c r="X105">
        <f>HYPERLINK("https://klasma.github.io/Logging_0380/tillsyn/A 60055-2022 tillsynsbegäran.docx", "A 60055-2022")</f>
        <v/>
      </c>
      <c r="Y105">
        <f>HYPERLINK("https://klasma.github.io/Logging_0380/tillsynsmail/A 60055-2022 tillsynsbegäran mail.docx", "A 60055-2022")</f>
        <v/>
      </c>
      <c r="Z105">
        <f>HYPERLINK("https://klasma.github.io/Logging_0380/fåglar/A 60055-2022 prioriterade fågelarter.docx", "A 60055-2022")</f>
        <v/>
      </c>
    </row>
    <row r="106" ht="15" customHeight="1">
      <c r="A106" t="inlineStr">
        <is>
          <t>A 57793-2022</t>
        </is>
      </c>
      <c r="B106" s="1" t="n">
        <v>44897</v>
      </c>
      <c r="C106" s="1" t="n">
        <v>45916</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Talltita</t>
        </is>
      </c>
      <c r="S106">
        <f>HYPERLINK("https://klasma.github.io/Logging_0380/artfynd/A 57793-2022 artfynd.xlsx", "A 57793-2022")</f>
        <v/>
      </c>
      <c r="T106">
        <f>HYPERLINK("https://klasma.github.io/Logging_0380/kartor/A 57793-2022 karta.png", "A 57793-2022")</f>
        <v/>
      </c>
      <c r="V106">
        <f>HYPERLINK("https://klasma.github.io/Logging_0380/klagomål/A 57793-2022 FSC-klagomål.docx", "A 57793-2022")</f>
        <v/>
      </c>
      <c r="W106">
        <f>HYPERLINK("https://klasma.github.io/Logging_0380/klagomålsmail/A 57793-2022 FSC-klagomål mail.docx", "A 57793-2022")</f>
        <v/>
      </c>
      <c r="X106">
        <f>HYPERLINK("https://klasma.github.io/Logging_0380/tillsyn/A 57793-2022 tillsynsbegäran.docx", "A 57793-2022")</f>
        <v/>
      </c>
      <c r="Y106">
        <f>HYPERLINK("https://klasma.github.io/Logging_0380/tillsynsmail/A 57793-2022 tillsynsbegäran mail.docx", "A 57793-2022")</f>
        <v/>
      </c>
      <c r="Z106">
        <f>HYPERLINK("https://klasma.github.io/Logging_0380/fåglar/A 57793-2022 prioriterade fågelarter.docx", "A 57793-2022")</f>
        <v/>
      </c>
    </row>
    <row r="107" ht="15" customHeight="1">
      <c r="A107" t="inlineStr">
        <is>
          <t>A 5750-2023</t>
        </is>
      </c>
      <c r="B107" s="1" t="n">
        <v>44963</v>
      </c>
      <c r="C107" s="1" t="n">
        <v>45916</v>
      </c>
      <c r="D107" t="inlineStr">
        <is>
          <t>UPPSALA LÄN</t>
        </is>
      </c>
      <c r="E107" t="inlineStr">
        <is>
          <t>UPPSALA</t>
        </is>
      </c>
      <c r="G107" t="n">
        <v>13.8</v>
      </c>
      <c r="H107" t="n">
        <v>0</v>
      </c>
      <c r="I107" t="n">
        <v>0</v>
      </c>
      <c r="J107" t="n">
        <v>0</v>
      </c>
      <c r="K107" t="n">
        <v>1</v>
      </c>
      <c r="L107" t="n">
        <v>0</v>
      </c>
      <c r="M107" t="n">
        <v>0</v>
      </c>
      <c r="N107" t="n">
        <v>0</v>
      </c>
      <c r="O107" t="n">
        <v>1</v>
      </c>
      <c r="P107" t="n">
        <v>1</v>
      </c>
      <c r="Q107" t="n">
        <v>1</v>
      </c>
      <c r="R107" s="2" t="inlineStr">
        <is>
          <t>Raggbock</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63172-2023</t>
        </is>
      </c>
      <c r="B108" s="1" t="n">
        <v>45273</v>
      </c>
      <c r="C108" s="1" t="n">
        <v>45916</v>
      </c>
      <c r="D108" t="inlineStr">
        <is>
          <t>UPPSALA LÄN</t>
        </is>
      </c>
      <c r="E108" t="inlineStr">
        <is>
          <t>UPPSALA</t>
        </is>
      </c>
      <c r="G108" t="n">
        <v>1.8</v>
      </c>
      <c r="H108" t="n">
        <v>0</v>
      </c>
      <c r="I108" t="n">
        <v>1</v>
      </c>
      <c r="J108" t="n">
        <v>0</v>
      </c>
      <c r="K108" t="n">
        <v>0</v>
      </c>
      <c r="L108" t="n">
        <v>0</v>
      </c>
      <c r="M108" t="n">
        <v>0</v>
      </c>
      <c r="N108" t="n">
        <v>0</v>
      </c>
      <c r="O108" t="n">
        <v>0</v>
      </c>
      <c r="P108" t="n">
        <v>0</v>
      </c>
      <c r="Q108" t="n">
        <v>1</v>
      </c>
      <c r="R108" s="2" t="inlineStr">
        <is>
          <t>Ögonpyrola</t>
        </is>
      </c>
      <c r="S108">
        <f>HYPERLINK("https://klasma.github.io/Logging_0380/artfynd/A 63172-2023 artfynd.xlsx", "A 63172-2023")</f>
        <v/>
      </c>
      <c r="T108">
        <f>HYPERLINK("https://klasma.github.io/Logging_0380/kartor/A 63172-2023 karta.png", "A 63172-2023")</f>
        <v/>
      </c>
      <c r="V108">
        <f>HYPERLINK("https://klasma.github.io/Logging_0380/klagomål/A 63172-2023 FSC-klagomål.docx", "A 63172-2023")</f>
        <v/>
      </c>
      <c r="W108">
        <f>HYPERLINK("https://klasma.github.io/Logging_0380/klagomålsmail/A 63172-2023 FSC-klagomål mail.docx", "A 63172-2023")</f>
        <v/>
      </c>
      <c r="X108">
        <f>HYPERLINK("https://klasma.github.io/Logging_0380/tillsyn/A 63172-2023 tillsynsbegäran.docx", "A 63172-2023")</f>
        <v/>
      </c>
      <c r="Y108">
        <f>HYPERLINK("https://klasma.github.io/Logging_0380/tillsynsmail/A 63172-2023 tillsynsbegäran mail.docx", "A 63172-2023")</f>
        <v/>
      </c>
    </row>
    <row r="109" ht="15" customHeight="1">
      <c r="A109" t="inlineStr">
        <is>
          <t>A 17484-2025</t>
        </is>
      </c>
      <c r="B109" s="1" t="n">
        <v>45757.49934027778</v>
      </c>
      <c r="C109" s="1" t="n">
        <v>45916</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46634-2022</t>
        </is>
      </c>
      <c r="B110" s="1" t="n">
        <v>44849</v>
      </c>
      <c r="C110" s="1" t="n">
        <v>45916</v>
      </c>
      <c r="D110" t="inlineStr">
        <is>
          <t>UPPSALA LÄN</t>
        </is>
      </c>
      <c r="E110" t="inlineStr">
        <is>
          <t>UPPSALA</t>
        </is>
      </c>
      <c r="G110" t="n">
        <v>2.9</v>
      </c>
      <c r="H110" t="n">
        <v>0</v>
      </c>
      <c r="I110" t="n">
        <v>1</v>
      </c>
      <c r="J110" t="n">
        <v>0</v>
      </c>
      <c r="K110" t="n">
        <v>0</v>
      </c>
      <c r="L110" t="n">
        <v>0</v>
      </c>
      <c r="M110" t="n">
        <v>0</v>
      </c>
      <c r="N110" t="n">
        <v>0</v>
      </c>
      <c r="O110" t="n">
        <v>0</v>
      </c>
      <c r="P110" t="n">
        <v>0</v>
      </c>
      <c r="Q110" t="n">
        <v>1</v>
      </c>
      <c r="R110" s="2" t="inlineStr">
        <is>
          <t>Fjällig taggsvamp s.str.</t>
        </is>
      </c>
      <c r="S110">
        <f>HYPERLINK("https://klasma.github.io/Logging_0380/artfynd/A 46634-2022 artfynd.xlsx", "A 46634-2022")</f>
        <v/>
      </c>
      <c r="T110">
        <f>HYPERLINK("https://klasma.github.io/Logging_0380/kartor/A 46634-2022 karta.png", "A 46634-2022")</f>
        <v/>
      </c>
      <c r="V110">
        <f>HYPERLINK("https://klasma.github.io/Logging_0380/klagomål/A 46634-2022 FSC-klagomål.docx", "A 46634-2022")</f>
        <v/>
      </c>
      <c r="W110">
        <f>HYPERLINK("https://klasma.github.io/Logging_0380/klagomålsmail/A 46634-2022 FSC-klagomål mail.docx", "A 46634-2022")</f>
        <v/>
      </c>
      <c r="X110">
        <f>HYPERLINK("https://klasma.github.io/Logging_0380/tillsyn/A 46634-2022 tillsynsbegäran.docx", "A 46634-2022")</f>
        <v/>
      </c>
      <c r="Y110">
        <f>HYPERLINK("https://klasma.github.io/Logging_0380/tillsynsmail/A 46634-2022 tillsynsbegäran mail.docx", "A 46634-2022")</f>
        <v/>
      </c>
    </row>
    <row r="111" ht="15" customHeight="1">
      <c r="A111" t="inlineStr">
        <is>
          <t>A 13093-2024</t>
        </is>
      </c>
      <c r="B111" s="1" t="n">
        <v>45385</v>
      </c>
      <c r="C111" s="1" t="n">
        <v>45916</v>
      </c>
      <c r="D111" t="inlineStr">
        <is>
          <t>UPPSALA LÄN</t>
        </is>
      </c>
      <c r="E111" t="inlineStr">
        <is>
          <t>UPPSALA</t>
        </is>
      </c>
      <c r="G111" t="n">
        <v>1.1</v>
      </c>
      <c r="H111" t="n">
        <v>1</v>
      </c>
      <c r="I111" t="n">
        <v>1</v>
      </c>
      <c r="J111" t="n">
        <v>0</v>
      </c>
      <c r="K111" t="n">
        <v>0</v>
      </c>
      <c r="L111" t="n">
        <v>0</v>
      </c>
      <c r="M111" t="n">
        <v>0</v>
      </c>
      <c r="N111" t="n">
        <v>0</v>
      </c>
      <c r="O111" t="n">
        <v>0</v>
      </c>
      <c r="P111" t="n">
        <v>0</v>
      </c>
      <c r="Q111" t="n">
        <v>1</v>
      </c>
      <c r="R111" s="2" t="inlineStr">
        <is>
          <t>Skogsknipprot</t>
        </is>
      </c>
      <c r="S111">
        <f>HYPERLINK("https://klasma.github.io/Logging_0380/artfynd/A 13093-2024 artfynd.xlsx", "A 13093-2024")</f>
        <v/>
      </c>
      <c r="T111">
        <f>HYPERLINK("https://klasma.github.io/Logging_0380/kartor/A 13093-2024 karta.png", "A 13093-2024")</f>
        <v/>
      </c>
      <c r="V111">
        <f>HYPERLINK("https://klasma.github.io/Logging_0380/klagomål/A 13093-2024 FSC-klagomål.docx", "A 13093-2024")</f>
        <v/>
      </c>
      <c r="W111">
        <f>HYPERLINK("https://klasma.github.io/Logging_0380/klagomålsmail/A 13093-2024 FSC-klagomål mail.docx", "A 13093-2024")</f>
        <v/>
      </c>
      <c r="X111">
        <f>HYPERLINK("https://klasma.github.io/Logging_0380/tillsyn/A 13093-2024 tillsynsbegäran.docx", "A 13093-2024")</f>
        <v/>
      </c>
      <c r="Y111">
        <f>HYPERLINK("https://klasma.github.io/Logging_0380/tillsynsmail/A 13093-2024 tillsynsbegäran mail.docx", "A 13093-2024")</f>
        <v/>
      </c>
    </row>
    <row r="112" ht="15" customHeight="1">
      <c r="A112" t="inlineStr">
        <is>
          <t>A 61830-2022</t>
        </is>
      </c>
      <c r="B112" s="1" t="n">
        <v>44917.59298611111</v>
      </c>
      <c r="C112" s="1" t="n">
        <v>45916</v>
      </c>
      <c r="D112" t="inlineStr">
        <is>
          <t>UPPSALA LÄN</t>
        </is>
      </c>
      <c r="E112" t="inlineStr">
        <is>
          <t>UPPSALA</t>
        </is>
      </c>
      <c r="F112" t="inlineStr">
        <is>
          <t>Holmen skog AB</t>
        </is>
      </c>
      <c r="G112" t="n">
        <v>1.1</v>
      </c>
      <c r="H112" t="n">
        <v>0</v>
      </c>
      <c r="I112" t="n">
        <v>0</v>
      </c>
      <c r="J112" t="n">
        <v>1</v>
      </c>
      <c r="K112" t="n">
        <v>0</v>
      </c>
      <c r="L112" t="n">
        <v>0</v>
      </c>
      <c r="M112" t="n">
        <v>0</v>
      </c>
      <c r="N112" t="n">
        <v>0</v>
      </c>
      <c r="O112" t="n">
        <v>1</v>
      </c>
      <c r="P112" t="n">
        <v>0</v>
      </c>
      <c r="Q112" t="n">
        <v>1</v>
      </c>
      <c r="R112" s="2" t="inlineStr">
        <is>
          <t>Rödbrun blekspik</t>
        </is>
      </c>
      <c r="S112">
        <f>HYPERLINK("https://klasma.github.io/Logging_0380/artfynd/A 61830-2022 artfynd.xlsx", "A 61830-2022")</f>
        <v/>
      </c>
      <c r="T112">
        <f>HYPERLINK("https://klasma.github.io/Logging_0380/kartor/A 61830-2022 karta.png", "A 61830-2022")</f>
        <v/>
      </c>
      <c r="V112">
        <f>HYPERLINK("https://klasma.github.io/Logging_0380/klagomål/A 61830-2022 FSC-klagomål.docx", "A 61830-2022")</f>
        <v/>
      </c>
      <c r="W112">
        <f>HYPERLINK("https://klasma.github.io/Logging_0380/klagomålsmail/A 61830-2022 FSC-klagomål mail.docx", "A 61830-2022")</f>
        <v/>
      </c>
      <c r="X112">
        <f>HYPERLINK("https://klasma.github.io/Logging_0380/tillsyn/A 61830-2022 tillsynsbegäran.docx", "A 61830-2022")</f>
        <v/>
      </c>
      <c r="Y112">
        <f>HYPERLINK("https://klasma.github.io/Logging_0380/tillsynsmail/A 61830-2022 tillsynsbegäran mail.docx", "A 61830-2022")</f>
        <v/>
      </c>
    </row>
    <row r="113" ht="15" customHeight="1">
      <c r="A113" t="inlineStr">
        <is>
          <t>A 21801-2025</t>
        </is>
      </c>
      <c r="B113" s="1" t="n">
        <v>45783</v>
      </c>
      <c r="C113" s="1" t="n">
        <v>45916</v>
      </c>
      <c r="D113" t="inlineStr">
        <is>
          <t>UPPSALA LÄN</t>
        </is>
      </c>
      <c r="E113" t="inlineStr">
        <is>
          <t>UPPSALA</t>
        </is>
      </c>
      <c r="G113" t="n">
        <v>7.9</v>
      </c>
      <c r="H113" t="n">
        <v>1</v>
      </c>
      <c r="I113" t="n">
        <v>0</v>
      </c>
      <c r="J113" t="n">
        <v>0</v>
      </c>
      <c r="K113" t="n">
        <v>0</v>
      </c>
      <c r="L113" t="n">
        <v>0</v>
      </c>
      <c r="M113" t="n">
        <v>0</v>
      </c>
      <c r="N113" t="n">
        <v>0</v>
      </c>
      <c r="O113" t="n">
        <v>0</v>
      </c>
      <c r="P113" t="n">
        <v>0</v>
      </c>
      <c r="Q113" t="n">
        <v>1</v>
      </c>
      <c r="R113" s="2" t="inlineStr">
        <is>
          <t>Mattlummer</t>
        </is>
      </c>
      <c r="S113">
        <f>HYPERLINK("https://klasma.github.io/Logging_0380/artfynd/A 21801-2025 artfynd.xlsx", "A 21801-2025")</f>
        <v/>
      </c>
      <c r="T113">
        <f>HYPERLINK("https://klasma.github.io/Logging_0380/kartor/A 21801-2025 karta.png", "A 21801-2025")</f>
        <v/>
      </c>
      <c r="V113">
        <f>HYPERLINK("https://klasma.github.io/Logging_0380/klagomål/A 21801-2025 FSC-klagomål.docx", "A 21801-2025")</f>
        <v/>
      </c>
      <c r="W113">
        <f>HYPERLINK("https://klasma.github.io/Logging_0380/klagomålsmail/A 21801-2025 FSC-klagomål mail.docx", "A 21801-2025")</f>
        <v/>
      </c>
      <c r="X113">
        <f>HYPERLINK("https://klasma.github.io/Logging_0380/tillsyn/A 21801-2025 tillsynsbegäran.docx", "A 21801-2025")</f>
        <v/>
      </c>
      <c r="Y113">
        <f>HYPERLINK("https://klasma.github.io/Logging_0380/tillsynsmail/A 21801-2025 tillsynsbegäran mail.docx", "A 21801-2025")</f>
        <v/>
      </c>
    </row>
    <row r="114" ht="15" customHeight="1">
      <c r="A114" t="inlineStr">
        <is>
          <t>A 13363-2022</t>
        </is>
      </c>
      <c r="B114" s="1" t="n">
        <v>44645</v>
      </c>
      <c r="C114" s="1" t="n">
        <v>45916</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6044-2024</t>
        </is>
      </c>
      <c r="B115" s="1" t="n">
        <v>45336</v>
      </c>
      <c r="C115" s="1" t="n">
        <v>45916</v>
      </c>
      <c r="D115" t="inlineStr">
        <is>
          <t>UPPSALA LÄN</t>
        </is>
      </c>
      <c r="E115" t="inlineStr">
        <is>
          <t>UPPSALA</t>
        </is>
      </c>
      <c r="F115" t="inlineStr">
        <is>
          <t>Holmen skog AB</t>
        </is>
      </c>
      <c r="G115" t="n">
        <v>7.4</v>
      </c>
      <c r="H115" t="n">
        <v>0</v>
      </c>
      <c r="I115" t="n">
        <v>0</v>
      </c>
      <c r="J115" t="n">
        <v>1</v>
      </c>
      <c r="K115" t="n">
        <v>0</v>
      </c>
      <c r="L115" t="n">
        <v>0</v>
      </c>
      <c r="M115" t="n">
        <v>0</v>
      </c>
      <c r="N115" t="n">
        <v>0</v>
      </c>
      <c r="O115" t="n">
        <v>1</v>
      </c>
      <c r="P115" t="n">
        <v>0</v>
      </c>
      <c r="Q115" t="n">
        <v>1</v>
      </c>
      <c r="R115" s="2" t="inlineStr">
        <is>
          <t>Gul dropplav</t>
        </is>
      </c>
      <c r="S115">
        <f>HYPERLINK("https://klasma.github.io/Logging_0380/artfynd/A 6044-2024 artfynd.xlsx", "A 6044-2024")</f>
        <v/>
      </c>
      <c r="T115">
        <f>HYPERLINK("https://klasma.github.io/Logging_0380/kartor/A 6044-2024 karta.png", "A 6044-2024")</f>
        <v/>
      </c>
      <c r="V115">
        <f>HYPERLINK("https://klasma.github.io/Logging_0380/klagomål/A 6044-2024 FSC-klagomål.docx", "A 6044-2024")</f>
        <v/>
      </c>
      <c r="W115">
        <f>HYPERLINK("https://klasma.github.io/Logging_0380/klagomålsmail/A 6044-2024 FSC-klagomål mail.docx", "A 6044-2024")</f>
        <v/>
      </c>
      <c r="X115">
        <f>HYPERLINK("https://klasma.github.io/Logging_0380/tillsyn/A 6044-2024 tillsynsbegäran.docx", "A 6044-2024")</f>
        <v/>
      </c>
      <c r="Y115">
        <f>HYPERLINK("https://klasma.github.io/Logging_0380/tillsynsmail/A 6044-2024 tillsynsbegäran mail.docx", "A 6044-2024")</f>
        <v/>
      </c>
    </row>
    <row r="116" ht="15" customHeight="1">
      <c r="A116" t="inlineStr">
        <is>
          <t>A 4657-2025</t>
        </is>
      </c>
      <c r="B116" s="1" t="n">
        <v>45687</v>
      </c>
      <c r="C116" s="1" t="n">
        <v>45916</v>
      </c>
      <c r="D116" t="inlineStr">
        <is>
          <t>UPPSALA LÄN</t>
        </is>
      </c>
      <c r="E116" t="inlineStr">
        <is>
          <t>UPPSALA</t>
        </is>
      </c>
      <c r="G116" t="n">
        <v>2.9</v>
      </c>
      <c r="H116" t="n">
        <v>1</v>
      </c>
      <c r="I116" t="n">
        <v>0</v>
      </c>
      <c r="J116" t="n">
        <v>1</v>
      </c>
      <c r="K116" t="n">
        <v>0</v>
      </c>
      <c r="L116" t="n">
        <v>0</v>
      </c>
      <c r="M116" t="n">
        <v>0</v>
      </c>
      <c r="N116" t="n">
        <v>0</v>
      </c>
      <c r="O116" t="n">
        <v>1</v>
      </c>
      <c r="P116" t="n">
        <v>0</v>
      </c>
      <c r="Q116" t="n">
        <v>1</v>
      </c>
      <c r="R116" s="2" t="inlineStr">
        <is>
          <t>Grönsångare</t>
        </is>
      </c>
      <c r="S116">
        <f>HYPERLINK("https://klasma.github.io/Logging_0380/artfynd/A 4657-2025 artfynd.xlsx", "A 4657-2025")</f>
        <v/>
      </c>
      <c r="T116">
        <f>HYPERLINK("https://klasma.github.io/Logging_0380/kartor/A 4657-2025 karta.png", "A 4657-2025")</f>
        <v/>
      </c>
      <c r="V116">
        <f>HYPERLINK("https://klasma.github.io/Logging_0380/klagomål/A 4657-2025 FSC-klagomål.docx", "A 4657-2025")</f>
        <v/>
      </c>
      <c r="W116">
        <f>HYPERLINK("https://klasma.github.io/Logging_0380/klagomålsmail/A 4657-2025 FSC-klagomål mail.docx", "A 4657-2025")</f>
        <v/>
      </c>
      <c r="X116">
        <f>HYPERLINK("https://klasma.github.io/Logging_0380/tillsyn/A 4657-2025 tillsynsbegäran.docx", "A 4657-2025")</f>
        <v/>
      </c>
      <c r="Y116">
        <f>HYPERLINK("https://klasma.github.io/Logging_0380/tillsynsmail/A 4657-2025 tillsynsbegäran mail.docx", "A 4657-2025")</f>
        <v/>
      </c>
      <c r="Z116">
        <f>HYPERLINK("https://klasma.github.io/Logging_0380/fåglar/A 4657-2025 prioriterade fågelarter.docx", "A 4657-2025")</f>
        <v/>
      </c>
    </row>
    <row r="117" ht="15" customHeight="1">
      <c r="A117" t="inlineStr">
        <is>
          <t>A 58288-2020</t>
        </is>
      </c>
      <c r="B117" s="1" t="n">
        <v>44144</v>
      </c>
      <c r="C117" s="1" t="n">
        <v>45916</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52717-2020</t>
        </is>
      </c>
      <c r="B118" s="1" t="n">
        <v>44119</v>
      </c>
      <c r="C118" s="1" t="n">
        <v>45916</v>
      </c>
      <c r="D118" t="inlineStr">
        <is>
          <t>UPPSALA LÄN</t>
        </is>
      </c>
      <c r="E118" t="inlineStr">
        <is>
          <t>UPPSALA</t>
        </is>
      </c>
      <c r="G118" t="n">
        <v>2.8</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45916</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6853-2022</t>
        </is>
      </c>
      <c r="B120" s="1" t="n">
        <v>44602</v>
      </c>
      <c r="C120" s="1" t="n">
        <v>45916</v>
      </c>
      <c r="D120" t="inlineStr">
        <is>
          <t>UPPSALA LÄN</t>
        </is>
      </c>
      <c r="E120" t="inlineStr">
        <is>
          <t>UPPSALA</t>
        </is>
      </c>
      <c r="G120" t="n">
        <v>12</v>
      </c>
      <c r="H120" t="n">
        <v>0</v>
      </c>
      <c r="I120" t="n">
        <v>0</v>
      </c>
      <c r="J120" t="n">
        <v>0</v>
      </c>
      <c r="K120" t="n">
        <v>0</v>
      </c>
      <c r="L120" t="n">
        <v>0</v>
      </c>
      <c r="M120" t="n">
        <v>0</v>
      </c>
      <c r="N120" t="n">
        <v>0</v>
      </c>
      <c r="O120" t="n">
        <v>0</v>
      </c>
      <c r="P120" t="n">
        <v>0</v>
      </c>
      <c r="Q120" t="n">
        <v>0</v>
      </c>
      <c r="R120" s="2" t="inlineStr"/>
    </row>
    <row r="121" ht="15" customHeight="1">
      <c r="A121" t="inlineStr">
        <is>
          <t>A 6863-2022</t>
        </is>
      </c>
      <c r="B121" s="1" t="n">
        <v>44602</v>
      </c>
      <c r="C121" s="1" t="n">
        <v>45916</v>
      </c>
      <c r="D121" t="inlineStr">
        <is>
          <t>UPPSALA LÄN</t>
        </is>
      </c>
      <c r="E121" t="inlineStr">
        <is>
          <t>UPPSALA</t>
        </is>
      </c>
      <c r="G121" t="n">
        <v>1.5</v>
      </c>
      <c r="H121" t="n">
        <v>0</v>
      </c>
      <c r="I121" t="n">
        <v>0</v>
      </c>
      <c r="J121" t="n">
        <v>0</v>
      </c>
      <c r="K121" t="n">
        <v>0</v>
      </c>
      <c r="L121" t="n">
        <v>0</v>
      </c>
      <c r="M121" t="n">
        <v>0</v>
      </c>
      <c r="N121" t="n">
        <v>0</v>
      </c>
      <c r="O121" t="n">
        <v>0</v>
      </c>
      <c r="P121" t="n">
        <v>0</v>
      </c>
      <c r="Q121" t="n">
        <v>0</v>
      </c>
      <c r="R121" s="2" t="inlineStr"/>
    </row>
    <row r="122" ht="15" customHeight="1">
      <c r="A122" t="inlineStr">
        <is>
          <t>A 65811-2021</t>
        </is>
      </c>
      <c r="B122" s="1" t="n">
        <v>44517</v>
      </c>
      <c r="C122" s="1" t="n">
        <v>45916</v>
      </c>
      <c r="D122" t="inlineStr">
        <is>
          <t>UPPSALA LÄN</t>
        </is>
      </c>
      <c r="E122" t="inlineStr">
        <is>
          <t>UPPSALA</t>
        </is>
      </c>
      <c r="G122" t="n">
        <v>0.3</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45916</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38469-2021</t>
        </is>
      </c>
      <c r="B124" s="1" t="n">
        <v>44407</v>
      </c>
      <c r="C124" s="1" t="n">
        <v>45916</v>
      </c>
      <c r="D124" t="inlineStr">
        <is>
          <t>UPPSALA LÄN</t>
        </is>
      </c>
      <c r="E124" t="inlineStr">
        <is>
          <t>UPPSALA</t>
        </is>
      </c>
      <c r="F124" t="inlineStr">
        <is>
          <t>Bergvik skog öst AB</t>
        </is>
      </c>
      <c r="G124" t="n">
        <v>1.5</v>
      </c>
      <c r="H124" t="n">
        <v>0</v>
      </c>
      <c r="I124" t="n">
        <v>0</v>
      </c>
      <c r="J124" t="n">
        <v>0</v>
      </c>
      <c r="K124" t="n">
        <v>0</v>
      </c>
      <c r="L124" t="n">
        <v>0</v>
      </c>
      <c r="M124" t="n">
        <v>0</v>
      </c>
      <c r="N124" t="n">
        <v>0</v>
      </c>
      <c r="O124" t="n">
        <v>0</v>
      </c>
      <c r="P124" t="n">
        <v>0</v>
      </c>
      <c r="Q124" t="n">
        <v>0</v>
      </c>
      <c r="R124" s="2" t="inlineStr"/>
    </row>
    <row r="125" ht="15" customHeight="1">
      <c r="A125" t="inlineStr">
        <is>
          <t>A 72225-2021</t>
        </is>
      </c>
      <c r="B125" s="1" t="n">
        <v>44544</v>
      </c>
      <c r="C125" s="1" t="n">
        <v>45916</v>
      </c>
      <c r="D125" t="inlineStr">
        <is>
          <t>UPPSALA LÄN</t>
        </is>
      </c>
      <c r="E125" t="inlineStr">
        <is>
          <t>UPPSALA</t>
        </is>
      </c>
      <c r="G125" t="n">
        <v>6.2</v>
      </c>
      <c r="H125" t="n">
        <v>0</v>
      </c>
      <c r="I125" t="n">
        <v>0</v>
      </c>
      <c r="J125" t="n">
        <v>0</v>
      </c>
      <c r="K125" t="n">
        <v>0</v>
      </c>
      <c r="L125" t="n">
        <v>0</v>
      </c>
      <c r="M125" t="n">
        <v>0</v>
      </c>
      <c r="N125" t="n">
        <v>0</v>
      </c>
      <c r="O125" t="n">
        <v>0</v>
      </c>
      <c r="P125" t="n">
        <v>0</v>
      </c>
      <c r="Q125" t="n">
        <v>0</v>
      </c>
      <c r="R125" s="2" t="inlineStr"/>
    </row>
    <row r="126" ht="15" customHeight="1">
      <c r="A126" t="inlineStr">
        <is>
          <t>A 68139-2021</t>
        </is>
      </c>
      <c r="B126" s="1" t="n">
        <v>44526</v>
      </c>
      <c r="C126" s="1" t="n">
        <v>45916</v>
      </c>
      <c r="D126" t="inlineStr">
        <is>
          <t>UPPSALA LÄN</t>
        </is>
      </c>
      <c r="E126" t="inlineStr">
        <is>
          <t>UPPSALA</t>
        </is>
      </c>
      <c r="F126" t="inlineStr">
        <is>
          <t>Bergvik skog öst AB</t>
        </is>
      </c>
      <c r="G126" t="n">
        <v>3.4</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45916</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8139-2022</t>
        </is>
      </c>
      <c r="B128" s="1" t="n">
        <v>44609.61430555556</v>
      </c>
      <c r="C128" s="1" t="n">
        <v>45916</v>
      </c>
      <c r="D128" t="inlineStr">
        <is>
          <t>UPPSALA LÄN</t>
        </is>
      </c>
      <c r="E128" t="inlineStr">
        <is>
          <t>UPPSALA</t>
        </is>
      </c>
      <c r="G128" t="n">
        <v>0.6</v>
      </c>
      <c r="H128" t="n">
        <v>0</v>
      </c>
      <c r="I128" t="n">
        <v>0</v>
      </c>
      <c r="J128" t="n">
        <v>0</v>
      </c>
      <c r="K128" t="n">
        <v>0</v>
      </c>
      <c r="L128" t="n">
        <v>0</v>
      </c>
      <c r="M128" t="n">
        <v>0</v>
      </c>
      <c r="N128" t="n">
        <v>0</v>
      </c>
      <c r="O128" t="n">
        <v>0</v>
      </c>
      <c r="P128" t="n">
        <v>0</v>
      </c>
      <c r="Q128" t="n">
        <v>0</v>
      </c>
      <c r="R128" s="2" t="inlineStr"/>
    </row>
    <row r="129" ht="15" customHeight="1">
      <c r="A129" t="inlineStr">
        <is>
          <t>A 22070-2021</t>
        </is>
      </c>
      <c r="B129" s="1" t="n">
        <v>44323.58961805556</v>
      </c>
      <c r="C129" s="1" t="n">
        <v>45916</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17536-2021</t>
        </is>
      </c>
      <c r="B130" s="1" t="n">
        <v>44299</v>
      </c>
      <c r="C130" s="1" t="n">
        <v>45916</v>
      </c>
      <c r="D130" t="inlineStr">
        <is>
          <t>UPPSALA LÄN</t>
        </is>
      </c>
      <c r="E130" t="inlineStr">
        <is>
          <t>UPPSALA</t>
        </is>
      </c>
      <c r="F130" t="inlineStr">
        <is>
          <t>Holmen skog AB</t>
        </is>
      </c>
      <c r="G130" t="n">
        <v>7.6</v>
      </c>
      <c r="H130" t="n">
        <v>0</v>
      </c>
      <c r="I130" t="n">
        <v>0</v>
      </c>
      <c r="J130" t="n">
        <v>0</v>
      </c>
      <c r="K130" t="n">
        <v>0</v>
      </c>
      <c r="L130" t="n">
        <v>0</v>
      </c>
      <c r="M130" t="n">
        <v>0</v>
      </c>
      <c r="N130" t="n">
        <v>0</v>
      </c>
      <c r="O130" t="n">
        <v>0</v>
      </c>
      <c r="P130" t="n">
        <v>0</v>
      </c>
      <c r="Q130" t="n">
        <v>0</v>
      </c>
      <c r="R130" s="2" t="inlineStr"/>
    </row>
    <row r="131" ht="15" customHeight="1">
      <c r="A131" t="inlineStr">
        <is>
          <t>A 22645-2022</t>
        </is>
      </c>
      <c r="B131" s="1" t="n">
        <v>44714</v>
      </c>
      <c r="C131" s="1" t="n">
        <v>45916</v>
      </c>
      <c r="D131" t="inlineStr">
        <is>
          <t>UPPSALA LÄN</t>
        </is>
      </c>
      <c r="E131" t="inlineStr">
        <is>
          <t>UPPSALA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59479-2021</t>
        </is>
      </c>
      <c r="B132" s="1" t="n">
        <v>44491.50769675926</v>
      </c>
      <c r="C132" s="1" t="n">
        <v>45916</v>
      </c>
      <c r="D132" t="inlineStr">
        <is>
          <t>UPPSALA LÄN</t>
        </is>
      </c>
      <c r="E132" t="inlineStr">
        <is>
          <t>UPPSALA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9712-2021</t>
        </is>
      </c>
      <c r="B133" s="1" t="n">
        <v>44252</v>
      </c>
      <c r="C133" s="1" t="n">
        <v>45916</v>
      </c>
      <c r="D133" t="inlineStr">
        <is>
          <t>UPPSALA LÄN</t>
        </is>
      </c>
      <c r="E133" t="inlineStr">
        <is>
          <t>UPPSALA</t>
        </is>
      </c>
      <c r="G133" t="n">
        <v>1.7</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45916</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45916</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15583-2022</t>
        </is>
      </c>
      <c r="B136" s="1" t="n">
        <v>44662.56783564815</v>
      </c>
      <c r="C136" s="1" t="n">
        <v>45916</v>
      </c>
      <c r="D136" t="inlineStr">
        <is>
          <t>UPPSALA LÄN</t>
        </is>
      </c>
      <c r="E136" t="inlineStr">
        <is>
          <t>UPPSALA</t>
        </is>
      </c>
      <c r="F136" t="inlineStr">
        <is>
          <t>Övriga Aktiebolag</t>
        </is>
      </c>
      <c r="G136" t="n">
        <v>4.3</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45916</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15436-2022</t>
        </is>
      </c>
      <c r="B138" s="1" t="n">
        <v>44659.70381944445</v>
      </c>
      <c r="C138" s="1" t="n">
        <v>45916</v>
      </c>
      <c r="D138" t="inlineStr">
        <is>
          <t>UPPSALA LÄN</t>
        </is>
      </c>
      <c r="E138" t="inlineStr">
        <is>
          <t>UPPSALA</t>
        </is>
      </c>
      <c r="G138" t="n">
        <v>14.4</v>
      </c>
      <c r="H138" t="n">
        <v>0</v>
      </c>
      <c r="I138" t="n">
        <v>0</v>
      </c>
      <c r="J138" t="n">
        <v>0</v>
      </c>
      <c r="K138" t="n">
        <v>0</v>
      </c>
      <c r="L138" t="n">
        <v>0</v>
      </c>
      <c r="M138" t="n">
        <v>0</v>
      </c>
      <c r="N138" t="n">
        <v>0</v>
      </c>
      <c r="O138" t="n">
        <v>0</v>
      </c>
      <c r="P138" t="n">
        <v>0</v>
      </c>
      <c r="Q138" t="n">
        <v>0</v>
      </c>
      <c r="R138" s="2" t="inlineStr"/>
    </row>
    <row r="139" ht="15" customHeight="1">
      <c r="A139" t="inlineStr">
        <is>
          <t>A 5663-2021</t>
        </is>
      </c>
      <c r="B139" s="1" t="n">
        <v>44230</v>
      </c>
      <c r="C139" s="1" t="n">
        <v>45916</v>
      </c>
      <c r="D139" t="inlineStr">
        <is>
          <t>UPPSALA LÄN</t>
        </is>
      </c>
      <c r="E139" t="inlineStr">
        <is>
          <t>UPPSALA</t>
        </is>
      </c>
      <c r="G139" t="n">
        <v>0.9</v>
      </c>
      <c r="H139" t="n">
        <v>0</v>
      </c>
      <c r="I139" t="n">
        <v>0</v>
      </c>
      <c r="J139" t="n">
        <v>0</v>
      </c>
      <c r="K139" t="n">
        <v>0</v>
      </c>
      <c r="L139" t="n">
        <v>0</v>
      </c>
      <c r="M139" t="n">
        <v>0</v>
      </c>
      <c r="N139" t="n">
        <v>0</v>
      </c>
      <c r="O139" t="n">
        <v>0</v>
      </c>
      <c r="P139" t="n">
        <v>0</v>
      </c>
      <c r="Q139" t="n">
        <v>0</v>
      </c>
      <c r="R139" s="2" t="inlineStr"/>
    </row>
    <row r="140" ht="15" customHeight="1">
      <c r="A140" t="inlineStr">
        <is>
          <t>A 59881-2021</t>
        </is>
      </c>
      <c r="B140" s="1" t="n">
        <v>44494</v>
      </c>
      <c r="C140" s="1" t="n">
        <v>45916</v>
      </c>
      <c r="D140" t="inlineStr">
        <is>
          <t>UPPSALA LÄN</t>
        </is>
      </c>
      <c r="E140" t="inlineStr">
        <is>
          <t>UPPSALA</t>
        </is>
      </c>
      <c r="F140" t="inlineStr">
        <is>
          <t>Allmännings- och besparingsskogar</t>
        </is>
      </c>
      <c r="G140" t="n">
        <v>1.6</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45916</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20764-2022</t>
        </is>
      </c>
      <c r="B142" s="1" t="n">
        <v>44700</v>
      </c>
      <c r="C142" s="1" t="n">
        <v>45916</v>
      </c>
      <c r="D142" t="inlineStr">
        <is>
          <t>UPPSALA LÄN</t>
        </is>
      </c>
      <c r="E142" t="inlineStr">
        <is>
          <t>UPPSALA</t>
        </is>
      </c>
      <c r="G142" t="n">
        <v>0.7</v>
      </c>
      <c r="H142" t="n">
        <v>0</v>
      </c>
      <c r="I142" t="n">
        <v>0</v>
      </c>
      <c r="J142" t="n">
        <v>0</v>
      </c>
      <c r="K142" t="n">
        <v>0</v>
      </c>
      <c r="L142" t="n">
        <v>0</v>
      </c>
      <c r="M142" t="n">
        <v>0</v>
      </c>
      <c r="N142" t="n">
        <v>0</v>
      </c>
      <c r="O142" t="n">
        <v>0</v>
      </c>
      <c r="P142" t="n">
        <v>0</v>
      </c>
      <c r="Q142" t="n">
        <v>0</v>
      </c>
      <c r="R142" s="2" t="inlineStr"/>
    </row>
    <row r="143" ht="15" customHeight="1">
      <c r="A143" t="inlineStr">
        <is>
          <t>A 44265-2022</t>
        </is>
      </c>
      <c r="B143" s="1" t="n">
        <v>44839</v>
      </c>
      <c r="C143" s="1" t="n">
        <v>45916</v>
      </c>
      <c r="D143" t="inlineStr">
        <is>
          <t>UPPSALA LÄN</t>
        </is>
      </c>
      <c r="E143" t="inlineStr">
        <is>
          <t>UPPSALA</t>
        </is>
      </c>
      <c r="G143" t="n">
        <v>2</v>
      </c>
      <c r="H143" t="n">
        <v>0</v>
      </c>
      <c r="I143" t="n">
        <v>0</v>
      </c>
      <c r="J143" t="n">
        <v>0</v>
      </c>
      <c r="K143" t="n">
        <v>0</v>
      </c>
      <c r="L143" t="n">
        <v>0</v>
      </c>
      <c r="M143" t="n">
        <v>0</v>
      </c>
      <c r="N143" t="n">
        <v>0</v>
      </c>
      <c r="O143" t="n">
        <v>0</v>
      </c>
      <c r="P143" t="n">
        <v>0</v>
      </c>
      <c r="Q143" t="n">
        <v>0</v>
      </c>
      <c r="R143" s="2" t="inlineStr"/>
    </row>
    <row r="144" ht="15" customHeight="1">
      <c r="A144" t="inlineStr">
        <is>
          <t>A 32954-2022</t>
        </is>
      </c>
      <c r="B144" s="1" t="n">
        <v>44784</v>
      </c>
      <c r="C144" s="1" t="n">
        <v>45916</v>
      </c>
      <c r="D144" t="inlineStr">
        <is>
          <t>UPPSALA LÄN</t>
        </is>
      </c>
      <c r="E144" t="inlineStr">
        <is>
          <t>UPPSALA</t>
        </is>
      </c>
      <c r="G144" t="n">
        <v>2.6</v>
      </c>
      <c r="H144" t="n">
        <v>0</v>
      </c>
      <c r="I144" t="n">
        <v>0</v>
      </c>
      <c r="J144" t="n">
        <v>0</v>
      </c>
      <c r="K144" t="n">
        <v>0</v>
      </c>
      <c r="L144" t="n">
        <v>0</v>
      </c>
      <c r="M144" t="n">
        <v>0</v>
      </c>
      <c r="N144" t="n">
        <v>0</v>
      </c>
      <c r="O144" t="n">
        <v>0</v>
      </c>
      <c r="P144" t="n">
        <v>0</v>
      </c>
      <c r="Q144" t="n">
        <v>0</v>
      </c>
      <c r="R144" s="2" t="inlineStr"/>
    </row>
    <row r="145" ht="15" customHeight="1">
      <c r="A145" t="inlineStr">
        <is>
          <t>A 31662-2021</t>
        </is>
      </c>
      <c r="B145" s="1" t="n">
        <v>44369.65428240741</v>
      </c>
      <c r="C145" s="1" t="n">
        <v>45916</v>
      </c>
      <c r="D145" t="inlineStr">
        <is>
          <t>UPPSALA LÄN</t>
        </is>
      </c>
      <c r="E145" t="inlineStr">
        <is>
          <t>UPPSALA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8451-2022</t>
        </is>
      </c>
      <c r="B146" s="1" t="n">
        <v>44612</v>
      </c>
      <c r="C146" s="1" t="n">
        <v>45916</v>
      </c>
      <c r="D146" t="inlineStr">
        <is>
          <t>UPPSALA LÄN</t>
        </is>
      </c>
      <c r="E146" t="inlineStr">
        <is>
          <t>UPPSALA</t>
        </is>
      </c>
      <c r="G146" t="n">
        <v>1.8</v>
      </c>
      <c r="H146" t="n">
        <v>0</v>
      </c>
      <c r="I146" t="n">
        <v>0</v>
      </c>
      <c r="J146" t="n">
        <v>0</v>
      </c>
      <c r="K146" t="n">
        <v>0</v>
      </c>
      <c r="L146" t="n">
        <v>0</v>
      </c>
      <c r="M146" t="n">
        <v>0</v>
      </c>
      <c r="N146" t="n">
        <v>0</v>
      </c>
      <c r="O146" t="n">
        <v>0</v>
      </c>
      <c r="P146" t="n">
        <v>0</v>
      </c>
      <c r="Q146" t="n">
        <v>0</v>
      </c>
      <c r="R146" s="2" t="inlineStr"/>
    </row>
    <row r="147" ht="15" customHeight="1">
      <c r="A147" t="inlineStr">
        <is>
          <t>A 23324-2022</t>
        </is>
      </c>
      <c r="B147" s="1" t="n">
        <v>44720</v>
      </c>
      <c r="C147" s="1" t="n">
        <v>45916</v>
      </c>
      <c r="D147" t="inlineStr">
        <is>
          <t>UPPSALA LÄN</t>
        </is>
      </c>
      <c r="E147" t="inlineStr">
        <is>
          <t>UPPSALA</t>
        </is>
      </c>
      <c r="G147" t="n">
        <v>1.5</v>
      </c>
      <c r="H147" t="n">
        <v>0</v>
      </c>
      <c r="I147" t="n">
        <v>0</v>
      </c>
      <c r="J147" t="n">
        <v>0</v>
      </c>
      <c r="K147" t="n">
        <v>0</v>
      </c>
      <c r="L147" t="n">
        <v>0</v>
      </c>
      <c r="M147" t="n">
        <v>0</v>
      </c>
      <c r="N147" t="n">
        <v>0</v>
      </c>
      <c r="O147" t="n">
        <v>0</v>
      </c>
      <c r="P147" t="n">
        <v>0</v>
      </c>
      <c r="Q147" t="n">
        <v>0</v>
      </c>
      <c r="R147" s="2" t="inlineStr"/>
    </row>
    <row r="148" ht="15" customHeight="1">
      <c r="A148" t="inlineStr">
        <is>
          <t>A 55040-2022</t>
        </is>
      </c>
      <c r="B148" s="1" t="n">
        <v>44886</v>
      </c>
      <c r="C148" s="1" t="n">
        <v>45916</v>
      </c>
      <c r="D148" t="inlineStr">
        <is>
          <t>UPPSALA LÄN</t>
        </is>
      </c>
      <c r="E148" t="inlineStr">
        <is>
          <t>UPPSALA</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45916</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54732-2022</t>
        </is>
      </c>
      <c r="B150" s="1" t="n">
        <v>44883.56321759259</v>
      </c>
      <c r="C150" s="1" t="n">
        <v>45916</v>
      </c>
      <c r="D150" t="inlineStr">
        <is>
          <t>UPPSALA LÄN</t>
        </is>
      </c>
      <c r="E150" t="inlineStr">
        <is>
          <t>UPPSALA</t>
        </is>
      </c>
      <c r="F150" t="inlineStr">
        <is>
          <t>Övriga Aktiebolag</t>
        </is>
      </c>
      <c r="G150" t="n">
        <v>0.7</v>
      </c>
      <c r="H150" t="n">
        <v>0</v>
      </c>
      <c r="I150" t="n">
        <v>0</v>
      </c>
      <c r="J150" t="n">
        <v>0</v>
      </c>
      <c r="K150" t="n">
        <v>0</v>
      </c>
      <c r="L150" t="n">
        <v>0</v>
      </c>
      <c r="M150" t="n">
        <v>0</v>
      </c>
      <c r="N150" t="n">
        <v>0</v>
      </c>
      <c r="O150" t="n">
        <v>0</v>
      </c>
      <c r="P150" t="n">
        <v>0</v>
      </c>
      <c r="Q150" t="n">
        <v>0</v>
      </c>
      <c r="R150" s="2" t="inlineStr"/>
    </row>
    <row r="151" ht="15" customHeight="1">
      <c r="A151" t="inlineStr">
        <is>
          <t>A 20276-2021</t>
        </is>
      </c>
      <c r="B151" s="1" t="n">
        <v>44314</v>
      </c>
      <c r="C151" s="1" t="n">
        <v>45916</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8465-2022</t>
        </is>
      </c>
      <c r="B152" s="1" t="n">
        <v>44610</v>
      </c>
      <c r="C152" s="1" t="n">
        <v>45916</v>
      </c>
      <c r="D152" t="inlineStr">
        <is>
          <t>UPPSALA LÄN</t>
        </is>
      </c>
      <c r="E152" t="inlineStr">
        <is>
          <t>UPPSALA</t>
        </is>
      </c>
      <c r="F152" t="inlineStr">
        <is>
          <t>Allmännings- och besparingsskogar</t>
        </is>
      </c>
      <c r="G152" t="n">
        <v>1.1</v>
      </c>
      <c r="H152" t="n">
        <v>0</v>
      </c>
      <c r="I152" t="n">
        <v>0</v>
      </c>
      <c r="J152" t="n">
        <v>0</v>
      </c>
      <c r="K152" t="n">
        <v>0</v>
      </c>
      <c r="L152" t="n">
        <v>0</v>
      </c>
      <c r="M152" t="n">
        <v>0</v>
      </c>
      <c r="N152" t="n">
        <v>0</v>
      </c>
      <c r="O152" t="n">
        <v>0</v>
      </c>
      <c r="P152" t="n">
        <v>0</v>
      </c>
      <c r="Q152" t="n">
        <v>0</v>
      </c>
      <c r="R152" s="2" t="inlineStr"/>
    </row>
    <row r="153" ht="15" customHeight="1">
      <c r="A153" t="inlineStr">
        <is>
          <t>A 50006-2022</t>
        </is>
      </c>
      <c r="B153" s="1" t="n">
        <v>44865.43494212963</v>
      </c>
      <c r="C153" s="1" t="n">
        <v>45916</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64128-2020</t>
        </is>
      </c>
      <c r="B154" s="1" t="n">
        <v>44167</v>
      </c>
      <c r="C154" s="1" t="n">
        <v>45916</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28694-2021</t>
        </is>
      </c>
      <c r="B155" s="1" t="n">
        <v>44357</v>
      </c>
      <c r="C155" s="1" t="n">
        <v>45916</v>
      </c>
      <c r="D155" t="inlineStr">
        <is>
          <t>UPPSALA LÄN</t>
        </is>
      </c>
      <c r="E155" t="inlineStr">
        <is>
          <t>UPPSALA</t>
        </is>
      </c>
      <c r="F155" t="inlineStr">
        <is>
          <t>Holmen skog AB</t>
        </is>
      </c>
      <c r="G155" t="n">
        <v>1</v>
      </c>
      <c r="H155" t="n">
        <v>0</v>
      </c>
      <c r="I155" t="n">
        <v>0</v>
      </c>
      <c r="J155" t="n">
        <v>0</v>
      </c>
      <c r="K155" t="n">
        <v>0</v>
      </c>
      <c r="L155" t="n">
        <v>0</v>
      </c>
      <c r="M155" t="n">
        <v>0</v>
      </c>
      <c r="N155" t="n">
        <v>0</v>
      </c>
      <c r="O155" t="n">
        <v>0</v>
      </c>
      <c r="P155" t="n">
        <v>0</v>
      </c>
      <c r="Q155" t="n">
        <v>0</v>
      </c>
      <c r="R155" s="2" t="inlineStr"/>
    </row>
    <row r="156" ht="15" customHeight="1">
      <c r="A156" t="inlineStr">
        <is>
          <t>A 27390-2022</t>
        </is>
      </c>
      <c r="B156" s="1" t="n">
        <v>44742</v>
      </c>
      <c r="C156" s="1" t="n">
        <v>45916</v>
      </c>
      <c r="D156" t="inlineStr">
        <is>
          <t>UPPSALA LÄN</t>
        </is>
      </c>
      <c r="E156" t="inlineStr">
        <is>
          <t>UPPSALA</t>
        </is>
      </c>
      <c r="G156" t="n">
        <v>3.3</v>
      </c>
      <c r="H156" t="n">
        <v>0</v>
      </c>
      <c r="I156" t="n">
        <v>0</v>
      </c>
      <c r="J156" t="n">
        <v>0</v>
      </c>
      <c r="K156" t="n">
        <v>0</v>
      </c>
      <c r="L156" t="n">
        <v>0</v>
      </c>
      <c r="M156" t="n">
        <v>0</v>
      </c>
      <c r="N156" t="n">
        <v>0</v>
      </c>
      <c r="O156" t="n">
        <v>0</v>
      </c>
      <c r="P156" t="n">
        <v>0</v>
      </c>
      <c r="Q156" t="n">
        <v>0</v>
      </c>
      <c r="R156" s="2" t="inlineStr"/>
    </row>
    <row r="157" ht="15" customHeight="1">
      <c r="A157" t="inlineStr">
        <is>
          <t>A 21228-2022</t>
        </is>
      </c>
      <c r="B157" s="1" t="n">
        <v>44704</v>
      </c>
      <c r="C157" s="1" t="n">
        <v>45916</v>
      </c>
      <c r="D157" t="inlineStr">
        <is>
          <t>UPPSALA LÄN</t>
        </is>
      </c>
      <c r="E157" t="inlineStr">
        <is>
          <t>UPPSALA</t>
        </is>
      </c>
      <c r="G157" t="n">
        <v>0.2</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45916</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70032-2021</t>
        </is>
      </c>
      <c r="B159" s="1" t="n">
        <v>44533.4678587963</v>
      </c>
      <c r="C159" s="1" t="n">
        <v>45916</v>
      </c>
      <c r="D159" t="inlineStr">
        <is>
          <t>UPPSALA LÄN</t>
        </is>
      </c>
      <c r="E159" t="inlineStr">
        <is>
          <t>UPPSALA</t>
        </is>
      </c>
      <c r="G159" t="n">
        <v>0.6</v>
      </c>
      <c r="H159" t="n">
        <v>0</v>
      </c>
      <c r="I159" t="n">
        <v>0</v>
      </c>
      <c r="J159" t="n">
        <v>0</v>
      </c>
      <c r="K159" t="n">
        <v>0</v>
      </c>
      <c r="L159" t="n">
        <v>0</v>
      </c>
      <c r="M159" t="n">
        <v>0</v>
      </c>
      <c r="N159" t="n">
        <v>0</v>
      </c>
      <c r="O159" t="n">
        <v>0</v>
      </c>
      <c r="P159" t="n">
        <v>0</v>
      </c>
      <c r="Q159" t="n">
        <v>0</v>
      </c>
      <c r="R159" s="2" t="inlineStr"/>
    </row>
    <row r="160" ht="15" customHeight="1">
      <c r="A160" t="inlineStr">
        <is>
          <t>A 48918-2021</t>
        </is>
      </c>
      <c r="B160" s="1" t="n">
        <v>44453</v>
      </c>
      <c r="C160" s="1" t="n">
        <v>45916</v>
      </c>
      <c r="D160" t="inlineStr">
        <is>
          <t>UPPSALA LÄN</t>
        </is>
      </c>
      <c r="E160" t="inlineStr">
        <is>
          <t>UPPSALA</t>
        </is>
      </c>
      <c r="G160" t="n">
        <v>0.9</v>
      </c>
      <c r="H160" t="n">
        <v>0</v>
      </c>
      <c r="I160" t="n">
        <v>0</v>
      </c>
      <c r="J160" t="n">
        <v>0</v>
      </c>
      <c r="K160" t="n">
        <v>0</v>
      </c>
      <c r="L160" t="n">
        <v>0</v>
      </c>
      <c r="M160" t="n">
        <v>0</v>
      </c>
      <c r="N160" t="n">
        <v>0</v>
      </c>
      <c r="O160" t="n">
        <v>0</v>
      </c>
      <c r="P160" t="n">
        <v>0</v>
      </c>
      <c r="Q160" t="n">
        <v>0</v>
      </c>
      <c r="R160" s="2" t="inlineStr"/>
    </row>
    <row r="161" ht="15" customHeight="1">
      <c r="A161" t="inlineStr">
        <is>
          <t>A 17250-2021</t>
        </is>
      </c>
      <c r="B161" s="1" t="n">
        <v>44297</v>
      </c>
      <c r="C161" s="1" t="n">
        <v>45916</v>
      </c>
      <c r="D161" t="inlineStr">
        <is>
          <t>UPPSALA LÄN</t>
        </is>
      </c>
      <c r="E161" t="inlineStr">
        <is>
          <t>UPPSALA</t>
        </is>
      </c>
      <c r="G161" t="n">
        <v>3.6</v>
      </c>
      <c r="H161" t="n">
        <v>0</v>
      </c>
      <c r="I161" t="n">
        <v>0</v>
      </c>
      <c r="J161" t="n">
        <v>0</v>
      </c>
      <c r="K161" t="n">
        <v>0</v>
      </c>
      <c r="L161" t="n">
        <v>0</v>
      </c>
      <c r="M161" t="n">
        <v>0</v>
      </c>
      <c r="N161" t="n">
        <v>0</v>
      </c>
      <c r="O161" t="n">
        <v>0</v>
      </c>
      <c r="P161" t="n">
        <v>0</v>
      </c>
      <c r="Q161" t="n">
        <v>0</v>
      </c>
      <c r="R161" s="2" t="inlineStr"/>
    </row>
    <row r="162" ht="15" customHeight="1">
      <c r="A162" t="inlineStr">
        <is>
          <t>A 60702-2020</t>
        </is>
      </c>
      <c r="B162" s="1" t="n">
        <v>44153</v>
      </c>
      <c r="C162" s="1" t="n">
        <v>45916</v>
      </c>
      <c r="D162" t="inlineStr">
        <is>
          <t>UPPSALA LÄN</t>
        </is>
      </c>
      <c r="E162" t="inlineStr">
        <is>
          <t>UPPSALA</t>
        </is>
      </c>
      <c r="F162" t="inlineStr">
        <is>
          <t>Övriga statliga verk och myndigheter</t>
        </is>
      </c>
      <c r="G162" t="n">
        <v>1.4</v>
      </c>
      <c r="H162" t="n">
        <v>0</v>
      </c>
      <c r="I162" t="n">
        <v>0</v>
      </c>
      <c r="J162" t="n">
        <v>0</v>
      </c>
      <c r="K162" t="n">
        <v>0</v>
      </c>
      <c r="L162" t="n">
        <v>0</v>
      </c>
      <c r="M162" t="n">
        <v>0</v>
      </c>
      <c r="N162" t="n">
        <v>0</v>
      </c>
      <c r="O162" t="n">
        <v>0</v>
      </c>
      <c r="P162" t="n">
        <v>0</v>
      </c>
      <c r="Q162" t="n">
        <v>0</v>
      </c>
      <c r="R162" s="2" t="inlineStr"/>
    </row>
    <row r="163" ht="15" customHeight="1">
      <c r="A163" t="inlineStr">
        <is>
          <t>A 27365-2021</t>
        </is>
      </c>
      <c r="B163" s="1" t="n">
        <v>44351</v>
      </c>
      <c r="C163" s="1" t="n">
        <v>45916</v>
      </c>
      <c r="D163" t="inlineStr">
        <is>
          <t>UPPSALA LÄN</t>
        </is>
      </c>
      <c r="E163" t="inlineStr">
        <is>
          <t>UPPSALA</t>
        </is>
      </c>
      <c r="F163" t="inlineStr">
        <is>
          <t>Allmännings- och besparingsskogar</t>
        </is>
      </c>
      <c r="G163" t="n">
        <v>20.5</v>
      </c>
      <c r="H163" t="n">
        <v>0</v>
      </c>
      <c r="I163" t="n">
        <v>0</v>
      </c>
      <c r="J163" t="n">
        <v>0</v>
      </c>
      <c r="K163" t="n">
        <v>0</v>
      </c>
      <c r="L163" t="n">
        <v>0</v>
      </c>
      <c r="M163" t="n">
        <v>0</v>
      </c>
      <c r="N163" t="n">
        <v>0</v>
      </c>
      <c r="O163" t="n">
        <v>0</v>
      </c>
      <c r="P163" t="n">
        <v>0</v>
      </c>
      <c r="Q163" t="n">
        <v>0</v>
      </c>
      <c r="R163" s="2" t="inlineStr"/>
    </row>
    <row r="164" ht="15" customHeight="1">
      <c r="A164" t="inlineStr">
        <is>
          <t>A 26785-2021</t>
        </is>
      </c>
      <c r="B164" s="1" t="n">
        <v>44349.49666666667</v>
      </c>
      <c r="C164" s="1" t="n">
        <v>45916</v>
      </c>
      <c r="D164" t="inlineStr">
        <is>
          <t>UPPSALA LÄN</t>
        </is>
      </c>
      <c r="E164" t="inlineStr">
        <is>
          <t>UPPSALA</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3287-2022</t>
        </is>
      </c>
      <c r="B165" s="1" t="n">
        <v>44584.63190972222</v>
      </c>
      <c r="C165" s="1" t="n">
        <v>45916</v>
      </c>
      <c r="D165" t="inlineStr">
        <is>
          <t>UPPSALA LÄN</t>
        </is>
      </c>
      <c r="E165" t="inlineStr">
        <is>
          <t>UPPSALA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7996-2022</t>
        </is>
      </c>
      <c r="B166" s="1" t="n">
        <v>44609</v>
      </c>
      <c r="C166" s="1" t="n">
        <v>45916</v>
      </c>
      <c r="D166" t="inlineStr">
        <is>
          <t>UPPSALA LÄN</t>
        </is>
      </c>
      <c r="E166" t="inlineStr">
        <is>
          <t>UPPSALA</t>
        </is>
      </c>
      <c r="F166" t="inlineStr">
        <is>
          <t>Övriga Aktiebolag</t>
        </is>
      </c>
      <c r="G166" t="n">
        <v>2.9</v>
      </c>
      <c r="H166" t="n">
        <v>0</v>
      </c>
      <c r="I166" t="n">
        <v>0</v>
      </c>
      <c r="J166" t="n">
        <v>0</v>
      </c>
      <c r="K166" t="n">
        <v>0</v>
      </c>
      <c r="L166" t="n">
        <v>0</v>
      </c>
      <c r="M166" t="n">
        <v>0</v>
      </c>
      <c r="N166" t="n">
        <v>0</v>
      </c>
      <c r="O166" t="n">
        <v>0</v>
      </c>
      <c r="P166" t="n">
        <v>0</v>
      </c>
      <c r="Q166" t="n">
        <v>0</v>
      </c>
      <c r="R166" s="2" t="inlineStr"/>
    </row>
    <row r="167" ht="15" customHeight="1">
      <c r="A167" t="inlineStr">
        <is>
          <t>A 59241-2021</t>
        </is>
      </c>
      <c r="B167" s="1" t="n">
        <v>44490.64313657407</v>
      </c>
      <c r="C167" s="1" t="n">
        <v>45916</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45930-2020</t>
        </is>
      </c>
      <c r="B168" s="1" t="n">
        <v>44091</v>
      </c>
      <c r="C168" s="1" t="n">
        <v>45916</v>
      </c>
      <c r="D168" t="inlineStr">
        <is>
          <t>UPPSALA LÄN</t>
        </is>
      </c>
      <c r="E168" t="inlineStr">
        <is>
          <t>UPPSALA</t>
        </is>
      </c>
      <c r="F168" t="inlineStr">
        <is>
          <t>Holmen skog AB</t>
        </is>
      </c>
      <c r="G168" t="n">
        <v>1.8</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45916</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14941-2021</t>
        </is>
      </c>
      <c r="B170" s="1" t="n">
        <v>44281.4499537037</v>
      </c>
      <c r="C170" s="1" t="n">
        <v>45916</v>
      </c>
      <c r="D170" t="inlineStr">
        <is>
          <t>UPPSALA LÄN</t>
        </is>
      </c>
      <c r="E170" t="inlineStr">
        <is>
          <t>UPPSALA</t>
        </is>
      </c>
      <c r="F170" t="inlineStr">
        <is>
          <t>Holmen skog AB</t>
        </is>
      </c>
      <c r="G170" t="n">
        <v>1.2</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45916</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64858-2021</t>
        </is>
      </c>
      <c r="B172" s="1" t="n">
        <v>44512</v>
      </c>
      <c r="C172" s="1" t="n">
        <v>45916</v>
      </c>
      <c r="D172" t="inlineStr">
        <is>
          <t>UPPSALA LÄN</t>
        </is>
      </c>
      <c r="E172" t="inlineStr">
        <is>
          <t>UPPSALA</t>
        </is>
      </c>
      <c r="G172" t="n">
        <v>1.2</v>
      </c>
      <c r="H172" t="n">
        <v>0</v>
      </c>
      <c r="I172" t="n">
        <v>0</v>
      </c>
      <c r="J172" t="n">
        <v>0</v>
      </c>
      <c r="K172" t="n">
        <v>0</v>
      </c>
      <c r="L172" t="n">
        <v>0</v>
      </c>
      <c r="M172" t="n">
        <v>0</v>
      </c>
      <c r="N172" t="n">
        <v>0</v>
      </c>
      <c r="O172" t="n">
        <v>0</v>
      </c>
      <c r="P172" t="n">
        <v>0</v>
      </c>
      <c r="Q172" t="n">
        <v>0</v>
      </c>
      <c r="R172" s="2" t="inlineStr"/>
    </row>
    <row r="173" ht="15" customHeight="1">
      <c r="A173" t="inlineStr">
        <is>
          <t>A 26972-2022</t>
        </is>
      </c>
      <c r="B173" s="1" t="n">
        <v>44740.68142361111</v>
      </c>
      <c r="C173" s="1" t="n">
        <v>45916</v>
      </c>
      <c r="D173" t="inlineStr">
        <is>
          <t>UPPSALA LÄN</t>
        </is>
      </c>
      <c r="E173" t="inlineStr">
        <is>
          <t>UPPSALA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38892-2022</t>
        </is>
      </c>
      <c r="B174" s="1" t="n">
        <v>44816</v>
      </c>
      <c r="C174" s="1" t="n">
        <v>45916</v>
      </c>
      <c r="D174" t="inlineStr">
        <is>
          <t>UPPSALA LÄN</t>
        </is>
      </c>
      <c r="E174" t="inlineStr">
        <is>
          <t>UPPSALA</t>
        </is>
      </c>
      <c r="G174" t="n">
        <v>1.3</v>
      </c>
      <c r="H174" t="n">
        <v>0</v>
      </c>
      <c r="I174" t="n">
        <v>0</v>
      </c>
      <c r="J174" t="n">
        <v>0</v>
      </c>
      <c r="K174" t="n">
        <v>0</v>
      </c>
      <c r="L174" t="n">
        <v>0</v>
      </c>
      <c r="M174" t="n">
        <v>0</v>
      </c>
      <c r="N174" t="n">
        <v>0</v>
      </c>
      <c r="O174" t="n">
        <v>0</v>
      </c>
      <c r="P174" t="n">
        <v>0</v>
      </c>
      <c r="Q174" t="n">
        <v>0</v>
      </c>
      <c r="R174" s="2" t="inlineStr"/>
    </row>
    <row r="175" ht="15" customHeight="1">
      <c r="A175" t="inlineStr">
        <is>
          <t>A 17262-2021</t>
        </is>
      </c>
      <c r="B175" s="1" t="n">
        <v>44297</v>
      </c>
      <c r="C175" s="1" t="n">
        <v>45916</v>
      </c>
      <c r="D175" t="inlineStr">
        <is>
          <t>UPPSALA LÄN</t>
        </is>
      </c>
      <c r="E175" t="inlineStr">
        <is>
          <t>UPPSALA</t>
        </is>
      </c>
      <c r="F175" t="inlineStr">
        <is>
          <t>Allmännings- och besparingsskogar</t>
        </is>
      </c>
      <c r="G175" t="n">
        <v>1</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45916</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21387-2022</t>
        </is>
      </c>
      <c r="B177" s="1" t="n">
        <v>44705.78475694444</v>
      </c>
      <c r="C177" s="1" t="n">
        <v>45916</v>
      </c>
      <c r="D177" t="inlineStr">
        <is>
          <t>UPPSALA LÄN</t>
        </is>
      </c>
      <c r="E177" t="inlineStr">
        <is>
          <t>UPPSALA</t>
        </is>
      </c>
      <c r="G177" t="n">
        <v>2.2</v>
      </c>
      <c r="H177" t="n">
        <v>0</v>
      </c>
      <c r="I177" t="n">
        <v>0</v>
      </c>
      <c r="J177" t="n">
        <v>0</v>
      </c>
      <c r="K177" t="n">
        <v>0</v>
      </c>
      <c r="L177" t="n">
        <v>0</v>
      </c>
      <c r="M177" t="n">
        <v>0</v>
      </c>
      <c r="N177" t="n">
        <v>0</v>
      </c>
      <c r="O177" t="n">
        <v>0</v>
      </c>
      <c r="P177" t="n">
        <v>0</v>
      </c>
      <c r="Q177" t="n">
        <v>0</v>
      </c>
      <c r="R177" s="2" t="inlineStr"/>
    </row>
    <row r="178" ht="15" customHeight="1">
      <c r="A178" t="inlineStr">
        <is>
          <t>A 21391-2022</t>
        </is>
      </c>
      <c r="B178" s="1" t="n">
        <v>44705.83326388889</v>
      </c>
      <c r="C178" s="1" t="n">
        <v>45916</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19382-2022</t>
        </is>
      </c>
      <c r="B179" s="1" t="n">
        <v>44692.87630787037</v>
      </c>
      <c r="C179" s="1" t="n">
        <v>45916</v>
      </c>
      <c r="D179" t="inlineStr">
        <is>
          <t>UPPSALA LÄN</t>
        </is>
      </c>
      <c r="E179" t="inlineStr">
        <is>
          <t>UPPSALA</t>
        </is>
      </c>
      <c r="G179" t="n">
        <v>4.3</v>
      </c>
      <c r="H179" t="n">
        <v>0</v>
      </c>
      <c r="I179" t="n">
        <v>0</v>
      </c>
      <c r="J179" t="n">
        <v>0</v>
      </c>
      <c r="K179" t="n">
        <v>0</v>
      </c>
      <c r="L179" t="n">
        <v>0</v>
      </c>
      <c r="M179" t="n">
        <v>0</v>
      </c>
      <c r="N179" t="n">
        <v>0</v>
      </c>
      <c r="O179" t="n">
        <v>0</v>
      </c>
      <c r="P179" t="n">
        <v>0</v>
      </c>
      <c r="Q179" t="n">
        <v>0</v>
      </c>
      <c r="R179" s="2" t="inlineStr"/>
    </row>
    <row r="180" ht="15" customHeight="1">
      <c r="A180" t="inlineStr">
        <is>
          <t>A 71675-2021</t>
        </is>
      </c>
      <c r="B180" s="1" t="n">
        <v>44543</v>
      </c>
      <c r="C180" s="1" t="n">
        <v>45916</v>
      </c>
      <c r="D180" t="inlineStr">
        <is>
          <t>UPPSALA LÄN</t>
        </is>
      </c>
      <c r="E180" t="inlineStr">
        <is>
          <t>UPPSALA</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20980-2022</t>
        </is>
      </c>
      <c r="B181" s="1" t="n">
        <v>44702.70721064815</v>
      </c>
      <c r="C181" s="1" t="n">
        <v>45916</v>
      </c>
      <c r="D181" t="inlineStr">
        <is>
          <t>UPPSALA LÄN</t>
        </is>
      </c>
      <c r="E181" t="inlineStr">
        <is>
          <t>UPPSALA</t>
        </is>
      </c>
      <c r="G181" t="n">
        <v>0.8</v>
      </c>
      <c r="H181" t="n">
        <v>0</v>
      </c>
      <c r="I181" t="n">
        <v>0</v>
      </c>
      <c r="J181" t="n">
        <v>0</v>
      </c>
      <c r="K181" t="n">
        <v>0</v>
      </c>
      <c r="L181" t="n">
        <v>0</v>
      </c>
      <c r="M181" t="n">
        <v>0</v>
      </c>
      <c r="N181" t="n">
        <v>0</v>
      </c>
      <c r="O181" t="n">
        <v>0</v>
      </c>
      <c r="P181" t="n">
        <v>0</v>
      </c>
      <c r="Q181" t="n">
        <v>0</v>
      </c>
      <c r="R181" s="2" t="inlineStr"/>
    </row>
    <row r="182" ht="15" customHeight="1">
      <c r="A182" t="inlineStr">
        <is>
          <t>A 46097-2021</t>
        </is>
      </c>
      <c r="B182" s="1" t="n">
        <v>44442.35195601852</v>
      </c>
      <c r="C182" s="1" t="n">
        <v>45916</v>
      </c>
      <c r="D182" t="inlineStr">
        <is>
          <t>UPPSALA LÄN</t>
        </is>
      </c>
      <c r="E182" t="inlineStr">
        <is>
          <t>UPPSALA</t>
        </is>
      </c>
      <c r="G182" t="n">
        <v>0.5</v>
      </c>
      <c r="H182" t="n">
        <v>0</v>
      </c>
      <c r="I182" t="n">
        <v>0</v>
      </c>
      <c r="J182" t="n">
        <v>0</v>
      </c>
      <c r="K182" t="n">
        <v>0</v>
      </c>
      <c r="L182" t="n">
        <v>0</v>
      </c>
      <c r="M182" t="n">
        <v>0</v>
      </c>
      <c r="N182" t="n">
        <v>0</v>
      </c>
      <c r="O182" t="n">
        <v>0</v>
      </c>
      <c r="P182" t="n">
        <v>0</v>
      </c>
      <c r="Q182" t="n">
        <v>0</v>
      </c>
      <c r="R182" s="2" t="inlineStr"/>
    </row>
    <row r="183" ht="15" customHeight="1">
      <c r="A183" t="inlineStr">
        <is>
          <t>A 46099-2021</t>
        </is>
      </c>
      <c r="B183" s="1" t="n">
        <v>44442</v>
      </c>
      <c r="C183" s="1" t="n">
        <v>45916</v>
      </c>
      <c r="D183" t="inlineStr">
        <is>
          <t>UPPSALA LÄN</t>
        </is>
      </c>
      <c r="E183" t="inlineStr">
        <is>
          <t>UPPSALA</t>
        </is>
      </c>
      <c r="G183" t="n">
        <v>0.7</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45916</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45916</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45916</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46647-2020</t>
        </is>
      </c>
      <c r="B187" s="1" t="n">
        <v>44095</v>
      </c>
      <c r="C187" s="1" t="n">
        <v>45916</v>
      </c>
      <c r="D187" t="inlineStr">
        <is>
          <t>UPPSALA LÄN</t>
        </is>
      </c>
      <c r="E187" t="inlineStr">
        <is>
          <t>UPPSALA</t>
        </is>
      </c>
      <c r="G187" t="n">
        <v>1.3</v>
      </c>
      <c r="H187" t="n">
        <v>0</v>
      </c>
      <c r="I187" t="n">
        <v>0</v>
      </c>
      <c r="J187" t="n">
        <v>0</v>
      </c>
      <c r="K187" t="n">
        <v>0</v>
      </c>
      <c r="L187" t="n">
        <v>0</v>
      </c>
      <c r="M187" t="n">
        <v>0</v>
      </c>
      <c r="N187" t="n">
        <v>0</v>
      </c>
      <c r="O187" t="n">
        <v>0</v>
      </c>
      <c r="P187" t="n">
        <v>0</v>
      </c>
      <c r="Q187" t="n">
        <v>0</v>
      </c>
      <c r="R187" s="2" t="inlineStr"/>
    </row>
    <row r="188" ht="15" customHeight="1">
      <c r="A188" t="inlineStr">
        <is>
          <t>A 27763-2022</t>
        </is>
      </c>
      <c r="B188" s="1" t="n">
        <v>44743</v>
      </c>
      <c r="C188" s="1" t="n">
        <v>45916</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73468-2021</t>
        </is>
      </c>
      <c r="B189" s="1" t="n">
        <v>44551.59704861111</v>
      </c>
      <c r="C189" s="1" t="n">
        <v>45916</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45916</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45916</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45916</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874-2022</t>
        </is>
      </c>
      <c r="B193" s="1" t="n">
        <v>44571.44563657408</v>
      </c>
      <c r="C193" s="1" t="n">
        <v>45916</v>
      </c>
      <c r="D193" t="inlineStr">
        <is>
          <t>UPPSALA LÄN</t>
        </is>
      </c>
      <c r="E193" t="inlineStr">
        <is>
          <t>UPPSALA</t>
        </is>
      </c>
      <c r="G193" t="n">
        <v>7.2</v>
      </c>
      <c r="H193" t="n">
        <v>0</v>
      </c>
      <c r="I193" t="n">
        <v>0</v>
      </c>
      <c r="J193" t="n">
        <v>0</v>
      </c>
      <c r="K193" t="n">
        <v>0</v>
      </c>
      <c r="L193" t="n">
        <v>0</v>
      </c>
      <c r="M193" t="n">
        <v>0</v>
      </c>
      <c r="N193" t="n">
        <v>0</v>
      </c>
      <c r="O193" t="n">
        <v>0</v>
      </c>
      <c r="P193" t="n">
        <v>0</v>
      </c>
      <c r="Q193" t="n">
        <v>0</v>
      </c>
      <c r="R193" s="2" t="inlineStr"/>
    </row>
    <row r="194" ht="15" customHeight="1">
      <c r="A194" t="inlineStr">
        <is>
          <t>A 48786-2020</t>
        </is>
      </c>
      <c r="B194" s="1" t="n">
        <v>44103</v>
      </c>
      <c r="C194" s="1" t="n">
        <v>45916</v>
      </c>
      <c r="D194" t="inlineStr">
        <is>
          <t>UPPSALA LÄN</t>
        </is>
      </c>
      <c r="E194" t="inlineStr">
        <is>
          <t>UPPSALA</t>
        </is>
      </c>
      <c r="G194" t="n">
        <v>0.4</v>
      </c>
      <c r="H194" t="n">
        <v>0</v>
      </c>
      <c r="I194" t="n">
        <v>0</v>
      </c>
      <c r="J194" t="n">
        <v>0</v>
      </c>
      <c r="K194" t="n">
        <v>0</v>
      </c>
      <c r="L194" t="n">
        <v>0</v>
      </c>
      <c r="M194" t="n">
        <v>0</v>
      </c>
      <c r="N194" t="n">
        <v>0</v>
      </c>
      <c r="O194" t="n">
        <v>0</v>
      </c>
      <c r="P194" t="n">
        <v>0</v>
      </c>
      <c r="Q194" t="n">
        <v>0</v>
      </c>
      <c r="R194" s="2" t="inlineStr"/>
    </row>
    <row r="195" ht="15" customHeight="1">
      <c r="A195" t="inlineStr">
        <is>
          <t>A 43850-2022</t>
        </is>
      </c>
      <c r="B195" s="1" t="n">
        <v>44838.40635416667</v>
      </c>
      <c r="C195" s="1" t="n">
        <v>45916</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10411-2022</t>
        </is>
      </c>
      <c r="B196" s="1" t="n">
        <v>44623.4572337963</v>
      </c>
      <c r="C196" s="1" t="n">
        <v>45916</v>
      </c>
      <c r="D196" t="inlineStr">
        <is>
          <t>UPPSALA LÄN</t>
        </is>
      </c>
      <c r="E196" t="inlineStr">
        <is>
          <t>UPPSALA</t>
        </is>
      </c>
      <c r="F196" t="inlineStr">
        <is>
          <t>Övriga Aktiebolag</t>
        </is>
      </c>
      <c r="G196" t="n">
        <v>4.2</v>
      </c>
      <c r="H196" t="n">
        <v>0</v>
      </c>
      <c r="I196" t="n">
        <v>0</v>
      </c>
      <c r="J196" t="n">
        <v>0</v>
      </c>
      <c r="K196" t="n">
        <v>0</v>
      </c>
      <c r="L196" t="n">
        <v>0</v>
      </c>
      <c r="M196" t="n">
        <v>0</v>
      </c>
      <c r="N196" t="n">
        <v>0</v>
      </c>
      <c r="O196" t="n">
        <v>0</v>
      </c>
      <c r="P196" t="n">
        <v>0</v>
      </c>
      <c r="Q196" t="n">
        <v>0</v>
      </c>
      <c r="R196" s="2" t="inlineStr"/>
    </row>
    <row r="197" ht="15" customHeight="1">
      <c r="A197" t="inlineStr">
        <is>
          <t>A 51050-2021</t>
        </is>
      </c>
      <c r="B197" s="1" t="n">
        <v>44459</v>
      </c>
      <c r="C197" s="1" t="n">
        <v>45916</v>
      </c>
      <c r="D197" t="inlineStr">
        <is>
          <t>UPPSALA LÄN</t>
        </is>
      </c>
      <c r="E197" t="inlineStr">
        <is>
          <t>UPPSALA</t>
        </is>
      </c>
      <c r="F197" t="inlineStr">
        <is>
          <t>Övriga Aktiebolag</t>
        </is>
      </c>
      <c r="G197" t="n">
        <v>7.5</v>
      </c>
      <c r="H197" t="n">
        <v>0</v>
      </c>
      <c r="I197" t="n">
        <v>0</v>
      </c>
      <c r="J197" t="n">
        <v>0</v>
      </c>
      <c r="K197" t="n">
        <v>0</v>
      </c>
      <c r="L197" t="n">
        <v>0</v>
      </c>
      <c r="M197" t="n">
        <v>0</v>
      </c>
      <c r="N197" t="n">
        <v>0</v>
      </c>
      <c r="O197" t="n">
        <v>0</v>
      </c>
      <c r="P197" t="n">
        <v>0</v>
      </c>
      <c r="Q197" t="n">
        <v>0</v>
      </c>
      <c r="R197" s="2" t="inlineStr"/>
    </row>
    <row r="198" ht="15" customHeight="1">
      <c r="A198" t="inlineStr">
        <is>
          <t>A 56463-2021</t>
        </is>
      </c>
      <c r="B198" s="1" t="n">
        <v>44479</v>
      </c>
      <c r="C198" s="1" t="n">
        <v>45916</v>
      </c>
      <c r="D198" t="inlineStr">
        <is>
          <t>UPPSALA LÄN</t>
        </is>
      </c>
      <c r="E198" t="inlineStr">
        <is>
          <t>UPPSALA</t>
        </is>
      </c>
      <c r="G198" t="n">
        <v>6.4</v>
      </c>
      <c r="H198" t="n">
        <v>0</v>
      </c>
      <c r="I198" t="n">
        <v>0</v>
      </c>
      <c r="J198" t="n">
        <v>0</v>
      </c>
      <c r="K198" t="n">
        <v>0</v>
      </c>
      <c r="L198" t="n">
        <v>0</v>
      </c>
      <c r="M198" t="n">
        <v>0</v>
      </c>
      <c r="N198" t="n">
        <v>0</v>
      </c>
      <c r="O198" t="n">
        <v>0</v>
      </c>
      <c r="P198" t="n">
        <v>0</v>
      </c>
      <c r="Q198" t="n">
        <v>0</v>
      </c>
      <c r="R198" s="2" t="inlineStr"/>
    </row>
    <row r="199" ht="15" customHeight="1">
      <c r="A199" t="inlineStr">
        <is>
          <t>A 45849-2022</t>
        </is>
      </c>
      <c r="B199" s="1" t="n">
        <v>44846</v>
      </c>
      <c r="C199" s="1" t="n">
        <v>45916</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58767-2021</t>
        </is>
      </c>
      <c r="B200" s="1" t="n">
        <v>44489</v>
      </c>
      <c r="C200" s="1" t="n">
        <v>45916</v>
      </c>
      <c r="D200" t="inlineStr">
        <is>
          <t>UPPSALA LÄN</t>
        </is>
      </c>
      <c r="E200" t="inlineStr">
        <is>
          <t>UPPSALA</t>
        </is>
      </c>
      <c r="G200" t="n">
        <v>4.8</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45916</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71643-2021</t>
        </is>
      </c>
      <c r="B202" s="1" t="n">
        <v>44543.34697916666</v>
      </c>
      <c r="C202" s="1" t="n">
        <v>45916</v>
      </c>
      <c r="D202" t="inlineStr">
        <is>
          <t>UPPSALA LÄN</t>
        </is>
      </c>
      <c r="E202" t="inlineStr">
        <is>
          <t>UPPSALA</t>
        </is>
      </c>
      <c r="G202" t="n">
        <v>3</v>
      </c>
      <c r="H202" t="n">
        <v>0</v>
      </c>
      <c r="I202" t="n">
        <v>0</v>
      </c>
      <c r="J202" t="n">
        <v>0</v>
      </c>
      <c r="K202" t="n">
        <v>0</v>
      </c>
      <c r="L202" t="n">
        <v>0</v>
      </c>
      <c r="M202" t="n">
        <v>0</v>
      </c>
      <c r="N202" t="n">
        <v>0</v>
      </c>
      <c r="O202" t="n">
        <v>0</v>
      </c>
      <c r="P202" t="n">
        <v>0</v>
      </c>
      <c r="Q202" t="n">
        <v>0</v>
      </c>
      <c r="R202" s="2" t="inlineStr"/>
    </row>
    <row r="203" ht="15" customHeight="1">
      <c r="A203" t="inlineStr">
        <is>
          <t>A 56466-2020</t>
        </is>
      </c>
      <c r="B203" s="1" t="n">
        <v>44134</v>
      </c>
      <c r="C203" s="1" t="n">
        <v>45916</v>
      </c>
      <c r="D203" t="inlineStr">
        <is>
          <t>UPPSALA LÄN</t>
        </is>
      </c>
      <c r="E203" t="inlineStr">
        <is>
          <t>UPPSALA</t>
        </is>
      </c>
      <c r="F203" t="inlineStr">
        <is>
          <t>Övriga Aktiebolag</t>
        </is>
      </c>
      <c r="G203" t="n">
        <v>3.3</v>
      </c>
      <c r="H203" t="n">
        <v>0</v>
      </c>
      <c r="I203" t="n">
        <v>0</v>
      </c>
      <c r="J203" t="n">
        <v>0</v>
      </c>
      <c r="K203" t="n">
        <v>0</v>
      </c>
      <c r="L203" t="n">
        <v>0</v>
      </c>
      <c r="M203" t="n">
        <v>0</v>
      </c>
      <c r="N203" t="n">
        <v>0</v>
      </c>
      <c r="O203" t="n">
        <v>0</v>
      </c>
      <c r="P203" t="n">
        <v>0</v>
      </c>
      <c r="Q203" t="n">
        <v>0</v>
      </c>
      <c r="R203" s="2" t="inlineStr"/>
    </row>
    <row r="204" ht="15" customHeight="1">
      <c r="A204" t="inlineStr">
        <is>
          <t>A 46916-2021</t>
        </is>
      </c>
      <c r="B204" s="1" t="n">
        <v>44446.47693287037</v>
      </c>
      <c r="C204" s="1" t="n">
        <v>45916</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65964-2021</t>
        </is>
      </c>
      <c r="B205" s="1" t="n">
        <v>44517</v>
      </c>
      <c r="C205" s="1" t="n">
        <v>45916</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25120-2022</t>
        </is>
      </c>
      <c r="B206" s="1" t="n">
        <v>44729</v>
      </c>
      <c r="C206" s="1" t="n">
        <v>45916</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60032-2021</t>
        </is>
      </c>
      <c r="B207" s="1" t="n">
        <v>44495</v>
      </c>
      <c r="C207" s="1" t="n">
        <v>45916</v>
      </c>
      <c r="D207" t="inlineStr">
        <is>
          <t>UPPSALA LÄN</t>
        </is>
      </c>
      <c r="E207" t="inlineStr">
        <is>
          <t>UPPSALA</t>
        </is>
      </c>
      <c r="G207" t="n">
        <v>1.8</v>
      </c>
      <c r="H207" t="n">
        <v>0</v>
      </c>
      <c r="I207" t="n">
        <v>0</v>
      </c>
      <c r="J207" t="n">
        <v>0</v>
      </c>
      <c r="K207" t="n">
        <v>0</v>
      </c>
      <c r="L207" t="n">
        <v>0</v>
      </c>
      <c r="M207" t="n">
        <v>0</v>
      </c>
      <c r="N207" t="n">
        <v>0</v>
      </c>
      <c r="O207" t="n">
        <v>0</v>
      </c>
      <c r="P207" t="n">
        <v>0</v>
      </c>
      <c r="Q207" t="n">
        <v>0</v>
      </c>
      <c r="R207" s="2" t="inlineStr"/>
    </row>
    <row r="208" ht="15" customHeight="1">
      <c r="A208" t="inlineStr">
        <is>
          <t>A 11693-2022</t>
        </is>
      </c>
      <c r="B208" s="1" t="n">
        <v>44634</v>
      </c>
      <c r="C208" s="1" t="n">
        <v>45916</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45916</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58056-2020</t>
        </is>
      </c>
      <c r="B210" s="1" t="n">
        <v>44144</v>
      </c>
      <c r="C210" s="1" t="n">
        <v>45916</v>
      </c>
      <c r="D210" t="inlineStr">
        <is>
          <t>UPPSALA LÄN</t>
        </is>
      </c>
      <c r="E210" t="inlineStr">
        <is>
          <t>UPPSALA</t>
        </is>
      </c>
      <c r="G210" t="n">
        <v>5.5</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45916</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12152-2021</t>
        </is>
      </c>
      <c r="B212" s="1" t="n">
        <v>44266.57917824074</v>
      </c>
      <c r="C212" s="1" t="n">
        <v>45916</v>
      </c>
      <c r="D212" t="inlineStr">
        <is>
          <t>UPPSALA LÄN</t>
        </is>
      </c>
      <c r="E212" t="inlineStr">
        <is>
          <t>UPPSALA</t>
        </is>
      </c>
      <c r="F212" t="inlineStr">
        <is>
          <t>Bergvik skog öst AB</t>
        </is>
      </c>
      <c r="G212" t="n">
        <v>0.4</v>
      </c>
      <c r="H212" t="n">
        <v>0</v>
      </c>
      <c r="I212" t="n">
        <v>0</v>
      </c>
      <c r="J212" t="n">
        <v>0</v>
      </c>
      <c r="K212" t="n">
        <v>0</v>
      </c>
      <c r="L212" t="n">
        <v>0</v>
      </c>
      <c r="M212" t="n">
        <v>0</v>
      </c>
      <c r="N212" t="n">
        <v>0</v>
      </c>
      <c r="O212" t="n">
        <v>0</v>
      </c>
      <c r="P212" t="n">
        <v>0</v>
      </c>
      <c r="Q212" t="n">
        <v>0</v>
      </c>
      <c r="R212" s="2" t="inlineStr"/>
    </row>
    <row r="213" ht="15" customHeight="1">
      <c r="A213" t="inlineStr">
        <is>
          <t>A 55066-2022</t>
        </is>
      </c>
      <c r="B213" s="1" t="n">
        <v>44886.58890046296</v>
      </c>
      <c r="C213" s="1" t="n">
        <v>45916</v>
      </c>
      <c r="D213" t="inlineStr">
        <is>
          <t>UPPSALA LÄN</t>
        </is>
      </c>
      <c r="E213" t="inlineStr">
        <is>
          <t>UPPSALA</t>
        </is>
      </c>
      <c r="G213" t="n">
        <v>0.4</v>
      </c>
      <c r="H213" t="n">
        <v>0</v>
      </c>
      <c r="I213" t="n">
        <v>0</v>
      </c>
      <c r="J213" t="n">
        <v>0</v>
      </c>
      <c r="K213" t="n">
        <v>0</v>
      </c>
      <c r="L213" t="n">
        <v>0</v>
      </c>
      <c r="M213" t="n">
        <v>0</v>
      </c>
      <c r="N213" t="n">
        <v>0</v>
      </c>
      <c r="O213" t="n">
        <v>0</v>
      </c>
      <c r="P213" t="n">
        <v>0</v>
      </c>
      <c r="Q213" t="n">
        <v>0</v>
      </c>
      <c r="R213" s="2" t="inlineStr"/>
    </row>
    <row r="214" ht="15" customHeight="1">
      <c r="A214" t="inlineStr">
        <is>
          <t>A 16615-2021</t>
        </is>
      </c>
      <c r="B214" s="1" t="n">
        <v>44294.37555555555</v>
      </c>
      <c r="C214" s="1" t="n">
        <v>45916</v>
      </c>
      <c r="D214" t="inlineStr">
        <is>
          <t>UPPSALA LÄN</t>
        </is>
      </c>
      <c r="E214" t="inlineStr">
        <is>
          <t>UPPSALA</t>
        </is>
      </c>
      <c r="F214" t="inlineStr">
        <is>
          <t>Övriga Aktiebolag</t>
        </is>
      </c>
      <c r="G214" t="n">
        <v>1.5</v>
      </c>
      <c r="H214" t="n">
        <v>0</v>
      </c>
      <c r="I214" t="n">
        <v>0</v>
      </c>
      <c r="J214" t="n">
        <v>0</v>
      </c>
      <c r="K214" t="n">
        <v>0</v>
      </c>
      <c r="L214" t="n">
        <v>0</v>
      </c>
      <c r="M214" t="n">
        <v>0</v>
      </c>
      <c r="N214" t="n">
        <v>0</v>
      </c>
      <c r="O214" t="n">
        <v>0</v>
      </c>
      <c r="P214" t="n">
        <v>0</v>
      </c>
      <c r="Q214" t="n">
        <v>0</v>
      </c>
      <c r="R214" s="2" t="inlineStr"/>
    </row>
    <row r="215" ht="15" customHeight="1">
      <c r="A215" t="inlineStr">
        <is>
          <t>A 66927-2021</t>
        </is>
      </c>
      <c r="B215" s="1" t="n">
        <v>44522.55518518519</v>
      </c>
      <c r="C215" s="1" t="n">
        <v>45916</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45916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15377-2022</t>
        </is>
      </c>
      <c r="B217" s="1" t="n">
        <v>44659.57912037037</v>
      </c>
      <c r="C217" s="1" t="n">
        <v>45916</v>
      </c>
      <c r="D217" t="inlineStr">
        <is>
          <t>UPPSALA LÄN</t>
        </is>
      </c>
      <c r="E217" t="inlineStr">
        <is>
          <t>UPPSALA</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46079-2022</t>
        </is>
      </c>
      <c r="B218" s="1" t="n">
        <v>44847.35622685185</v>
      </c>
      <c r="C218" s="1" t="n">
        <v>45916</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34061-2022</t>
        </is>
      </c>
      <c r="B219" s="1" t="n">
        <v>44791.38336805555</v>
      </c>
      <c r="C219" s="1" t="n">
        <v>45916</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21394-2022</t>
        </is>
      </c>
      <c r="B220" s="1" t="n">
        <v>44705.84535879629</v>
      </c>
      <c r="C220" s="1" t="n">
        <v>45916</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13892-2022</t>
        </is>
      </c>
      <c r="B221" s="1" t="n">
        <v>44649</v>
      </c>
      <c r="C221" s="1" t="n">
        <v>45916</v>
      </c>
      <c r="D221" t="inlineStr">
        <is>
          <t>UPPSALA LÄN</t>
        </is>
      </c>
      <c r="E221" t="inlineStr">
        <is>
          <t>UPPSALA</t>
        </is>
      </c>
      <c r="G221" t="n">
        <v>3.3</v>
      </c>
      <c r="H221" t="n">
        <v>0</v>
      </c>
      <c r="I221" t="n">
        <v>0</v>
      </c>
      <c r="J221" t="n">
        <v>0</v>
      </c>
      <c r="K221" t="n">
        <v>0</v>
      </c>
      <c r="L221" t="n">
        <v>0</v>
      </c>
      <c r="M221" t="n">
        <v>0</v>
      </c>
      <c r="N221" t="n">
        <v>0</v>
      </c>
      <c r="O221" t="n">
        <v>0</v>
      </c>
      <c r="P221" t="n">
        <v>0</v>
      </c>
      <c r="Q221" t="n">
        <v>0</v>
      </c>
      <c r="R221" s="2" t="inlineStr"/>
    </row>
    <row r="222" ht="15" customHeight="1">
      <c r="A222" t="inlineStr">
        <is>
          <t>A 10464-2022</t>
        </is>
      </c>
      <c r="B222" s="1" t="n">
        <v>44623</v>
      </c>
      <c r="C222" s="1" t="n">
        <v>45916</v>
      </c>
      <c r="D222" t="inlineStr">
        <is>
          <t>UPPSALA LÄN</t>
        </is>
      </c>
      <c r="E222" t="inlineStr">
        <is>
          <t>UPPSALA</t>
        </is>
      </c>
      <c r="F222" t="inlineStr">
        <is>
          <t>Övriga Aktiebolag</t>
        </is>
      </c>
      <c r="G222" t="n">
        <v>0.7</v>
      </c>
      <c r="H222" t="n">
        <v>0</v>
      </c>
      <c r="I222" t="n">
        <v>0</v>
      </c>
      <c r="J222" t="n">
        <v>0</v>
      </c>
      <c r="K222" t="n">
        <v>0</v>
      </c>
      <c r="L222" t="n">
        <v>0</v>
      </c>
      <c r="M222" t="n">
        <v>0</v>
      </c>
      <c r="N222" t="n">
        <v>0</v>
      </c>
      <c r="O222" t="n">
        <v>0</v>
      </c>
      <c r="P222" t="n">
        <v>0</v>
      </c>
      <c r="Q222" t="n">
        <v>0</v>
      </c>
      <c r="R222" s="2" t="inlineStr"/>
    </row>
    <row r="223" ht="15" customHeight="1">
      <c r="A223" t="inlineStr">
        <is>
          <t>A 20265-2022</t>
        </is>
      </c>
      <c r="B223" s="1" t="n">
        <v>44698.67151620371</v>
      </c>
      <c r="C223" s="1" t="n">
        <v>45916</v>
      </c>
      <c r="D223" t="inlineStr">
        <is>
          <t>UPPSALA LÄN</t>
        </is>
      </c>
      <c r="E223" t="inlineStr">
        <is>
          <t>UPPSALA</t>
        </is>
      </c>
      <c r="F223" t="inlineStr">
        <is>
          <t>Bergvik skog öst AB</t>
        </is>
      </c>
      <c r="G223" t="n">
        <v>1.6</v>
      </c>
      <c r="H223" t="n">
        <v>0</v>
      </c>
      <c r="I223" t="n">
        <v>0</v>
      </c>
      <c r="J223" t="n">
        <v>0</v>
      </c>
      <c r="K223" t="n">
        <v>0</v>
      </c>
      <c r="L223" t="n">
        <v>0</v>
      </c>
      <c r="M223" t="n">
        <v>0</v>
      </c>
      <c r="N223" t="n">
        <v>0</v>
      </c>
      <c r="O223" t="n">
        <v>0</v>
      </c>
      <c r="P223" t="n">
        <v>0</v>
      </c>
      <c r="Q223" t="n">
        <v>0</v>
      </c>
      <c r="R223" s="2" t="inlineStr"/>
    </row>
    <row r="224" ht="15" customHeight="1">
      <c r="A224" t="inlineStr">
        <is>
          <t>A 30580-2022</t>
        </is>
      </c>
      <c r="B224" s="1" t="n">
        <v>44762</v>
      </c>
      <c r="C224" s="1" t="n">
        <v>45916</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14022-2021</t>
        </is>
      </c>
      <c r="B225" s="1" t="n">
        <v>44277.65263888889</v>
      </c>
      <c r="C225" s="1" t="n">
        <v>45916</v>
      </c>
      <c r="D225" t="inlineStr">
        <is>
          <t>UPPSALA LÄN</t>
        </is>
      </c>
      <c r="E225" t="inlineStr">
        <is>
          <t>UPPSALA</t>
        </is>
      </c>
      <c r="G225" t="n">
        <v>11.1</v>
      </c>
      <c r="H225" t="n">
        <v>0</v>
      </c>
      <c r="I225" t="n">
        <v>0</v>
      </c>
      <c r="J225" t="n">
        <v>0</v>
      </c>
      <c r="K225" t="n">
        <v>0</v>
      </c>
      <c r="L225" t="n">
        <v>0</v>
      </c>
      <c r="M225" t="n">
        <v>0</v>
      </c>
      <c r="N225" t="n">
        <v>0</v>
      </c>
      <c r="O225" t="n">
        <v>0</v>
      </c>
      <c r="P225" t="n">
        <v>0</v>
      </c>
      <c r="Q225" t="n">
        <v>0</v>
      </c>
      <c r="R225" s="2" t="inlineStr"/>
    </row>
    <row r="226" ht="15" customHeight="1">
      <c r="A226" t="inlineStr">
        <is>
          <t>A 35411-2022</t>
        </is>
      </c>
      <c r="B226" s="1" t="n">
        <v>44798</v>
      </c>
      <c r="C226" s="1" t="n">
        <v>45916</v>
      </c>
      <c r="D226" t="inlineStr">
        <is>
          <t>UPPSALA LÄN</t>
        </is>
      </c>
      <c r="E226" t="inlineStr">
        <is>
          <t>UPPSALA</t>
        </is>
      </c>
      <c r="G226" t="n">
        <v>0.5</v>
      </c>
      <c r="H226" t="n">
        <v>0</v>
      </c>
      <c r="I226" t="n">
        <v>0</v>
      </c>
      <c r="J226" t="n">
        <v>0</v>
      </c>
      <c r="K226" t="n">
        <v>0</v>
      </c>
      <c r="L226" t="n">
        <v>0</v>
      </c>
      <c r="M226" t="n">
        <v>0</v>
      </c>
      <c r="N226" t="n">
        <v>0</v>
      </c>
      <c r="O226" t="n">
        <v>0</v>
      </c>
      <c r="P226" t="n">
        <v>0</v>
      </c>
      <c r="Q226" t="n">
        <v>0</v>
      </c>
      <c r="R226" s="2" t="inlineStr"/>
    </row>
    <row r="227" ht="15" customHeight="1">
      <c r="A227" t="inlineStr">
        <is>
          <t>A 46293-2022</t>
        </is>
      </c>
      <c r="B227" s="1" t="n">
        <v>44847</v>
      </c>
      <c r="C227" s="1" t="n">
        <v>45916</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58058-2020</t>
        </is>
      </c>
      <c r="B228" s="1" t="n">
        <v>44144</v>
      </c>
      <c r="C228" s="1" t="n">
        <v>45916</v>
      </c>
      <c r="D228" t="inlineStr">
        <is>
          <t>UPPSALA LÄN</t>
        </is>
      </c>
      <c r="E228" t="inlineStr">
        <is>
          <t>UPPSALA</t>
        </is>
      </c>
      <c r="G228" t="n">
        <v>4.4</v>
      </c>
      <c r="H228" t="n">
        <v>0</v>
      </c>
      <c r="I228" t="n">
        <v>0</v>
      </c>
      <c r="J228" t="n">
        <v>0</v>
      </c>
      <c r="K228" t="n">
        <v>0</v>
      </c>
      <c r="L228" t="n">
        <v>0</v>
      </c>
      <c r="M228" t="n">
        <v>0</v>
      </c>
      <c r="N228" t="n">
        <v>0</v>
      </c>
      <c r="O228" t="n">
        <v>0</v>
      </c>
      <c r="P228" t="n">
        <v>0</v>
      </c>
      <c r="Q228" t="n">
        <v>0</v>
      </c>
      <c r="R228" s="2" t="inlineStr"/>
    </row>
    <row r="229" ht="15" customHeight="1">
      <c r="A229" t="inlineStr">
        <is>
          <t>A 15310-2022</t>
        </is>
      </c>
      <c r="B229" s="1" t="n">
        <v>44659</v>
      </c>
      <c r="C229" s="1" t="n">
        <v>45916</v>
      </c>
      <c r="D229" t="inlineStr">
        <is>
          <t>UPPSALA LÄN</t>
        </is>
      </c>
      <c r="E229" t="inlineStr">
        <is>
          <t>UPPSALA</t>
        </is>
      </c>
      <c r="F229" t="inlineStr">
        <is>
          <t>Bergvik skog öst AB</t>
        </is>
      </c>
      <c r="G229" t="n">
        <v>0.7</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45916</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5006-2022</t>
        </is>
      </c>
      <c r="B231" s="1" t="n">
        <v>44593</v>
      </c>
      <c r="C231" s="1" t="n">
        <v>45916</v>
      </c>
      <c r="D231" t="inlineStr">
        <is>
          <t>UPPSALA LÄN</t>
        </is>
      </c>
      <c r="E231" t="inlineStr">
        <is>
          <t>UPPSALA</t>
        </is>
      </c>
      <c r="F231" t="inlineStr">
        <is>
          <t>BillerudKorsnäs AB</t>
        </is>
      </c>
      <c r="G231" t="n">
        <v>1.4</v>
      </c>
      <c r="H231" t="n">
        <v>0</v>
      </c>
      <c r="I231" t="n">
        <v>0</v>
      </c>
      <c r="J231" t="n">
        <v>0</v>
      </c>
      <c r="K231" t="n">
        <v>0</v>
      </c>
      <c r="L231" t="n">
        <v>0</v>
      </c>
      <c r="M231" t="n">
        <v>0</v>
      </c>
      <c r="N231" t="n">
        <v>0</v>
      </c>
      <c r="O231" t="n">
        <v>0</v>
      </c>
      <c r="P231" t="n">
        <v>0</v>
      </c>
      <c r="Q231" t="n">
        <v>0</v>
      </c>
      <c r="R231" s="2" t="inlineStr"/>
    </row>
    <row r="232" ht="15" customHeight="1">
      <c r="A232" t="inlineStr">
        <is>
          <t>A 5007-2022</t>
        </is>
      </c>
      <c r="B232" s="1" t="n">
        <v>44593.61355324074</v>
      </c>
      <c r="C232" s="1" t="n">
        <v>45916</v>
      </c>
      <c r="D232" t="inlineStr">
        <is>
          <t>UPPSALA LÄN</t>
        </is>
      </c>
      <c r="E232" t="inlineStr">
        <is>
          <t>UPPSALA</t>
        </is>
      </c>
      <c r="F232" t="inlineStr">
        <is>
          <t>BillerudKorsnäs AB</t>
        </is>
      </c>
      <c r="G232" t="n">
        <v>3.6</v>
      </c>
      <c r="H232" t="n">
        <v>0</v>
      </c>
      <c r="I232" t="n">
        <v>0</v>
      </c>
      <c r="J232" t="n">
        <v>0</v>
      </c>
      <c r="K232" t="n">
        <v>0</v>
      </c>
      <c r="L232" t="n">
        <v>0</v>
      </c>
      <c r="M232" t="n">
        <v>0</v>
      </c>
      <c r="N232" t="n">
        <v>0</v>
      </c>
      <c r="O232" t="n">
        <v>0</v>
      </c>
      <c r="P232" t="n">
        <v>0</v>
      </c>
      <c r="Q232" t="n">
        <v>0</v>
      </c>
      <c r="R232" s="2" t="inlineStr"/>
    </row>
    <row r="233" ht="15" customHeight="1">
      <c r="A233" t="inlineStr">
        <is>
          <t>A 9201-2024</t>
        </is>
      </c>
      <c r="B233" s="1" t="n">
        <v>45358</v>
      </c>
      <c r="C233" s="1" t="n">
        <v>45916</v>
      </c>
      <c r="D233" t="inlineStr">
        <is>
          <t>UPPSALA LÄN</t>
        </is>
      </c>
      <c r="E233" t="inlineStr">
        <is>
          <t>UPPSALA</t>
        </is>
      </c>
      <c r="F233" t="inlineStr">
        <is>
          <t>Allmännings- och besparingsskogar</t>
        </is>
      </c>
      <c r="G233" t="n">
        <v>6.5</v>
      </c>
      <c r="H233" t="n">
        <v>0</v>
      </c>
      <c r="I233" t="n">
        <v>0</v>
      </c>
      <c r="J233" t="n">
        <v>0</v>
      </c>
      <c r="K233" t="n">
        <v>0</v>
      </c>
      <c r="L233" t="n">
        <v>0</v>
      </c>
      <c r="M233" t="n">
        <v>0</v>
      </c>
      <c r="N233" t="n">
        <v>0</v>
      </c>
      <c r="O233" t="n">
        <v>0</v>
      </c>
      <c r="P233" t="n">
        <v>0</v>
      </c>
      <c r="Q233" t="n">
        <v>0</v>
      </c>
      <c r="R233" s="2" t="inlineStr"/>
    </row>
    <row r="234" ht="15" customHeight="1">
      <c r="A234" t="inlineStr">
        <is>
          <t>A 29277-2022</t>
        </is>
      </c>
      <c r="B234" s="1" t="n">
        <v>44750.678125</v>
      </c>
      <c r="C234" s="1" t="n">
        <v>45916</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2980-2025</t>
        </is>
      </c>
      <c r="B235" s="1" t="n">
        <v>45678</v>
      </c>
      <c r="C235" s="1" t="n">
        <v>45916</v>
      </c>
      <c r="D235" t="inlineStr">
        <is>
          <t>UPPSALA LÄN</t>
        </is>
      </c>
      <c r="E235" t="inlineStr">
        <is>
          <t>UPPSALA</t>
        </is>
      </c>
      <c r="G235" t="n">
        <v>5</v>
      </c>
      <c r="H235" t="n">
        <v>0</v>
      </c>
      <c r="I235" t="n">
        <v>0</v>
      </c>
      <c r="J235" t="n">
        <v>0</v>
      </c>
      <c r="K235" t="n">
        <v>0</v>
      </c>
      <c r="L235" t="n">
        <v>0</v>
      </c>
      <c r="M235" t="n">
        <v>0</v>
      </c>
      <c r="N235" t="n">
        <v>0</v>
      </c>
      <c r="O235" t="n">
        <v>0</v>
      </c>
      <c r="P235" t="n">
        <v>0</v>
      </c>
      <c r="Q235" t="n">
        <v>0</v>
      </c>
      <c r="R235" s="2" t="inlineStr"/>
    </row>
    <row r="236" ht="15" customHeight="1">
      <c r="A236" t="inlineStr">
        <is>
          <t>A 56679-2022</t>
        </is>
      </c>
      <c r="B236" s="1" t="n">
        <v>44893</v>
      </c>
      <c r="C236" s="1" t="n">
        <v>45916</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8494-2021</t>
        </is>
      </c>
      <c r="B237" s="1" t="n">
        <v>44245</v>
      </c>
      <c r="C237" s="1" t="n">
        <v>45916</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45916</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50092-2022</t>
        </is>
      </c>
      <c r="B239" s="1" t="n">
        <v>44865</v>
      </c>
      <c r="C239" s="1" t="n">
        <v>45916</v>
      </c>
      <c r="D239" t="inlineStr">
        <is>
          <t>UPPSALA LÄN</t>
        </is>
      </c>
      <c r="E239" t="inlineStr">
        <is>
          <t>UPPSALA</t>
        </is>
      </c>
      <c r="G239" t="n">
        <v>1.1</v>
      </c>
      <c r="H239" t="n">
        <v>0</v>
      </c>
      <c r="I239" t="n">
        <v>0</v>
      </c>
      <c r="J239" t="n">
        <v>0</v>
      </c>
      <c r="K239" t="n">
        <v>0</v>
      </c>
      <c r="L239" t="n">
        <v>0</v>
      </c>
      <c r="M239" t="n">
        <v>0</v>
      </c>
      <c r="N239" t="n">
        <v>0</v>
      </c>
      <c r="O239" t="n">
        <v>0</v>
      </c>
      <c r="P239" t="n">
        <v>0</v>
      </c>
      <c r="Q239" t="n">
        <v>0</v>
      </c>
      <c r="R239" s="2" t="inlineStr"/>
    </row>
    <row r="240" ht="15" customHeight="1">
      <c r="A240" t="inlineStr">
        <is>
          <t>A 51396-2021</t>
        </is>
      </c>
      <c r="B240" s="1" t="n">
        <v>44461.73350694445</v>
      </c>
      <c r="C240" s="1" t="n">
        <v>45916</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45-2024</t>
        </is>
      </c>
      <c r="B241" s="1" t="n">
        <v>45293</v>
      </c>
      <c r="C241" s="1" t="n">
        <v>45916</v>
      </c>
      <c r="D241" t="inlineStr">
        <is>
          <t>UPPSALA LÄN</t>
        </is>
      </c>
      <c r="E241" t="inlineStr">
        <is>
          <t>UPPSALA</t>
        </is>
      </c>
      <c r="G241" t="n">
        <v>12.5</v>
      </c>
      <c r="H241" t="n">
        <v>0</v>
      </c>
      <c r="I241" t="n">
        <v>0</v>
      </c>
      <c r="J241" t="n">
        <v>0</v>
      </c>
      <c r="K241" t="n">
        <v>0</v>
      </c>
      <c r="L241" t="n">
        <v>0</v>
      </c>
      <c r="M241" t="n">
        <v>0</v>
      </c>
      <c r="N241" t="n">
        <v>0</v>
      </c>
      <c r="O241" t="n">
        <v>0</v>
      </c>
      <c r="P241" t="n">
        <v>0</v>
      </c>
      <c r="Q241" t="n">
        <v>0</v>
      </c>
      <c r="R241" s="2" t="inlineStr"/>
    </row>
    <row r="242" ht="15" customHeight="1">
      <c r="A242" t="inlineStr">
        <is>
          <t>A 35539-2022</t>
        </is>
      </c>
      <c r="B242" s="1" t="n">
        <v>44799.36359953704</v>
      </c>
      <c r="C242" s="1" t="n">
        <v>45916</v>
      </c>
      <c r="D242" t="inlineStr">
        <is>
          <t>UPPSALA LÄN</t>
        </is>
      </c>
      <c r="E242" t="inlineStr">
        <is>
          <t>UPPSALA</t>
        </is>
      </c>
      <c r="G242" t="n">
        <v>0.9</v>
      </c>
      <c r="H242" t="n">
        <v>0</v>
      </c>
      <c r="I242" t="n">
        <v>0</v>
      </c>
      <c r="J242" t="n">
        <v>0</v>
      </c>
      <c r="K242" t="n">
        <v>0</v>
      </c>
      <c r="L242" t="n">
        <v>0</v>
      </c>
      <c r="M242" t="n">
        <v>0</v>
      </c>
      <c r="N242" t="n">
        <v>0</v>
      </c>
      <c r="O242" t="n">
        <v>0</v>
      </c>
      <c r="P242" t="n">
        <v>0</v>
      </c>
      <c r="Q242" t="n">
        <v>0</v>
      </c>
      <c r="R242" s="2" t="inlineStr"/>
    </row>
    <row r="243" ht="15" customHeight="1">
      <c r="A243" t="inlineStr">
        <is>
          <t>A 5081-2022</t>
        </is>
      </c>
      <c r="B243" s="1" t="n">
        <v>44593</v>
      </c>
      <c r="C243" s="1" t="n">
        <v>45916</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3259-2022</t>
        </is>
      </c>
      <c r="B244" s="1" t="n">
        <v>44583.61555555555</v>
      </c>
      <c r="C244" s="1" t="n">
        <v>45916</v>
      </c>
      <c r="D244" t="inlineStr">
        <is>
          <t>UPPSALA LÄN</t>
        </is>
      </c>
      <c r="E244" t="inlineStr">
        <is>
          <t>UPPSALA</t>
        </is>
      </c>
      <c r="F244" t="inlineStr">
        <is>
          <t>Holmen skog AB</t>
        </is>
      </c>
      <c r="G244" t="n">
        <v>2.4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45916</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2017-2022</t>
        </is>
      </c>
      <c r="B246" s="1" t="n">
        <v>44575</v>
      </c>
      <c r="C246" s="1" t="n">
        <v>45916</v>
      </c>
      <c r="D246" t="inlineStr">
        <is>
          <t>UPPSALA LÄN</t>
        </is>
      </c>
      <c r="E246" t="inlineStr">
        <is>
          <t>UPPSALA</t>
        </is>
      </c>
      <c r="G246" t="n">
        <v>1.1</v>
      </c>
      <c r="H246" t="n">
        <v>0</v>
      </c>
      <c r="I246" t="n">
        <v>0</v>
      </c>
      <c r="J246" t="n">
        <v>0</v>
      </c>
      <c r="K246" t="n">
        <v>0</v>
      </c>
      <c r="L246" t="n">
        <v>0</v>
      </c>
      <c r="M246" t="n">
        <v>0</v>
      </c>
      <c r="N246" t="n">
        <v>0</v>
      </c>
      <c r="O246" t="n">
        <v>0</v>
      </c>
      <c r="P246" t="n">
        <v>0</v>
      </c>
      <c r="Q246" t="n">
        <v>0</v>
      </c>
      <c r="R246" s="2" t="inlineStr"/>
    </row>
    <row r="247" ht="15" customHeight="1">
      <c r="A247" t="inlineStr">
        <is>
          <t>A 20418-2025</t>
        </is>
      </c>
      <c r="B247" s="1" t="n">
        <v>45775.46377314815</v>
      </c>
      <c r="C247" s="1" t="n">
        <v>45916</v>
      </c>
      <c r="D247" t="inlineStr">
        <is>
          <t>UPPSALA LÄN</t>
        </is>
      </c>
      <c r="E247" t="inlineStr">
        <is>
          <t>UPPSALA</t>
        </is>
      </c>
      <c r="F247" t="inlineStr">
        <is>
          <t>Allmännings- och besparingsskogar</t>
        </is>
      </c>
      <c r="G247" t="n">
        <v>5.2</v>
      </c>
      <c r="H247" t="n">
        <v>0</v>
      </c>
      <c r="I247" t="n">
        <v>0</v>
      </c>
      <c r="J247" t="n">
        <v>0</v>
      </c>
      <c r="K247" t="n">
        <v>0</v>
      </c>
      <c r="L247" t="n">
        <v>0</v>
      </c>
      <c r="M247" t="n">
        <v>0</v>
      </c>
      <c r="N247" t="n">
        <v>0</v>
      </c>
      <c r="O247" t="n">
        <v>0</v>
      </c>
      <c r="P247" t="n">
        <v>0</v>
      </c>
      <c r="Q247" t="n">
        <v>0</v>
      </c>
      <c r="R247" s="2" t="inlineStr"/>
    </row>
    <row r="248" ht="15" customHeight="1">
      <c r="A248" t="inlineStr">
        <is>
          <t>A 37588-2022</t>
        </is>
      </c>
      <c r="B248" s="1" t="n">
        <v>44809.92752314815</v>
      </c>
      <c r="C248" s="1" t="n">
        <v>45916</v>
      </c>
      <c r="D248" t="inlineStr">
        <is>
          <t>UPPSALA LÄN</t>
        </is>
      </c>
      <c r="E248" t="inlineStr">
        <is>
          <t>UPPSALA</t>
        </is>
      </c>
      <c r="G248" t="n">
        <v>1.2</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45916</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59549-2024</t>
        </is>
      </c>
      <c r="B250" s="1" t="n">
        <v>45638</v>
      </c>
      <c r="C250" s="1" t="n">
        <v>45916</v>
      </c>
      <c r="D250" t="inlineStr">
        <is>
          <t>UPPSALA LÄN</t>
        </is>
      </c>
      <c r="E250" t="inlineStr">
        <is>
          <t>UPPSALA</t>
        </is>
      </c>
      <c r="G250" t="n">
        <v>0.9</v>
      </c>
      <c r="H250" t="n">
        <v>0</v>
      </c>
      <c r="I250" t="n">
        <v>0</v>
      </c>
      <c r="J250" t="n">
        <v>0</v>
      </c>
      <c r="K250" t="n">
        <v>0</v>
      </c>
      <c r="L250" t="n">
        <v>0</v>
      </c>
      <c r="M250" t="n">
        <v>0</v>
      </c>
      <c r="N250" t="n">
        <v>0</v>
      </c>
      <c r="O250" t="n">
        <v>0</v>
      </c>
      <c r="P250" t="n">
        <v>0</v>
      </c>
      <c r="Q250" t="n">
        <v>0</v>
      </c>
      <c r="R250" s="2" t="inlineStr"/>
    </row>
    <row r="251" ht="15" customHeight="1">
      <c r="A251" t="inlineStr">
        <is>
          <t>A 1936-2022</t>
        </is>
      </c>
      <c r="B251" s="1" t="n">
        <v>44575.4366087963</v>
      </c>
      <c r="C251" s="1" t="n">
        <v>45916</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34509-2023</t>
        </is>
      </c>
      <c r="B252" s="1" t="n">
        <v>45133</v>
      </c>
      <c r="C252" s="1" t="n">
        <v>45916</v>
      </c>
      <c r="D252" t="inlineStr">
        <is>
          <t>UPPSALA LÄN</t>
        </is>
      </c>
      <c r="E252" t="inlineStr">
        <is>
          <t>UPPSALA</t>
        </is>
      </c>
      <c r="G252" t="n">
        <v>2.6</v>
      </c>
      <c r="H252" t="n">
        <v>0</v>
      </c>
      <c r="I252" t="n">
        <v>0</v>
      </c>
      <c r="J252" t="n">
        <v>0</v>
      </c>
      <c r="K252" t="n">
        <v>0</v>
      </c>
      <c r="L252" t="n">
        <v>0</v>
      </c>
      <c r="M252" t="n">
        <v>0</v>
      </c>
      <c r="N252" t="n">
        <v>0</v>
      </c>
      <c r="O252" t="n">
        <v>0</v>
      </c>
      <c r="P252" t="n">
        <v>0</v>
      </c>
      <c r="Q252" t="n">
        <v>0</v>
      </c>
      <c r="R252" s="2" t="inlineStr"/>
    </row>
    <row r="253" ht="15" customHeight="1">
      <c r="A253" t="inlineStr">
        <is>
          <t>A 51935-2023</t>
        </is>
      </c>
      <c r="B253" s="1" t="n">
        <v>45223</v>
      </c>
      <c r="C253" s="1" t="n">
        <v>45916</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33939-2024</t>
        </is>
      </c>
      <c r="B254" s="1" t="n">
        <v>45523</v>
      </c>
      <c r="C254" s="1" t="n">
        <v>45916</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22946-2021</t>
        </is>
      </c>
      <c r="B255" s="1" t="n">
        <v>44328.57100694445</v>
      </c>
      <c r="C255" s="1" t="n">
        <v>45916</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13343-2022</t>
        </is>
      </c>
      <c r="B256" s="1" t="n">
        <v>44645.39157407408</v>
      </c>
      <c r="C256" s="1" t="n">
        <v>45916</v>
      </c>
      <c r="D256" t="inlineStr">
        <is>
          <t>UPPSALA LÄN</t>
        </is>
      </c>
      <c r="E256" t="inlineStr">
        <is>
          <t>UPPSALA</t>
        </is>
      </c>
      <c r="F256" t="inlineStr">
        <is>
          <t>Övriga Aktiebolag</t>
        </is>
      </c>
      <c r="G256" t="n">
        <v>1.9</v>
      </c>
      <c r="H256" t="n">
        <v>0</v>
      </c>
      <c r="I256" t="n">
        <v>0</v>
      </c>
      <c r="J256" t="n">
        <v>0</v>
      </c>
      <c r="K256" t="n">
        <v>0</v>
      </c>
      <c r="L256" t="n">
        <v>0</v>
      </c>
      <c r="M256" t="n">
        <v>0</v>
      </c>
      <c r="N256" t="n">
        <v>0</v>
      </c>
      <c r="O256" t="n">
        <v>0</v>
      </c>
      <c r="P256" t="n">
        <v>0</v>
      </c>
      <c r="Q256" t="n">
        <v>0</v>
      </c>
      <c r="R256" s="2" t="inlineStr"/>
    </row>
    <row r="257" ht="15" customHeight="1">
      <c r="A257" t="inlineStr">
        <is>
          <t>A 11173-2024</t>
        </is>
      </c>
      <c r="B257" s="1" t="n">
        <v>45371.50738425926</v>
      </c>
      <c r="C257" s="1" t="n">
        <v>45916</v>
      </c>
      <c r="D257" t="inlineStr">
        <is>
          <t>UPPSALA LÄN</t>
        </is>
      </c>
      <c r="E257" t="inlineStr">
        <is>
          <t>UPPSALA</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781-2024</t>
        </is>
      </c>
      <c r="B258" s="1" t="n">
        <v>45300.55028935185</v>
      </c>
      <c r="C258" s="1" t="n">
        <v>45916</v>
      </c>
      <c r="D258" t="inlineStr">
        <is>
          <t>UPPSALA LÄN</t>
        </is>
      </c>
      <c r="E258" t="inlineStr">
        <is>
          <t>UPPSALA</t>
        </is>
      </c>
      <c r="G258" t="n">
        <v>6.3</v>
      </c>
      <c r="H258" t="n">
        <v>0</v>
      </c>
      <c r="I258" t="n">
        <v>0</v>
      </c>
      <c r="J258" t="n">
        <v>0</v>
      </c>
      <c r="K258" t="n">
        <v>0</v>
      </c>
      <c r="L258" t="n">
        <v>0</v>
      </c>
      <c r="M258" t="n">
        <v>0</v>
      </c>
      <c r="N258" t="n">
        <v>0</v>
      </c>
      <c r="O258" t="n">
        <v>0</v>
      </c>
      <c r="P258" t="n">
        <v>0</v>
      </c>
      <c r="Q258" t="n">
        <v>0</v>
      </c>
      <c r="R258" s="2" t="inlineStr"/>
    </row>
    <row r="259" ht="15" customHeight="1">
      <c r="A259" t="inlineStr">
        <is>
          <t>A 31646-2021</t>
        </is>
      </c>
      <c r="B259" s="1" t="n">
        <v>44369</v>
      </c>
      <c r="C259" s="1" t="n">
        <v>45916</v>
      </c>
      <c r="D259" t="inlineStr">
        <is>
          <t>UPPSALA LÄN</t>
        </is>
      </c>
      <c r="E259" t="inlineStr">
        <is>
          <t>UPPSALA</t>
        </is>
      </c>
      <c r="G259" t="n">
        <v>1.7</v>
      </c>
      <c r="H259" t="n">
        <v>0</v>
      </c>
      <c r="I259" t="n">
        <v>0</v>
      </c>
      <c r="J259" t="n">
        <v>0</v>
      </c>
      <c r="K259" t="n">
        <v>0</v>
      </c>
      <c r="L259" t="n">
        <v>0</v>
      </c>
      <c r="M259" t="n">
        <v>0</v>
      </c>
      <c r="N259" t="n">
        <v>0</v>
      </c>
      <c r="O259" t="n">
        <v>0</v>
      </c>
      <c r="P259" t="n">
        <v>0</v>
      </c>
      <c r="Q259" t="n">
        <v>0</v>
      </c>
      <c r="R259" s="2" t="inlineStr"/>
    </row>
    <row r="260" ht="15" customHeight="1">
      <c r="A260" t="inlineStr">
        <is>
          <t>A 9242-2022</t>
        </is>
      </c>
      <c r="B260" s="1" t="n">
        <v>44616</v>
      </c>
      <c r="C260" s="1" t="n">
        <v>45916</v>
      </c>
      <c r="D260" t="inlineStr">
        <is>
          <t>UPPSALA LÄN</t>
        </is>
      </c>
      <c r="E260" t="inlineStr">
        <is>
          <t>UPPSALA</t>
        </is>
      </c>
      <c r="F260" t="inlineStr">
        <is>
          <t>Övriga Aktiebolag</t>
        </is>
      </c>
      <c r="G260" t="n">
        <v>5.9</v>
      </c>
      <c r="H260" t="n">
        <v>0</v>
      </c>
      <c r="I260" t="n">
        <v>0</v>
      </c>
      <c r="J260" t="n">
        <v>0</v>
      </c>
      <c r="K260" t="n">
        <v>0</v>
      </c>
      <c r="L260" t="n">
        <v>0</v>
      </c>
      <c r="M260" t="n">
        <v>0</v>
      </c>
      <c r="N260" t="n">
        <v>0</v>
      </c>
      <c r="O260" t="n">
        <v>0</v>
      </c>
      <c r="P260" t="n">
        <v>0</v>
      </c>
      <c r="Q260" t="n">
        <v>0</v>
      </c>
      <c r="R260" s="2" t="inlineStr"/>
    </row>
    <row r="261" ht="15" customHeight="1">
      <c r="A261" t="inlineStr">
        <is>
          <t>A 14907-2025</t>
        </is>
      </c>
      <c r="B261" s="1" t="n">
        <v>45743.50744212963</v>
      </c>
      <c r="C261" s="1" t="n">
        <v>45916</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6059-2025</t>
        </is>
      </c>
      <c r="B262" s="1" t="n">
        <v>45695.8391550926</v>
      </c>
      <c r="C262" s="1" t="n">
        <v>45916</v>
      </c>
      <c r="D262" t="inlineStr">
        <is>
          <t>UPPSALA LÄN</t>
        </is>
      </c>
      <c r="E262" t="inlineStr">
        <is>
          <t>UPPSALA</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9592-2022</t>
        </is>
      </c>
      <c r="B263" s="1" t="n">
        <v>44617.48311342593</v>
      </c>
      <c r="C263" s="1" t="n">
        <v>45916</v>
      </c>
      <c r="D263" t="inlineStr">
        <is>
          <t>UPPSALA LÄN</t>
        </is>
      </c>
      <c r="E263" t="inlineStr">
        <is>
          <t>UPPSALA</t>
        </is>
      </c>
      <c r="G263" t="n">
        <v>7.5</v>
      </c>
      <c r="H263" t="n">
        <v>0</v>
      </c>
      <c r="I263" t="n">
        <v>0</v>
      </c>
      <c r="J263" t="n">
        <v>0</v>
      </c>
      <c r="K263" t="n">
        <v>0</v>
      </c>
      <c r="L263" t="n">
        <v>0</v>
      </c>
      <c r="M263" t="n">
        <v>0</v>
      </c>
      <c r="N263" t="n">
        <v>0</v>
      </c>
      <c r="O263" t="n">
        <v>0</v>
      </c>
      <c r="P263" t="n">
        <v>0</v>
      </c>
      <c r="Q263" t="n">
        <v>0</v>
      </c>
      <c r="R263" s="2" t="inlineStr"/>
    </row>
    <row r="264" ht="15" customHeight="1">
      <c r="A264" t="inlineStr">
        <is>
          <t>A 49931-2020</t>
        </is>
      </c>
      <c r="B264" s="1" t="n">
        <v>44109</v>
      </c>
      <c r="C264" s="1" t="n">
        <v>45916</v>
      </c>
      <c r="D264" t="inlineStr">
        <is>
          <t>UPPSALA LÄN</t>
        </is>
      </c>
      <c r="E264" t="inlineStr">
        <is>
          <t>UPPSALA</t>
        </is>
      </c>
      <c r="G264" t="n">
        <v>3.4</v>
      </c>
      <c r="H264" t="n">
        <v>0</v>
      </c>
      <c r="I264" t="n">
        <v>0</v>
      </c>
      <c r="J264" t="n">
        <v>0</v>
      </c>
      <c r="K264" t="n">
        <v>0</v>
      </c>
      <c r="L264" t="n">
        <v>0</v>
      </c>
      <c r="M264" t="n">
        <v>0</v>
      </c>
      <c r="N264" t="n">
        <v>0</v>
      </c>
      <c r="O264" t="n">
        <v>0</v>
      </c>
      <c r="P264" t="n">
        <v>0</v>
      </c>
      <c r="Q264" t="n">
        <v>0</v>
      </c>
      <c r="R264" s="2" t="inlineStr"/>
    </row>
    <row r="265" ht="15" customHeight="1">
      <c r="A265" t="inlineStr">
        <is>
          <t>A 56084-2024</t>
        </is>
      </c>
      <c r="B265" s="1" t="n">
        <v>45624</v>
      </c>
      <c r="C265" s="1" t="n">
        <v>45916</v>
      </c>
      <c r="D265" t="inlineStr">
        <is>
          <t>UPPSALA LÄN</t>
        </is>
      </c>
      <c r="E265" t="inlineStr">
        <is>
          <t>UPPSALA</t>
        </is>
      </c>
      <c r="G265" t="n">
        <v>3.8</v>
      </c>
      <c r="H265" t="n">
        <v>0</v>
      </c>
      <c r="I265" t="n">
        <v>0</v>
      </c>
      <c r="J265" t="n">
        <v>0</v>
      </c>
      <c r="K265" t="n">
        <v>0</v>
      </c>
      <c r="L265" t="n">
        <v>0</v>
      </c>
      <c r="M265" t="n">
        <v>0</v>
      </c>
      <c r="N265" t="n">
        <v>0</v>
      </c>
      <c r="O265" t="n">
        <v>0</v>
      </c>
      <c r="P265" t="n">
        <v>0</v>
      </c>
      <c r="Q265" t="n">
        <v>0</v>
      </c>
      <c r="R265" s="2" t="inlineStr"/>
    </row>
    <row r="266" ht="15" customHeight="1">
      <c r="A266" t="inlineStr">
        <is>
          <t>A 26323-2023</t>
        </is>
      </c>
      <c r="B266" s="1" t="n">
        <v>45091.69766203704</v>
      </c>
      <c r="C266" s="1" t="n">
        <v>45916</v>
      </c>
      <c r="D266" t="inlineStr">
        <is>
          <t>UPPSALA LÄN</t>
        </is>
      </c>
      <c r="E266" t="inlineStr">
        <is>
          <t>UPPSALA</t>
        </is>
      </c>
      <c r="G266" t="n">
        <v>3.1</v>
      </c>
      <c r="H266" t="n">
        <v>0</v>
      </c>
      <c r="I266" t="n">
        <v>0</v>
      </c>
      <c r="J266" t="n">
        <v>0</v>
      </c>
      <c r="K266" t="n">
        <v>0</v>
      </c>
      <c r="L266" t="n">
        <v>0</v>
      </c>
      <c r="M266" t="n">
        <v>0</v>
      </c>
      <c r="N266" t="n">
        <v>0</v>
      </c>
      <c r="O266" t="n">
        <v>0</v>
      </c>
      <c r="P266" t="n">
        <v>0</v>
      </c>
      <c r="Q266" t="n">
        <v>0</v>
      </c>
      <c r="R266" s="2" t="inlineStr"/>
    </row>
    <row r="267" ht="15" customHeight="1">
      <c r="A267" t="inlineStr">
        <is>
          <t>A 2927-2022</t>
        </is>
      </c>
      <c r="B267" s="1" t="n">
        <v>44581.60254629629</v>
      </c>
      <c r="C267" s="1" t="n">
        <v>45916</v>
      </c>
      <c r="D267" t="inlineStr">
        <is>
          <t>UPPSALA LÄN</t>
        </is>
      </c>
      <c r="E267" t="inlineStr">
        <is>
          <t>UPPSALA</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18443-2023</t>
        </is>
      </c>
      <c r="B268" s="1" t="n">
        <v>45042</v>
      </c>
      <c r="C268" s="1" t="n">
        <v>45916</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5989-2022</t>
        </is>
      </c>
      <c r="B269" s="1" t="n">
        <v>44599.42277777778</v>
      </c>
      <c r="C269" s="1" t="n">
        <v>45916</v>
      </c>
      <c r="D269" t="inlineStr">
        <is>
          <t>UPPSALA LÄN</t>
        </is>
      </c>
      <c r="E269" t="inlineStr">
        <is>
          <t>UPPSALA</t>
        </is>
      </c>
      <c r="G269" t="n">
        <v>2.8</v>
      </c>
      <c r="H269" t="n">
        <v>0</v>
      </c>
      <c r="I269" t="n">
        <v>0</v>
      </c>
      <c r="J269" t="n">
        <v>0</v>
      </c>
      <c r="K269" t="n">
        <v>0</v>
      </c>
      <c r="L269" t="n">
        <v>0</v>
      </c>
      <c r="M269" t="n">
        <v>0</v>
      </c>
      <c r="N269" t="n">
        <v>0</v>
      </c>
      <c r="O269" t="n">
        <v>0</v>
      </c>
      <c r="P269" t="n">
        <v>0</v>
      </c>
      <c r="Q269" t="n">
        <v>0</v>
      </c>
      <c r="R269" s="2" t="inlineStr"/>
    </row>
    <row r="270" ht="15" customHeight="1">
      <c r="A270" t="inlineStr">
        <is>
          <t>A 19017-2023</t>
        </is>
      </c>
      <c r="B270" s="1" t="n">
        <v>45047.31793981481</v>
      </c>
      <c r="C270" s="1" t="n">
        <v>45916</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10674-2022</t>
        </is>
      </c>
      <c r="B271" s="1" t="n">
        <v>44624.64538194444</v>
      </c>
      <c r="C271" s="1" t="n">
        <v>45916</v>
      </c>
      <c r="D271" t="inlineStr">
        <is>
          <t>UPPSALA LÄN</t>
        </is>
      </c>
      <c r="E271" t="inlineStr">
        <is>
          <t>UPPSALA</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22951-2025</t>
        </is>
      </c>
      <c r="B272" s="1" t="n">
        <v>45790.51040509259</v>
      </c>
      <c r="C272" s="1" t="n">
        <v>45916</v>
      </c>
      <c r="D272" t="inlineStr">
        <is>
          <t>UPPSALA LÄN</t>
        </is>
      </c>
      <c r="E272" t="inlineStr">
        <is>
          <t>UPPSALA</t>
        </is>
      </c>
      <c r="G272" t="n">
        <v>0.9</v>
      </c>
      <c r="H272" t="n">
        <v>0</v>
      </c>
      <c r="I272" t="n">
        <v>0</v>
      </c>
      <c r="J272" t="n">
        <v>0</v>
      </c>
      <c r="K272" t="n">
        <v>0</v>
      </c>
      <c r="L272" t="n">
        <v>0</v>
      </c>
      <c r="M272" t="n">
        <v>0</v>
      </c>
      <c r="N272" t="n">
        <v>0</v>
      </c>
      <c r="O272" t="n">
        <v>0</v>
      </c>
      <c r="P272" t="n">
        <v>0</v>
      </c>
      <c r="Q272" t="n">
        <v>0</v>
      </c>
      <c r="R272" s="2" t="inlineStr"/>
    </row>
    <row r="273" ht="15" customHeight="1">
      <c r="A273" t="inlineStr">
        <is>
          <t>A 29901-2023</t>
        </is>
      </c>
      <c r="B273" s="1" t="n">
        <v>45107</v>
      </c>
      <c r="C273" s="1" t="n">
        <v>45916</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29926-2023</t>
        </is>
      </c>
      <c r="B274" s="1" t="n">
        <v>45107</v>
      </c>
      <c r="C274" s="1" t="n">
        <v>45916</v>
      </c>
      <c r="D274" t="inlineStr">
        <is>
          <t>UPPSALA LÄN</t>
        </is>
      </c>
      <c r="E274" t="inlineStr">
        <is>
          <t>UPPSALA</t>
        </is>
      </c>
      <c r="G274" t="n">
        <v>1.3</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45916</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12221-2022</t>
        </is>
      </c>
      <c r="B276" s="1" t="n">
        <v>44637.35744212963</v>
      </c>
      <c r="C276" s="1" t="n">
        <v>45916</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53921-2024</t>
        </is>
      </c>
      <c r="B277" s="1" t="n">
        <v>45615</v>
      </c>
      <c r="C277" s="1" t="n">
        <v>45916</v>
      </c>
      <c r="D277" t="inlineStr">
        <is>
          <t>UPPSALA LÄN</t>
        </is>
      </c>
      <c r="E277" t="inlineStr">
        <is>
          <t>UPPSALA</t>
        </is>
      </c>
      <c r="G277" t="n">
        <v>8.1</v>
      </c>
      <c r="H277" t="n">
        <v>0</v>
      </c>
      <c r="I277" t="n">
        <v>0</v>
      </c>
      <c r="J277" t="n">
        <v>0</v>
      </c>
      <c r="K277" t="n">
        <v>0</v>
      </c>
      <c r="L277" t="n">
        <v>0</v>
      </c>
      <c r="M277" t="n">
        <v>0</v>
      </c>
      <c r="N277" t="n">
        <v>0</v>
      </c>
      <c r="O277" t="n">
        <v>0</v>
      </c>
      <c r="P277" t="n">
        <v>0</v>
      </c>
      <c r="Q277" t="n">
        <v>0</v>
      </c>
      <c r="R277" s="2" t="inlineStr"/>
    </row>
    <row r="278" ht="15" customHeight="1">
      <c r="A278" t="inlineStr">
        <is>
          <t>A 12293-2022</t>
        </is>
      </c>
      <c r="B278" s="1" t="n">
        <v>44637.56178240741</v>
      </c>
      <c r="C278" s="1" t="n">
        <v>45916</v>
      </c>
      <c r="D278" t="inlineStr">
        <is>
          <t>UPPSALA LÄN</t>
        </is>
      </c>
      <c r="E278" t="inlineStr">
        <is>
          <t>UPPSALA</t>
        </is>
      </c>
      <c r="F278" t="inlineStr">
        <is>
          <t>Kommuner</t>
        </is>
      </c>
      <c r="G278" t="n">
        <v>0.8</v>
      </c>
      <c r="H278" t="n">
        <v>0</v>
      </c>
      <c r="I278" t="n">
        <v>0</v>
      </c>
      <c r="J278" t="n">
        <v>0</v>
      </c>
      <c r="K278" t="n">
        <v>0</v>
      </c>
      <c r="L278" t="n">
        <v>0</v>
      </c>
      <c r="M278" t="n">
        <v>0</v>
      </c>
      <c r="N278" t="n">
        <v>0</v>
      </c>
      <c r="O278" t="n">
        <v>0</v>
      </c>
      <c r="P278" t="n">
        <v>0</v>
      </c>
      <c r="Q278" t="n">
        <v>0</v>
      </c>
      <c r="R278" s="2" t="inlineStr"/>
    </row>
    <row r="279" ht="15" customHeight="1">
      <c r="A279" t="inlineStr">
        <is>
          <t>A 6012-2025</t>
        </is>
      </c>
      <c r="B279" s="1" t="n">
        <v>45695.59805555556</v>
      </c>
      <c r="C279" s="1" t="n">
        <v>45916</v>
      </c>
      <c r="D279" t="inlineStr">
        <is>
          <t>UPPSALA LÄN</t>
        </is>
      </c>
      <c r="E279" t="inlineStr">
        <is>
          <t>UPPSALA</t>
        </is>
      </c>
      <c r="F279" t="inlineStr">
        <is>
          <t>Övriga Aktiebolag</t>
        </is>
      </c>
      <c r="G279" t="n">
        <v>14.3</v>
      </c>
      <c r="H279" t="n">
        <v>0</v>
      </c>
      <c r="I279" t="n">
        <v>0</v>
      </c>
      <c r="J279" t="n">
        <v>0</v>
      </c>
      <c r="K279" t="n">
        <v>0</v>
      </c>
      <c r="L279" t="n">
        <v>0</v>
      </c>
      <c r="M279" t="n">
        <v>0</v>
      </c>
      <c r="N279" t="n">
        <v>0</v>
      </c>
      <c r="O279" t="n">
        <v>0</v>
      </c>
      <c r="P279" t="n">
        <v>0</v>
      </c>
      <c r="Q279" t="n">
        <v>0</v>
      </c>
      <c r="R279" s="2" t="inlineStr"/>
    </row>
    <row r="280" ht="15" customHeight="1">
      <c r="A280" t="inlineStr">
        <is>
          <t>A 4509-2024</t>
        </is>
      </c>
      <c r="B280" s="1" t="n">
        <v>45327</v>
      </c>
      <c r="C280" s="1" t="n">
        <v>45916</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66686-2021</t>
        </is>
      </c>
      <c r="B281" s="1" t="n">
        <v>44519</v>
      </c>
      <c r="C281" s="1" t="n">
        <v>45916</v>
      </c>
      <c r="D281" t="inlineStr">
        <is>
          <t>UPPSALA LÄN</t>
        </is>
      </c>
      <c r="E281" t="inlineStr">
        <is>
          <t>UPPSALA</t>
        </is>
      </c>
      <c r="G281" t="n">
        <v>6.4</v>
      </c>
      <c r="H281" t="n">
        <v>0</v>
      </c>
      <c r="I281" t="n">
        <v>0</v>
      </c>
      <c r="J281" t="n">
        <v>0</v>
      </c>
      <c r="K281" t="n">
        <v>0</v>
      </c>
      <c r="L281" t="n">
        <v>0</v>
      </c>
      <c r="M281" t="n">
        <v>0</v>
      </c>
      <c r="N281" t="n">
        <v>0</v>
      </c>
      <c r="O281" t="n">
        <v>0</v>
      </c>
      <c r="P281" t="n">
        <v>0</v>
      </c>
      <c r="Q281" t="n">
        <v>0</v>
      </c>
      <c r="R281" s="2" t="inlineStr"/>
    </row>
    <row r="282" ht="15" customHeight="1">
      <c r="A282" t="inlineStr">
        <is>
          <t>A 19513-2023</t>
        </is>
      </c>
      <c r="B282" s="1" t="n">
        <v>45050.49392361111</v>
      </c>
      <c r="C282" s="1" t="n">
        <v>45916</v>
      </c>
      <c r="D282" t="inlineStr">
        <is>
          <t>UPPSALA LÄN</t>
        </is>
      </c>
      <c r="E282" t="inlineStr">
        <is>
          <t>UPPSALA</t>
        </is>
      </c>
      <c r="G282" t="n">
        <v>6.6</v>
      </c>
      <c r="H282" t="n">
        <v>0</v>
      </c>
      <c r="I282" t="n">
        <v>0</v>
      </c>
      <c r="J282" t="n">
        <v>0</v>
      </c>
      <c r="K282" t="n">
        <v>0</v>
      </c>
      <c r="L282" t="n">
        <v>0</v>
      </c>
      <c r="M282" t="n">
        <v>0</v>
      </c>
      <c r="N282" t="n">
        <v>0</v>
      </c>
      <c r="O282" t="n">
        <v>0</v>
      </c>
      <c r="P282" t="n">
        <v>0</v>
      </c>
      <c r="Q282" t="n">
        <v>0</v>
      </c>
      <c r="R282" s="2" t="inlineStr"/>
    </row>
    <row r="283" ht="15" customHeight="1">
      <c r="A283" t="inlineStr">
        <is>
          <t>A 30319-2024</t>
        </is>
      </c>
      <c r="B283" s="1" t="n">
        <v>45490</v>
      </c>
      <c r="C283" s="1" t="n">
        <v>45916</v>
      </c>
      <c r="D283" t="inlineStr">
        <is>
          <t>UPPSALA LÄN</t>
        </is>
      </c>
      <c r="E283" t="inlineStr">
        <is>
          <t>UPPSALA</t>
        </is>
      </c>
      <c r="G283" t="n">
        <v>2.3</v>
      </c>
      <c r="H283" t="n">
        <v>0</v>
      </c>
      <c r="I283" t="n">
        <v>0</v>
      </c>
      <c r="J283" t="n">
        <v>0</v>
      </c>
      <c r="K283" t="n">
        <v>0</v>
      </c>
      <c r="L283" t="n">
        <v>0</v>
      </c>
      <c r="M283" t="n">
        <v>0</v>
      </c>
      <c r="N283" t="n">
        <v>0</v>
      </c>
      <c r="O283" t="n">
        <v>0</v>
      </c>
      <c r="P283" t="n">
        <v>0</v>
      </c>
      <c r="Q283" t="n">
        <v>0</v>
      </c>
      <c r="R283" s="2" t="inlineStr"/>
    </row>
    <row r="284" ht="15" customHeight="1">
      <c r="A284" t="inlineStr">
        <is>
          <t>A 45885-2023</t>
        </is>
      </c>
      <c r="B284" s="1" t="n">
        <v>45195.64807870371</v>
      </c>
      <c r="C284" s="1" t="n">
        <v>45916</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17788-2023</t>
        </is>
      </c>
      <c r="B285" s="1" t="n">
        <v>45037</v>
      </c>
      <c r="C285" s="1" t="n">
        <v>45916</v>
      </c>
      <c r="D285" t="inlineStr">
        <is>
          <t>UPPSALA LÄN</t>
        </is>
      </c>
      <c r="E285" t="inlineStr">
        <is>
          <t>UPPSALA</t>
        </is>
      </c>
      <c r="F285" t="inlineStr">
        <is>
          <t>Övriga Aktiebolag</t>
        </is>
      </c>
      <c r="G285" t="n">
        <v>3.7</v>
      </c>
      <c r="H285" t="n">
        <v>0</v>
      </c>
      <c r="I285" t="n">
        <v>0</v>
      </c>
      <c r="J285" t="n">
        <v>0</v>
      </c>
      <c r="K285" t="n">
        <v>0</v>
      </c>
      <c r="L285" t="n">
        <v>0</v>
      </c>
      <c r="M285" t="n">
        <v>0</v>
      </c>
      <c r="N285" t="n">
        <v>0</v>
      </c>
      <c r="O285" t="n">
        <v>0</v>
      </c>
      <c r="P285" t="n">
        <v>0</v>
      </c>
      <c r="Q285" t="n">
        <v>0</v>
      </c>
      <c r="R285" s="2" t="inlineStr"/>
    </row>
    <row r="286" ht="15" customHeight="1">
      <c r="A286" t="inlineStr">
        <is>
          <t>A 3353-2023</t>
        </is>
      </c>
      <c r="B286" s="1" t="n">
        <v>44949.4708912037</v>
      </c>
      <c r="C286" s="1" t="n">
        <v>45916</v>
      </c>
      <c r="D286" t="inlineStr">
        <is>
          <t>UPPSALA LÄN</t>
        </is>
      </c>
      <c r="E286" t="inlineStr">
        <is>
          <t>UPPSALA</t>
        </is>
      </c>
      <c r="G286" t="n">
        <v>3</v>
      </c>
      <c r="H286" t="n">
        <v>0</v>
      </c>
      <c r="I286" t="n">
        <v>0</v>
      </c>
      <c r="J286" t="n">
        <v>0</v>
      </c>
      <c r="K286" t="n">
        <v>0</v>
      </c>
      <c r="L286" t="n">
        <v>0</v>
      </c>
      <c r="M286" t="n">
        <v>0</v>
      </c>
      <c r="N286" t="n">
        <v>0</v>
      </c>
      <c r="O286" t="n">
        <v>0</v>
      </c>
      <c r="P286" t="n">
        <v>0</v>
      </c>
      <c r="Q286" t="n">
        <v>0</v>
      </c>
      <c r="R286" s="2" t="inlineStr"/>
    </row>
    <row r="287" ht="15" customHeight="1">
      <c r="A287" t="inlineStr">
        <is>
          <t>A 179-2024</t>
        </is>
      </c>
      <c r="B287" s="1" t="n">
        <v>45294.5666550926</v>
      </c>
      <c r="C287" s="1" t="n">
        <v>45916</v>
      </c>
      <c r="D287" t="inlineStr">
        <is>
          <t>UPPSALA LÄN</t>
        </is>
      </c>
      <c r="E287" t="inlineStr">
        <is>
          <t>UPPSALA</t>
        </is>
      </c>
      <c r="F287" t="inlineStr">
        <is>
          <t>Bergvik skog öst AB</t>
        </is>
      </c>
      <c r="G287" t="n">
        <v>12.7</v>
      </c>
      <c r="H287" t="n">
        <v>0</v>
      </c>
      <c r="I287" t="n">
        <v>0</v>
      </c>
      <c r="J287" t="n">
        <v>0</v>
      </c>
      <c r="K287" t="n">
        <v>0</v>
      </c>
      <c r="L287" t="n">
        <v>0</v>
      </c>
      <c r="M287" t="n">
        <v>0</v>
      </c>
      <c r="N287" t="n">
        <v>0</v>
      </c>
      <c r="O287" t="n">
        <v>0</v>
      </c>
      <c r="P287" t="n">
        <v>0</v>
      </c>
      <c r="Q287" t="n">
        <v>0</v>
      </c>
      <c r="R287" s="2" t="inlineStr"/>
    </row>
    <row r="288" ht="15" customHeight="1">
      <c r="A288" t="inlineStr">
        <is>
          <t>A 787-2024</t>
        </is>
      </c>
      <c r="B288" s="1" t="n">
        <v>45300</v>
      </c>
      <c r="C288" s="1" t="n">
        <v>45916</v>
      </c>
      <c r="D288" t="inlineStr">
        <is>
          <t>UPPSALA LÄN</t>
        </is>
      </c>
      <c r="E288" t="inlineStr">
        <is>
          <t>UPPSALA</t>
        </is>
      </c>
      <c r="G288" t="n">
        <v>3</v>
      </c>
      <c r="H288" t="n">
        <v>0</v>
      </c>
      <c r="I288" t="n">
        <v>0</v>
      </c>
      <c r="J288" t="n">
        <v>0</v>
      </c>
      <c r="K288" t="n">
        <v>0</v>
      </c>
      <c r="L288" t="n">
        <v>0</v>
      </c>
      <c r="M288" t="n">
        <v>0</v>
      </c>
      <c r="N288" t="n">
        <v>0</v>
      </c>
      <c r="O288" t="n">
        <v>0</v>
      </c>
      <c r="P288" t="n">
        <v>0</v>
      </c>
      <c r="Q288" t="n">
        <v>0</v>
      </c>
      <c r="R288" s="2" t="inlineStr"/>
    </row>
    <row r="289" ht="15" customHeight="1">
      <c r="A289" t="inlineStr">
        <is>
          <t>A 70031-2021</t>
        </is>
      </c>
      <c r="B289" s="1" t="n">
        <v>44533.46665509259</v>
      </c>
      <c r="C289" s="1" t="n">
        <v>45916</v>
      </c>
      <c r="D289" t="inlineStr">
        <is>
          <t>UPPSALA LÄN</t>
        </is>
      </c>
      <c r="E289" t="inlineStr">
        <is>
          <t>UPPSALA</t>
        </is>
      </c>
      <c r="G289" t="n">
        <v>1.4</v>
      </c>
      <c r="H289" t="n">
        <v>0</v>
      </c>
      <c r="I289" t="n">
        <v>0</v>
      </c>
      <c r="J289" t="n">
        <v>0</v>
      </c>
      <c r="K289" t="n">
        <v>0</v>
      </c>
      <c r="L289" t="n">
        <v>0</v>
      </c>
      <c r="M289" t="n">
        <v>0</v>
      </c>
      <c r="N289" t="n">
        <v>0</v>
      </c>
      <c r="O289" t="n">
        <v>0</v>
      </c>
      <c r="P289" t="n">
        <v>0</v>
      </c>
      <c r="Q289" t="n">
        <v>0</v>
      </c>
      <c r="R289" s="2" t="inlineStr"/>
    </row>
    <row r="290" ht="15" customHeight="1">
      <c r="A290" t="inlineStr">
        <is>
          <t>A 20903-2024</t>
        </is>
      </c>
      <c r="B290" s="1" t="n">
        <v>45439</v>
      </c>
      <c r="C290" s="1" t="n">
        <v>45916</v>
      </c>
      <c r="D290" t="inlineStr">
        <is>
          <t>UPPSALA LÄN</t>
        </is>
      </c>
      <c r="E290" t="inlineStr">
        <is>
          <t>UPPSALA</t>
        </is>
      </c>
      <c r="F290" t="inlineStr">
        <is>
          <t>Holmen skog AB</t>
        </is>
      </c>
      <c r="G290" t="n">
        <v>2.7</v>
      </c>
      <c r="H290" t="n">
        <v>0</v>
      </c>
      <c r="I290" t="n">
        <v>0</v>
      </c>
      <c r="J290" t="n">
        <v>0</v>
      </c>
      <c r="K290" t="n">
        <v>0</v>
      </c>
      <c r="L290" t="n">
        <v>0</v>
      </c>
      <c r="M290" t="n">
        <v>0</v>
      </c>
      <c r="N290" t="n">
        <v>0</v>
      </c>
      <c r="O290" t="n">
        <v>0</v>
      </c>
      <c r="P290" t="n">
        <v>0</v>
      </c>
      <c r="Q290" t="n">
        <v>0</v>
      </c>
      <c r="R290" s="2" t="inlineStr"/>
    </row>
    <row r="291" ht="15" customHeight="1">
      <c r="A291" t="inlineStr">
        <is>
          <t>A 265-2021</t>
        </is>
      </c>
      <c r="B291" s="1" t="n">
        <v>44200</v>
      </c>
      <c r="C291" s="1" t="n">
        <v>45916</v>
      </c>
      <c r="D291" t="inlineStr">
        <is>
          <t>UPPSALA LÄN</t>
        </is>
      </c>
      <c r="E291" t="inlineStr">
        <is>
          <t>UPPSALA</t>
        </is>
      </c>
      <c r="G291" t="n">
        <v>3.1</v>
      </c>
      <c r="H291" t="n">
        <v>0</v>
      </c>
      <c r="I291" t="n">
        <v>0</v>
      </c>
      <c r="J291" t="n">
        <v>0</v>
      </c>
      <c r="K291" t="n">
        <v>0</v>
      </c>
      <c r="L291" t="n">
        <v>0</v>
      </c>
      <c r="M291" t="n">
        <v>0</v>
      </c>
      <c r="N291" t="n">
        <v>0</v>
      </c>
      <c r="O291" t="n">
        <v>0</v>
      </c>
      <c r="P291" t="n">
        <v>0</v>
      </c>
      <c r="Q291" t="n">
        <v>0</v>
      </c>
      <c r="R291" s="2" t="inlineStr"/>
    </row>
    <row r="292" ht="15" customHeight="1">
      <c r="A292" t="inlineStr">
        <is>
          <t>A 17211-2025</t>
        </is>
      </c>
      <c r="B292" s="1" t="n">
        <v>45756.44024305556</v>
      </c>
      <c r="C292" s="1" t="n">
        <v>45916</v>
      </c>
      <c r="D292" t="inlineStr">
        <is>
          <t>UPPSALA LÄN</t>
        </is>
      </c>
      <c r="E292" t="inlineStr">
        <is>
          <t>UPPSALA</t>
        </is>
      </c>
      <c r="G292" t="n">
        <v>1.2</v>
      </c>
      <c r="H292" t="n">
        <v>0</v>
      </c>
      <c r="I292" t="n">
        <v>0</v>
      </c>
      <c r="J292" t="n">
        <v>0</v>
      </c>
      <c r="K292" t="n">
        <v>0</v>
      </c>
      <c r="L292" t="n">
        <v>0</v>
      </c>
      <c r="M292" t="n">
        <v>0</v>
      </c>
      <c r="N292" t="n">
        <v>0</v>
      </c>
      <c r="O292" t="n">
        <v>0</v>
      </c>
      <c r="P292" t="n">
        <v>0</v>
      </c>
      <c r="Q292" t="n">
        <v>0</v>
      </c>
      <c r="R292" s="2" t="inlineStr"/>
    </row>
    <row r="293" ht="15" customHeight="1">
      <c r="A293" t="inlineStr">
        <is>
          <t>A 5876-2024</t>
        </is>
      </c>
      <c r="B293" s="1" t="n">
        <v>45335.66331018518</v>
      </c>
      <c r="C293" s="1" t="n">
        <v>45916</v>
      </c>
      <c r="D293" t="inlineStr">
        <is>
          <t>UPPSALA LÄN</t>
        </is>
      </c>
      <c r="E293" t="inlineStr">
        <is>
          <t>UPPSALA</t>
        </is>
      </c>
      <c r="F293" t="inlineStr">
        <is>
          <t>Kyrkan</t>
        </is>
      </c>
      <c r="G293" t="n">
        <v>1.7</v>
      </c>
      <c r="H293" t="n">
        <v>0</v>
      </c>
      <c r="I293" t="n">
        <v>0</v>
      </c>
      <c r="J293" t="n">
        <v>0</v>
      </c>
      <c r="K293" t="n">
        <v>0</v>
      </c>
      <c r="L293" t="n">
        <v>0</v>
      </c>
      <c r="M293" t="n">
        <v>0</v>
      </c>
      <c r="N293" t="n">
        <v>0</v>
      </c>
      <c r="O293" t="n">
        <v>0</v>
      </c>
      <c r="P293" t="n">
        <v>0</v>
      </c>
      <c r="Q293" t="n">
        <v>0</v>
      </c>
      <c r="R293" s="2" t="inlineStr"/>
    </row>
    <row r="294" ht="15" customHeight="1">
      <c r="A294" t="inlineStr">
        <is>
          <t>A 38493-2023</t>
        </is>
      </c>
      <c r="B294" s="1" t="n">
        <v>45162</v>
      </c>
      <c r="C294" s="1" t="n">
        <v>45916</v>
      </c>
      <c r="D294" t="inlineStr">
        <is>
          <t>UPPSALA LÄN</t>
        </is>
      </c>
      <c r="E294" t="inlineStr">
        <is>
          <t>UPPSALA</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36782-2023</t>
        </is>
      </c>
      <c r="B295" s="1" t="n">
        <v>45154.35092592592</v>
      </c>
      <c r="C295" s="1" t="n">
        <v>45916</v>
      </c>
      <c r="D295" t="inlineStr">
        <is>
          <t>UPPSALA LÄN</t>
        </is>
      </c>
      <c r="E295" t="inlineStr">
        <is>
          <t>UPPSALA</t>
        </is>
      </c>
      <c r="G295" t="n">
        <v>0.9</v>
      </c>
      <c r="H295" t="n">
        <v>0</v>
      </c>
      <c r="I295" t="n">
        <v>0</v>
      </c>
      <c r="J295" t="n">
        <v>0</v>
      </c>
      <c r="K295" t="n">
        <v>0</v>
      </c>
      <c r="L295" t="n">
        <v>0</v>
      </c>
      <c r="M295" t="n">
        <v>0</v>
      </c>
      <c r="N295" t="n">
        <v>0</v>
      </c>
      <c r="O295" t="n">
        <v>0</v>
      </c>
      <c r="P295" t="n">
        <v>0</v>
      </c>
      <c r="Q295" t="n">
        <v>0</v>
      </c>
      <c r="R295" s="2" t="inlineStr"/>
    </row>
    <row r="296" ht="15" customHeight="1">
      <c r="A296" t="inlineStr">
        <is>
          <t>A 59098-2024</t>
        </is>
      </c>
      <c r="B296" s="1" t="n">
        <v>45636</v>
      </c>
      <c r="C296" s="1" t="n">
        <v>45916</v>
      </c>
      <c r="D296" t="inlineStr">
        <is>
          <t>UPPSALA LÄN</t>
        </is>
      </c>
      <c r="E296" t="inlineStr">
        <is>
          <t>UPPSALA</t>
        </is>
      </c>
      <c r="G296" t="n">
        <v>2.2</v>
      </c>
      <c r="H296" t="n">
        <v>0</v>
      </c>
      <c r="I296" t="n">
        <v>0</v>
      </c>
      <c r="J296" t="n">
        <v>0</v>
      </c>
      <c r="K296" t="n">
        <v>0</v>
      </c>
      <c r="L296" t="n">
        <v>0</v>
      </c>
      <c r="M296" t="n">
        <v>0</v>
      </c>
      <c r="N296" t="n">
        <v>0</v>
      </c>
      <c r="O296" t="n">
        <v>0</v>
      </c>
      <c r="P296" t="n">
        <v>0</v>
      </c>
      <c r="Q296" t="n">
        <v>0</v>
      </c>
      <c r="R296" s="2" t="inlineStr"/>
    </row>
    <row r="297" ht="15" customHeight="1">
      <c r="A297" t="inlineStr">
        <is>
          <t>A 24268-2025</t>
        </is>
      </c>
      <c r="B297" s="1" t="n">
        <v>45797.42777777778</v>
      </c>
      <c r="C297" s="1" t="n">
        <v>45916</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8090-2022</t>
        </is>
      </c>
      <c r="B298" s="1" t="n">
        <v>44608</v>
      </c>
      <c r="C298" s="1" t="n">
        <v>45916</v>
      </c>
      <c r="D298" t="inlineStr">
        <is>
          <t>UPPSALA LÄN</t>
        </is>
      </c>
      <c r="E298" t="inlineStr">
        <is>
          <t>UPPSALA</t>
        </is>
      </c>
      <c r="G298" t="n">
        <v>1.4</v>
      </c>
      <c r="H298" t="n">
        <v>0</v>
      </c>
      <c r="I298" t="n">
        <v>0</v>
      </c>
      <c r="J298" t="n">
        <v>0</v>
      </c>
      <c r="K298" t="n">
        <v>0</v>
      </c>
      <c r="L298" t="n">
        <v>0</v>
      </c>
      <c r="M298" t="n">
        <v>0</v>
      </c>
      <c r="N298" t="n">
        <v>0</v>
      </c>
      <c r="O298" t="n">
        <v>0</v>
      </c>
      <c r="P298" t="n">
        <v>0</v>
      </c>
      <c r="Q298" t="n">
        <v>0</v>
      </c>
      <c r="R298" s="2" t="inlineStr"/>
    </row>
    <row r="299" ht="15" customHeight="1">
      <c r="A299" t="inlineStr">
        <is>
          <t>A 6970-2025</t>
        </is>
      </c>
      <c r="B299" s="1" t="n">
        <v>45693</v>
      </c>
      <c r="C299" s="1" t="n">
        <v>45916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14026-2021</t>
        </is>
      </c>
      <c r="B300" s="1" t="n">
        <v>44277.65650462963</v>
      </c>
      <c r="C300" s="1" t="n">
        <v>45916</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5068-2025</t>
        </is>
      </c>
      <c r="B301" s="1" t="n">
        <v>45691</v>
      </c>
      <c r="C301" s="1" t="n">
        <v>45916</v>
      </c>
      <c r="D301" t="inlineStr">
        <is>
          <t>UPPSALA LÄN</t>
        </is>
      </c>
      <c r="E301" t="inlineStr">
        <is>
          <t>UPPSALA</t>
        </is>
      </c>
      <c r="G301" t="n">
        <v>5.9</v>
      </c>
      <c r="H301" t="n">
        <v>0</v>
      </c>
      <c r="I301" t="n">
        <v>0</v>
      </c>
      <c r="J301" t="n">
        <v>0</v>
      </c>
      <c r="K301" t="n">
        <v>0</v>
      </c>
      <c r="L301" t="n">
        <v>0</v>
      </c>
      <c r="M301" t="n">
        <v>0</v>
      </c>
      <c r="N301" t="n">
        <v>0</v>
      </c>
      <c r="O301" t="n">
        <v>0</v>
      </c>
      <c r="P301" t="n">
        <v>0</v>
      </c>
      <c r="Q301" t="n">
        <v>0</v>
      </c>
      <c r="R301" s="2" t="inlineStr"/>
    </row>
    <row r="302" ht="15" customHeight="1">
      <c r="A302" t="inlineStr">
        <is>
          <t>A 24284-2025</t>
        </is>
      </c>
      <c r="B302" s="1" t="n">
        <v>45797.45900462963</v>
      </c>
      <c r="C302" s="1" t="n">
        <v>45916</v>
      </c>
      <c r="D302" t="inlineStr">
        <is>
          <t>UPPSALA LÄN</t>
        </is>
      </c>
      <c r="E302" t="inlineStr">
        <is>
          <t>UPPSALA</t>
        </is>
      </c>
      <c r="F302" t="inlineStr">
        <is>
          <t>Holmen skog AB</t>
        </is>
      </c>
      <c r="G302" t="n">
        <v>12.7</v>
      </c>
      <c r="H302" t="n">
        <v>0</v>
      </c>
      <c r="I302" t="n">
        <v>0</v>
      </c>
      <c r="J302" t="n">
        <v>0</v>
      </c>
      <c r="K302" t="n">
        <v>0</v>
      </c>
      <c r="L302" t="n">
        <v>0</v>
      </c>
      <c r="M302" t="n">
        <v>0</v>
      </c>
      <c r="N302" t="n">
        <v>0</v>
      </c>
      <c r="O302" t="n">
        <v>0</v>
      </c>
      <c r="P302" t="n">
        <v>0</v>
      </c>
      <c r="Q302" t="n">
        <v>0</v>
      </c>
      <c r="R302" s="2" t="inlineStr"/>
    </row>
    <row r="303" ht="15" customHeight="1">
      <c r="A303" t="inlineStr">
        <is>
          <t>A 46635-2022</t>
        </is>
      </c>
      <c r="B303" s="1" t="n">
        <v>44849</v>
      </c>
      <c r="C303" s="1" t="n">
        <v>45916</v>
      </c>
      <c r="D303" t="inlineStr">
        <is>
          <t>UPPSALA LÄN</t>
        </is>
      </c>
      <c r="E303" t="inlineStr">
        <is>
          <t>UPPSALA</t>
        </is>
      </c>
      <c r="G303" t="n">
        <v>3.4</v>
      </c>
      <c r="H303" t="n">
        <v>0</v>
      </c>
      <c r="I303" t="n">
        <v>0</v>
      </c>
      <c r="J303" t="n">
        <v>0</v>
      </c>
      <c r="K303" t="n">
        <v>0</v>
      </c>
      <c r="L303" t="n">
        <v>0</v>
      </c>
      <c r="M303" t="n">
        <v>0</v>
      </c>
      <c r="N303" t="n">
        <v>0</v>
      </c>
      <c r="O303" t="n">
        <v>0</v>
      </c>
      <c r="P303" t="n">
        <v>0</v>
      </c>
      <c r="Q303" t="n">
        <v>0</v>
      </c>
      <c r="R303" s="2" t="inlineStr"/>
    </row>
    <row r="304" ht="15" customHeight="1">
      <c r="A304" t="inlineStr">
        <is>
          <t>A 39148-2022</t>
        </is>
      </c>
      <c r="B304" s="1" t="n">
        <v>44816</v>
      </c>
      <c r="C304" s="1" t="n">
        <v>45916</v>
      </c>
      <c r="D304" t="inlineStr">
        <is>
          <t>UPPSALA LÄN</t>
        </is>
      </c>
      <c r="E304" t="inlineStr">
        <is>
          <t>UPPSALA</t>
        </is>
      </c>
      <c r="F304" t="inlineStr">
        <is>
          <t>Övriga statliga verk och myndigheter</t>
        </is>
      </c>
      <c r="G304" t="n">
        <v>1.7</v>
      </c>
      <c r="H304" t="n">
        <v>0</v>
      </c>
      <c r="I304" t="n">
        <v>0</v>
      </c>
      <c r="J304" t="n">
        <v>0</v>
      </c>
      <c r="K304" t="n">
        <v>0</v>
      </c>
      <c r="L304" t="n">
        <v>0</v>
      </c>
      <c r="M304" t="n">
        <v>0</v>
      </c>
      <c r="N304" t="n">
        <v>0</v>
      </c>
      <c r="O304" t="n">
        <v>0</v>
      </c>
      <c r="P304" t="n">
        <v>0</v>
      </c>
      <c r="Q304" t="n">
        <v>0</v>
      </c>
      <c r="R304" s="2" t="inlineStr"/>
    </row>
    <row r="305" ht="15" customHeight="1">
      <c r="A305" t="inlineStr">
        <is>
          <t>A 2897-2025</t>
        </is>
      </c>
      <c r="B305" s="1" t="n">
        <v>45677</v>
      </c>
      <c r="C305" s="1" t="n">
        <v>45916</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36123-2023</t>
        </is>
      </c>
      <c r="B306" s="1" t="n">
        <v>45149.56928240741</v>
      </c>
      <c r="C306" s="1" t="n">
        <v>45916</v>
      </c>
      <c r="D306" t="inlineStr">
        <is>
          <t>UPPSALA LÄN</t>
        </is>
      </c>
      <c r="E306" t="inlineStr">
        <is>
          <t>UPPSALA</t>
        </is>
      </c>
      <c r="F306" t="inlineStr">
        <is>
          <t>Allmännings- och besparingsskogar</t>
        </is>
      </c>
      <c r="G306" t="n">
        <v>4.2</v>
      </c>
      <c r="H306" t="n">
        <v>0</v>
      </c>
      <c r="I306" t="n">
        <v>0</v>
      </c>
      <c r="J306" t="n">
        <v>0</v>
      </c>
      <c r="K306" t="n">
        <v>0</v>
      </c>
      <c r="L306" t="n">
        <v>0</v>
      </c>
      <c r="M306" t="n">
        <v>0</v>
      </c>
      <c r="N306" t="n">
        <v>0</v>
      </c>
      <c r="O306" t="n">
        <v>0</v>
      </c>
      <c r="P306" t="n">
        <v>0</v>
      </c>
      <c r="Q306" t="n">
        <v>0</v>
      </c>
      <c r="R306" s="2" t="inlineStr"/>
    </row>
    <row r="307" ht="15" customHeight="1">
      <c r="A307" t="inlineStr">
        <is>
          <t>A 17593-2025</t>
        </is>
      </c>
      <c r="B307" s="1" t="n">
        <v>45757.6997337963</v>
      </c>
      <c r="C307" s="1" t="n">
        <v>45916</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17596-2025</t>
        </is>
      </c>
      <c r="B308" s="1" t="n">
        <v>45757</v>
      </c>
      <c r="C308" s="1" t="n">
        <v>45916</v>
      </c>
      <c r="D308" t="inlineStr">
        <is>
          <t>UPPSALA LÄN</t>
        </is>
      </c>
      <c r="E308" t="inlineStr">
        <is>
          <t>UPPSALA</t>
        </is>
      </c>
      <c r="G308" t="n">
        <v>4.8</v>
      </c>
      <c r="H308" t="n">
        <v>0</v>
      </c>
      <c r="I308" t="n">
        <v>0</v>
      </c>
      <c r="J308" t="n">
        <v>0</v>
      </c>
      <c r="K308" t="n">
        <v>0</v>
      </c>
      <c r="L308" t="n">
        <v>0</v>
      </c>
      <c r="M308" t="n">
        <v>0</v>
      </c>
      <c r="N308" t="n">
        <v>0</v>
      </c>
      <c r="O308" t="n">
        <v>0</v>
      </c>
      <c r="P308" t="n">
        <v>0</v>
      </c>
      <c r="Q308" t="n">
        <v>0</v>
      </c>
      <c r="R308" s="2" t="inlineStr"/>
    </row>
    <row r="309" ht="15" customHeight="1">
      <c r="A309" t="inlineStr">
        <is>
          <t>A 5729-2025</t>
        </is>
      </c>
      <c r="B309" s="1" t="n">
        <v>45694.49037037037</v>
      </c>
      <c r="C309" s="1" t="n">
        <v>45916</v>
      </c>
      <c r="D309" t="inlineStr">
        <is>
          <t>UPPSALA LÄN</t>
        </is>
      </c>
      <c r="E309" t="inlineStr">
        <is>
          <t>UPPSALA</t>
        </is>
      </c>
      <c r="G309" t="n">
        <v>1</v>
      </c>
      <c r="H309" t="n">
        <v>0</v>
      </c>
      <c r="I309" t="n">
        <v>0</v>
      </c>
      <c r="J309" t="n">
        <v>0</v>
      </c>
      <c r="K309" t="n">
        <v>0</v>
      </c>
      <c r="L309" t="n">
        <v>0</v>
      </c>
      <c r="M309" t="n">
        <v>0</v>
      </c>
      <c r="N309" t="n">
        <v>0</v>
      </c>
      <c r="O309" t="n">
        <v>0</v>
      </c>
      <c r="P309" t="n">
        <v>0</v>
      </c>
      <c r="Q309" t="n">
        <v>0</v>
      </c>
      <c r="R309" s="2" t="inlineStr"/>
    </row>
    <row r="310" ht="15" customHeight="1">
      <c r="A310" t="inlineStr">
        <is>
          <t>A 54512-2024</t>
        </is>
      </c>
      <c r="B310" s="1" t="n">
        <v>45617.59006944444</v>
      </c>
      <c r="C310" s="1" t="n">
        <v>45916</v>
      </c>
      <c r="D310" t="inlineStr">
        <is>
          <t>UPPSALA LÄN</t>
        </is>
      </c>
      <c r="E310" t="inlineStr">
        <is>
          <t>UPPSALA</t>
        </is>
      </c>
      <c r="G310" t="n">
        <v>3.2</v>
      </c>
      <c r="H310" t="n">
        <v>0</v>
      </c>
      <c r="I310" t="n">
        <v>0</v>
      </c>
      <c r="J310" t="n">
        <v>0</v>
      </c>
      <c r="K310" t="n">
        <v>0</v>
      </c>
      <c r="L310" t="n">
        <v>0</v>
      </c>
      <c r="M310" t="n">
        <v>0</v>
      </c>
      <c r="N310" t="n">
        <v>0</v>
      </c>
      <c r="O310" t="n">
        <v>0</v>
      </c>
      <c r="P310" t="n">
        <v>0</v>
      </c>
      <c r="Q310" t="n">
        <v>0</v>
      </c>
      <c r="R310" s="2" t="inlineStr"/>
    </row>
    <row r="311" ht="15" customHeight="1">
      <c r="A311" t="inlineStr">
        <is>
          <t>A 37162-2021</t>
        </is>
      </c>
      <c r="B311" s="1" t="n">
        <v>44395</v>
      </c>
      <c r="C311" s="1" t="n">
        <v>45916</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34520-2024</t>
        </is>
      </c>
      <c r="B312" s="1" t="n">
        <v>45525</v>
      </c>
      <c r="C312" s="1" t="n">
        <v>45916</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19539-2024</t>
        </is>
      </c>
      <c r="B313" s="1" t="n">
        <v>45429</v>
      </c>
      <c r="C313" s="1" t="n">
        <v>45916</v>
      </c>
      <c r="D313" t="inlineStr">
        <is>
          <t>UPPSALA LÄN</t>
        </is>
      </c>
      <c r="E313" t="inlineStr">
        <is>
          <t>UPPSALA</t>
        </is>
      </c>
      <c r="G313" t="n">
        <v>1.9</v>
      </c>
      <c r="H313" t="n">
        <v>0</v>
      </c>
      <c r="I313" t="n">
        <v>0</v>
      </c>
      <c r="J313" t="n">
        <v>0</v>
      </c>
      <c r="K313" t="n">
        <v>0</v>
      </c>
      <c r="L313" t="n">
        <v>0</v>
      </c>
      <c r="M313" t="n">
        <v>0</v>
      </c>
      <c r="N313" t="n">
        <v>0</v>
      </c>
      <c r="O313" t="n">
        <v>0</v>
      </c>
      <c r="P313" t="n">
        <v>0</v>
      </c>
      <c r="Q313" t="n">
        <v>0</v>
      </c>
      <c r="R313" s="2" t="inlineStr"/>
    </row>
    <row r="314" ht="15" customHeight="1">
      <c r="A314" t="inlineStr">
        <is>
          <t>A 73326-2021</t>
        </is>
      </c>
      <c r="B314" s="1" t="n">
        <v>44548</v>
      </c>
      <c r="C314" s="1" t="n">
        <v>45916</v>
      </c>
      <c r="D314" t="inlineStr">
        <is>
          <t>UPPSALA LÄN</t>
        </is>
      </c>
      <c r="E314" t="inlineStr">
        <is>
          <t>UPPSALA</t>
        </is>
      </c>
      <c r="G314" t="n">
        <v>4</v>
      </c>
      <c r="H314" t="n">
        <v>0</v>
      </c>
      <c r="I314" t="n">
        <v>0</v>
      </c>
      <c r="J314" t="n">
        <v>0</v>
      </c>
      <c r="K314" t="n">
        <v>0</v>
      </c>
      <c r="L314" t="n">
        <v>0</v>
      </c>
      <c r="M314" t="n">
        <v>0</v>
      </c>
      <c r="N314" t="n">
        <v>0</v>
      </c>
      <c r="O314" t="n">
        <v>0</v>
      </c>
      <c r="P314" t="n">
        <v>0</v>
      </c>
      <c r="Q314" t="n">
        <v>0</v>
      </c>
      <c r="R314" s="2" t="inlineStr"/>
    </row>
    <row r="315" ht="15" customHeight="1">
      <c r="A315" t="inlineStr">
        <is>
          <t>A 8473-2023</t>
        </is>
      </c>
      <c r="B315" s="1" t="n">
        <v>44977</v>
      </c>
      <c r="C315" s="1" t="n">
        <v>45916</v>
      </c>
      <c r="D315" t="inlineStr">
        <is>
          <t>UPPSALA LÄN</t>
        </is>
      </c>
      <c r="E315" t="inlineStr">
        <is>
          <t>UPPSALA</t>
        </is>
      </c>
      <c r="F315" t="inlineStr">
        <is>
          <t>Holmen skog AB</t>
        </is>
      </c>
      <c r="G315" t="n">
        <v>3.6</v>
      </c>
      <c r="H315" t="n">
        <v>0</v>
      </c>
      <c r="I315" t="n">
        <v>0</v>
      </c>
      <c r="J315" t="n">
        <v>0</v>
      </c>
      <c r="K315" t="n">
        <v>0</v>
      </c>
      <c r="L315" t="n">
        <v>0</v>
      </c>
      <c r="M315" t="n">
        <v>0</v>
      </c>
      <c r="N315" t="n">
        <v>0</v>
      </c>
      <c r="O315" t="n">
        <v>0</v>
      </c>
      <c r="P315" t="n">
        <v>0</v>
      </c>
      <c r="Q315" t="n">
        <v>0</v>
      </c>
      <c r="R315" s="2" t="inlineStr"/>
    </row>
    <row r="316" ht="15" customHeight="1">
      <c r="A316" t="inlineStr">
        <is>
          <t>A 11744-2023</t>
        </is>
      </c>
      <c r="B316" s="1" t="n">
        <v>44993</v>
      </c>
      <c r="C316" s="1" t="n">
        <v>45916</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24912-2025</t>
        </is>
      </c>
      <c r="B317" s="1" t="n">
        <v>45799.53803240741</v>
      </c>
      <c r="C317" s="1" t="n">
        <v>45916</v>
      </c>
      <c r="D317" t="inlineStr">
        <is>
          <t>UPPSALA LÄN</t>
        </is>
      </c>
      <c r="E317" t="inlineStr">
        <is>
          <t>UPPSALA</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5309-2022</t>
        </is>
      </c>
      <c r="B318" s="1" t="n">
        <v>44594</v>
      </c>
      <c r="C318" s="1" t="n">
        <v>45916</v>
      </c>
      <c r="D318" t="inlineStr">
        <is>
          <t>UPPSALA LÄN</t>
        </is>
      </c>
      <c r="E318" t="inlineStr">
        <is>
          <t>UPPSALA</t>
        </is>
      </c>
      <c r="G318" t="n">
        <v>4.8</v>
      </c>
      <c r="H318" t="n">
        <v>0</v>
      </c>
      <c r="I318" t="n">
        <v>0</v>
      </c>
      <c r="J318" t="n">
        <v>0</v>
      </c>
      <c r="K318" t="n">
        <v>0</v>
      </c>
      <c r="L318" t="n">
        <v>0</v>
      </c>
      <c r="M318" t="n">
        <v>0</v>
      </c>
      <c r="N318" t="n">
        <v>0</v>
      </c>
      <c r="O318" t="n">
        <v>0</v>
      </c>
      <c r="P318" t="n">
        <v>0</v>
      </c>
      <c r="Q318" t="n">
        <v>0</v>
      </c>
      <c r="R318" s="2" t="inlineStr"/>
    </row>
    <row r="319" ht="15" customHeight="1">
      <c r="A319" t="inlineStr">
        <is>
          <t>A 8132-2024</t>
        </is>
      </c>
      <c r="B319" s="1" t="n">
        <v>45351.54596064815</v>
      </c>
      <c r="C319" s="1" t="n">
        <v>45916</v>
      </c>
      <c r="D319" t="inlineStr">
        <is>
          <t>UPPSALA LÄN</t>
        </is>
      </c>
      <c r="E319" t="inlineStr">
        <is>
          <t>UPPSALA</t>
        </is>
      </c>
      <c r="F319" t="inlineStr">
        <is>
          <t>Övriga Aktiebolag</t>
        </is>
      </c>
      <c r="G319" t="n">
        <v>0.7</v>
      </c>
      <c r="H319" t="n">
        <v>0</v>
      </c>
      <c r="I319" t="n">
        <v>0</v>
      </c>
      <c r="J319" t="n">
        <v>0</v>
      </c>
      <c r="K319" t="n">
        <v>0</v>
      </c>
      <c r="L319" t="n">
        <v>0</v>
      </c>
      <c r="M319" t="n">
        <v>0</v>
      </c>
      <c r="N319" t="n">
        <v>0</v>
      </c>
      <c r="O319" t="n">
        <v>0</v>
      </c>
      <c r="P319" t="n">
        <v>0</v>
      </c>
      <c r="Q319" t="n">
        <v>0</v>
      </c>
      <c r="R319" s="2" t="inlineStr"/>
    </row>
    <row r="320" ht="15" customHeight="1">
      <c r="A320" t="inlineStr">
        <is>
          <t>A 24909-2025</t>
        </is>
      </c>
      <c r="B320" s="1" t="n">
        <v>45799.53348379629</v>
      </c>
      <c r="C320" s="1" t="n">
        <v>45916</v>
      </c>
      <c r="D320" t="inlineStr">
        <is>
          <t>UPPSALA LÄN</t>
        </is>
      </c>
      <c r="E320" t="inlineStr">
        <is>
          <t>UPPSALA</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25056-2025</t>
        </is>
      </c>
      <c r="B321" s="1" t="n">
        <v>45799.68190972223</v>
      </c>
      <c r="C321" s="1" t="n">
        <v>45916</v>
      </c>
      <c r="D321" t="inlineStr">
        <is>
          <t>UPPSALA LÄN</t>
        </is>
      </c>
      <c r="E321" t="inlineStr">
        <is>
          <t>UPPSALA</t>
        </is>
      </c>
      <c r="F321" t="inlineStr">
        <is>
          <t>Bergvik skog öst AB</t>
        </is>
      </c>
      <c r="G321" t="n">
        <v>20.9</v>
      </c>
      <c r="H321" t="n">
        <v>0</v>
      </c>
      <c r="I321" t="n">
        <v>0</v>
      </c>
      <c r="J321" t="n">
        <v>0</v>
      </c>
      <c r="K321" t="n">
        <v>0</v>
      </c>
      <c r="L321" t="n">
        <v>0</v>
      </c>
      <c r="M321" t="n">
        <v>0</v>
      </c>
      <c r="N321" t="n">
        <v>0</v>
      </c>
      <c r="O321" t="n">
        <v>0</v>
      </c>
      <c r="P321" t="n">
        <v>0</v>
      </c>
      <c r="Q321" t="n">
        <v>0</v>
      </c>
      <c r="R321" s="2" t="inlineStr"/>
    </row>
    <row r="322" ht="15" customHeight="1">
      <c r="A322" t="inlineStr">
        <is>
          <t>A 25055-2025</t>
        </is>
      </c>
      <c r="B322" s="1" t="n">
        <v>45799.67806712963</v>
      </c>
      <c r="C322" s="1" t="n">
        <v>45916</v>
      </c>
      <c r="D322" t="inlineStr">
        <is>
          <t>UPPSALA LÄN</t>
        </is>
      </c>
      <c r="E322" t="inlineStr">
        <is>
          <t>UPPSALA</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24521-2025</t>
        </is>
      </c>
      <c r="B323" s="1" t="n">
        <v>45798.41734953703</v>
      </c>
      <c r="C323" s="1" t="n">
        <v>45916</v>
      </c>
      <c r="D323" t="inlineStr">
        <is>
          <t>UPPSALA LÄN</t>
        </is>
      </c>
      <c r="E323" t="inlineStr">
        <is>
          <t>UPPSALA</t>
        </is>
      </c>
      <c r="G323" t="n">
        <v>2</v>
      </c>
      <c r="H323" t="n">
        <v>0</v>
      </c>
      <c r="I323" t="n">
        <v>0</v>
      </c>
      <c r="J323" t="n">
        <v>0</v>
      </c>
      <c r="K323" t="n">
        <v>0</v>
      </c>
      <c r="L323" t="n">
        <v>0</v>
      </c>
      <c r="M323" t="n">
        <v>0</v>
      </c>
      <c r="N323" t="n">
        <v>0</v>
      </c>
      <c r="O323" t="n">
        <v>0</v>
      </c>
      <c r="P323" t="n">
        <v>0</v>
      </c>
      <c r="Q323" t="n">
        <v>0</v>
      </c>
      <c r="R323" s="2" t="inlineStr"/>
    </row>
    <row r="324" ht="15" customHeight="1">
      <c r="A324" t="inlineStr">
        <is>
          <t>A 24012-2023</t>
        </is>
      </c>
      <c r="B324" s="1" t="n">
        <v>45078</v>
      </c>
      <c r="C324" s="1" t="n">
        <v>45916</v>
      </c>
      <c r="D324" t="inlineStr">
        <is>
          <t>UPPSALA LÄN</t>
        </is>
      </c>
      <c r="E324" t="inlineStr">
        <is>
          <t>UPPSALA</t>
        </is>
      </c>
      <c r="F324" t="inlineStr">
        <is>
          <t>Kyrkan</t>
        </is>
      </c>
      <c r="G324" t="n">
        <v>1.6</v>
      </c>
      <c r="H324" t="n">
        <v>0</v>
      </c>
      <c r="I324" t="n">
        <v>0</v>
      </c>
      <c r="J324" t="n">
        <v>0</v>
      </c>
      <c r="K324" t="n">
        <v>0</v>
      </c>
      <c r="L324" t="n">
        <v>0</v>
      </c>
      <c r="M324" t="n">
        <v>0</v>
      </c>
      <c r="N324" t="n">
        <v>0</v>
      </c>
      <c r="O324" t="n">
        <v>0</v>
      </c>
      <c r="P324" t="n">
        <v>0</v>
      </c>
      <c r="Q324" t="n">
        <v>0</v>
      </c>
      <c r="R324" s="2" t="inlineStr"/>
    </row>
    <row r="325" ht="15" customHeight="1">
      <c r="A325" t="inlineStr">
        <is>
          <t>A 10612-2025</t>
        </is>
      </c>
      <c r="B325" s="1" t="n">
        <v>45721.60894675926</v>
      </c>
      <c r="C325" s="1" t="n">
        <v>45916</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24961-2025</t>
        </is>
      </c>
      <c r="B326" s="1" t="n">
        <v>45799.57714120371</v>
      </c>
      <c r="C326" s="1" t="n">
        <v>45916</v>
      </c>
      <c r="D326" t="inlineStr">
        <is>
          <t>UPPSALA LÄN</t>
        </is>
      </c>
      <c r="E326" t="inlineStr">
        <is>
          <t>UPPSALA</t>
        </is>
      </c>
      <c r="G326" t="n">
        <v>0.7</v>
      </c>
      <c r="H326" t="n">
        <v>0</v>
      </c>
      <c r="I326" t="n">
        <v>0</v>
      </c>
      <c r="J326" t="n">
        <v>0</v>
      </c>
      <c r="K326" t="n">
        <v>0</v>
      </c>
      <c r="L326" t="n">
        <v>0</v>
      </c>
      <c r="M326" t="n">
        <v>0</v>
      </c>
      <c r="N326" t="n">
        <v>0</v>
      </c>
      <c r="O326" t="n">
        <v>0</v>
      </c>
      <c r="P326" t="n">
        <v>0</v>
      </c>
      <c r="Q326" t="n">
        <v>0</v>
      </c>
      <c r="R326" s="2" t="inlineStr"/>
    </row>
    <row r="327" ht="15" customHeight="1">
      <c r="A327" t="inlineStr">
        <is>
          <t>A 12828-2025</t>
        </is>
      </c>
      <c r="B327" s="1" t="n">
        <v>45733.62903935185</v>
      </c>
      <c r="C327" s="1" t="n">
        <v>45916</v>
      </c>
      <c r="D327" t="inlineStr">
        <is>
          <t>UPPSALA LÄN</t>
        </is>
      </c>
      <c r="E327" t="inlineStr">
        <is>
          <t>UPPSALA</t>
        </is>
      </c>
      <c r="G327" t="n">
        <v>5.3</v>
      </c>
      <c r="H327" t="n">
        <v>0</v>
      </c>
      <c r="I327" t="n">
        <v>0</v>
      </c>
      <c r="J327" t="n">
        <v>0</v>
      </c>
      <c r="K327" t="n">
        <v>0</v>
      </c>
      <c r="L327" t="n">
        <v>0</v>
      </c>
      <c r="M327" t="n">
        <v>0</v>
      </c>
      <c r="N327" t="n">
        <v>0</v>
      </c>
      <c r="O327" t="n">
        <v>0</v>
      </c>
      <c r="P327" t="n">
        <v>0</v>
      </c>
      <c r="Q327" t="n">
        <v>0</v>
      </c>
      <c r="R327" s="2" t="inlineStr"/>
    </row>
    <row r="328" ht="15" customHeight="1">
      <c r="A328" t="inlineStr">
        <is>
          <t>A 25026-2025</t>
        </is>
      </c>
      <c r="B328" s="1" t="n">
        <v>45799.65021990741</v>
      </c>
      <c r="C328" s="1" t="n">
        <v>45916</v>
      </c>
      <c r="D328" t="inlineStr">
        <is>
          <t>UPPSALA LÄN</t>
        </is>
      </c>
      <c r="E328" t="inlineStr">
        <is>
          <t>UPPSALA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25030-2025</t>
        </is>
      </c>
      <c r="B329" s="1" t="n">
        <v>45799.6527199074</v>
      </c>
      <c r="C329" s="1" t="n">
        <v>45916</v>
      </c>
      <c r="D329" t="inlineStr">
        <is>
          <t>UPPSALA LÄN</t>
        </is>
      </c>
      <c r="E329" t="inlineStr">
        <is>
          <t>UPPSALA</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13742-2025</t>
        </is>
      </c>
      <c r="B330" s="1" t="n">
        <v>45737.40503472222</v>
      </c>
      <c r="C330" s="1" t="n">
        <v>45916</v>
      </c>
      <c r="D330" t="inlineStr">
        <is>
          <t>UPPSALA LÄN</t>
        </is>
      </c>
      <c r="E330" t="inlineStr">
        <is>
          <t>UPPSALA</t>
        </is>
      </c>
      <c r="G330" t="n">
        <v>5.1</v>
      </c>
      <c r="H330" t="n">
        <v>0</v>
      </c>
      <c r="I330" t="n">
        <v>0</v>
      </c>
      <c r="J330" t="n">
        <v>0</v>
      </c>
      <c r="K330" t="n">
        <v>0</v>
      </c>
      <c r="L330" t="n">
        <v>0</v>
      </c>
      <c r="M330" t="n">
        <v>0</v>
      </c>
      <c r="N330" t="n">
        <v>0</v>
      </c>
      <c r="O330" t="n">
        <v>0</v>
      </c>
      <c r="P330" t="n">
        <v>0</v>
      </c>
      <c r="Q330" t="n">
        <v>0</v>
      </c>
      <c r="R330" s="2" t="inlineStr"/>
    </row>
    <row r="331" ht="15" customHeight="1">
      <c r="A331" t="inlineStr">
        <is>
          <t>A 58023-2022</t>
        </is>
      </c>
      <c r="B331" s="1" t="n">
        <v>44900.54711805555</v>
      </c>
      <c r="C331" s="1" t="n">
        <v>45916</v>
      </c>
      <c r="D331" t="inlineStr">
        <is>
          <t>UPPSALA LÄN</t>
        </is>
      </c>
      <c r="E331" t="inlineStr">
        <is>
          <t>UPPSALA</t>
        </is>
      </c>
      <c r="G331" t="n">
        <v>0.7</v>
      </c>
      <c r="H331" t="n">
        <v>0</v>
      </c>
      <c r="I331" t="n">
        <v>0</v>
      </c>
      <c r="J331" t="n">
        <v>0</v>
      </c>
      <c r="K331" t="n">
        <v>0</v>
      </c>
      <c r="L331" t="n">
        <v>0</v>
      </c>
      <c r="M331" t="n">
        <v>0</v>
      </c>
      <c r="N331" t="n">
        <v>0</v>
      </c>
      <c r="O331" t="n">
        <v>0</v>
      </c>
      <c r="P331" t="n">
        <v>0</v>
      </c>
      <c r="Q331" t="n">
        <v>0</v>
      </c>
      <c r="R331" s="2" t="inlineStr"/>
    </row>
    <row r="332" ht="15" customHeight="1">
      <c r="A332" t="inlineStr">
        <is>
          <t>A 24913-2025</t>
        </is>
      </c>
      <c r="B332" s="1" t="n">
        <v>45799.53947916667</v>
      </c>
      <c r="C332" s="1" t="n">
        <v>45916</v>
      </c>
      <c r="D332" t="inlineStr">
        <is>
          <t>UPPSALA LÄN</t>
        </is>
      </c>
      <c r="E332" t="inlineStr">
        <is>
          <t>UPPSALA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24915-2025</t>
        </is>
      </c>
      <c r="B333" s="1" t="n">
        <v>45799.54104166666</v>
      </c>
      <c r="C333" s="1" t="n">
        <v>45916</v>
      </c>
      <c r="D333" t="inlineStr">
        <is>
          <t>UPPSALA LÄN</t>
        </is>
      </c>
      <c r="E333" t="inlineStr">
        <is>
          <t>UPPSALA</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51661-2022</t>
        </is>
      </c>
      <c r="B334" s="1" t="n">
        <v>44872</v>
      </c>
      <c r="C334" s="1" t="n">
        <v>45916</v>
      </c>
      <c r="D334" t="inlineStr">
        <is>
          <t>UPPSALA LÄN</t>
        </is>
      </c>
      <c r="E334" t="inlineStr">
        <is>
          <t>UPPSALA</t>
        </is>
      </c>
      <c r="G334" t="n">
        <v>8.9</v>
      </c>
      <c r="H334" t="n">
        <v>0</v>
      </c>
      <c r="I334" t="n">
        <v>0</v>
      </c>
      <c r="J334" t="n">
        <v>0</v>
      </c>
      <c r="K334" t="n">
        <v>0</v>
      </c>
      <c r="L334" t="n">
        <v>0</v>
      </c>
      <c r="M334" t="n">
        <v>0</v>
      </c>
      <c r="N334" t="n">
        <v>0</v>
      </c>
      <c r="O334" t="n">
        <v>0</v>
      </c>
      <c r="P334" t="n">
        <v>0</v>
      </c>
      <c r="Q334" t="n">
        <v>0</v>
      </c>
      <c r="R334" s="2" t="inlineStr"/>
    </row>
    <row r="335" ht="15" customHeight="1">
      <c r="A335" t="inlineStr">
        <is>
          <t>A 11739-2023</t>
        </is>
      </c>
      <c r="B335" s="1" t="n">
        <v>44993</v>
      </c>
      <c r="C335" s="1" t="n">
        <v>45916</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40503-2024</t>
        </is>
      </c>
      <c r="B336" s="1" t="n">
        <v>45555.5727662037</v>
      </c>
      <c r="C336" s="1" t="n">
        <v>45916</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43795-2023</t>
        </is>
      </c>
      <c r="B337" s="1" t="n">
        <v>45182</v>
      </c>
      <c r="C337" s="1" t="n">
        <v>45916</v>
      </c>
      <c r="D337" t="inlineStr">
        <is>
          <t>UPPSALA LÄN</t>
        </is>
      </c>
      <c r="E337" t="inlineStr">
        <is>
          <t>UPPSALA</t>
        </is>
      </c>
      <c r="G337" t="n">
        <v>4.7</v>
      </c>
      <c r="H337" t="n">
        <v>0</v>
      </c>
      <c r="I337" t="n">
        <v>0</v>
      </c>
      <c r="J337" t="n">
        <v>0</v>
      </c>
      <c r="K337" t="n">
        <v>0</v>
      </c>
      <c r="L337" t="n">
        <v>0</v>
      </c>
      <c r="M337" t="n">
        <v>0</v>
      </c>
      <c r="N337" t="n">
        <v>0</v>
      </c>
      <c r="O337" t="n">
        <v>0</v>
      </c>
      <c r="P337" t="n">
        <v>0</v>
      </c>
      <c r="Q337" t="n">
        <v>0</v>
      </c>
      <c r="R337" s="2" t="inlineStr"/>
    </row>
    <row r="338" ht="15" customHeight="1">
      <c r="A338" t="inlineStr">
        <is>
          <t>A 43818-2023</t>
        </is>
      </c>
      <c r="B338" s="1" t="n">
        <v>45182</v>
      </c>
      <c r="C338" s="1" t="n">
        <v>45916</v>
      </c>
      <c r="D338" t="inlineStr">
        <is>
          <t>UPPSALA LÄN</t>
        </is>
      </c>
      <c r="E338" t="inlineStr">
        <is>
          <t>UPPSALA</t>
        </is>
      </c>
      <c r="G338" t="n">
        <v>10.8</v>
      </c>
      <c r="H338" t="n">
        <v>0</v>
      </c>
      <c r="I338" t="n">
        <v>0</v>
      </c>
      <c r="J338" t="n">
        <v>0</v>
      </c>
      <c r="K338" t="n">
        <v>0</v>
      </c>
      <c r="L338" t="n">
        <v>0</v>
      </c>
      <c r="M338" t="n">
        <v>0</v>
      </c>
      <c r="N338" t="n">
        <v>0</v>
      </c>
      <c r="O338" t="n">
        <v>0</v>
      </c>
      <c r="P338" t="n">
        <v>0</v>
      </c>
      <c r="Q338" t="n">
        <v>0</v>
      </c>
      <c r="R338" s="2" t="inlineStr"/>
    </row>
    <row r="339" ht="15" customHeight="1">
      <c r="A339" t="inlineStr">
        <is>
          <t>A 13420-2021</t>
        </is>
      </c>
      <c r="B339" s="1" t="n">
        <v>44273</v>
      </c>
      <c r="C339" s="1" t="n">
        <v>45916</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6988-2025</t>
        </is>
      </c>
      <c r="B340" s="1" t="n">
        <v>45693</v>
      </c>
      <c r="C340" s="1" t="n">
        <v>45916</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24794-2025</t>
        </is>
      </c>
      <c r="B341" s="1" t="n">
        <v>45799.43496527777</v>
      </c>
      <c r="C341" s="1" t="n">
        <v>45916</v>
      </c>
      <c r="D341" t="inlineStr">
        <is>
          <t>UPPSALA LÄN</t>
        </is>
      </c>
      <c r="E341" t="inlineStr">
        <is>
          <t>UPPSALA</t>
        </is>
      </c>
      <c r="F341" t="inlineStr">
        <is>
          <t>BillerudKorsnäs AB</t>
        </is>
      </c>
      <c r="G341" t="n">
        <v>1.4</v>
      </c>
      <c r="H341" t="n">
        <v>0</v>
      </c>
      <c r="I341" t="n">
        <v>0</v>
      </c>
      <c r="J341" t="n">
        <v>0</v>
      </c>
      <c r="K341" t="n">
        <v>0</v>
      </c>
      <c r="L341" t="n">
        <v>0</v>
      </c>
      <c r="M341" t="n">
        <v>0</v>
      </c>
      <c r="N341" t="n">
        <v>0</v>
      </c>
      <c r="O341" t="n">
        <v>0</v>
      </c>
      <c r="P341" t="n">
        <v>0</v>
      </c>
      <c r="Q341" t="n">
        <v>0</v>
      </c>
      <c r="R341" s="2" t="inlineStr"/>
    </row>
    <row r="342" ht="15" customHeight="1">
      <c r="A342" t="inlineStr">
        <is>
          <t>A 24916-2025</t>
        </is>
      </c>
      <c r="B342" s="1" t="n">
        <v>45799.5421875</v>
      </c>
      <c r="C342" s="1" t="n">
        <v>45916</v>
      </c>
      <c r="D342" t="inlineStr">
        <is>
          <t>UPPSALA LÄN</t>
        </is>
      </c>
      <c r="E342" t="inlineStr">
        <is>
          <t>UPPSALA</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25025-2025</t>
        </is>
      </c>
      <c r="B343" s="1" t="n">
        <v>45799.64877314815</v>
      </c>
      <c r="C343" s="1" t="n">
        <v>45916</v>
      </c>
      <c r="D343" t="inlineStr">
        <is>
          <t>UPPSALA LÄN</t>
        </is>
      </c>
      <c r="E343" t="inlineStr">
        <is>
          <t>UPPSALA</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24525-2025</t>
        </is>
      </c>
      <c r="B344" s="1" t="n">
        <v>45798.42252314815</v>
      </c>
      <c r="C344" s="1" t="n">
        <v>45916</v>
      </c>
      <c r="D344" t="inlineStr">
        <is>
          <t>UPPSALA LÄN</t>
        </is>
      </c>
      <c r="E344" t="inlineStr">
        <is>
          <t>UPPSALA</t>
        </is>
      </c>
      <c r="G344" t="n">
        <v>3.2</v>
      </c>
      <c r="H344" t="n">
        <v>0</v>
      </c>
      <c r="I344" t="n">
        <v>0</v>
      </c>
      <c r="J344" t="n">
        <v>0</v>
      </c>
      <c r="K344" t="n">
        <v>0</v>
      </c>
      <c r="L344" t="n">
        <v>0</v>
      </c>
      <c r="M344" t="n">
        <v>0</v>
      </c>
      <c r="N344" t="n">
        <v>0</v>
      </c>
      <c r="O344" t="n">
        <v>0</v>
      </c>
      <c r="P344" t="n">
        <v>0</v>
      </c>
      <c r="Q344" t="n">
        <v>0</v>
      </c>
      <c r="R344" s="2" t="inlineStr"/>
    </row>
    <row r="345" ht="15" customHeight="1">
      <c r="A345" t="inlineStr">
        <is>
          <t>A 9206-2022</t>
        </is>
      </c>
      <c r="B345" s="1" t="n">
        <v>44616</v>
      </c>
      <c r="C345" s="1" t="n">
        <v>45916</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49821-2020</t>
        </is>
      </c>
      <c r="B346" s="1" t="n">
        <v>44106</v>
      </c>
      <c r="C346" s="1" t="n">
        <v>45916</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21935-2023</t>
        </is>
      </c>
      <c r="B347" s="1" t="n">
        <v>45068.58563657408</v>
      </c>
      <c r="C347" s="1" t="n">
        <v>45916</v>
      </c>
      <c r="D347" t="inlineStr">
        <is>
          <t>UPPSALA LÄN</t>
        </is>
      </c>
      <c r="E347" t="inlineStr">
        <is>
          <t>UPPSALA</t>
        </is>
      </c>
      <c r="G347" t="n">
        <v>2.6</v>
      </c>
      <c r="H347" t="n">
        <v>0</v>
      </c>
      <c r="I347" t="n">
        <v>0</v>
      </c>
      <c r="J347" t="n">
        <v>0</v>
      </c>
      <c r="K347" t="n">
        <v>0</v>
      </c>
      <c r="L347" t="n">
        <v>0</v>
      </c>
      <c r="M347" t="n">
        <v>0</v>
      </c>
      <c r="N347" t="n">
        <v>0</v>
      </c>
      <c r="O347" t="n">
        <v>0</v>
      </c>
      <c r="P347" t="n">
        <v>0</v>
      </c>
      <c r="Q347" t="n">
        <v>0</v>
      </c>
      <c r="R347" s="2" t="inlineStr"/>
    </row>
    <row r="348" ht="15" customHeight="1">
      <c r="A348" t="inlineStr">
        <is>
          <t>A 367-2023</t>
        </is>
      </c>
      <c r="B348" s="1" t="n">
        <v>44929</v>
      </c>
      <c r="C348" s="1" t="n">
        <v>45916</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9981-2025</t>
        </is>
      </c>
      <c r="B349" s="1" t="n">
        <v>45719.40723379629</v>
      </c>
      <c r="C349" s="1" t="n">
        <v>45916</v>
      </c>
      <c r="D349" t="inlineStr">
        <is>
          <t>UPPSALA LÄN</t>
        </is>
      </c>
      <c r="E349" t="inlineStr">
        <is>
          <t>UPPSALA</t>
        </is>
      </c>
      <c r="F349" t="inlineStr">
        <is>
          <t>Kyrkan</t>
        </is>
      </c>
      <c r="G349" t="n">
        <v>2.9</v>
      </c>
      <c r="H349" t="n">
        <v>0</v>
      </c>
      <c r="I349" t="n">
        <v>0</v>
      </c>
      <c r="J349" t="n">
        <v>0</v>
      </c>
      <c r="K349" t="n">
        <v>0</v>
      </c>
      <c r="L349" t="n">
        <v>0</v>
      </c>
      <c r="M349" t="n">
        <v>0</v>
      </c>
      <c r="N349" t="n">
        <v>0</v>
      </c>
      <c r="O349" t="n">
        <v>0</v>
      </c>
      <c r="P349" t="n">
        <v>0</v>
      </c>
      <c r="Q349" t="n">
        <v>0</v>
      </c>
      <c r="R349" s="2" t="inlineStr"/>
    </row>
    <row r="350" ht="15" customHeight="1">
      <c r="A350" t="inlineStr">
        <is>
          <t>A 49409-2020</t>
        </is>
      </c>
      <c r="B350" s="1" t="n">
        <v>44105</v>
      </c>
      <c r="C350" s="1" t="n">
        <v>45916</v>
      </c>
      <c r="D350" t="inlineStr">
        <is>
          <t>UPPSALA LÄN</t>
        </is>
      </c>
      <c r="E350" t="inlineStr">
        <is>
          <t>UPPSALA</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60698-2024</t>
        </is>
      </c>
      <c r="B351" s="1" t="n">
        <v>45644</v>
      </c>
      <c r="C351" s="1" t="n">
        <v>45916</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60735-2024</t>
        </is>
      </c>
      <c r="B352" s="1" t="n">
        <v>45644</v>
      </c>
      <c r="C352" s="1" t="n">
        <v>45916</v>
      </c>
      <c r="D352" t="inlineStr">
        <is>
          <t>UPPSALA LÄN</t>
        </is>
      </c>
      <c r="E352" t="inlineStr">
        <is>
          <t>UPPSALA</t>
        </is>
      </c>
      <c r="G352" t="n">
        <v>1.4</v>
      </c>
      <c r="H352" t="n">
        <v>0</v>
      </c>
      <c r="I352" t="n">
        <v>0</v>
      </c>
      <c r="J352" t="n">
        <v>0</v>
      </c>
      <c r="K352" t="n">
        <v>0</v>
      </c>
      <c r="L352" t="n">
        <v>0</v>
      </c>
      <c r="M352" t="n">
        <v>0</v>
      </c>
      <c r="N352" t="n">
        <v>0</v>
      </c>
      <c r="O352" t="n">
        <v>0</v>
      </c>
      <c r="P352" t="n">
        <v>0</v>
      </c>
      <c r="Q352" t="n">
        <v>0</v>
      </c>
      <c r="R352" s="2" t="inlineStr"/>
    </row>
    <row r="353" ht="15" customHeight="1">
      <c r="A353" t="inlineStr">
        <is>
          <t>A 25513-2025</t>
        </is>
      </c>
      <c r="B353" s="1" t="n">
        <v>45803.36384259259</v>
      </c>
      <c r="C353" s="1" t="n">
        <v>45916</v>
      </c>
      <c r="D353" t="inlineStr">
        <is>
          <t>UPPSALA LÄN</t>
        </is>
      </c>
      <c r="E353" t="inlineStr">
        <is>
          <t>UPPSALA</t>
        </is>
      </c>
      <c r="F353" t="inlineStr">
        <is>
          <t>Bergvik skog öst AB</t>
        </is>
      </c>
      <c r="G353" t="n">
        <v>8.9</v>
      </c>
      <c r="H353" t="n">
        <v>0</v>
      </c>
      <c r="I353" t="n">
        <v>0</v>
      </c>
      <c r="J353" t="n">
        <v>0</v>
      </c>
      <c r="K353" t="n">
        <v>0</v>
      </c>
      <c r="L353" t="n">
        <v>0</v>
      </c>
      <c r="M353" t="n">
        <v>0</v>
      </c>
      <c r="N353" t="n">
        <v>0</v>
      </c>
      <c r="O353" t="n">
        <v>0</v>
      </c>
      <c r="P353" t="n">
        <v>0</v>
      </c>
      <c r="Q353" t="n">
        <v>0</v>
      </c>
      <c r="R353" s="2" t="inlineStr"/>
    </row>
    <row r="354" ht="15" customHeight="1">
      <c r="A354" t="inlineStr">
        <is>
          <t>A 25280-2023</t>
        </is>
      </c>
      <c r="B354" s="1" t="n">
        <v>45086.7037037037</v>
      </c>
      <c r="C354" s="1" t="n">
        <v>45916</v>
      </c>
      <c r="D354" t="inlineStr">
        <is>
          <t>UPPSALA LÄN</t>
        </is>
      </c>
      <c r="E354" t="inlineStr">
        <is>
          <t>UPPSALA</t>
        </is>
      </c>
      <c r="F354" t="inlineStr">
        <is>
          <t>Holmen skog AB</t>
        </is>
      </c>
      <c r="G354" t="n">
        <v>3.2</v>
      </c>
      <c r="H354" t="n">
        <v>0</v>
      </c>
      <c r="I354" t="n">
        <v>0</v>
      </c>
      <c r="J354" t="n">
        <v>0</v>
      </c>
      <c r="K354" t="n">
        <v>0</v>
      </c>
      <c r="L354" t="n">
        <v>0</v>
      </c>
      <c r="M354" t="n">
        <v>0</v>
      </c>
      <c r="N354" t="n">
        <v>0</v>
      </c>
      <c r="O354" t="n">
        <v>0</v>
      </c>
      <c r="P354" t="n">
        <v>0</v>
      </c>
      <c r="Q354" t="n">
        <v>0</v>
      </c>
      <c r="R354" s="2" t="inlineStr"/>
    </row>
    <row r="355" ht="15" customHeight="1">
      <c r="A355" t="inlineStr">
        <is>
          <t>A 61463-2024</t>
        </is>
      </c>
      <c r="B355" s="1" t="n">
        <v>45646.50211805556</v>
      </c>
      <c r="C355" s="1" t="n">
        <v>45916</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34243-2021</t>
        </is>
      </c>
      <c r="B356" s="1" t="n">
        <v>44379.56163194445</v>
      </c>
      <c r="C356" s="1" t="n">
        <v>45916</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20206-2023</t>
        </is>
      </c>
      <c r="B357" s="1" t="n">
        <v>45055</v>
      </c>
      <c r="C357" s="1" t="n">
        <v>45916</v>
      </c>
      <c r="D357" t="inlineStr">
        <is>
          <t>UPPSALA LÄN</t>
        </is>
      </c>
      <c r="E357" t="inlineStr">
        <is>
          <t>UPPSALA</t>
        </is>
      </c>
      <c r="G357" t="n">
        <v>5.7</v>
      </c>
      <c r="H357" t="n">
        <v>0</v>
      </c>
      <c r="I357" t="n">
        <v>0</v>
      </c>
      <c r="J357" t="n">
        <v>0</v>
      </c>
      <c r="K357" t="n">
        <v>0</v>
      </c>
      <c r="L357" t="n">
        <v>0</v>
      </c>
      <c r="M357" t="n">
        <v>0</v>
      </c>
      <c r="N357" t="n">
        <v>0</v>
      </c>
      <c r="O357" t="n">
        <v>0</v>
      </c>
      <c r="P357" t="n">
        <v>0</v>
      </c>
      <c r="Q357" t="n">
        <v>0</v>
      </c>
      <c r="R357" s="2" t="inlineStr"/>
    </row>
    <row r="358" ht="15" customHeight="1">
      <c r="A358" t="inlineStr">
        <is>
          <t>A 25674-2025</t>
        </is>
      </c>
      <c r="B358" s="1" t="n">
        <v>45803.63395833333</v>
      </c>
      <c r="C358" s="1" t="n">
        <v>45916</v>
      </c>
      <c r="D358" t="inlineStr">
        <is>
          <t>UPPSALA LÄN</t>
        </is>
      </c>
      <c r="E358" t="inlineStr">
        <is>
          <t>UPPSALA</t>
        </is>
      </c>
      <c r="G358" t="n">
        <v>0.9</v>
      </c>
      <c r="H358" t="n">
        <v>0</v>
      </c>
      <c r="I358" t="n">
        <v>0</v>
      </c>
      <c r="J358" t="n">
        <v>0</v>
      </c>
      <c r="K358" t="n">
        <v>0</v>
      </c>
      <c r="L358" t="n">
        <v>0</v>
      </c>
      <c r="M358" t="n">
        <v>0</v>
      </c>
      <c r="N358" t="n">
        <v>0</v>
      </c>
      <c r="O358" t="n">
        <v>0</v>
      </c>
      <c r="P358" t="n">
        <v>0</v>
      </c>
      <c r="Q358" t="n">
        <v>0</v>
      </c>
      <c r="R358" s="2" t="inlineStr"/>
    </row>
    <row r="359" ht="15" customHeight="1">
      <c r="A359" t="inlineStr">
        <is>
          <t>A 52197-2024</t>
        </is>
      </c>
      <c r="B359" s="1" t="n">
        <v>45608</v>
      </c>
      <c r="C359" s="1" t="n">
        <v>45916</v>
      </c>
      <c r="D359" t="inlineStr">
        <is>
          <t>UPPSALA LÄN</t>
        </is>
      </c>
      <c r="E359" t="inlineStr">
        <is>
          <t>UPPSALA</t>
        </is>
      </c>
      <c r="G359" t="n">
        <v>1.3</v>
      </c>
      <c r="H359" t="n">
        <v>0</v>
      </c>
      <c r="I359" t="n">
        <v>0</v>
      </c>
      <c r="J359" t="n">
        <v>0</v>
      </c>
      <c r="K359" t="n">
        <v>0</v>
      </c>
      <c r="L359" t="n">
        <v>0</v>
      </c>
      <c r="M359" t="n">
        <v>0</v>
      </c>
      <c r="N359" t="n">
        <v>0</v>
      </c>
      <c r="O359" t="n">
        <v>0</v>
      </c>
      <c r="P359" t="n">
        <v>0</v>
      </c>
      <c r="Q359" t="n">
        <v>0</v>
      </c>
      <c r="R359" s="2" t="inlineStr"/>
    </row>
    <row r="360" ht="15" customHeight="1">
      <c r="A360" t="inlineStr">
        <is>
          <t>A 6628-2024</t>
        </is>
      </c>
      <c r="B360" s="1" t="n">
        <v>45341</v>
      </c>
      <c r="C360" s="1" t="n">
        <v>45916</v>
      </c>
      <c r="D360" t="inlineStr">
        <is>
          <t>UPPSALA LÄN</t>
        </is>
      </c>
      <c r="E360" t="inlineStr">
        <is>
          <t>UPPSALA</t>
        </is>
      </c>
      <c r="G360" t="n">
        <v>4.3</v>
      </c>
      <c r="H360" t="n">
        <v>0</v>
      </c>
      <c r="I360" t="n">
        <v>0</v>
      </c>
      <c r="J360" t="n">
        <v>0</v>
      </c>
      <c r="K360" t="n">
        <v>0</v>
      </c>
      <c r="L360" t="n">
        <v>0</v>
      </c>
      <c r="M360" t="n">
        <v>0</v>
      </c>
      <c r="N360" t="n">
        <v>0</v>
      </c>
      <c r="O360" t="n">
        <v>0</v>
      </c>
      <c r="P360" t="n">
        <v>0</v>
      </c>
      <c r="Q360" t="n">
        <v>0</v>
      </c>
      <c r="R360" s="2" t="inlineStr"/>
    </row>
    <row r="361" ht="15" customHeight="1">
      <c r="A361" t="inlineStr">
        <is>
          <t>A 18330-2025</t>
        </is>
      </c>
      <c r="B361" s="1" t="n">
        <v>45762.49243055555</v>
      </c>
      <c r="C361" s="1" t="n">
        <v>45916</v>
      </c>
      <c r="D361" t="inlineStr">
        <is>
          <t>UPPSALA LÄN</t>
        </is>
      </c>
      <c r="E361" t="inlineStr">
        <is>
          <t>UPPSALA</t>
        </is>
      </c>
      <c r="G361" t="n">
        <v>1.6</v>
      </c>
      <c r="H361" t="n">
        <v>0</v>
      </c>
      <c r="I361" t="n">
        <v>0</v>
      </c>
      <c r="J361" t="n">
        <v>0</v>
      </c>
      <c r="K361" t="n">
        <v>0</v>
      </c>
      <c r="L361" t="n">
        <v>0</v>
      </c>
      <c r="M361" t="n">
        <v>0</v>
      </c>
      <c r="N361" t="n">
        <v>0</v>
      </c>
      <c r="O361" t="n">
        <v>0</v>
      </c>
      <c r="P361" t="n">
        <v>0</v>
      </c>
      <c r="Q361" t="n">
        <v>0</v>
      </c>
      <c r="R361" s="2" t="inlineStr"/>
    </row>
    <row r="362" ht="15" customHeight="1">
      <c r="A362" t="inlineStr">
        <is>
          <t>A 15264-2025</t>
        </is>
      </c>
      <c r="B362" s="1" t="n">
        <v>45744</v>
      </c>
      <c r="C362" s="1" t="n">
        <v>45916</v>
      </c>
      <c r="D362" t="inlineStr">
        <is>
          <t>UPPSALA LÄN</t>
        </is>
      </c>
      <c r="E362" t="inlineStr">
        <is>
          <t>UPPSALA</t>
        </is>
      </c>
      <c r="G362" t="n">
        <v>3.5</v>
      </c>
      <c r="H362" t="n">
        <v>0</v>
      </c>
      <c r="I362" t="n">
        <v>0</v>
      </c>
      <c r="J362" t="n">
        <v>0</v>
      </c>
      <c r="K362" t="n">
        <v>0</v>
      </c>
      <c r="L362" t="n">
        <v>0</v>
      </c>
      <c r="M362" t="n">
        <v>0</v>
      </c>
      <c r="N362" t="n">
        <v>0</v>
      </c>
      <c r="O362" t="n">
        <v>0</v>
      </c>
      <c r="P362" t="n">
        <v>0</v>
      </c>
      <c r="Q362" t="n">
        <v>0</v>
      </c>
      <c r="R362" s="2" t="inlineStr"/>
    </row>
    <row r="363" ht="15" customHeight="1">
      <c r="A363" t="inlineStr">
        <is>
          <t>A 46069-2022</t>
        </is>
      </c>
      <c r="B363" s="1" t="n">
        <v>44847</v>
      </c>
      <c r="C363" s="1" t="n">
        <v>45916</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49682-2023</t>
        </is>
      </c>
      <c r="B364" s="1" t="n">
        <v>45212.34997685185</v>
      </c>
      <c r="C364" s="1" t="n">
        <v>45916</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60701-2022</t>
        </is>
      </c>
      <c r="B365" s="1" t="n">
        <v>44912</v>
      </c>
      <c r="C365" s="1" t="n">
        <v>45916</v>
      </c>
      <c r="D365" t="inlineStr">
        <is>
          <t>UPPSALA LÄN</t>
        </is>
      </c>
      <c r="E365" t="inlineStr">
        <is>
          <t>UPPSALA</t>
        </is>
      </c>
      <c r="G365" t="n">
        <v>1.4</v>
      </c>
      <c r="H365" t="n">
        <v>0</v>
      </c>
      <c r="I365" t="n">
        <v>0</v>
      </c>
      <c r="J365" t="n">
        <v>0</v>
      </c>
      <c r="K365" t="n">
        <v>0</v>
      </c>
      <c r="L365" t="n">
        <v>0</v>
      </c>
      <c r="M365" t="n">
        <v>0</v>
      </c>
      <c r="N365" t="n">
        <v>0</v>
      </c>
      <c r="O365" t="n">
        <v>0</v>
      </c>
      <c r="P365" t="n">
        <v>0</v>
      </c>
      <c r="Q365" t="n">
        <v>0</v>
      </c>
      <c r="R365" s="2" t="inlineStr"/>
    </row>
    <row r="366" ht="15" customHeight="1">
      <c r="A366" t="inlineStr">
        <is>
          <t>A 69691-2021</t>
        </is>
      </c>
      <c r="B366" s="1" t="n">
        <v>44532</v>
      </c>
      <c r="C366" s="1" t="n">
        <v>45916</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50463-2024</t>
        </is>
      </c>
      <c r="B367" s="1" t="n">
        <v>45601</v>
      </c>
      <c r="C367" s="1" t="n">
        <v>45916</v>
      </c>
      <c r="D367" t="inlineStr">
        <is>
          <t>UPPSALA LÄN</t>
        </is>
      </c>
      <c r="E367" t="inlineStr">
        <is>
          <t>UPPSALA</t>
        </is>
      </c>
      <c r="F367" t="inlineStr">
        <is>
          <t>Allmännings- och besparingsskogar</t>
        </is>
      </c>
      <c r="G367" t="n">
        <v>12.6</v>
      </c>
      <c r="H367" t="n">
        <v>0</v>
      </c>
      <c r="I367" t="n">
        <v>0</v>
      </c>
      <c r="J367" t="n">
        <v>0</v>
      </c>
      <c r="K367" t="n">
        <v>0</v>
      </c>
      <c r="L367" t="n">
        <v>0</v>
      </c>
      <c r="M367" t="n">
        <v>0</v>
      </c>
      <c r="N367" t="n">
        <v>0</v>
      </c>
      <c r="O367" t="n">
        <v>0</v>
      </c>
      <c r="P367" t="n">
        <v>0</v>
      </c>
      <c r="Q367" t="n">
        <v>0</v>
      </c>
      <c r="R367" s="2" t="inlineStr"/>
    </row>
    <row r="368" ht="15" customHeight="1">
      <c r="A368" t="inlineStr">
        <is>
          <t>A 5362-2023</t>
        </is>
      </c>
      <c r="B368" s="1" t="n">
        <v>44944</v>
      </c>
      <c r="C368" s="1" t="n">
        <v>45916</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53614-2024</t>
        </is>
      </c>
      <c r="B369" s="1" t="n">
        <v>45611</v>
      </c>
      <c r="C369" s="1" t="n">
        <v>45916</v>
      </c>
      <c r="D369" t="inlineStr">
        <is>
          <t>UPPSALA LÄN</t>
        </is>
      </c>
      <c r="E369" t="inlineStr">
        <is>
          <t>UPPSALA</t>
        </is>
      </c>
      <c r="G369" t="n">
        <v>2.1</v>
      </c>
      <c r="H369" t="n">
        <v>0</v>
      </c>
      <c r="I369" t="n">
        <v>0</v>
      </c>
      <c r="J369" t="n">
        <v>0</v>
      </c>
      <c r="K369" t="n">
        <v>0</v>
      </c>
      <c r="L369" t="n">
        <v>0</v>
      </c>
      <c r="M369" t="n">
        <v>0</v>
      </c>
      <c r="N369" t="n">
        <v>0</v>
      </c>
      <c r="O369" t="n">
        <v>0</v>
      </c>
      <c r="P369" t="n">
        <v>0</v>
      </c>
      <c r="Q369" t="n">
        <v>0</v>
      </c>
      <c r="R369" s="2" t="inlineStr"/>
    </row>
    <row r="370" ht="15" customHeight="1">
      <c r="A370" t="inlineStr">
        <is>
          <t>A 26762-2023</t>
        </is>
      </c>
      <c r="B370" s="1" t="n">
        <v>45093.46706018518</v>
      </c>
      <c r="C370" s="1" t="n">
        <v>45916</v>
      </c>
      <c r="D370" t="inlineStr">
        <is>
          <t>UPPSALA LÄN</t>
        </is>
      </c>
      <c r="E370" t="inlineStr">
        <is>
          <t>UPPSALA</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7058-2023</t>
        </is>
      </c>
      <c r="B371" s="1" t="n">
        <v>44969</v>
      </c>
      <c r="C371" s="1" t="n">
        <v>45916</v>
      </c>
      <c r="D371" t="inlineStr">
        <is>
          <t>UPPSALA LÄN</t>
        </is>
      </c>
      <c r="E371" t="inlineStr">
        <is>
          <t>UPPSALA</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72224-2021</t>
        </is>
      </c>
      <c r="B372" s="1" t="n">
        <v>44544</v>
      </c>
      <c r="C372" s="1" t="n">
        <v>45916</v>
      </c>
      <c r="D372" t="inlineStr">
        <is>
          <t>UPPSALA LÄN</t>
        </is>
      </c>
      <c r="E372" t="inlineStr">
        <is>
          <t>UPPSALA</t>
        </is>
      </c>
      <c r="G372" t="n">
        <v>2.5</v>
      </c>
      <c r="H372" t="n">
        <v>0</v>
      </c>
      <c r="I372" t="n">
        <v>0</v>
      </c>
      <c r="J372" t="n">
        <v>0</v>
      </c>
      <c r="K372" t="n">
        <v>0</v>
      </c>
      <c r="L372" t="n">
        <v>0</v>
      </c>
      <c r="M372" t="n">
        <v>0</v>
      </c>
      <c r="N372" t="n">
        <v>0</v>
      </c>
      <c r="O372" t="n">
        <v>0</v>
      </c>
      <c r="P372" t="n">
        <v>0</v>
      </c>
      <c r="Q372" t="n">
        <v>0</v>
      </c>
      <c r="R372" s="2" t="inlineStr"/>
    </row>
    <row r="373" ht="15" customHeight="1">
      <c r="A373" t="inlineStr">
        <is>
          <t>A 26130-2025</t>
        </is>
      </c>
      <c r="B373" s="1" t="n">
        <v>45805.4094675926</v>
      </c>
      <c r="C373" s="1" t="n">
        <v>45916</v>
      </c>
      <c r="D373" t="inlineStr">
        <is>
          <t>UPPSALA LÄN</t>
        </is>
      </c>
      <c r="E373" t="inlineStr">
        <is>
          <t>UPPSALA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37626-2023</t>
        </is>
      </c>
      <c r="B374" s="1" t="n">
        <v>45159.45748842593</v>
      </c>
      <c r="C374" s="1" t="n">
        <v>45916</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16811-2023</t>
        </is>
      </c>
      <c r="B375" s="1" t="n">
        <v>45033</v>
      </c>
      <c r="C375" s="1" t="n">
        <v>45916</v>
      </c>
      <c r="D375" t="inlineStr">
        <is>
          <t>UPPSALA LÄN</t>
        </is>
      </c>
      <c r="E375" t="inlineStr">
        <is>
          <t>UPPSALA</t>
        </is>
      </c>
      <c r="G375" t="n">
        <v>10.1</v>
      </c>
      <c r="H375" t="n">
        <v>0</v>
      </c>
      <c r="I375" t="n">
        <v>0</v>
      </c>
      <c r="J375" t="n">
        <v>0</v>
      </c>
      <c r="K375" t="n">
        <v>0</v>
      </c>
      <c r="L375" t="n">
        <v>0</v>
      </c>
      <c r="M375" t="n">
        <v>0</v>
      </c>
      <c r="N375" t="n">
        <v>0</v>
      </c>
      <c r="O375" t="n">
        <v>0</v>
      </c>
      <c r="P375" t="n">
        <v>0</v>
      </c>
      <c r="Q375" t="n">
        <v>0</v>
      </c>
      <c r="R375" s="2" t="inlineStr"/>
    </row>
    <row r="376" ht="15" customHeight="1">
      <c r="A376" t="inlineStr">
        <is>
          <t>A 56067-2024</t>
        </is>
      </c>
      <c r="B376" s="1" t="n">
        <v>45624</v>
      </c>
      <c r="C376" s="1" t="n">
        <v>45916</v>
      </c>
      <c r="D376" t="inlineStr">
        <is>
          <t>UPPSALA LÄN</t>
        </is>
      </c>
      <c r="E376" t="inlineStr">
        <is>
          <t>UPPSALA</t>
        </is>
      </c>
      <c r="G376" t="n">
        <v>2.4</v>
      </c>
      <c r="H376" t="n">
        <v>0</v>
      </c>
      <c r="I376" t="n">
        <v>0</v>
      </c>
      <c r="J376" t="n">
        <v>0</v>
      </c>
      <c r="K376" t="n">
        <v>0</v>
      </c>
      <c r="L376" t="n">
        <v>0</v>
      </c>
      <c r="M376" t="n">
        <v>0</v>
      </c>
      <c r="N376" t="n">
        <v>0</v>
      </c>
      <c r="O376" t="n">
        <v>0</v>
      </c>
      <c r="P376" t="n">
        <v>0</v>
      </c>
      <c r="Q376" t="n">
        <v>0</v>
      </c>
      <c r="R376" s="2" t="inlineStr"/>
    </row>
    <row r="377" ht="15" customHeight="1">
      <c r="A377" t="inlineStr">
        <is>
          <t>A 6290-2025</t>
        </is>
      </c>
      <c r="B377" s="1" t="n">
        <v>45698.65606481482</v>
      </c>
      <c r="C377" s="1" t="n">
        <v>45916</v>
      </c>
      <c r="D377" t="inlineStr">
        <is>
          <t>UPPSALA LÄN</t>
        </is>
      </c>
      <c r="E377" t="inlineStr">
        <is>
          <t>UPPSALA</t>
        </is>
      </c>
      <c r="G377" t="n">
        <v>1.3</v>
      </c>
      <c r="H377" t="n">
        <v>0</v>
      </c>
      <c r="I377" t="n">
        <v>0</v>
      </c>
      <c r="J377" t="n">
        <v>0</v>
      </c>
      <c r="K377" t="n">
        <v>0</v>
      </c>
      <c r="L377" t="n">
        <v>0</v>
      </c>
      <c r="M377" t="n">
        <v>0</v>
      </c>
      <c r="N377" t="n">
        <v>0</v>
      </c>
      <c r="O377" t="n">
        <v>0</v>
      </c>
      <c r="P377" t="n">
        <v>0</v>
      </c>
      <c r="Q377" t="n">
        <v>0</v>
      </c>
      <c r="R377" s="2" t="inlineStr"/>
    </row>
    <row r="378" ht="15" customHeight="1">
      <c r="A378" t="inlineStr">
        <is>
          <t>A 26139-2025</t>
        </is>
      </c>
      <c r="B378" s="1" t="n">
        <v>45805.41813657407</v>
      </c>
      <c r="C378" s="1" t="n">
        <v>45916</v>
      </c>
      <c r="D378" t="inlineStr">
        <is>
          <t>UPPSALA LÄN</t>
        </is>
      </c>
      <c r="E378" t="inlineStr">
        <is>
          <t>UPPSALA</t>
        </is>
      </c>
      <c r="F378" t="inlineStr">
        <is>
          <t>Holmen skog AB</t>
        </is>
      </c>
      <c r="G378" t="n">
        <v>0.7</v>
      </c>
      <c r="H378" t="n">
        <v>0</v>
      </c>
      <c r="I378" t="n">
        <v>0</v>
      </c>
      <c r="J378" t="n">
        <v>0</v>
      </c>
      <c r="K378" t="n">
        <v>0</v>
      </c>
      <c r="L378" t="n">
        <v>0</v>
      </c>
      <c r="M378" t="n">
        <v>0</v>
      </c>
      <c r="N378" t="n">
        <v>0</v>
      </c>
      <c r="O378" t="n">
        <v>0</v>
      </c>
      <c r="P378" t="n">
        <v>0</v>
      </c>
      <c r="Q378" t="n">
        <v>0</v>
      </c>
      <c r="R378" s="2" t="inlineStr"/>
    </row>
    <row r="379" ht="15" customHeight="1">
      <c r="A379" t="inlineStr">
        <is>
          <t>A 26141-2025</t>
        </is>
      </c>
      <c r="B379" s="1" t="n">
        <v>45805.4255787037</v>
      </c>
      <c r="C379" s="1" t="n">
        <v>45916</v>
      </c>
      <c r="D379" t="inlineStr">
        <is>
          <t>UPPSALA LÄN</t>
        </is>
      </c>
      <c r="E379" t="inlineStr">
        <is>
          <t>UPPSALA</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16434-2024</t>
        </is>
      </c>
      <c r="B380" s="1" t="n">
        <v>45407.69575231482</v>
      </c>
      <c r="C380" s="1" t="n">
        <v>45916</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1825-2024</t>
        </is>
      </c>
      <c r="B381" s="1" t="n">
        <v>45307</v>
      </c>
      <c r="C381" s="1" t="n">
        <v>45916</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62352-2020</t>
        </is>
      </c>
      <c r="B382" s="1" t="n">
        <v>44159</v>
      </c>
      <c r="C382" s="1" t="n">
        <v>45916</v>
      </c>
      <c r="D382" t="inlineStr">
        <is>
          <t>UPPSALA LÄN</t>
        </is>
      </c>
      <c r="E382" t="inlineStr">
        <is>
          <t>UPPSALA</t>
        </is>
      </c>
      <c r="F382" t="inlineStr">
        <is>
          <t>Allmännings- och besparingsskogar</t>
        </is>
      </c>
      <c r="G382" t="n">
        <v>12.9</v>
      </c>
      <c r="H382" t="n">
        <v>0</v>
      </c>
      <c r="I382" t="n">
        <v>0</v>
      </c>
      <c r="J382" t="n">
        <v>0</v>
      </c>
      <c r="K382" t="n">
        <v>0</v>
      </c>
      <c r="L382" t="n">
        <v>0</v>
      </c>
      <c r="M382" t="n">
        <v>0</v>
      </c>
      <c r="N382" t="n">
        <v>0</v>
      </c>
      <c r="O382" t="n">
        <v>0</v>
      </c>
      <c r="P382" t="n">
        <v>0</v>
      </c>
      <c r="Q382" t="n">
        <v>0</v>
      </c>
      <c r="R382" s="2" t="inlineStr"/>
    </row>
    <row r="383" ht="15" customHeight="1">
      <c r="A383" t="inlineStr">
        <is>
          <t>A 26155-2025</t>
        </is>
      </c>
      <c r="B383" s="1" t="n">
        <v>45805.43402777778</v>
      </c>
      <c r="C383" s="1" t="n">
        <v>45916</v>
      </c>
      <c r="D383" t="inlineStr">
        <is>
          <t>UPPSALA LÄN</t>
        </is>
      </c>
      <c r="E383" t="inlineStr">
        <is>
          <t>UPPSALA</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26131-2025</t>
        </is>
      </c>
      <c r="B384" s="1" t="n">
        <v>45805.41010416667</v>
      </c>
      <c r="C384" s="1" t="n">
        <v>45916</v>
      </c>
      <c r="D384" t="inlineStr">
        <is>
          <t>UPPSALA LÄN</t>
        </is>
      </c>
      <c r="E384" t="inlineStr">
        <is>
          <t>UPPSALA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64855-2021</t>
        </is>
      </c>
      <c r="B385" s="1" t="n">
        <v>44512</v>
      </c>
      <c r="C385" s="1" t="n">
        <v>45916</v>
      </c>
      <c r="D385" t="inlineStr">
        <is>
          <t>UPPSALA LÄN</t>
        </is>
      </c>
      <c r="E385" t="inlineStr">
        <is>
          <t>UPPSALA</t>
        </is>
      </c>
      <c r="G385" t="n">
        <v>3.1</v>
      </c>
      <c r="H385" t="n">
        <v>0</v>
      </c>
      <c r="I385" t="n">
        <v>0</v>
      </c>
      <c r="J385" t="n">
        <v>0</v>
      </c>
      <c r="K385" t="n">
        <v>0</v>
      </c>
      <c r="L385" t="n">
        <v>0</v>
      </c>
      <c r="M385" t="n">
        <v>0</v>
      </c>
      <c r="N385" t="n">
        <v>0</v>
      </c>
      <c r="O385" t="n">
        <v>0</v>
      </c>
      <c r="P385" t="n">
        <v>0</v>
      </c>
      <c r="Q385" t="n">
        <v>0</v>
      </c>
      <c r="R385" s="2" t="inlineStr"/>
    </row>
    <row r="386" ht="15" customHeight="1">
      <c r="A386" t="inlineStr">
        <is>
          <t>A 55953-2020</t>
        </is>
      </c>
      <c r="B386" s="1" t="n">
        <v>44131</v>
      </c>
      <c r="C386" s="1" t="n">
        <v>45916</v>
      </c>
      <c r="D386" t="inlineStr">
        <is>
          <t>UPPSALA LÄN</t>
        </is>
      </c>
      <c r="E386" t="inlineStr">
        <is>
          <t>UPPSALA</t>
        </is>
      </c>
      <c r="F386" t="inlineStr">
        <is>
          <t>Allmännings- och besparingsskogar</t>
        </is>
      </c>
      <c r="G386" t="n">
        <v>74.40000000000001</v>
      </c>
      <c r="H386" t="n">
        <v>0</v>
      </c>
      <c r="I386" t="n">
        <v>0</v>
      </c>
      <c r="J386" t="n">
        <v>0</v>
      </c>
      <c r="K386" t="n">
        <v>0</v>
      </c>
      <c r="L386" t="n">
        <v>0</v>
      </c>
      <c r="M386" t="n">
        <v>0</v>
      </c>
      <c r="N386" t="n">
        <v>0</v>
      </c>
      <c r="O386" t="n">
        <v>0</v>
      </c>
      <c r="P386" t="n">
        <v>0</v>
      </c>
      <c r="Q386" t="n">
        <v>0</v>
      </c>
      <c r="R386" s="2" t="inlineStr"/>
    </row>
    <row r="387" ht="15" customHeight="1">
      <c r="A387" t="inlineStr">
        <is>
          <t>A 53893-2023</t>
        </is>
      </c>
      <c r="B387" s="1" t="n">
        <v>45231</v>
      </c>
      <c r="C387" s="1" t="n">
        <v>45916</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40325-2023</t>
        </is>
      </c>
      <c r="B388" s="1" t="n">
        <v>45169</v>
      </c>
      <c r="C388" s="1" t="n">
        <v>45916</v>
      </c>
      <c r="D388" t="inlineStr">
        <is>
          <t>UPPSALA LÄN</t>
        </is>
      </c>
      <c r="E388" t="inlineStr">
        <is>
          <t>UPPSALA</t>
        </is>
      </c>
      <c r="F388" t="inlineStr">
        <is>
          <t>Kommuner</t>
        </is>
      </c>
      <c r="G388" t="n">
        <v>1.3</v>
      </c>
      <c r="H388" t="n">
        <v>0</v>
      </c>
      <c r="I388" t="n">
        <v>0</v>
      </c>
      <c r="J388" t="n">
        <v>0</v>
      </c>
      <c r="K388" t="n">
        <v>0</v>
      </c>
      <c r="L388" t="n">
        <v>0</v>
      </c>
      <c r="M388" t="n">
        <v>0</v>
      </c>
      <c r="N388" t="n">
        <v>0</v>
      </c>
      <c r="O388" t="n">
        <v>0</v>
      </c>
      <c r="P388" t="n">
        <v>0</v>
      </c>
      <c r="Q388" t="n">
        <v>0</v>
      </c>
      <c r="R388" s="2" t="inlineStr"/>
    </row>
    <row r="389" ht="15" customHeight="1">
      <c r="A389" t="inlineStr">
        <is>
          <t>A 27622-2023</t>
        </is>
      </c>
      <c r="B389" s="1" t="n">
        <v>45097</v>
      </c>
      <c r="C389" s="1" t="n">
        <v>45916</v>
      </c>
      <c r="D389" t="inlineStr">
        <is>
          <t>UPPSALA LÄN</t>
        </is>
      </c>
      <c r="E389" t="inlineStr">
        <is>
          <t>UPPSALA</t>
        </is>
      </c>
      <c r="G389" t="n">
        <v>3.2</v>
      </c>
      <c r="H389" t="n">
        <v>0</v>
      </c>
      <c r="I389" t="n">
        <v>0</v>
      </c>
      <c r="J389" t="n">
        <v>0</v>
      </c>
      <c r="K389" t="n">
        <v>0</v>
      </c>
      <c r="L389" t="n">
        <v>0</v>
      </c>
      <c r="M389" t="n">
        <v>0</v>
      </c>
      <c r="N389" t="n">
        <v>0</v>
      </c>
      <c r="O389" t="n">
        <v>0</v>
      </c>
      <c r="P389" t="n">
        <v>0</v>
      </c>
      <c r="Q389" t="n">
        <v>0</v>
      </c>
      <c r="R389" s="2" t="inlineStr"/>
    </row>
    <row r="390" ht="15" customHeight="1">
      <c r="A390" t="inlineStr">
        <is>
          <t>A 33191-2023</t>
        </is>
      </c>
      <c r="B390" s="1" t="n">
        <v>45127</v>
      </c>
      <c r="C390" s="1" t="n">
        <v>45916</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50395-2023</t>
        </is>
      </c>
      <c r="B391" s="1" t="n">
        <v>45216</v>
      </c>
      <c r="C391" s="1" t="n">
        <v>45916</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9993-2025</t>
        </is>
      </c>
      <c r="B392" s="1" t="n">
        <v>45719.43755787037</v>
      </c>
      <c r="C392" s="1" t="n">
        <v>45916</v>
      </c>
      <c r="D392" t="inlineStr">
        <is>
          <t>UPPSALA LÄN</t>
        </is>
      </c>
      <c r="E392" t="inlineStr">
        <is>
          <t>UPPSALA</t>
        </is>
      </c>
      <c r="F392" t="inlineStr">
        <is>
          <t>Kyrkan</t>
        </is>
      </c>
      <c r="G392" t="n">
        <v>6.1</v>
      </c>
      <c r="H392" t="n">
        <v>0</v>
      </c>
      <c r="I392" t="n">
        <v>0</v>
      </c>
      <c r="J392" t="n">
        <v>0</v>
      </c>
      <c r="K392" t="n">
        <v>0</v>
      </c>
      <c r="L392" t="n">
        <v>0</v>
      </c>
      <c r="M392" t="n">
        <v>0</v>
      </c>
      <c r="N392" t="n">
        <v>0</v>
      </c>
      <c r="O392" t="n">
        <v>0</v>
      </c>
      <c r="P392" t="n">
        <v>0</v>
      </c>
      <c r="Q392" t="n">
        <v>0</v>
      </c>
      <c r="R392" s="2" t="inlineStr"/>
    </row>
    <row r="393" ht="15" customHeight="1">
      <c r="A393" t="inlineStr">
        <is>
          <t>A 50473-2023</t>
        </is>
      </c>
      <c r="B393" s="1" t="n">
        <v>45216</v>
      </c>
      <c r="C393" s="1" t="n">
        <v>45916</v>
      </c>
      <c r="D393" t="inlineStr">
        <is>
          <t>UPPSALA LÄN</t>
        </is>
      </c>
      <c r="E393" t="inlineStr">
        <is>
          <t>UPPSALA</t>
        </is>
      </c>
      <c r="F393" t="inlineStr">
        <is>
          <t>Allmännings- och besparingsskogar</t>
        </is>
      </c>
      <c r="G393" t="n">
        <v>7.6</v>
      </c>
      <c r="H393" t="n">
        <v>0</v>
      </c>
      <c r="I393" t="n">
        <v>0</v>
      </c>
      <c r="J393" t="n">
        <v>0</v>
      </c>
      <c r="K393" t="n">
        <v>0</v>
      </c>
      <c r="L393" t="n">
        <v>0</v>
      </c>
      <c r="M393" t="n">
        <v>0</v>
      </c>
      <c r="N393" t="n">
        <v>0</v>
      </c>
      <c r="O393" t="n">
        <v>0</v>
      </c>
      <c r="P393" t="n">
        <v>0</v>
      </c>
      <c r="Q393" t="n">
        <v>0</v>
      </c>
      <c r="R393" s="2" t="inlineStr"/>
    </row>
    <row r="394" ht="15" customHeight="1">
      <c r="A394" t="inlineStr">
        <is>
          <t>A 4412-2024</t>
        </is>
      </c>
      <c r="B394" s="1" t="n">
        <v>45327</v>
      </c>
      <c r="C394" s="1" t="n">
        <v>45916</v>
      </c>
      <c r="D394" t="inlineStr">
        <is>
          <t>UPPSALA LÄN</t>
        </is>
      </c>
      <c r="E394" t="inlineStr">
        <is>
          <t>UPPSALA</t>
        </is>
      </c>
      <c r="G394" t="n">
        <v>5.4</v>
      </c>
      <c r="H394" t="n">
        <v>0</v>
      </c>
      <c r="I394" t="n">
        <v>0</v>
      </c>
      <c r="J394" t="n">
        <v>0</v>
      </c>
      <c r="K394" t="n">
        <v>0</v>
      </c>
      <c r="L394" t="n">
        <v>0</v>
      </c>
      <c r="M394" t="n">
        <v>0</v>
      </c>
      <c r="N394" t="n">
        <v>0</v>
      </c>
      <c r="O394" t="n">
        <v>0</v>
      </c>
      <c r="P394" t="n">
        <v>0</v>
      </c>
      <c r="Q394" t="n">
        <v>0</v>
      </c>
      <c r="R394" s="2" t="inlineStr"/>
    </row>
    <row r="395" ht="15" customHeight="1">
      <c r="A395" t="inlineStr">
        <is>
          <t>A 60056-2022</t>
        </is>
      </c>
      <c r="B395" s="1" t="n">
        <v>44909</v>
      </c>
      <c r="C395" s="1" t="n">
        <v>45916</v>
      </c>
      <c r="D395" t="inlineStr">
        <is>
          <t>UPPSALA LÄN</t>
        </is>
      </c>
      <c r="E395" t="inlineStr">
        <is>
          <t>UPPSALA</t>
        </is>
      </c>
      <c r="G395" t="n">
        <v>1.2</v>
      </c>
      <c r="H395" t="n">
        <v>0</v>
      </c>
      <c r="I395" t="n">
        <v>0</v>
      </c>
      <c r="J395" t="n">
        <v>0</v>
      </c>
      <c r="K395" t="n">
        <v>0</v>
      </c>
      <c r="L395" t="n">
        <v>0</v>
      </c>
      <c r="M395" t="n">
        <v>0</v>
      </c>
      <c r="N395" t="n">
        <v>0</v>
      </c>
      <c r="O395" t="n">
        <v>0</v>
      </c>
      <c r="P395" t="n">
        <v>0</v>
      </c>
      <c r="Q395" t="n">
        <v>0</v>
      </c>
      <c r="R395" s="2" t="inlineStr"/>
    </row>
    <row r="396" ht="15" customHeight="1">
      <c r="A396" t="inlineStr">
        <is>
          <t>A 26740-2025</t>
        </is>
      </c>
      <c r="B396" s="1" t="n">
        <v>45809</v>
      </c>
      <c r="C396" s="1" t="n">
        <v>45916</v>
      </c>
      <c r="D396" t="inlineStr">
        <is>
          <t>UPPSALA LÄN</t>
        </is>
      </c>
      <c r="E396" t="inlineStr">
        <is>
          <t>UPPSALA</t>
        </is>
      </c>
      <c r="F396" t="inlineStr">
        <is>
          <t>Övriga Aktiebolag</t>
        </is>
      </c>
      <c r="G396" t="n">
        <v>11</v>
      </c>
      <c r="H396" t="n">
        <v>0</v>
      </c>
      <c r="I396" t="n">
        <v>0</v>
      </c>
      <c r="J396" t="n">
        <v>0</v>
      </c>
      <c r="K396" t="n">
        <v>0</v>
      </c>
      <c r="L396" t="n">
        <v>0</v>
      </c>
      <c r="M396" t="n">
        <v>0</v>
      </c>
      <c r="N396" t="n">
        <v>0</v>
      </c>
      <c r="O396" t="n">
        <v>0</v>
      </c>
      <c r="P396" t="n">
        <v>0</v>
      </c>
      <c r="Q396" t="n">
        <v>0</v>
      </c>
      <c r="R396" s="2" t="inlineStr"/>
    </row>
    <row r="397" ht="15" customHeight="1">
      <c r="A397" t="inlineStr">
        <is>
          <t>A 49996-2023</t>
        </is>
      </c>
      <c r="B397" s="1" t="n">
        <v>45215.44233796297</v>
      </c>
      <c r="C397" s="1" t="n">
        <v>45916</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26697-2025</t>
        </is>
      </c>
      <c r="B398" s="1" t="n">
        <v>45810.44339120371</v>
      </c>
      <c r="C398" s="1" t="n">
        <v>45916</v>
      </c>
      <c r="D398" t="inlineStr">
        <is>
          <t>UPPSALA LÄN</t>
        </is>
      </c>
      <c r="E398" t="inlineStr">
        <is>
          <t>UPPSALA</t>
        </is>
      </c>
      <c r="F398" t="inlineStr">
        <is>
          <t>Bergvik skog öst AB</t>
        </is>
      </c>
      <c r="G398" t="n">
        <v>2.8</v>
      </c>
      <c r="H398" t="n">
        <v>0</v>
      </c>
      <c r="I398" t="n">
        <v>0</v>
      </c>
      <c r="J398" t="n">
        <v>0</v>
      </c>
      <c r="K398" t="n">
        <v>0</v>
      </c>
      <c r="L398" t="n">
        <v>0</v>
      </c>
      <c r="M398" t="n">
        <v>0</v>
      </c>
      <c r="N398" t="n">
        <v>0</v>
      </c>
      <c r="O398" t="n">
        <v>0</v>
      </c>
      <c r="P398" t="n">
        <v>0</v>
      </c>
      <c r="Q398" t="n">
        <v>0</v>
      </c>
      <c r="R398" s="2" t="inlineStr"/>
    </row>
    <row r="399" ht="15" customHeight="1">
      <c r="A399" t="inlineStr">
        <is>
          <t>A 26713-2025</t>
        </is>
      </c>
      <c r="B399" s="1" t="n">
        <v>45809</v>
      </c>
      <c r="C399" s="1" t="n">
        <v>45916</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43031-2023</t>
        </is>
      </c>
      <c r="B400" s="1" t="n">
        <v>45182</v>
      </c>
      <c r="C400" s="1" t="n">
        <v>45916</v>
      </c>
      <c r="D400" t="inlineStr">
        <is>
          <t>UPPSALA LÄN</t>
        </is>
      </c>
      <c r="E400" t="inlineStr">
        <is>
          <t>UPPSALA</t>
        </is>
      </c>
      <c r="G400" t="n">
        <v>2.3</v>
      </c>
      <c r="H400" t="n">
        <v>0</v>
      </c>
      <c r="I400" t="n">
        <v>0</v>
      </c>
      <c r="J400" t="n">
        <v>0</v>
      </c>
      <c r="K400" t="n">
        <v>0</v>
      </c>
      <c r="L400" t="n">
        <v>0</v>
      </c>
      <c r="M400" t="n">
        <v>0</v>
      </c>
      <c r="N400" t="n">
        <v>0</v>
      </c>
      <c r="O400" t="n">
        <v>0</v>
      </c>
      <c r="P400" t="n">
        <v>0</v>
      </c>
      <c r="Q400" t="n">
        <v>0</v>
      </c>
      <c r="R400" s="2" t="inlineStr"/>
    </row>
    <row r="401" ht="15" customHeight="1">
      <c r="A401" t="inlineStr">
        <is>
          <t>A 9313-2023</t>
        </is>
      </c>
      <c r="B401" s="1" t="n">
        <v>44980</v>
      </c>
      <c r="C401" s="1" t="n">
        <v>45916</v>
      </c>
      <c r="D401" t="inlineStr">
        <is>
          <t>UPPSALA LÄN</t>
        </is>
      </c>
      <c r="E401" t="inlineStr">
        <is>
          <t>UPPSALA</t>
        </is>
      </c>
      <c r="G401" t="n">
        <v>2.6</v>
      </c>
      <c r="H401" t="n">
        <v>0</v>
      </c>
      <c r="I401" t="n">
        <v>0</v>
      </c>
      <c r="J401" t="n">
        <v>0</v>
      </c>
      <c r="K401" t="n">
        <v>0</v>
      </c>
      <c r="L401" t="n">
        <v>0</v>
      </c>
      <c r="M401" t="n">
        <v>0</v>
      </c>
      <c r="N401" t="n">
        <v>0</v>
      </c>
      <c r="O401" t="n">
        <v>0</v>
      </c>
      <c r="P401" t="n">
        <v>0</v>
      </c>
      <c r="Q401" t="n">
        <v>0</v>
      </c>
      <c r="R401" s="2" t="inlineStr"/>
    </row>
    <row r="402" ht="15" customHeight="1">
      <c r="A402" t="inlineStr">
        <is>
          <t>A 39818-2024</t>
        </is>
      </c>
      <c r="B402" s="1" t="n">
        <v>45552</v>
      </c>
      <c r="C402" s="1" t="n">
        <v>45916</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53365-2024</t>
        </is>
      </c>
      <c r="B403" s="1" t="n">
        <v>45614</v>
      </c>
      <c r="C403" s="1" t="n">
        <v>45916</v>
      </c>
      <c r="D403" t="inlineStr">
        <is>
          <t>UPPSALA LÄN</t>
        </is>
      </c>
      <c r="E403" t="inlineStr">
        <is>
          <t>UPPSALA</t>
        </is>
      </c>
      <c r="F403" t="inlineStr">
        <is>
          <t>Allmännings- och besparingsskogar</t>
        </is>
      </c>
      <c r="G403" t="n">
        <v>6.6</v>
      </c>
      <c r="H403" t="n">
        <v>0</v>
      </c>
      <c r="I403" t="n">
        <v>0</v>
      </c>
      <c r="J403" t="n">
        <v>0</v>
      </c>
      <c r="K403" t="n">
        <v>0</v>
      </c>
      <c r="L403" t="n">
        <v>0</v>
      </c>
      <c r="M403" t="n">
        <v>0</v>
      </c>
      <c r="N403" t="n">
        <v>0</v>
      </c>
      <c r="O403" t="n">
        <v>0</v>
      </c>
      <c r="P403" t="n">
        <v>0</v>
      </c>
      <c r="Q403" t="n">
        <v>0</v>
      </c>
      <c r="R403" s="2" t="inlineStr"/>
    </row>
    <row r="404" ht="15" customHeight="1">
      <c r="A404" t="inlineStr">
        <is>
          <t>A 35142-2023</t>
        </is>
      </c>
      <c r="B404" s="1" t="n">
        <v>45145</v>
      </c>
      <c r="C404" s="1" t="n">
        <v>45916</v>
      </c>
      <c r="D404" t="inlineStr">
        <is>
          <t>UPPSALA LÄN</t>
        </is>
      </c>
      <c r="E404" t="inlineStr">
        <is>
          <t>UPPSALA</t>
        </is>
      </c>
      <c r="G404" t="n">
        <v>2</v>
      </c>
      <c r="H404" t="n">
        <v>0</v>
      </c>
      <c r="I404" t="n">
        <v>0</v>
      </c>
      <c r="J404" t="n">
        <v>0</v>
      </c>
      <c r="K404" t="n">
        <v>0</v>
      </c>
      <c r="L404" t="n">
        <v>0</v>
      </c>
      <c r="M404" t="n">
        <v>0</v>
      </c>
      <c r="N404" t="n">
        <v>0</v>
      </c>
      <c r="O404" t="n">
        <v>0</v>
      </c>
      <c r="P404" t="n">
        <v>0</v>
      </c>
      <c r="Q404" t="n">
        <v>0</v>
      </c>
      <c r="R404" s="2" t="inlineStr"/>
    </row>
    <row r="405" ht="15" customHeight="1">
      <c r="A405" t="inlineStr">
        <is>
          <t>A 59133-2022</t>
        </is>
      </c>
      <c r="B405" s="1" t="n">
        <v>44904</v>
      </c>
      <c r="C405" s="1" t="n">
        <v>45916</v>
      </c>
      <c r="D405" t="inlineStr">
        <is>
          <t>UPPSALA LÄN</t>
        </is>
      </c>
      <c r="E405" t="inlineStr">
        <is>
          <t>UPPSALA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26709-2025</t>
        </is>
      </c>
      <c r="B406" s="1" t="n">
        <v>45810.45960648148</v>
      </c>
      <c r="C406" s="1" t="n">
        <v>45916</v>
      </c>
      <c r="D406" t="inlineStr">
        <is>
          <t>UPPSALA LÄN</t>
        </is>
      </c>
      <c r="E406" t="inlineStr">
        <is>
          <t>UPPSALA</t>
        </is>
      </c>
      <c r="F406" t="inlineStr">
        <is>
          <t>Kyrkan</t>
        </is>
      </c>
      <c r="G406" t="n">
        <v>6.7</v>
      </c>
      <c r="H406" t="n">
        <v>0</v>
      </c>
      <c r="I406" t="n">
        <v>0</v>
      </c>
      <c r="J406" t="n">
        <v>0</v>
      </c>
      <c r="K406" t="n">
        <v>0</v>
      </c>
      <c r="L406" t="n">
        <v>0</v>
      </c>
      <c r="M406" t="n">
        <v>0</v>
      </c>
      <c r="N406" t="n">
        <v>0</v>
      </c>
      <c r="O406" t="n">
        <v>0</v>
      </c>
      <c r="P406" t="n">
        <v>0</v>
      </c>
      <c r="Q406" t="n">
        <v>0</v>
      </c>
      <c r="R406" s="2" t="inlineStr"/>
    </row>
    <row r="407" ht="15" customHeight="1">
      <c r="A407" t="inlineStr">
        <is>
          <t>A 26738-2025</t>
        </is>
      </c>
      <c r="B407" s="1" t="n">
        <v>45809</v>
      </c>
      <c r="C407" s="1" t="n">
        <v>45916</v>
      </c>
      <c r="D407" t="inlineStr">
        <is>
          <t>UPPSALA LÄN</t>
        </is>
      </c>
      <c r="E407" t="inlineStr">
        <is>
          <t>UPPSALA</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26739-2025</t>
        </is>
      </c>
      <c r="B408" s="1" t="n">
        <v>45809</v>
      </c>
      <c r="C408" s="1" t="n">
        <v>45916</v>
      </c>
      <c r="D408" t="inlineStr">
        <is>
          <t>UPPSALA LÄN</t>
        </is>
      </c>
      <c r="E408" t="inlineStr">
        <is>
          <t>UPPSALA</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23494-2024</t>
        </is>
      </c>
      <c r="B409" s="1" t="n">
        <v>45453.69339120371</v>
      </c>
      <c r="C409" s="1" t="n">
        <v>45916</v>
      </c>
      <c r="D409" t="inlineStr">
        <is>
          <t>UPPSALA LÄN</t>
        </is>
      </c>
      <c r="E409" t="inlineStr">
        <is>
          <t>UPPSALA</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32127-2024</t>
        </is>
      </c>
      <c r="B410" s="1" t="n">
        <v>45511</v>
      </c>
      <c r="C410" s="1" t="n">
        <v>45916</v>
      </c>
      <c r="D410" t="inlineStr">
        <is>
          <t>UPPSALA LÄN</t>
        </is>
      </c>
      <c r="E410" t="inlineStr">
        <is>
          <t>UPPSALA</t>
        </is>
      </c>
      <c r="G410" t="n">
        <v>3.7</v>
      </c>
      <c r="H410" t="n">
        <v>0</v>
      </c>
      <c r="I410" t="n">
        <v>0</v>
      </c>
      <c r="J410" t="n">
        <v>0</v>
      </c>
      <c r="K410" t="n">
        <v>0</v>
      </c>
      <c r="L410" t="n">
        <v>0</v>
      </c>
      <c r="M410" t="n">
        <v>0</v>
      </c>
      <c r="N410" t="n">
        <v>0</v>
      </c>
      <c r="O410" t="n">
        <v>0</v>
      </c>
      <c r="P410" t="n">
        <v>0</v>
      </c>
      <c r="Q410" t="n">
        <v>0</v>
      </c>
      <c r="R410" s="2" t="inlineStr"/>
    </row>
    <row r="411" ht="15" customHeight="1">
      <c r="A411" t="inlineStr">
        <is>
          <t>A 58070-2020</t>
        </is>
      </c>
      <c r="B411" s="1" t="n">
        <v>44140</v>
      </c>
      <c r="C411" s="1" t="n">
        <v>45916</v>
      </c>
      <c r="D411" t="inlineStr">
        <is>
          <t>UPPSALA LÄN</t>
        </is>
      </c>
      <c r="E411" t="inlineStr">
        <is>
          <t>UPPSALA</t>
        </is>
      </c>
      <c r="G411" t="n">
        <v>4</v>
      </c>
      <c r="H411" t="n">
        <v>0</v>
      </c>
      <c r="I411" t="n">
        <v>0</v>
      </c>
      <c r="J411" t="n">
        <v>0</v>
      </c>
      <c r="K411" t="n">
        <v>0</v>
      </c>
      <c r="L411" t="n">
        <v>0</v>
      </c>
      <c r="M411" t="n">
        <v>0</v>
      </c>
      <c r="N411" t="n">
        <v>0</v>
      </c>
      <c r="O411" t="n">
        <v>0</v>
      </c>
      <c r="P411" t="n">
        <v>0</v>
      </c>
      <c r="Q411" t="n">
        <v>0</v>
      </c>
      <c r="R411" s="2" t="inlineStr"/>
    </row>
    <row r="412" ht="15" customHeight="1">
      <c r="A412" t="inlineStr">
        <is>
          <t>A 26696-2025</t>
        </is>
      </c>
      <c r="B412" s="1" t="n">
        <v>45810.44299768518</v>
      </c>
      <c r="C412" s="1" t="n">
        <v>45916</v>
      </c>
      <c r="D412" t="inlineStr">
        <is>
          <t>UPPSALA LÄN</t>
        </is>
      </c>
      <c r="E412" t="inlineStr">
        <is>
          <t>UPPSALA</t>
        </is>
      </c>
      <c r="F412" t="inlineStr">
        <is>
          <t>Bergvik skog öst AB</t>
        </is>
      </c>
      <c r="G412" t="n">
        <v>7.1</v>
      </c>
      <c r="H412" t="n">
        <v>0</v>
      </c>
      <c r="I412" t="n">
        <v>0</v>
      </c>
      <c r="J412" t="n">
        <v>0</v>
      </c>
      <c r="K412" t="n">
        <v>0</v>
      </c>
      <c r="L412" t="n">
        <v>0</v>
      </c>
      <c r="M412" t="n">
        <v>0</v>
      </c>
      <c r="N412" t="n">
        <v>0</v>
      </c>
      <c r="O412" t="n">
        <v>0</v>
      </c>
      <c r="P412" t="n">
        <v>0</v>
      </c>
      <c r="Q412" t="n">
        <v>0</v>
      </c>
      <c r="R412" s="2" t="inlineStr"/>
    </row>
    <row r="413" ht="15" customHeight="1">
      <c r="A413" t="inlineStr">
        <is>
          <t>A 18607-2024</t>
        </is>
      </c>
      <c r="B413" s="1" t="n">
        <v>45425.94947916667</v>
      </c>
      <c r="C413" s="1" t="n">
        <v>45916</v>
      </c>
      <c r="D413" t="inlineStr">
        <is>
          <t>UPPSALA LÄN</t>
        </is>
      </c>
      <c r="E413" t="inlineStr">
        <is>
          <t>UPPSALA</t>
        </is>
      </c>
      <c r="G413" t="n">
        <v>4.3</v>
      </c>
      <c r="H413" t="n">
        <v>0</v>
      </c>
      <c r="I413" t="n">
        <v>0</v>
      </c>
      <c r="J413" t="n">
        <v>0</v>
      </c>
      <c r="K413" t="n">
        <v>0</v>
      </c>
      <c r="L413" t="n">
        <v>0</v>
      </c>
      <c r="M413" t="n">
        <v>0</v>
      </c>
      <c r="N413" t="n">
        <v>0</v>
      </c>
      <c r="O413" t="n">
        <v>0</v>
      </c>
      <c r="P413" t="n">
        <v>0</v>
      </c>
      <c r="Q413" t="n">
        <v>0</v>
      </c>
      <c r="R413" s="2" t="inlineStr"/>
    </row>
    <row r="414" ht="15" customHeight="1">
      <c r="A414" t="inlineStr">
        <is>
          <t>A 56872-2023</t>
        </is>
      </c>
      <c r="B414" s="1" t="n">
        <v>45244.52202546296</v>
      </c>
      <c r="C414" s="1" t="n">
        <v>45916</v>
      </c>
      <c r="D414" t="inlineStr">
        <is>
          <t>UPPSALA LÄN</t>
        </is>
      </c>
      <c r="E414" t="inlineStr">
        <is>
          <t>UPPSALA</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46633-2020</t>
        </is>
      </c>
      <c r="B415" s="1" t="n">
        <v>44095</v>
      </c>
      <c r="C415" s="1" t="n">
        <v>45916</v>
      </c>
      <c r="D415" t="inlineStr">
        <is>
          <t>UPPSALA LÄN</t>
        </is>
      </c>
      <c r="E415" t="inlineStr">
        <is>
          <t>UPPSALA</t>
        </is>
      </c>
      <c r="G415" t="n">
        <v>4.2</v>
      </c>
      <c r="H415" t="n">
        <v>0</v>
      </c>
      <c r="I415" t="n">
        <v>0</v>
      </c>
      <c r="J415" t="n">
        <v>0</v>
      </c>
      <c r="K415" t="n">
        <v>0</v>
      </c>
      <c r="L415" t="n">
        <v>0</v>
      </c>
      <c r="M415" t="n">
        <v>0</v>
      </c>
      <c r="N415" t="n">
        <v>0</v>
      </c>
      <c r="O415" t="n">
        <v>0</v>
      </c>
      <c r="P415" t="n">
        <v>0</v>
      </c>
      <c r="Q415" t="n">
        <v>0</v>
      </c>
      <c r="R415" s="2" t="inlineStr"/>
    </row>
    <row r="416" ht="15" customHeight="1">
      <c r="A416" t="inlineStr">
        <is>
          <t>A 5204-2025</t>
        </is>
      </c>
      <c r="B416" s="1" t="n">
        <v>45691</v>
      </c>
      <c r="C416" s="1" t="n">
        <v>45916</v>
      </c>
      <c r="D416" t="inlineStr">
        <is>
          <t>UPPSALA LÄN</t>
        </is>
      </c>
      <c r="E416" t="inlineStr">
        <is>
          <t>UPPSALA</t>
        </is>
      </c>
      <c r="G416" t="n">
        <v>3.7</v>
      </c>
      <c r="H416" t="n">
        <v>0</v>
      </c>
      <c r="I416" t="n">
        <v>0</v>
      </c>
      <c r="J416" t="n">
        <v>0</v>
      </c>
      <c r="K416" t="n">
        <v>0</v>
      </c>
      <c r="L416" t="n">
        <v>0</v>
      </c>
      <c r="M416" t="n">
        <v>0</v>
      </c>
      <c r="N416" t="n">
        <v>0</v>
      </c>
      <c r="O416" t="n">
        <v>0</v>
      </c>
      <c r="P416" t="n">
        <v>0</v>
      </c>
      <c r="Q416" t="n">
        <v>0</v>
      </c>
      <c r="R416" s="2" t="inlineStr"/>
    </row>
    <row r="417" ht="15" customHeight="1">
      <c r="A417" t="inlineStr">
        <is>
          <t>A 73531-2021</t>
        </is>
      </c>
      <c r="B417" s="1" t="n">
        <v>44551.76711805556</v>
      </c>
      <c r="C417" s="1" t="n">
        <v>45916</v>
      </c>
      <c r="D417" t="inlineStr">
        <is>
          <t>UPPSALA LÄN</t>
        </is>
      </c>
      <c r="E417" t="inlineStr">
        <is>
          <t>UPPSALA</t>
        </is>
      </c>
      <c r="F417" t="inlineStr">
        <is>
          <t>Holmen skog AB</t>
        </is>
      </c>
      <c r="G417" t="n">
        <v>1.9</v>
      </c>
      <c r="H417" t="n">
        <v>0</v>
      </c>
      <c r="I417" t="n">
        <v>0</v>
      </c>
      <c r="J417" t="n">
        <v>0</v>
      </c>
      <c r="K417" t="n">
        <v>0</v>
      </c>
      <c r="L417" t="n">
        <v>0</v>
      </c>
      <c r="M417" t="n">
        <v>0</v>
      </c>
      <c r="N417" t="n">
        <v>0</v>
      </c>
      <c r="O417" t="n">
        <v>0</v>
      </c>
      <c r="P417" t="n">
        <v>0</v>
      </c>
      <c r="Q417" t="n">
        <v>0</v>
      </c>
      <c r="R417" s="2" t="inlineStr"/>
    </row>
    <row r="418" ht="15" customHeight="1">
      <c r="A418" t="inlineStr">
        <is>
          <t>A 53384-2024</t>
        </is>
      </c>
      <c r="B418" s="1" t="n">
        <v>45614</v>
      </c>
      <c r="C418" s="1" t="n">
        <v>45916</v>
      </c>
      <c r="D418" t="inlineStr">
        <is>
          <t>UPPSALA LÄN</t>
        </is>
      </c>
      <c r="E418" t="inlineStr">
        <is>
          <t>UPPSALA</t>
        </is>
      </c>
      <c r="G418" t="n">
        <v>3.7</v>
      </c>
      <c r="H418" t="n">
        <v>0</v>
      </c>
      <c r="I418" t="n">
        <v>0</v>
      </c>
      <c r="J418" t="n">
        <v>0</v>
      </c>
      <c r="K418" t="n">
        <v>0</v>
      </c>
      <c r="L418" t="n">
        <v>0</v>
      </c>
      <c r="M418" t="n">
        <v>0</v>
      </c>
      <c r="N418" t="n">
        <v>0</v>
      </c>
      <c r="O418" t="n">
        <v>0</v>
      </c>
      <c r="P418" t="n">
        <v>0</v>
      </c>
      <c r="Q418" t="n">
        <v>0</v>
      </c>
      <c r="R418" s="2" t="inlineStr"/>
    </row>
    <row r="419" ht="15" customHeight="1">
      <c r="A419" t="inlineStr">
        <is>
          <t>A 5669-2023</t>
        </is>
      </c>
      <c r="B419" s="1" t="n">
        <v>44960.65061342593</v>
      </c>
      <c r="C419" s="1" t="n">
        <v>45916</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5678-2023</t>
        </is>
      </c>
      <c r="B420" s="1" t="n">
        <v>44960</v>
      </c>
      <c r="C420" s="1" t="n">
        <v>45916</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46796-2024</t>
        </is>
      </c>
      <c r="B421" s="1" t="n">
        <v>45583</v>
      </c>
      <c r="C421" s="1" t="n">
        <v>45916</v>
      </c>
      <c r="D421" t="inlineStr">
        <is>
          <t>UPPSALA LÄN</t>
        </is>
      </c>
      <c r="E421" t="inlineStr">
        <is>
          <t>UPPSALA</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341-2024</t>
        </is>
      </c>
      <c r="B422" s="1" t="n">
        <v>45295</v>
      </c>
      <c r="C422" s="1" t="n">
        <v>45916</v>
      </c>
      <c r="D422" t="inlineStr">
        <is>
          <t>UPPSALA LÄN</t>
        </is>
      </c>
      <c r="E422" t="inlineStr">
        <is>
          <t>UPPSALA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27265-2025</t>
        </is>
      </c>
      <c r="B423" s="1" t="n">
        <v>45812.48032407407</v>
      </c>
      <c r="C423" s="1" t="n">
        <v>45916</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55220-2020</t>
        </is>
      </c>
      <c r="B424" s="1" t="n">
        <v>44130</v>
      </c>
      <c r="C424" s="1" t="n">
        <v>45916</v>
      </c>
      <c r="D424" t="inlineStr">
        <is>
          <t>UPPSALA LÄN</t>
        </is>
      </c>
      <c r="E424" t="inlineStr">
        <is>
          <t>UPPSALA</t>
        </is>
      </c>
      <c r="G424" t="n">
        <v>2.8</v>
      </c>
      <c r="H424" t="n">
        <v>0</v>
      </c>
      <c r="I424" t="n">
        <v>0</v>
      </c>
      <c r="J424" t="n">
        <v>0</v>
      </c>
      <c r="K424" t="n">
        <v>0</v>
      </c>
      <c r="L424" t="n">
        <v>0</v>
      </c>
      <c r="M424" t="n">
        <v>0</v>
      </c>
      <c r="N424" t="n">
        <v>0</v>
      </c>
      <c r="O424" t="n">
        <v>0</v>
      </c>
      <c r="P424" t="n">
        <v>0</v>
      </c>
      <c r="Q424" t="n">
        <v>0</v>
      </c>
      <c r="R424" s="2" t="inlineStr"/>
    </row>
    <row r="425" ht="15" customHeight="1">
      <c r="A425" t="inlineStr">
        <is>
          <t>A 42124-2021</t>
        </is>
      </c>
      <c r="B425" s="1" t="n">
        <v>44426</v>
      </c>
      <c r="C425" s="1" t="n">
        <v>45916</v>
      </c>
      <c r="D425" t="inlineStr">
        <is>
          <t>UPPSALA LÄN</t>
        </is>
      </c>
      <c r="E425" t="inlineStr">
        <is>
          <t>UPPSALA</t>
        </is>
      </c>
      <c r="G425" t="n">
        <v>6.3</v>
      </c>
      <c r="H425" t="n">
        <v>0</v>
      </c>
      <c r="I425" t="n">
        <v>0</v>
      </c>
      <c r="J425" t="n">
        <v>0</v>
      </c>
      <c r="K425" t="n">
        <v>0</v>
      </c>
      <c r="L425" t="n">
        <v>0</v>
      </c>
      <c r="M425" t="n">
        <v>0</v>
      </c>
      <c r="N425" t="n">
        <v>0</v>
      </c>
      <c r="O425" t="n">
        <v>0</v>
      </c>
      <c r="P425" t="n">
        <v>0</v>
      </c>
      <c r="Q425" t="n">
        <v>0</v>
      </c>
      <c r="R425" s="2" t="inlineStr"/>
    </row>
    <row r="426" ht="15" customHeight="1">
      <c r="A426" t="inlineStr">
        <is>
          <t>A 27538-2025</t>
        </is>
      </c>
      <c r="B426" s="1" t="n">
        <v>45813.46034722222</v>
      </c>
      <c r="C426" s="1" t="n">
        <v>45916</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27706-2025</t>
        </is>
      </c>
      <c r="B427" s="1" t="n">
        <v>45813</v>
      </c>
      <c r="C427" s="1" t="n">
        <v>45916</v>
      </c>
      <c r="D427" t="inlineStr">
        <is>
          <t>UPPSALA LÄN</t>
        </is>
      </c>
      <c r="E427" t="inlineStr">
        <is>
          <t>UPPSALA</t>
        </is>
      </c>
      <c r="G427" t="n">
        <v>0.8</v>
      </c>
      <c r="H427" t="n">
        <v>0</v>
      </c>
      <c r="I427" t="n">
        <v>0</v>
      </c>
      <c r="J427" t="n">
        <v>0</v>
      </c>
      <c r="K427" t="n">
        <v>0</v>
      </c>
      <c r="L427" t="n">
        <v>0</v>
      </c>
      <c r="M427" t="n">
        <v>0</v>
      </c>
      <c r="N427" t="n">
        <v>0</v>
      </c>
      <c r="O427" t="n">
        <v>0</v>
      </c>
      <c r="P427" t="n">
        <v>0</v>
      </c>
      <c r="Q427" t="n">
        <v>0</v>
      </c>
      <c r="R427" s="2" t="inlineStr"/>
    </row>
    <row r="428" ht="15" customHeight="1">
      <c r="A428" t="inlineStr">
        <is>
          <t>A 39795-2022</t>
        </is>
      </c>
      <c r="B428" s="1" t="n">
        <v>44819.50233796296</v>
      </c>
      <c r="C428" s="1" t="n">
        <v>45916</v>
      </c>
      <c r="D428" t="inlineStr">
        <is>
          <t>UPPSALA LÄN</t>
        </is>
      </c>
      <c r="E428" t="inlineStr">
        <is>
          <t>UPPSALA</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10827-2024</t>
        </is>
      </c>
      <c r="B429" s="1" t="n">
        <v>45369</v>
      </c>
      <c r="C429" s="1" t="n">
        <v>45916</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11409-2025</t>
        </is>
      </c>
      <c r="B430" s="1" t="n">
        <v>45726</v>
      </c>
      <c r="C430" s="1" t="n">
        <v>45916</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54783-2023</t>
        </is>
      </c>
      <c r="B431" s="1" t="n">
        <v>45236.47697916667</v>
      </c>
      <c r="C431" s="1" t="n">
        <v>45916</v>
      </c>
      <c r="D431" t="inlineStr">
        <is>
          <t>UPPSALA LÄN</t>
        </is>
      </c>
      <c r="E431" t="inlineStr">
        <is>
          <t>UPPSALA</t>
        </is>
      </c>
      <c r="G431" t="n">
        <v>2.2</v>
      </c>
      <c r="H431" t="n">
        <v>0</v>
      </c>
      <c r="I431" t="n">
        <v>0</v>
      </c>
      <c r="J431" t="n">
        <v>0</v>
      </c>
      <c r="K431" t="n">
        <v>0</v>
      </c>
      <c r="L431" t="n">
        <v>0</v>
      </c>
      <c r="M431" t="n">
        <v>0</v>
      </c>
      <c r="N431" t="n">
        <v>0</v>
      </c>
      <c r="O431" t="n">
        <v>0</v>
      </c>
      <c r="P431" t="n">
        <v>0</v>
      </c>
      <c r="Q431" t="n">
        <v>0</v>
      </c>
      <c r="R431" s="2" t="inlineStr"/>
    </row>
    <row r="432" ht="15" customHeight="1">
      <c r="A432" t="inlineStr">
        <is>
          <t>A 12830-2025</t>
        </is>
      </c>
      <c r="B432" s="1" t="n">
        <v>45733.63099537037</v>
      </c>
      <c r="C432" s="1" t="n">
        <v>45916</v>
      </c>
      <c r="D432" t="inlineStr">
        <is>
          <t>UPPSALA LÄN</t>
        </is>
      </c>
      <c r="E432" t="inlineStr">
        <is>
          <t>UPPSALA</t>
        </is>
      </c>
      <c r="G432" t="n">
        <v>1.5</v>
      </c>
      <c r="H432" t="n">
        <v>0</v>
      </c>
      <c r="I432" t="n">
        <v>0</v>
      </c>
      <c r="J432" t="n">
        <v>0</v>
      </c>
      <c r="K432" t="n">
        <v>0</v>
      </c>
      <c r="L432" t="n">
        <v>0</v>
      </c>
      <c r="M432" t="n">
        <v>0</v>
      </c>
      <c r="N432" t="n">
        <v>0</v>
      </c>
      <c r="O432" t="n">
        <v>0</v>
      </c>
      <c r="P432" t="n">
        <v>0</v>
      </c>
      <c r="Q432" t="n">
        <v>0</v>
      </c>
      <c r="R432" s="2" t="inlineStr"/>
    </row>
    <row r="433" ht="15" customHeight="1">
      <c r="A433" t="inlineStr">
        <is>
          <t>A 668-2025</t>
        </is>
      </c>
      <c r="B433" s="1" t="n">
        <v>45664</v>
      </c>
      <c r="C433" s="1" t="n">
        <v>45916</v>
      </c>
      <c r="D433" t="inlineStr">
        <is>
          <t>UPPSALA LÄN</t>
        </is>
      </c>
      <c r="E433" t="inlineStr">
        <is>
          <t>UPPSALA</t>
        </is>
      </c>
      <c r="F433" t="inlineStr">
        <is>
          <t>Bergvik skog öst AB</t>
        </is>
      </c>
      <c r="G433" t="n">
        <v>4.7</v>
      </c>
      <c r="H433" t="n">
        <v>0</v>
      </c>
      <c r="I433" t="n">
        <v>0</v>
      </c>
      <c r="J433" t="n">
        <v>0</v>
      </c>
      <c r="K433" t="n">
        <v>0</v>
      </c>
      <c r="L433" t="n">
        <v>0</v>
      </c>
      <c r="M433" t="n">
        <v>0</v>
      </c>
      <c r="N433" t="n">
        <v>0</v>
      </c>
      <c r="O433" t="n">
        <v>0</v>
      </c>
      <c r="P433" t="n">
        <v>0</v>
      </c>
      <c r="Q433" t="n">
        <v>0</v>
      </c>
      <c r="R433" s="2" t="inlineStr"/>
    </row>
    <row r="434" ht="15" customHeight="1">
      <c r="A434" t="inlineStr">
        <is>
          <t>A 9914-2024</t>
        </is>
      </c>
      <c r="B434" s="1" t="n">
        <v>45363.54878472222</v>
      </c>
      <c r="C434" s="1" t="n">
        <v>45916</v>
      </c>
      <c r="D434" t="inlineStr">
        <is>
          <t>UPPSALA LÄN</t>
        </is>
      </c>
      <c r="E434" t="inlineStr">
        <is>
          <t>UPPSALA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6677-2024</t>
        </is>
      </c>
      <c r="B435" s="1" t="n">
        <v>45341</v>
      </c>
      <c r="C435" s="1" t="n">
        <v>45916</v>
      </c>
      <c r="D435" t="inlineStr">
        <is>
          <t>UPPSALA LÄN</t>
        </is>
      </c>
      <c r="E435" t="inlineStr">
        <is>
          <t>UPPSALA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10489-2025</t>
        </is>
      </c>
      <c r="B436" s="1" t="n">
        <v>45721.34715277778</v>
      </c>
      <c r="C436" s="1" t="n">
        <v>45916</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27917-2025</t>
        </is>
      </c>
      <c r="B437" s="1" t="n">
        <v>45814</v>
      </c>
      <c r="C437" s="1" t="n">
        <v>45916</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13526-2023</t>
        </is>
      </c>
      <c r="B438" s="1" t="n">
        <v>45006</v>
      </c>
      <c r="C438" s="1" t="n">
        <v>45916</v>
      </c>
      <c r="D438" t="inlineStr">
        <is>
          <t>UPPSALA LÄN</t>
        </is>
      </c>
      <c r="E438" t="inlineStr">
        <is>
          <t>UPPSALA</t>
        </is>
      </c>
      <c r="G438" t="n">
        <v>0.7</v>
      </c>
      <c r="H438" t="n">
        <v>0</v>
      </c>
      <c r="I438" t="n">
        <v>0</v>
      </c>
      <c r="J438" t="n">
        <v>0</v>
      </c>
      <c r="K438" t="n">
        <v>0</v>
      </c>
      <c r="L438" t="n">
        <v>0</v>
      </c>
      <c r="M438" t="n">
        <v>0</v>
      </c>
      <c r="N438" t="n">
        <v>0</v>
      </c>
      <c r="O438" t="n">
        <v>0</v>
      </c>
      <c r="P438" t="n">
        <v>0</v>
      </c>
      <c r="Q438" t="n">
        <v>0</v>
      </c>
      <c r="R438" s="2" t="inlineStr"/>
    </row>
    <row r="439" ht="15" customHeight="1">
      <c r="A439" t="inlineStr">
        <is>
          <t>A 28121-2025</t>
        </is>
      </c>
      <c r="B439" s="1" t="n">
        <v>45817</v>
      </c>
      <c r="C439" s="1" t="n">
        <v>45916</v>
      </c>
      <c r="D439" t="inlineStr">
        <is>
          <t>UPPSALA LÄN</t>
        </is>
      </c>
      <c r="E439" t="inlineStr">
        <is>
          <t>UPPSALA</t>
        </is>
      </c>
      <c r="G439" t="n">
        <v>5.6</v>
      </c>
      <c r="H439" t="n">
        <v>0</v>
      </c>
      <c r="I439" t="n">
        <v>0</v>
      </c>
      <c r="J439" t="n">
        <v>0</v>
      </c>
      <c r="K439" t="n">
        <v>0</v>
      </c>
      <c r="L439" t="n">
        <v>0</v>
      </c>
      <c r="M439" t="n">
        <v>0</v>
      </c>
      <c r="N439" t="n">
        <v>0</v>
      </c>
      <c r="O439" t="n">
        <v>0</v>
      </c>
      <c r="P439" t="n">
        <v>0</v>
      </c>
      <c r="Q439" t="n">
        <v>0</v>
      </c>
      <c r="R439" s="2" t="inlineStr"/>
    </row>
    <row r="440" ht="15" customHeight="1">
      <c r="A440" t="inlineStr">
        <is>
          <t>A 6408-2022</t>
        </is>
      </c>
      <c r="B440" s="1" t="n">
        <v>44600</v>
      </c>
      <c r="C440" s="1" t="n">
        <v>45916</v>
      </c>
      <c r="D440" t="inlineStr">
        <is>
          <t>UPPSALA LÄN</t>
        </is>
      </c>
      <c r="E440" t="inlineStr">
        <is>
          <t>UPPSALA</t>
        </is>
      </c>
      <c r="F440" t="inlineStr">
        <is>
          <t>Bergvik skog öst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24098-2024</t>
        </is>
      </c>
      <c r="B441" s="1" t="n">
        <v>45456.59535879629</v>
      </c>
      <c r="C441" s="1" t="n">
        <v>45916</v>
      </c>
      <c r="D441" t="inlineStr">
        <is>
          <t>UPPSALA LÄN</t>
        </is>
      </c>
      <c r="E441" t="inlineStr">
        <is>
          <t>UPPSALA</t>
        </is>
      </c>
      <c r="G441" t="n">
        <v>2.2</v>
      </c>
      <c r="H441" t="n">
        <v>0</v>
      </c>
      <c r="I441" t="n">
        <v>0</v>
      </c>
      <c r="J441" t="n">
        <v>0</v>
      </c>
      <c r="K441" t="n">
        <v>0</v>
      </c>
      <c r="L441" t="n">
        <v>0</v>
      </c>
      <c r="M441" t="n">
        <v>0</v>
      </c>
      <c r="N441" t="n">
        <v>0</v>
      </c>
      <c r="O441" t="n">
        <v>0</v>
      </c>
      <c r="P441" t="n">
        <v>0</v>
      </c>
      <c r="Q441" t="n">
        <v>0</v>
      </c>
      <c r="R441" s="2" t="inlineStr"/>
    </row>
    <row r="442" ht="15" customHeight="1">
      <c r="A442" t="inlineStr">
        <is>
          <t>A 5722-2025</t>
        </is>
      </c>
      <c r="B442" s="1" t="n">
        <v>45694</v>
      </c>
      <c r="C442" s="1" t="n">
        <v>45916</v>
      </c>
      <c r="D442" t="inlineStr">
        <is>
          <t>UPPSALA LÄN</t>
        </is>
      </c>
      <c r="E442" t="inlineStr">
        <is>
          <t>UPPSALA</t>
        </is>
      </c>
      <c r="G442" t="n">
        <v>2</v>
      </c>
      <c r="H442" t="n">
        <v>0</v>
      </c>
      <c r="I442" t="n">
        <v>0</v>
      </c>
      <c r="J442" t="n">
        <v>0</v>
      </c>
      <c r="K442" t="n">
        <v>0</v>
      </c>
      <c r="L442" t="n">
        <v>0</v>
      </c>
      <c r="M442" t="n">
        <v>0</v>
      </c>
      <c r="N442" t="n">
        <v>0</v>
      </c>
      <c r="O442" t="n">
        <v>0</v>
      </c>
      <c r="P442" t="n">
        <v>0</v>
      </c>
      <c r="Q442" t="n">
        <v>0</v>
      </c>
      <c r="R442" s="2" t="inlineStr"/>
    </row>
    <row r="443" ht="15" customHeight="1">
      <c r="A443" t="inlineStr">
        <is>
          <t>A 37316-2022</t>
        </is>
      </c>
      <c r="B443" s="1" t="n">
        <v>44806</v>
      </c>
      <c r="C443" s="1" t="n">
        <v>45916</v>
      </c>
      <c r="D443" t="inlineStr">
        <is>
          <t>UPPSALA LÄN</t>
        </is>
      </c>
      <c r="E443" t="inlineStr">
        <is>
          <t>UPPSALA</t>
        </is>
      </c>
      <c r="G443" t="n">
        <v>10.6</v>
      </c>
      <c r="H443" t="n">
        <v>0</v>
      </c>
      <c r="I443" t="n">
        <v>0</v>
      </c>
      <c r="J443" t="n">
        <v>0</v>
      </c>
      <c r="K443" t="n">
        <v>0</v>
      </c>
      <c r="L443" t="n">
        <v>0</v>
      </c>
      <c r="M443" t="n">
        <v>0</v>
      </c>
      <c r="N443" t="n">
        <v>0</v>
      </c>
      <c r="O443" t="n">
        <v>0</v>
      </c>
      <c r="P443" t="n">
        <v>0</v>
      </c>
      <c r="Q443" t="n">
        <v>0</v>
      </c>
      <c r="R443" s="2" t="inlineStr"/>
    </row>
    <row r="444" ht="15" customHeight="1">
      <c r="A444" t="inlineStr">
        <is>
          <t>A 6363-2024</t>
        </is>
      </c>
      <c r="B444" s="1" t="n">
        <v>45338.49412037037</v>
      </c>
      <c r="C444" s="1" t="n">
        <v>45916</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28275-2025</t>
        </is>
      </c>
      <c r="B445" s="1" t="n">
        <v>45818.57910879629</v>
      </c>
      <c r="C445" s="1" t="n">
        <v>45916</v>
      </c>
      <c r="D445" t="inlineStr">
        <is>
          <t>UPPSALA LÄN</t>
        </is>
      </c>
      <c r="E445" t="inlineStr">
        <is>
          <t>UPPSALA</t>
        </is>
      </c>
      <c r="F445" t="inlineStr">
        <is>
          <t>Holmen skog AB</t>
        </is>
      </c>
      <c r="G445" t="n">
        <v>6.5</v>
      </c>
      <c r="H445" t="n">
        <v>0</v>
      </c>
      <c r="I445" t="n">
        <v>0</v>
      </c>
      <c r="J445" t="n">
        <v>0</v>
      </c>
      <c r="K445" t="n">
        <v>0</v>
      </c>
      <c r="L445" t="n">
        <v>0</v>
      </c>
      <c r="M445" t="n">
        <v>0</v>
      </c>
      <c r="N445" t="n">
        <v>0</v>
      </c>
      <c r="O445" t="n">
        <v>0</v>
      </c>
      <c r="P445" t="n">
        <v>0</v>
      </c>
      <c r="Q445" t="n">
        <v>0</v>
      </c>
      <c r="R445" s="2" t="inlineStr"/>
    </row>
    <row r="446" ht="15" customHeight="1">
      <c r="A446" t="inlineStr">
        <is>
          <t>A 47221-2023</t>
        </is>
      </c>
      <c r="B446" s="1" t="n">
        <v>45202</v>
      </c>
      <c r="C446" s="1" t="n">
        <v>45916</v>
      </c>
      <c r="D446" t="inlineStr">
        <is>
          <t>UPPSALA LÄN</t>
        </is>
      </c>
      <c r="E446" t="inlineStr">
        <is>
          <t>UPPSALA</t>
        </is>
      </c>
      <c r="G446" t="n">
        <v>8.6</v>
      </c>
      <c r="H446" t="n">
        <v>0</v>
      </c>
      <c r="I446" t="n">
        <v>0</v>
      </c>
      <c r="J446" t="n">
        <v>0</v>
      </c>
      <c r="K446" t="n">
        <v>0</v>
      </c>
      <c r="L446" t="n">
        <v>0</v>
      </c>
      <c r="M446" t="n">
        <v>0</v>
      </c>
      <c r="N446" t="n">
        <v>0</v>
      </c>
      <c r="O446" t="n">
        <v>0</v>
      </c>
      <c r="P446" t="n">
        <v>0</v>
      </c>
      <c r="Q446" t="n">
        <v>0</v>
      </c>
      <c r="R446" s="2" t="inlineStr"/>
    </row>
    <row r="447" ht="15" customHeight="1">
      <c r="A447" t="inlineStr">
        <is>
          <t>A 27442-2024</t>
        </is>
      </c>
      <c r="B447" s="1" t="n">
        <v>45474.41729166666</v>
      </c>
      <c r="C447" s="1" t="n">
        <v>45916</v>
      </c>
      <c r="D447" t="inlineStr">
        <is>
          <t>UPPSALA LÄN</t>
        </is>
      </c>
      <c r="E447" t="inlineStr">
        <is>
          <t>UPPSALA</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27922-2025</t>
        </is>
      </c>
      <c r="B448" s="1" t="n">
        <v>45817</v>
      </c>
      <c r="C448" s="1" t="n">
        <v>45916</v>
      </c>
      <c r="D448" t="inlineStr">
        <is>
          <t>UPPSALA LÄN</t>
        </is>
      </c>
      <c r="E448" t="inlineStr">
        <is>
          <t>UPPSALA</t>
        </is>
      </c>
      <c r="F448" t="inlineStr">
        <is>
          <t>Övriga Aktiebolag</t>
        </is>
      </c>
      <c r="G448" t="n">
        <v>0.1</v>
      </c>
      <c r="H448" t="n">
        <v>0</v>
      </c>
      <c r="I448" t="n">
        <v>0</v>
      </c>
      <c r="J448" t="n">
        <v>0</v>
      </c>
      <c r="K448" t="n">
        <v>0</v>
      </c>
      <c r="L448" t="n">
        <v>0</v>
      </c>
      <c r="M448" t="n">
        <v>0</v>
      </c>
      <c r="N448" t="n">
        <v>0</v>
      </c>
      <c r="O448" t="n">
        <v>0</v>
      </c>
      <c r="P448" t="n">
        <v>0</v>
      </c>
      <c r="Q448" t="n">
        <v>0</v>
      </c>
      <c r="R448" s="2" t="inlineStr"/>
    </row>
    <row r="449" ht="15" customHeight="1">
      <c r="A449" t="inlineStr">
        <is>
          <t>A 3040-2023</t>
        </is>
      </c>
      <c r="B449" s="1" t="n">
        <v>44946</v>
      </c>
      <c r="C449" s="1" t="n">
        <v>45916</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66983-2021</t>
        </is>
      </c>
      <c r="B450" s="1" t="n">
        <v>44522</v>
      </c>
      <c r="C450" s="1" t="n">
        <v>45916</v>
      </c>
      <c r="D450" t="inlineStr">
        <is>
          <t>UPPSALA LÄN</t>
        </is>
      </c>
      <c r="E450" t="inlineStr">
        <is>
          <t>UPPSALA</t>
        </is>
      </c>
      <c r="G450" t="n">
        <v>2.5</v>
      </c>
      <c r="H450" t="n">
        <v>0</v>
      </c>
      <c r="I450" t="n">
        <v>0</v>
      </c>
      <c r="J450" t="n">
        <v>0</v>
      </c>
      <c r="K450" t="n">
        <v>0</v>
      </c>
      <c r="L450" t="n">
        <v>0</v>
      </c>
      <c r="M450" t="n">
        <v>0</v>
      </c>
      <c r="N450" t="n">
        <v>0</v>
      </c>
      <c r="O450" t="n">
        <v>0</v>
      </c>
      <c r="P450" t="n">
        <v>0</v>
      </c>
      <c r="Q450" t="n">
        <v>0</v>
      </c>
      <c r="R450" s="2" t="inlineStr"/>
    </row>
    <row r="451" ht="15" customHeight="1">
      <c r="A451" t="inlineStr">
        <is>
          <t>A 54808-2023</t>
        </is>
      </c>
      <c r="B451" s="1" t="n">
        <v>45236</v>
      </c>
      <c r="C451" s="1" t="n">
        <v>45916</v>
      </c>
      <c r="D451" t="inlineStr">
        <is>
          <t>UPPSALA LÄN</t>
        </is>
      </c>
      <c r="E451" t="inlineStr">
        <is>
          <t>UPPSALA</t>
        </is>
      </c>
      <c r="G451" t="n">
        <v>4.1</v>
      </c>
      <c r="H451" t="n">
        <v>0</v>
      </c>
      <c r="I451" t="n">
        <v>0</v>
      </c>
      <c r="J451" t="n">
        <v>0</v>
      </c>
      <c r="K451" t="n">
        <v>0</v>
      </c>
      <c r="L451" t="n">
        <v>0</v>
      </c>
      <c r="M451" t="n">
        <v>0</v>
      </c>
      <c r="N451" t="n">
        <v>0</v>
      </c>
      <c r="O451" t="n">
        <v>0</v>
      </c>
      <c r="P451" t="n">
        <v>0</v>
      </c>
      <c r="Q451" t="n">
        <v>0</v>
      </c>
      <c r="R451" s="2" t="inlineStr"/>
    </row>
    <row r="452" ht="15" customHeight="1">
      <c r="A452" t="inlineStr">
        <is>
          <t>A 5028-2022</t>
        </is>
      </c>
      <c r="B452" s="1" t="n">
        <v>44593.64863425926</v>
      </c>
      <c r="C452" s="1" t="n">
        <v>45916</v>
      </c>
      <c r="D452" t="inlineStr">
        <is>
          <t>UPPSALA LÄN</t>
        </is>
      </c>
      <c r="E452" t="inlineStr">
        <is>
          <t>UPPSALA</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28876-2025</t>
        </is>
      </c>
      <c r="B453" s="1" t="n">
        <v>45820</v>
      </c>
      <c r="C453" s="1" t="n">
        <v>45916</v>
      </c>
      <c r="D453" t="inlineStr">
        <is>
          <t>UPPSALA LÄN</t>
        </is>
      </c>
      <c r="E453" t="inlineStr">
        <is>
          <t>UPPSALA</t>
        </is>
      </c>
      <c r="G453" t="n">
        <v>4</v>
      </c>
      <c r="H453" t="n">
        <v>0</v>
      </c>
      <c r="I453" t="n">
        <v>0</v>
      </c>
      <c r="J453" t="n">
        <v>0</v>
      </c>
      <c r="K453" t="n">
        <v>0</v>
      </c>
      <c r="L453" t="n">
        <v>0</v>
      </c>
      <c r="M453" t="n">
        <v>0</v>
      </c>
      <c r="N453" t="n">
        <v>0</v>
      </c>
      <c r="O453" t="n">
        <v>0</v>
      </c>
      <c r="P453" t="n">
        <v>0</v>
      </c>
      <c r="Q453" t="n">
        <v>0</v>
      </c>
      <c r="R453" s="2" t="inlineStr"/>
    </row>
    <row r="454" ht="15" customHeight="1">
      <c r="A454" t="inlineStr">
        <is>
          <t>A 28871-2025</t>
        </is>
      </c>
      <c r="B454" s="1" t="n">
        <v>45820</v>
      </c>
      <c r="C454" s="1" t="n">
        <v>45916</v>
      </c>
      <c r="D454" t="inlineStr">
        <is>
          <t>UPPSALA LÄN</t>
        </is>
      </c>
      <c r="E454" t="inlineStr">
        <is>
          <t>UPPSALA</t>
        </is>
      </c>
      <c r="G454" t="n">
        <v>6.5</v>
      </c>
      <c r="H454" t="n">
        <v>0</v>
      </c>
      <c r="I454" t="n">
        <v>0</v>
      </c>
      <c r="J454" t="n">
        <v>0</v>
      </c>
      <c r="K454" t="n">
        <v>0</v>
      </c>
      <c r="L454" t="n">
        <v>0</v>
      </c>
      <c r="M454" t="n">
        <v>0</v>
      </c>
      <c r="N454" t="n">
        <v>0</v>
      </c>
      <c r="O454" t="n">
        <v>0</v>
      </c>
      <c r="P454" t="n">
        <v>0</v>
      </c>
      <c r="Q454" t="n">
        <v>0</v>
      </c>
      <c r="R454" s="2" t="inlineStr"/>
    </row>
    <row r="455" ht="15" customHeight="1">
      <c r="A455" t="inlineStr">
        <is>
          <t>A 28878-2025</t>
        </is>
      </c>
      <c r="B455" s="1" t="n">
        <v>45820</v>
      </c>
      <c r="C455" s="1" t="n">
        <v>45916</v>
      </c>
      <c r="D455" t="inlineStr">
        <is>
          <t>UPPSALA LÄN</t>
        </is>
      </c>
      <c r="E455" t="inlineStr">
        <is>
          <t>UPPSALA</t>
        </is>
      </c>
      <c r="G455" t="n">
        <v>5.5</v>
      </c>
      <c r="H455" t="n">
        <v>0</v>
      </c>
      <c r="I455" t="n">
        <v>0</v>
      </c>
      <c r="J455" t="n">
        <v>0</v>
      </c>
      <c r="K455" t="n">
        <v>0</v>
      </c>
      <c r="L455" t="n">
        <v>0</v>
      </c>
      <c r="M455" t="n">
        <v>0</v>
      </c>
      <c r="N455" t="n">
        <v>0</v>
      </c>
      <c r="O455" t="n">
        <v>0</v>
      </c>
      <c r="P455" t="n">
        <v>0</v>
      </c>
      <c r="Q455" t="n">
        <v>0</v>
      </c>
      <c r="R455" s="2" t="inlineStr"/>
    </row>
    <row r="456" ht="15" customHeight="1">
      <c r="A456" t="inlineStr">
        <is>
          <t>A 54813-2022</t>
        </is>
      </c>
      <c r="B456" s="1" t="n">
        <v>44883</v>
      </c>
      <c r="C456" s="1" t="n">
        <v>45916</v>
      </c>
      <c r="D456" t="inlineStr">
        <is>
          <t>UPPSALA LÄN</t>
        </is>
      </c>
      <c r="E456" t="inlineStr">
        <is>
          <t>UPPSALA</t>
        </is>
      </c>
      <c r="G456" t="n">
        <v>1.1</v>
      </c>
      <c r="H456" t="n">
        <v>0</v>
      </c>
      <c r="I456" t="n">
        <v>0</v>
      </c>
      <c r="J456" t="n">
        <v>0</v>
      </c>
      <c r="K456" t="n">
        <v>0</v>
      </c>
      <c r="L456" t="n">
        <v>0</v>
      </c>
      <c r="M456" t="n">
        <v>0</v>
      </c>
      <c r="N456" t="n">
        <v>0</v>
      </c>
      <c r="O456" t="n">
        <v>0</v>
      </c>
      <c r="P456" t="n">
        <v>0</v>
      </c>
      <c r="Q456" t="n">
        <v>0</v>
      </c>
      <c r="R456" s="2" t="inlineStr"/>
    </row>
    <row r="457" ht="15" customHeight="1">
      <c r="A457" t="inlineStr">
        <is>
          <t>A 29030-2025</t>
        </is>
      </c>
      <c r="B457" s="1" t="n">
        <v>45821.44101851852</v>
      </c>
      <c r="C457" s="1" t="n">
        <v>45916</v>
      </c>
      <c r="D457" t="inlineStr">
        <is>
          <t>UPPSALA LÄN</t>
        </is>
      </c>
      <c r="E457" t="inlineStr">
        <is>
          <t>UPPSALA</t>
        </is>
      </c>
      <c r="G457" t="n">
        <v>3.9</v>
      </c>
      <c r="H457" t="n">
        <v>0</v>
      </c>
      <c r="I457" t="n">
        <v>0</v>
      </c>
      <c r="J457" t="n">
        <v>0</v>
      </c>
      <c r="K457" t="n">
        <v>0</v>
      </c>
      <c r="L457" t="n">
        <v>0</v>
      </c>
      <c r="M457" t="n">
        <v>0</v>
      </c>
      <c r="N457" t="n">
        <v>0</v>
      </c>
      <c r="O457" t="n">
        <v>0</v>
      </c>
      <c r="P457" t="n">
        <v>0</v>
      </c>
      <c r="Q457" t="n">
        <v>0</v>
      </c>
      <c r="R457" s="2" t="inlineStr"/>
    </row>
    <row r="458" ht="15" customHeight="1">
      <c r="A458" t="inlineStr">
        <is>
          <t>A 36479-2023</t>
        </is>
      </c>
      <c r="B458" s="1" t="n">
        <v>45152</v>
      </c>
      <c r="C458" s="1" t="n">
        <v>45916</v>
      </c>
      <c r="D458" t="inlineStr">
        <is>
          <t>UPPSALA LÄN</t>
        </is>
      </c>
      <c r="E458" t="inlineStr">
        <is>
          <t>UPPSALA</t>
        </is>
      </c>
      <c r="F458" t="inlineStr">
        <is>
          <t>Allmännings- och besparingsskogar</t>
        </is>
      </c>
      <c r="G458" t="n">
        <v>3.4</v>
      </c>
      <c r="H458" t="n">
        <v>0</v>
      </c>
      <c r="I458" t="n">
        <v>0</v>
      </c>
      <c r="J458" t="n">
        <v>0</v>
      </c>
      <c r="K458" t="n">
        <v>0</v>
      </c>
      <c r="L458" t="n">
        <v>0</v>
      </c>
      <c r="M458" t="n">
        <v>0</v>
      </c>
      <c r="N458" t="n">
        <v>0</v>
      </c>
      <c r="O458" t="n">
        <v>0</v>
      </c>
      <c r="P458" t="n">
        <v>0</v>
      </c>
      <c r="Q458" t="n">
        <v>0</v>
      </c>
      <c r="R458" s="2" t="inlineStr"/>
    </row>
    <row r="459" ht="15" customHeight="1">
      <c r="A459" t="inlineStr">
        <is>
          <t>A 600-2024</t>
        </is>
      </c>
      <c r="B459" s="1" t="n">
        <v>45299</v>
      </c>
      <c r="C459" s="1" t="n">
        <v>45916</v>
      </c>
      <c r="D459" t="inlineStr">
        <is>
          <t>UPPSALA LÄN</t>
        </is>
      </c>
      <c r="E459" t="inlineStr">
        <is>
          <t>UPPSALA</t>
        </is>
      </c>
      <c r="G459" t="n">
        <v>0.6</v>
      </c>
      <c r="H459" t="n">
        <v>0</v>
      </c>
      <c r="I459" t="n">
        <v>0</v>
      </c>
      <c r="J459" t="n">
        <v>0</v>
      </c>
      <c r="K459" t="n">
        <v>0</v>
      </c>
      <c r="L459" t="n">
        <v>0</v>
      </c>
      <c r="M459" t="n">
        <v>0</v>
      </c>
      <c r="N459" t="n">
        <v>0</v>
      </c>
      <c r="O459" t="n">
        <v>0</v>
      </c>
      <c r="P459" t="n">
        <v>0</v>
      </c>
      <c r="Q459" t="n">
        <v>0</v>
      </c>
      <c r="R459" s="2" t="inlineStr"/>
    </row>
    <row r="460" ht="15" customHeight="1">
      <c r="A460" t="inlineStr">
        <is>
          <t>A 54742-2020</t>
        </is>
      </c>
      <c r="B460" s="1" t="n">
        <v>44126</v>
      </c>
      <c r="C460" s="1" t="n">
        <v>45916</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37819-2021</t>
        </is>
      </c>
      <c r="B461" s="1" t="n">
        <v>44403.29719907408</v>
      </c>
      <c r="C461" s="1" t="n">
        <v>45916</v>
      </c>
      <c r="D461" t="inlineStr">
        <is>
          <t>UPPSALA LÄN</t>
        </is>
      </c>
      <c r="E461" t="inlineStr">
        <is>
          <t>UPPSALA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60003-2024</t>
        </is>
      </c>
      <c r="B462" s="1" t="n">
        <v>45642</v>
      </c>
      <c r="C462" s="1" t="n">
        <v>45916</v>
      </c>
      <c r="D462" t="inlineStr">
        <is>
          <t>UPPSALA LÄN</t>
        </is>
      </c>
      <c r="E462" t="inlineStr">
        <is>
          <t>UPPSALA</t>
        </is>
      </c>
      <c r="F462" t="inlineStr">
        <is>
          <t>Bergvik skog väst AB</t>
        </is>
      </c>
      <c r="G462" t="n">
        <v>14.5</v>
      </c>
      <c r="H462" t="n">
        <v>0</v>
      </c>
      <c r="I462" t="n">
        <v>0</v>
      </c>
      <c r="J462" t="n">
        <v>0</v>
      </c>
      <c r="K462" t="n">
        <v>0</v>
      </c>
      <c r="L462" t="n">
        <v>0</v>
      </c>
      <c r="M462" t="n">
        <v>0</v>
      </c>
      <c r="N462" t="n">
        <v>0</v>
      </c>
      <c r="O462" t="n">
        <v>0</v>
      </c>
      <c r="P462" t="n">
        <v>0</v>
      </c>
      <c r="Q462" t="n">
        <v>0</v>
      </c>
      <c r="R462" s="2" t="inlineStr"/>
    </row>
    <row r="463" ht="15" customHeight="1">
      <c r="A463" t="inlineStr">
        <is>
          <t>A 35542-2022</t>
        </is>
      </c>
      <c r="B463" s="1" t="n">
        <v>44799.36695601852</v>
      </c>
      <c r="C463" s="1" t="n">
        <v>45916</v>
      </c>
      <c r="D463" t="inlineStr">
        <is>
          <t>UPPSALA LÄN</t>
        </is>
      </c>
      <c r="E463" t="inlineStr">
        <is>
          <t>UPPSALA</t>
        </is>
      </c>
      <c r="G463" t="n">
        <v>3.2</v>
      </c>
      <c r="H463" t="n">
        <v>0</v>
      </c>
      <c r="I463" t="n">
        <v>0</v>
      </c>
      <c r="J463" t="n">
        <v>0</v>
      </c>
      <c r="K463" t="n">
        <v>0</v>
      </c>
      <c r="L463" t="n">
        <v>0</v>
      </c>
      <c r="M463" t="n">
        <v>0</v>
      </c>
      <c r="N463" t="n">
        <v>0</v>
      </c>
      <c r="O463" t="n">
        <v>0</v>
      </c>
      <c r="P463" t="n">
        <v>0</v>
      </c>
      <c r="Q463" t="n">
        <v>0</v>
      </c>
      <c r="R463" s="2" t="inlineStr"/>
    </row>
    <row r="464" ht="15" customHeight="1">
      <c r="A464" t="inlineStr">
        <is>
          <t>A 1838-2024</t>
        </is>
      </c>
      <c r="B464" s="1" t="n">
        <v>45307</v>
      </c>
      <c r="C464" s="1" t="n">
        <v>45916</v>
      </c>
      <c r="D464" t="inlineStr">
        <is>
          <t>UPPSALA LÄN</t>
        </is>
      </c>
      <c r="E464" t="inlineStr">
        <is>
          <t>UPPSALA</t>
        </is>
      </c>
      <c r="G464" t="n">
        <v>1.8</v>
      </c>
      <c r="H464" t="n">
        <v>0</v>
      </c>
      <c r="I464" t="n">
        <v>0</v>
      </c>
      <c r="J464" t="n">
        <v>0</v>
      </c>
      <c r="K464" t="n">
        <v>0</v>
      </c>
      <c r="L464" t="n">
        <v>0</v>
      </c>
      <c r="M464" t="n">
        <v>0</v>
      </c>
      <c r="N464" t="n">
        <v>0</v>
      </c>
      <c r="O464" t="n">
        <v>0</v>
      </c>
      <c r="P464" t="n">
        <v>0</v>
      </c>
      <c r="Q464" t="n">
        <v>0</v>
      </c>
      <c r="R464" s="2" t="inlineStr"/>
    </row>
    <row r="465" ht="15" customHeight="1">
      <c r="A465" t="inlineStr">
        <is>
          <t>A 8109-2024</t>
        </is>
      </c>
      <c r="B465" s="1" t="n">
        <v>45351.48662037037</v>
      </c>
      <c r="C465" s="1" t="n">
        <v>45916</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29287-2025</t>
        </is>
      </c>
      <c r="B466" s="1" t="n">
        <v>45824.43798611111</v>
      </c>
      <c r="C466" s="1" t="n">
        <v>45916</v>
      </c>
      <c r="D466" t="inlineStr">
        <is>
          <t>UPPSALA LÄN</t>
        </is>
      </c>
      <c r="E466" t="inlineStr">
        <is>
          <t>UPPSALA</t>
        </is>
      </c>
      <c r="F466" t="inlineStr">
        <is>
          <t>Kyrkan</t>
        </is>
      </c>
      <c r="G466" t="n">
        <v>5.2</v>
      </c>
      <c r="H466" t="n">
        <v>0</v>
      </c>
      <c r="I466" t="n">
        <v>0</v>
      </c>
      <c r="J466" t="n">
        <v>0</v>
      </c>
      <c r="K466" t="n">
        <v>0</v>
      </c>
      <c r="L466" t="n">
        <v>0</v>
      </c>
      <c r="M466" t="n">
        <v>0</v>
      </c>
      <c r="N466" t="n">
        <v>0</v>
      </c>
      <c r="O466" t="n">
        <v>0</v>
      </c>
      <c r="P466" t="n">
        <v>0</v>
      </c>
      <c r="Q466" t="n">
        <v>0</v>
      </c>
      <c r="R466" s="2" t="inlineStr"/>
    </row>
    <row r="467" ht="15" customHeight="1">
      <c r="A467" t="inlineStr">
        <is>
          <t>A 29664-2025</t>
        </is>
      </c>
      <c r="B467" s="1" t="n">
        <v>45825.49060185185</v>
      </c>
      <c r="C467" s="1" t="n">
        <v>45916</v>
      </c>
      <c r="D467" t="inlineStr">
        <is>
          <t>UPPSALA LÄN</t>
        </is>
      </c>
      <c r="E467" t="inlineStr">
        <is>
          <t>UPPSALA</t>
        </is>
      </c>
      <c r="F467" t="inlineStr">
        <is>
          <t>Holmen skog AB</t>
        </is>
      </c>
      <c r="G467" t="n">
        <v>16.8</v>
      </c>
      <c r="H467" t="n">
        <v>0</v>
      </c>
      <c r="I467" t="n">
        <v>0</v>
      </c>
      <c r="J467" t="n">
        <v>0</v>
      </c>
      <c r="K467" t="n">
        <v>0</v>
      </c>
      <c r="L467" t="n">
        <v>0</v>
      </c>
      <c r="M467" t="n">
        <v>0</v>
      </c>
      <c r="N467" t="n">
        <v>0</v>
      </c>
      <c r="O467" t="n">
        <v>0</v>
      </c>
      <c r="P467" t="n">
        <v>0</v>
      </c>
      <c r="Q467" t="n">
        <v>0</v>
      </c>
      <c r="R467" s="2" t="inlineStr"/>
    </row>
    <row r="468" ht="15" customHeight="1">
      <c r="A468" t="inlineStr">
        <is>
          <t>A 29627-2025</t>
        </is>
      </c>
      <c r="B468" s="1" t="n">
        <v>45825.44482638889</v>
      </c>
      <c r="C468" s="1" t="n">
        <v>45916</v>
      </c>
      <c r="D468" t="inlineStr">
        <is>
          <t>UPPSALA LÄN</t>
        </is>
      </c>
      <c r="E468" t="inlineStr">
        <is>
          <t>UPPSALA</t>
        </is>
      </c>
      <c r="F468" t="inlineStr">
        <is>
          <t>Kommuner</t>
        </is>
      </c>
      <c r="G468" t="n">
        <v>1.6</v>
      </c>
      <c r="H468" t="n">
        <v>0</v>
      </c>
      <c r="I468" t="n">
        <v>0</v>
      </c>
      <c r="J468" t="n">
        <v>0</v>
      </c>
      <c r="K468" t="n">
        <v>0</v>
      </c>
      <c r="L468" t="n">
        <v>0</v>
      </c>
      <c r="M468" t="n">
        <v>0</v>
      </c>
      <c r="N468" t="n">
        <v>0</v>
      </c>
      <c r="O468" t="n">
        <v>0</v>
      </c>
      <c r="P468" t="n">
        <v>0</v>
      </c>
      <c r="Q468" t="n">
        <v>0</v>
      </c>
      <c r="R468" s="2" t="inlineStr"/>
    </row>
    <row r="469" ht="15" customHeight="1">
      <c r="A469" t="inlineStr">
        <is>
          <t>A 29047-2025</t>
        </is>
      </c>
      <c r="B469" s="1" t="n">
        <v>45821.45905092593</v>
      </c>
      <c r="C469" s="1" t="n">
        <v>45916</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11201-2024</t>
        </is>
      </c>
      <c r="B470" s="1" t="n">
        <v>45371</v>
      </c>
      <c r="C470" s="1" t="n">
        <v>45916</v>
      </c>
      <c r="D470" t="inlineStr">
        <is>
          <t>UPPSALA LÄN</t>
        </is>
      </c>
      <c r="E470" t="inlineStr">
        <is>
          <t>UPPSALA</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47316-2023</t>
        </is>
      </c>
      <c r="B471" s="1" t="n">
        <v>45202.4997337963</v>
      </c>
      <c r="C471" s="1" t="n">
        <v>45916</v>
      </c>
      <c r="D471" t="inlineStr">
        <is>
          <t>UPPSALA LÄN</t>
        </is>
      </c>
      <c r="E471" t="inlineStr">
        <is>
          <t>UPPSALA</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30437-2025</t>
        </is>
      </c>
      <c r="B472" s="1" t="n">
        <v>45827.64092592592</v>
      </c>
      <c r="C472" s="1" t="n">
        <v>45916</v>
      </c>
      <c r="D472" t="inlineStr">
        <is>
          <t>UPPSALA LÄN</t>
        </is>
      </c>
      <c r="E472" t="inlineStr">
        <is>
          <t>UPPSALA</t>
        </is>
      </c>
      <c r="G472" t="n">
        <v>3.6</v>
      </c>
      <c r="H472" t="n">
        <v>0</v>
      </c>
      <c r="I472" t="n">
        <v>0</v>
      </c>
      <c r="J472" t="n">
        <v>0</v>
      </c>
      <c r="K472" t="n">
        <v>0</v>
      </c>
      <c r="L472" t="n">
        <v>0</v>
      </c>
      <c r="M472" t="n">
        <v>0</v>
      </c>
      <c r="N472" t="n">
        <v>0</v>
      </c>
      <c r="O472" t="n">
        <v>0</v>
      </c>
      <c r="P472" t="n">
        <v>0</v>
      </c>
      <c r="Q472" t="n">
        <v>0</v>
      </c>
      <c r="R472" s="2" t="inlineStr"/>
    </row>
    <row r="473" ht="15" customHeight="1">
      <c r="A473" t="inlineStr">
        <is>
          <t>A 6851-2022</t>
        </is>
      </c>
      <c r="B473" s="1" t="n">
        <v>44602</v>
      </c>
      <c r="C473" s="1" t="n">
        <v>45916</v>
      </c>
      <c r="D473" t="inlineStr">
        <is>
          <t>UPPSALA LÄN</t>
        </is>
      </c>
      <c r="E473" t="inlineStr">
        <is>
          <t>UPPSALA</t>
        </is>
      </c>
      <c r="G473" t="n">
        <v>1.1</v>
      </c>
      <c r="H473" t="n">
        <v>0</v>
      </c>
      <c r="I473" t="n">
        <v>0</v>
      </c>
      <c r="J473" t="n">
        <v>0</v>
      </c>
      <c r="K473" t="n">
        <v>0</v>
      </c>
      <c r="L473" t="n">
        <v>0</v>
      </c>
      <c r="M473" t="n">
        <v>0</v>
      </c>
      <c r="N473" t="n">
        <v>0</v>
      </c>
      <c r="O473" t="n">
        <v>0</v>
      </c>
      <c r="P473" t="n">
        <v>0</v>
      </c>
      <c r="Q473" t="n">
        <v>0</v>
      </c>
      <c r="R473" s="2" t="inlineStr"/>
    </row>
    <row r="474" ht="15" customHeight="1">
      <c r="A474" t="inlineStr">
        <is>
          <t>A 29145-2021</t>
        </is>
      </c>
      <c r="B474" s="1" t="n">
        <v>44358.63490740741</v>
      </c>
      <c r="C474" s="1" t="n">
        <v>45916</v>
      </c>
      <c r="D474" t="inlineStr">
        <is>
          <t>UPPSALA LÄN</t>
        </is>
      </c>
      <c r="E474" t="inlineStr">
        <is>
          <t>UPPSALA</t>
        </is>
      </c>
      <c r="G474" t="n">
        <v>2.4</v>
      </c>
      <c r="H474" t="n">
        <v>0</v>
      </c>
      <c r="I474" t="n">
        <v>0</v>
      </c>
      <c r="J474" t="n">
        <v>0</v>
      </c>
      <c r="K474" t="n">
        <v>0</v>
      </c>
      <c r="L474" t="n">
        <v>0</v>
      </c>
      <c r="M474" t="n">
        <v>0</v>
      </c>
      <c r="N474" t="n">
        <v>0</v>
      </c>
      <c r="O474" t="n">
        <v>0</v>
      </c>
      <c r="P474" t="n">
        <v>0</v>
      </c>
      <c r="Q474" t="n">
        <v>0</v>
      </c>
      <c r="R474" s="2" t="inlineStr"/>
    </row>
    <row r="475" ht="15" customHeight="1">
      <c r="A475" t="inlineStr">
        <is>
          <t>A 30282-2025</t>
        </is>
      </c>
      <c r="B475" s="1" t="n">
        <v>45827.46288194445</v>
      </c>
      <c r="C475" s="1" t="n">
        <v>45916</v>
      </c>
      <c r="D475" t="inlineStr">
        <is>
          <t>UPPSALA LÄN</t>
        </is>
      </c>
      <c r="E475" t="inlineStr">
        <is>
          <t>UPPSALA</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39107-2023</t>
        </is>
      </c>
      <c r="B476" s="1" t="n">
        <v>45164.82913194445</v>
      </c>
      <c r="C476" s="1" t="n">
        <v>45916</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59719-2022</t>
        </is>
      </c>
      <c r="B477" s="1" t="n">
        <v>44908.425625</v>
      </c>
      <c r="C477" s="1" t="n">
        <v>45916</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38934-2023</t>
        </is>
      </c>
      <c r="B478" s="1" t="n">
        <v>45163.59913194444</v>
      </c>
      <c r="C478" s="1" t="n">
        <v>45916</v>
      </c>
      <c r="D478" t="inlineStr">
        <is>
          <t>UPPSALA LÄN</t>
        </is>
      </c>
      <c r="E478" t="inlineStr">
        <is>
          <t>UPPSALA</t>
        </is>
      </c>
      <c r="G478" t="n">
        <v>0.7</v>
      </c>
      <c r="H478" t="n">
        <v>0</v>
      </c>
      <c r="I478" t="n">
        <v>0</v>
      </c>
      <c r="J478" t="n">
        <v>0</v>
      </c>
      <c r="K478" t="n">
        <v>0</v>
      </c>
      <c r="L478" t="n">
        <v>0</v>
      </c>
      <c r="M478" t="n">
        <v>0</v>
      </c>
      <c r="N478" t="n">
        <v>0</v>
      </c>
      <c r="O478" t="n">
        <v>0</v>
      </c>
      <c r="P478" t="n">
        <v>0</v>
      </c>
      <c r="Q478" t="n">
        <v>0</v>
      </c>
      <c r="R478" s="2" t="inlineStr"/>
    </row>
    <row r="479" ht="15" customHeight="1">
      <c r="A479" t="inlineStr">
        <is>
          <t>A 42681-2023</t>
        </is>
      </c>
      <c r="B479" s="1" t="n">
        <v>45181.58055555556</v>
      </c>
      <c r="C479" s="1" t="n">
        <v>45916</v>
      </c>
      <c r="D479" t="inlineStr">
        <is>
          <t>UPPSALA LÄN</t>
        </is>
      </c>
      <c r="E479" t="inlineStr">
        <is>
          <t>UPPSALA</t>
        </is>
      </c>
      <c r="F479" t="inlineStr">
        <is>
          <t>Bergvik skog öst AB</t>
        </is>
      </c>
      <c r="G479" t="n">
        <v>3.1</v>
      </c>
      <c r="H479" t="n">
        <v>0</v>
      </c>
      <c r="I479" t="n">
        <v>0</v>
      </c>
      <c r="J479" t="n">
        <v>0</v>
      </c>
      <c r="K479" t="n">
        <v>0</v>
      </c>
      <c r="L479" t="n">
        <v>0</v>
      </c>
      <c r="M479" t="n">
        <v>0</v>
      </c>
      <c r="N479" t="n">
        <v>0</v>
      </c>
      <c r="O479" t="n">
        <v>0</v>
      </c>
      <c r="P479" t="n">
        <v>0</v>
      </c>
      <c r="Q479" t="n">
        <v>0</v>
      </c>
      <c r="R479" s="2" t="inlineStr"/>
    </row>
    <row r="480" ht="15" customHeight="1">
      <c r="A480" t="inlineStr">
        <is>
          <t>A 30429-2025</t>
        </is>
      </c>
      <c r="B480" s="1" t="n">
        <v>45827.62096064815</v>
      </c>
      <c r="C480" s="1" t="n">
        <v>45916</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30567-2025</t>
        </is>
      </c>
      <c r="B481" s="1" t="n">
        <v>45831.40671296296</v>
      </c>
      <c r="C481" s="1" t="n">
        <v>45916</v>
      </c>
      <c r="D481" t="inlineStr">
        <is>
          <t>UPPSALA LÄN</t>
        </is>
      </c>
      <c r="E481" t="inlineStr">
        <is>
          <t>UPPSALA</t>
        </is>
      </c>
      <c r="G481" t="n">
        <v>1.1</v>
      </c>
      <c r="H481" t="n">
        <v>0</v>
      </c>
      <c r="I481" t="n">
        <v>0</v>
      </c>
      <c r="J481" t="n">
        <v>0</v>
      </c>
      <c r="K481" t="n">
        <v>0</v>
      </c>
      <c r="L481" t="n">
        <v>0</v>
      </c>
      <c r="M481" t="n">
        <v>0</v>
      </c>
      <c r="N481" t="n">
        <v>0</v>
      </c>
      <c r="O481" t="n">
        <v>0</v>
      </c>
      <c r="P481" t="n">
        <v>0</v>
      </c>
      <c r="Q481" t="n">
        <v>0</v>
      </c>
      <c r="R481" s="2" t="inlineStr"/>
    </row>
    <row r="482" ht="15" customHeight="1">
      <c r="A482" t="inlineStr">
        <is>
          <t>A 30838-2025</t>
        </is>
      </c>
      <c r="B482" s="1" t="n">
        <v>45831.72686342592</v>
      </c>
      <c r="C482" s="1" t="n">
        <v>45916</v>
      </c>
      <c r="D482" t="inlineStr">
        <is>
          <t>UPPSALA LÄN</t>
        </is>
      </c>
      <c r="E482" t="inlineStr">
        <is>
          <t>UPPSALA</t>
        </is>
      </c>
      <c r="F482" t="inlineStr">
        <is>
          <t>Kyrkan</t>
        </is>
      </c>
      <c r="G482" t="n">
        <v>2.2</v>
      </c>
      <c r="H482" t="n">
        <v>0</v>
      </c>
      <c r="I482" t="n">
        <v>0</v>
      </c>
      <c r="J482" t="n">
        <v>0</v>
      </c>
      <c r="K482" t="n">
        <v>0</v>
      </c>
      <c r="L482" t="n">
        <v>0</v>
      </c>
      <c r="M482" t="n">
        <v>0</v>
      </c>
      <c r="N482" t="n">
        <v>0</v>
      </c>
      <c r="O482" t="n">
        <v>0</v>
      </c>
      <c r="P482" t="n">
        <v>0</v>
      </c>
      <c r="Q482" t="n">
        <v>0</v>
      </c>
      <c r="R482" s="2" t="inlineStr"/>
    </row>
    <row r="483" ht="15" customHeight="1">
      <c r="A483" t="inlineStr">
        <is>
          <t>A 30839-2025</t>
        </is>
      </c>
      <c r="B483" s="1" t="n">
        <v>45831.73</v>
      </c>
      <c r="C483" s="1" t="n">
        <v>45916</v>
      </c>
      <c r="D483" t="inlineStr">
        <is>
          <t>UPPSALA LÄN</t>
        </is>
      </c>
      <c r="E483" t="inlineStr">
        <is>
          <t>UPPSALA</t>
        </is>
      </c>
      <c r="F483" t="inlineStr">
        <is>
          <t>Kyrkan</t>
        </is>
      </c>
      <c r="G483" t="n">
        <v>2.2</v>
      </c>
      <c r="H483" t="n">
        <v>0</v>
      </c>
      <c r="I483" t="n">
        <v>0</v>
      </c>
      <c r="J483" t="n">
        <v>0</v>
      </c>
      <c r="K483" t="n">
        <v>0</v>
      </c>
      <c r="L483" t="n">
        <v>0</v>
      </c>
      <c r="M483" t="n">
        <v>0</v>
      </c>
      <c r="N483" t="n">
        <v>0</v>
      </c>
      <c r="O483" t="n">
        <v>0</v>
      </c>
      <c r="P483" t="n">
        <v>0</v>
      </c>
      <c r="Q483" t="n">
        <v>0</v>
      </c>
      <c r="R483" s="2" t="inlineStr"/>
    </row>
    <row r="484" ht="15" customHeight="1">
      <c r="A484" t="inlineStr">
        <is>
          <t>A 33941-2023</t>
        </is>
      </c>
      <c r="B484" s="1" t="n">
        <v>45134.57021990741</v>
      </c>
      <c r="C484" s="1" t="n">
        <v>45916</v>
      </c>
      <c r="D484" t="inlineStr">
        <is>
          <t>UPPSALA LÄN</t>
        </is>
      </c>
      <c r="E484" t="inlineStr">
        <is>
          <t>UPPSALA</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30583-2025</t>
        </is>
      </c>
      <c r="B485" s="1" t="n">
        <v>45831.42365740741</v>
      </c>
      <c r="C485" s="1" t="n">
        <v>45916</v>
      </c>
      <c r="D485" t="inlineStr">
        <is>
          <t>UPPSALA LÄN</t>
        </is>
      </c>
      <c r="E485" t="inlineStr">
        <is>
          <t>UPPSALA</t>
        </is>
      </c>
      <c r="G485" t="n">
        <v>2</v>
      </c>
      <c r="H485" t="n">
        <v>0</v>
      </c>
      <c r="I485" t="n">
        <v>0</v>
      </c>
      <c r="J485" t="n">
        <v>0</v>
      </c>
      <c r="K485" t="n">
        <v>0</v>
      </c>
      <c r="L485" t="n">
        <v>0</v>
      </c>
      <c r="M485" t="n">
        <v>0</v>
      </c>
      <c r="N485" t="n">
        <v>0</v>
      </c>
      <c r="O485" t="n">
        <v>0</v>
      </c>
      <c r="P485" t="n">
        <v>0</v>
      </c>
      <c r="Q485" t="n">
        <v>0</v>
      </c>
      <c r="R485" s="2" t="inlineStr"/>
    </row>
    <row r="486" ht="15" customHeight="1">
      <c r="A486" t="inlineStr">
        <is>
          <t>A 30585-2025</t>
        </is>
      </c>
      <c r="B486" s="1" t="n">
        <v>45831.42616898148</v>
      </c>
      <c r="C486" s="1" t="n">
        <v>45916</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50954-2022</t>
        </is>
      </c>
      <c r="B487" s="1" t="n">
        <v>44866</v>
      </c>
      <c r="C487" s="1" t="n">
        <v>45916</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36392-2023</t>
        </is>
      </c>
      <c r="B488" s="1" t="n">
        <v>45152</v>
      </c>
      <c r="C488" s="1" t="n">
        <v>45916</v>
      </c>
      <c r="D488" t="inlineStr">
        <is>
          <t>UPPSALA LÄN</t>
        </is>
      </c>
      <c r="E488" t="inlineStr">
        <is>
          <t>UPPSALA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48564-2023</t>
        </is>
      </c>
      <c r="B489" s="1" t="n">
        <v>45208.4350462963</v>
      </c>
      <c r="C489" s="1" t="n">
        <v>45916</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21727-2023</t>
        </is>
      </c>
      <c r="B490" s="1" t="n">
        <v>45065.43013888889</v>
      </c>
      <c r="C490" s="1" t="n">
        <v>45916</v>
      </c>
      <c r="D490" t="inlineStr">
        <is>
          <t>UPPSALA LÄN</t>
        </is>
      </c>
      <c r="E490" t="inlineStr">
        <is>
          <t>UPPSALA</t>
        </is>
      </c>
      <c r="G490" t="n">
        <v>1.5</v>
      </c>
      <c r="H490" t="n">
        <v>0</v>
      </c>
      <c r="I490" t="n">
        <v>0</v>
      </c>
      <c r="J490" t="n">
        <v>0</v>
      </c>
      <c r="K490" t="n">
        <v>0</v>
      </c>
      <c r="L490" t="n">
        <v>0</v>
      </c>
      <c r="M490" t="n">
        <v>0</v>
      </c>
      <c r="N490" t="n">
        <v>0</v>
      </c>
      <c r="O490" t="n">
        <v>0</v>
      </c>
      <c r="P490" t="n">
        <v>0</v>
      </c>
      <c r="Q490" t="n">
        <v>0</v>
      </c>
      <c r="R490" s="2" t="inlineStr"/>
    </row>
    <row r="491" ht="15" customHeight="1">
      <c r="A491" t="inlineStr">
        <is>
          <t>A 18668-2024</t>
        </is>
      </c>
      <c r="B491" s="1" t="n">
        <v>45426.34148148148</v>
      </c>
      <c r="C491" s="1" t="n">
        <v>45916</v>
      </c>
      <c r="D491" t="inlineStr">
        <is>
          <t>UPPSALA LÄN</t>
        </is>
      </c>
      <c r="E491" t="inlineStr">
        <is>
          <t>UPPSALA</t>
        </is>
      </c>
      <c r="G491" t="n">
        <v>0.9</v>
      </c>
      <c r="H491" t="n">
        <v>0</v>
      </c>
      <c r="I491" t="n">
        <v>0</v>
      </c>
      <c r="J491" t="n">
        <v>0</v>
      </c>
      <c r="K491" t="n">
        <v>0</v>
      </c>
      <c r="L491" t="n">
        <v>0</v>
      </c>
      <c r="M491" t="n">
        <v>0</v>
      </c>
      <c r="N491" t="n">
        <v>0</v>
      </c>
      <c r="O491" t="n">
        <v>0</v>
      </c>
      <c r="P491" t="n">
        <v>0</v>
      </c>
      <c r="Q491" t="n">
        <v>0</v>
      </c>
      <c r="R491" s="2" t="inlineStr"/>
    </row>
    <row r="492" ht="15" customHeight="1">
      <c r="A492" t="inlineStr">
        <is>
          <t>A 32276-2021</t>
        </is>
      </c>
      <c r="B492" s="1" t="n">
        <v>44371.49178240741</v>
      </c>
      <c r="C492" s="1" t="n">
        <v>45916</v>
      </c>
      <c r="D492" t="inlineStr">
        <is>
          <t>UPPSALA LÄN</t>
        </is>
      </c>
      <c r="E492" t="inlineStr">
        <is>
          <t>UPPSALA</t>
        </is>
      </c>
      <c r="G492" t="n">
        <v>3.7</v>
      </c>
      <c r="H492" t="n">
        <v>0</v>
      </c>
      <c r="I492" t="n">
        <v>0</v>
      </c>
      <c r="J492" t="n">
        <v>0</v>
      </c>
      <c r="K492" t="n">
        <v>0</v>
      </c>
      <c r="L492" t="n">
        <v>0</v>
      </c>
      <c r="M492" t="n">
        <v>0</v>
      </c>
      <c r="N492" t="n">
        <v>0</v>
      </c>
      <c r="O492" t="n">
        <v>0</v>
      </c>
      <c r="P492" t="n">
        <v>0</v>
      </c>
      <c r="Q492" t="n">
        <v>0</v>
      </c>
      <c r="R492" s="2" t="inlineStr"/>
    </row>
    <row r="493" ht="15" customHeight="1">
      <c r="A493" t="inlineStr">
        <is>
          <t>A 11103-2025</t>
        </is>
      </c>
      <c r="B493" s="1" t="n">
        <v>45723</v>
      </c>
      <c r="C493" s="1" t="n">
        <v>45916</v>
      </c>
      <c r="D493" t="inlineStr">
        <is>
          <t>UPPSALA LÄN</t>
        </is>
      </c>
      <c r="E493" t="inlineStr">
        <is>
          <t>UPPSALA</t>
        </is>
      </c>
      <c r="G493" t="n">
        <v>7.9</v>
      </c>
      <c r="H493" t="n">
        <v>0</v>
      </c>
      <c r="I493" t="n">
        <v>0</v>
      </c>
      <c r="J493" t="n">
        <v>0</v>
      </c>
      <c r="K493" t="n">
        <v>0</v>
      </c>
      <c r="L493" t="n">
        <v>0</v>
      </c>
      <c r="M493" t="n">
        <v>0</v>
      </c>
      <c r="N493" t="n">
        <v>0</v>
      </c>
      <c r="O493" t="n">
        <v>0</v>
      </c>
      <c r="P493" t="n">
        <v>0</v>
      </c>
      <c r="Q493" t="n">
        <v>0</v>
      </c>
      <c r="R493" s="2" t="inlineStr"/>
    </row>
    <row r="494" ht="15" customHeight="1">
      <c r="A494" t="inlineStr">
        <is>
          <t>A 6549-2025</t>
        </is>
      </c>
      <c r="B494" s="1" t="n">
        <v>45699</v>
      </c>
      <c r="C494" s="1" t="n">
        <v>45916</v>
      </c>
      <c r="D494" t="inlineStr">
        <is>
          <t>UPPSALA LÄN</t>
        </is>
      </c>
      <c r="E494" t="inlineStr">
        <is>
          <t>UPPSALA</t>
        </is>
      </c>
      <c r="G494" t="n">
        <v>2.4</v>
      </c>
      <c r="H494" t="n">
        <v>0</v>
      </c>
      <c r="I494" t="n">
        <v>0</v>
      </c>
      <c r="J494" t="n">
        <v>0</v>
      </c>
      <c r="K494" t="n">
        <v>0</v>
      </c>
      <c r="L494" t="n">
        <v>0</v>
      </c>
      <c r="M494" t="n">
        <v>0</v>
      </c>
      <c r="N494" t="n">
        <v>0</v>
      </c>
      <c r="O494" t="n">
        <v>0</v>
      </c>
      <c r="P494" t="n">
        <v>0</v>
      </c>
      <c r="Q494" t="n">
        <v>0</v>
      </c>
      <c r="R494" s="2" t="inlineStr"/>
    </row>
    <row r="495" ht="15" customHeight="1">
      <c r="A495" t="inlineStr">
        <is>
          <t>A 30897-2025</t>
        </is>
      </c>
      <c r="B495" s="1" t="n">
        <v>45832.35545138889</v>
      </c>
      <c r="C495" s="1" t="n">
        <v>45916</v>
      </c>
      <c r="D495" t="inlineStr">
        <is>
          <t>UPPSALA LÄN</t>
        </is>
      </c>
      <c r="E495" t="inlineStr">
        <is>
          <t>UPPSALA</t>
        </is>
      </c>
      <c r="F495" t="inlineStr">
        <is>
          <t>Kyrkan</t>
        </is>
      </c>
      <c r="G495" t="n">
        <v>2.8</v>
      </c>
      <c r="H495" t="n">
        <v>0</v>
      </c>
      <c r="I495" t="n">
        <v>0</v>
      </c>
      <c r="J495" t="n">
        <v>0</v>
      </c>
      <c r="K495" t="n">
        <v>0</v>
      </c>
      <c r="L495" t="n">
        <v>0</v>
      </c>
      <c r="M495" t="n">
        <v>0</v>
      </c>
      <c r="N495" t="n">
        <v>0</v>
      </c>
      <c r="O495" t="n">
        <v>0</v>
      </c>
      <c r="P495" t="n">
        <v>0</v>
      </c>
      <c r="Q495" t="n">
        <v>0</v>
      </c>
      <c r="R495" s="2" t="inlineStr"/>
    </row>
    <row r="496" ht="15" customHeight="1">
      <c r="A496" t="inlineStr">
        <is>
          <t>A 30898-2025</t>
        </is>
      </c>
      <c r="B496" s="1" t="n">
        <v>45832.35590277778</v>
      </c>
      <c r="C496" s="1" t="n">
        <v>45916</v>
      </c>
      <c r="D496" t="inlineStr">
        <is>
          <t>UPPSALA LÄN</t>
        </is>
      </c>
      <c r="E496" t="inlineStr">
        <is>
          <t>UPPSALA</t>
        </is>
      </c>
      <c r="F496" t="inlineStr">
        <is>
          <t>Kyrkan</t>
        </is>
      </c>
      <c r="G496" t="n">
        <v>2.8</v>
      </c>
      <c r="H496" t="n">
        <v>0</v>
      </c>
      <c r="I496" t="n">
        <v>0</v>
      </c>
      <c r="J496" t="n">
        <v>0</v>
      </c>
      <c r="K496" t="n">
        <v>0</v>
      </c>
      <c r="L496" t="n">
        <v>0</v>
      </c>
      <c r="M496" t="n">
        <v>0</v>
      </c>
      <c r="N496" t="n">
        <v>0</v>
      </c>
      <c r="O496" t="n">
        <v>0</v>
      </c>
      <c r="P496" t="n">
        <v>0</v>
      </c>
      <c r="Q496" t="n">
        <v>0</v>
      </c>
      <c r="R496" s="2" t="inlineStr"/>
    </row>
    <row r="497" ht="15" customHeight="1">
      <c r="A497" t="inlineStr">
        <is>
          <t>A 6999-2023</t>
        </is>
      </c>
      <c r="B497" s="1" t="n">
        <v>44967.80034722222</v>
      </c>
      <c r="C497" s="1" t="n">
        <v>45916</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7002-2023</t>
        </is>
      </c>
      <c r="B498" s="1" t="n">
        <v>44967</v>
      </c>
      <c r="C498" s="1" t="n">
        <v>45916</v>
      </c>
      <c r="D498" t="inlineStr">
        <is>
          <t>UPPSALA LÄN</t>
        </is>
      </c>
      <c r="E498" t="inlineStr">
        <is>
          <t>UPPSALA</t>
        </is>
      </c>
      <c r="G498" t="n">
        <v>5</v>
      </c>
      <c r="H498" t="n">
        <v>0</v>
      </c>
      <c r="I498" t="n">
        <v>0</v>
      </c>
      <c r="J498" t="n">
        <v>0</v>
      </c>
      <c r="K498" t="n">
        <v>0</v>
      </c>
      <c r="L498" t="n">
        <v>0</v>
      </c>
      <c r="M498" t="n">
        <v>0</v>
      </c>
      <c r="N498" t="n">
        <v>0</v>
      </c>
      <c r="O498" t="n">
        <v>0</v>
      </c>
      <c r="P498" t="n">
        <v>0</v>
      </c>
      <c r="Q498" t="n">
        <v>0</v>
      </c>
      <c r="R498" s="2" t="inlineStr"/>
    </row>
    <row r="499" ht="15" customHeight="1">
      <c r="A499" t="inlineStr">
        <is>
          <t>A 6630-2024</t>
        </is>
      </c>
      <c r="B499" s="1" t="n">
        <v>45341.63811342593</v>
      </c>
      <c r="C499" s="1" t="n">
        <v>45916</v>
      </c>
      <c r="D499" t="inlineStr">
        <is>
          <t>UPPSALA LÄN</t>
        </is>
      </c>
      <c r="E499" t="inlineStr">
        <is>
          <t>UPPSALA</t>
        </is>
      </c>
      <c r="G499" t="n">
        <v>1.7</v>
      </c>
      <c r="H499" t="n">
        <v>0</v>
      </c>
      <c r="I499" t="n">
        <v>0</v>
      </c>
      <c r="J499" t="n">
        <v>0</v>
      </c>
      <c r="K499" t="n">
        <v>0</v>
      </c>
      <c r="L499" t="n">
        <v>0</v>
      </c>
      <c r="M499" t="n">
        <v>0</v>
      </c>
      <c r="N499" t="n">
        <v>0</v>
      </c>
      <c r="O499" t="n">
        <v>0</v>
      </c>
      <c r="P499" t="n">
        <v>0</v>
      </c>
      <c r="Q499" t="n">
        <v>0</v>
      </c>
      <c r="R499" s="2" t="inlineStr"/>
    </row>
    <row r="500" ht="15" customHeight="1">
      <c r="A500" t="inlineStr">
        <is>
          <t>A 22431-2024</t>
        </is>
      </c>
      <c r="B500" s="1" t="n">
        <v>45446.78256944445</v>
      </c>
      <c r="C500" s="1" t="n">
        <v>45916</v>
      </c>
      <c r="D500" t="inlineStr">
        <is>
          <t>UPPSALA LÄN</t>
        </is>
      </c>
      <c r="E500" t="inlineStr">
        <is>
          <t>UPPSALA</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1855-2021</t>
        </is>
      </c>
      <c r="B501" s="1" t="n">
        <v>44210</v>
      </c>
      <c r="C501" s="1" t="n">
        <v>45916</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34114-2024</t>
        </is>
      </c>
      <c r="B502" s="1" t="n">
        <v>45524</v>
      </c>
      <c r="C502" s="1" t="n">
        <v>45916</v>
      </c>
      <c r="D502" t="inlineStr">
        <is>
          <t>UPPSALA LÄN</t>
        </is>
      </c>
      <c r="E502" t="inlineStr">
        <is>
          <t>UPPSALA</t>
        </is>
      </c>
      <c r="F502" t="inlineStr">
        <is>
          <t>Allmännings- och besparingsskogar</t>
        </is>
      </c>
      <c r="G502" t="n">
        <v>1.3</v>
      </c>
      <c r="H502" t="n">
        <v>0</v>
      </c>
      <c r="I502" t="n">
        <v>0</v>
      </c>
      <c r="J502" t="n">
        <v>0</v>
      </c>
      <c r="K502" t="n">
        <v>0</v>
      </c>
      <c r="L502" t="n">
        <v>0</v>
      </c>
      <c r="M502" t="n">
        <v>0</v>
      </c>
      <c r="N502" t="n">
        <v>0</v>
      </c>
      <c r="O502" t="n">
        <v>0</v>
      </c>
      <c r="P502" t="n">
        <v>0</v>
      </c>
      <c r="Q502" t="n">
        <v>0</v>
      </c>
      <c r="R502" s="2" t="inlineStr"/>
    </row>
    <row r="503" ht="15" customHeight="1">
      <c r="A503" t="inlineStr">
        <is>
          <t>A 37010-2025</t>
        </is>
      </c>
      <c r="B503" s="1" t="n">
        <v>45874.705</v>
      </c>
      <c r="C503" s="1" t="n">
        <v>45916</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36913-2025</t>
        </is>
      </c>
      <c r="B504" s="1" t="n">
        <v>45874</v>
      </c>
      <c r="C504" s="1" t="n">
        <v>45916</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57871-2024</t>
        </is>
      </c>
      <c r="B505" s="1" t="n">
        <v>45631.44464120371</v>
      </c>
      <c r="C505" s="1" t="n">
        <v>45916</v>
      </c>
      <c r="D505" t="inlineStr">
        <is>
          <t>UPPSALA LÄN</t>
        </is>
      </c>
      <c r="E505" t="inlineStr">
        <is>
          <t>UPPSALA</t>
        </is>
      </c>
      <c r="G505" t="n">
        <v>2.9</v>
      </c>
      <c r="H505" t="n">
        <v>0</v>
      </c>
      <c r="I505" t="n">
        <v>0</v>
      </c>
      <c r="J505" t="n">
        <v>0</v>
      </c>
      <c r="K505" t="n">
        <v>0</v>
      </c>
      <c r="L505" t="n">
        <v>0</v>
      </c>
      <c r="M505" t="n">
        <v>0</v>
      </c>
      <c r="N505" t="n">
        <v>0</v>
      </c>
      <c r="O505" t="n">
        <v>0</v>
      </c>
      <c r="P505" t="n">
        <v>0</v>
      </c>
      <c r="Q505" t="n">
        <v>0</v>
      </c>
      <c r="R505" s="2" t="inlineStr"/>
    </row>
    <row r="506" ht="15" customHeight="1">
      <c r="A506" t="inlineStr">
        <is>
          <t>A 37468-2025</t>
        </is>
      </c>
      <c r="B506" s="1" t="n">
        <v>45877.57847222222</v>
      </c>
      <c r="C506" s="1" t="n">
        <v>45916</v>
      </c>
      <c r="D506" t="inlineStr">
        <is>
          <t>UPPSALA LÄN</t>
        </is>
      </c>
      <c r="E506" t="inlineStr">
        <is>
          <t>UPPSALA</t>
        </is>
      </c>
      <c r="G506" t="n">
        <v>2.9</v>
      </c>
      <c r="H506" t="n">
        <v>0</v>
      </c>
      <c r="I506" t="n">
        <v>0</v>
      </c>
      <c r="J506" t="n">
        <v>0</v>
      </c>
      <c r="K506" t="n">
        <v>0</v>
      </c>
      <c r="L506" t="n">
        <v>0</v>
      </c>
      <c r="M506" t="n">
        <v>0</v>
      </c>
      <c r="N506" t="n">
        <v>0</v>
      </c>
      <c r="O506" t="n">
        <v>0</v>
      </c>
      <c r="P506" t="n">
        <v>0</v>
      </c>
      <c r="Q506" t="n">
        <v>0</v>
      </c>
      <c r="R506" s="2" t="inlineStr"/>
    </row>
    <row r="507" ht="15" customHeight="1">
      <c r="A507" t="inlineStr">
        <is>
          <t>A 37486-2025</t>
        </is>
      </c>
      <c r="B507" s="1" t="n">
        <v>45877.62969907407</v>
      </c>
      <c r="C507" s="1" t="n">
        <v>45916</v>
      </c>
      <c r="D507" t="inlineStr">
        <is>
          <t>UPPSALA LÄN</t>
        </is>
      </c>
      <c r="E507" t="inlineStr">
        <is>
          <t>UPPSALA</t>
        </is>
      </c>
      <c r="G507" t="n">
        <v>2.2</v>
      </c>
      <c r="H507" t="n">
        <v>0</v>
      </c>
      <c r="I507" t="n">
        <v>0</v>
      </c>
      <c r="J507" t="n">
        <v>0</v>
      </c>
      <c r="K507" t="n">
        <v>0</v>
      </c>
      <c r="L507" t="n">
        <v>0</v>
      </c>
      <c r="M507" t="n">
        <v>0</v>
      </c>
      <c r="N507" t="n">
        <v>0</v>
      </c>
      <c r="O507" t="n">
        <v>0</v>
      </c>
      <c r="P507" t="n">
        <v>0</v>
      </c>
      <c r="Q507" t="n">
        <v>0</v>
      </c>
      <c r="R507" s="2" t="inlineStr"/>
    </row>
    <row r="508" ht="15" customHeight="1">
      <c r="A508" t="inlineStr">
        <is>
          <t>A 62471-2021</t>
        </is>
      </c>
      <c r="B508" s="1" t="n">
        <v>44503</v>
      </c>
      <c r="C508" s="1" t="n">
        <v>45916</v>
      </c>
      <c r="D508" t="inlineStr">
        <is>
          <t>UPPSALA LÄN</t>
        </is>
      </c>
      <c r="E508" t="inlineStr">
        <is>
          <t>UPPSALA</t>
        </is>
      </c>
      <c r="G508" t="n">
        <v>2</v>
      </c>
      <c r="H508" t="n">
        <v>0</v>
      </c>
      <c r="I508" t="n">
        <v>0</v>
      </c>
      <c r="J508" t="n">
        <v>0</v>
      </c>
      <c r="K508" t="n">
        <v>0</v>
      </c>
      <c r="L508" t="n">
        <v>0</v>
      </c>
      <c r="M508" t="n">
        <v>0</v>
      </c>
      <c r="N508" t="n">
        <v>0</v>
      </c>
      <c r="O508" t="n">
        <v>0</v>
      </c>
      <c r="P508" t="n">
        <v>0</v>
      </c>
      <c r="Q508" t="n">
        <v>0</v>
      </c>
      <c r="R508" s="2" t="inlineStr"/>
    </row>
    <row r="509" ht="15" customHeight="1">
      <c r="A509" t="inlineStr">
        <is>
          <t>A 37352-2025</t>
        </is>
      </c>
      <c r="B509" s="1" t="n">
        <v>45876</v>
      </c>
      <c r="C509" s="1" t="n">
        <v>45916</v>
      </c>
      <c r="D509" t="inlineStr">
        <is>
          <t>UPPSALA LÄN</t>
        </is>
      </c>
      <c r="E509" t="inlineStr">
        <is>
          <t>UPPSALA</t>
        </is>
      </c>
      <c r="G509" t="n">
        <v>2.6</v>
      </c>
      <c r="H509" t="n">
        <v>0</v>
      </c>
      <c r="I509" t="n">
        <v>0</v>
      </c>
      <c r="J509" t="n">
        <v>0</v>
      </c>
      <c r="K509" t="n">
        <v>0</v>
      </c>
      <c r="L509" t="n">
        <v>0</v>
      </c>
      <c r="M509" t="n">
        <v>0</v>
      </c>
      <c r="N509" t="n">
        <v>0</v>
      </c>
      <c r="O509" t="n">
        <v>0</v>
      </c>
      <c r="P509" t="n">
        <v>0</v>
      </c>
      <c r="Q509" t="n">
        <v>0</v>
      </c>
      <c r="R509" s="2" t="inlineStr"/>
    </row>
    <row r="510" ht="15" customHeight="1">
      <c r="A510" t="inlineStr">
        <is>
          <t>A 12606-2023</t>
        </is>
      </c>
      <c r="B510" s="1" t="n">
        <v>45000.44666666666</v>
      </c>
      <c r="C510" s="1" t="n">
        <v>45916</v>
      </c>
      <c r="D510" t="inlineStr">
        <is>
          <t>UPPSALA LÄN</t>
        </is>
      </c>
      <c r="E510" t="inlineStr">
        <is>
          <t>UPPSALA</t>
        </is>
      </c>
      <c r="G510" t="n">
        <v>0.5</v>
      </c>
      <c r="H510" t="n">
        <v>0</v>
      </c>
      <c r="I510" t="n">
        <v>0</v>
      </c>
      <c r="J510" t="n">
        <v>0</v>
      </c>
      <c r="K510" t="n">
        <v>0</v>
      </c>
      <c r="L510" t="n">
        <v>0</v>
      </c>
      <c r="M510" t="n">
        <v>0</v>
      </c>
      <c r="N510" t="n">
        <v>0</v>
      </c>
      <c r="O510" t="n">
        <v>0</v>
      </c>
      <c r="P510" t="n">
        <v>0</v>
      </c>
      <c r="Q510" t="n">
        <v>0</v>
      </c>
      <c r="R510" s="2" t="inlineStr"/>
    </row>
    <row r="511" ht="15" customHeight="1">
      <c r="A511" t="inlineStr">
        <is>
          <t>A 6602-2023</t>
        </is>
      </c>
      <c r="B511" s="1" t="n">
        <v>44966</v>
      </c>
      <c r="C511" s="1" t="n">
        <v>45916</v>
      </c>
      <c r="D511" t="inlineStr">
        <is>
          <t>UPPSALA LÄN</t>
        </is>
      </c>
      <c r="E511" t="inlineStr">
        <is>
          <t>UPPSALA</t>
        </is>
      </c>
      <c r="F511" t="inlineStr">
        <is>
          <t>Allmännings- och besparingsskogar</t>
        </is>
      </c>
      <c r="G511" t="n">
        <v>20.2</v>
      </c>
      <c r="H511" t="n">
        <v>0</v>
      </c>
      <c r="I511" t="n">
        <v>0</v>
      </c>
      <c r="J511" t="n">
        <v>0</v>
      </c>
      <c r="K511" t="n">
        <v>0</v>
      </c>
      <c r="L511" t="n">
        <v>0</v>
      </c>
      <c r="M511" t="n">
        <v>0</v>
      </c>
      <c r="N511" t="n">
        <v>0</v>
      </c>
      <c r="O511" t="n">
        <v>0</v>
      </c>
      <c r="P511" t="n">
        <v>0</v>
      </c>
      <c r="Q511" t="n">
        <v>0</v>
      </c>
      <c r="R511" s="2" t="inlineStr"/>
    </row>
    <row r="512" ht="15" customHeight="1">
      <c r="A512" t="inlineStr">
        <is>
          <t>A 10394-2025</t>
        </is>
      </c>
      <c r="B512" s="1" t="n">
        <v>45720.60410879629</v>
      </c>
      <c r="C512" s="1" t="n">
        <v>45916</v>
      </c>
      <c r="D512" t="inlineStr">
        <is>
          <t>UPPSALA LÄN</t>
        </is>
      </c>
      <c r="E512" t="inlineStr">
        <is>
          <t>UPPSALA</t>
        </is>
      </c>
      <c r="G512" t="n">
        <v>3.4</v>
      </c>
      <c r="H512" t="n">
        <v>0</v>
      </c>
      <c r="I512" t="n">
        <v>0</v>
      </c>
      <c r="J512" t="n">
        <v>0</v>
      </c>
      <c r="K512" t="n">
        <v>0</v>
      </c>
      <c r="L512" t="n">
        <v>0</v>
      </c>
      <c r="M512" t="n">
        <v>0</v>
      </c>
      <c r="N512" t="n">
        <v>0</v>
      </c>
      <c r="O512" t="n">
        <v>0</v>
      </c>
      <c r="P512" t="n">
        <v>0</v>
      </c>
      <c r="Q512" t="n">
        <v>0</v>
      </c>
      <c r="R512" s="2" t="inlineStr"/>
    </row>
    <row r="513" ht="15" customHeight="1">
      <c r="A513" t="inlineStr">
        <is>
          <t>A 32252-2025</t>
        </is>
      </c>
      <c r="B513" s="1" t="n">
        <v>45835.62752314815</v>
      </c>
      <c r="C513" s="1" t="n">
        <v>45916</v>
      </c>
      <c r="D513" t="inlineStr">
        <is>
          <t>UPPSALA LÄN</t>
        </is>
      </c>
      <c r="E513" t="inlineStr">
        <is>
          <t>UPPSALA</t>
        </is>
      </c>
      <c r="F513" t="inlineStr">
        <is>
          <t>Kyrkan</t>
        </is>
      </c>
      <c r="G513" t="n">
        <v>3.8</v>
      </c>
      <c r="H513" t="n">
        <v>0</v>
      </c>
      <c r="I513" t="n">
        <v>0</v>
      </c>
      <c r="J513" t="n">
        <v>0</v>
      </c>
      <c r="K513" t="n">
        <v>0</v>
      </c>
      <c r="L513" t="n">
        <v>0</v>
      </c>
      <c r="M513" t="n">
        <v>0</v>
      </c>
      <c r="N513" t="n">
        <v>0</v>
      </c>
      <c r="O513" t="n">
        <v>0</v>
      </c>
      <c r="P513" t="n">
        <v>0</v>
      </c>
      <c r="Q513" t="n">
        <v>0</v>
      </c>
      <c r="R513" s="2" t="inlineStr"/>
    </row>
    <row r="514" ht="15" customHeight="1">
      <c r="A514" t="inlineStr">
        <is>
          <t>A 44115-2023</t>
        </is>
      </c>
      <c r="B514" s="1" t="n">
        <v>45188</v>
      </c>
      <c r="C514" s="1" t="n">
        <v>45916</v>
      </c>
      <c r="D514" t="inlineStr">
        <is>
          <t>UPPSALA LÄN</t>
        </is>
      </c>
      <c r="E514" t="inlineStr">
        <is>
          <t>UPPSALA</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7276-2024</t>
        </is>
      </c>
      <c r="B515" s="1" t="n">
        <v>45344</v>
      </c>
      <c r="C515" s="1" t="n">
        <v>45916</v>
      </c>
      <c r="D515" t="inlineStr">
        <is>
          <t>UPPSALA LÄN</t>
        </is>
      </c>
      <c r="E515" t="inlineStr">
        <is>
          <t>UPPSALA</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42063-2023</t>
        </is>
      </c>
      <c r="B516" s="1" t="n">
        <v>45177.56940972222</v>
      </c>
      <c r="C516" s="1" t="n">
        <v>45916</v>
      </c>
      <c r="D516" t="inlineStr">
        <is>
          <t>UPPSALA LÄN</t>
        </is>
      </c>
      <c r="E516" t="inlineStr">
        <is>
          <t>UPPSALA</t>
        </is>
      </c>
      <c r="G516" t="n">
        <v>5.6</v>
      </c>
      <c r="H516" t="n">
        <v>0</v>
      </c>
      <c r="I516" t="n">
        <v>0</v>
      </c>
      <c r="J516" t="n">
        <v>0</v>
      </c>
      <c r="K516" t="n">
        <v>0</v>
      </c>
      <c r="L516" t="n">
        <v>0</v>
      </c>
      <c r="M516" t="n">
        <v>0</v>
      </c>
      <c r="N516" t="n">
        <v>0</v>
      </c>
      <c r="O516" t="n">
        <v>0</v>
      </c>
      <c r="P516" t="n">
        <v>0</v>
      </c>
      <c r="Q516" t="n">
        <v>0</v>
      </c>
      <c r="R516" s="2" t="inlineStr"/>
    </row>
    <row r="517" ht="15" customHeight="1">
      <c r="A517" t="inlineStr">
        <is>
          <t>A 74493-2021</t>
        </is>
      </c>
      <c r="B517" s="1" t="n">
        <v>44560</v>
      </c>
      <c r="C517" s="1" t="n">
        <v>45916</v>
      </c>
      <c r="D517" t="inlineStr">
        <is>
          <t>UPPSALA LÄN</t>
        </is>
      </c>
      <c r="E517" t="inlineStr">
        <is>
          <t>UPPSALA</t>
        </is>
      </c>
      <c r="G517" t="n">
        <v>1.2</v>
      </c>
      <c r="H517" t="n">
        <v>0</v>
      </c>
      <c r="I517" t="n">
        <v>0</v>
      </c>
      <c r="J517" t="n">
        <v>0</v>
      </c>
      <c r="K517" t="n">
        <v>0</v>
      </c>
      <c r="L517" t="n">
        <v>0</v>
      </c>
      <c r="M517" t="n">
        <v>0</v>
      </c>
      <c r="N517" t="n">
        <v>0</v>
      </c>
      <c r="O517" t="n">
        <v>0</v>
      </c>
      <c r="P517" t="n">
        <v>0</v>
      </c>
      <c r="Q517" t="n">
        <v>0</v>
      </c>
      <c r="R517" s="2" t="inlineStr"/>
    </row>
    <row r="518" ht="15" customHeight="1">
      <c r="A518" t="inlineStr">
        <is>
          <t>A 37351-2025</t>
        </is>
      </c>
      <c r="B518" s="1" t="n">
        <v>45876</v>
      </c>
      <c r="C518" s="1" t="n">
        <v>45916</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17481-2023</t>
        </is>
      </c>
      <c r="B519" s="1" t="n">
        <v>45036</v>
      </c>
      <c r="C519" s="1" t="n">
        <v>45916</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37759-2025</t>
        </is>
      </c>
      <c r="B520" s="1" t="n">
        <v>45880.68200231482</v>
      </c>
      <c r="C520" s="1" t="n">
        <v>45916</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37557-2025</t>
        </is>
      </c>
      <c r="B521" s="1" t="n">
        <v>45880.32907407408</v>
      </c>
      <c r="C521" s="1" t="n">
        <v>45916</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39608-2022</t>
        </is>
      </c>
      <c r="B522" s="1" t="n">
        <v>44817</v>
      </c>
      <c r="C522" s="1" t="n">
        <v>45916</v>
      </c>
      <c r="D522" t="inlineStr">
        <is>
          <t>UPPSALA LÄN</t>
        </is>
      </c>
      <c r="E522" t="inlineStr">
        <is>
          <t>UPPSALA</t>
        </is>
      </c>
      <c r="G522" t="n">
        <v>2</v>
      </c>
      <c r="H522" t="n">
        <v>0</v>
      </c>
      <c r="I522" t="n">
        <v>0</v>
      </c>
      <c r="J522" t="n">
        <v>0</v>
      </c>
      <c r="K522" t="n">
        <v>0</v>
      </c>
      <c r="L522" t="n">
        <v>0</v>
      </c>
      <c r="M522" t="n">
        <v>0</v>
      </c>
      <c r="N522" t="n">
        <v>0</v>
      </c>
      <c r="O522" t="n">
        <v>0</v>
      </c>
      <c r="P522" t="n">
        <v>0</v>
      </c>
      <c r="Q522" t="n">
        <v>0</v>
      </c>
      <c r="R522" s="2" t="inlineStr"/>
    </row>
    <row r="523" ht="15" customHeight="1">
      <c r="A523" t="inlineStr">
        <is>
          <t>A 42622-2022</t>
        </is>
      </c>
      <c r="B523" s="1" t="n">
        <v>44831</v>
      </c>
      <c r="C523" s="1" t="n">
        <v>45916</v>
      </c>
      <c r="D523" t="inlineStr">
        <is>
          <t>UPPSALA LÄN</t>
        </is>
      </c>
      <c r="E523" t="inlineStr">
        <is>
          <t>UPPSALA</t>
        </is>
      </c>
      <c r="G523" t="n">
        <v>2.4</v>
      </c>
      <c r="H523" t="n">
        <v>0</v>
      </c>
      <c r="I523" t="n">
        <v>0</v>
      </c>
      <c r="J523" t="n">
        <v>0</v>
      </c>
      <c r="K523" t="n">
        <v>0</v>
      </c>
      <c r="L523" t="n">
        <v>0</v>
      </c>
      <c r="M523" t="n">
        <v>0</v>
      </c>
      <c r="N523" t="n">
        <v>0</v>
      </c>
      <c r="O523" t="n">
        <v>0</v>
      </c>
      <c r="P523" t="n">
        <v>0</v>
      </c>
      <c r="Q523" t="n">
        <v>0</v>
      </c>
      <c r="R523" s="2" t="inlineStr"/>
    </row>
    <row r="524" ht="15" customHeight="1">
      <c r="A524" t="inlineStr">
        <is>
          <t>A 2695-2025</t>
        </is>
      </c>
      <c r="B524" s="1" t="n">
        <v>45677.39440972222</v>
      </c>
      <c r="C524" s="1" t="n">
        <v>45916</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28958-2025</t>
        </is>
      </c>
      <c r="B525" s="1" t="n">
        <v>45821.31292824074</v>
      </c>
      <c r="C525" s="1" t="n">
        <v>45916</v>
      </c>
      <c r="D525" t="inlineStr">
        <is>
          <t>UPPSALA LÄN</t>
        </is>
      </c>
      <c r="E525" t="inlineStr">
        <is>
          <t>UPPSALA</t>
        </is>
      </c>
      <c r="G525" t="n">
        <v>4.6</v>
      </c>
      <c r="H525" t="n">
        <v>0</v>
      </c>
      <c r="I525" t="n">
        <v>0</v>
      </c>
      <c r="J525" t="n">
        <v>0</v>
      </c>
      <c r="K525" t="n">
        <v>0</v>
      </c>
      <c r="L525" t="n">
        <v>0</v>
      </c>
      <c r="M525" t="n">
        <v>0</v>
      </c>
      <c r="N525" t="n">
        <v>0</v>
      </c>
      <c r="O525" t="n">
        <v>0</v>
      </c>
      <c r="P525" t="n">
        <v>0</v>
      </c>
      <c r="Q525" t="n">
        <v>0</v>
      </c>
      <c r="R525" s="2" t="inlineStr"/>
    </row>
    <row r="526" ht="15" customHeight="1">
      <c r="A526" t="inlineStr">
        <is>
          <t>A 11162-2022</t>
        </is>
      </c>
      <c r="B526" s="1" t="n">
        <v>44629.42423611111</v>
      </c>
      <c r="C526" s="1" t="n">
        <v>45916</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15629-2023</t>
        </is>
      </c>
      <c r="B527" s="1" t="n">
        <v>45021.29524305555</v>
      </c>
      <c r="C527" s="1" t="n">
        <v>45916</v>
      </c>
      <c r="D527" t="inlineStr">
        <is>
          <t>UPPSALA LÄN</t>
        </is>
      </c>
      <c r="E527" t="inlineStr">
        <is>
          <t>UPPSALA</t>
        </is>
      </c>
      <c r="F527" t="inlineStr">
        <is>
          <t>Övriga Aktiebolag</t>
        </is>
      </c>
      <c r="G527" t="n">
        <v>7</v>
      </c>
      <c r="H527" t="n">
        <v>0</v>
      </c>
      <c r="I527" t="n">
        <v>0</v>
      </c>
      <c r="J527" t="n">
        <v>0</v>
      </c>
      <c r="K527" t="n">
        <v>0</v>
      </c>
      <c r="L527" t="n">
        <v>0</v>
      </c>
      <c r="M527" t="n">
        <v>0</v>
      </c>
      <c r="N527" t="n">
        <v>0</v>
      </c>
      <c r="O527" t="n">
        <v>0</v>
      </c>
      <c r="P527" t="n">
        <v>0</v>
      </c>
      <c r="Q527" t="n">
        <v>0</v>
      </c>
      <c r="R527" s="2" t="inlineStr"/>
    </row>
    <row r="528" ht="15" customHeight="1">
      <c r="A528" t="inlineStr">
        <is>
          <t>A 20497-2022</t>
        </is>
      </c>
      <c r="B528" s="1" t="n">
        <v>44699</v>
      </c>
      <c r="C528" s="1" t="n">
        <v>45916</v>
      </c>
      <c r="D528" t="inlineStr">
        <is>
          <t>UPPSALA LÄN</t>
        </is>
      </c>
      <c r="E528" t="inlineStr">
        <is>
          <t>UPPSALA</t>
        </is>
      </c>
      <c r="F528" t="inlineStr">
        <is>
          <t>Övriga statliga verk och myndigheter</t>
        </is>
      </c>
      <c r="G528" t="n">
        <v>1</v>
      </c>
      <c r="H528" t="n">
        <v>0</v>
      </c>
      <c r="I528" t="n">
        <v>0</v>
      </c>
      <c r="J528" t="n">
        <v>0</v>
      </c>
      <c r="K528" t="n">
        <v>0</v>
      </c>
      <c r="L528" t="n">
        <v>0</v>
      </c>
      <c r="M528" t="n">
        <v>0</v>
      </c>
      <c r="N528" t="n">
        <v>0</v>
      </c>
      <c r="O528" t="n">
        <v>0</v>
      </c>
      <c r="P528" t="n">
        <v>0</v>
      </c>
      <c r="Q528" t="n">
        <v>0</v>
      </c>
      <c r="R528" s="2" t="inlineStr"/>
    </row>
    <row r="529" ht="15" customHeight="1">
      <c r="A529" t="inlineStr">
        <is>
          <t>A 32923-2025</t>
        </is>
      </c>
      <c r="B529" s="1" t="n">
        <v>45839</v>
      </c>
      <c r="C529" s="1" t="n">
        <v>45916</v>
      </c>
      <c r="D529" t="inlineStr">
        <is>
          <t>UPPSALA LÄN</t>
        </is>
      </c>
      <c r="E529" t="inlineStr">
        <is>
          <t>UPPSALA</t>
        </is>
      </c>
      <c r="G529" t="n">
        <v>5.1</v>
      </c>
      <c r="H529" t="n">
        <v>0</v>
      </c>
      <c r="I529" t="n">
        <v>0</v>
      </c>
      <c r="J529" t="n">
        <v>0</v>
      </c>
      <c r="K529" t="n">
        <v>0</v>
      </c>
      <c r="L529" t="n">
        <v>0</v>
      </c>
      <c r="M529" t="n">
        <v>0</v>
      </c>
      <c r="N529" t="n">
        <v>0</v>
      </c>
      <c r="O529" t="n">
        <v>0</v>
      </c>
      <c r="P529" t="n">
        <v>0</v>
      </c>
      <c r="Q529" t="n">
        <v>0</v>
      </c>
      <c r="R529" s="2" t="inlineStr"/>
    </row>
    <row r="530" ht="15" customHeight="1">
      <c r="A530" t="inlineStr">
        <is>
          <t>A 37851-2025</t>
        </is>
      </c>
      <c r="B530" s="1" t="n">
        <v>45881.44938657407</v>
      </c>
      <c r="C530" s="1" t="n">
        <v>45916</v>
      </c>
      <c r="D530" t="inlineStr">
        <is>
          <t>UPPSALA LÄN</t>
        </is>
      </c>
      <c r="E530" t="inlineStr">
        <is>
          <t>UPPSALA</t>
        </is>
      </c>
      <c r="G530" t="n">
        <v>2.3</v>
      </c>
      <c r="H530" t="n">
        <v>0</v>
      </c>
      <c r="I530" t="n">
        <v>0</v>
      </c>
      <c r="J530" t="n">
        <v>0</v>
      </c>
      <c r="K530" t="n">
        <v>0</v>
      </c>
      <c r="L530" t="n">
        <v>0</v>
      </c>
      <c r="M530" t="n">
        <v>0</v>
      </c>
      <c r="N530" t="n">
        <v>0</v>
      </c>
      <c r="O530" t="n">
        <v>0</v>
      </c>
      <c r="P530" t="n">
        <v>0</v>
      </c>
      <c r="Q530" t="n">
        <v>0</v>
      </c>
      <c r="R530" s="2" t="inlineStr"/>
    </row>
    <row r="531" ht="15" customHeight="1">
      <c r="A531" t="inlineStr">
        <is>
          <t>A 1731-2022</t>
        </is>
      </c>
      <c r="B531" s="1" t="n">
        <v>44574</v>
      </c>
      <c r="C531" s="1" t="n">
        <v>45916</v>
      </c>
      <c r="D531" t="inlineStr">
        <is>
          <t>UPPSALA LÄN</t>
        </is>
      </c>
      <c r="E531" t="inlineStr">
        <is>
          <t>UPPSALA</t>
        </is>
      </c>
      <c r="G531" t="n">
        <v>10.1</v>
      </c>
      <c r="H531" t="n">
        <v>0</v>
      </c>
      <c r="I531" t="n">
        <v>0</v>
      </c>
      <c r="J531" t="n">
        <v>0</v>
      </c>
      <c r="K531" t="n">
        <v>0</v>
      </c>
      <c r="L531" t="n">
        <v>0</v>
      </c>
      <c r="M531" t="n">
        <v>0</v>
      </c>
      <c r="N531" t="n">
        <v>0</v>
      </c>
      <c r="O531" t="n">
        <v>0</v>
      </c>
      <c r="P531" t="n">
        <v>0</v>
      </c>
      <c r="Q531" t="n">
        <v>0</v>
      </c>
      <c r="R531" s="2" t="inlineStr"/>
    </row>
    <row r="532" ht="15" customHeight="1">
      <c r="A532" t="inlineStr">
        <is>
          <t>A 37561-2025</t>
        </is>
      </c>
      <c r="B532" s="1" t="n">
        <v>45880.34064814815</v>
      </c>
      <c r="C532" s="1" t="n">
        <v>45916</v>
      </c>
      <c r="D532" t="inlineStr">
        <is>
          <t>UPPSALA LÄN</t>
        </is>
      </c>
      <c r="E532" t="inlineStr">
        <is>
          <t>UPPSALA</t>
        </is>
      </c>
      <c r="G532" t="n">
        <v>1.4</v>
      </c>
      <c r="H532" t="n">
        <v>0</v>
      </c>
      <c r="I532" t="n">
        <v>0</v>
      </c>
      <c r="J532" t="n">
        <v>0</v>
      </c>
      <c r="K532" t="n">
        <v>0</v>
      </c>
      <c r="L532" t="n">
        <v>0</v>
      </c>
      <c r="M532" t="n">
        <v>0</v>
      </c>
      <c r="N532" t="n">
        <v>0</v>
      </c>
      <c r="O532" t="n">
        <v>0</v>
      </c>
      <c r="P532" t="n">
        <v>0</v>
      </c>
      <c r="Q532" t="n">
        <v>0</v>
      </c>
      <c r="R532" s="2" t="inlineStr"/>
    </row>
    <row r="533" ht="15" customHeight="1">
      <c r="A533" t="inlineStr">
        <is>
          <t>A 27068-2023</t>
        </is>
      </c>
      <c r="B533" s="1" t="n">
        <v>45096</v>
      </c>
      <c r="C533" s="1" t="n">
        <v>45916</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32928-2025</t>
        </is>
      </c>
      <c r="B534" s="1" t="n">
        <v>45839</v>
      </c>
      <c r="C534" s="1" t="n">
        <v>45916</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37856-2025</t>
        </is>
      </c>
      <c r="B535" s="1" t="n">
        <v>45881.45898148148</v>
      </c>
      <c r="C535" s="1" t="n">
        <v>45916</v>
      </c>
      <c r="D535" t="inlineStr">
        <is>
          <t>UPPSALA LÄN</t>
        </is>
      </c>
      <c r="E535" t="inlineStr">
        <is>
          <t>UPPSALA</t>
        </is>
      </c>
      <c r="G535" t="n">
        <v>1.7</v>
      </c>
      <c r="H535" t="n">
        <v>0</v>
      </c>
      <c r="I535" t="n">
        <v>0</v>
      </c>
      <c r="J535" t="n">
        <v>0</v>
      </c>
      <c r="K535" t="n">
        <v>0</v>
      </c>
      <c r="L535" t="n">
        <v>0</v>
      </c>
      <c r="M535" t="n">
        <v>0</v>
      </c>
      <c r="N535" t="n">
        <v>0</v>
      </c>
      <c r="O535" t="n">
        <v>0</v>
      </c>
      <c r="P535" t="n">
        <v>0</v>
      </c>
      <c r="Q535" t="n">
        <v>0</v>
      </c>
      <c r="R535" s="2" t="inlineStr"/>
    </row>
    <row r="536" ht="15" customHeight="1">
      <c r="A536" t="inlineStr">
        <is>
          <t>A 45878-2024</t>
        </is>
      </c>
      <c r="B536" s="1" t="n">
        <v>45580</v>
      </c>
      <c r="C536" s="1" t="n">
        <v>45916</v>
      </c>
      <c r="D536" t="inlineStr">
        <is>
          <t>UPPSALA LÄN</t>
        </is>
      </c>
      <c r="E536" t="inlineStr">
        <is>
          <t>UPPSALA</t>
        </is>
      </c>
      <c r="G536" t="n">
        <v>2.8</v>
      </c>
      <c r="H536" t="n">
        <v>0</v>
      </c>
      <c r="I536" t="n">
        <v>0</v>
      </c>
      <c r="J536" t="n">
        <v>0</v>
      </c>
      <c r="K536" t="n">
        <v>0</v>
      </c>
      <c r="L536" t="n">
        <v>0</v>
      </c>
      <c r="M536" t="n">
        <v>0</v>
      </c>
      <c r="N536" t="n">
        <v>0</v>
      </c>
      <c r="O536" t="n">
        <v>0</v>
      </c>
      <c r="P536" t="n">
        <v>0</v>
      </c>
      <c r="Q536" t="n">
        <v>0</v>
      </c>
      <c r="R536" s="2" t="inlineStr"/>
    </row>
    <row r="537" ht="15" customHeight="1">
      <c r="A537" t="inlineStr">
        <is>
          <t>A 43-2024</t>
        </is>
      </c>
      <c r="B537" s="1" t="n">
        <v>45293</v>
      </c>
      <c r="C537" s="1" t="n">
        <v>45916</v>
      </c>
      <c r="D537" t="inlineStr">
        <is>
          <t>UPPSALA LÄN</t>
        </is>
      </c>
      <c r="E537" t="inlineStr">
        <is>
          <t>UPPSALA</t>
        </is>
      </c>
      <c r="G537" t="n">
        <v>2.8</v>
      </c>
      <c r="H537" t="n">
        <v>0</v>
      </c>
      <c r="I537" t="n">
        <v>0</v>
      </c>
      <c r="J537" t="n">
        <v>0</v>
      </c>
      <c r="K537" t="n">
        <v>0</v>
      </c>
      <c r="L537" t="n">
        <v>0</v>
      </c>
      <c r="M537" t="n">
        <v>0</v>
      </c>
      <c r="N537" t="n">
        <v>0</v>
      </c>
      <c r="O537" t="n">
        <v>0</v>
      </c>
      <c r="P537" t="n">
        <v>0</v>
      </c>
      <c r="Q537" t="n">
        <v>0</v>
      </c>
      <c r="R537" s="2" t="inlineStr"/>
    </row>
    <row r="538" ht="15" customHeight="1">
      <c r="A538" t="inlineStr">
        <is>
          <t>A 62044-2024</t>
        </is>
      </c>
      <c r="B538" s="1" t="n">
        <v>45656</v>
      </c>
      <c r="C538" s="1" t="n">
        <v>45916</v>
      </c>
      <c r="D538" t="inlineStr">
        <is>
          <t>UPPSALA LÄN</t>
        </is>
      </c>
      <c r="E538" t="inlineStr">
        <is>
          <t>UPPSALA</t>
        </is>
      </c>
      <c r="F538" t="inlineStr">
        <is>
          <t>Övriga statliga verk och myndigheter</t>
        </is>
      </c>
      <c r="G538" t="n">
        <v>11.6</v>
      </c>
      <c r="H538" t="n">
        <v>0</v>
      </c>
      <c r="I538" t="n">
        <v>0</v>
      </c>
      <c r="J538" t="n">
        <v>0</v>
      </c>
      <c r="K538" t="n">
        <v>0</v>
      </c>
      <c r="L538" t="n">
        <v>0</v>
      </c>
      <c r="M538" t="n">
        <v>0</v>
      </c>
      <c r="N538" t="n">
        <v>0</v>
      </c>
      <c r="O538" t="n">
        <v>0</v>
      </c>
      <c r="P538" t="n">
        <v>0</v>
      </c>
      <c r="Q538" t="n">
        <v>0</v>
      </c>
      <c r="R538" s="2" t="inlineStr"/>
    </row>
    <row r="539" ht="15" customHeight="1">
      <c r="A539" t="inlineStr">
        <is>
          <t>A 32711-2025</t>
        </is>
      </c>
      <c r="B539" s="1" t="n">
        <v>45839</v>
      </c>
      <c r="C539" s="1" t="n">
        <v>45916</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c r="U539">
        <f>HYPERLINK("https://klasma.github.io/Logging_0380/knärot/A 32711-2025 karta knärot.png", "A 32711-2025")</f>
        <v/>
      </c>
      <c r="V539">
        <f>HYPERLINK("https://klasma.github.io/Logging_0380/klagomål/A 32711-2025 FSC-klagomål.docx", "A 32711-2025")</f>
        <v/>
      </c>
      <c r="W539">
        <f>HYPERLINK("https://klasma.github.io/Logging_0380/klagomålsmail/A 32711-2025 FSC-klagomål mail.docx", "A 32711-2025")</f>
        <v/>
      </c>
      <c r="X539">
        <f>HYPERLINK("https://klasma.github.io/Logging_0380/tillsyn/A 32711-2025 tillsynsbegäran.docx", "A 32711-2025")</f>
        <v/>
      </c>
      <c r="Y539">
        <f>HYPERLINK("https://klasma.github.io/Logging_0380/tillsynsmail/A 32711-2025 tillsynsbegäran mail.docx", "A 32711-2025")</f>
        <v/>
      </c>
    </row>
    <row r="540" ht="15" customHeight="1">
      <c r="A540" t="inlineStr">
        <is>
          <t>A 44080-2023</t>
        </is>
      </c>
      <c r="B540" s="1" t="n">
        <v>45188.42052083334</v>
      </c>
      <c r="C540" s="1" t="n">
        <v>45916</v>
      </c>
      <c r="D540" t="inlineStr">
        <is>
          <t>UPPSALA LÄN</t>
        </is>
      </c>
      <c r="E540" t="inlineStr">
        <is>
          <t>UPPSALA</t>
        </is>
      </c>
      <c r="G540" t="n">
        <v>13.3</v>
      </c>
      <c r="H540" t="n">
        <v>0</v>
      </c>
      <c r="I540" t="n">
        <v>0</v>
      </c>
      <c r="J540" t="n">
        <v>0</v>
      </c>
      <c r="K540" t="n">
        <v>0</v>
      </c>
      <c r="L540" t="n">
        <v>0</v>
      </c>
      <c r="M540" t="n">
        <v>0</v>
      </c>
      <c r="N540" t="n">
        <v>0</v>
      </c>
      <c r="O540" t="n">
        <v>0</v>
      </c>
      <c r="P540" t="n">
        <v>0</v>
      </c>
      <c r="Q540" t="n">
        <v>0</v>
      </c>
      <c r="R540" s="2" t="inlineStr"/>
    </row>
    <row r="541" ht="15" customHeight="1">
      <c r="A541" t="inlineStr">
        <is>
          <t>A 17587-2025</t>
        </is>
      </c>
      <c r="B541" s="1" t="n">
        <v>45757.67611111111</v>
      </c>
      <c r="C541" s="1" t="n">
        <v>45916</v>
      </c>
      <c r="D541" t="inlineStr">
        <is>
          <t>UPPSALA LÄN</t>
        </is>
      </c>
      <c r="E541" t="inlineStr">
        <is>
          <t>UPPSALA</t>
        </is>
      </c>
      <c r="G541" t="n">
        <v>2.4</v>
      </c>
      <c r="H541" t="n">
        <v>0</v>
      </c>
      <c r="I541" t="n">
        <v>0</v>
      </c>
      <c r="J541" t="n">
        <v>0</v>
      </c>
      <c r="K541" t="n">
        <v>0</v>
      </c>
      <c r="L541" t="n">
        <v>0</v>
      </c>
      <c r="M541" t="n">
        <v>0</v>
      </c>
      <c r="N541" t="n">
        <v>0</v>
      </c>
      <c r="O541" t="n">
        <v>0</v>
      </c>
      <c r="P541" t="n">
        <v>0</v>
      </c>
      <c r="Q541" t="n">
        <v>0</v>
      </c>
      <c r="R541" s="2" t="inlineStr"/>
    </row>
    <row r="542" ht="15" customHeight="1">
      <c r="A542" t="inlineStr">
        <is>
          <t>A 10490-2025</t>
        </is>
      </c>
      <c r="B542" s="1" t="n">
        <v>45721.35173611111</v>
      </c>
      <c r="C542" s="1" t="n">
        <v>45916</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55021-2022</t>
        </is>
      </c>
      <c r="B543" s="1" t="n">
        <v>44886</v>
      </c>
      <c r="C543" s="1" t="n">
        <v>45916</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33571-2025</t>
        </is>
      </c>
      <c r="B544" s="1" t="n">
        <v>45841.5847337963</v>
      </c>
      <c r="C544" s="1" t="n">
        <v>45916</v>
      </c>
      <c r="D544" t="inlineStr">
        <is>
          <t>UPPSALA LÄN</t>
        </is>
      </c>
      <c r="E544" t="inlineStr">
        <is>
          <t>UPPSALA</t>
        </is>
      </c>
      <c r="G544" t="n">
        <v>1.6</v>
      </c>
      <c r="H544" t="n">
        <v>0</v>
      </c>
      <c r="I544" t="n">
        <v>0</v>
      </c>
      <c r="J544" t="n">
        <v>0</v>
      </c>
      <c r="K544" t="n">
        <v>0</v>
      </c>
      <c r="L544" t="n">
        <v>0</v>
      </c>
      <c r="M544" t="n">
        <v>0</v>
      </c>
      <c r="N544" t="n">
        <v>0</v>
      </c>
      <c r="O544" t="n">
        <v>0</v>
      </c>
      <c r="P544" t="n">
        <v>0</v>
      </c>
      <c r="Q544" t="n">
        <v>0</v>
      </c>
      <c r="R544" s="2" t="inlineStr"/>
    </row>
    <row r="545" ht="15" customHeight="1">
      <c r="A545" t="inlineStr">
        <is>
          <t>A 74495-2021</t>
        </is>
      </c>
      <c r="B545" s="1" t="n">
        <v>44560</v>
      </c>
      <c r="C545" s="1" t="n">
        <v>45916</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33261-2025</t>
        </is>
      </c>
      <c r="B546" s="1" t="n">
        <v>45840</v>
      </c>
      <c r="C546" s="1" t="n">
        <v>45916</v>
      </c>
      <c r="D546" t="inlineStr">
        <is>
          <t>UPPSALA LÄN</t>
        </is>
      </c>
      <c r="E546" t="inlineStr">
        <is>
          <t>UPPSALA</t>
        </is>
      </c>
      <c r="G546" t="n">
        <v>3.4</v>
      </c>
      <c r="H546" t="n">
        <v>0</v>
      </c>
      <c r="I546" t="n">
        <v>0</v>
      </c>
      <c r="J546" t="n">
        <v>0</v>
      </c>
      <c r="K546" t="n">
        <v>0</v>
      </c>
      <c r="L546" t="n">
        <v>0</v>
      </c>
      <c r="M546" t="n">
        <v>0</v>
      </c>
      <c r="N546" t="n">
        <v>0</v>
      </c>
      <c r="O546" t="n">
        <v>0</v>
      </c>
      <c r="P546" t="n">
        <v>0</v>
      </c>
      <c r="Q546" t="n">
        <v>0</v>
      </c>
      <c r="R546" s="2" t="inlineStr"/>
    </row>
    <row r="547" ht="15" customHeight="1">
      <c r="A547" t="inlineStr">
        <is>
          <t>A 46920-2021</t>
        </is>
      </c>
      <c r="B547" s="1" t="n">
        <v>44446</v>
      </c>
      <c r="C547" s="1" t="n">
        <v>45916</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45916</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5189-2022</t>
        </is>
      </c>
      <c r="B549" s="1" t="n">
        <v>44594</v>
      </c>
      <c r="C549" s="1" t="n">
        <v>45916</v>
      </c>
      <c r="D549" t="inlineStr">
        <is>
          <t>UPPSALA LÄN</t>
        </is>
      </c>
      <c r="E549" t="inlineStr">
        <is>
          <t>UPPSALA</t>
        </is>
      </c>
      <c r="G549" t="n">
        <v>5.9</v>
      </c>
      <c r="H549" t="n">
        <v>0</v>
      </c>
      <c r="I549" t="n">
        <v>0</v>
      </c>
      <c r="J549" t="n">
        <v>0</v>
      </c>
      <c r="K549" t="n">
        <v>0</v>
      </c>
      <c r="L549" t="n">
        <v>0</v>
      </c>
      <c r="M549" t="n">
        <v>0</v>
      </c>
      <c r="N549" t="n">
        <v>0</v>
      </c>
      <c r="O549" t="n">
        <v>0</v>
      </c>
      <c r="P549" t="n">
        <v>0</v>
      </c>
      <c r="Q549" t="n">
        <v>0</v>
      </c>
      <c r="R549" s="2" t="inlineStr"/>
    </row>
    <row r="550" ht="15" customHeight="1">
      <c r="A550" t="inlineStr">
        <is>
          <t>A 784-2024</t>
        </is>
      </c>
      <c r="B550" s="1" t="n">
        <v>45300.55680555556</v>
      </c>
      <c r="C550" s="1" t="n">
        <v>45916</v>
      </c>
      <c r="D550" t="inlineStr">
        <is>
          <t>UPPSALA LÄN</t>
        </is>
      </c>
      <c r="E550" t="inlineStr">
        <is>
          <t>UPPSALA</t>
        </is>
      </c>
      <c r="G550" t="n">
        <v>6.6</v>
      </c>
      <c r="H550" t="n">
        <v>0</v>
      </c>
      <c r="I550" t="n">
        <v>0</v>
      </c>
      <c r="J550" t="n">
        <v>0</v>
      </c>
      <c r="K550" t="n">
        <v>0</v>
      </c>
      <c r="L550" t="n">
        <v>0</v>
      </c>
      <c r="M550" t="n">
        <v>0</v>
      </c>
      <c r="N550" t="n">
        <v>0</v>
      </c>
      <c r="O550" t="n">
        <v>0</v>
      </c>
      <c r="P550" t="n">
        <v>0</v>
      </c>
      <c r="Q550" t="n">
        <v>0</v>
      </c>
      <c r="R550" s="2" t="inlineStr"/>
    </row>
    <row r="551" ht="15" customHeight="1">
      <c r="A551" t="inlineStr">
        <is>
          <t>A 61271-2020</t>
        </is>
      </c>
      <c r="B551" s="1" t="n">
        <v>44155</v>
      </c>
      <c r="C551" s="1" t="n">
        <v>45916</v>
      </c>
      <c r="D551" t="inlineStr">
        <is>
          <t>UPPSALA LÄN</t>
        </is>
      </c>
      <c r="E551" t="inlineStr">
        <is>
          <t>UPPSALA</t>
        </is>
      </c>
      <c r="G551" t="n">
        <v>3.5</v>
      </c>
      <c r="H551" t="n">
        <v>0</v>
      </c>
      <c r="I551" t="n">
        <v>0</v>
      </c>
      <c r="J551" t="n">
        <v>0</v>
      </c>
      <c r="K551" t="n">
        <v>0</v>
      </c>
      <c r="L551" t="n">
        <v>0</v>
      </c>
      <c r="M551" t="n">
        <v>0</v>
      </c>
      <c r="N551" t="n">
        <v>0</v>
      </c>
      <c r="O551" t="n">
        <v>0</v>
      </c>
      <c r="P551" t="n">
        <v>0</v>
      </c>
      <c r="Q551" t="n">
        <v>0</v>
      </c>
      <c r="R551" s="2" t="inlineStr"/>
    </row>
    <row r="552" ht="15" customHeight="1">
      <c r="A552" t="inlineStr">
        <is>
          <t>A 39812-2024</t>
        </is>
      </c>
      <c r="B552" s="1" t="n">
        <v>45552</v>
      </c>
      <c r="C552" s="1" t="n">
        <v>45916</v>
      </c>
      <c r="D552" t="inlineStr">
        <is>
          <t>UPPSALA LÄN</t>
        </is>
      </c>
      <c r="E552" t="inlineStr">
        <is>
          <t>UPPSALA</t>
        </is>
      </c>
      <c r="G552" t="n">
        <v>7.9</v>
      </c>
      <c r="H552" t="n">
        <v>0</v>
      </c>
      <c r="I552" t="n">
        <v>0</v>
      </c>
      <c r="J552" t="n">
        <v>0</v>
      </c>
      <c r="K552" t="n">
        <v>0</v>
      </c>
      <c r="L552" t="n">
        <v>0</v>
      </c>
      <c r="M552" t="n">
        <v>0</v>
      </c>
      <c r="N552" t="n">
        <v>0</v>
      </c>
      <c r="O552" t="n">
        <v>0</v>
      </c>
      <c r="P552" t="n">
        <v>0</v>
      </c>
      <c r="Q552" t="n">
        <v>0</v>
      </c>
      <c r="R552" s="2" t="inlineStr"/>
    </row>
    <row r="553" ht="15" customHeight="1">
      <c r="A553" t="inlineStr">
        <is>
          <t>A 38113-2025</t>
        </is>
      </c>
      <c r="B553" s="1" t="n">
        <v>45882.52290509259</v>
      </c>
      <c r="C553" s="1" t="n">
        <v>45916</v>
      </c>
      <c r="D553" t="inlineStr">
        <is>
          <t>UPPSALA LÄN</t>
        </is>
      </c>
      <c r="E553" t="inlineStr">
        <is>
          <t>UPPSALA</t>
        </is>
      </c>
      <c r="G553" t="n">
        <v>5.8</v>
      </c>
      <c r="H553" t="n">
        <v>0</v>
      </c>
      <c r="I553" t="n">
        <v>0</v>
      </c>
      <c r="J553" t="n">
        <v>0</v>
      </c>
      <c r="K553" t="n">
        <v>0</v>
      </c>
      <c r="L553" t="n">
        <v>0</v>
      </c>
      <c r="M553" t="n">
        <v>0</v>
      </c>
      <c r="N553" t="n">
        <v>0</v>
      </c>
      <c r="O553" t="n">
        <v>0</v>
      </c>
      <c r="P553" t="n">
        <v>0</v>
      </c>
      <c r="Q553" t="n">
        <v>0</v>
      </c>
      <c r="R553" s="2" t="inlineStr"/>
    </row>
    <row r="554" ht="15" customHeight="1">
      <c r="A554" t="inlineStr">
        <is>
          <t>A 18677-2024</t>
        </is>
      </c>
      <c r="B554" s="1" t="n">
        <v>45426</v>
      </c>
      <c r="C554" s="1" t="n">
        <v>45916</v>
      </c>
      <c r="D554" t="inlineStr">
        <is>
          <t>UPPSALA LÄN</t>
        </is>
      </c>
      <c r="E554" t="inlineStr">
        <is>
          <t>UPPSALA</t>
        </is>
      </c>
      <c r="G554" t="n">
        <v>2.8</v>
      </c>
      <c r="H554" t="n">
        <v>0</v>
      </c>
      <c r="I554" t="n">
        <v>0</v>
      </c>
      <c r="J554" t="n">
        <v>0</v>
      </c>
      <c r="K554" t="n">
        <v>0</v>
      </c>
      <c r="L554" t="n">
        <v>0</v>
      </c>
      <c r="M554" t="n">
        <v>0</v>
      </c>
      <c r="N554" t="n">
        <v>0</v>
      </c>
      <c r="O554" t="n">
        <v>0</v>
      </c>
      <c r="P554" t="n">
        <v>0</v>
      </c>
      <c r="Q554" t="n">
        <v>0</v>
      </c>
      <c r="R554" s="2" t="inlineStr"/>
    </row>
    <row r="555" ht="15" customHeight="1">
      <c r="A555" t="inlineStr">
        <is>
          <t>A 60702-2022</t>
        </is>
      </c>
      <c r="B555" s="1" t="n">
        <v>44912.29869212963</v>
      </c>
      <c r="C555" s="1" t="n">
        <v>45916</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48571-2023</t>
        </is>
      </c>
      <c r="B556" s="1" t="n">
        <v>45208.46130787037</v>
      </c>
      <c r="C556" s="1" t="n">
        <v>45916</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38034-2025</t>
        </is>
      </c>
      <c r="B557" s="1" t="n">
        <v>45882.37202546297</v>
      </c>
      <c r="C557" s="1" t="n">
        <v>45916</v>
      </c>
      <c r="D557" t="inlineStr">
        <is>
          <t>UPPSALA LÄN</t>
        </is>
      </c>
      <c r="E557" t="inlineStr">
        <is>
          <t>UPPSALA</t>
        </is>
      </c>
      <c r="G557" t="n">
        <v>1.1</v>
      </c>
      <c r="H557" t="n">
        <v>0</v>
      </c>
      <c r="I557" t="n">
        <v>0</v>
      </c>
      <c r="J557" t="n">
        <v>0</v>
      </c>
      <c r="K557" t="n">
        <v>0</v>
      </c>
      <c r="L557" t="n">
        <v>0</v>
      </c>
      <c r="M557" t="n">
        <v>0</v>
      </c>
      <c r="N557" t="n">
        <v>0</v>
      </c>
      <c r="O557" t="n">
        <v>0</v>
      </c>
      <c r="P557" t="n">
        <v>0</v>
      </c>
      <c r="Q557" t="n">
        <v>0</v>
      </c>
      <c r="R557" s="2" t="inlineStr"/>
    </row>
    <row r="558" ht="15" customHeight="1">
      <c r="A558" t="inlineStr">
        <is>
          <t>A 33272-2025</t>
        </is>
      </c>
      <c r="B558" s="1" t="n">
        <v>45840.68518518518</v>
      </c>
      <c r="C558" s="1" t="n">
        <v>45916</v>
      </c>
      <c r="D558" t="inlineStr">
        <is>
          <t>UPPSALA LÄN</t>
        </is>
      </c>
      <c r="E558" t="inlineStr">
        <is>
          <t>UPPSALA</t>
        </is>
      </c>
      <c r="G558" t="n">
        <v>4.7</v>
      </c>
      <c r="H558" t="n">
        <v>0</v>
      </c>
      <c r="I558" t="n">
        <v>0</v>
      </c>
      <c r="J558" t="n">
        <v>0</v>
      </c>
      <c r="K558" t="n">
        <v>0</v>
      </c>
      <c r="L558" t="n">
        <v>0</v>
      </c>
      <c r="M558" t="n">
        <v>0</v>
      </c>
      <c r="N558" t="n">
        <v>0</v>
      </c>
      <c r="O558" t="n">
        <v>0</v>
      </c>
      <c r="P558" t="n">
        <v>0</v>
      </c>
      <c r="Q558" t="n">
        <v>0</v>
      </c>
      <c r="R558" s="2" t="inlineStr"/>
    </row>
    <row r="559" ht="15" customHeight="1">
      <c r="A559" t="inlineStr">
        <is>
          <t>A 41002-2023</t>
        </is>
      </c>
      <c r="B559" s="1" t="n">
        <v>45173</v>
      </c>
      <c r="C559" s="1" t="n">
        <v>45916</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33964-2025</t>
        </is>
      </c>
      <c r="B560" s="1" t="n">
        <v>45842.74049768518</v>
      </c>
      <c r="C560" s="1" t="n">
        <v>45916</v>
      </c>
      <c r="D560" t="inlineStr">
        <is>
          <t>UPPSALA LÄN</t>
        </is>
      </c>
      <c r="E560" t="inlineStr">
        <is>
          <t>UPPSALA</t>
        </is>
      </c>
      <c r="G560" t="n">
        <v>2.7</v>
      </c>
      <c r="H560" t="n">
        <v>0</v>
      </c>
      <c r="I560" t="n">
        <v>0</v>
      </c>
      <c r="J560" t="n">
        <v>0</v>
      </c>
      <c r="K560" t="n">
        <v>0</v>
      </c>
      <c r="L560" t="n">
        <v>0</v>
      </c>
      <c r="M560" t="n">
        <v>0</v>
      </c>
      <c r="N560" t="n">
        <v>0</v>
      </c>
      <c r="O560" t="n">
        <v>0</v>
      </c>
      <c r="P560" t="n">
        <v>0</v>
      </c>
      <c r="Q560" t="n">
        <v>0</v>
      </c>
      <c r="R560" s="2" t="inlineStr"/>
    </row>
    <row r="561" ht="15" customHeight="1">
      <c r="A561" t="inlineStr">
        <is>
          <t>A 36478-2023</t>
        </is>
      </c>
      <c r="B561" s="1" t="n">
        <v>45152</v>
      </c>
      <c r="C561" s="1" t="n">
        <v>45916</v>
      </c>
      <c r="D561" t="inlineStr">
        <is>
          <t>UPPSALA LÄN</t>
        </is>
      </c>
      <c r="E561" t="inlineStr">
        <is>
          <t>UPPSALA</t>
        </is>
      </c>
      <c r="F561" t="inlineStr">
        <is>
          <t>Allmännings- och besparingsskogar</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3314-2025</t>
        </is>
      </c>
      <c r="B562" s="1" t="n">
        <v>45679</v>
      </c>
      <c r="C562" s="1" t="n">
        <v>45916</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row>
    <row r="563" ht="15" customHeight="1">
      <c r="A563" t="inlineStr">
        <is>
          <t>A 18625-2025</t>
        </is>
      </c>
      <c r="B563" s="1" t="n">
        <v>45763.52744212963</v>
      </c>
      <c r="C563" s="1" t="n">
        <v>45916</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34132-2025</t>
        </is>
      </c>
      <c r="B564" s="1" t="n">
        <v>45845.53202546296</v>
      </c>
      <c r="C564" s="1" t="n">
        <v>45916</v>
      </c>
      <c r="D564" t="inlineStr">
        <is>
          <t>UPPSALA LÄN</t>
        </is>
      </c>
      <c r="E564" t="inlineStr">
        <is>
          <t>UPPSALA</t>
        </is>
      </c>
      <c r="G564" t="n">
        <v>0.9</v>
      </c>
      <c r="H564" t="n">
        <v>0</v>
      </c>
      <c r="I564" t="n">
        <v>0</v>
      </c>
      <c r="J564" t="n">
        <v>0</v>
      </c>
      <c r="K564" t="n">
        <v>0</v>
      </c>
      <c r="L564" t="n">
        <v>0</v>
      </c>
      <c r="M564" t="n">
        <v>0</v>
      </c>
      <c r="N564" t="n">
        <v>0</v>
      </c>
      <c r="O564" t="n">
        <v>0</v>
      </c>
      <c r="P564" t="n">
        <v>0</v>
      </c>
      <c r="Q564" t="n">
        <v>0</v>
      </c>
      <c r="R564" s="2" t="inlineStr"/>
    </row>
    <row r="565" ht="15" customHeight="1">
      <c r="A565" t="inlineStr">
        <is>
          <t>A 45489-2023</t>
        </is>
      </c>
      <c r="B565" s="1" t="n">
        <v>45194</v>
      </c>
      <c r="C565" s="1" t="n">
        <v>45916</v>
      </c>
      <c r="D565" t="inlineStr">
        <is>
          <t>UPPSALA LÄN</t>
        </is>
      </c>
      <c r="E565" t="inlineStr">
        <is>
          <t>UPPSALA</t>
        </is>
      </c>
      <c r="F565" t="inlineStr">
        <is>
          <t>Allmännings- och besparingsskogar</t>
        </is>
      </c>
      <c r="G565" t="n">
        <v>15.8</v>
      </c>
      <c r="H565" t="n">
        <v>0</v>
      </c>
      <c r="I565" t="n">
        <v>0</v>
      </c>
      <c r="J565" t="n">
        <v>0</v>
      </c>
      <c r="K565" t="n">
        <v>0</v>
      </c>
      <c r="L565" t="n">
        <v>0</v>
      </c>
      <c r="M565" t="n">
        <v>0</v>
      </c>
      <c r="N565" t="n">
        <v>0</v>
      </c>
      <c r="O565" t="n">
        <v>0</v>
      </c>
      <c r="P565" t="n">
        <v>0</v>
      </c>
      <c r="Q565" t="n">
        <v>0</v>
      </c>
      <c r="R565" s="2" t="inlineStr"/>
    </row>
    <row r="566" ht="15" customHeight="1">
      <c r="A566" t="inlineStr">
        <is>
          <t>A 53906-2023</t>
        </is>
      </c>
      <c r="B566" s="1" t="n">
        <v>45231</v>
      </c>
      <c r="C566" s="1" t="n">
        <v>45916</v>
      </c>
      <c r="D566" t="inlineStr">
        <is>
          <t>UPPSALA LÄN</t>
        </is>
      </c>
      <c r="E566" t="inlineStr">
        <is>
          <t>UPPSALA</t>
        </is>
      </c>
      <c r="G566" t="n">
        <v>13.2</v>
      </c>
      <c r="H566" t="n">
        <v>0</v>
      </c>
      <c r="I566" t="n">
        <v>0</v>
      </c>
      <c r="J566" t="n">
        <v>0</v>
      </c>
      <c r="K566" t="n">
        <v>0</v>
      </c>
      <c r="L566" t="n">
        <v>0</v>
      </c>
      <c r="M566" t="n">
        <v>0</v>
      </c>
      <c r="N566" t="n">
        <v>0</v>
      </c>
      <c r="O566" t="n">
        <v>0</v>
      </c>
      <c r="P566" t="n">
        <v>0</v>
      </c>
      <c r="Q566" t="n">
        <v>0</v>
      </c>
      <c r="R566" s="2" t="inlineStr"/>
    </row>
    <row r="567" ht="15" customHeight="1">
      <c r="A567" t="inlineStr">
        <is>
          <t>A 6930-2023</t>
        </is>
      </c>
      <c r="B567" s="1" t="n">
        <v>44967.55960648148</v>
      </c>
      <c r="C567" s="1" t="n">
        <v>45916</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55073-2022</t>
        </is>
      </c>
      <c r="B568" s="1" t="n">
        <v>44886.5928125</v>
      </c>
      <c r="C568" s="1" t="n">
        <v>45916</v>
      </c>
      <c r="D568" t="inlineStr">
        <is>
          <t>UPPSALA LÄN</t>
        </is>
      </c>
      <c r="E568" t="inlineStr">
        <is>
          <t>UPPSALA</t>
        </is>
      </c>
      <c r="G568" t="n">
        <v>1</v>
      </c>
      <c r="H568" t="n">
        <v>0</v>
      </c>
      <c r="I568" t="n">
        <v>0</v>
      </c>
      <c r="J568" t="n">
        <v>0</v>
      </c>
      <c r="K568" t="n">
        <v>0</v>
      </c>
      <c r="L568" t="n">
        <v>0</v>
      </c>
      <c r="M568" t="n">
        <v>0</v>
      </c>
      <c r="N568" t="n">
        <v>0</v>
      </c>
      <c r="O568" t="n">
        <v>0</v>
      </c>
      <c r="P568" t="n">
        <v>0</v>
      </c>
      <c r="Q568" t="n">
        <v>0</v>
      </c>
      <c r="R568" s="2" t="inlineStr"/>
    </row>
    <row r="569" ht="15" customHeight="1">
      <c r="A569" t="inlineStr">
        <is>
          <t>A 33816-2024</t>
        </is>
      </c>
      <c r="B569" s="1" t="n">
        <v>45520</v>
      </c>
      <c r="C569" s="1" t="n">
        <v>45916</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47083-2023</t>
        </is>
      </c>
      <c r="B570" s="1" t="n">
        <v>45201.62318287037</v>
      </c>
      <c r="C570" s="1" t="n">
        <v>45916</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8877-2022</t>
        </is>
      </c>
      <c r="B571" s="1" t="n">
        <v>44614.59027777778</v>
      </c>
      <c r="C571" s="1" t="n">
        <v>45916</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554-2023</t>
        </is>
      </c>
      <c r="B572" s="1" t="n">
        <v>44930</v>
      </c>
      <c r="C572" s="1" t="n">
        <v>45916</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27903-2023</t>
        </is>
      </c>
      <c r="B573" s="1" t="n">
        <v>45098.62966435185</v>
      </c>
      <c r="C573" s="1" t="n">
        <v>45916</v>
      </c>
      <c r="D573" t="inlineStr">
        <is>
          <t>UPPSALA LÄN</t>
        </is>
      </c>
      <c r="E573" t="inlineStr">
        <is>
          <t>UPPSALA</t>
        </is>
      </c>
      <c r="G573" t="n">
        <v>2.4</v>
      </c>
      <c r="H573" t="n">
        <v>0</v>
      </c>
      <c r="I573" t="n">
        <v>0</v>
      </c>
      <c r="J573" t="n">
        <v>0</v>
      </c>
      <c r="K573" t="n">
        <v>0</v>
      </c>
      <c r="L573" t="n">
        <v>0</v>
      </c>
      <c r="M573" t="n">
        <v>0</v>
      </c>
      <c r="N573" t="n">
        <v>0</v>
      </c>
      <c r="O573" t="n">
        <v>0</v>
      </c>
      <c r="P573" t="n">
        <v>0</v>
      </c>
      <c r="Q573" t="n">
        <v>0</v>
      </c>
      <c r="R573" s="2" t="inlineStr"/>
    </row>
    <row r="574" ht="15" customHeight="1">
      <c r="A574" t="inlineStr">
        <is>
          <t>A 17250-2025</t>
        </is>
      </c>
      <c r="B574" s="1" t="n">
        <v>45756.50738425926</v>
      </c>
      <c r="C574" s="1" t="n">
        <v>45916</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37670-2022</t>
        </is>
      </c>
      <c r="B575" s="1" t="n">
        <v>44810</v>
      </c>
      <c r="C575" s="1" t="n">
        <v>45916</v>
      </c>
      <c r="D575" t="inlineStr">
        <is>
          <t>UPPSALA LÄN</t>
        </is>
      </c>
      <c r="E575" t="inlineStr">
        <is>
          <t>UPPSALA</t>
        </is>
      </c>
      <c r="G575" t="n">
        <v>2.4</v>
      </c>
      <c r="H575" t="n">
        <v>0</v>
      </c>
      <c r="I575" t="n">
        <v>0</v>
      </c>
      <c r="J575" t="n">
        <v>0</v>
      </c>
      <c r="K575" t="n">
        <v>0</v>
      </c>
      <c r="L575" t="n">
        <v>0</v>
      </c>
      <c r="M575" t="n">
        <v>0</v>
      </c>
      <c r="N575" t="n">
        <v>0</v>
      </c>
      <c r="O575" t="n">
        <v>0</v>
      </c>
      <c r="P575" t="n">
        <v>0</v>
      </c>
      <c r="Q575" t="n">
        <v>0</v>
      </c>
      <c r="R575" s="2" t="inlineStr"/>
    </row>
    <row r="576" ht="15" customHeight="1">
      <c r="A576" t="inlineStr">
        <is>
          <t>A 14784-2023</t>
        </is>
      </c>
      <c r="B576" s="1" t="n">
        <v>45014</v>
      </c>
      <c r="C576" s="1" t="n">
        <v>45916</v>
      </c>
      <c r="D576" t="inlineStr">
        <is>
          <t>UPPSALA LÄN</t>
        </is>
      </c>
      <c r="E576" t="inlineStr">
        <is>
          <t>UPPSALA</t>
        </is>
      </c>
      <c r="G576" t="n">
        <v>4.7</v>
      </c>
      <c r="H576" t="n">
        <v>0</v>
      </c>
      <c r="I576" t="n">
        <v>0</v>
      </c>
      <c r="J576" t="n">
        <v>0</v>
      </c>
      <c r="K576" t="n">
        <v>0</v>
      </c>
      <c r="L576" t="n">
        <v>0</v>
      </c>
      <c r="M576" t="n">
        <v>0</v>
      </c>
      <c r="N576" t="n">
        <v>0</v>
      </c>
      <c r="O576" t="n">
        <v>0</v>
      </c>
      <c r="P576" t="n">
        <v>0</v>
      </c>
      <c r="Q576" t="n">
        <v>0</v>
      </c>
      <c r="R576" s="2" t="inlineStr"/>
    </row>
    <row r="577" ht="15" customHeight="1">
      <c r="A577" t="inlineStr">
        <is>
          <t>A 41422-2023</t>
        </is>
      </c>
      <c r="B577" s="1" t="n">
        <v>45175</v>
      </c>
      <c r="C577" s="1" t="n">
        <v>45916</v>
      </c>
      <c r="D577" t="inlineStr">
        <is>
          <t>UPPSALA LÄN</t>
        </is>
      </c>
      <c r="E577" t="inlineStr">
        <is>
          <t>UPPSALA</t>
        </is>
      </c>
      <c r="F577" t="inlineStr">
        <is>
          <t>Kyrkan</t>
        </is>
      </c>
      <c r="G577" t="n">
        <v>5.2</v>
      </c>
      <c r="H577" t="n">
        <v>0</v>
      </c>
      <c r="I577" t="n">
        <v>0</v>
      </c>
      <c r="J577" t="n">
        <v>0</v>
      </c>
      <c r="K577" t="n">
        <v>0</v>
      </c>
      <c r="L577" t="n">
        <v>0</v>
      </c>
      <c r="M577" t="n">
        <v>0</v>
      </c>
      <c r="N577" t="n">
        <v>0</v>
      </c>
      <c r="O577" t="n">
        <v>0</v>
      </c>
      <c r="P577" t="n">
        <v>0</v>
      </c>
      <c r="Q577" t="n">
        <v>0</v>
      </c>
      <c r="R577" s="2" t="inlineStr"/>
    </row>
    <row r="578" ht="15" customHeight="1">
      <c r="A578" t="inlineStr">
        <is>
          <t>A 27473-2024</t>
        </is>
      </c>
      <c r="B578" s="1" t="n">
        <v>45474</v>
      </c>
      <c r="C578" s="1" t="n">
        <v>45916</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38469-2025</t>
        </is>
      </c>
      <c r="B579" s="1" t="n">
        <v>45884</v>
      </c>
      <c r="C579" s="1" t="n">
        <v>45916</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45662-2023</t>
        </is>
      </c>
      <c r="B580" s="1" t="n">
        <v>45194</v>
      </c>
      <c r="C580" s="1" t="n">
        <v>45916</v>
      </c>
      <c r="D580" t="inlineStr">
        <is>
          <t>UPPSALA LÄN</t>
        </is>
      </c>
      <c r="E580" t="inlineStr">
        <is>
          <t>UPPSALA</t>
        </is>
      </c>
      <c r="F580" t="inlineStr">
        <is>
          <t>Bergvik skog öst AB</t>
        </is>
      </c>
      <c r="G580" t="n">
        <v>2.8</v>
      </c>
      <c r="H580" t="n">
        <v>0</v>
      </c>
      <c r="I580" t="n">
        <v>0</v>
      </c>
      <c r="J580" t="n">
        <v>0</v>
      </c>
      <c r="K580" t="n">
        <v>0</v>
      </c>
      <c r="L580" t="n">
        <v>0</v>
      </c>
      <c r="M580" t="n">
        <v>0</v>
      </c>
      <c r="N580" t="n">
        <v>0</v>
      </c>
      <c r="O580" t="n">
        <v>0</v>
      </c>
      <c r="P580" t="n">
        <v>0</v>
      </c>
      <c r="Q580" t="n">
        <v>0</v>
      </c>
      <c r="R580" s="2" t="inlineStr"/>
    </row>
    <row r="581" ht="15" customHeight="1">
      <c r="A581" t="inlineStr">
        <is>
          <t>A 39529-2025</t>
        </is>
      </c>
      <c r="B581" s="1" t="n">
        <v>45890</v>
      </c>
      <c r="C581" s="1" t="n">
        <v>45916</v>
      </c>
      <c r="D581" t="inlineStr">
        <is>
          <t>UPPSALA LÄN</t>
        </is>
      </c>
      <c r="E581" t="inlineStr">
        <is>
          <t>UPPSALA</t>
        </is>
      </c>
      <c r="F581" t="inlineStr">
        <is>
          <t>Allmännings- och besparingsskogar</t>
        </is>
      </c>
      <c r="G581" t="n">
        <v>3.9</v>
      </c>
      <c r="H581" t="n">
        <v>0</v>
      </c>
      <c r="I581" t="n">
        <v>0</v>
      </c>
      <c r="J581" t="n">
        <v>0</v>
      </c>
      <c r="K581" t="n">
        <v>0</v>
      </c>
      <c r="L581" t="n">
        <v>0</v>
      </c>
      <c r="M581" t="n">
        <v>0</v>
      </c>
      <c r="N581" t="n">
        <v>0</v>
      </c>
      <c r="O581" t="n">
        <v>0</v>
      </c>
      <c r="P581" t="n">
        <v>0</v>
      </c>
      <c r="Q581" t="n">
        <v>0</v>
      </c>
      <c r="R581" s="2" t="inlineStr"/>
    </row>
    <row r="582" ht="15" customHeight="1">
      <c r="A582" t="inlineStr">
        <is>
          <t>A 21657-2024</t>
        </is>
      </c>
      <c r="B582" s="1" t="n">
        <v>45442</v>
      </c>
      <c r="C582" s="1" t="n">
        <v>45916</v>
      </c>
      <c r="D582" t="inlineStr">
        <is>
          <t>UPPSALA LÄN</t>
        </is>
      </c>
      <c r="E582" t="inlineStr">
        <is>
          <t>UPPSALA</t>
        </is>
      </c>
      <c r="G582" t="n">
        <v>5.7</v>
      </c>
      <c r="H582" t="n">
        <v>0</v>
      </c>
      <c r="I582" t="n">
        <v>0</v>
      </c>
      <c r="J582" t="n">
        <v>0</v>
      </c>
      <c r="K582" t="n">
        <v>0</v>
      </c>
      <c r="L582" t="n">
        <v>0</v>
      </c>
      <c r="M582" t="n">
        <v>0</v>
      </c>
      <c r="N582" t="n">
        <v>0</v>
      </c>
      <c r="O582" t="n">
        <v>0</v>
      </c>
      <c r="P582" t="n">
        <v>0</v>
      </c>
      <c r="Q582" t="n">
        <v>0</v>
      </c>
      <c r="R582" s="2" t="inlineStr"/>
    </row>
    <row r="583" ht="15" customHeight="1">
      <c r="A583" t="inlineStr">
        <is>
          <t>A 32688-2023</t>
        </is>
      </c>
      <c r="B583" s="1" t="n">
        <v>45121</v>
      </c>
      <c r="C583" s="1" t="n">
        <v>45916</v>
      </c>
      <c r="D583" t="inlineStr">
        <is>
          <t>UPPSALA LÄN</t>
        </is>
      </c>
      <c r="E583" t="inlineStr">
        <is>
          <t>UPPSALA</t>
        </is>
      </c>
      <c r="F583" t="inlineStr">
        <is>
          <t>Holmen skog AB</t>
        </is>
      </c>
      <c r="G583" t="n">
        <v>4.3</v>
      </c>
      <c r="H583" t="n">
        <v>0</v>
      </c>
      <c r="I583" t="n">
        <v>0</v>
      </c>
      <c r="J583" t="n">
        <v>0</v>
      </c>
      <c r="K583" t="n">
        <v>0</v>
      </c>
      <c r="L583" t="n">
        <v>0</v>
      </c>
      <c r="M583" t="n">
        <v>0</v>
      </c>
      <c r="N583" t="n">
        <v>0</v>
      </c>
      <c r="O583" t="n">
        <v>0</v>
      </c>
      <c r="P583" t="n">
        <v>0</v>
      </c>
      <c r="Q583" t="n">
        <v>0</v>
      </c>
      <c r="R583" s="2" t="inlineStr"/>
    </row>
    <row r="584" ht="15" customHeight="1">
      <c r="A584" t="inlineStr">
        <is>
          <t>A 39721-2025</t>
        </is>
      </c>
      <c r="B584" s="1" t="n">
        <v>45891.33204861111</v>
      </c>
      <c r="C584" s="1" t="n">
        <v>45916</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39865-2022</t>
        </is>
      </c>
      <c r="B585" s="1" t="n">
        <v>44819.62</v>
      </c>
      <c r="C585" s="1" t="n">
        <v>45916</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53266-2024</t>
        </is>
      </c>
      <c r="B586" s="1" t="n">
        <v>45614</v>
      </c>
      <c r="C586" s="1" t="n">
        <v>45916</v>
      </c>
      <c r="D586" t="inlineStr">
        <is>
          <t>UPPSALA LÄN</t>
        </is>
      </c>
      <c r="E586" t="inlineStr">
        <is>
          <t>UPPSALA</t>
        </is>
      </c>
      <c r="G586" t="n">
        <v>0.9</v>
      </c>
      <c r="H586" t="n">
        <v>0</v>
      </c>
      <c r="I586" t="n">
        <v>0</v>
      </c>
      <c r="J586" t="n">
        <v>0</v>
      </c>
      <c r="K586" t="n">
        <v>0</v>
      </c>
      <c r="L586" t="n">
        <v>0</v>
      </c>
      <c r="M586" t="n">
        <v>0</v>
      </c>
      <c r="N586" t="n">
        <v>0</v>
      </c>
      <c r="O586" t="n">
        <v>0</v>
      </c>
      <c r="P586" t="n">
        <v>0</v>
      </c>
      <c r="Q586" t="n">
        <v>0</v>
      </c>
      <c r="R586" s="2" t="inlineStr"/>
    </row>
    <row r="587" ht="15" customHeight="1">
      <c r="A587" t="inlineStr">
        <is>
          <t>A 5899-2024</t>
        </is>
      </c>
      <c r="B587" s="1" t="n">
        <v>45335</v>
      </c>
      <c r="C587" s="1" t="n">
        <v>45916</v>
      </c>
      <c r="D587" t="inlineStr">
        <is>
          <t>UPPSALA LÄN</t>
        </is>
      </c>
      <c r="E587" t="inlineStr">
        <is>
          <t>UPPSALA</t>
        </is>
      </c>
      <c r="F587" t="inlineStr">
        <is>
          <t>Allmännings- och besparingsskogar</t>
        </is>
      </c>
      <c r="G587" t="n">
        <v>3.7</v>
      </c>
      <c r="H587" t="n">
        <v>0</v>
      </c>
      <c r="I587" t="n">
        <v>0</v>
      </c>
      <c r="J587" t="n">
        <v>0</v>
      </c>
      <c r="K587" t="n">
        <v>0</v>
      </c>
      <c r="L587" t="n">
        <v>0</v>
      </c>
      <c r="M587" t="n">
        <v>0</v>
      </c>
      <c r="N587" t="n">
        <v>0</v>
      </c>
      <c r="O587" t="n">
        <v>0</v>
      </c>
      <c r="P587" t="n">
        <v>0</v>
      </c>
      <c r="Q587" t="n">
        <v>0</v>
      </c>
      <c r="R587" s="2" t="inlineStr"/>
    </row>
    <row r="588" ht="15" customHeight="1">
      <c r="A588" t="inlineStr">
        <is>
          <t>A 34893-2025</t>
        </is>
      </c>
      <c r="B588" s="1" t="n">
        <v>45849.49259259259</v>
      </c>
      <c r="C588" s="1" t="n">
        <v>45916</v>
      </c>
      <c r="D588" t="inlineStr">
        <is>
          <t>UPPSALA LÄN</t>
        </is>
      </c>
      <c r="E588" t="inlineStr">
        <is>
          <t>UPPSALA</t>
        </is>
      </c>
      <c r="G588" t="n">
        <v>1.5</v>
      </c>
      <c r="H588" t="n">
        <v>0</v>
      </c>
      <c r="I588" t="n">
        <v>0</v>
      </c>
      <c r="J588" t="n">
        <v>0</v>
      </c>
      <c r="K588" t="n">
        <v>0</v>
      </c>
      <c r="L588" t="n">
        <v>0</v>
      </c>
      <c r="M588" t="n">
        <v>0</v>
      </c>
      <c r="N588" t="n">
        <v>0</v>
      </c>
      <c r="O588" t="n">
        <v>0</v>
      </c>
      <c r="P588" t="n">
        <v>0</v>
      </c>
      <c r="Q588" t="n">
        <v>0</v>
      </c>
      <c r="R588" s="2" t="inlineStr"/>
    </row>
    <row r="589" ht="15" customHeight="1">
      <c r="A589" t="inlineStr">
        <is>
          <t>A 39777-2025</t>
        </is>
      </c>
      <c r="B589" s="1" t="n">
        <v>45891.46827546296</v>
      </c>
      <c r="C589" s="1" t="n">
        <v>45916</v>
      </c>
      <c r="D589" t="inlineStr">
        <is>
          <t>UPPSALA LÄN</t>
        </is>
      </c>
      <c r="E589" t="inlineStr">
        <is>
          <t>UPPSALA</t>
        </is>
      </c>
      <c r="G589" t="n">
        <v>6.5</v>
      </c>
      <c r="H589" t="n">
        <v>0</v>
      </c>
      <c r="I589" t="n">
        <v>0</v>
      </c>
      <c r="J589" t="n">
        <v>0</v>
      </c>
      <c r="K589" t="n">
        <v>0</v>
      </c>
      <c r="L589" t="n">
        <v>0</v>
      </c>
      <c r="M589" t="n">
        <v>0</v>
      </c>
      <c r="N589" t="n">
        <v>0</v>
      </c>
      <c r="O589" t="n">
        <v>0</v>
      </c>
      <c r="P589" t="n">
        <v>0</v>
      </c>
      <c r="Q589" t="n">
        <v>0</v>
      </c>
      <c r="R589" s="2" t="inlineStr"/>
    </row>
    <row r="590" ht="15" customHeight="1">
      <c r="A590" t="inlineStr">
        <is>
          <t>A 6679-2024</t>
        </is>
      </c>
      <c r="B590" s="1" t="n">
        <v>45341</v>
      </c>
      <c r="C590" s="1" t="n">
        <v>45916</v>
      </c>
      <c r="D590" t="inlineStr">
        <is>
          <t>UPPSALA LÄN</t>
        </is>
      </c>
      <c r="E590" t="inlineStr">
        <is>
          <t>UPPSALA</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12282-2025</t>
        </is>
      </c>
      <c r="B591" s="1" t="n">
        <v>45729</v>
      </c>
      <c r="C591" s="1" t="n">
        <v>45916</v>
      </c>
      <c r="D591" t="inlineStr">
        <is>
          <t>UPPSALA LÄN</t>
        </is>
      </c>
      <c r="E591" t="inlineStr">
        <is>
          <t>UPPSALA</t>
        </is>
      </c>
      <c r="G591" t="n">
        <v>3.3</v>
      </c>
      <c r="H591" t="n">
        <v>0</v>
      </c>
      <c r="I591" t="n">
        <v>0</v>
      </c>
      <c r="J591" t="n">
        <v>0</v>
      </c>
      <c r="K591" t="n">
        <v>0</v>
      </c>
      <c r="L591" t="n">
        <v>0</v>
      </c>
      <c r="M591" t="n">
        <v>0</v>
      </c>
      <c r="N591" t="n">
        <v>0</v>
      </c>
      <c r="O591" t="n">
        <v>0</v>
      </c>
      <c r="P591" t="n">
        <v>0</v>
      </c>
      <c r="Q591" t="n">
        <v>0</v>
      </c>
      <c r="R591" s="2" t="inlineStr"/>
    </row>
    <row r="592" ht="15" customHeight="1">
      <c r="A592" t="inlineStr">
        <is>
          <t>A 60820-2024</t>
        </is>
      </c>
      <c r="B592" s="1" t="n">
        <v>45644.62677083333</v>
      </c>
      <c r="C592" s="1" t="n">
        <v>45916</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35056-2025</t>
        </is>
      </c>
      <c r="B593" s="1" t="n">
        <v>45852.39642361111</v>
      </c>
      <c r="C593" s="1" t="n">
        <v>45916</v>
      </c>
      <c r="D593" t="inlineStr">
        <is>
          <t>UPPSALA LÄN</t>
        </is>
      </c>
      <c r="E593" t="inlineStr">
        <is>
          <t>UPPSALA</t>
        </is>
      </c>
      <c r="G593" t="n">
        <v>2.6</v>
      </c>
      <c r="H593" t="n">
        <v>0</v>
      </c>
      <c r="I593" t="n">
        <v>0</v>
      </c>
      <c r="J593" t="n">
        <v>0</v>
      </c>
      <c r="K593" t="n">
        <v>0</v>
      </c>
      <c r="L593" t="n">
        <v>0</v>
      </c>
      <c r="M593" t="n">
        <v>0</v>
      </c>
      <c r="N593" t="n">
        <v>0</v>
      </c>
      <c r="O593" t="n">
        <v>0</v>
      </c>
      <c r="P593" t="n">
        <v>0</v>
      </c>
      <c r="Q593" t="n">
        <v>0</v>
      </c>
      <c r="R593" s="2" t="inlineStr"/>
    </row>
    <row r="594" ht="15" customHeight="1">
      <c r="A594" t="inlineStr">
        <is>
          <t>A 18675-2024</t>
        </is>
      </c>
      <c r="B594" s="1" t="n">
        <v>45426</v>
      </c>
      <c r="C594" s="1" t="n">
        <v>45916</v>
      </c>
      <c r="D594" t="inlineStr">
        <is>
          <t>UPPSALA LÄN</t>
        </is>
      </c>
      <c r="E594" t="inlineStr">
        <is>
          <t>UPPSALA</t>
        </is>
      </c>
      <c r="G594" t="n">
        <v>8.1</v>
      </c>
      <c r="H594" t="n">
        <v>0</v>
      </c>
      <c r="I594" t="n">
        <v>0</v>
      </c>
      <c r="J594" t="n">
        <v>0</v>
      </c>
      <c r="K594" t="n">
        <v>0</v>
      </c>
      <c r="L594" t="n">
        <v>0</v>
      </c>
      <c r="M594" t="n">
        <v>0</v>
      </c>
      <c r="N594" t="n">
        <v>0</v>
      </c>
      <c r="O594" t="n">
        <v>0</v>
      </c>
      <c r="P594" t="n">
        <v>0</v>
      </c>
      <c r="Q594" t="n">
        <v>0</v>
      </c>
      <c r="R594" s="2" t="inlineStr"/>
    </row>
    <row r="595" ht="15" customHeight="1">
      <c r="A595" t="inlineStr">
        <is>
          <t>A 35167-2025</t>
        </is>
      </c>
      <c r="B595" s="1" t="n">
        <v>45852.72965277778</v>
      </c>
      <c r="C595" s="1" t="n">
        <v>45916</v>
      </c>
      <c r="D595" t="inlineStr">
        <is>
          <t>UPPSALA LÄN</t>
        </is>
      </c>
      <c r="E595" t="inlineStr">
        <is>
          <t>UPPSALA</t>
        </is>
      </c>
      <c r="F595" t="inlineStr">
        <is>
          <t>Holmen skog AB</t>
        </is>
      </c>
      <c r="G595" t="n">
        <v>10</v>
      </c>
      <c r="H595" t="n">
        <v>0</v>
      </c>
      <c r="I595" t="n">
        <v>0</v>
      </c>
      <c r="J595" t="n">
        <v>0</v>
      </c>
      <c r="K595" t="n">
        <v>0</v>
      </c>
      <c r="L595" t="n">
        <v>0</v>
      </c>
      <c r="M595" t="n">
        <v>0</v>
      </c>
      <c r="N595" t="n">
        <v>0</v>
      </c>
      <c r="O595" t="n">
        <v>0</v>
      </c>
      <c r="P595" t="n">
        <v>0</v>
      </c>
      <c r="Q595" t="n">
        <v>0</v>
      </c>
      <c r="R595" s="2" t="inlineStr"/>
    </row>
    <row r="596" ht="15" customHeight="1">
      <c r="A596" t="inlineStr">
        <is>
          <t>A 35150-2025</t>
        </is>
      </c>
      <c r="B596" s="1" t="n">
        <v>45852</v>
      </c>
      <c r="C596" s="1" t="n">
        <v>45916</v>
      </c>
      <c r="D596" t="inlineStr">
        <is>
          <t>UPPSALA LÄN</t>
        </is>
      </c>
      <c r="E596" t="inlineStr">
        <is>
          <t>UPPSALA</t>
        </is>
      </c>
      <c r="F596" t="inlineStr">
        <is>
          <t>Holmen skog AB</t>
        </is>
      </c>
      <c r="G596" t="n">
        <v>0.6</v>
      </c>
      <c r="H596" t="n">
        <v>0</v>
      </c>
      <c r="I596" t="n">
        <v>0</v>
      </c>
      <c r="J596" t="n">
        <v>0</v>
      </c>
      <c r="K596" t="n">
        <v>0</v>
      </c>
      <c r="L596" t="n">
        <v>0</v>
      </c>
      <c r="M596" t="n">
        <v>0</v>
      </c>
      <c r="N596" t="n">
        <v>0</v>
      </c>
      <c r="O596" t="n">
        <v>0</v>
      </c>
      <c r="P596" t="n">
        <v>0</v>
      </c>
      <c r="Q596" t="n">
        <v>0</v>
      </c>
      <c r="R596" s="2" t="inlineStr"/>
    </row>
    <row r="597" ht="15" customHeight="1">
      <c r="A597" t="inlineStr">
        <is>
          <t>A 35015-2025</t>
        </is>
      </c>
      <c r="B597" s="1" t="n">
        <v>45851.62018518519</v>
      </c>
      <c r="C597" s="1" t="n">
        <v>45916</v>
      </c>
      <c r="D597" t="inlineStr">
        <is>
          <t>UPPSALA LÄN</t>
        </is>
      </c>
      <c r="E597" t="inlineStr">
        <is>
          <t>UPPSALA</t>
        </is>
      </c>
      <c r="F597" t="inlineStr">
        <is>
          <t>Bergvik skog öst AB</t>
        </is>
      </c>
      <c r="G597" t="n">
        <v>0.3</v>
      </c>
      <c r="H597" t="n">
        <v>0</v>
      </c>
      <c r="I597" t="n">
        <v>0</v>
      </c>
      <c r="J597" t="n">
        <v>0</v>
      </c>
      <c r="K597" t="n">
        <v>0</v>
      </c>
      <c r="L597" t="n">
        <v>0</v>
      </c>
      <c r="M597" t="n">
        <v>0</v>
      </c>
      <c r="N597" t="n">
        <v>0</v>
      </c>
      <c r="O597" t="n">
        <v>0</v>
      </c>
      <c r="P597" t="n">
        <v>0</v>
      </c>
      <c r="Q597" t="n">
        <v>0</v>
      </c>
      <c r="R597" s="2" t="inlineStr"/>
    </row>
    <row r="598" ht="15" customHeight="1">
      <c r="A598" t="inlineStr">
        <is>
          <t>A 59116-2024</t>
        </is>
      </c>
      <c r="B598" s="1" t="n">
        <v>45637</v>
      </c>
      <c r="C598" s="1" t="n">
        <v>45916</v>
      </c>
      <c r="D598" t="inlineStr">
        <is>
          <t>UPPSALA LÄN</t>
        </is>
      </c>
      <c r="E598" t="inlineStr">
        <is>
          <t>UPPSALA</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35155-2025</t>
        </is>
      </c>
      <c r="B599" s="1" t="n">
        <v>45852.68978009259</v>
      </c>
      <c r="C599" s="1" t="n">
        <v>45916</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35148-2025</t>
        </is>
      </c>
      <c r="B600" s="1" t="n">
        <v>45852.67366898148</v>
      </c>
      <c r="C600" s="1" t="n">
        <v>45916</v>
      </c>
      <c r="D600" t="inlineStr">
        <is>
          <t>UPPSALA LÄN</t>
        </is>
      </c>
      <c r="E600" t="inlineStr">
        <is>
          <t>UPPSALA</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35053-2025</t>
        </is>
      </c>
      <c r="B601" s="1" t="n">
        <v>45852.36871527778</v>
      </c>
      <c r="C601" s="1" t="n">
        <v>45916</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9235-2025</t>
        </is>
      </c>
      <c r="B602" s="1" t="n">
        <v>45714.55368055555</v>
      </c>
      <c r="C602" s="1" t="n">
        <v>45916</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35014-2025</t>
        </is>
      </c>
      <c r="B603" s="1" t="n">
        <v>45851.60097222222</v>
      </c>
      <c r="C603" s="1" t="n">
        <v>45916</v>
      </c>
      <c r="D603" t="inlineStr">
        <is>
          <t>UPPSALA LÄN</t>
        </is>
      </c>
      <c r="E603" t="inlineStr">
        <is>
          <t>UPPSALA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9984-2025</t>
        </is>
      </c>
      <c r="B604" s="1" t="n">
        <v>45719.42197916667</v>
      </c>
      <c r="C604" s="1" t="n">
        <v>45916</v>
      </c>
      <c r="D604" t="inlineStr">
        <is>
          <t>UPPSALA LÄN</t>
        </is>
      </c>
      <c r="E604" t="inlineStr">
        <is>
          <t>UPPSALA</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9991-2025</t>
        </is>
      </c>
      <c r="B605" s="1" t="n">
        <v>45719.43646990741</v>
      </c>
      <c r="C605" s="1" t="n">
        <v>45916</v>
      </c>
      <c r="D605" t="inlineStr">
        <is>
          <t>UPPSALA LÄN</t>
        </is>
      </c>
      <c r="E605" t="inlineStr">
        <is>
          <t>UPPSALA</t>
        </is>
      </c>
      <c r="F605" t="inlineStr">
        <is>
          <t>Kyrkan</t>
        </is>
      </c>
      <c r="G605" t="n">
        <v>6.1</v>
      </c>
      <c r="H605" t="n">
        <v>0</v>
      </c>
      <c r="I605" t="n">
        <v>0</v>
      </c>
      <c r="J605" t="n">
        <v>0</v>
      </c>
      <c r="K605" t="n">
        <v>0</v>
      </c>
      <c r="L605" t="n">
        <v>0</v>
      </c>
      <c r="M605" t="n">
        <v>0</v>
      </c>
      <c r="N605" t="n">
        <v>0</v>
      </c>
      <c r="O605" t="n">
        <v>0</v>
      </c>
      <c r="P605" t="n">
        <v>0</v>
      </c>
      <c r="Q605" t="n">
        <v>0</v>
      </c>
      <c r="R605" s="2" t="inlineStr"/>
    </row>
    <row r="606" ht="15" customHeight="1">
      <c r="A606" t="inlineStr">
        <is>
          <t>A 13799-2024</t>
        </is>
      </c>
      <c r="B606" s="1" t="n">
        <v>45391.37361111111</v>
      </c>
      <c r="C606" s="1" t="n">
        <v>45916</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42772-2022</t>
        </is>
      </c>
      <c r="B607" s="1" t="n">
        <v>44832.49594907407</v>
      </c>
      <c r="C607" s="1" t="n">
        <v>45916</v>
      </c>
      <c r="D607" t="inlineStr">
        <is>
          <t>UPPSALA LÄN</t>
        </is>
      </c>
      <c r="E607" t="inlineStr">
        <is>
          <t>UPPSALA</t>
        </is>
      </c>
      <c r="G607" t="n">
        <v>17.7</v>
      </c>
      <c r="H607" t="n">
        <v>0</v>
      </c>
      <c r="I607" t="n">
        <v>0</v>
      </c>
      <c r="J607" t="n">
        <v>0</v>
      </c>
      <c r="K607" t="n">
        <v>0</v>
      </c>
      <c r="L607" t="n">
        <v>0</v>
      </c>
      <c r="M607" t="n">
        <v>0</v>
      </c>
      <c r="N607" t="n">
        <v>0</v>
      </c>
      <c r="O607" t="n">
        <v>0</v>
      </c>
      <c r="P607" t="n">
        <v>0</v>
      </c>
      <c r="Q607" t="n">
        <v>0</v>
      </c>
      <c r="R607" s="2" t="inlineStr"/>
    </row>
    <row r="608" ht="15" customHeight="1">
      <c r="A608" t="inlineStr">
        <is>
          <t>A 3261-2024</t>
        </is>
      </c>
      <c r="B608" s="1" t="n">
        <v>45317</v>
      </c>
      <c r="C608" s="1" t="n">
        <v>45916</v>
      </c>
      <c r="D608" t="inlineStr">
        <is>
          <t>UPPSALA LÄN</t>
        </is>
      </c>
      <c r="E608" t="inlineStr">
        <is>
          <t>UPPSALA</t>
        </is>
      </c>
      <c r="G608" t="n">
        <v>2.8</v>
      </c>
      <c r="H608" t="n">
        <v>0</v>
      </c>
      <c r="I608" t="n">
        <v>0</v>
      </c>
      <c r="J608" t="n">
        <v>0</v>
      </c>
      <c r="K608" t="n">
        <v>0</v>
      </c>
      <c r="L608" t="n">
        <v>0</v>
      </c>
      <c r="M608" t="n">
        <v>0</v>
      </c>
      <c r="N608" t="n">
        <v>0</v>
      </c>
      <c r="O608" t="n">
        <v>0</v>
      </c>
      <c r="P608" t="n">
        <v>0</v>
      </c>
      <c r="Q608" t="n">
        <v>0</v>
      </c>
      <c r="R608" s="2" t="inlineStr"/>
    </row>
    <row r="609" ht="15" customHeight="1">
      <c r="A609" t="inlineStr">
        <is>
          <t>A 40639-2025</t>
        </is>
      </c>
      <c r="B609" s="1" t="n">
        <v>45896.61050925926</v>
      </c>
      <c r="C609" s="1" t="n">
        <v>45916</v>
      </c>
      <c r="D609" t="inlineStr">
        <is>
          <t>UPPSALA LÄN</t>
        </is>
      </c>
      <c r="E609" t="inlineStr">
        <is>
          <t>UPPSALA</t>
        </is>
      </c>
      <c r="G609" t="n">
        <v>6.9</v>
      </c>
      <c r="H609" t="n">
        <v>0</v>
      </c>
      <c r="I609" t="n">
        <v>0</v>
      </c>
      <c r="J609" t="n">
        <v>0</v>
      </c>
      <c r="K609" t="n">
        <v>0</v>
      </c>
      <c r="L609" t="n">
        <v>0</v>
      </c>
      <c r="M609" t="n">
        <v>0</v>
      </c>
      <c r="N609" t="n">
        <v>0</v>
      </c>
      <c r="O609" t="n">
        <v>0</v>
      </c>
      <c r="P609" t="n">
        <v>0</v>
      </c>
      <c r="Q609" t="n">
        <v>0</v>
      </c>
      <c r="R609" s="2" t="inlineStr"/>
    </row>
    <row r="610" ht="15" customHeight="1">
      <c r="A610" t="inlineStr">
        <is>
          <t>A 40501-2025</t>
        </is>
      </c>
      <c r="B610" s="1" t="n">
        <v>45896</v>
      </c>
      <c r="C610" s="1" t="n">
        <v>45916</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40504-2025</t>
        </is>
      </c>
      <c r="B611" s="1" t="n">
        <v>45896</v>
      </c>
      <c r="C611" s="1" t="n">
        <v>45916</v>
      </c>
      <c r="D611" t="inlineStr">
        <is>
          <t>UPPSALA LÄN</t>
        </is>
      </c>
      <c r="E611" t="inlineStr">
        <is>
          <t>UPPSALA</t>
        </is>
      </c>
      <c r="G611" t="n">
        <v>4.4</v>
      </c>
      <c r="H611" t="n">
        <v>0</v>
      </c>
      <c r="I611" t="n">
        <v>0</v>
      </c>
      <c r="J611" t="n">
        <v>0</v>
      </c>
      <c r="K611" t="n">
        <v>0</v>
      </c>
      <c r="L611" t="n">
        <v>0</v>
      </c>
      <c r="M611" t="n">
        <v>0</v>
      </c>
      <c r="N611" t="n">
        <v>0</v>
      </c>
      <c r="O611" t="n">
        <v>0</v>
      </c>
      <c r="P611" t="n">
        <v>0</v>
      </c>
      <c r="Q611" t="n">
        <v>0</v>
      </c>
      <c r="R611" s="2" t="inlineStr"/>
    </row>
    <row r="612" ht="15" customHeight="1">
      <c r="A612" t="inlineStr">
        <is>
          <t>A 64353-2020</t>
        </is>
      </c>
      <c r="B612" s="1" t="n">
        <v>44168.55746527778</v>
      </c>
      <c r="C612" s="1" t="n">
        <v>45916</v>
      </c>
      <c r="D612" t="inlineStr">
        <is>
          <t>UPPSALA LÄN</t>
        </is>
      </c>
      <c r="E612" t="inlineStr">
        <is>
          <t>UPPSALA</t>
        </is>
      </c>
      <c r="G612" t="n">
        <v>0.5</v>
      </c>
      <c r="H612" t="n">
        <v>0</v>
      </c>
      <c r="I612" t="n">
        <v>0</v>
      </c>
      <c r="J612" t="n">
        <v>0</v>
      </c>
      <c r="K612" t="n">
        <v>0</v>
      </c>
      <c r="L612" t="n">
        <v>0</v>
      </c>
      <c r="M612" t="n">
        <v>0</v>
      </c>
      <c r="N612" t="n">
        <v>0</v>
      </c>
      <c r="O612" t="n">
        <v>0</v>
      </c>
      <c r="P612" t="n">
        <v>0</v>
      </c>
      <c r="Q612" t="n">
        <v>0</v>
      </c>
      <c r="R612" s="2" t="inlineStr"/>
    </row>
    <row r="613" ht="15" customHeight="1">
      <c r="A613" t="inlineStr">
        <is>
          <t>A 40610-2025</t>
        </is>
      </c>
      <c r="B613" s="1" t="n">
        <v>45896.57368055556</v>
      </c>
      <c r="C613" s="1" t="n">
        <v>45916</v>
      </c>
      <c r="D613" t="inlineStr">
        <is>
          <t>UPPSALA LÄN</t>
        </is>
      </c>
      <c r="E613" t="inlineStr">
        <is>
          <t>UPPSALA</t>
        </is>
      </c>
      <c r="G613" t="n">
        <v>2.3</v>
      </c>
      <c r="H613" t="n">
        <v>0</v>
      </c>
      <c r="I613" t="n">
        <v>0</v>
      </c>
      <c r="J613" t="n">
        <v>0</v>
      </c>
      <c r="K613" t="n">
        <v>0</v>
      </c>
      <c r="L613" t="n">
        <v>0</v>
      </c>
      <c r="M613" t="n">
        <v>0</v>
      </c>
      <c r="N613" t="n">
        <v>0</v>
      </c>
      <c r="O613" t="n">
        <v>0</v>
      </c>
      <c r="P613" t="n">
        <v>0</v>
      </c>
      <c r="Q613" t="n">
        <v>0</v>
      </c>
      <c r="R613" s="2" t="inlineStr"/>
    </row>
    <row r="614" ht="15" customHeight="1">
      <c r="A614" t="inlineStr">
        <is>
          <t>A 60984-2022</t>
        </is>
      </c>
      <c r="B614" s="1" t="n">
        <v>44914.67600694444</v>
      </c>
      <c r="C614" s="1" t="n">
        <v>45916</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59489-2023</t>
        </is>
      </c>
      <c r="B615" s="1" t="n">
        <v>45254</v>
      </c>
      <c r="C615" s="1" t="n">
        <v>45916</v>
      </c>
      <c r="D615" t="inlineStr">
        <is>
          <t>UPPSALA LÄN</t>
        </is>
      </c>
      <c r="E615" t="inlineStr">
        <is>
          <t>UPPSALA</t>
        </is>
      </c>
      <c r="G615" t="n">
        <v>6.5</v>
      </c>
      <c r="H615" t="n">
        <v>0</v>
      </c>
      <c r="I615" t="n">
        <v>0</v>
      </c>
      <c r="J615" t="n">
        <v>0</v>
      </c>
      <c r="K615" t="n">
        <v>0</v>
      </c>
      <c r="L615" t="n">
        <v>0</v>
      </c>
      <c r="M615" t="n">
        <v>0</v>
      </c>
      <c r="N615" t="n">
        <v>0</v>
      </c>
      <c r="O615" t="n">
        <v>0</v>
      </c>
      <c r="P615" t="n">
        <v>0</v>
      </c>
      <c r="Q615" t="n">
        <v>0</v>
      </c>
      <c r="R615" s="2" t="inlineStr"/>
    </row>
    <row r="616" ht="15" customHeight="1">
      <c r="A616" t="inlineStr">
        <is>
          <t>A 40855-2025</t>
        </is>
      </c>
      <c r="B616" s="1" t="n">
        <v>45897</v>
      </c>
      <c r="C616" s="1" t="n">
        <v>45916</v>
      </c>
      <c r="D616" t="inlineStr">
        <is>
          <t>UPPSALA LÄN</t>
        </is>
      </c>
      <c r="E616" t="inlineStr">
        <is>
          <t>UPPSALA</t>
        </is>
      </c>
      <c r="G616" t="n">
        <v>2.9</v>
      </c>
      <c r="H616" t="n">
        <v>0</v>
      </c>
      <c r="I616" t="n">
        <v>0</v>
      </c>
      <c r="J616" t="n">
        <v>0</v>
      </c>
      <c r="K616" t="n">
        <v>0</v>
      </c>
      <c r="L616" t="n">
        <v>0</v>
      </c>
      <c r="M616" t="n">
        <v>0</v>
      </c>
      <c r="N616" t="n">
        <v>0</v>
      </c>
      <c r="O616" t="n">
        <v>0</v>
      </c>
      <c r="P616" t="n">
        <v>0</v>
      </c>
      <c r="Q616" t="n">
        <v>0</v>
      </c>
      <c r="R616" s="2" t="inlineStr"/>
    </row>
    <row r="617" ht="15" customHeight="1">
      <c r="A617" t="inlineStr">
        <is>
          <t>A 35305-2025</t>
        </is>
      </c>
      <c r="B617" s="1" t="n">
        <v>45854.44017361111</v>
      </c>
      <c r="C617" s="1" t="n">
        <v>45916</v>
      </c>
      <c r="D617" t="inlineStr">
        <is>
          <t>UPPSALA LÄN</t>
        </is>
      </c>
      <c r="E617" t="inlineStr">
        <is>
          <t>UPPSALA</t>
        </is>
      </c>
      <c r="F617" t="inlineStr">
        <is>
          <t>Holmen skog AB</t>
        </is>
      </c>
      <c r="G617" t="n">
        <v>3.3</v>
      </c>
      <c r="H617" t="n">
        <v>0</v>
      </c>
      <c r="I617" t="n">
        <v>0</v>
      </c>
      <c r="J617" t="n">
        <v>0</v>
      </c>
      <c r="K617" t="n">
        <v>0</v>
      </c>
      <c r="L617" t="n">
        <v>0</v>
      </c>
      <c r="M617" t="n">
        <v>0</v>
      </c>
      <c r="N617" t="n">
        <v>0</v>
      </c>
      <c r="O617" t="n">
        <v>0</v>
      </c>
      <c r="P617" t="n">
        <v>0</v>
      </c>
      <c r="Q617" t="n">
        <v>0</v>
      </c>
      <c r="R617" s="2" t="inlineStr"/>
    </row>
    <row r="618" ht="15" customHeight="1">
      <c r="A618" t="inlineStr">
        <is>
          <t>A 40606-2025</t>
        </is>
      </c>
      <c r="B618" s="1" t="n">
        <v>45896.57171296296</v>
      </c>
      <c r="C618" s="1" t="n">
        <v>45916</v>
      </c>
      <c r="D618" t="inlineStr">
        <is>
          <t>UPPSALA LÄN</t>
        </is>
      </c>
      <c r="E618" t="inlineStr">
        <is>
          <t>UPPSALA</t>
        </is>
      </c>
      <c r="G618" t="n">
        <v>3.2</v>
      </c>
      <c r="H618" t="n">
        <v>0</v>
      </c>
      <c r="I618" t="n">
        <v>0</v>
      </c>
      <c r="J618" t="n">
        <v>0</v>
      </c>
      <c r="K618" t="n">
        <v>0</v>
      </c>
      <c r="L618" t="n">
        <v>0</v>
      </c>
      <c r="M618" t="n">
        <v>0</v>
      </c>
      <c r="N618" t="n">
        <v>0</v>
      </c>
      <c r="O618" t="n">
        <v>0</v>
      </c>
      <c r="P618" t="n">
        <v>0</v>
      </c>
      <c r="Q618" t="n">
        <v>0</v>
      </c>
      <c r="R618" s="2" t="inlineStr"/>
    </row>
    <row r="619" ht="15" customHeight="1">
      <c r="A619" t="inlineStr">
        <is>
          <t>A 9820-2023</t>
        </is>
      </c>
      <c r="B619" s="1" t="n">
        <v>44984.69216435185</v>
      </c>
      <c r="C619" s="1" t="n">
        <v>45916</v>
      </c>
      <c r="D619" t="inlineStr">
        <is>
          <t>UPPSALA LÄN</t>
        </is>
      </c>
      <c r="E619" t="inlineStr">
        <is>
          <t>UPPSALA</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18805-2025</t>
        </is>
      </c>
      <c r="B620" s="1" t="n">
        <v>45763</v>
      </c>
      <c r="C620" s="1" t="n">
        <v>45916</v>
      </c>
      <c r="D620" t="inlineStr">
        <is>
          <t>UPPSALA LÄN</t>
        </is>
      </c>
      <c r="E620" t="inlineStr">
        <is>
          <t>UPPSALA</t>
        </is>
      </c>
      <c r="G620" t="n">
        <v>0.8</v>
      </c>
      <c r="H620" t="n">
        <v>0</v>
      </c>
      <c r="I620" t="n">
        <v>0</v>
      </c>
      <c r="J620" t="n">
        <v>0</v>
      </c>
      <c r="K620" t="n">
        <v>0</v>
      </c>
      <c r="L620" t="n">
        <v>0</v>
      </c>
      <c r="M620" t="n">
        <v>0</v>
      </c>
      <c r="N620" t="n">
        <v>0</v>
      </c>
      <c r="O620" t="n">
        <v>0</v>
      </c>
      <c r="P620" t="n">
        <v>0</v>
      </c>
      <c r="Q620" t="n">
        <v>0</v>
      </c>
      <c r="R620" s="2" t="inlineStr"/>
    </row>
    <row r="621" ht="15" customHeight="1">
      <c r="A621" t="inlineStr">
        <is>
          <t>A 34265-2021</t>
        </is>
      </c>
      <c r="B621" s="1" t="n">
        <v>44379.5745949074</v>
      </c>
      <c r="C621" s="1" t="n">
        <v>45916</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35504-2025</t>
        </is>
      </c>
      <c r="B622" s="1" t="n">
        <v>45856.34034722222</v>
      </c>
      <c r="C622" s="1" t="n">
        <v>45916</v>
      </c>
      <c r="D622" t="inlineStr">
        <is>
          <t>UPPSALA LÄN</t>
        </is>
      </c>
      <c r="E622" t="inlineStr">
        <is>
          <t>UPPSALA</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35505-2025</t>
        </is>
      </c>
      <c r="B623" s="1" t="n">
        <v>45856.34231481481</v>
      </c>
      <c r="C623" s="1" t="n">
        <v>45916</v>
      </c>
      <c r="D623" t="inlineStr">
        <is>
          <t>UPPSALA LÄN</t>
        </is>
      </c>
      <c r="E623" t="inlineStr">
        <is>
          <t>UPPSALA</t>
        </is>
      </c>
      <c r="F623" t="inlineStr">
        <is>
          <t>Bergvik skog öst AB</t>
        </is>
      </c>
      <c r="G623" t="n">
        <v>7.9</v>
      </c>
      <c r="H623" t="n">
        <v>0</v>
      </c>
      <c r="I623" t="n">
        <v>0</v>
      </c>
      <c r="J623" t="n">
        <v>0</v>
      </c>
      <c r="K623" t="n">
        <v>0</v>
      </c>
      <c r="L623" t="n">
        <v>0</v>
      </c>
      <c r="M623" t="n">
        <v>0</v>
      </c>
      <c r="N623" t="n">
        <v>0</v>
      </c>
      <c r="O623" t="n">
        <v>0</v>
      </c>
      <c r="P623" t="n">
        <v>0</v>
      </c>
      <c r="Q623" t="n">
        <v>0</v>
      </c>
      <c r="R623" s="2" t="inlineStr"/>
    </row>
    <row r="624" ht="15" customHeight="1">
      <c r="A624" t="inlineStr">
        <is>
          <t>A 41445-2025</t>
        </is>
      </c>
      <c r="B624" s="1" t="n">
        <v>45901.41853009259</v>
      </c>
      <c r="C624" s="1" t="n">
        <v>45916</v>
      </c>
      <c r="D624" t="inlineStr">
        <is>
          <t>UPPSALA LÄN</t>
        </is>
      </c>
      <c r="E624" t="inlineStr">
        <is>
          <t>UPPSALA</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1020-2021</t>
        </is>
      </c>
      <c r="B625" s="1" t="n">
        <v>44207</v>
      </c>
      <c r="C625" s="1" t="n">
        <v>45916</v>
      </c>
      <c r="D625" t="inlineStr">
        <is>
          <t>UPPSALA LÄN</t>
        </is>
      </c>
      <c r="E625" t="inlineStr">
        <is>
          <t>UPPSALA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1032-2023</t>
        </is>
      </c>
      <c r="B626" s="1" t="n">
        <v>44935</v>
      </c>
      <c r="C626" s="1" t="n">
        <v>45916</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34147-2024</t>
        </is>
      </c>
      <c r="B627" s="1" t="n">
        <v>45524</v>
      </c>
      <c r="C627" s="1" t="n">
        <v>45916</v>
      </c>
      <c r="D627" t="inlineStr">
        <is>
          <t>UPPSALA LÄN</t>
        </is>
      </c>
      <c r="E627" t="inlineStr">
        <is>
          <t>UPPSALA</t>
        </is>
      </c>
      <c r="F627" t="inlineStr">
        <is>
          <t>Allmännings- och besparingsskogar</t>
        </is>
      </c>
      <c r="G627" t="n">
        <v>0.2</v>
      </c>
      <c r="H627" t="n">
        <v>0</v>
      </c>
      <c r="I627" t="n">
        <v>0</v>
      </c>
      <c r="J627" t="n">
        <v>0</v>
      </c>
      <c r="K627" t="n">
        <v>0</v>
      </c>
      <c r="L627" t="n">
        <v>0</v>
      </c>
      <c r="M627" t="n">
        <v>0</v>
      </c>
      <c r="N627" t="n">
        <v>0</v>
      </c>
      <c r="O627" t="n">
        <v>0</v>
      </c>
      <c r="P627" t="n">
        <v>0</v>
      </c>
      <c r="Q627" t="n">
        <v>0</v>
      </c>
      <c r="R627" s="2" t="inlineStr"/>
    </row>
    <row r="628" ht="15" customHeight="1">
      <c r="A628" t="inlineStr">
        <is>
          <t>A 51576-2023</t>
        </is>
      </c>
      <c r="B628" s="1" t="n">
        <v>45222</v>
      </c>
      <c r="C628" s="1" t="n">
        <v>45916</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41611-2025</t>
        </is>
      </c>
      <c r="B629" s="1" t="n">
        <v>45901.67194444445</v>
      </c>
      <c r="C629" s="1" t="n">
        <v>45916</v>
      </c>
      <c r="D629" t="inlineStr">
        <is>
          <t>UPPSALA LÄN</t>
        </is>
      </c>
      <c r="E629" t="inlineStr">
        <is>
          <t>UPPSALA</t>
        </is>
      </c>
      <c r="G629" t="n">
        <v>16.2</v>
      </c>
      <c r="H629" t="n">
        <v>0</v>
      </c>
      <c r="I629" t="n">
        <v>0</v>
      </c>
      <c r="J629" t="n">
        <v>0</v>
      </c>
      <c r="K629" t="n">
        <v>0</v>
      </c>
      <c r="L629" t="n">
        <v>0</v>
      </c>
      <c r="M629" t="n">
        <v>0</v>
      </c>
      <c r="N629" t="n">
        <v>0</v>
      </c>
      <c r="O629" t="n">
        <v>0</v>
      </c>
      <c r="P629" t="n">
        <v>0</v>
      </c>
      <c r="Q629" t="n">
        <v>0</v>
      </c>
      <c r="R629" s="2" t="inlineStr"/>
    </row>
    <row r="630" ht="15" customHeight="1">
      <c r="A630" t="inlineStr">
        <is>
          <t>A 41112-2025</t>
        </is>
      </c>
      <c r="B630" s="1" t="n">
        <v>45898.46040509259</v>
      </c>
      <c r="C630" s="1" t="n">
        <v>45916</v>
      </c>
      <c r="D630" t="inlineStr">
        <is>
          <t>UPPSALA LÄN</t>
        </is>
      </c>
      <c r="E630" t="inlineStr">
        <is>
          <t>UPPSALA</t>
        </is>
      </c>
      <c r="G630" t="n">
        <v>3.1</v>
      </c>
      <c r="H630" t="n">
        <v>0</v>
      </c>
      <c r="I630" t="n">
        <v>0</v>
      </c>
      <c r="J630" t="n">
        <v>0</v>
      </c>
      <c r="K630" t="n">
        <v>0</v>
      </c>
      <c r="L630" t="n">
        <v>0</v>
      </c>
      <c r="M630" t="n">
        <v>0</v>
      </c>
      <c r="N630" t="n">
        <v>0</v>
      </c>
      <c r="O630" t="n">
        <v>0</v>
      </c>
      <c r="P630" t="n">
        <v>0</v>
      </c>
      <c r="Q630" t="n">
        <v>0</v>
      </c>
      <c r="R630" s="2" t="inlineStr"/>
    </row>
    <row r="631" ht="15" customHeight="1">
      <c r="A631" t="inlineStr">
        <is>
          <t>A 41444-2025</t>
        </is>
      </c>
      <c r="B631" s="1" t="n">
        <v>45901.41756944444</v>
      </c>
      <c r="C631" s="1" t="n">
        <v>45916</v>
      </c>
      <c r="D631" t="inlineStr">
        <is>
          <t>UPPSALA LÄN</t>
        </is>
      </c>
      <c r="E631" t="inlineStr">
        <is>
          <t>UPPSALA</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35509-2025</t>
        </is>
      </c>
      <c r="B632" s="1" t="n">
        <v>45856.34959490741</v>
      </c>
      <c r="C632" s="1" t="n">
        <v>45916</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35510-2025</t>
        </is>
      </c>
      <c r="B633" s="1" t="n">
        <v>45856</v>
      </c>
      <c r="C633" s="1" t="n">
        <v>45916</v>
      </c>
      <c r="D633" t="inlineStr">
        <is>
          <t>UPPSALA LÄN</t>
        </is>
      </c>
      <c r="E633" t="inlineStr">
        <is>
          <t>UPPSALA</t>
        </is>
      </c>
      <c r="F633" t="inlineStr">
        <is>
          <t>Bergvik skog öst AB</t>
        </is>
      </c>
      <c r="G633" t="n">
        <v>0.3</v>
      </c>
      <c r="H633" t="n">
        <v>0</v>
      </c>
      <c r="I633" t="n">
        <v>0</v>
      </c>
      <c r="J633" t="n">
        <v>0</v>
      </c>
      <c r="K633" t="n">
        <v>0</v>
      </c>
      <c r="L633" t="n">
        <v>0</v>
      </c>
      <c r="M633" t="n">
        <v>0</v>
      </c>
      <c r="N633" t="n">
        <v>0</v>
      </c>
      <c r="O633" t="n">
        <v>0</v>
      </c>
      <c r="P633" t="n">
        <v>0</v>
      </c>
      <c r="Q633" t="n">
        <v>0</v>
      </c>
      <c r="R633" s="2" t="inlineStr"/>
    </row>
    <row r="634" ht="15" customHeight="1">
      <c r="A634" t="inlineStr">
        <is>
          <t>A 50267-2023</t>
        </is>
      </c>
      <c r="B634" s="1" t="n">
        <v>45216.39040509259</v>
      </c>
      <c r="C634" s="1" t="n">
        <v>45916</v>
      </c>
      <c r="D634" t="inlineStr">
        <is>
          <t>UPPSALA LÄN</t>
        </is>
      </c>
      <c r="E634" t="inlineStr">
        <is>
          <t>UPPSALA</t>
        </is>
      </c>
      <c r="G634" t="n">
        <v>1</v>
      </c>
      <c r="H634" t="n">
        <v>0</v>
      </c>
      <c r="I634" t="n">
        <v>0</v>
      </c>
      <c r="J634" t="n">
        <v>0</v>
      </c>
      <c r="K634" t="n">
        <v>0</v>
      </c>
      <c r="L634" t="n">
        <v>0</v>
      </c>
      <c r="M634" t="n">
        <v>0</v>
      </c>
      <c r="N634" t="n">
        <v>0</v>
      </c>
      <c r="O634" t="n">
        <v>0</v>
      </c>
      <c r="P634" t="n">
        <v>0</v>
      </c>
      <c r="Q634" t="n">
        <v>0</v>
      </c>
      <c r="R634" s="2" t="inlineStr"/>
    </row>
    <row r="635" ht="15" customHeight="1">
      <c r="A635" t="inlineStr">
        <is>
          <t>A 42085-2025</t>
        </is>
      </c>
      <c r="B635" s="1" t="n">
        <v>45903.69358796296</v>
      </c>
      <c r="C635" s="1" t="n">
        <v>45916</v>
      </c>
      <c r="D635" t="inlineStr">
        <is>
          <t>UPPSALA LÄN</t>
        </is>
      </c>
      <c r="E635" t="inlineStr">
        <is>
          <t>UPPSALA</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32484-2025</t>
        </is>
      </c>
      <c r="B636" s="1" t="n">
        <v>45838</v>
      </c>
      <c r="C636" s="1" t="n">
        <v>45916</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6058-2025</t>
        </is>
      </c>
      <c r="B637" s="1" t="n">
        <v>45695.83655092592</v>
      </c>
      <c r="C637" s="1" t="n">
        <v>45916</v>
      </c>
      <c r="D637" t="inlineStr">
        <is>
          <t>UPPSALA LÄN</t>
        </is>
      </c>
      <c r="E637" t="inlineStr">
        <is>
          <t>UPPSALA</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41707-2025</t>
        </is>
      </c>
      <c r="B638" s="1" t="n">
        <v>45902.42243055555</v>
      </c>
      <c r="C638" s="1" t="n">
        <v>45916</v>
      </c>
      <c r="D638" t="inlineStr">
        <is>
          <t>UPPSALA LÄN</t>
        </is>
      </c>
      <c r="E638" t="inlineStr">
        <is>
          <t>UPPSALA</t>
        </is>
      </c>
      <c r="F638" t="inlineStr">
        <is>
          <t>Allmännings- och besparingsskogar</t>
        </is>
      </c>
      <c r="G638" t="n">
        <v>3.3</v>
      </c>
      <c r="H638" t="n">
        <v>0</v>
      </c>
      <c r="I638" t="n">
        <v>0</v>
      </c>
      <c r="J638" t="n">
        <v>0</v>
      </c>
      <c r="K638" t="n">
        <v>0</v>
      </c>
      <c r="L638" t="n">
        <v>0</v>
      </c>
      <c r="M638" t="n">
        <v>0</v>
      </c>
      <c r="N638" t="n">
        <v>0</v>
      </c>
      <c r="O638" t="n">
        <v>0</v>
      </c>
      <c r="P638" t="n">
        <v>0</v>
      </c>
      <c r="Q638" t="n">
        <v>0</v>
      </c>
      <c r="R638" s="2" t="inlineStr"/>
    </row>
    <row r="639" ht="15" customHeight="1">
      <c r="A639" t="inlineStr">
        <is>
          <t>A 37611-2025</t>
        </is>
      </c>
      <c r="B639" s="1" t="n">
        <v>45880</v>
      </c>
      <c r="C639" s="1" t="n">
        <v>45916</v>
      </c>
      <c r="D639" t="inlineStr">
        <is>
          <t>UPPSALA LÄN</t>
        </is>
      </c>
      <c r="E639" t="inlineStr">
        <is>
          <t>UPPSALA</t>
        </is>
      </c>
      <c r="G639" t="n">
        <v>2.9</v>
      </c>
      <c r="H639" t="n">
        <v>0</v>
      </c>
      <c r="I639" t="n">
        <v>0</v>
      </c>
      <c r="J639" t="n">
        <v>0</v>
      </c>
      <c r="K639" t="n">
        <v>0</v>
      </c>
      <c r="L639" t="n">
        <v>0</v>
      </c>
      <c r="M639" t="n">
        <v>0</v>
      </c>
      <c r="N639" t="n">
        <v>0</v>
      </c>
      <c r="O639" t="n">
        <v>0</v>
      </c>
      <c r="P639" t="n">
        <v>0</v>
      </c>
      <c r="Q639" t="n">
        <v>0</v>
      </c>
      <c r="R639" s="2" t="inlineStr"/>
    </row>
    <row r="640" ht="15" customHeight="1">
      <c r="A640" t="inlineStr">
        <is>
          <t>A 42084-2025</t>
        </is>
      </c>
      <c r="B640" s="1" t="n">
        <v>45903.69096064815</v>
      </c>
      <c r="C640" s="1" t="n">
        <v>45916</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59358-2024</t>
        </is>
      </c>
      <c r="B641" s="1" t="n">
        <v>45638</v>
      </c>
      <c r="C641" s="1" t="n">
        <v>45916</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32475-2025</t>
        </is>
      </c>
      <c r="B642" s="1" t="n">
        <v>45838</v>
      </c>
      <c r="C642" s="1" t="n">
        <v>45916</v>
      </c>
      <c r="D642" t="inlineStr">
        <is>
          <t>UPPSALA LÄN</t>
        </is>
      </c>
      <c r="E642" t="inlineStr">
        <is>
          <t>UPPSALA</t>
        </is>
      </c>
      <c r="G642" t="n">
        <v>3</v>
      </c>
      <c r="H642" t="n">
        <v>0</v>
      </c>
      <c r="I642" t="n">
        <v>0</v>
      </c>
      <c r="J642" t="n">
        <v>0</v>
      </c>
      <c r="K642" t="n">
        <v>0</v>
      </c>
      <c r="L642" t="n">
        <v>0</v>
      </c>
      <c r="M642" t="n">
        <v>0</v>
      </c>
      <c r="N642" t="n">
        <v>0</v>
      </c>
      <c r="O642" t="n">
        <v>0</v>
      </c>
      <c r="P642" t="n">
        <v>0</v>
      </c>
      <c r="Q642" t="n">
        <v>0</v>
      </c>
      <c r="R642" s="2" t="inlineStr"/>
    </row>
    <row r="643" ht="15" customHeight="1">
      <c r="A643" t="inlineStr">
        <is>
          <t>A 10456-2022</t>
        </is>
      </c>
      <c r="B643" s="1" t="n">
        <v>44623.5571875</v>
      </c>
      <c r="C643" s="1" t="n">
        <v>45916</v>
      </c>
      <c r="D643" t="inlineStr">
        <is>
          <t>UPPSALA LÄN</t>
        </is>
      </c>
      <c r="E643" t="inlineStr">
        <is>
          <t>UPPSALA</t>
        </is>
      </c>
      <c r="F643" t="inlineStr">
        <is>
          <t>Övriga Aktiebolag</t>
        </is>
      </c>
      <c r="G643" t="n">
        <v>12.6</v>
      </c>
      <c r="H643" t="n">
        <v>0</v>
      </c>
      <c r="I643" t="n">
        <v>0</v>
      </c>
      <c r="J643" t="n">
        <v>0</v>
      </c>
      <c r="K643" t="n">
        <v>0</v>
      </c>
      <c r="L643" t="n">
        <v>0</v>
      </c>
      <c r="M643" t="n">
        <v>0</v>
      </c>
      <c r="N643" t="n">
        <v>0</v>
      </c>
      <c r="O643" t="n">
        <v>0</v>
      </c>
      <c r="P643" t="n">
        <v>0</v>
      </c>
      <c r="Q643" t="n">
        <v>0</v>
      </c>
      <c r="R643" s="2" t="inlineStr"/>
    </row>
    <row r="644" ht="15" customHeight="1">
      <c r="A644" t="inlineStr">
        <is>
          <t>A 5663-2023</t>
        </is>
      </c>
      <c r="B644" s="1" t="n">
        <v>44960</v>
      </c>
      <c r="C644" s="1" t="n">
        <v>45916</v>
      </c>
      <c r="D644" t="inlineStr">
        <is>
          <t>UPPSALA LÄN</t>
        </is>
      </c>
      <c r="E644" t="inlineStr">
        <is>
          <t>UPPSALA</t>
        </is>
      </c>
      <c r="G644" t="n">
        <v>0.5</v>
      </c>
      <c r="H644" t="n">
        <v>0</v>
      </c>
      <c r="I644" t="n">
        <v>0</v>
      </c>
      <c r="J644" t="n">
        <v>0</v>
      </c>
      <c r="K644" t="n">
        <v>0</v>
      </c>
      <c r="L644" t="n">
        <v>0</v>
      </c>
      <c r="M644" t="n">
        <v>0</v>
      </c>
      <c r="N644" t="n">
        <v>0</v>
      </c>
      <c r="O644" t="n">
        <v>0</v>
      </c>
      <c r="P644" t="n">
        <v>0</v>
      </c>
      <c r="Q644" t="n">
        <v>0</v>
      </c>
      <c r="R644" s="2" t="inlineStr"/>
    </row>
    <row r="645" ht="15" customHeight="1">
      <c r="A645" t="inlineStr">
        <is>
          <t>A 5675-2023</t>
        </is>
      </c>
      <c r="B645" s="1" t="n">
        <v>44960.66233796296</v>
      </c>
      <c r="C645" s="1" t="n">
        <v>45916</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32479-2025</t>
        </is>
      </c>
      <c r="B646" s="1" t="n">
        <v>45838</v>
      </c>
      <c r="C646" s="1" t="n">
        <v>45916</v>
      </c>
      <c r="D646" t="inlineStr">
        <is>
          <t>UPPSALA LÄN</t>
        </is>
      </c>
      <c r="E646" t="inlineStr">
        <is>
          <t>UPPSALA</t>
        </is>
      </c>
      <c r="G646" t="n">
        <v>0.9</v>
      </c>
      <c r="H646" t="n">
        <v>0</v>
      </c>
      <c r="I646" t="n">
        <v>0</v>
      </c>
      <c r="J646" t="n">
        <v>0</v>
      </c>
      <c r="K646" t="n">
        <v>0</v>
      </c>
      <c r="L646" t="n">
        <v>0</v>
      </c>
      <c r="M646" t="n">
        <v>0</v>
      </c>
      <c r="N646" t="n">
        <v>0</v>
      </c>
      <c r="O646" t="n">
        <v>0</v>
      </c>
      <c r="P646" t="n">
        <v>0</v>
      </c>
      <c r="Q646" t="n">
        <v>0</v>
      </c>
      <c r="R646" s="2" t="inlineStr"/>
    </row>
    <row r="647" ht="15" customHeight="1">
      <c r="A647" t="inlineStr">
        <is>
          <t>A 35978-2025</t>
        </is>
      </c>
      <c r="B647" s="1" t="n">
        <v>45863.44648148148</v>
      </c>
      <c r="C647" s="1" t="n">
        <v>45916</v>
      </c>
      <c r="D647" t="inlineStr">
        <is>
          <t>UPPSALA LÄN</t>
        </is>
      </c>
      <c r="E647" t="inlineStr">
        <is>
          <t>UPPSALA</t>
        </is>
      </c>
      <c r="G647" t="n">
        <v>1.6</v>
      </c>
      <c r="H647" t="n">
        <v>0</v>
      </c>
      <c r="I647" t="n">
        <v>0</v>
      </c>
      <c r="J647" t="n">
        <v>0</v>
      </c>
      <c r="K647" t="n">
        <v>0</v>
      </c>
      <c r="L647" t="n">
        <v>0</v>
      </c>
      <c r="M647" t="n">
        <v>0</v>
      </c>
      <c r="N647" t="n">
        <v>0</v>
      </c>
      <c r="O647" t="n">
        <v>0</v>
      </c>
      <c r="P647" t="n">
        <v>0</v>
      </c>
      <c r="Q647" t="n">
        <v>0</v>
      </c>
      <c r="R647" s="2" t="inlineStr"/>
    </row>
    <row r="648" ht="15" customHeight="1">
      <c r="A648" t="inlineStr">
        <is>
          <t>A 17232-2022</t>
        </is>
      </c>
      <c r="B648" s="1" t="n">
        <v>44678.3315625</v>
      </c>
      <c r="C648" s="1" t="n">
        <v>45916</v>
      </c>
      <c r="D648" t="inlineStr">
        <is>
          <t>UPPSALA LÄN</t>
        </is>
      </c>
      <c r="E648" t="inlineStr">
        <is>
          <t>UPPSALA</t>
        </is>
      </c>
      <c r="F648" t="inlineStr">
        <is>
          <t>Övriga Aktiebolag</t>
        </is>
      </c>
      <c r="G648" t="n">
        <v>7.4</v>
      </c>
      <c r="H648" t="n">
        <v>0</v>
      </c>
      <c r="I648" t="n">
        <v>0</v>
      </c>
      <c r="J648" t="n">
        <v>0</v>
      </c>
      <c r="K648" t="n">
        <v>0</v>
      </c>
      <c r="L648" t="n">
        <v>0</v>
      </c>
      <c r="M648" t="n">
        <v>0</v>
      </c>
      <c r="N648" t="n">
        <v>0</v>
      </c>
      <c r="O648" t="n">
        <v>0</v>
      </c>
      <c r="P648" t="n">
        <v>0</v>
      </c>
      <c r="Q648" t="n">
        <v>0</v>
      </c>
      <c r="R648" s="2" t="inlineStr"/>
    </row>
    <row r="649" ht="15" customHeight="1">
      <c r="A649" t="inlineStr">
        <is>
          <t>A 42347-2025</t>
        </is>
      </c>
      <c r="B649" s="1" t="n">
        <v>45904.77746527778</v>
      </c>
      <c r="C649" s="1" t="n">
        <v>45916</v>
      </c>
      <c r="D649" t="inlineStr">
        <is>
          <t>UPPSALA LÄN</t>
        </is>
      </c>
      <c r="E649" t="inlineStr">
        <is>
          <t>UPPSALA</t>
        </is>
      </c>
      <c r="G649" t="n">
        <v>2.7</v>
      </c>
      <c r="H649" t="n">
        <v>0</v>
      </c>
      <c r="I649" t="n">
        <v>0</v>
      </c>
      <c r="J649" t="n">
        <v>0</v>
      </c>
      <c r="K649" t="n">
        <v>0</v>
      </c>
      <c r="L649" t="n">
        <v>0</v>
      </c>
      <c r="M649" t="n">
        <v>0</v>
      </c>
      <c r="N649" t="n">
        <v>0</v>
      </c>
      <c r="O649" t="n">
        <v>0</v>
      </c>
      <c r="P649" t="n">
        <v>0</v>
      </c>
      <c r="Q649" t="n">
        <v>0</v>
      </c>
      <c r="R649" s="2" t="inlineStr"/>
    </row>
    <row r="650" ht="15" customHeight="1">
      <c r="A650" t="inlineStr">
        <is>
          <t>A 61805-2021</t>
        </is>
      </c>
      <c r="B650" s="1" t="n">
        <v>44501.71344907407</v>
      </c>
      <c r="C650" s="1" t="n">
        <v>45916</v>
      </c>
      <c r="D650" t="inlineStr">
        <is>
          <t>UPPSALA LÄN</t>
        </is>
      </c>
      <c r="E650" t="inlineStr">
        <is>
          <t>UPPSALA</t>
        </is>
      </c>
      <c r="F650" t="inlineStr">
        <is>
          <t>Bergvik skog öst AB</t>
        </is>
      </c>
      <c r="G650" t="n">
        <v>3.8</v>
      </c>
      <c r="H650" t="n">
        <v>0</v>
      </c>
      <c r="I650" t="n">
        <v>0</v>
      </c>
      <c r="J650" t="n">
        <v>0</v>
      </c>
      <c r="K650" t="n">
        <v>0</v>
      </c>
      <c r="L650" t="n">
        <v>0</v>
      </c>
      <c r="M650" t="n">
        <v>0</v>
      </c>
      <c r="N650" t="n">
        <v>0</v>
      </c>
      <c r="O650" t="n">
        <v>0</v>
      </c>
      <c r="P650" t="n">
        <v>0</v>
      </c>
      <c r="Q650" t="n">
        <v>0</v>
      </c>
      <c r="R650" s="2" t="inlineStr"/>
    </row>
    <row r="651" ht="15" customHeight="1">
      <c r="A651" t="inlineStr">
        <is>
          <t>A 39792-2025</t>
        </is>
      </c>
      <c r="B651" s="1" t="n">
        <v>45891.4865625</v>
      </c>
      <c r="C651" s="1" t="n">
        <v>45916</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4312-2022</t>
        </is>
      </c>
      <c r="B652" s="1" t="n">
        <v>44588</v>
      </c>
      <c r="C652" s="1" t="n">
        <v>45916</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60814-2023</t>
        </is>
      </c>
      <c r="B653" s="1" t="n">
        <v>45259</v>
      </c>
      <c r="C653" s="1" t="n">
        <v>45916</v>
      </c>
      <c r="D653" t="inlineStr">
        <is>
          <t>UPPSALA LÄN</t>
        </is>
      </c>
      <c r="E653" t="inlineStr">
        <is>
          <t>UPPSALA</t>
        </is>
      </c>
      <c r="G653" t="n">
        <v>5.9</v>
      </c>
      <c r="H653" t="n">
        <v>0</v>
      </c>
      <c r="I653" t="n">
        <v>0</v>
      </c>
      <c r="J653" t="n">
        <v>0</v>
      </c>
      <c r="K653" t="n">
        <v>0</v>
      </c>
      <c r="L653" t="n">
        <v>0</v>
      </c>
      <c r="M653" t="n">
        <v>0</v>
      </c>
      <c r="N653" t="n">
        <v>0</v>
      </c>
      <c r="O653" t="n">
        <v>0</v>
      </c>
      <c r="P653" t="n">
        <v>0</v>
      </c>
      <c r="Q653" t="n">
        <v>0</v>
      </c>
      <c r="R653" s="2" t="inlineStr"/>
    </row>
    <row r="654" ht="15" customHeight="1">
      <c r="A654" t="inlineStr">
        <is>
          <t>A 42593-2025</t>
        </is>
      </c>
      <c r="B654" s="1" t="n">
        <v>45905.64862268518</v>
      </c>
      <c r="C654" s="1" t="n">
        <v>45916</v>
      </c>
      <c r="D654" t="inlineStr">
        <is>
          <t>UPPSALA LÄN</t>
        </is>
      </c>
      <c r="E654" t="inlineStr">
        <is>
          <t>UPPSALA</t>
        </is>
      </c>
      <c r="G654" t="n">
        <v>2.1</v>
      </c>
      <c r="H654" t="n">
        <v>0</v>
      </c>
      <c r="I654" t="n">
        <v>0</v>
      </c>
      <c r="J654" t="n">
        <v>0</v>
      </c>
      <c r="K654" t="n">
        <v>0</v>
      </c>
      <c r="L654" t="n">
        <v>0</v>
      </c>
      <c r="M654" t="n">
        <v>0</v>
      </c>
      <c r="N654" t="n">
        <v>0</v>
      </c>
      <c r="O654" t="n">
        <v>0</v>
      </c>
      <c r="P654" t="n">
        <v>0</v>
      </c>
      <c r="Q654" t="n">
        <v>0</v>
      </c>
      <c r="R654" s="2" t="inlineStr"/>
    </row>
    <row r="655" ht="15" customHeight="1">
      <c r="A655" t="inlineStr">
        <is>
          <t>A 42541-2025</t>
        </is>
      </c>
      <c r="B655" s="1" t="n">
        <v>45905.5756712963</v>
      </c>
      <c r="C655" s="1" t="n">
        <v>45916</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53963-2023</t>
        </is>
      </c>
      <c r="B656" s="1" t="n">
        <v>45231.62840277778</v>
      </c>
      <c r="C656" s="1" t="n">
        <v>45916</v>
      </c>
      <c r="D656" t="inlineStr">
        <is>
          <t>UPPSALA LÄN</t>
        </is>
      </c>
      <c r="E656" t="inlineStr">
        <is>
          <t>UPPSALA</t>
        </is>
      </c>
      <c r="G656" t="n">
        <v>1.9</v>
      </c>
      <c r="H656" t="n">
        <v>0</v>
      </c>
      <c r="I656" t="n">
        <v>0</v>
      </c>
      <c r="J656" t="n">
        <v>0</v>
      </c>
      <c r="K656" t="n">
        <v>0</v>
      </c>
      <c r="L656" t="n">
        <v>0</v>
      </c>
      <c r="M656" t="n">
        <v>0</v>
      </c>
      <c r="N656" t="n">
        <v>0</v>
      </c>
      <c r="O656" t="n">
        <v>0</v>
      </c>
      <c r="P656" t="n">
        <v>0</v>
      </c>
      <c r="Q656" t="n">
        <v>0</v>
      </c>
      <c r="R656" s="2" t="inlineStr"/>
    </row>
    <row r="657" ht="15" customHeight="1">
      <c r="A657" t="inlineStr">
        <is>
          <t>A 13502-2025</t>
        </is>
      </c>
      <c r="B657" s="1" t="n">
        <v>45736.45847222222</v>
      </c>
      <c r="C657" s="1" t="n">
        <v>45916</v>
      </c>
      <c r="D657" t="inlineStr">
        <is>
          <t>UPPSALA LÄN</t>
        </is>
      </c>
      <c r="E657" t="inlineStr">
        <is>
          <t>UPPSALA</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35984-2025</t>
        </is>
      </c>
      <c r="B658" s="1" t="n">
        <v>45863.45355324074</v>
      </c>
      <c r="C658" s="1" t="n">
        <v>45916</v>
      </c>
      <c r="D658" t="inlineStr">
        <is>
          <t>UPPSALA LÄN</t>
        </is>
      </c>
      <c r="E658" t="inlineStr">
        <is>
          <t>UPPSALA</t>
        </is>
      </c>
      <c r="G658" t="n">
        <v>6.1</v>
      </c>
      <c r="H658" t="n">
        <v>0</v>
      </c>
      <c r="I658" t="n">
        <v>0</v>
      </c>
      <c r="J658" t="n">
        <v>0</v>
      </c>
      <c r="K658" t="n">
        <v>0</v>
      </c>
      <c r="L658" t="n">
        <v>0</v>
      </c>
      <c r="M658" t="n">
        <v>0</v>
      </c>
      <c r="N658" t="n">
        <v>0</v>
      </c>
      <c r="O658" t="n">
        <v>0</v>
      </c>
      <c r="P658" t="n">
        <v>0</v>
      </c>
      <c r="Q658" t="n">
        <v>0</v>
      </c>
      <c r="R658" s="2" t="inlineStr"/>
    </row>
    <row r="659" ht="15" customHeight="1">
      <c r="A659" t="inlineStr">
        <is>
          <t>A 69698-2021</t>
        </is>
      </c>
      <c r="B659" s="1" t="n">
        <v>44532</v>
      </c>
      <c r="C659" s="1" t="n">
        <v>45916</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7501-2025</t>
        </is>
      </c>
      <c r="B660" s="1" t="n">
        <v>45705</v>
      </c>
      <c r="C660" s="1" t="n">
        <v>45916</v>
      </c>
      <c r="D660" t="inlineStr">
        <is>
          <t>UPPSALA LÄN</t>
        </is>
      </c>
      <c r="E660" t="inlineStr">
        <is>
          <t>UPPSALA</t>
        </is>
      </c>
      <c r="G660" t="n">
        <v>4.2</v>
      </c>
      <c r="H660" t="n">
        <v>0</v>
      </c>
      <c r="I660" t="n">
        <v>0</v>
      </c>
      <c r="J660" t="n">
        <v>0</v>
      </c>
      <c r="K660" t="n">
        <v>0</v>
      </c>
      <c r="L660" t="n">
        <v>0</v>
      </c>
      <c r="M660" t="n">
        <v>0</v>
      </c>
      <c r="N660" t="n">
        <v>0</v>
      </c>
      <c r="O660" t="n">
        <v>0</v>
      </c>
      <c r="P660" t="n">
        <v>0</v>
      </c>
      <c r="Q660" t="n">
        <v>0</v>
      </c>
      <c r="R660" s="2" t="inlineStr"/>
    </row>
    <row r="661" ht="15" customHeight="1">
      <c r="A661" t="inlineStr">
        <is>
          <t>A 40100-2022</t>
        </is>
      </c>
      <c r="B661" s="1" t="n">
        <v>44820.47935185185</v>
      </c>
      <c r="C661" s="1" t="n">
        <v>45916</v>
      </c>
      <c r="D661" t="inlineStr">
        <is>
          <t>UPPSALA LÄN</t>
        </is>
      </c>
      <c r="E661" t="inlineStr">
        <is>
          <t>UPPSALA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60444-2023</t>
        </is>
      </c>
      <c r="B662" s="1" t="n">
        <v>45259.52809027778</v>
      </c>
      <c r="C662" s="1" t="n">
        <v>45916</v>
      </c>
      <c r="D662" t="inlineStr">
        <is>
          <t>UPPSALA LÄN</t>
        </is>
      </c>
      <c r="E662" t="inlineStr">
        <is>
          <t>UPPSALA</t>
        </is>
      </c>
      <c r="F662" t="inlineStr">
        <is>
          <t>Bergvik skog öst AB</t>
        </is>
      </c>
      <c r="G662" t="n">
        <v>0.4</v>
      </c>
      <c r="H662" t="n">
        <v>0</v>
      </c>
      <c r="I662" t="n">
        <v>0</v>
      </c>
      <c r="J662" t="n">
        <v>0</v>
      </c>
      <c r="K662" t="n">
        <v>0</v>
      </c>
      <c r="L662" t="n">
        <v>0</v>
      </c>
      <c r="M662" t="n">
        <v>0</v>
      </c>
      <c r="N662" t="n">
        <v>0</v>
      </c>
      <c r="O662" t="n">
        <v>0</v>
      </c>
      <c r="P662" t="n">
        <v>0</v>
      </c>
      <c r="Q662" t="n">
        <v>0</v>
      </c>
      <c r="R662" s="2" t="inlineStr"/>
    </row>
    <row r="663" ht="15" customHeight="1">
      <c r="A663" t="inlineStr">
        <is>
          <t>A 42581-2025</t>
        </is>
      </c>
      <c r="B663" s="1" t="n">
        <v>45905.62541666667</v>
      </c>
      <c r="C663" s="1" t="n">
        <v>45916</v>
      </c>
      <c r="D663" t="inlineStr">
        <is>
          <t>UPPSALA LÄN</t>
        </is>
      </c>
      <c r="E663" t="inlineStr">
        <is>
          <t>UPPSALA</t>
        </is>
      </c>
      <c r="F663" t="inlineStr">
        <is>
          <t>Kyrkan</t>
        </is>
      </c>
      <c r="G663" t="n">
        <v>2.3</v>
      </c>
      <c r="H663" t="n">
        <v>0</v>
      </c>
      <c r="I663" t="n">
        <v>0</v>
      </c>
      <c r="J663" t="n">
        <v>0</v>
      </c>
      <c r="K663" t="n">
        <v>0</v>
      </c>
      <c r="L663" t="n">
        <v>0</v>
      </c>
      <c r="M663" t="n">
        <v>0</v>
      </c>
      <c r="N663" t="n">
        <v>0</v>
      </c>
      <c r="O663" t="n">
        <v>0</v>
      </c>
      <c r="P663" t="n">
        <v>0</v>
      </c>
      <c r="Q663" t="n">
        <v>0</v>
      </c>
      <c r="R663" s="2" t="inlineStr"/>
    </row>
    <row r="664" ht="15" customHeight="1">
      <c r="A664" t="inlineStr">
        <is>
          <t>A 35016-2025</t>
        </is>
      </c>
      <c r="B664" s="1" t="n">
        <v>45851.62179398148</v>
      </c>
      <c r="C664" s="1" t="n">
        <v>45916</v>
      </c>
      <c r="D664" t="inlineStr">
        <is>
          <t>UPPSALA LÄN</t>
        </is>
      </c>
      <c r="E664" t="inlineStr">
        <is>
          <t>UPPSALA</t>
        </is>
      </c>
      <c r="F664" t="inlineStr">
        <is>
          <t>Bergvik skog öst AB</t>
        </is>
      </c>
      <c r="G664" t="n">
        <v>7</v>
      </c>
      <c r="H664" t="n">
        <v>0</v>
      </c>
      <c r="I664" t="n">
        <v>0</v>
      </c>
      <c r="J664" t="n">
        <v>0</v>
      </c>
      <c r="K664" t="n">
        <v>0</v>
      </c>
      <c r="L664" t="n">
        <v>0</v>
      </c>
      <c r="M664" t="n">
        <v>0</v>
      </c>
      <c r="N664" t="n">
        <v>0</v>
      </c>
      <c r="O664" t="n">
        <v>0</v>
      </c>
      <c r="P664" t="n">
        <v>0</v>
      </c>
      <c r="Q664" t="n">
        <v>0</v>
      </c>
      <c r="R664" s="2" t="inlineStr"/>
    </row>
    <row r="665" ht="15" customHeight="1">
      <c r="A665" t="inlineStr">
        <is>
          <t>A 42583-2025</t>
        </is>
      </c>
      <c r="B665" s="1" t="n">
        <v>45905.62641203704</v>
      </c>
      <c r="C665" s="1" t="n">
        <v>45916</v>
      </c>
      <c r="D665" t="inlineStr">
        <is>
          <t>UPPSALA LÄN</t>
        </is>
      </c>
      <c r="E665" t="inlineStr">
        <is>
          <t>UPPSALA</t>
        </is>
      </c>
      <c r="F665" t="inlineStr">
        <is>
          <t>Kyrkan</t>
        </is>
      </c>
      <c r="G665" t="n">
        <v>2.3</v>
      </c>
      <c r="H665" t="n">
        <v>0</v>
      </c>
      <c r="I665" t="n">
        <v>0</v>
      </c>
      <c r="J665" t="n">
        <v>0</v>
      </c>
      <c r="K665" t="n">
        <v>0</v>
      </c>
      <c r="L665" t="n">
        <v>0</v>
      </c>
      <c r="M665" t="n">
        <v>0</v>
      </c>
      <c r="N665" t="n">
        <v>0</v>
      </c>
      <c r="O665" t="n">
        <v>0</v>
      </c>
      <c r="P665" t="n">
        <v>0</v>
      </c>
      <c r="Q665" t="n">
        <v>0</v>
      </c>
      <c r="R665" s="2" t="inlineStr"/>
    </row>
    <row r="666" ht="15" customHeight="1">
      <c r="A666" t="inlineStr">
        <is>
          <t>A 43056-2025</t>
        </is>
      </c>
      <c r="B666" s="1" t="n">
        <v>45909.57565972222</v>
      </c>
      <c r="C666" s="1" t="n">
        <v>45916</v>
      </c>
      <c r="D666" t="inlineStr">
        <is>
          <t>UPPSALA LÄN</t>
        </is>
      </c>
      <c r="E666" t="inlineStr">
        <is>
          <t>UPPSALA</t>
        </is>
      </c>
      <c r="F666" t="inlineStr">
        <is>
          <t>Allmännings- och besparingsskogar</t>
        </is>
      </c>
      <c r="G666" t="n">
        <v>11.8</v>
      </c>
      <c r="H666" t="n">
        <v>0</v>
      </c>
      <c r="I666" t="n">
        <v>0</v>
      </c>
      <c r="J666" t="n">
        <v>0</v>
      </c>
      <c r="K666" t="n">
        <v>0</v>
      </c>
      <c r="L666" t="n">
        <v>0</v>
      </c>
      <c r="M666" t="n">
        <v>0</v>
      </c>
      <c r="N666" t="n">
        <v>0</v>
      </c>
      <c r="O666" t="n">
        <v>0</v>
      </c>
      <c r="P666" t="n">
        <v>0</v>
      </c>
      <c r="Q666" t="n">
        <v>0</v>
      </c>
      <c r="R666" s="2" t="inlineStr"/>
    </row>
    <row r="667" ht="15" customHeight="1">
      <c r="A667" t="inlineStr">
        <is>
          <t>A 7727-2024</t>
        </is>
      </c>
      <c r="B667" s="1" t="n">
        <v>45349</v>
      </c>
      <c r="C667" s="1" t="n">
        <v>45916</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8672-2024</t>
        </is>
      </c>
      <c r="B668" s="1" t="n">
        <v>45352</v>
      </c>
      <c r="C668" s="1" t="n">
        <v>45916</v>
      </c>
      <c r="D668" t="inlineStr">
        <is>
          <t>UPPSALA LÄN</t>
        </is>
      </c>
      <c r="E668" t="inlineStr">
        <is>
          <t>UPPSALA</t>
        </is>
      </c>
      <c r="G668" t="n">
        <v>2.3</v>
      </c>
      <c r="H668" t="n">
        <v>0</v>
      </c>
      <c r="I668" t="n">
        <v>0</v>
      </c>
      <c r="J668" t="n">
        <v>0</v>
      </c>
      <c r="K668" t="n">
        <v>0</v>
      </c>
      <c r="L668" t="n">
        <v>0</v>
      </c>
      <c r="M668" t="n">
        <v>0</v>
      </c>
      <c r="N668" t="n">
        <v>0</v>
      </c>
      <c r="O668" t="n">
        <v>0</v>
      </c>
      <c r="P668" t="n">
        <v>0</v>
      </c>
      <c r="Q668" t="n">
        <v>0</v>
      </c>
      <c r="R668" s="2" t="inlineStr"/>
    </row>
    <row r="669" ht="15" customHeight="1">
      <c r="A669" t="inlineStr">
        <is>
          <t>A 42528-2023</t>
        </is>
      </c>
      <c r="B669" s="1" t="n">
        <v>45181.33571759259</v>
      </c>
      <c r="C669" s="1" t="n">
        <v>45916</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9255-2024</t>
        </is>
      </c>
      <c r="B670" s="1" t="n">
        <v>45358</v>
      </c>
      <c r="C670" s="1" t="n">
        <v>45916</v>
      </c>
      <c r="D670" t="inlineStr">
        <is>
          <t>UPPSALA LÄN</t>
        </is>
      </c>
      <c r="E670" t="inlineStr">
        <is>
          <t>UPPSALA</t>
        </is>
      </c>
      <c r="G670" t="n">
        <v>1.8</v>
      </c>
      <c r="H670" t="n">
        <v>0</v>
      </c>
      <c r="I670" t="n">
        <v>0</v>
      </c>
      <c r="J670" t="n">
        <v>0</v>
      </c>
      <c r="K670" t="n">
        <v>0</v>
      </c>
      <c r="L670" t="n">
        <v>0</v>
      </c>
      <c r="M670" t="n">
        <v>0</v>
      </c>
      <c r="N670" t="n">
        <v>0</v>
      </c>
      <c r="O670" t="n">
        <v>0</v>
      </c>
      <c r="P670" t="n">
        <v>0</v>
      </c>
      <c r="Q670" t="n">
        <v>0</v>
      </c>
      <c r="R670" s="2" t="inlineStr"/>
    </row>
    <row r="671" ht="15" customHeight="1">
      <c r="A671" t="inlineStr">
        <is>
          <t>A 36253-2025</t>
        </is>
      </c>
      <c r="B671" s="1" t="n">
        <v>45867.58056712963</v>
      </c>
      <c r="C671" s="1" t="n">
        <v>45916</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56889-2022</t>
        </is>
      </c>
      <c r="B672" s="1" t="n">
        <v>44894.57065972222</v>
      </c>
      <c r="C672" s="1" t="n">
        <v>45916</v>
      </c>
      <c r="D672" t="inlineStr">
        <is>
          <t>UPPSALA LÄN</t>
        </is>
      </c>
      <c r="E672" t="inlineStr">
        <is>
          <t>UPPSALA</t>
        </is>
      </c>
      <c r="F672" t="inlineStr">
        <is>
          <t>Övriga Aktiebolag</t>
        </is>
      </c>
      <c r="G672" t="n">
        <v>21.6</v>
      </c>
      <c r="H672" t="n">
        <v>0</v>
      </c>
      <c r="I672" t="n">
        <v>0</v>
      </c>
      <c r="J672" t="n">
        <v>0</v>
      </c>
      <c r="K672" t="n">
        <v>0</v>
      </c>
      <c r="L672" t="n">
        <v>0</v>
      </c>
      <c r="M672" t="n">
        <v>0</v>
      </c>
      <c r="N672" t="n">
        <v>0</v>
      </c>
      <c r="O672" t="n">
        <v>0</v>
      </c>
      <c r="P672" t="n">
        <v>0</v>
      </c>
      <c r="Q672" t="n">
        <v>0</v>
      </c>
      <c r="R672" s="2" t="inlineStr"/>
    </row>
    <row r="673" ht="15" customHeight="1">
      <c r="A673" t="inlineStr">
        <is>
          <t>A 33797-2021</t>
        </is>
      </c>
      <c r="B673" s="1" t="n">
        <v>44378.56137731481</v>
      </c>
      <c r="C673" s="1" t="n">
        <v>45916</v>
      </c>
      <c r="D673" t="inlineStr">
        <is>
          <t>UPPSALA LÄN</t>
        </is>
      </c>
      <c r="E673" t="inlineStr">
        <is>
          <t>UPPSALA</t>
        </is>
      </c>
      <c r="G673" t="n">
        <v>1</v>
      </c>
      <c r="H673" t="n">
        <v>0</v>
      </c>
      <c r="I673" t="n">
        <v>0</v>
      </c>
      <c r="J673" t="n">
        <v>0</v>
      </c>
      <c r="K673" t="n">
        <v>0</v>
      </c>
      <c r="L673" t="n">
        <v>0</v>
      </c>
      <c r="M673" t="n">
        <v>0</v>
      </c>
      <c r="N673" t="n">
        <v>0</v>
      </c>
      <c r="O673" t="n">
        <v>0</v>
      </c>
      <c r="P673" t="n">
        <v>0</v>
      </c>
      <c r="Q673" t="n">
        <v>0</v>
      </c>
      <c r="R673" s="2" t="inlineStr"/>
    </row>
    <row r="674" ht="15" customHeight="1">
      <c r="A674" t="inlineStr">
        <is>
          <t>A 59996-2024</t>
        </is>
      </c>
      <c r="B674" s="1" t="n">
        <v>45642</v>
      </c>
      <c r="C674" s="1" t="n">
        <v>45916</v>
      </c>
      <c r="D674" t="inlineStr">
        <is>
          <t>UPPSALA LÄN</t>
        </is>
      </c>
      <c r="E674" t="inlineStr">
        <is>
          <t>UPPSALA</t>
        </is>
      </c>
      <c r="F674" t="inlineStr">
        <is>
          <t>Bergvik skog väst AB</t>
        </is>
      </c>
      <c r="G674" t="n">
        <v>14.5</v>
      </c>
      <c r="H674" t="n">
        <v>0</v>
      </c>
      <c r="I674" t="n">
        <v>0</v>
      </c>
      <c r="J674" t="n">
        <v>0</v>
      </c>
      <c r="K674" t="n">
        <v>0</v>
      </c>
      <c r="L674" t="n">
        <v>0</v>
      </c>
      <c r="M674" t="n">
        <v>0</v>
      </c>
      <c r="N674" t="n">
        <v>0</v>
      </c>
      <c r="O674" t="n">
        <v>0</v>
      </c>
      <c r="P674" t="n">
        <v>0</v>
      </c>
      <c r="Q674" t="n">
        <v>0</v>
      </c>
      <c r="R674" s="2" t="inlineStr"/>
    </row>
    <row r="675" ht="15" customHeight="1">
      <c r="A675" t="inlineStr">
        <is>
          <t>A 13644-2024</t>
        </is>
      </c>
      <c r="B675" s="1" t="n">
        <v>45390</v>
      </c>
      <c r="C675" s="1" t="n">
        <v>45916</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5374-2023</t>
        </is>
      </c>
      <c r="B676" s="1" t="n">
        <v>44944</v>
      </c>
      <c r="C676" s="1" t="n">
        <v>45916</v>
      </c>
      <c r="D676" t="inlineStr">
        <is>
          <t>UPPSALA LÄN</t>
        </is>
      </c>
      <c r="E676" t="inlineStr">
        <is>
          <t>UPPSALA</t>
        </is>
      </c>
      <c r="G676" t="n">
        <v>3.5</v>
      </c>
      <c r="H676" t="n">
        <v>0</v>
      </c>
      <c r="I676" t="n">
        <v>0</v>
      </c>
      <c r="J676" t="n">
        <v>0</v>
      </c>
      <c r="K676" t="n">
        <v>0</v>
      </c>
      <c r="L676" t="n">
        <v>0</v>
      </c>
      <c r="M676" t="n">
        <v>0</v>
      </c>
      <c r="N676" t="n">
        <v>0</v>
      </c>
      <c r="O676" t="n">
        <v>0</v>
      </c>
      <c r="P676" t="n">
        <v>0</v>
      </c>
      <c r="Q676" t="n">
        <v>0</v>
      </c>
      <c r="R676" s="2" t="inlineStr"/>
    </row>
    <row r="677" ht="15" customHeight="1">
      <c r="A677" t="inlineStr">
        <is>
          <t>A 44815-2023</t>
        </is>
      </c>
      <c r="B677" s="1" t="n">
        <v>45190</v>
      </c>
      <c r="C677" s="1" t="n">
        <v>45916</v>
      </c>
      <c r="D677" t="inlineStr">
        <is>
          <t>UPPSALA LÄN</t>
        </is>
      </c>
      <c r="E677" t="inlineStr">
        <is>
          <t>UPPSALA</t>
        </is>
      </c>
      <c r="G677" t="n">
        <v>2.3</v>
      </c>
      <c r="H677" t="n">
        <v>0</v>
      </c>
      <c r="I677" t="n">
        <v>0</v>
      </c>
      <c r="J677" t="n">
        <v>0</v>
      </c>
      <c r="K677" t="n">
        <v>0</v>
      </c>
      <c r="L677" t="n">
        <v>0</v>
      </c>
      <c r="M677" t="n">
        <v>0</v>
      </c>
      <c r="N677" t="n">
        <v>0</v>
      </c>
      <c r="O677" t="n">
        <v>0</v>
      </c>
      <c r="P677" t="n">
        <v>0</v>
      </c>
      <c r="Q677" t="n">
        <v>0</v>
      </c>
      <c r="R677" s="2" t="inlineStr"/>
    </row>
    <row r="678" ht="15" customHeight="1">
      <c r="A678" t="inlineStr">
        <is>
          <t>A 63011-2021</t>
        </is>
      </c>
      <c r="B678" s="1" t="n">
        <v>44504</v>
      </c>
      <c r="C678" s="1" t="n">
        <v>45916</v>
      </c>
      <c r="D678" t="inlineStr">
        <is>
          <t>UPPSALA LÄN</t>
        </is>
      </c>
      <c r="E678" t="inlineStr">
        <is>
          <t>UPPSALA</t>
        </is>
      </c>
      <c r="G678" t="n">
        <v>11.2</v>
      </c>
      <c r="H678" t="n">
        <v>0</v>
      </c>
      <c r="I678" t="n">
        <v>0</v>
      </c>
      <c r="J678" t="n">
        <v>0</v>
      </c>
      <c r="K678" t="n">
        <v>0</v>
      </c>
      <c r="L678" t="n">
        <v>0</v>
      </c>
      <c r="M678" t="n">
        <v>0</v>
      </c>
      <c r="N678" t="n">
        <v>0</v>
      </c>
      <c r="O678" t="n">
        <v>0</v>
      </c>
      <c r="P678" t="n">
        <v>0</v>
      </c>
      <c r="Q678" t="n">
        <v>0</v>
      </c>
      <c r="R678" s="2" t="inlineStr"/>
    </row>
    <row r="679" ht="15" customHeight="1">
      <c r="A679" t="inlineStr">
        <is>
          <t>A 3955-2021</t>
        </is>
      </c>
      <c r="B679" s="1" t="n">
        <v>44222</v>
      </c>
      <c r="C679" s="1" t="n">
        <v>45916</v>
      </c>
      <c r="D679" t="inlineStr">
        <is>
          <t>UPPSALA LÄN</t>
        </is>
      </c>
      <c r="E679" t="inlineStr">
        <is>
          <t>UPPSALA</t>
        </is>
      </c>
      <c r="G679" t="n">
        <v>2.3</v>
      </c>
      <c r="H679" t="n">
        <v>0</v>
      </c>
      <c r="I679" t="n">
        <v>0</v>
      </c>
      <c r="J679" t="n">
        <v>0</v>
      </c>
      <c r="K679" t="n">
        <v>0</v>
      </c>
      <c r="L679" t="n">
        <v>0</v>
      </c>
      <c r="M679" t="n">
        <v>0</v>
      </c>
      <c r="N679" t="n">
        <v>0</v>
      </c>
      <c r="O679" t="n">
        <v>0</v>
      </c>
      <c r="P679" t="n">
        <v>0</v>
      </c>
      <c r="Q679" t="n">
        <v>0</v>
      </c>
      <c r="R679" s="2" t="inlineStr"/>
    </row>
    <row r="680" ht="15" customHeight="1">
      <c r="A680" t="inlineStr">
        <is>
          <t>A 52503-2023</t>
        </is>
      </c>
      <c r="B680" s="1" t="n">
        <v>45225.46480324074</v>
      </c>
      <c r="C680" s="1" t="n">
        <v>45916</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20102-2023</t>
        </is>
      </c>
      <c r="B681" s="1" t="n">
        <v>45054.95675925926</v>
      </c>
      <c r="C681" s="1" t="n">
        <v>45916</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41954-2025</t>
        </is>
      </c>
      <c r="B682" s="1" t="n">
        <v>45903</v>
      </c>
      <c r="C682" s="1" t="n">
        <v>45916</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1975-2022</t>
        </is>
      </c>
      <c r="B683" s="1" t="n">
        <v>44575</v>
      </c>
      <c r="C683" s="1" t="n">
        <v>45916</v>
      </c>
      <c r="D683" t="inlineStr">
        <is>
          <t>UPPSALA LÄN</t>
        </is>
      </c>
      <c r="E683" t="inlineStr">
        <is>
          <t>UPPSALA</t>
        </is>
      </c>
      <c r="G683" t="n">
        <v>3.9</v>
      </c>
      <c r="H683" t="n">
        <v>0</v>
      </c>
      <c r="I683" t="n">
        <v>0</v>
      </c>
      <c r="J683" t="n">
        <v>0</v>
      </c>
      <c r="K683" t="n">
        <v>0</v>
      </c>
      <c r="L683" t="n">
        <v>0</v>
      </c>
      <c r="M683" t="n">
        <v>0</v>
      </c>
      <c r="N683" t="n">
        <v>0</v>
      </c>
      <c r="O683" t="n">
        <v>0</v>
      </c>
      <c r="P683" t="n">
        <v>0</v>
      </c>
      <c r="Q683" t="n">
        <v>0</v>
      </c>
      <c r="R683" s="2" t="inlineStr"/>
    </row>
    <row r="684" ht="15" customHeight="1">
      <c r="A684" t="inlineStr">
        <is>
          <t>A 11568-2023</t>
        </is>
      </c>
      <c r="B684" s="1" t="n">
        <v>44994</v>
      </c>
      <c r="C684" s="1" t="n">
        <v>45916</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59585-2023</t>
        </is>
      </c>
      <c r="B685" s="1" t="n">
        <v>45254</v>
      </c>
      <c r="C685" s="1" t="n">
        <v>45916</v>
      </c>
      <c r="D685" t="inlineStr">
        <is>
          <t>UPPSALA LÄN</t>
        </is>
      </c>
      <c r="E685" t="inlineStr">
        <is>
          <t>UPPSALA</t>
        </is>
      </c>
      <c r="G685" t="n">
        <v>4.4</v>
      </c>
      <c r="H685" t="n">
        <v>0</v>
      </c>
      <c r="I685" t="n">
        <v>0</v>
      </c>
      <c r="J685" t="n">
        <v>0</v>
      </c>
      <c r="K685" t="n">
        <v>0</v>
      </c>
      <c r="L685" t="n">
        <v>0</v>
      </c>
      <c r="M685" t="n">
        <v>0</v>
      </c>
      <c r="N685" t="n">
        <v>0</v>
      </c>
      <c r="O685" t="n">
        <v>0</v>
      </c>
      <c r="P685" t="n">
        <v>0</v>
      </c>
      <c r="Q685" t="n">
        <v>0</v>
      </c>
      <c r="R685" s="2" t="inlineStr"/>
    </row>
    <row r="686" ht="15" customHeight="1">
      <c r="A686" t="inlineStr">
        <is>
          <t>A 6989-2022</t>
        </is>
      </c>
      <c r="B686" s="1" t="n">
        <v>44603</v>
      </c>
      <c r="C686" s="1" t="n">
        <v>45916</v>
      </c>
      <c r="D686" t="inlineStr">
        <is>
          <t>UPPSALA LÄN</t>
        </is>
      </c>
      <c r="E686" t="inlineStr">
        <is>
          <t>UPPSALA</t>
        </is>
      </c>
      <c r="G686" t="n">
        <v>3.1</v>
      </c>
      <c r="H686" t="n">
        <v>0</v>
      </c>
      <c r="I686" t="n">
        <v>0</v>
      </c>
      <c r="J686" t="n">
        <v>0</v>
      </c>
      <c r="K686" t="n">
        <v>0</v>
      </c>
      <c r="L686" t="n">
        <v>0</v>
      </c>
      <c r="M686" t="n">
        <v>0</v>
      </c>
      <c r="N686" t="n">
        <v>0</v>
      </c>
      <c r="O686" t="n">
        <v>0</v>
      </c>
      <c r="P686" t="n">
        <v>0</v>
      </c>
      <c r="Q686" t="n">
        <v>0</v>
      </c>
      <c r="R686" s="2" t="inlineStr"/>
    </row>
    <row r="687" ht="15" customHeight="1">
      <c r="A687" t="inlineStr">
        <is>
          <t>A 43280-2025</t>
        </is>
      </c>
      <c r="B687" s="1" t="n">
        <v>45910.59475694445</v>
      </c>
      <c r="C687" s="1" t="n">
        <v>45916</v>
      </c>
      <c r="D687" t="inlineStr">
        <is>
          <t>UPPSALA LÄN</t>
        </is>
      </c>
      <c r="E687" t="inlineStr">
        <is>
          <t>UPPSALA</t>
        </is>
      </c>
      <c r="F687" t="inlineStr">
        <is>
          <t>Kyrkan</t>
        </is>
      </c>
      <c r="G687" t="n">
        <v>2.4</v>
      </c>
      <c r="H687" t="n">
        <v>0</v>
      </c>
      <c r="I687" t="n">
        <v>0</v>
      </c>
      <c r="J687" t="n">
        <v>0</v>
      </c>
      <c r="K687" t="n">
        <v>0</v>
      </c>
      <c r="L687" t="n">
        <v>0</v>
      </c>
      <c r="M687" t="n">
        <v>0</v>
      </c>
      <c r="N687" t="n">
        <v>0</v>
      </c>
      <c r="O687" t="n">
        <v>0</v>
      </c>
      <c r="P687" t="n">
        <v>0</v>
      </c>
      <c r="Q687" t="n">
        <v>0</v>
      </c>
      <c r="R687" s="2" t="inlineStr"/>
    </row>
    <row r="688" ht="15" customHeight="1">
      <c r="A688" t="inlineStr">
        <is>
          <t>A 17562-2022</t>
        </is>
      </c>
      <c r="B688" s="1" t="n">
        <v>44679.68706018518</v>
      </c>
      <c r="C688" s="1" t="n">
        <v>45916</v>
      </c>
      <c r="D688" t="inlineStr">
        <is>
          <t>UPPSALA LÄN</t>
        </is>
      </c>
      <c r="E688" t="inlineStr">
        <is>
          <t>UPPSALA</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32553-2024</t>
        </is>
      </c>
      <c r="B689" s="1" t="n">
        <v>45513.51815972223</v>
      </c>
      <c r="C689" s="1" t="n">
        <v>45916</v>
      </c>
      <c r="D689" t="inlineStr">
        <is>
          <t>UPPSALA LÄN</t>
        </is>
      </c>
      <c r="E689" t="inlineStr">
        <is>
          <t>UPPSALA</t>
        </is>
      </c>
      <c r="F689" t="inlineStr">
        <is>
          <t>Bergvik skog öst AB</t>
        </is>
      </c>
      <c r="G689" t="n">
        <v>4.1</v>
      </c>
      <c r="H689" t="n">
        <v>0</v>
      </c>
      <c r="I689" t="n">
        <v>0</v>
      </c>
      <c r="J689" t="n">
        <v>0</v>
      </c>
      <c r="K689" t="n">
        <v>0</v>
      </c>
      <c r="L689" t="n">
        <v>0</v>
      </c>
      <c r="M689" t="n">
        <v>0</v>
      </c>
      <c r="N689" t="n">
        <v>0</v>
      </c>
      <c r="O689" t="n">
        <v>0</v>
      </c>
      <c r="P689" t="n">
        <v>0</v>
      </c>
      <c r="Q689" t="n">
        <v>0</v>
      </c>
      <c r="R689" s="2" t="inlineStr"/>
    </row>
    <row r="690" ht="15" customHeight="1">
      <c r="A690" t="inlineStr">
        <is>
          <t>A 60445-2024</t>
        </is>
      </c>
      <c r="B690" s="1" t="n">
        <v>45643</v>
      </c>
      <c r="C690" s="1" t="n">
        <v>45916</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42134-2025</t>
        </is>
      </c>
      <c r="B691" s="1" t="n">
        <v>45904</v>
      </c>
      <c r="C691" s="1" t="n">
        <v>45916</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46807-2022</t>
        </is>
      </c>
      <c r="B692" s="1" t="n">
        <v>44848</v>
      </c>
      <c r="C692" s="1" t="n">
        <v>45916</v>
      </c>
      <c r="D692" t="inlineStr">
        <is>
          <t>UPPSALA LÄN</t>
        </is>
      </c>
      <c r="E692" t="inlineStr">
        <is>
          <t>UPPSALA</t>
        </is>
      </c>
      <c r="G692" t="n">
        <v>2</v>
      </c>
      <c r="H692" t="n">
        <v>0</v>
      </c>
      <c r="I692" t="n">
        <v>0</v>
      </c>
      <c r="J692" t="n">
        <v>0</v>
      </c>
      <c r="K692" t="n">
        <v>0</v>
      </c>
      <c r="L692" t="n">
        <v>0</v>
      </c>
      <c r="M692" t="n">
        <v>0</v>
      </c>
      <c r="N692" t="n">
        <v>0</v>
      </c>
      <c r="O692" t="n">
        <v>0</v>
      </c>
      <c r="P692" t="n">
        <v>0</v>
      </c>
      <c r="Q692" t="n">
        <v>0</v>
      </c>
      <c r="R692" s="2" t="inlineStr"/>
    </row>
    <row r="693" ht="15" customHeight="1">
      <c r="A693" t="inlineStr">
        <is>
          <t>A 44781-2021</t>
        </is>
      </c>
      <c r="B693" s="1" t="n">
        <v>44438</v>
      </c>
      <c r="C693" s="1" t="n">
        <v>45916</v>
      </c>
      <c r="D693" t="inlineStr">
        <is>
          <t>UPPSALA LÄN</t>
        </is>
      </c>
      <c r="E693" t="inlineStr">
        <is>
          <t>UPPSALA</t>
        </is>
      </c>
      <c r="F693" t="inlineStr">
        <is>
          <t>Sveaskog</t>
        </is>
      </c>
      <c r="G693" t="n">
        <v>0.1</v>
      </c>
      <c r="H693" t="n">
        <v>0</v>
      </c>
      <c r="I693" t="n">
        <v>0</v>
      </c>
      <c r="J693" t="n">
        <v>0</v>
      </c>
      <c r="K693" t="n">
        <v>0</v>
      </c>
      <c r="L693" t="n">
        <v>0</v>
      </c>
      <c r="M693" t="n">
        <v>0</v>
      </c>
      <c r="N693" t="n">
        <v>0</v>
      </c>
      <c r="O693" t="n">
        <v>0</v>
      </c>
      <c r="P693" t="n">
        <v>0</v>
      </c>
      <c r="Q693" t="n">
        <v>0</v>
      </c>
      <c r="R693" s="2" t="inlineStr"/>
    </row>
    <row r="694" ht="15" customHeight="1">
      <c r="A694" t="inlineStr">
        <is>
          <t>A 25776-2022</t>
        </is>
      </c>
      <c r="B694" s="1" t="n">
        <v>44733</v>
      </c>
      <c r="C694" s="1" t="n">
        <v>45916</v>
      </c>
      <c r="D694" t="inlineStr">
        <is>
          <t>UPPSALA LÄN</t>
        </is>
      </c>
      <c r="E694" t="inlineStr">
        <is>
          <t>UPPSALA</t>
        </is>
      </c>
      <c r="G694" t="n">
        <v>0.7</v>
      </c>
      <c r="H694" t="n">
        <v>0</v>
      </c>
      <c r="I694" t="n">
        <v>0</v>
      </c>
      <c r="J694" t="n">
        <v>0</v>
      </c>
      <c r="K694" t="n">
        <v>0</v>
      </c>
      <c r="L694" t="n">
        <v>0</v>
      </c>
      <c r="M694" t="n">
        <v>0</v>
      </c>
      <c r="N694" t="n">
        <v>0</v>
      </c>
      <c r="O694" t="n">
        <v>0</v>
      </c>
      <c r="P694" t="n">
        <v>0</v>
      </c>
      <c r="Q694" t="n">
        <v>0</v>
      </c>
      <c r="R694" s="2" t="inlineStr"/>
    </row>
    <row r="695" ht="15" customHeight="1">
      <c r="A695" t="inlineStr">
        <is>
          <t>A 5605-2025</t>
        </is>
      </c>
      <c r="B695" s="1" t="n">
        <v>45693</v>
      </c>
      <c r="C695" s="1" t="n">
        <v>45916</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43278-2025</t>
        </is>
      </c>
      <c r="B696" s="1" t="n">
        <v>45910.59415509259</v>
      </c>
      <c r="C696" s="1" t="n">
        <v>45916</v>
      </c>
      <c r="D696" t="inlineStr">
        <is>
          <t>UPPSALA LÄN</t>
        </is>
      </c>
      <c r="E696" t="inlineStr">
        <is>
          <t>UPPSALA</t>
        </is>
      </c>
      <c r="F696" t="inlineStr">
        <is>
          <t>Kyrkan</t>
        </is>
      </c>
      <c r="G696" t="n">
        <v>2.4</v>
      </c>
      <c r="H696" t="n">
        <v>0</v>
      </c>
      <c r="I696" t="n">
        <v>0</v>
      </c>
      <c r="J696" t="n">
        <v>0</v>
      </c>
      <c r="K696" t="n">
        <v>0</v>
      </c>
      <c r="L696" t="n">
        <v>0</v>
      </c>
      <c r="M696" t="n">
        <v>0</v>
      </c>
      <c r="N696" t="n">
        <v>0</v>
      </c>
      <c r="O696" t="n">
        <v>0</v>
      </c>
      <c r="P696" t="n">
        <v>0</v>
      </c>
      <c r="Q696" t="n">
        <v>0</v>
      </c>
      <c r="R696" s="2" t="inlineStr"/>
    </row>
    <row r="697" ht="15" customHeight="1">
      <c r="A697" t="inlineStr">
        <is>
          <t>A 12507-2024</t>
        </is>
      </c>
      <c r="B697" s="1" t="n">
        <v>45379</v>
      </c>
      <c r="C697" s="1" t="n">
        <v>45916</v>
      </c>
      <c r="D697" t="inlineStr">
        <is>
          <t>UPPSALA LÄN</t>
        </is>
      </c>
      <c r="E697" t="inlineStr">
        <is>
          <t>UPPSALA</t>
        </is>
      </c>
      <c r="G697" t="n">
        <v>4.6</v>
      </c>
      <c r="H697" t="n">
        <v>0</v>
      </c>
      <c r="I697" t="n">
        <v>0</v>
      </c>
      <c r="J697" t="n">
        <v>0</v>
      </c>
      <c r="K697" t="n">
        <v>0</v>
      </c>
      <c r="L697" t="n">
        <v>0</v>
      </c>
      <c r="M697" t="n">
        <v>0</v>
      </c>
      <c r="N697" t="n">
        <v>0</v>
      </c>
      <c r="O697" t="n">
        <v>0</v>
      </c>
      <c r="P697" t="n">
        <v>0</v>
      </c>
      <c r="Q697" t="n">
        <v>0</v>
      </c>
      <c r="R697" s="2" t="inlineStr"/>
    </row>
    <row r="698" ht="15" customHeight="1">
      <c r="A698" t="inlineStr">
        <is>
          <t>A 4065-2024</t>
        </is>
      </c>
      <c r="B698" s="1" t="n">
        <v>45323.55914351852</v>
      </c>
      <c r="C698" s="1" t="n">
        <v>45916</v>
      </c>
      <c r="D698" t="inlineStr">
        <is>
          <t>UPPSALA LÄN</t>
        </is>
      </c>
      <c r="E698" t="inlineStr">
        <is>
          <t>UPPSALA</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9982-2025</t>
        </is>
      </c>
      <c r="B699" s="1" t="n">
        <v>45719.4094212963</v>
      </c>
      <c r="C699" s="1" t="n">
        <v>45916</v>
      </c>
      <c r="D699" t="inlineStr">
        <is>
          <t>UPPSALA LÄN</t>
        </is>
      </c>
      <c r="E699" t="inlineStr">
        <is>
          <t>UPPSALA</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9995-2025</t>
        </is>
      </c>
      <c r="B700" s="1" t="n">
        <v>45719.43872685185</v>
      </c>
      <c r="C700" s="1" t="n">
        <v>45916</v>
      </c>
      <c r="D700" t="inlineStr">
        <is>
          <t>UPPSALA LÄN</t>
        </is>
      </c>
      <c r="E700" t="inlineStr">
        <is>
          <t>UPPSALA</t>
        </is>
      </c>
      <c r="F700" t="inlineStr">
        <is>
          <t>Kyrkan</t>
        </is>
      </c>
      <c r="G700" t="n">
        <v>2</v>
      </c>
      <c r="H700" t="n">
        <v>0</v>
      </c>
      <c r="I700" t="n">
        <v>0</v>
      </c>
      <c r="J700" t="n">
        <v>0</v>
      </c>
      <c r="K700" t="n">
        <v>0</v>
      </c>
      <c r="L700" t="n">
        <v>0</v>
      </c>
      <c r="M700" t="n">
        <v>0</v>
      </c>
      <c r="N700" t="n">
        <v>0</v>
      </c>
      <c r="O700" t="n">
        <v>0</v>
      </c>
      <c r="P700" t="n">
        <v>0</v>
      </c>
      <c r="Q700" t="n">
        <v>0</v>
      </c>
      <c r="R700" s="2" t="inlineStr"/>
    </row>
    <row r="701" ht="15" customHeight="1">
      <c r="A701" t="inlineStr">
        <is>
          <t>A 19276-2023</t>
        </is>
      </c>
      <c r="B701" s="1" t="n">
        <v>45049</v>
      </c>
      <c r="C701" s="1" t="n">
        <v>45916</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47287-2023</t>
        </is>
      </c>
      <c r="B702" s="1" t="n">
        <v>45202</v>
      </c>
      <c r="C702" s="1" t="n">
        <v>45916</v>
      </c>
      <c r="D702" t="inlineStr">
        <is>
          <t>UPPSALA LÄN</t>
        </is>
      </c>
      <c r="E702" t="inlineStr">
        <is>
          <t>UPPSALA</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4059-2022</t>
        </is>
      </c>
      <c r="B703" s="1" t="n">
        <v>44588</v>
      </c>
      <c r="C703" s="1" t="n">
        <v>45916</v>
      </c>
      <c r="D703" t="inlineStr">
        <is>
          <t>UPPSALA LÄN</t>
        </is>
      </c>
      <c r="E703" t="inlineStr">
        <is>
          <t>UPPSALA</t>
        </is>
      </c>
      <c r="G703" t="n">
        <v>0.5</v>
      </c>
      <c r="H703" t="n">
        <v>0</v>
      </c>
      <c r="I703" t="n">
        <v>0</v>
      </c>
      <c r="J703" t="n">
        <v>0</v>
      </c>
      <c r="K703" t="n">
        <v>0</v>
      </c>
      <c r="L703" t="n">
        <v>0</v>
      </c>
      <c r="M703" t="n">
        <v>0</v>
      </c>
      <c r="N703" t="n">
        <v>0</v>
      </c>
      <c r="O703" t="n">
        <v>0</v>
      </c>
      <c r="P703" t="n">
        <v>0</v>
      </c>
      <c r="Q703" t="n">
        <v>0</v>
      </c>
      <c r="R703" s="2" t="inlineStr"/>
    </row>
    <row r="704" ht="15" customHeight="1">
      <c r="A704" t="inlineStr">
        <is>
          <t>A 60447-2023</t>
        </is>
      </c>
      <c r="B704" s="1" t="n">
        <v>45259</v>
      </c>
      <c r="C704" s="1" t="n">
        <v>45916</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54715-2022</t>
        </is>
      </c>
      <c r="B705" s="1" t="n">
        <v>44883</v>
      </c>
      <c r="C705" s="1" t="n">
        <v>45916</v>
      </c>
      <c r="D705" t="inlineStr">
        <is>
          <t>UPPSALA LÄN</t>
        </is>
      </c>
      <c r="E705" t="inlineStr">
        <is>
          <t>UPPSALA</t>
        </is>
      </c>
      <c r="F705" t="inlineStr">
        <is>
          <t>Övriga Aktiebolag</t>
        </is>
      </c>
      <c r="G705" t="n">
        <v>9.5</v>
      </c>
      <c r="H705" t="n">
        <v>0</v>
      </c>
      <c r="I705" t="n">
        <v>0</v>
      </c>
      <c r="J705" t="n">
        <v>0</v>
      </c>
      <c r="K705" t="n">
        <v>0</v>
      </c>
      <c r="L705" t="n">
        <v>0</v>
      </c>
      <c r="M705" t="n">
        <v>0</v>
      </c>
      <c r="N705" t="n">
        <v>0</v>
      </c>
      <c r="O705" t="n">
        <v>0</v>
      </c>
      <c r="P705" t="n">
        <v>0</v>
      </c>
      <c r="Q705" t="n">
        <v>0</v>
      </c>
      <c r="R705" s="2" t="inlineStr"/>
    </row>
    <row r="706" ht="15" customHeight="1">
      <c r="A706" t="inlineStr">
        <is>
          <t>A 6973-2025</t>
        </is>
      </c>
      <c r="B706" s="1" t="n">
        <v>45693</v>
      </c>
      <c r="C706" s="1" t="n">
        <v>45916</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74019-2021</t>
        </is>
      </c>
      <c r="B707" s="1" t="n">
        <v>44553</v>
      </c>
      <c r="C707" s="1" t="n">
        <v>45916</v>
      </c>
      <c r="D707" t="inlineStr">
        <is>
          <t>UPPSALA LÄN</t>
        </is>
      </c>
      <c r="E707" t="inlineStr">
        <is>
          <t>UPPSALA</t>
        </is>
      </c>
      <c r="G707" t="n">
        <v>3</v>
      </c>
      <c r="H707" t="n">
        <v>0</v>
      </c>
      <c r="I707" t="n">
        <v>0</v>
      </c>
      <c r="J707" t="n">
        <v>0</v>
      </c>
      <c r="K707" t="n">
        <v>0</v>
      </c>
      <c r="L707" t="n">
        <v>0</v>
      </c>
      <c r="M707" t="n">
        <v>0</v>
      </c>
      <c r="N707" t="n">
        <v>0</v>
      </c>
      <c r="O707" t="n">
        <v>0</v>
      </c>
      <c r="P707" t="n">
        <v>0</v>
      </c>
      <c r="Q707" t="n">
        <v>0</v>
      </c>
      <c r="R707" s="2" t="inlineStr"/>
    </row>
    <row r="708" ht="15" customHeight="1">
      <c r="A708" t="inlineStr">
        <is>
          <t>A 19613-2025</t>
        </is>
      </c>
      <c r="B708" s="1" t="n">
        <v>45770.61341435185</v>
      </c>
      <c r="C708" s="1" t="n">
        <v>45916</v>
      </c>
      <c r="D708" t="inlineStr">
        <is>
          <t>UPPSALA LÄN</t>
        </is>
      </c>
      <c r="E708" t="inlineStr">
        <is>
          <t>UPPSALA</t>
        </is>
      </c>
      <c r="F708" t="inlineStr">
        <is>
          <t>Övriga Aktiebolag</t>
        </is>
      </c>
      <c r="G708" t="n">
        <v>2.2</v>
      </c>
      <c r="H708" t="n">
        <v>0</v>
      </c>
      <c r="I708" t="n">
        <v>0</v>
      </c>
      <c r="J708" t="n">
        <v>0</v>
      </c>
      <c r="K708" t="n">
        <v>0</v>
      </c>
      <c r="L708" t="n">
        <v>0</v>
      </c>
      <c r="M708" t="n">
        <v>0</v>
      </c>
      <c r="N708" t="n">
        <v>0</v>
      </c>
      <c r="O708" t="n">
        <v>0</v>
      </c>
      <c r="P708" t="n">
        <v>0</v>
      </c>
      <c r="Q708" t="n">
        <v>0</v>
      </c>
      <c r="R708" s="2" t="inlineStr"/>
    </row>
    <row r="709" ht="15" customHeight="1">
      <c r="A709" t="inlineStr">
        <is>
          <t>A 7376-2025</t>
        </is>
      </c>
      <c r="B709" s="1" t="n">
        <v>45705.2953125</v>
      </c>
      <c r="C709" s="1" t="n">
        <v>45916</v>
      </c>
      <c r="D709" t="inlineStr">
        <is>
          <t>UPPSALA LÄN</t>
        </is>
      </c>
      <c r="E709" t="inlineStr">
        <is>
          <t>UPPSALA</t>
        </is>
      </c>
      <c r="F709" t="inlineStr">
        <is>
          <t>Bergvik skog väst AB</t>
        </is>
      </c>
      <c r="G709" t="n">
        <v>7.4</v>
      </c>
      <c r="H709" t="n">
        <v>0</v>
      </c>
      <c r="I709" t="n">
        <v>0</v>
      </c>
      <c r="J709" t="n">
        <v>0</v>
      </c>
      <c r="K709" t="n">
        <v>0</v>
      </c>
      <c r="L709" t="n">
        <v>0</v>
      </c>
      <c r="M709" t="n">
        <v>0</v>
      </c>
      <c r="N709" t="n">
        <v>0</v>
      </c>
      <c r="O709" t="n">
        <v>0</v>
      </c>
      <c r="P709" t="n">
        <v>0</v>
      </c>
      <c r="Q709" t="n">
        <v>0</v>
      </c>
      <c r="R709" s="2" t="inlineStr"/>
    </row>
    <row r="710" ht="15" customHeight="1">
      <c r="A710" t="inlineStr">
        <is>
          <t>A 8162-2025</t>
        </is>
      </c>
      <c r="B710" s="1" t="n">
        <v>45707</v>
      </c>
      <c r="C710" s="1" t="n">
        <v>45916</v>
      </c>
      <c r="D710" t="inlineStr">
        <is>
          <t>UPPSALA LÄN</t>
        </is>
      </c>
      <c r="E710" t="inlineStr">
        <is>
          <t>UPPSALA</t>
        </is>
      </c>
      <c r="F710" t="inlineStr">
        <is>
          <t>Övriga Aktiebolag</t>
        </is>
      </c>
      <c r="G710" t="n">
        <v>2.3</v>
      </c>
      <c r="H710" t="n">
        <v>0</v>
      </c>
      <c r="I710" t="n">
        <v>0</v>
      </c>
      <c r="J710" t="n">
        <v>0</v>
      </c>
      <c r="K710" t="n">
        <v>0</v>
      </c>
      <c r="L710" t="n">
        <v>0</v>
      </c>
      <c r="M710" t="n">
        <v>0</v>
      </c>
      <c r="N710" t="n">
        <v>0</v>
      </c>
      <c r="O710" t="n">
        <v>0</v>
      </c>
      <c r="P710" t="n">
        <v>0</v>
      </c>
      <c r="Q710" t="n">
        <v>0</v>
      </c>
      <c r="R710" s="2" t="inlineStr"/>
    </row>
    <row r="711" ht="15" customHeight="1">
      <c r="A711" t="inlineStr">
        <is>
          <t>A 44226-2025</t>
        </is>
      </c>
      <c r="B711" s="1" t="n">
        <v>45915.64064814815</v>
      </c>
      <c r="C711" s="1" t="n">
        <v>45916</v>
      </c>
      <c r="D711" t="inlineStr">
        <is>
          <t>UPPSALA LÄN</t>
        </is>
      </c>
      <c r="E711" t="inlineStr">
        <is>
          <t>UPPSALA</t>
        </is>
      </c>
      <c r="F711" t="inlineStr">
        <is>
          <t>Kyrkan</t>
        </is>
      </c>
      <c r="G711" t="n">
        <v>2.5</v>
      </c>
      <c r="H711" t="n">
        <v>0</v>
      </c>
      <c r="I711" t="n">
        <v>0</v>
      </c>
      <c r="J711" t="n">
        <v>0</v>
      </c>
      <c r="K711" t="n">
        <v>0</v>
      </c>
      <c r="L711" t="n">
        <v>0</v>
      </c>
      <c r="M711" t="n">
        <v>0</v>
      </c>
      <c r="N711" t="n">
        <v>0</v>
      </c>
      <c r="O711" t="n">
        <v>0</v>
      </c>
      <c r="P711" t="n">
        <v>0</v>
      </c>
      <c r="Q711" t="n">
        <v>0</v>
      </c>
      <c r="R711" s="2" t="inlineStr"/>
    </row>
    <row r="712" ht="15" customHeight="1">
      <c r="A712" t="inlineStr">
        <is>
          <t>A 30616-2025</t>
        </is>
      </c>
      <c r="B712" s="1" t="n">
        <v>45831.46731481481</v>
      </c>
      <c r="C712" s="1" t="n">
        <v>45916</v>
      </c>
      <c r="D712" t="inlineStr">
        <is>
          <t>UPPSALA LÄN</t>
        </is>
      </c>
      <c r="E712" t="inlineStr">
        <is>
          <t>UPPSALA</t>
        </is>
      </c>
      <c r="G712" t="n">
        <v>2.1</v>
      </c>
      <c r="H712" t="n">
        <v>0</v>
      </c>
      <c r="I712" t="n">
        <v>0</v>
      </c>
      <c r="J712" t="n">
        <v>0</v>
      </c>
      <c r="K712" t="n">
        <v>0</v>
      </c>
      <c r="L712" t="n">
        <v>0</v>
      </c>
      <c r="M712" t="n">
        <v>0</v>
      </c>
      <c r="N712" t="n">
        <v>0</v>
      </c>
      <c r="O712" t="n">
        <v>0</v>
      </c>
      <c r="P712" t="n">
        <v>0</v>
      </c>
      <c r="Q712" t="n">
        <v>0</v>
      </c>
      <c r="R712" s="2" t="inlineStr"/>
    </row>
    <row r="713" ht="15" customHeight="1">
      <c r="A713" t="inlineStr">
        <is>
          <t>A 43893-2025</t>
        </is>
      </c>
      <c r="B713" s="1" t="n">
        <v>45912.7097337963</v>
      </c>
      <c r="C713" s="1" t="n">
        <v>45916</v>
      </c>
      <c r="D713" t="inlineStr">
        <is>
          <t>UPPSALA LÄN</t>
        </is>
      </c>
      <c r="E713" t="inlineStr">
        <is>
          <t>UPPSALA</t>
        </is>
      </c>
      <c r="F713" t="inlineStr">
        <is>
          <t>Kyrkan</t>
        </is>
      </c>
      <c r="G713" t="n">
        <v>5.7</v>
      </c>
      <c r="H713" t="n">
        <v>0</v>
      </c>
      <c r="I713" t="n">
        <v>0</v>
      </c>
      <c r="J713" t="n">
        <v>0</v>
      </c>
      <c r="K713" t="n">
        <v>0</v>
      </c>
      <c r="L713" t="n">
        <v>0</v>
      </c>
      <c r="M713" t="n">
        <v>0</v>
      </c>
      <c r="N713" t="n">
        <v>0</v>
      </c>
      <c r="O713" t="n">
        <v>0</v>
      </c>
      <c r="P713" t="n">
        <v>0</v>
      </c>
      <c r="Q713" t="n">
        <v>0</v>
      </c>
      <c r="R713" s="2" t="inlineStr"/>
    </row>
    <row r="714" ht="15" customHeight="1">
      <c r="A714" t="inlineStr">
        <is>
          <t>A 43903-2025</t>
        </is>
      </c>
      <c r="B714" s="1" t="n">
        <v>45913.39467592593</v>
      </c>
      <c r="C714" s="1" t="n">
        <v>45916</v>
      </c>
      <c r="D714" t="inlineStr">
        <is>
          <t>UPPSALA LÄN</t>
        </is>
      </c>
      <c r="E714" t="inlineStr">
        <is>
          <t>UPPSALA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22996-2021</t>
        </is>
      </c>
      <c r="B715" s="1" t="n">
        <v>44328</v>
      </c>
      <c r="C715" s="1" t="n">
        <v>45916</v>
      </c>
      <c r="D715" t="inlineStr">
        <is>
          <t>UPPSALA LÄN</t>
        </is>
      </c>
      <c r="E715" t="inlineStr">
        <is>
          <t>UPPSALA</t>
        </is>
      </c>
      <c r="F715" t="inlineStr">
        <is>
          <t>Bergvik skog öst AB</t>
        </is>
      </c>
      <c r="G715" t="n">
        <v>3.1</v>
      </c>
      <c r="H715" t="n">
        <v>0</v>
      </c>
      <c r="I715" t="n">
        <v>0</v>
      </c>
      <c r="J715" t="n">
        <v>0</v>
      </c>
      <c r="K715" t="n">
        <v>0</v>
      </c>
      <c r="L715" t="n">
        <v>0</v>
      </c>
      <c r="M715" t="n">
        <v>0</v>
      </c>
      <c r="N715" t="n">
        <v>0</v>
      </c>
      <c r="O715" t="n">
        <v>0</v>
      </c>
      <c r="P715" t="n">
        <v>0</v>
      </c>
      <c r="Q715" t="n">
        <v>0</v>
      </c>
      <c r="R715" s="2" t="inlineStr"/>
    </row>
    <row r="716" ht="15" customHeight="1">
      <c r="A716" t="inlineStr">
        <is>
          <t>A 62287-2023</t>
        </is>
      </c>
      <c r="B716" s="1" t="n">
        <v>45267</v>
      </c>
      <c r="C716" s="1" t="n">
        <v>45916</v>
      </c>
      <c r="D716" t="inlineStr">
        <is>
          <t>UPPSALA LÄN</t>
        </is>
      </c>
      <c r="E716" t="inlineStr">
        <is>
          <t>UPPSALA</t>
        </is>
      </c>
      <c r="F716" t="inlineStr">
        <is>
          <t>Allmännings- och besparingsskogar</t>
        </is>
      </c>
      <c r="G716" t="n">
        <v>2.8</v>
      </c>
      <c r="H716" t="n">
        <v>0</v>
      </c>
      <c r="I716" t="n">
        <v>0</v>
      </c>
      <c r="J716" t="n">
        <v>0</v>
      </c>
      <c r="K716" t="n">
        <v>0</v>
      </c>
      <c r="L716" t="n">
        <v>0</v>
      </c>
      <c r="M716" t="n">
        <v>0</v>
      </c>
      <c r="N716" t="n">
        <v>0</v>
      </c>
      <c r="O716" t="n">
        <v>0</v>
      </c>
      <c r="P716" t="n">
        <v>0</v>
      </c>
      <c r="Q716" t="n">
        <v>0</v>
      </c>
      <c r="R716" s="2" t="inlineStr"/>
    </row>
    <row r="717" ht="15" customHeight="1">
      <c r="A717" t="inlineStr">
        <is>
          <t>A 17595-2025</t>
        </is>
      </c>
      <c r="B717" s="1" t="n">
        <v>45757</v>
      </c>
      <c r="C717" s="1" t="n">
        <v>45916</v>
      </c>
      <c r="D717" t="inlineStr">
        <is>
          <t>UPPSALA LÄN</t>
        </is>
      </c>
      <c r="E717" t="inlineStr">
        <is>
          <t>UPPSALA</t>
        </is>
      </c>
      <c r="G717" t="n">
        <v>2.7</v>
      </c>
      <c r="H717" t="n">
        <v>0</v>
      </c>
      <c r="I717" t="n">
        <v>0</v>
      </c>
      <c r="J717" t="n">
        <v>0</v>
      </c>
      <c r="K717" t="n">
        <v>0</v>
      </c>
      <c r="L717" t="n">
        <v>0</v>
      </c>
      <c r="M717" t="n">
        <v>0</v>
      </c>
      <c r="N717" t="n">
        <v>0</v>
      </c>
      <c r="O717" t="n">
        <v>0</v>
      </c>
      <c r="P717" t="n">
        <v>0</v>
      </c>
      <c r="Q717" t="n">
        <v>0</v>
      </c>
      <c r="R717" s="2" t="inlineStr"/>
    </row>
    <row r="718" ht="15" customHeight="1">
      <c r="A718" t="inlineStr">
        <is>
          <t>A 16288-2025</t>
        </is>
      </c>
      <c r="B718" s="1" t="n">
        <v>45751.32001157408</v>
      </c>
      <c r="C718" s="1" t="n">
        <v>45916</v>
      </c>
      <c r="D718" t="inlineStr">
        <is>
          <t>UPPSALA LÄN</t>
        </is>
      </c>
      <c r="E718" t="inlineStr">
        <is>
          <t>UPPSALA</t>
        </is>
      </c>
      <c r="G718" t="n">
        <v>3.9</v>
      </c>
      <c r="H718" t="n">
        <v>0</v>
      </c>
      <c r="I718" t="n">
        <v>0</v>
      </c>
      <c r="J718" t="n">
        <v>0</v>
      </c>
      <c r="K718" t="n">
        <v>0</v>
      </c>
      <c r="L718" t="n">
        <v>0</v>
      </c>
      <c r="M718" t="n">
        <v>0</v>
      </c>
      <c r="N718" t="n">
        <v>0</v>
      </c>
      <c r="O718" t="n">
        <v>0</v>
      </c>
      <c r="P718" t="n">
        <v>0</v>
      </c>
      <c r="Q718" t="n">
        <v>0</v>
      </c>
      <c r="R718" s="2" t="inlineStr"/>
    </row>
    <row r="719" ht="15" customHeight="1">
      <c r="A719" t="inlineStr">
        <is>
          <t>A 17658-2025</t>
        </is>
      </c>
      <c r="B719" s="1" t="n">
        <v>45758</v>
      </c>
      <c r="C719" s="1" t="n">
        <v>45916</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27119-2023</t>
        </is>
      </c>
      <c r="B720" s="1" t="n">
        <v>45096</v>
      </c>
      <c r="C720" s="1" t="n">
        <v>45916</v>
      </c>
      <c r="D720" t="inlineStr">
        <is>
          <t>UPPSALA LÄN</t>
        </is>
      </c>
      <c r="E720" t="inlineStr">
        <is>
          <t>UPPSALA</t>
        </is>
      </c>
      <c r="G720" t="n">
        <v>3.1</v>
      </c>
      <c r="H720" t="n">
        <v>0</v>
      </c>
      <c r="I720" t="n">
        <v>0</v>
      </c>
      <c r="J720" t="n">
        <v>0</v>
      </c>
      <c r="K720" t="n">
        <v>0</v>
      </c>
      <c r="L720" t="n">
        <v>0</v>
      </c>
      <c r="M720" t="n">
        <v>0</v>
      </c>
      <c r="N720" t="n">
        <v>0</v>
      </c>
      <c r="O720" t="n">
        <v>0</v>
      </c>
      <c r="P720" t="n">
        <v>0</v>
      </c>
      <c r="Q720" t="n">
        <v>0</v>
      </c>
      <c r="R720" s="2" t="inlineStr"/>
    </row>
    <row r="721" ht="15" customHeight="1">
      <c r="A721" t="inlineStr">
        <is>
          <t>A 18781-2025</t>
        </is>
      </c>
      <c r="B721" s="1" t="n">
        <v>45763</v>
      </c>
      <c r="C721" s="1" t="n">
        <v>45916</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35906-2023</t>
        </is>
      </c>
      <c r="B722" s="1" t="n">
        <v>45148</v>
      </c>
      <c r="C722" s="1" t="n">
        <v>45916</v>
      </c>
      <c r="D722" t="inlineStr">
        <is>
          <t>UPPSALA LÄN</t>
        </is>
      </c>
      <c r="E722" t="inlineStr">
        <is>
          <t>UPPSALA</t>
        </is>
      </c>
      <c r="G722" t="n">
        <v>1.7</v>
      </c>
      <c r="H722" t="n">
        <v>0</v>
      </c>
      <c r="I722" t="n">
        <v>0</v>
      </c>
      <c r="J722" t="n">
        <v>0</v>
      </c>
      <c r="K722" t="n">
        <v>0</v>
      </c>
      <c r="L722" t="n">
        <v>0</v>
      </c>
      <c r="M722" t="n">
        <v>0</v>
      </c>
      <c r="N722" t="n">
        <v>0</v>
      </c>
      <c r="O722" t="n">
        <v>0</v>
      </c>
      <c r="P722" t="n">
        <v>0</v>
      </c>
      <c r="Q722" t="n">
        <v>0</v>
      </c>
      <c r="R722" s="2" t="inlineStr"/>
    </row>
    <row r="723" ht="15" customHeight="1">
      <c r="A723" t="inlineStr">
        <is>
          <t>A 59547-2024</t>
        </is>
      </c>
      <c r="B723" s="1" t="n">
        <v>45638</v>
      </c>
      <c r="C723" s="1" t="n">
        <v>45916</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9295-2023</t>
        </is>
      </c>
      <c r="B724" s="1" t="n">
        <v>44980</v>
      </c>
      <c r="C724" s="1" t="n">
        <v>45916</v>
      </c>
      <c r="D724" t="inlineStr">
        <is>
          <t>UPPSALA LÄN</t>
        </is>
      </c>
      <c r="E724" t="inlineStr">
        <is>
          <t>UPPSALA</t>
        </is>
      </c>
      <c r="G724" t="n">
        <v>2.1</v>
      </c>
      <c r="H724" t="n">
        <v>0</v>
      </c>
      <c r="I724" t="n">
        <v>0</v>
      </c>
      <c r="J724" t="n">
        <v>0</v>
      </c>
      <c r="K724" t="n">
        <v>0</v>
      </c>
      <c r="L724" t="n">
        <v>0</v>
      </c>
      <c r="M724" t="n">
        <v>0</v>
      </c>
      <c r="N724" t="n">
        <v>0</v>
      </c>
      <c r="O724" t="n">
        <v>0</v>
      </c>
      <c r="P724" t="n">
        <v>0</v>
      </c>
      <c r="Q724" t="n">
        <v>0</v>
      </c>
      <c r="R724" s="2" t="inlineStr"/>
    </row>
    <row r="725" ht="15" customHeight="1">
      <c r="A725" t="inlineStr">
        <is>
          <t>A 29019-2023</t>
        </is>
      </c>
      <c r="B725" s="1" t="n">
        <v>45104.6828125</v>
      </c>
      <c r="C725" s="1" t="n">
        <v>45916</v>
      </c>
      <c r="D725" t="inlineStr">
        <is>
          <t>UPPSALA LÄN</t>
        </is>
      </c>
      <c r="E725" t="inlineStr">
        <is>
          <t>UPPSALA</t>
        </is>
      </c>
      <c r="G725" t="n">
        <v>1.2</v>
      </c>
      <c r="H725" t="n">
        <v>0</v>
      </c>
      <c r="I725" t="n">
        <v>0</v>
      </c>
      <c r="J725" t="n">
        <v>0</v>
      </c>
      <c r="K725" t="n">
        <v>0</v>
      </c>
      <c r="L725" t="n">
        <v>0</v>
      </c>
      <c r="M725" t="n">
        <v>0</v>
      </c>
      <c r="N725" t="n">
        <v>0</v>
      </c>
      <c r="O725" t="n">
        <v>0</v>
      </c>
      <c r="P725" t="n">
        <v>0</v>
      </c>
      <c r="Q725" t="n">
        <v>0</v>
      </c>
      <c r="R725" s="2" t="inlineStr"/>
    </row>
    <row r="726" ht="15" customHeight="1">
      <c r="A726" t="inlineStr">
        <is>
          <t>A 28782-2024</t>
        </is>
      </c>
      <c r="B726" s="1" t="n">
        <v>45478.60802083334</v>
      </c>
      <c r="C726" s="1" t="n">
        <v>45916</v>
      </c>
      <c r="D726" t="inlineStr">
        <is>
          <t>UPPSALA LÄN</t>
        </is>
      </c>
      <c r="E726" t="inlineStr">
        <is>
          <t>UPPSALA</t>
        </is>
      </c>
      <c r="F726" t="inlineStr">
        <is>
          <t>Holmen skog AB</t>
        </is>
      </c>
      <c r="G726" t="n">
        <v>0.9</v>
      </c>
      <c r="H726" t="n">
        <v>0</v>
      </c>
      <c r="I726" t="n">
        <v>0</v>
      </c>
      <c r="J726" t="n">
        <v>0</v>
      </c>
      <c r="K726" t="n">
        <v>0</v>
      </c>
      <c r="L726" t="n">
        <v>0</v>
      </c>
      <c r="M726" t="n">
        <v>0</v>
      </c>
      <c r="N726" t="n">
        <v>0</v>
      </c>
      <c r="O726" t="n">
        <v>0</v>
      </c>
      <c r="P726" t="n">
        <v>0</v>
      </c>
      <c r="Q726" t="n">
        <v>0</v>
      </c>
      <c r="R726" s="2" t="inlineStr"/>
    </row>
    <row r="727" ht="15" customHeight="1">
      <c r="A727" t="inlineStr">
        <is>
          <t>A 31161-2023</t>
        </is>
      </c>
      <c r="B727" s="1" t="n">
        <v>45113.80170138889</v>
      </c>
      <c r="C727" s="1" t="n">
        <v>45916</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27125-2023</t>
        </is>
      </c>
      <c r="B728" s="1" t="n">
        <v>45096</v>
      </c>
      <c r="C728" s="1" t="n">
        <v>45916</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9426-2023</t>
        </is>
      </c>
      <c r="B729" s="1" t="n">
        <v>44977</v>
      </c>
      <c r="C729" s="1" t="n">
        <v>45916</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53900-2023</t>
        </is>
      </c>
      <c r="B730" s="1" t="n">
        <v>45231.54601851852</v>
      </c>
      <c r="C730" s="1" t="n">
        <v>45916</v>
      </c>
      <c r="D730" t="inlineStr">
        <is>
          <t>UPPSALA LÄN</t>
        </is>
      </c>
      <c r="E730" t="inlineStr">
        <is>
          <t>UPPSALA</t>
        </is>
      </c>
      <c r="G730" t="n">
        <v>2.1</v>
      </c>
      <c r="H730" t="n">
        <v>0</v>
      </c>
      <c r="I730" t="n">
        <v>0</v>
      </c>
      <c r="J730" t="n">
        <v>0</v>
      </c>
      <c r="K730" t="n">
        <v>0</v>
      </c>
      <c r="L730" t="n">
        <v>0</v>
      </c>
      <c r="M730" t="n">
        <v>0</v>
      </c>
      <c r="N730" t="n">
        <v>0</v>
      </c>
      <c r="O730" t="n">
        <v>0</v>
      </c>
      <c r="P730" t="n">
        <v>0</v>
      </c>
      <c r="Q730" t="n">
        <v>0</v>
      </c>
      <c r="R730" s="2" t="inlineStr"/>
    </row>
    <row r="731" ht="15" customHeight="1">
      <c r="A731" t="inlineStr">
        <is>
          <t>A 8132-2022</t>
        </is>
      </c>
      <c r="B731" s="1" t="n">
        <v>44609.60171296296</v>
      </c>
      <c r="C731" s="1" t="n">
        <v>45916</v>
      </c>
      <c r="D731" t="inlineStr">
        <is>
          <t>UPPSALA LÄN</t>
        </is>
      </c>
      <c r="E731" t="inlineStr">
        <is>
          <t>UPPSALA</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6155-2023</t>
        </is>
      </c>
      <c r="B732" s="1" t="n">
        <v>44964.65261574074</v>
      </c>
      <c r="C732" s="1" t="n">
        <v>45916</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18054-2025</t>
        </is>
      </c>
      <c r="B733" s="1" t="n">
        <v>45761.47540509259</v>
      </c>
      <c r="C733" s="1" t="n">
        <v>45916</v>
      </c>
      <c r="D733" t="inlineStr">
        <is>
          <t>UPPSALA LÄN</t>
        </is>
      </c>
      <c r="E733" t="inlineStr">
        <is>
          <t>UPPSALA</t>
        </is>
      </c>
      <c r="G733" t="n">
        <v>1.9</v>
      </c>
      <c r="H733" t="n">
        <v>0</v>
      </c>
      <c r="I733" t="n">
        <v>0</v>
      </c>
      <c r="J733" t="n">
        <v>0</v>
      </c>
      <c r="K733" t="n">
        <v>0</v>
      </c>
      <c r="L733" t="n">
        <v>0</v>
      </c>
      <c r="M733" t="n">
        <v>0</v>
      </c>
      <c r="N733" t="n">
        <v>0</v>
      </c>
      <c r="O733" t="n">
        <v>0</v>
      </c>
      <c r="P733" t="n">
        <v>0</v>
      </c>
      <c r="Q733" t="n">
        <v>0</v>
      </c>
      <c r="R733" s="2" t="inlineStr"/>
    </row>
    <row r="734" ht="15" customHeight="1">
      <c r="A734" t="inlineStr">
        <is>
          <t>A 18058-2025</t>
        </is>
      </c>
      <c r="B734" s="1" t="n">
        <v>45761.47748842592</v>
      </c>
      <c r="C734" s="1" t="n">
        <v>45916</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53346-2020</t>
        </is>
      </c>
      <c r="B735" s="1" t="n">
        <v>44123</v>
      </c>
      <c r="C735" s="1" t="n">
        <v>45916</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1588-2025</t>
        </is>
      </c>
      <c r="B736" s="1" t="n">
        <v>45670</v>
      </c>
      <c r="C736" s="1" t="n">
        <v>45916</v>
      </c>
      <c r="D736" t="inlineStr">
        <is>
          <t>UPPSALA LÄN</t>
        </is>
      </c>
      <c r="E736" t="inlineStr">
        <is>
          <t>UPPSALA</t>
        </is>
      </c>
      <c r="F736" t="inlineStr">
        <is>
          <t>Bergvik skog väst AB</t>
        </is>
      </c>
      <c r="G736" t="n">
        <v>0.8</v>
      </c>
      <c r="H736" t="n">
        <v>0</v>
      </c>
      <c r="I736" t="n">
        <v>0</v>
      </c>
      <c r="J736" t="n">
        <v>0</v>
      </c>
      <c r="K736" t="n">
        <v>0</v>
      </c>
      <c r="L736" t="n">
        <v>0</v>
      </c>
      <c r="M736" t="n">
        <v>0</v>
      </c>
      <c r="N736" t="n">
        <v>0</v>
      </c>
      <c r="O736" t="n">
        <v>0</v>
      </c>
      <c r="P736" t="n">
        <v>0</v>
      </c>
      <c r="Q736" t="n">
        <v>0</v>
      </c>
      <c r="R736" s="2" t="inlineStr"/>
    </row>
    <row r="737" ht="15" customHeight="1">
      <c r="A737" t="inlineStr">
        <is>
          <t>A 40872-2023</t>
        </is>
      </c>
      <c r="B737" s="1" t="n">
        <v>45173</v>
      </c>
      <c r="C737" s="1" t="n">
        <v>45916</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6550-2025</t>
        </is>
      </c>
      <c r="B738" s="1" t="n">
        <v>45699.71063657408</v>
      </c>
      <c r="C738" s="1" t="n">
        <v>45916</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31157-2023</t>
        </is>
      </c>
      <c r="B739" s="1" t="n">
        <v>45113</v>
      </c>
      <c r="C739" s="1" t="n">
        <v>45916</v>
      </c>
      <c r="D739" t="inlineStr">
        <is>
          <t>UPPSALA LÄN</t>
        </is>
      </c>
      <c r="E739" t="inlineStr">
        <is>
          <t>UPPSALA</t>
        </is>
      </c>
      <c r="G739" t="n">
        <v>1.6</v>
      </c>
      <c r="H739" t="n">
        <v>0</v>
      </c>
      <c r="I739" t="n">
        <v>0</v>
      </c>
      <c r="J739" t="n">
        <v>0</v>
      </c>
      <c r="K739" t="n">
        <v>0</v>
      </c>
      <c r="L739" t="n">
        <v>0</v>
      </c>
      <c r="M739" t="n">
        <v>0</v>
      </c>
      <c r="N739" t="n">
        <v>0</v>
      </c>
      <c r="O739" t="n">
        <v>0</v>
      </c>
      <c r="P739" t="n">
        <v>0</v>
      </c>
      <c r="Q739" t="n">
        <v>0</v>
      </c>
      <c r="R739" s="2" t="inlineStr"/>
    </row>
    <row r="740" ht="15" customHeight="1">
      <c r="A740" t="inlineStr">
        <is>
          <t>A 55862-2022</t>
        </is>
      </c>
      <c r="B740" s="1" t="n">
        <v>44888</v>
      </c>
      <c r="C740" s="1" t="n">
        <v>45916</v>
      </c>
      <c r="D740" t="inlineStr">
        <is>
          <t>UPPSALA LÄN</t>
        </is>
      </c>
      <c r="E740" t="inlineStr">
        <is>
          <t>UPPSALA</t>
        </is>
      </c>
      <c r="F740" t="inlineStr">
        <is>
          <t>Bergvik skog öst AB</t>
        </is>
      </c>
      <c r="G740" t="n">
        <v>1.6</v>
      </c>
      <c r="H740" t="n">
        <v>0</v>
      </c>
      <c r="I740" t="n">
        <v>0</v>
      </c>
      <c r="J740" t="n">
        <v>0</v>
      </c>
      <c r="K740" t="n">
        <v>0</v>
      </c>
      <c r="L740" t="n">
        <v>0</v>
      </c>
      <c r="M740" t="n">
        <v>0</v>
      </c>
      <c r="N740" t="n">
        <v>0</v>
      </c>
      <c r="O740" t="n">
        <v>0</v>
      </c>
      <c r="P740" t="n">
        <v>0</v>
      </c>
      <c r="Q740" t="n">
        <v>0</v>
      </c>
      <c r="R740" s="2" t="inlineStr"/>
    </row>
    <row r="741" ht="15" customHeight="1">
      <c r="A741" t="inlineStr">
        <is>
          <t>A 32428-2023</t>
        </is>
      </c>
      <c r="B741" s="1" t="n">
        <v>45110</v>
      </c>
      <c r="C741" s="1" t="n">
        <v>45916</v>
      </c>
      <c r="D741" t="inlineStr">
        <is>
          <t>UPPSALA LÄN</t>
        </is>
      </c>
      <c r="E741" t="inlineStr">
        <is>
          <t>UPPSALA</t>
        </is>
      </c>
      <c r="G741" t="n">
        <v>3.1</v>
      </c>
      <c r="H741" t="n">
        <v>0</v>
      </c>
      <c r="I741" t="n">
        <v>0</v>
      </c>
      <c r="J741" t="n">
        <v>0</v>
      </c>
      <c r="K741" t="n">
        <v>0</v>
      </c>
      <c r="L741" t="n">
        <v>0</v>
      </c>
      <c r="M741" t="n">
        <v>0</v>
      </c>
      <c r="N741" t="n">
        <v>0</v>
      </c>
      <c r="O741" t="n">
        <v>0</v>
      </c>
      <c r="P741" t="n">
        <v>0</v>
      </c>
      <c r="Q741" t="n">
        <v>0</v>
      </c>
      <c r="R741" s="2" t="inlineStr"/>
    </row>
    <row r="742" ht="15" customHeight="1">
      <c r="A742" t="inlineStr">
        <is>
          <t>A 33332-2022</t>
        </is>
      </c>
      <c r="B742" s="1" t="n">
        <v>44788</v>
      </c>
      <c r="C742" s="1" t="n">
        <v>45916</v>
      </c>
      <c r="D742" t="inlineStr">
        <is>
          <t>UPPSALA LÄN</t>
        </is>
      </c>
      <c r="E742" t="inlineStr">
        <is>
          <t>UPPSALA</t>
        </is>
      </c>
      <c r="G742" t="n">
        <v>1</v>
      </c>
      <c r="H742" t="n">
        <v>0</v>
      </c>
      <c r="I742" t="n">
        <v>0</v>
      </c>
      <c r="J742" t="n">
        <v>0</v>
      </c>
      <c r="K742" t="n">
        <v>0</v>
      </c>
      <c r="L742" t="n">
        <v>0</v>
      </c>
      <c r="M742" t="n">
        <v>0</v>
      </c>
      <c r="N742" t="n">
        <v>0</v>
      </c>
      <c r="O742" t="n">
        <v>0</v>
      </c>
      <c r="P742" t="n">
        <v>0</v>
      </c>
      <c r="Q742" t="n">
        <v>0</v>
      </c>
      <c r="R742" s="2" t="inlineStr"/>
    </row>
    <row r="743" ht="15" customHeight="1">
      <c r="A743" t="inlineStr">
        <is>
          <t>A 27912-2023</t>
        </is>
      </c>
      <c r="B743" s="1" t="n">
        <v>45098.63572916666</v>
      </c>
      <c r="C743" s="1" t="n">
        <v>45916</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49050-2024</t>
        </is>
      </c>
      <c r="B744" s="1" t="n">
        <v>45594</v>
      </c>
      <c r="C744" s="1" t="n">
        <v>45916</v>
      </c>
      <c r="D744" t="inlineStr">
        <is>
          <t>UPPSALA LÄN</t>
        </is>
      </c>
      <c r="E744" t="inlineStr">
        <is>
          <t>UPPSALA</t>
        </is>
      </c>
      <c r="F744" t="inlineStr">
        <is>
          <t>Övriga statliga verk och myndigheter</t>
        </is>
      </c>
      <c r="G744" t="n">
        <v>3.9</v>
      </c>
      <c r="H744" t="n">
        <v>0</v>
      </c>
      <c r="I744" t="n">
        <v>0</v>
      </c>
      <c r="J744" t="n">
        <v>0</v>
      </c>
      <c r="K744" t="n">
        <v>0</v>
      </c>
      <c r="L744" t="n">
        <v>0</v>
      </c>
      <c r="M744" t="n">
        <v>0</v>
      </c>
      <c r="N744" t="n">
        <v>0</v>
      </c>
      <c r="O744" t="n">
        <v>0</v>
      </c>
      <c r="P744" t="n">
        <v>0</v>
      </c>
      <c r="Q744" t="n">
        <v>0</v>
      </c>
      <c r="R744" s="2" t="inlineStr"/>
    </row>
    <row r="745" ht="15" customHeight="1">
      <c r="A745" t="inlineStr">
        <is>
          <t>A 1592-2025</t>
        </is>
      </c>
      <c r="B745" s="1" t="n">
        <v>45670</v>
      </c>
      <c r="C745" s="1" t="n">
        <v>45916</v>
      </c>
      <c r="D745" t="inlineStr">
        <is>
          <t>UPPSALA LÄN</t>
        </is>
      </c>
      <c r="E745" t="inlineStr">
        <is>
          <t>UPPSALA</t>
        </is>
      </c>
      <c r="F745" t="inlineStr">
        <is>
          <t>Bergvik skog väst AB</t>
        </is>
      </c>
      <c r="G745" t="n">
        <v>0.7</v>
      </c>
      <c r="H745" t="n">
        <v>0</v>
      </c>
      <c r="I745" t="n">
        <v>0</v>
      </c>
      <c r="J745" t="n">
        <v>0</v>
      </c>
      <c r="K745" t="n">
        <v>0</v>
      </c>
      <c r="L745" t="n">
        <v>0</v>
      </c>
      <c r="M745" t="n">
        <v>0</v>
      </c>
      <c r="N745" t="n">
        <v>0</v>
      </c>
      <c r="O745" t="n">
        <v>0</v>
      </c>
      <c r="P745" t="n">
        <v>0</v>
      </c>
      <c r="Q745" t="n">
        <v>0</v>
      </c>
      <c r="R745" s="2" t="inlineStr"/>
    </row>
    <row r="746" ht="15" customHeight="1">
      <c r="A746" t="inlineStr">
        <is>
          <t>A 9611-2024</t>
        </is>
      </c>
      <c r="B746" s="1" t="n">
        <v>45361.57299768519</v>
      </c>
      <c r="C746" s="1" t="n">
        <v>45916</v>
      </c>
      <c r="D746" t="inlineStr">
        <is>
          <t>UPPSALA LÄN</t>
        </is>
      </c>
      <c r="E746" t="inlineStr">
        <is>
          <t>UPPSALA</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24091-2024</t>
        </is>
      </c>
      <c r="B747" s="1" t="n">
        <v>45456.58491898148</v>
      </c>
      <c r="C747" s="1" t="n">
        <v>45916</v>
      </c>
      <c r="D747" t="inlineStr">
        <is>
          <t>UPPSALA LÄN</t>
        </is>
      </c>
      <c r="E747" t="inlineStr">
        <is>
          <t>UPPSALA</t>
        </is>
      </c>
      <c r="G747" t="n">
        <v>1.8</v>
      </c>
      <c r="H747" t="n">
        <v>0</v>
      </c>
      <c r="I747" t="n">
        <v>0</v>
      </c>
      <c r="J747" t="n">
        <v>0</v>
      </c>
      <c r="K747" t="n">
        <v>0</v>
      </c>
      <c r="L747" t="n">
        <v>0</v>
      </c>
      <c r="M747" t="n">
        <v>0</v>
      </c>
      <c r="N747" t="n">
        <v>0</v>
      </c>
      <c r="O747" t="n">
        <v>0</v>
      </c>
      <c r="P747" t="n">
        <v>0</v>
      </c>
      <c r="Q747" t="n">
        <v>0</v>
      </c>
      <c r="R747" s="2" t="inlineStr"/>
    </row>
    <row r="748" ht="15" customHeight="1">
      <c r="A748" t="inlineStr">
        <is>
          <t>A 10383-2022</t>
        </is>
      </c>
      <c r="B748" s="1" t="n">
        <v>44623.41775462963</v>
      </c>
      <c r="C748" s="1" t="n">
        <v>45916</v>
      </c>
      <c r="D748" t="inlineStr">
        <is>
          <t>UPPSALA LÄN</t>
        </is>
      </c>
      <c r="E748" t="inlineStr">
        <is>
          <t>UPPSALA</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60781-2023</t>
        </is>
      </c>
      <c r="B749" s="1" t="n">
        <v>45259</v>
      </c>
      <c r="C749" s="1" t="n">
        <v>45916</v>
      </c>
      <c r="D749" t="inlineStr">
        <is>
          <t>UPPSALA LÄN</t>
        </is>
      </c>
      <c r="E749" t="inlineStr">
        <is>
          <t>UPPSALA</t>
        </is>
      </c>
      <c r="G749" t="n">
        <v>4.1</v>
      </c>
      <c r="H749" t="n">
        <v>0</v>
      </c>
      <c r="I749" t="n">
        <v>0</v>
      </c>
      <c r="J749" t="n">
        <v>0</v>
      </c>
      <c r="K749" t="n">
        <v>0</v>
      </c>
      <c r="L749" t="n">
        <v>0</v>
      </c>
      <c r="M749" t="n">
        <v>0</v>
      </c>
      <c r="N749" t="n">
        <v>0</v>
      </c>
      <c r="O749" t="n">
        <v>0</v>
      </c>
      <c r="P749" t="n">
        <v>0</v>
      </c>
      <c r="Q749" t="n">
        <v>0</v>
      </c>
      <c r="R749" s="2" t="inlineStr"/>
    </row>
    <row r="750" ht="15" customHeight="1">
      <c r="A750" t="inlineStr">
        <is>
          <t>A 24787-2024</t>
        </is>
      </c>
      <c r="B750" s="1" t="n">
        <v>45460</v>
      </c>
      <c r="C750" s="1" t="n">
        <v>45916</v>
      </c>
      <c r="D750" t="inlineStr">
        <is>
          <t>UPPSALA LÄN</t>
        </is>
      </c>
      <c r="E750" t="inlineStr">
        <is>
          <t>UPPSALA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60167-2024</t>
        </is>
      </c>
      <c r="B751" s="1" t="n">
        <v>45642.63524305556</v>
      </c>
      <c r="C751" s="1" t="n">
        <v>45916</v>
      </c>
      <c r="D751" t="inlineStr">
        <is>
          <t>UPPSALA LÄN</t>
        </is>
      </c>
      <c r="E751" t="inlineStr">
        <is>
          <t>UPPSALA</t>
        </is>
      </c>
      <c r="G751" t="n">
        <v>1</v>
      </c>
      <c r="H751" t="n">
        <v>0</v>
      </c>
      <c r="I751" t="n">
        <v>0</v>
      </c>
      <c r="J751" t="n">
        <v>0</v>
      </c>
      <c r="K751" t="n">
        <v>0</v>
      </c>
      <c r="L751" t="n">
        <v>0</v>
      </c>
      <c r="M751" t="n">
        <v>0</v>
      </c>
      <c r="N751" t="n">
        <v>0</v>
      </c>
      <c r="O751" t="n">
        <v>0</v>
      </c>
      <c r="P751" t="n">
        <v>0</v>
      </c>
      <c r="Q751" t="n">
        <v>0</v>
      </c>
      <c r="R751" s="2" t="inlineStr"/>
    </row>
    <row r="752" ht="15" customHeight="1">
      <c r="A752" t="inlineStr">
        <is>
          <t>A 18717-2025</t>
        </is>
      </c>
      <c r="B752" s="1" t="n">
        <v>45763.6503125</v>
      </c>
      <c r="C752" s="1" t="n">
        <v>45916</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60691-2024</t>
        </is>
      </c>
      <c r="B753" s="1" t="n">
        <v>45644.47723379629</v>
      </c>
      <c r="C753" s="1" t="n">
        <v>45916</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23157-2023</t>
        </is>
      </c>
      <c r="B754" s="1" t="n">
        <v>45075.51982638889</v>
      </c>
      <c r="C754" s="1" t="n">
        <v>45916</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53589-2024</t>
        </is>
      </c>
      <c r="B755" s="1" t="n">
        <v>45614.67020833334</v>
      </c>
      <c r="C755" s="1" t="n">
        <v>45916</v>
      </c>
      <c r="D755" t="inlineStr">
        <is>
          <t>UPPSALA LÄN</t>
        </is>
      </c>
      <c r="E755" t="inlineStr">
        <is>
          <t>UPPSALA</t>
        </is>
      </c>
      <c r="G755" t="n">
        <v>4</v>
      </c>
      <c r="H755" t="n">
        <v>0</v>
      </c>
      <c r="I755" t="n">
        <v>0</v>
      </c>
      <c r="J755" t="n">
        <v>0</v>
      </c>
      <c r="K755" t="n">
        <v>0</v>
      </c>
      <c r="L755" t="n">
        <v>0</v>
      </c>
      <c r="M755" t="n">
        <v>0</v>
      </c>
      <c r="N755" t="n">
        <v>0</v>
      </c>
      <c r="O755" t="n">
        <v>0</v>
      </c>
      <c r="P755" t="n">
        <v>0</v>
      </c>
      <c r="Q755" t="n">
        <v>0</v>
      </c>
      <c r="R755" s="2" t="inlineStr"/>
    </row>
    <row r="756" ht="15" customHeight="1">
      <c r="A756" t="inlineStr">
        <is>
          <t>A 35914-2023</t>
        </is>
      </c>
      <c r="B756" s="1" t="n">
        <v>45148</v>
      </c>
      <c r="C756" s="1" t="n">
        <v>45916</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35916-2023</t>
        </is>
      </c>
      <c r="B757" s="1" t="n">
        <v>45148</v>
      </c>
      <c r="C757" s="1" t="n">
        <v>45916</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43029-2023</t>
        </is>
      </c>
      <c r="B758" s="1" t="n">
        <v>45182</v>
      </c>
      <c r="C758" s="1" t="n">
        <v>45916</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61947-2023</t>
        </is>
      </c>
      <c r="B759" s="1" t="n">
        <v>45266</v>
      </c>
      <c r="C759" s="1" t="n">
        <v>45916</v>
      </c>
      <c r="D759" t="inlineStr">
        <is>
          <t>UPPSALA LÄN</t>
        </is>
      </c>
      <c r="E759" t="inlineStr">
        <is>
          <t>UPPSALA</t>
        </is>
      </c>
      <c r="G759" t="n">
        <v>1</v>
      </c>
      <c r="H759" t="n">
        <v>0</v>
      </c>
      <c r="I759" t="n">
        <v>0</v>
      </c>
      <c r="J759" t="n">
        <v>0</v>
      </c>
      <c r="K759" t="n">
        <v>0</v>
      </c>
      <c r="L759" t="n">
        <v>0</v>
      </c>
      <c r="M759" t="n">
        <v>0</v>
      </c>
      <c r="N759" t="n">
        <v>0</v>
      </c>
      <c r="O759" t="n">
        <v>0</v>
      </c>
      <c r="P759" t="n">
        <v>0</v>
      </c>
      <c r="Q759" t="n">
        <v>0</v>
      </c>
      <c r="R759" s="2" t="inlineStr"/>
    </row>
    <row r="760" ht="15" customHeight="1">
      <c r="A760" t="inlineStr">
        <is>
          <t>A 61574-2024</t>
        </is>
      </c>
      <c r="B760" s="1" t="n">
        <v>45646.61892361111</v>
      </c>
      <c r="C760" s="1" t="n">
        <v>45916</v>
      </c>
      <c r="D760" t="inlineStr">
        <is>
          <t>UPPSALA LÄN</t>
        </is>
      </c>
      <c r="E760" t="inlineStr">
        <is>
          <t>UPPSALA</t>
        </is>
      </c>
      <c r="G760" t="n">
        <v>0.6</v>
      </c>
      <c r="H760" t="n">
        <v>0</v>
      </c>
      <c r="I760" t="n">
        <v>0</v>
      </c>
      <c r="J760" t="n">
        <v>0</v>
      </c>
      <c r="K760" t="n">
        <v>0</v>
      </c>
      <c r="L760" t="n">
        <v>0</v>
      </c>
      <c r="M760" t="n">
        <v>0</v>
      </c>
      <c r="N760" t="n">
        <v>0</v>
      </c>
      <c r="O760" t="n">
        <v>0</v>
      </c>
      <c r="P760" t="n">
        <v>0</v>
      </c>
      <c r="Q760" t="n">
        <v>0</v>
      </c>
      <c r="R760" s="2" t="inlineStr"/>
    </row>
    <row r="761" ht="15" customHeight="1">
      <c r="A761" t="inlineStr">
        <is>
          <t>A 38865-2022</t>
        </is>
      </c>
      <c r="B761" s="1" t="n">
        <v>44816</v>
      </c>
      <c r="C761" s="1" t="n">
        <v>45916</v>
      </c>
      <c r="D761" t="inlineStr">
        <is>
          <t>UPPSALA LÄN</t>
        </is>
      </c>
      <c r="E761" t="inlineStr">
        <is>
          <t>UPPSALA</t>
        </is>
      </c>
      <c r="G761" t="n">
        <v>14.6</v>
      </c>
      <c r="H761" t="n">
        <v>0</v>
      </c>
      <c r="I761" t="n">
        <v>0</v>
      </c>
      <c r="J761" t="n">
        <v>0</v>
      </c>
      <c r="K761" t="n">
        <v>0</v>
      </c>
      <c r="L761" t="n">
        <v>0</v>
      </c>
      <c r="M761" t="n">
        <v>0</v>
      </c>
      <c r="N761" t="n">
        <v>0</v>
      </c>
      <c r="O761" t="n">
        <v>0</v>
      </c>
      <c r="P761" t="n">
        <v>0</v>
      </c>
      <c r="Q761" t="n">
        <v>0</v>
      </c>
      <c r="R761" s="2" t="inlineStr"/>
    </row>
    <row r="762" ht="15" customHeight="1">
      <c r="A762" t="inlineStr">
        <is>
          <t>A 1994-2024</t>
        </is>
      </c>
      <c r="B762" s="1" t="n">
        <v>45308.63298611111</v>
      </c>
      <c r="C762" s="1" t="n">
        <v>45916</v>
      </c>
      <c r="D762" t="inlineStr">
        <is>
          <t>UPPSALA LÄN</t>
        </is>
      </c>
      <c r="E762" t="inlineStr">
        <is>
          <t>UPPSALA</t>
        </is>
      </c>
      <c r="G762" t="n">
        <v>1.6</v>
      </c>
      <c r="H762" t="n">
        <v>0</v>
      </c>
      <c r="I762" t="n">
        <v>0</v>
      </c>
      <c r="J762" t="n">
        <v>0</v>
      </c>
      <c r="K762" t="n">
        <v>0</v>
      </c>
      <c r="L762" t="n">
        <v>0</v>
      </c>
      <c r="M762" t="n">
        <v>0</v>
      </c>
      <c r="N762" t="n">
        <v>0</v>
      </c>
      <c r="O762" t="n">
        <v>0</v>
      </c>
      <c r="P762" t="n">
        <v>0</v>
      </c>
      <c r="Q762" t="n">
        <v>0</v>
      </c>
      <c r="R762" s="2" t="inlineStr"/>
    </row>
    <row r="763" ht="15" customHeight="1">
      <c r="A763" t="inlineStr">
        <is>
          <t>A 4993-2025</t>
        </is>
      </c>
      <c r="B763" s="1" t="n">
        <v>45691</v>
      </c>
      <c r="C763" s="1" t="n">
        <v>45916</v>
      </c>
      <c r="D763" t="inlineStr">
        <is>
          <t>UPPSALA LÄN</t>
        </is>
      </c>
      <c r="E763" t="inlineStr">
        <is>
          <t>UPPSALA</t>
        </is>
      </c>
      <c r="F763" t="inlineStr">
        <is>
          <t>Kyrkan</t>
        </is>
      </c>
      <c r="G763" t="n">
        <v>6.7</v>
      </c>
      <c r="H763" t="n">
        <v>0</v>
      </c>
      <c r="I763" t="n">
        <v>0</v>
      </c>
      <c r="J763" t="n">
        <v>0</v>
      </c>
      <c r="K763" t="n">
        <v>0</v>
      </c>
      <c r="L763" t="n">
        <v>0</v>
      </c>
      <c r="M763" t="n">
        <v>0</v>
      </c>
      <c r="N763" t="n">
        <v>0</v>
      </c>
      <c r="O763" t="n">
        <v>0</v>
      </c>
      <c r="P763" t="n">
        <v>0</v>
      </c>
      <c r="Q763" t="n">
        <v>0</v>
      </c>
      <c r="R763" s="2" t="inlineStr"/>
    </row>
    <row r="764" ht="15" customHeight="1">
      <c r="A764" t="inlineStr">
        <is>
          <t>A 25462-2023</t>
        </is>
      </c>
      <c r="B764" s="1" t="n">
        <v>45089</v>
      </c>
      <c r="C764" s="1" t="n">
        <v>45916</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29927-2023</t>
        </is>
      </c>
      <c r="B765" s="1" t="n">
        <v>45107</v>
      </c>
      <c r="C765" s="1" t="n">
        <v>45916</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14337-2022</t>
        </is>
      </c>
      <c r="B766" s="1" t="n">
        <v>44652</v>
      </c>
      <c r="C766" s="1" t="n">
        <v>45916</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70228-2021</t>
        </is>
      </c>
      <c r="B767" s="1" t="n">
        <v>44535</v>
      </c>
      <c r="C767" s="1" t="n">
        <v>45916</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11224-2022</t>
        </is>
      </c>
      <c r="B768" s="1" t="n">
        <v>44629.57741898148</v>
      </c>
      <c r="C768" s="1" t="n">
        <v>45916</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7899-2022</t>
        </is>
      </c>
      <c r="B769" s="1" t="n">
        <v>44608</v>
      </c>
      <c r="C769" s="1" t="n">
        <v>45916</v>
      </c>
      <c r="D769" t="inlineStr">
        <is>
          <t>UPPSALA LÄN</t>
        </is>
      </c>
      <c r="E769" t="inlineStr">
        <is>
          <t>UPPSALA</t>
        </is>
      </c>
      <c r="F769" t="inlineStr">
        <is>
          <t>Övriga Aktiebolag</t>
        </is>
      </c>
      <c r="G769" t="n">
        <v>7.1</v>
      </c>
      <c r="H769" t="n">
        <v>0</v>
      </c>
      <c r="I769" t="n">
        <v>0</v>
      </c>
      <c r="J769" t="n">
        <v>0</v>
      </c>
      <c r="K769" t="n">
        <v>0</v>
      </c>
      <c r="L769" t="n">
        <v>0</v>
      </c>
      <c r="M769" t="n">
        <v>0</v>
      </c>
      <c r="N769" t="n">
        <v>0</v>
      </c>
      <c r="O769" t="n">
        <v>0</v>
      </c>
      <c r="P769" t="n">
        <v>0</v>
      </c>
      <c r="Q769" t="n">
        <v>0</v>
      </c>
      <c r="R769" s="2" t="inlineStr"/>
    </row>
    <row r="770" ht="15" customHeight="1">
      <c r="A770" t="inlineStr">
        <is>
          <t>A 46745-2024</t>
        </is>
      </c>
      <c r="B770" s="1" t="n">
        <v>45583</v>
      </c>
      <c r="C770" s="1" t="n">
        <v>45916</v>
      </c>
      <c r="D770" t="inlineStr">
        <is>
          <t>UPPSALA LÄN</t>
        </is>
      </c>
      <c r="E770" t="inlineStr">
        <is>
          <t>UPPSALA</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46748-2024</t>
        </is>
      </c>
      <c r="B771" s="1" t="n">
        <v>45583</v>
      </c>
      <c r="C771" s="1" t="n">
        <v>45916</v>
      </c>
      <c r="D771" t="inlineStr">
        <is>
          <t>UPPSALA LÄN</t>
        </is>
      </c>
      <c r="E771" t="inlineStr">
        <is>
          <t>UPPSALA</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1573-2021</t>
        </is>
      </c>
      <c r="B772" s="1" t="n">
        <v>44209</v>
      </c>
      <c r="C772" s="1" t="n">
        <v>45916</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8164-2025</t>
        </is>
      </c>
      <c r="B773" s="1" t="n">
        <v>45707</v>
      </c>
      <c r="C773" s="1" t="n">
        <v>45916</v>
      </c>
      <c r="D773" t="inlineStr">
        <is>
          <t>UPPSALA LÄN</t>
        </is>
      </c>
      <c r="E773" t="inlineStr">
        <is>
          <t>UPPSALA</t>
        </is>
      </c>
      <c r="F773" t="inlineStr">
        <is>
          <t>Övriga Aktiebolag</t>
        </is>
      </c>
      <c r="G773" t="n">
        <v>12.2</v>
      </c>
      <c r="H773" t="n">
        <v>0</v>
      </c>
      <c r="I773" t="n">
        <v>0</v>
      </c>
      <c r="J773" t="n">
        <v>0</v>
      </c>
      <c r="K773" t="n">
        <v>0</v>
      </c>
      <c r="L773" t="n">
        <v>0</v>
      </c>
      <c r="M773" t="n">
        <v>0</v>
      </c>
      <c r="N773" t="n">
        <v>0</v>
      </c>
      <c r="O773" t="n">
        <v>0</v>
      </c>
      <c r="P773" t="n">
        <v>0</v>
      </c>
      <c r="Q773" t="n">
        <v>0</v>
      </c>
      <c r="R773" s="2" t="inlineStr"/>
    </row>
    <row r="774" ht="15" customHeight="1">
      <c r="A774" t="inlineStr">
        <is>
          <t>A 60729-2024</t>
        </is>
      </c>
      <c r="B774" s="1" t="n">
        <v>45644</v>
      </c>
      <c r="C774" s="1" t="n">
        <v>45916</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60925-2021</t>
        </is>
      </c>
      <c r="B775" s="1" t="n">
        <v>44497.4666087963</v>
      </c>
      <c r="C775" s="1" t="n">
        <v>45916</v>
      </c>
      <c r="D775" t="inlineStr">
        <is>
          <t>UPPSALA LÄN</t>
        </is>
      </c>
      <c r="E775" t="inlineStr">
        <is>
          <t>UPPSALA</t>
        </is>
      </c>
      <c r="G775" t="n">
        <v>3.7</v>
      </c>
      <c r="H775" t="n">
        <v>0</v>
      </c>
      <c r="I775" t="n">
        <v>0</v>
      </c>
      <c r="J775" t="n">
        <v>0</v>
      </c>
      <c r="K775" t="n">
        <v>0</v>
      </c>
      <c r="L775" t="n">
        <v>0</v>
      </c>
      <c r="M775" t="n">
        <v>0</v>
      </c>
      <c r="N775" t="n">
        <v>0</v>
      </c>
      <c r="O775" t="n">
        <v>0</v>
      </c>
      <c r="P775" t="n">
        <v>0</v>
      </c>
      <c r="Q775" t="n">
        <v>0</v>
      </c>
      <c r="R775" s="2" t="inlineStr"/>
    </row>
    <row r="776" ht="15" customHeight="1">
      <c r="A776" t="inlineStr">
        <is>
          <t>A 3086-2023</t>
        </is>
      </c>
      <c r="B776" s="1" t="n">
        <v>44946.43564814814</v>
      </c>
      <c r="C776" s="1" t="n">
        <v>45916</v>
      </c>
      <c r="D776" t="inlineStr">
        <is>
          <t>UPPSALA LÄN</t>
        </is>
      </c>
      <c r="E776" t="inlineStr">
        <is>
          <t>UPPSALA</t>
        </is>
      </c>
      <c r="G776" t="n">
        <v>2</v>
      </c>
      <c r="H776" t="n">
        <v>0</v>
      </c>
      <c r="I776" t="n">
        <v>0</v>
      </c>
      <c r="J776" t="n">
        <v>0</v>
      </c>
      <c r="K776" t="n">
        <v>0</v>
      </c>
      <c r="L776" t="n">
        <v>0</v>
      </c>
      <c r="M776" t="n">
        <v>0</v>
      </c>
      <c r="N776" t="n">
        <v>0</v>
      </c>
      <c r="O776" t="n">
        <v>0</v>
      </c>
      <c r="P776" t="n">
        <v>0</v>
      </c>
      <c r="Q776" t="n">
        <v>0</v>
      </c>
      <c r="R776" s="2" t="inlineStr"/>
    </row>
    <row r="777" ht="15" customHeight="1">
      <c r="A777" t="inlineStr">
        <is>
          <t>A 6422-2023</t>
        </is>
      </c>
      <c r="B777" s="1" t="n">
        <v>44965</v>
      </c>
      <c r="C777" s="1" t="n">
        <v>45916</v>
      </c>
      <c r="D777" t="inlineStr">
        <is>
          <t>UPPSALA LÄN</t>
        </is>
      </c>
      <c r="E777" t="inlineStr">
        <is>
          <t>UPPSALA</t>
        </is>
      </c>
      <c r="G777" t="n">
        <v>3.1</v>
      </c>
      <c r="H777" t="n">
        <v>0</v>
      </c>
      <c r="I777" t="n">
        <v>0</v>
      </c>
      <c r="J777" t="n">
        <v>0</v>
      </c>
      <c r="K777" t="n">
        <v>0</v>
      </c>
      <c r="L777" t="n">
        <v>0</v>
      </c>
      <c r="M777" t="n">
        <v>0</v>
      </c>
      <c r="N777" t="n">
        <v>0</v>
      </c>
      <c r="O777" t="n">
        <v>0</v>
      </c>
      <c r="P777" t="n">
        <v>0</v>
      </c>
      <c r="Q777" t="n">
        <v>0</v>
      </c>
      <c r="R777" s="2" t="inlineStr"/>
    </row>
    <row r="778" ht="15" customHeight="1">
      <c r="A778" t="inlineStr">
        <is>
          <t>A 6423-2023</t>
        </is>
      </c>
      <c r="B778" s="1" t="n">
        <v>44965</v>
      </c>
      <c r="C778" s="1" t="n">
        <v>45916</v>
      </c>
      <c r="D778" t="inlineStr">
        <is>
          <t>UPPSALA LÄN</t>
        </is>
      </c>
      <c r="E778" t="inlineStr">
        <is>
          <t>UPPSALA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17448-2022</t>
        </is>
      </c>
      <c r="B779" s="1" t="n">
        <v>44679</v>
      </c>
      <c r="C779" s="1" t="n">
        <v>45916</v>
      </c>
      <c r="D779" t="inlineStr">
        <is>
          <t>UPPSALA LÄN</t>
        </is>
      </c>
      <c r="E779" t="inlineStr">
        <is>
          <t>UPPSALA</t>
        </is>
      </c>
      <c r="G779" t="n">
        <v>2.7</v>
      </c>
      <c r="H779" t="n">
        <v>0</v>
      </c>
      <c r="I779" t="n">
        <v>0</v>
      </c>
      <c r="J779" t="n">
        <v>0</v>
      </c>
      <c r="K779" t="n">
        <v>0</v>
      </c>
      <c r="L779" t="n">
        <v>0</v>
      </c>
      <c r="M779" t="n">
        <v>0</v>
      </c>
      <c r="N779" t="n">
        <v>0</v>
      </c>
      <c r="O779" t="n">
        <v>0</v>
      </c>
      <c r="P779" t="n">
        <v>0</v>
      </c>
      <c r="Q779" t="n">
        <v>0</v>
      </c>
      <c r="R779" s="2" t="inlineStr"/>
    </row>
    <row r="780" ht="15" customHeight="1">
      <c r="A780" t="inlineStr">
        <is>
          <t>A 5974-2024</t>
        </is>
      </c>
      <c r="B780" s="1" t="n">
        <v>45336.53908564815</v>
      </c>
      <c r="C780" s="1" t="n">
        <v>45916</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6541-2025</t>
        </is>
      </c>
      <c r="B781" s="1" t="n">
        <v>45699</v>
      </c>
      <c r="C781" s="1" t="n">
        <v>45916</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5975-2024</t>
        </is>
      </c>
      <c r="B782" s="1" t="n">
        <v>45336.54270833333</v>
      </c>
      <c r="C782" s="1" t="n">
        <v>45916</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33562-2023</t>
        </is>
      </c>
      <c r="B783" s="1" t="n">
        <v>45131</v>
      </c>
      <c r="C783" s="1" t="n">
        <v>45916</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5725-2025</t>
        </is>
      </c>
      <c r="B784" s="1" t="n">
        <v>45694</v>
      </c>
      <c r="C784" s="1" t="n">
        <v>45916</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10565-2022</t>
        </is>
      </c>
      <c r="B785" s="1" t="n">
        <v>44624.35083333333</v>
      </c>
      <c r="C785" s="1" t="n">
        <v>45916</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4240-2025</t>
        </is>
      </c>
      <c r="B786" s="1" t="n">
        <v>45685.5778125</v>
      </c>
      <c r="C786" s="1" t="n">
        <v>45916</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3287-2025</t>
        </is>
      </c>
      <c r="B787" s="1" t="n">
        <v>45679</v>
      </c>
      <c r="C787" s="1" t="n">
        <v>45916</v>
      </c>
      <c r="D787" t="inlineStr">
        <is>
          <t>UPPSALA LÄN</t>
        </is>
      </c>
      <c r="E787" t="inlineStr">
        <is>
          <t>UPPSALA</t>
        </is>
      </c>
      <c r="F787" t="inlineStr">
        <is>
          <t>Kyrkan</t>
        </is>
      </c>
      <c r="G787" t="n">
        <v>6.7</v>
      </c>
      <c r="H787" t="n">
        <v>0</v>
      </c>
      <c r="I787" t="n">
        <v>0</v>
      </c>
      <c r="J787" t="n">
        <v>0</v>
      </c>
      <c r="K787" t="n">
        <v>0</v>
      </c>
      <c r="L787" t="n">
        <v>0</v>
      </c>
      <c r="M787" t="n">
        <v>0</v>
      </c>
      <c r="N787" t="n">
        <v>0</v>
      </c>
      <c r="O787" t="n">
        <v>0</v>
      </c>
      <c r="P787" t="n">
        <v>0</v>
      </c>
      <c r="Q787" t="n">
        <v>0</v>
      </c>
      <c r="R787" s="2" t="inlineStr"/>
    </row>
    <row r="788" ht="15" customHeight="1">
      <c r="A788" t="inlineStr">
        <is>
          <t>A 4875-2021</t>
        </is>
      </c>
      <c r="B788" s="1" t="n">
        <v>44223</v>
      </c>
      <c r="C788" s="1" t="n">
        <v>45916</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60954-2024</t>
        </is>
      </c>
      <c r="B789" s="1" t="n">
        <v>45645</v>
      </c>
      <c r="C789" s="1" t="n">
        <v>45916</v>
      </c>
      <c r="D789" t="inlineStr">
        <is>
          <t>UPPSALA LÄN</t>
        </is>
      </c>
      <c r="E789" t="inlineStr">
        <is>
          <t>UPPSALA</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8933-2022</t>
        </is>
      </c>
      <c r="B790" s="1" t="n">
        <v>44614.69730324074</v>
      </c>
      <c r="C790" s="1" t="n">
        <v>45916</v>
      </c>
      <c r="D790" t="inlineStr">
        <is>
          <t>UPPSALA LÄN</t>
        </is>
      </c>
      <c r="E790" t="inlineStr">
        <is>
          <t>UPPSALA</t>
        </is>
      </c>
      <c r="F790" t="inlineStr">
        <is>
          <t>Holmen skog AB</t>
        </is>
      </c>
      <c r="G790" t="n">
        <v>3.6</v>
      </c>
      <c r="H790" t="n">
        <v>0</v>
      </c>
      <c r="I790" t="n">
        <v>0</v>
      </c>
      <c r="J790" t="n">
        <v>0</v>
      </c>
      <c r="K790" t="n">
        <v>0</v>
      </c>
      <c r="L790" t="n">
        <v>0</v>
      </c>
      <c r="M790" t="n">
        <v>0</v>
      </c>
      <c r="N790" t="n">
        <v>0</v>
      </c>
      <c r="O790" t="n">
        <v>0</v>
      </c>
      <c r="P790" t="n">
        <v>0</v>
      </c>
      <c r="Q790" t="n">
        <v>0</v>
      </c>
      <c r="R790" s="2" t="inlineStr"/>
    </row>
    <row r="791" ht="15" customHeight="1">
      <c r="A791" t="inlineStr">
        <is>
          <t>A 60714-2023</t>
        </is>
      </c>
      <c r="B791" s="1" t="n">
        <v>45259</v>
      </c>
      <c r="C791" s="1" t="n">
        <v>45916</v>
      </c>
      <c r="D791" t="inlineStr">
        <is>
          <t>UPPSALA LÄN</t>
        </is>
      </c>
      <c r="E791" t="inlineStr">
        <is>
          <t>UPPSALA</t>
        </is>
      </c>
      <c r="G791" t="n">
        <v>3.3</v>
      </c>
      <c r="H791" t="n">
        <v>0</v>
      </c>
      <c r="I791" t="n">
        <v>0</v>
      </c>
      <c r="J791" t="n">
        <v>0</v>
      </c>
      <c r="K791" t="n">
        <v>0</v>
      </c>
      <c r="L791" t="n">
        <v>0</v>
      </c>
      <c r="M791" t="n">
        <v>0</v>
      </c>
      <c r="N791" t="n">
        <v>0</v>
      </c>
      <c r="O791" t="n">
        <v>0</v>
      </c>
      <c r="P791" t="n">
        <v>0</v>
      </c>
      <c r="Q791" t="n">
        <v>0</v>
      </c>
      <c r="R791" s="2" t="inlineStr"/>
    </row>
    <row r="792" ht="15" customHeight="1">
      <c r="A792" t="inlineStr">
        <is>
          <t>A 27599-2023</t>
        </is>
      </c>
      <c r="B792" s="1" t="n">
        <v>45097</v>
      </c>
      <c r="C792" s="1" t="n">
        <v>45916</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48153-2024</t>
        </is>
      </c>
      <c r="B793" s="1" t="n">
        <v>45589</v>
      </c>
      <c r="C793" s="1" t="n">
        <v>45916</v>
      </c>
      <c r="D793" t="inlineStr">
        <is>
          <t>UPPSALA LÄN</t>
        </is>
      </c>
      <c r="E793" t="inlineStr">
        <is>
          <t>UPPSALA</t>
        </is>
      </c>
      <c r="G793" t="n">
        <v>3.4</v>
      </c>
      <c r="H793" t="n">
        <v>0</v>
      </c>
      <c r="I793" t="n">
        <v>0</v>
      </c>
      <c r="J793" t="n">
        <v>0</v>
      </c>
      <c r="K793" t="n">
        <v>0</v>
      </c>
      <c r="L793" t="n">
        <v>0</v>
      </c>
      <c r="M793" t="n">
        <v>0</v>
      </c>
      <c r="N793" t="n">
        <v>0</v>
      </c>
      <c r="O793" t="n">
        <v>0</v>
      </c>
      <c r="P793" t="n">
        <v>0</v>
      </c>
      <c r="Q793" t="n">
        <v>0</v>
      </c>
      <c r="R793" s="2" t="inlineStr"/>
    </row>
    <row r="794" ht="15" customHeight="1">
      <c r="A794" t="inlineStr">
        <is>
          <t>A 48154-2024</t>
        </is>
      </c>
      <c r="B794" s="1" t="n">
        <v>45589</v>
      </c>
      <c r="C794" s="1" t="n">
        <v>45916</v>
      </c>
      <c r="D794" t="inlineStr">
        <is>
          <t>UPPSALA LÄN</t>
        </is>
      </c>
      <c r="E794" t="inlineStr">
        <is>
          <t>UPPSALA</t>
        </is>
      </c>
      <c r="G794" t="n">
        <v>5.1</v>
      </c>
      <c r="H794" t="n">
        <v>0</v>
      </c>
      <c r="I794" t="n">
        <v>0</v>
      </c>
      <c r="J794" t="n">
        <v>0</v>
      </c>
      <c r="K794" t="n">
        <v>0</v>
      </c>
      <c r="L794" t="n">
        <v>0</v>
      </c>
      <c r="M794" t="n">
        <v>0</v>
      </c>
      <c r="N794" t="n">
        <v>0</v>
      </c>
      <c r="O794" t="n">
        <v>0</v>
      </c>
      <c r="P794" t="n">
        <v>0</v>
      </c>
      <c r="Q794" t="n">
        <v>0</v>
      </c>
      <c r="R794" s="2" t="inlineStr"/>
    </row>
    <row r="795" ht="15" customHeight="1">
      <c r="A795" t="inlineStr">
        <is>
          <t>A 6060-2025</t>
        </is>
      </c>
      <c r="B795" s="1" t="n">
        <v>45695.84078703704</v>
      </c>
      <c r="C795" s="1" t="n">
        <v>45916</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6006-2025</t>
        </is>
      </c>
      <c r="B796" s="1" t="n">
        <v>45695.59197916667</v>
      </c>
      <c r="C796" s="1" t="n">
        <v>45916</v>
      </c>
      <c r="D796" t="inlineStr">
        <is>
          <t>UPPSALA LÄN</t>
        </is>
      </c>
      <c r="E796" t="inlineStr">
        <is>
          <t>UPPSALA</t>
        </is>
      </c>
      <c r="F796" t="inlineStr">
        <is>
          <t>Övriga Aktiebolag</t>
        </is>
      </c>
      <c r="G796" t="n">
        <v>13.8</v>
      </c>
      <c r="H796" t="n">
        <v>0</v>
      </c>
      <c r="I796" t="n">
        <v>0</v>
      </c>
      <c r="J796" t="n">
        <v>0</v>
      </c>
      <c r="K796" t="n">
        <v>0</v>
      </c>
      <c r="L796" t="n">
        <v>0</v>
      </c>
      <c r="M796" t="n">
        <v>0</v>
      </c>
      <c r="N796" t="n">
        <v>0</v>
      </c>
      <c r="O796" t="n">
        <v>0</v>
      </c>
      <c r="P796" t="n">
        <v>0</v>
      </c>
      <c r="Q796" t="n">
        <v>0</v>
      </c>
      <c r="R796" s="2" t="inlineStr"/>
    </row>
    <row r="797" ht="15" customHeight="1">
      <c r="A797" t="inlineStr">
        <is>
          <t>A 28825-2024</t>
        </is>
      </c>
      <c r="B797" s="1" t="n">
        <v>45478</v>
      </c>
      <c r="C797" s="1" t="n">
        <v>45916</v>
      </c>
      <c r="D797" t="inlineStr">
        <is>
          <t>UPPSALA LÄN</t>
        </is>
      </c>
      <c r="E797" t="inlineStr">
        <is>
          <t>UPPSALA</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45592-2023</t>
        </is>
      </c>
      <c r="B798" s="1" t="n">
        <v>45194.63479166666</v>
      </c>
      <c r="C798" s="1" t="n">
        <v>45916</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45575-2023</t>
        </is>
      </c>
      <c r="B799" s="1" t="n">
        <v>45194.60876157408</v>
      </c>
      <c r="C799" s="1" t="n">
        <v>45916</v>
      </c>
      <c r="D799" t="inlineStr">
        <is>
          <t>UPPSALA LÄN</t>
        </is>
      </c>
      <c r="E799" t="inlineStr">
        <is>
          <t>UPPSALA</t>
        </is>
      </c>
      <c r="F799" t="inlineStr">
        <is>
          <t>Bergvik skog öst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50037-2024</t>
        </is>
      </c>
      <c r="B800" s="1" t="n">
        <v>45599</v>
      </c>
      <c r="C800" s="1" t="n">
        <v>45916</v>
      </c>
      <c r="D800" t="inlineStr">
        <is>
          <t>UPPSALA LÄN</t>
        </is>
      </c>
      <c r="E800" t="inlineStr">
        <is>
          <t>UPPSALA</t>
        </is>
      </c>
      <c r="G800" t="n">
        <v>13.7</v>
      </c>
      <c r="H800" t="n">
        <v>0</v>
      </c>
      <c r="I800" t="n">
        <v>0</v>
      </c>
      <c r="J800" t="n">
        <v>0</v>
      </c>
      <c r="K800" t="n">
        <v>0</v>
      </c>
      <c r="L800" t="n">
        <v>0</v>
      </c>
      <c r="M800" t="n">
        <v>0</v>
      </c>
      <c r="N800" t="n">
        <v>0</v>
      </c>
      <c r="O800" t="n">
        <v>0</v>
      </c>
      <c r="P800" t="n">
        <v>0</v>
      </c>
      <c r="Q800" t="n">
        <v>0</v>
      </c>
      <c r="R800" s="2" t="inlineStr"/>
    </row>
    <row r="801" ht="15" customHeight="1">
      <c r="A801" t="inlineStr">
        <is>
          <t>A 20301-2024</t>
        </is>
      </c>
      <c r="B801" s="1" t="n">
        <v>45435.34778935185</v>
      </c>
      <c r="C801" s="1" t="n">
        <v>45916</v>
      </c>
      <c r="D801" t="inlineStr">
        <is>
          <t>UPPSALA LÄN</t>
        </is>
      </c>
      <c r="E801" t="inlineStr">
        <is>
          <t>UPPSALA</t>
        </is>
      </c>
      <c r="F801" t="inlineStr">
        <is>
          <t>Kyrkan</t>
        </is>
      </c>
      <c r="G801" t="n">
        <v>2.8</v>
      </c>
      <c r="H801" t="n">
        <v>0</v>
      </c>
      <c r="I801" t="n">
        <v>0</v>
      </c>
      <c r="J801" t="n">
        <v>0</v>
      </c>
      <c r="K801" t="n">
        <v>0</v>
      </c>
      <c r="L801" t="n">
        <v>0</v>
      </c>
      <c r="M801" t="n">
        <v>0</v>
      </c>
      <c r="N801" t="n">
        <v>0</v>
      </c>
      <c r="O801" t="n">
        <v>0</v>
      </c>
      <c r="P801" t="n">
        <v>0</v>
      </c>
      <c r="Q801" t="n">
        <v>0</v>
      </c>
      <c r="R801" s="2" t="inlineStr"/>
    </row>
    <row r="802" ht="15" customHeight="1">
      <c r="A802" t="inlineStr">
        <is>
          <t>A 50535-2024</t>
        </is>
      </c>
      <c r="B802" s="1" t="n">
        <v>45600</v>
      </c>
      <c r="C802" s="1" t="n">
        <v>45916</v>
      </c>
      <c r="D802" t="inlineStr">
        <is>
          <t>UPPSALA LÄN</t>
        </is>
      </c>
      <c r="E802" t="inlineStr">
        <is>
          <t>UPPSALA</t>
        </is>
      </c>
      <c r="F802" t="inlineStr">
        <is>
          <t>Övriga statliga verk och myndigheter</t>
        </is>
      </c>
      <c r="G802" t="n">
        <v>3.2</v>
      </c>
      <c r="H802" t="n">
        <v>0</v>
      </c>
      <c r="I802" t="n">
        <v>0</v>
      </c>
      <c r="J802" t="n">
        <v>0</v>
      </c>
      <c r="K802" t="n">
        <v>0</v>
      </c>
      <c r="L802" t="n">
        <v>0</v>
      </c>
      <c r="M802" t="n">
        <v>0</v>
      </c>
      <c r="N802" t="n">
        <v>0</v>
      </c>
      <c r="O802" t="n">
        <v>0</v>
      </c>
      <c r="P802" t="n">
        <v>0</v>
      </c>
      <c r="Q802" t="n">
        <v>0</v>
      </c>
      <c r="R802" s="2" t="inlineStr"/>
    </row>
    <row r="803" ht="15" customHeight="1">
      <c r="A803" t="inlineStr">
        <is>
          <t>A 57714-2022</t>
        </is>
      </c>
      <c r="B803" s="1" t="n">
        <v>44897</v>
      </c>
      <c r="C803" s="1" t="n">
        <v>45916</v>
      </c>
      <c r="D803" t="inlineStr">
        <is>
          <t>UPPSALA LÄN</t>
        </is>
      </c>
      <c r="E803" t="inlineStr">
        <is>
          <t>UPPSALA</t>
        </is>
      </c>
      <c r="G803" t="n">
        <v>8.9</v>
      </c>
      <c r="H803" t="n">
        <v>0</v>
      </c>
      <c r="I803" t="n">
        <v>0</v>
      </c>
      <c r="J803" t="n">
        <v>0</v>
      </c>
      <c r="K803" t="n">
        <v>0</v>
      </c>
      <c r="L803" t="n">
        <v>0</v>
      </c>
      <c r="M803" t="n">
        <v>0</v>
      </c>
      <c r="N803" t="n">
        <v>0</v>
      </c>
      <c r="O803" t="n">
        <v>0</v>
      </c>
      <c r="P803" t="n">
        <v>0</v>
      </c>
      <c r="Q803" t="n">
        <v>0</v>
      </c>
      <c r="R803" s="2" t="inlineStr"/>
    </row>
    <row r="804" ht="15" customHeight="1">
      <c r="A804" t="inlineStr">
        <is>
          <t>A 3260-2024</t>
        </is>
      </c>
      <c r="B804" s="1" t="n">
        <v>45317</v>
      </c>
      <c r="C804" s="1" t="n">
        <v>45916</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42273-2023</t>
        </is>
      </c>
      <c r="B805" s="1" t="n">
        <v>45180.40255787037</v>
      </c>
      <c r="C805" s="1" t="n">
        <v>45916</v>
      </c>
      <c r="D805" t="inlineStr">
        <is>
          <t>UPPSALA LÄN</t>
        </is>
      </c>
      <c r="E805" t="inlineStr">
        <is>
          <t>UPPSALA</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16126-2022</t>
        </is>
      </c>
      <c r="B806" s="1" t="n">
        <v>44665</v>
      </c>
      <c r="C806" s="1" t="n">
        <v>45916</v>
      </c>
      <c r="D806" t="inlineStr">
        <is>
          <t>UPPSALA LÄN</t>
        </is>
      </c>
      <c r="E806" t="inlineStr">
        <is>
          <t>UPPSALA</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7388-2024</t>
        </is>
      </c>
      <c r="B807" s="1" t="n">
        <v>45345.56</v>
      </c>
      <c r="C807" s="1" t="n">
        <v>45916</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53615-2024</t>
        </is>
      </c>
      <c r="B808" s="1" t="n">
        <v>45611</v>
      </c>
      <c r="C808" s="1" t="n">
        <v>45916</v>
      </c>
      <c r="D808" t="inlineStr">
        <is>
          <t>UPPSALA LÄN</t>
        </is>
      </c>
      <c r="E808" t="inlineStr">
        <is>
          <t>UPPSALA</t>
        </is>
      </c>
      <c r="G808" t="n">
        <v>0.8</v>
      </c>
      <c r="H808" t="n">
        <v>0</v>
      </c>
      <c r="I808" t="n">
        <v>0</v>
      </c>
      <c r="J808" t="n">
        <v>0</v>
      </c>
      <c r="K808" t="n">
        <v>0</v>
      </c>
      <c r="L808" t="n">
        <v>0</v>
      </c>
      <c r="M808" t="n">
        <v>0</v>
      </c>
      <c r="N808" t="n">
        <v>0</v>
      </c>
      <c r="O808" t="n">
        <v>0</v>
      </c>
      <c r="P808" t="n">
        <v>0</v>
      </c>
      <c r="Q808" t="n">
        <v>0</v>
      </c>
      <c r="R808" s="2" t="inlineStr"/>
    </row>
    <row r="809" ht="15" customHeight="1">
      <c r="A809" t="inlineStr">
        <is>
          <t>A 14400-2025</t>
        </is>
      </c>
      <c r="B809" s="1" t="n">
        <v>45741.45114583334</v>
      </c>
      <c r="C809" s="1" t="n">
        <v>45916</v>
      </c>
      <c r="D809" t="inlineStr">
        <is>
          <t>UPPSALA LÄN</t>
        </is>
      </c>
      <c r="E809" t="inlineStr">
        <is>
          <t>UPPSALA</t>
        </is>
      </c>
      <c r="G809" t="n">
        <v>6.6</v>
      </c>
      <c r="H809" t="n">
        <v>0</v>
      </c>
      <c r="I809" t="n">
        <v>0</v>
      </c>
      <c r="J809" t="n">
        <v>0</v>
      </c>
      <c r="K809" t="n">
        <v>0</v>
      </c>
      <c r="L809" t="n">
        <v>0</v>
      </c>
      <c r="M809" t="n">
        <v>0</v>
      </c>
      <c r="N809" t="n">
        <v>0</v>
      </c>
      <c r="O809" t="n">
        <v>0</v>
      </c>
      <c r="P809" t="n">
        <v>0</v>
      </c>
      <c r="Q809" t="n">
        <v>0</v>
      </c>
      <c r="R809" s="2" t="inlineStr"/>
    </row>
    <row r="810" ht="15" customHeight="1">
      <c r="A810" t="inlineStr">
        <is>
          <t>A 36781-2023</t>
        </is>
      </c>
      <c r="B810" s="1" t="n">
        <v>45154.34931712963</v>
      </c>
      <c r="C810" s="1" t="n">
        <v>45916</v>
      </c>
      <c r="D810" t="inlineStr">
        <is>
          <t>UPPSALA LÄN</t>
        </is>
      </c>
      <c r="E810" t="inlineStr">
        <is>
          <t>UPPSALA</t>
        </is>
      </c>
      <c r="G810" t="n">
        <v>0.9</v>
      </c>
      <c r="H810" t="n">
        <v>0</v>
      </c>
      <c r="I810" t="n">
        <v>0</v>
      </c>
      <c r="J810" t="n">
        <v>0</v>
      </c>
      <c r="K810" t="n">
        <v>0</v>
      </c>
      <c r="L810" t="n">
        <v>0</v>
      </c>
      <c r="M810" t="n">
        <v>0</v>
      </c>
      <c r="N810" t="n">
        <v>0</v>
      </c>
      <c r="O810" t="n">
        <v>0</v>
      </c>
      <c r="P810" t="n">
        <v>0</v>
      </c>
      <c r="Q810" t="n">
        <v>0</v>
      </c>
      <c r="R810" s="2" t="inlineStr"/>
    </row>
    <row r="811" ht="15" customHeight="1">
      <c r="A811" t="inlineStr">
        <is>
          <t>A 21859-2024</t>
        </is>
      </c>
      <c r="B811" s="1" t="n">
        <v>45443</v>
      </c>
      <c r="C811" s="1" t="n">
        <v>45916</v>
      </c>
      <c r="D811" t="inlineStr">
        <is>
          <t>UPPSALA LÄN</t>
        </is>
      </c>
      <c r="E811" t="inlineStr">
        <is>
          <t>UPPSALA</t>
        </is>
      </c>
      <c r="F811" t="inlineStr">
        <is>
          <t>Kyrkan</t>
        </is>
      </c>
      <c r="G811" t="n">
        <v>1.4</v>
      </c>
      <c r="H811" t="n">
        <v>0</v>
      </c>
      <c r="I811" t="n">
        <v>0</v>
      </c>
      <c r="J811" t="n">
        <v>0</v>
      </c>
      <c r="K811" t="n">
        <v>0</v>
      </c>
      <c r="L811" t="n">
        <v>0</v>
      </c>
      <c r="M811" t="n">
        <v>0</v>
      </c>
      <c r="N811" t="n">
        <v>0</v>
      </c>
      <c r="O811" t="n">
        <v>0</v>
      </c>
      <c r="P811" t="n">
        <v>0</v>
      </c>
      <c r="Q811" t="n">
        <v>0</v>
      </c>
      <c r="R811" s="2" t="inlineStr"/>
    </row>
    <row r="812" ht="15" customHeight="1">
      <c r="A812" t="inlineStr">
        <is>
          <t>A 6009-2022</t>
        </is>
      </c>
      <c r="B812" s="1" t="n">
        <v>44599.44832175926</v>
      </c>
      <c r="C812" s="1" t="n">
        <v>45916</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2357-2024</t>
        </is>
      </c>
      <c r="B813" s="1" t="n">
        <v>45310</v>
      </c>
      <c r="C813" s="1" t="n">
        <v>45916</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4503-2024</t>
        </is>
      </c>
      <c r="B814" s="1" t="n">
        <v>45327.61831018519</v>
      </c>
      <c r="C814" s="1" t="n">
        <v>45916</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44315-2021</t>
        </is>
      </c>
      <c r="B815" s="1" t="n">
        <v>44435.38657407407</v>
      </c>
      <c r="C815" s="1" t="n">
        <v>45916</v>
      </c>
      <c r="D815" t="inlineStr">
        <is>
          <t>UPPSALA LÄN</t>
        </is>
      </c>
      <c r="E815" t="inlineStr">
        <is>
          <t>UPPSALA</t>
        </is>
      </c>
      <c r="G815" t="n">
        <v>5.2</v>
      </c>
      <c r="H815" t="n">
        <v>0</v>
      </c>
      <c r="I815" t="n">
        <v>0</v>
      </c>
      <c r="J815" t="n">
        <v>0</v>
      </c>
      <c r="K815" t="n">
        <v>0</v>
      </c>
      <c r="L815" t="n">
        <v>0</v>
      </c>
      <c r="M815" t="n">
        <v>0</v>
      </c>
      <c r="N815" t="n">
        <v>0</v>
      </c>
      <c r="O815" t="n">
        <v>0</v>
      </c>
      <c r="P815" t="n">
        <v>0</v>
      </c>
      <c r="Q815" t="n">
        <v>0</v>
      </c>
      <c r="R815" s="2" t="inlineStr"/>
    </row>
    <row r="816" ht="15" customHeight="1">
      <c r="A816" t="inlineStr">
        <is>
          <t>A 4461-2024</t>
        </is>
      </c>
      <c r="B816" s="1" t="n">
        <v>45327</v>
      </c>
      <c r="C816" s="1" t="n">
        <v>45916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11119-2025</t>
        </is>
      </c>
      <c r="B817" s="1" t="n">
        <v>45723.63290509259</v>
      </c>
      <c r="C817" s="1" t="n">
        <v>45916</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19380-2023</t>
        </is>
      </c>
      <c r="B818" s="1" t="n">
        <v>45049.66025462963</v>
      </c>
      <c r="C818" s="1" t="n">
        <v>45916</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12209-2025</t>
        </is>
      </c>
      <c r="B819" s="1" t="n">
        <v>45729</v>
      </c>
      <c r="C819" s="1" t="n">
        <v>45916</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12211-2025</t>
        </is>
      </c>
      <c r="B820" s="1" t="n">
        <v>45729</v>
      </c>
      <c r="C820" s="1" t="n">
        <v>45916</v>
      </c>
      <c r="D820" t="inlineStr">
        <is>
          <t>UPPSALA LÄN</t>
        </is>
      </c>
      <c r="E820" t="inlineStr">
        <is>
          <t>UPPSALA</t>
        </is>
      </c>
      <c r="G820" t="n">
        <v>3.6</v>
      </c>
      <c r="H820" t="n">
        <v>0</v>
      </c>
      <c r="I820" t="n">
        <v>0</v>
      </c>
      <c r="J820" t="n">
        <v>0</v>
      </c>
      <c r="K820" t="n">
        <v>0</v>
      </c>
      <c r="L820" t="n">
        <v>0</v>
      </c>
      <c r="M820" t="n">
        <v>0</v>
      </c>
      <c r="N820" t="n">
        <v>0</v>
      </c>
      <c r="O820" t="n">
        <v>0</v>
      </c>
      <c r="P820" t="n">
        <v>0</v>
      </c>
      <c r="Q820" t="n">
        <v>0</v>
      </c>
      <c r="R820" s="2" t="inlineStr"/>
    </row>
    <row r="821" ht="15" customHeight="1">
      <c r="A821" t="inlineStr">
        <is>
          <t>A 37618-2023</t>
        </is>
      </c>
      <c r="B821" s="1" t="n">
        <v>45159.44694444445</v>
      </c>
      <c r="C821" s="1" t="n">
        <v>45916</v>
      </c>
      <c r="D821" t="inlineStr">
        <is>
          <t>UPPSALA LÄN</t>
        </is>
      </c>
      <c r="E821" t="inlineStr">
        <is>
          <t>UPPSALA</t>
        </is>
      </c>
      <c r="G821" t="n">
        <v>2.6</v>
      </c>
      <c r="H821" t="n">
        <v>0</v>
      </c>
      <c r="I821" t="n">
        <v>0</v>
      </c>
      <c r="J821" t="n">
        <v>0</v>
      </c>
      <c r="K821" t="n">
        <v>0</v>
      </c>
      <c r="L821" t="n">
        <v>0</v>
      </c>
      <c r="M821" t="n">
        <v>0</v>
      </c>
      <c r="N821" t="n">
        <v>0</v>
      </c>
      <c r="O821" t="n">
        <v>0</v>
      </c>
      <c r="P821" t="n">
        <v>0</v>
      </c>
      <c r="Q821" t="n">
        <v>0</v>
      </c>
      <c r="R821" s="2" t="inlineStr"/>
    </row>
    <row r="822" ht="15" customHeight="1">
      <c r="A822" t="inlineStr">
        <is>
          <t>A 59521-2023</t>
        </is>
      </c>
      <c r="B822" s="1" t="n">
        <v>45254.49552083333</v>
      </c>
      <c r="C822" s="1" t="n">
        <v>45916</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7226-2024</t>
        </is>
      </c>
      <c r="B823" s="1" t="n">
        <v>45344.64759259259</v>
      </c>
      <c r="C823" s="1" t="n">
        <v>45916</v>
      </c>
      <c r="D823" t="inlineStr">
        <is>
          <t>UPPSALA LÄN</t>
        </is>
      </c>
      <c r="E823" t="inlineStr">
        <is>
          <t>UPPSALA</t>
        </is>
      </c>
      <c r="F823" t="inlineStr">
        <is>
          <t>Kyrkan</t>
        </is>
      </c>
      <c r="G823" t="n">
        <v>1.2</v>
      </c>
      <c r="H823" t="n">
        <v>0</v>
      </c>
      <c r="I823" t="n">
        <v>0</v>
      </c>
      <c r="J823" t="n">
        <v>0</v>
      </c>
      <c r="K823" t="n">
        <v>0</v>
      </c>
      <c r="L823" t="n">
        <v>0</v>
      </c>
      <c r="M823" t="n">
        <v>0</v>
      </c>
      <c r="N823" t="n">
        <v>0</v>
      </c>
      <c r="O823" t="n">
        <v>0</v>
      </c>
      <c r="P823" t="n">
        <v>0</v>
      </c>
      <c r="Q823" t="n">
        <v>0</v>
      </c>
      <c r="R823" s="2" t="inlineStr"/>
    </row>
    <row r="824" ht="15" customHeight="1">
      <c r="A824" t="inlineStr">
        <is>
          <t>A 3813-2024</t>
        </is>
      </c>
      <c r="B824" s="1" t="n">
        <v>45321</v>
      </c>
      <c r="C824" s="1" t="n">
        <v>45916</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37820-2021</t>
        </is>
      </c>
      <c r="B825" s="1" t="n">
        <v>44403.3119212963</v>
      </c>
      <c r="C825" s="1" t="n">
        <v>45916</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40507-2021</t>
        </is>
      </c>
      <c r="B826" s="1" t="n">
        <v>44420</v>
      </c>
      <c r="C826" s="1" t="n">
        <v>45916</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19345-2025</t>
        </is>
      </c>
      <c r="B827" s="1" t="n">
        <v>45769.6009375</v>
      </c>
      <c r="C827" s="1" t="n">
        <v>45916</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40111-2024</t>
        </is>
      </c>
      <c r="B828" s="1" t="n">
        <v>45554</v>
      </c>
      <c r="C828" s="1" t="n">
        <v>45916</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18410-2025</t>
        </is>
      </c>
      <c r="B829" s="1" t="n">
        <v>45762.61341435185</v>
      </c>
      <c r="C829" s="1" t="n">
        <v>45916</v>
      </c>
      <c r="D829" t="inlineStr">
        <is>
          <t>UPPSALA LÄN</t>
        </is>
      </c>
      <c r="E829" t="inlineStr">
        <is>
          <t>UPPSALA</t>
        </is>
      </c>
      <c r="G829" t="n">
        <v>0.9</v>
      </c>
      <c r="H829" t="n">
        <v>0</v>
      </c>
      <c r="I829" t="n">
        <v>0</v>
      </c>
      <c r="J829" t="n">
        <v>0</v>
      </c>
      <c r="K829" t="n">
        <v>0</v>
      </c>
      <c r="L829" t="n">
        <v>0</v>
      </c>
      <c r="M829" t="n">
        <v>0</v>
      </c>
      <c r="N829" t="n">
        <v>0</v>
      </c>
      <c r="O829" t="n">
        <v>0</v>
      </c>
      <c r="P829" t="n">
        <v>0</v>
      </c>
      <c r="Q829" t="n">
        <v>0</v>
      </c>
      <c r="R829" s="2" t="inlineStr"/>
    </row>
    <row r="830" ht="15" customHeight="1">
      <c r="A830" t="inlineStr">
        <is>
          <t>A 2790-2025</t>
        </is>
      </c>
      <c r="B830" s="1" t="n">
        <v>45677</v>
      </c>
      <c r="C830" s="1" t="n">
        <v>45916</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12414-2025</t>
        </is>
      </c>
      <c r="B831" s="1" t="n">
        <v>45730.43966435185</v>
      </c>
      <c r="C831" s="1" t="n">
        <v>45916</v>
      </c>
      <c r="D831" t="inlineStr">
        <is>
          <t>UPPSALA LÄN</t>
        </is>
      </c>
      <c r="E831" t="inlineStr">
        <is>
          <t>UPPSALA</t>
        </is>
      </c>
      <c r="F831" t="inlineStr">
        <is>
          <t>Övriga statliga verk och myndigheter</t>
        </is>
      </c>
      <c r="G831" t="n">
        <v>6.8</v>
      </c>
      <c r="H831" t="n">
        <v>0</v>
      </c>
      <c r="I831" t="n">
        <v>0</v>
      </c>
      <c r="J831" t="n">
        <v>0</v>
      </c>
      <c r="K831" t="n">
        <v>0</v>
      </c>
      <c r="L831" t="n">
        <v>0</v>
      </c>
      <c r="M831" t="n">
        <v>0</v>
      </c>
      <c r="N831" t="n">
        <v>0</v>
      </c>
      <c r="O831" t="n">
        <v>0</v>
      </c>
      <c r="P831" t="n">
        <v>0</v>
      </c>
      <c r="Q831" t="n">
        <v>0</v>
      </c>
      <c r="R831" s="2" t="inlineStr"/>
    </row>
    <row r="832" ht="15" customHeight="1">
      <c r="A832" t="inlineStr">
        <is>
          <t>A 8404-2022</t>
        </is>
      </c>
      <c r="B832" s="1" t="n">
        <v>44610</v>
      </c>
      <c r="C832" s="1" t="n">
        <v>45916</v>
      </c>
      <c r="D832" t="inlineStr">
        <is>
          <t>UPPSALA LÄN</t>
        </is>
      </c>
      <c r="E832" t="inlineStr">
        <is>
          <t>UPPSALA</t>
        </is>
      </c>
      <c r="F832" t="inlineStr">
        <is>
          <t>Allmännings- och besparingsskogar</t>
        </is>
      </c>
      <c r="G832" t="n">
        <v>5.4</v>
      </c>
      <c r="H832" t="n">
        <v>0</v>
      </c>
      <c r="I832" t="n">
        <v>0</v>
      </c>
      <c r="J832" t="n">
        <v>0</v>
      </c>
      <c r="K832" t="n">
        <v>0</v>
      </c>
      <c r="L832" t="n">
        <v>0</v>
      </c>
      <c r="M832" t="n">
        <v>0</v>
      </c>
      <c r="N832" t="n">
        <v>0</v>
      </c>
      <c r="O832" t="n">
        <v>0</v>
      </c>
      <c r="P832" t="n">
        <v>0</v>
      </c>
      <c r="Q832" t="n">
        <v>0</v>
      </c>
      <c r="R832" s="2" t="inlineStr"/>
    </row>
    <row r="833" ht="15" customHeight="1">
      <c r="A833" t="inlineStr">
        <is>
          <t>A 4929-2022</t>
        </is>
      </c>
      <c r="B833" s="1" t="n">
        <v>44593</v>
      </c>
      <c r="C833" s="1" t="n">
        <v>45916</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33622-2024</t>
        </is>
      </c>
      <c r="B834" s="1" t="n">
        <v>45520</v>
      </c>
      <c r="C834" s="1" t="n">
        <v>45916</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41545-2023</t>
        </is>
      </c>
      <c r="B835" s="1" t="n">
        <v>45175.57060185185</v>
      </c>
      <c r="C835" s="1" t="n">
        <v>45916</v>
      </c>
      <c r="D835" t="inlineStr">
        <is>
          <t>UPPSALA LÄN</t>
        </is>
      </c>
      <c r="E835" t="inlineStr">
        <is>
          <t>UPPSALA</t>
        </is>
      </c>
      <c r="G835" t="n">
        <v>6.6</v>
      </c>
      <c r="H835" t="n">
        <v>0</v>
      </c>
      <c r="I835" t="n">
        <v>0</v>
      </c>
      <c r="J835" t="n">
        <v>0</v>
      </c>
      <c r="K835" t="n">
        <v>0</v>
      </c>
      <c r="L835" t="n">
        <v>0</v>
      </c>
      <c r="M835" t="n">
        <v>0</v>
      </c>
      <c r="N835" t="n">
        <v>0</v>
      </c>
      <c r="O835" t="n">
        <v>0</v>
      </c>
      <c r="P835" t="n">
        <v>0</v>
      </c>
      <c r="Q835" t="n">
        <v>0</v>
      </c>
      <c r="R835" s="2" t="inlineStr"/>
    </row>
    <row r="836" ht="15" customHeight="1">
      <c r="A836" t="inlineStr">
        <is>
          <t>A 60047-2022</t>
        </is>
      </c>
      <c r="B836" s="1" t="n">
        <v>44909.51885416666</v>
      </c>
      <c r="C836" s="1" t="n">
        <v>45916</v>
      </c>
      <c r="D836" t="inlineStr">
        <is>
          <t>UPPSALA LÄN</t>
        </is>
      </c>
      <c r="E836" t="inlineStr">
        <is>
          <t>UPPSALA</t>
        </is>
      </c>
      <c r="F836" t="inlineStr">
        <is>
          <t>Kyrkan</t>
        </is>
      </c>
      <c r="G836" t="n">
        <v>0.7</v>
      </c>
      <c r="H836" t="n">
        <v>0</v>
      </c>
      <c r="I836" t="n">
        <v>0</v>
      </c>
      <c r="J836" t="n">
        <v>0</v>
      </c>
      <c r="K836" t="n">
        <v>0</v>
      </c>
      <c r="L836" t="n">
        <v>0</v>
      </c>
      <c r="M836" t="n">
        <v>0</v>
      </c>
      <c r="N836" t="n">
        <v>0</v>
      </c>
      <c r="O836" t="n">
        <v>0</v>
      </c>
      <c r="P836" t="n">
        <v>0</v>
      </c>
      <c r="Q836" t="n">
        <v>0</v>
      </c>
      <c r="R836" s="2" t="inlineStr"/>
    </row>
    <row r="837" ht="15" customHeight="1">
      <c r="A837" t="inlineStr">
        <is>
          <t>A 12284-2025</t>
        </is>
      </c>
      <c r="B837" s="1" t="n">
        <v>45729</v>
      </c>
      <c r="C837" s="1" t="n">
        <v>45916</v>
      </c>
      <c r="D837" t="inlineStr">
        <is>
          <t>UPPSALA LÄN</t>
        </is>
      </c>
      <c r="E837" t="inlineStr">
        <is>
          <t>UPPSALA</t>
        </is>
      </c>
      <c r="G837" t="n">
        <v>6.7</v>
      </c>
      <c r="H837" t="n">
        <v>0</v>
      </c>
      <c r="I837" t="n">
        <v>0</v>
      </c>
      <c r="J837" t="n">
        <v>0</v>
      </c>
      <c r="K837" t="n">
        <v>0</v>
      </c>
      <c r="L837" t="n">
        <v>0</v>
      </c>
      <c r="M837" t="n">
        <v>0</v>
      </c>
      <c r="N837" t="n">
        <v>0</v>
      </c>
      <c r="O837" t="n">
        <v>0</v>
      </c>
      <c r="P837" t="n">
        <v>0</v>
      </c>
      <c r="Q837" t="n">
        <v>0</v>
      </c>
      <c r="R837" s="2" t="inlineStr"/>
    </row>
    <row r="838" ht="15" customHeight="1">
      <c r="A838" t="inlineStr">
        <is>
          <t>A 12287-2025</t>
        </is>
      </c>
      <c r="B838" s="1" t="n">
        <v>45729</v>
      </c>
      <c r="C838" s="1" t="n">
        <v>45916</v>
      </c>
      <c r="D838" t="inlineStr">
        <is>
          <t>UPPSALA LÄN</t>
        </is>
      </c>
      <c r="E838" t="inlineStr">
        <is>
          <t>UPPSALA</t>
        </is>
      </c>
      <c r="G838" t="n">
        <v>4.6</v>
      </c>
      <c r="H838" t="n">
        <v>0</v>
      </c>
      <c r="I838" t="n">
        <v>0</v>
      </c>
      <c r="J838" t="n">
        <v>0</v>
      </c>
      <c r="K838" t="n">
        <v>0</v>
      </c>
      <c r="L838" t="n">
        <v>0</v>
      </c>
      <c r="M838" t="n">
        <v>0</v>
      </c>
      <c r="N838" t="n">
        <v>0</v>
      </c>
      <c r="O838" t="n">
        <v>0</v>
      </c>
      <c r="P838" t="n">
        <v>0</v>
      </c>
      <c r="Q838" t="n">
        <v>0</v>
      </c>
      <c r="R838" s="2" t="inlineStr"/>
    </row>
    <row r="839" ht="15" customHeight="1">
      <c r="A839" t="inlineStr">
        <is>
          <t>A 42543-2023</t>
        </is>
      </c>
      <c r="B839" s="1" t="n">
        <v>45181.36815972222</v>
      </c>
      <c r="C839" s="1" t="n">
        <v>45916</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8931-2025</t>
        </is>
      </c>
      <c r="B840" s="1" t="n">
        <v>45713.44519675926</v>
      </c>
      <c r="C840" s="1" t="n">
        <v>45916</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74023-2021</t>
        </is>
      </c>
      <c r="B841" s="1" t="n">
        <v>44553</v>
      </c>
      <c r="C841" s="1" t="n">
        <v>45916</v>
      </c>
      <c r="D841" t="inlineStr">
        <is>
          <t>UPPSALA LÄN</t>
        </is>
      </c>
      <c r="E841" t="inlineStr">
        <is>
          <t>UPPSALA</t>
        </is>
      </c>
      <c r="G841" t="n">
        <v>5.4</v>
      </c>
      <c r="H841" t="n">
        <v>0</v>
      </c>
      <c r="I841" t="n">
        <v>0</v>
      </c>
      <c r="J841" t="n">
        <v>0</v>
      </c>
      <c r="K841" t="n">
        <v>0</v>
      </c>
      <c r="L841" t="n">
        <v>0</v>
      </c>
      <c r="M841" t="n">
        <v>0</v>
      </c>
      <c r="N841" t="n">
        <v>0</v>
      </c>
      <c r="O841" t="n">
        <v>0</v>
      </c>
      <c r="P841" t="n">
        <v>0</v>
      </c>
      <c r="Q841" t="n">
        <v>0</v>
      </c>
      <c r="R841" s="2" t="inlineStr"/>
    </row>
    <row r="842" ht="15" customHeight="1">
      <c r="A842" t="inlineStr">
        <is>
          <t>A 44830-2023</t>
        </is>
      </c>
      <c r="B842" s="1" t="n">
        <v>45190</v>
      </c>
      <c r="C842" s="1" t="n">
        <v>45916</v>
      </c>
      <c r="D842" t="inlineStr">
        <is>
          <t>UPPSALA LÄN</t>
        </is>
      </c>
      <c r="E842" t="inlineStr">
        <is>
          <t>UPPSALA</t>
        </is>
      </c>
      <c r="G842" t="n">
        <v>1.9</v>
      </c>
      <c r="H842" t="n">
        <v>0</v>
      </c>
      <c r="I842" t="n">
        <v>0</v>
      </c>
      <c r="J842" t="n">
        <v>0</v>
      </c>
      <c r="K842" t="n">
        <v>0</v>
      </c>
      <c r="L842" t="n">
        <v>0</v>
      </c>
      <c r="M842" t="n">
        <v>0</v>
      </c>
      <c r="N842" t="n">
        <v>0</v>
      </c>
      <c r="O842" t="n">
        <v>0</v>
      </c>
      <c r="P842" t="n">
        <v>0</v>
      </c>
      <c r="Q842" t="n">
        <v>0</v>
      </c>
      <c r="R842" s="2" t="inlineStr"/>
    </row>
    <row r="843" ht="15" customHeight="1">
      <c r="A843" t="inlineStr">
        <is>
          <t>A 73044-2021</t>
        </is>
      </c>
      <c r="B843" s="1" t="n">
        <v>44550.37994212963</v>
      </c>
      <c r="C843" s="1" t="n">
        <v>45916</v>
      </c>
      <c r="D843" t="inlineStr">
        <is>
          <t>UPPSALA LÄN</t>
        </is>
      </c>
      <c r="E843" t="inlineStr">
        <is>
          <t>UPPSALA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19139-2023</t>
        </is>
      </c>
      <c r="B844" s="1" t="n">
        <v>45048.55349537037</v>
      </c>
      <c r="C844" s="1" t="n">
        <v>45916</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15937-2025</t>
        </is>
      </c>
      <c r="B845" s="1" t="n">
        <v>45749.4737962963</v>
      </c>
      <c r="C845" s="1" t="n">
        <v>45916</v>
      </c>
      <c r="D845" t="inlineStr">
        <is>
          <t>UPPSALA LÄN</t>
        </is>
      </c>
      <c r="E845" t="inlineStr">
        <is>
          <t>UPPSALA</t>
        </is>
      </c>
      <c r="G845" t="n">
        <v>7.6</v>
      </c>
      <c r="H845" t="n">
        <v>0</v>
      </c>
      <c r="I845" t="n">
        <v>0</v>
      </c>
      <c r="J845" t="n">
        <v>0</v>
      </c>
      <c r="K845" t="n">
        <v>0</v>
      </c>
      <c r="L845" t="n">
        <v>0</v>
      </c>
      <c r="M845" t="n">
        <v>0</v>
      </c>
      <c r="N845" t="n">
        <v>0</v>
      </c>
      <c r="O845" t="n">
        <v>0</v>
      </c>
      <c r="P845" t="n">
        <v>0</v>
      </c>
      <c r="Q845" t="n">
        <v>0</v>
      </c>
      <c r="R845" s="2" t="inlineStr"/>
    </row>
    <row r="846" ht="15" customHeight="1">
      <c r="A846" t="inlineStr">
        <is>
          <t>A 23291-2024</t>
        </is>
      </c>
      <c r="B846" s="1" t="n">
        <v>45453</v>
      </c>
      <c r="C846" s="1" t="n">
        <v>45916</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59562-2024</t>
        </is>
      </c>
      <c r="B847" s="1" t="n">
        <v>45638</v>
      </c>
      <c r="C847" s="1" t="n">
        <v>45916</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20797-2025</t>
        </is>
      </c>
      <c r="B848" s="1" t="n">
        <v>45776.6415162037</v>
      </c>
      <c r="C848" s="1" t="n">
        <v>45916</v>
      </c>
      <c r="D848" t="inlineStr">
        <is>
          <t>UPPSALA LÄN</t>
        </is>
      </c>
      <c r="E848" t="inlineStr">
        <is>
          <t>UPPSALA</t>
        </is>
      </c>
      <c r="F848" t="inlineStr">
        <is>
          <t>Kommuner</t>
        </is>
      </c>
      <c r="G848" t="n">
        <v>4.6</v>
      </c>
      <c r="H848" t="n">
        <v>0</v>
      </c>
      <c r="I848" t="n">
        <v>0</v>
      </c>
      <c r="J848" t="n">
        <v>0</v>
      </c>
      <c r="K848" t="n">
        <v>0</v>
      </c>
      <c r="L848" t="n">
        <v>0</v>
      </c>
      <c r="M848" t="n">
        <v>0</v>
      </c>
      <c r="N848" t="n">
        <v>0</v>
      </c>
      <c r="O848" t="n">
        <v>0</v>
      </c>
      <c r="P848" t="n">
        <v>0</v>
      </c>
      <c r="Q848" t="n">
        <v>0</v>
      </c>
      <c r="R848" s="2" t="inlineStr"/>
    </row>
    <row r="849" ht="15" customHeight="1">
      <c r="A849" t="inlineStr">
        <is>
          <t>A 1617-2021</t>
        </is>
      </c>
      <c r="B849" s="1" t="n">
        <v>44209</v>
      </c>
      <c r="C849" s="1" t="n">
        <v>45916</v>
      </c>
      <c r="D849" t="inlineStr">
        <is>
          <t>UPPSALA LÄN</t>
        </is>
      </c>
      <c r="E849" t="inlineStr">
        <is>
          <t>UPPSALA</t>
        </is>
      </c>
      <c r="G849" t="n">
        <v>2.5</v>
      </c>
      <c r="H849" t="n">
        <v>0</v>
      </c>
      <c r="I849" t="n">
        <v>0</v>
      </c>
      <c r="J849" t="n">
        <v>0</v>
      </c>
      <c r="K849" t="n">
        <v>0</v>
      </c>
      <c r="L849" t="n">
        <v>0</v>
      </c>
      <c r="M849" t="n">
        <v>0</v>
      </c>
      <c r="N849" t="n">
        <v>0</v>
      </c>
      <c r="O849" t="n">
        <v>0</v>
      </c>
      <c r="P849" t="n">
        <v>0</v>
      </c>
      <c r="Q849" t="n">
        <v>0</v>
      </c>
      <c r="R849" s="2" t="inlineStr"/>
    </row>
    <row r="850" ht="15" customHeight="1">
      <c r="A850" t="inlineStr">
        <is>
          <t>A 29799-2023</t>
        </is>
      </c>
      <c r="B850" s="1" t="n">
        <v>45107.53688657407</v>
      </c>
      <c r="C850" s="1" t="n">
        <v>45916</v>
      </c>
      <c r="D850" t="inlineStr">
        <is>
          <t>UPPSALA LÄN</t>
        </is>
      </c>
      <c r="E850" t="inlineStr">
        <is>
          <t>UPPSALA</t>
        </is>
      </c>
      <c r="G850" t="n">
        <v>1.7</v>
      </c>
      <c r="H850" t="n">
        <v>0</v>
      </c>
      <c r="I850" t="n">
        <v>0</v>
      </c>
      <c r="J850" t="n">
        <v>0</v>
      </c>
      <c r="K850" t="n">
        <v>0</v>
      </c>
      <c r="L850" t="n">
        <v>0</v>
      </c>
      <c r="M850" t="n">
        <v>0</v>
      </c>
      <c r="N850" t="n">
        <v>0</v>
      </c>
      <c r="O850" t="n">
        <v>0</v>
      </c>
      <c r="P850" t="n">
        <v>0</v>
      </c>
      <c r="Q850" t="n">
        <v>0</v>
      </c>
      <c r="R850" s="2" t="inlineStr"/>
    </row>
    <row r="851" ht="15" customHeight="1">
      <c r="A851" t="inlineStr">
        <is>
          <t>A 179-2023</t>
        </is>
      </c>
      <c r="B851" s="1" t="n">
        <v>44928</v>
      </c>
      <c r="C851" s="1" t="n">
        <v>45916</v>
      </c>
      <c r="D851" t="inlineStr">
        <is>
          <t>UPPSALA LÄN</t>
        </is>
      </c>
      <c r="E851" t="inlineStr">
        <is>
          <t>UPPSALA</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33667-2024</t>
        </is>
      </c>
      <c r="B852" s="1" t="n">
        <v>45520</v>
      </c>
      <c r="C852" s="1" t="n">
        <v>45916</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21052-2023</t>
        </is>
      </c>
      <c r="B853" s="1" t="n">
        <v>45061</v>
      </c>
      <c r="C853" s="1" t="n">
        <v>45916</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20888-2025</t>
        </is>
      </c>
      <c r="B854" s="1" t="n">
        <v>45777.37119212963</v>
      </c>
      <c r="C854" s="1" t="n">
        <v>45916</v>
      </c>
      <c r="D854" t="inlineStr">
        <is>
          <t>UPPSALA LÄN</t>
        </is>
      </c>
      <c r="E854" t="inlineStr">
        <is>
          <t>UPPSALA</t>
        </is>
      </c>
      <c r="F854" t="inlineStr">
        <is>
          <t>Övriga statliga verk och myndigheter</t>
        </is>
      </c>
      <c r="G854" t="n">
        <v>5.1</v>
      </c>
      <c r="H854" t="n">
        <v>0</v>
      </c>
      <c r="I854" t="n">
        <v>0</v>
      </c>
      <c r="J854" t="n">
        <v>0</v>
      </c>
      <c r="K854" t="n">
        <v>0</v>
      </c>
      <c r="L854" t="n">
        <v>0</v>
      </c>
      <c r="M854" t="n">
        <v>0</v>
      </c>
      <c r="N854" t="n">
        <v>0</v>
      </c>
      <c r="O854" t="n">
        <v>0</v>
      </c>
      <c r="P854" t="n">
        <v>0</v>
      </c>
      <c r="Q854" t="n">
        <v>0</v>
      </c>
      <c r="R854" s="2" t="inlineStr"/>
    </row>
    <row r="855" ht="15" customHeight="1">
      <c r="A855" t="inlineStr">
        <is>
          <t>A 20928-2025</t>
        </is>
      </c>
      <c r="B855" s="1" t="n">
        <v>45777</v>
      </c>
      <c r="C855" s="1" t="n">
        <v>45916</v>
      </c>
      <c r="D855" t="inlineStr">
        <is>
          <t>UPPSALA LÄN</t>
        </is>
      </c>
      <c r="E855" t="inlineStr">
        <is>
          <t>UPPSALA</t>
        </is>
      </c>
      <c r="G855" t="n">
        <v>11.9</v>
      </c>
      <c r="H855" t="n">
        <v>0</v>
      </c>
      <c r="I855" t="n">
        <v>0</v>
      </c>
      <c r="J855" t="n">
        <v>0</v>
      </c>
      <c r="K855" t="n">
        <v>0</v>
      </c>
      <c r="L855" t="n">
        <v>0</v>
      </c>
      <c r="M855" t="n">
        <v>0</v>
      </c>
      <c r="N855" t="n">
        <v>0</v>
      </c>
      <c r="O855" t="n">
        <v>0</v>
      </c>
      <c r="P855" t="n">
        <v>0</v>
      </c>
      <c r="Q855" t="n">
        <v>0</v>
      </c>
      <c r="R855" s="2" t="inlineStr"/>
    </row>
    <row r="856" ht="15" customHeight="1">
      <c r="A856" t="inlineStr">
        <is>
          <t>A 29815-2023</t>
        </is>
      </c>
      <c r="B856" s="1" t="n">
        <v>45107.55574074074</v>
      </c>
      <c r="C856" s="1" t="n">
        <v>45916</v>
      </c>
      <c r="D856" t="inlineStr">
        <is>
          <t>UPPSALA LÄN</t>
        </is>
      </c>
      <c r="E856" t="inlineStr">
        <is>
          <t>UPPSALA</t>
        </is>
      </c>
      <c r="G856" t="n">
        <v>2.4</v>
      </c>
      <c r="H856" t="n">
        <v>0</v>
      </c>
      <c r="I856" t="n">
        <v>0</v>
      </c>
      <c r="J856" t="n">
        <v>0</v>
      </c>
      <c r="K856" t="n">
        <v>0</v>
      </c>
      <c r="L856" t="n">
        <v>0</v>
      </c>
      <c r="M856" t="n">
        <v>0</v>
      </c>
      <c r="N856" t="n">
        <v>0</v>
      </c>
      <c r="O856" t="n">
        <v>0</v>
      </c>
      <c r="P856" t="n">
        <v>0</v>
      </c>
      <c r="Q856" t="n">
        <v>0</v>
      </c>
      <c r="R856" s="2" t="inlineStr"/>
    </row>
    <row r="857" ht="15" customHeight="1">
      <c r="A857" t="inlineStr">
        <is>
          <t>A 20686-2025</t>
        </is>
      </c>
      <c r="B857" s="1" t="n">
        <v>45776.45263888889</v>
      </c>
      <c r="C857" s="1" t="n">
        <v>45916</v>
      </c>
      <c r="D857" t="inlineStr">
        <is>
          <t>UPPSALA LÄN</t>
        </is>
      </c>
      <c r="E857" t="inlineStr">
        <is>
          <t>UPPSALA</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21033-2025</t>
        </is>
      </c>
      <c r="B858" s="1" t="n">
        <v>45777.52655092593</v>
      </c>
      <c r="C858" s="1" t="n">
        <v>45916</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20874-2025</t>
        </is>
      </c>
      <c r="B859" s="1" t="n">
        <v>45777.34894675926</v>
      </c>
      <c r="C859" s="1" t="n">
        <v>45916</v>
      </c>
      <c r="D859" t="inlineStr">
        <is>
          <t>UPPSALA LÄN</t>
        </is>
      </c>
      <c r="E859" t="inlineStr">
        <is>
          <t>UPPSALA</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44847-2024</t>
        </is>
      </c>
      <c r="B860" s="1" t="n">
        <v>45574</v>
      </c>
      <c r="C860" s="1" t="n">
        <v>45916</v>
      </c>
      <c r="D860" t="inlineStr">
        <is>
          <t>UPPSALA LÄN</t>
        </is>
      </c>
      <c r="E860" t="inlineStr">
        <is>
          <t>UPPSALA</t>
        </is>
      </c>
      <c r="G860" t="n">
        <v>6.3</v>
      </c>
      <c r="H860" t="n">
        <v>0</v>
      </c>
      <c r="I860" t="n">
        <v>0</v>
      </c>
      <c r="J860" t="n">
        <v>0</v>
      </c>
      <c r="K860" t="n">
        <v>0</v>
      </c>
      <c r="L860" t="n">
        <v>0</v>
      </c>
      <c r="M860" t="n">
        <v>0</v>
      </c>
      <c r="N860" t="n">
        <v>0</v>
      </c>
      <c r="O860" t="n">
        <v>0</v>
      </c>
      <c r="P860" t="n">
        <v>0</v>
      </c>
      <c r="Q860" t="n">
        <v>0</v>
      </c>
      <c r="R860" s="2" t="inlineStr"/>
    </row>
    <row r="861" ht="15" customHeight="1">
      <c r="A861" t="inlineStr">
        <is>
          <t>A 20703-2025</t>
        </is>
      </c>
      <c r="B861" s="1" t="n">
        <v>45776.48275462963</v>
      </c>
      <c r="C861" s="1" t="n">
        <v>45916</v>
      </c>
      <c r="D861" t="inlineStr">
        <is>
          <t>UPPSALA LÄN</t>
        </is>
      </c>
      <c r="E861" t="inlineStr">
        <is>
          <t>UPPSALA</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20712-2025</t>
        </is>
      </c>
      <c r="B862" s="1" t="n">
        <v>45776</v>
      </c>
      <c r="C862" s="1" t="n">
        <v>45916</v>
      </c>
      <c r="D862" t="inlineStr">
        <is>
          <t>UPPSALA LÄN</t>
        </is>
      </c>
      <c r="E862" t="inlineStr">
        <is>
          <t>UPPSALA</t>
        </is>
      </c>
      <c r="G862" t="n">
        <v>1.5</v>
      </c>
      <c r="H862" t="n">
        <v>0</v>
      </c>
      <c r="I862" t="n">
        <v>0</v>
      </c>
      <c r="J862" t="n">
        <v>0</v>
      </c>
      <c r="K862" t="n">
        <v>0</v>
      </c>
      <c r="L862" t="n">
        <v>0</v>
      </c>
      <c r="M862" t="n">
        <v>0</v>
      </c>
      <c r="N862" t="n">
        <v>0</v>
      </c>
      <c r="O862" t="n">
        <v>0</v>
      </c>
      <c r="P862" t="n">
        <v>0</v>
      </c>
      <c r="Q862" t="n">
        <v>0</v>
      </c>
      <c r="R862" s="2" t="inlineStr"/>
    </row>
    <row r="863" ht="15" customHeight="1">
      <c r="A863" t="inlineStr">
        <is>
          <t>A 20858-2025</t>
        </is>
      </c>
      <c r="B863" s="1" t="n">
        <v>45777.32731481481</v>
      </c>
      <c r="C863" s="1" t="n">
        <v>45916</v>
      </c>
      <c r="D863" t="inlineStr">
        <is>
          <t>UPPSALA LÄN</t>
        </is>
      </c>
      <c r="E863" t="inlineStr">
        <is>
          <t>UPPSALA</t>
        </is>
      </c>
      <c r="F863" t="inlineStr">
        <is>
          <t>Övriga Aktiebolag</t>
        </is>
      </c>
      <c r="G863" t="n">
        <v>4.1</v>
      </c>
      <c r="H863" t="n">
        <v>0</v>
      </c>
      <c r="I863" t="n">
        <v>0</v>
      </c>
      <c r="J863" t="n">
        <v>0</v>
      </c>
      <c r="K863" t="n">
        <v>0</v>
      </c>
      <c r="L863" t="n">
        <v>0</v>
      </c>
      <c r="M863" t="n">
        <v>0</v>
      </c>
      <c r="N863" t="n">
        <v>0</v>
      </c>
      <c r="O863" t="n">
        <v>0</v>
      </c>
      <c r="P863" t="n">
        <v>0</v>
      </c>
      <c r="Q863" t="n">
        <v>0</v>
      </c>
      <c r="R863" s="2" t="inlineStr"/>
    </row>
    <row r="864" ht="15" customHeight="1">
      <c r="A864" t="inlineStr">
        <is>
          <t>A 62054-2024</t>
        </is>
      </c>
      <c r="B864" s="1" t="n">
        <v>45656</v>
      </c>
      <c r="C864" s="1" t="n">
        <v>45916</v>
      </c>
      <c r="D864" t="inlineStr">
        <is>
          <t>UPPSALA LÄN</t>
        </is>
      </c>
      <c r="E864" t="inlineStr">
        <is>
          <t>UPPSALA</t>
        </is>
      </c>
      <c r="F864" t="inlineStr">
        <is>
          <t>Övriga statliga verk och myndigheter</t>
        </is>
      </c>
      <c r="G864" t="n">
        <v>29.3</v>
      </c>
      <c r="H864" t="n">
        <v>0</v>
      </c>
      <c r="I864" t="n">
        <v>0</v>
      </c>
      <c r="J864" t="n">
        <v>0</v>
      </c>
      <c r="K864" t="n">
        <v>0</v>
      </c>
      <c r="L864" t="n">
        <v>0</v>
      </c>
      <c r="M864" t="n">
        <v>0</v>
      </c>
      <c r="N864" t="n">
        <v>0</v>
      </c>
      <c r="O864" t="n">
        <v>0</v>
      </c>
      <c r="P864" t="n">
        <v>0</v>
      </c>
      <c r="Q864" t="n">
        <v>0</v>
      </c>
      <c r="R864" s="2" t="inlineStr"/>
    </row>
    <row r="865" ht="15" customHeight="1">
      <c r="A865" t="inlineStr">
        <is>
          <t>A 9398-2023</t>
        </is>
      </c>
      <c r="B865" s="1" t="n">
        <v>44977</v>
      </c>
      <c r="C865" s="1" t="n">
        <v>45916</v>
      </c>
      <c r="D865" t="inlineStr">
        <is>
          <t>UPPSALA LÄN</t>
        </is>
      </c>
      <c r="E865" t="inlineStr">
        <is>
          <t>UPPSALA</t>
        </is>
      </c>
      <c r="G865" t="n">
        <v>5.1</v>
      </c>
      <c r="H865" t="n">
        <v>0</v>
      </c>
      <c r="I865" t="n">
        <v>0</v>
      </c>
      <c r="J865" t="n">
        <v>0</v>
      </c>
      <c r="K865" t="n">
        <v>0</v>
      </c>
      <c r="L865" t="n">
        <v>0</v>
      </c>
      <c r="M865" t="n">
        <v>0</v>
      </c>
      <c r="N865" t="n">
        <v>0</v>
      </c>
      <c r="O865" t="n">
        <v>0</v>
      </c>
      <c r="P865" t="n">
        <v>0</v>
      </c>
      <c r="Q865" t="n">
        <v>0</v>
      </c>
      <c r="R865" s="2" t="inlineStr"/>
    </row>
    <row r="866" ht="15" customHeight="1">
      <c r="A866" t="inlineStr">
        <is>
          <t>A 21217-2025</t>
        </is>
      </c>
      <c r="B866" s="1" t="n">
        <v>45779.49085648148</v>
      </c>
      <c r="C866" s="1" t="n">
        <v>45916</v>
      </c>
      <c r="D866" t="inlineStr">
        <is>
          <t>UPPSALA LÄN</t>
        </is>
      </c>
      <c r="E866" t="inlineStr">
        <is>
          <t>UPPSALA</t>
        </is>
      </c>
      <c r="F866" t="inlineStr">
        <is>
          <t>Holmen skog AB</t>
        </is>
      </c>
      <c r="G866" t="n">
        <v>1.5</v>
      </c>
      <c r="H866" t="n">
        <v>0</v>
      </c>
      <c r="I866" t="n">
        <v>0</v>
      </c>
      <c r="J866" t="n">
        <v>0</v>
      </c>
      <c r="K866" t="n">
        <v>0</v>
      </c>
      <c r="L866" t="n">
        <v>0</v>
      </c>
      <c r="M866" t="n">
        <v>0</v>
      </c>
      <c r="N866" t="n">
        <v>0</v>
      </c>
      <c r="O866" t="n">
        <v>0</v>
      </c>
      <c r="P866" t="n">
        <v>0</v>
      </c>
      <c r="Q866" t="n">
        <v>0</v>
      </c>
      <c r="R866" s="2" t="inlineStr"/>
    </row>
    <row r="867" ht="15" customHeight="1">
      <c r="A867" t="inlineStr">
        <is>
          <t>A 21281-2025</t>
        </is>
      </c>
      <c r="B867" s="1" t="n">
        <v>45779.6665162037</v>
      </c>
      <c r="C867" s="1" t="n">
        <v>45916</v>
      </c>
      <c r="D867" t="inlineStr">
        <is>
          <t>UPPSALA LÄN</t>
        </is>
      </c>
      <c r="E867" t="inlineStr">
        <is>
          <t>UPPSALA</t>
        </is>
      </c>
      <c r="F867" t="inlineStr">
        <is>
          <t>Övriga Aktiebolag</t>
        </is>
      </c>
      <c r="G867" t="n">
        <v>5.9</v>
      </c>
      <c r="H867" t="n">
        <v>0</v>
      </c>
      <c r="I867" t="n">
        <v>0</v>
      </c>
      <c r="J867" t="n">
        <v>0</v>
      </c>
      <c r="K867" t="n">
        <v>0</v>
      </c>
      <c r="L867" t="n">
        <v>0</v>
      </c>
      <c r="M867" t="n">
        <v>0</v>
      </c>
      <c r="N867" t="n">
        <v>0</v>
      </c>
      <c r="O867" t="n">
        <v>0</v>
      </c>
      <c r="P867" t="n">
        <v>0</v>
      </c>
      <c r="Q867" t="n">
        <v>0</v>
      </c>
      <c r="R867" s="2" t="inlineStr"/>
    </row>
    <row r="868" ht="15" customHeight="1">
      <c r="A868" t="inlineStr">
        <is>
          <t>A 39548-2023</t>
        </is>
      </c>
      <c r="B868" s="1" t="n">
        <v>45167.3721412037</v>
      </c>
      <c r="C868" s="1" t="n">
        <v>45916</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26099-2024</t>
        </is>
      </c>
      <c r="B869" s="1" t="n">
        <v>45468</v>
      </c>
      <c r="C869" s="1" t="n">
        <v>45916</v>
      </c>
      <c r="D869" t="inlineStr">
        <is>
          <t>UPPSALA LÄN</t>
        </is>
      </c>
      <c r="E869" t="inlineStr">
        <is>
          <t>UPPSALA</t>
        </is>
      </c>
      <c r="G869" t="n">
        <v>0.3</v>
      </c>
      <c r="H869" t="n">
        <v>0</v>
      </c>
      <c r="I869" t="n">
        <v>0</v>
      </c>
      <c r="J869" t="n">
        <v>0</v>
      </c>
      <c r="K869" t="n">
        <v>0</v>
      </c>
      <c r="L869" t="n">
        <v>0</v>
      </c>
      <c r="M869" t="n">
        <v>0</v>
      </c>
      <c r="N869" t="n">
        <v>0</v>
      </c>
      <c r="O869" t="n">
        <v>0</v>
      </c>
      <c r="P869" t="n">
        <v>0</v>
      </c>
      <c r="Q869" t="n">
        <v>0</v>
      </c>
      <c r="R869" s="2" t="inlineStr"/>
    </row>
    <row r="870" ht="15" customHeight="1">
      <c r="A870" t="inlineStr">
        <is>
          <t>A 21279-2025</t>
        </is>
      </c>
      <c r="B870" s="1" t="n">
        <v>45779.65787037037</v>
      </c>
      <c r="C870" s="1" t="n">
        <v>45916</v>
      </c>
      <c r="D870" t="inlineStr">
        <is>
          <t>UPPSALA LÄN</t>
        </is>
      </c>
      <c r="E870" t="inlineStr">
        <is>
          <t>UPPSALA</t>
        </is>
      </c>
      <c r="F870" t="inlineStr">
        <is>
          <t>Övriga Aktiebolag</t>
        </is>
      </c>
      <c r="G870" t="n">
        <v>0.8</v>
      </c>
      <c r="H870" t="n">
        <v>0</v>
      </c>
      <c r="I870" t="n">
        <v>0</v>
      </c>
      <c r="J870" t="n">
        <v>0</v>
      </c>
      <c r="K870" t="n">
        <v>0</v>
      </c>
      <c r="L870" t="n">
        <v>0</v>
      </c>
      <c r="M870" t="n">
        <v>0</v>
      </c>
      <c r="N870" t="n">
        <v>0</v>
      </c>
      <c r="O870" t="n">
        <v>0</v>
      </c>
      <c r="P870" t="n">
        <v>0</v>
      </c>
      <c r="Q870" t="n">
        <v>0</v>
      </c>
      <c r="R870" s="2" t="inlineStr"/>
    </row>
    <row r="871" ht="15" customHeight="1">
      <c r="A871" t="inlineStr">
        <is>
          <t>A 17558-2022</t>
        </is>
      </c>
      <c r="B871" s="1" t="n">
        <v>44679.66694444444</v>
      </c>
      <c r="C871" s="1" t="n">
        <v>45916</v>
      </c>
      <c r="D871" t="inlineStr">
        <is>
          <t>UPPSALA LÄN</t>
        </is>
      </c>
      <c r="E871" t="inlineStr">
        <is>
          <t>UPPSALA</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33689-2023</t>
        </is>
      </c>
      <c r="B872" s="1" t="n">
        <v>45119</v>
      </c>
      <c r="C872" s="1" t="n">
        <v>45916</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18626-2025</t>
        </is>
      </c>
      <c r="B873" s="1" t="n">
        <v>45763.52995370371</v>
      </c>
      <c r="C873" s="1" t="n">
        <v>45916</v>
      </c>
      <c r="D873" t="inlineStr">
        <is>
          <t>UPPSALA LÄN</t>
        </is>
      </c>
      <c r="E873" t="inlineStr">
        <is>
          <t>UPPSALA</t>
        </is>
      </c>
      <c r="G873" t="n">
        <v>1.8</v>
      </c>
      <c r="H873" t="n">
        <v>0</v>
      </c>
      <c r="I873" t="n">
        <v>0</v>
      </c>
      <c r="J873" t="n">
        <v>0</v>
      </c>
      <c r="K873" t="n">
        <v>0</v>
      </c>
      <c r="L873" t="n">
        <v>0</v>
      </c>
      <c r="M873" t="n">
        <v>0</v>
      </c>
      <c r="N873" t="n">
        <v>0</v>
      </c>
      <c r="O873" t="n">
        <v>0</v>
      </c>
      <c r="P873" t="n">
        <v>0</v>
      </c>
      <c r="Q873" t="n">
        <v>0</v>
      </c>
      <c r="R873" s="2" t="inlineStr"/>
    </row>
    <row r="874" ht="15" customHeight="1">
      <c r="A874" t="inlineStr">
        <is>
          <t>A 57271-2020</t>
        </is>
      </c>
      <c r="B874" s="1" t="n">
        <v>44139</v>
      </c>
      <c r="C874" s="1" t="n">
        <v>45916</v>
      </c>
      <c r="D874" t="inlineStr">
        <is>
          <t>UPPSALA LÄN</t>
        </is>
      </c>
      <c r="E874" t="inlineStr">
        <is>
          <t>UPPSALA</t>
        </is>
      </c>
      <c r="G874" t="n">
        <v>3.8</v>
      </c>
      <c r="H874" t="n">
        <v>0</v>
      </c>
      <c r="I874" t="n">
        <v>0</v>
      </c>
      <c r="J874" t="n">
        <v>0</v>
      </c>
      <c r="K874" t="n">
        <v>0</v>
      </c>
      <c r="L874" t="n">
        <v>0</v>
      </c>
      <c r="M874" t="n">
        <v>0</v>
      </c>
      <c r="N874" t="n">
        <v>0</v>
      </c>
      <c r="O874" t="n">
        <v>0</v>
      </c>
      <c r="P874" t="n">
        <v>0</v>
      </c>
      <c r="Q874" t="n">
        <v>0</v>
      </c>
      <c r="R874" s="2" t="inlineStr"/>
    </row>
    <row r="875" ht="15" customHeight="1">
      <c r="A875" t="inlineStr">
        <is>
          <t>A 3183-2024</t>
        </is>
      </c>
      <c r="B875" s="1" t="n">
        <v>45316</v>
      </c>
      <c r="C875" s="1" t="n">
        <v>45916</v>
      </c>
      <c r="D875" t="inlineStr">
        <is>
          <t>UPPSALA LÄN</t>
        </is>
      </c>
      <c r="E875" t="inlineStr">
        <is>
          <t>UPPSALA</t>
        </is>
      </c>
      <c r="F875" t="inlineStr">
        <is>
          <t>Bergvik skog öst AB</t>
        </is>
      </c>
      <c r="G875" t="n">
        <v>1.8</v>
      </c>
      <c r="H875" t="n">
        <v>0</v>
      </c>
      <c r="I875" t="n">
        <v>0</v>
      </c>
      <c r="J875" t="n">
        <v>0</v>
      </c>
      <c r="K875" t="n">
        <v>0</v>
      </c>
      <c r="L875" t="n">
        <v>0</v>
      </c>
      <c r="M875" t="n">
        <v>0</v>
      </c>
      <c r="N875" t="n">
        <v>0</v>
      </c>
      <c r="O875" t="n">
        <v>0</v>
      </c>
      <c r="P875" t="n">
        <v>0</v>
      </c>
      <c r="Q875" t="n">
        <v>0</v>
      </c>
      <c r="R875" s="2" t="inlineStr"/>
    </row>
    <row r="876" ht="15" customHeight="1">
      <c r="A876" t="inlineStr">
        <is>
          <t>A 21748-2025</t>
        </is>
      </c>
      <c r="B876" s="1" t="n">
        <v>45783.61053240741</v>
      </c>
      <c r="C876" s="1" t="n">
        <v>45916</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53569-2024</t>
        </is>
      </c>
      <c r="B877" s="1" t="n">
        <v>45614.65928240741</v>
      </c>
      <c r="C877" s="1" t="n">
        <v>45916</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69436-2021</t>
        </is>
      </c>
      <c r="B878" s="1" t="n">
        <v>44531</v>
      </c>
      <c r="C878" s="1" t="n">
        <v>45916</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7253-2024</t>
        </is>
      </c>
      <c r="B879" s="1" t="n">
        <v>45344.69567129629</v>
      </c>
      <c r="C879" s="1" t="n">
        <v>45916</v>
      </c>
      <c r="D879" t="inlineStr">
        <is>
          <t>UPPSALA LÄN</t>
        </is>
      </c>
      <c r="E879" t="inlineStr">
        <is>
          <t>UPPSALA</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5764-2025</t>
        </is>
      </c>
      <c r="B880" s="1" t="n">
        <v>45694</v>
      </c>
      <c r="C880" s="1" t="n">
        <v>45916</v>
      </c>
      <c r="D880" t="inlineStr">
        <is>
          <t>UPPSALA LÄN</t>
        </is>
      </c>
      <c r="E880" t="inlineStr">
        <is>
          <t>UPPSALA</t>
        </is>
      </c>
      <c r="G880" t="n">
        <v>0.9</v>
      </c>
      <c r="H880" t="n">
        <v>0</v>
      </c>
      <c r="I880" t="n">
        <v>0</v>
      </c>
      <c r="J880" t="n">
        <v>0</v>
      </c>
      <c r="K880" t="n">
        <v>0</v>
      </c>
      <c r="L880" t="n">
        <v>0</v>
      </c>
      <c r="M880" t="n">
        <v>0</v>
      </c>
      <c r="N880" t="n">
        <v>0</v>
      </c>
      <c r="O880" t="n">
        <v>0</v>
      </c>
      <c r="P880" t="n">
        <v>0</v>
      </c>
      <c r="Q880" t="n">
        <v>0</v>
      </c>
      <c r="R880" s="2" t="inlineStr"/>
    </row>
    <row r="881" ht="15" customHeight="1">
      <c r="A881" t="inlineStr">
        <is>
          <t>A 22018-2025</t>
        </is>
      </c>
      <c r="B881" s="1" t="n">
        <v>45784.80497685185</v>
      </c>
      <c r="C881" s="1" t="n">
        <v>45916</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21936-2025</t>
        </is>
      </c>
      <c r="B882" s="1" t="n">
        <v>45784.57266203704</v>
      </c>
      <c r="C882" s="1" t="n">
        <v>45916</v>
      </c>
      <c r="D882" t="inlineStr">
        <is>
          <t>UPPSALA LÄN</t>
        </is>
      </c>
      <c r="E882" t="inlineStr">
        <is>
          <t>UPPSALA</t>
        </is>
      </c>
      <c r="F882" t="inlineStr">
        <is>
          <t>Bergvik skog öst AB</t>
        </is>
      </c>
      <c r="G882" t="n">
        <v>1.7</v>
      </c>
      <c r="H882" t="n">
        <v>0</v>
      </c>
      <c r="I882" t="n">
        <v>0</v>
      </c>
      <c r="J882" t="n">
        <v>0</v>
      </c>
      <c r="K882" t="n">
        <v>0</v>
      </c>
      <c r="L882" t="n">
        <v>0</v>
      </c>
      <c r="M882" t="n">
        <v>0</v>
      </c>
      <c r="N882" t="n">
        <v>0</v>
      </c>
      <c r="O882" t="n">
        <v>0</v>
      </c>
      <c r="P882" t="n">
        <v>0</v>
      </c>
      <c r="Q882" t="n">
        <v>0</v>
      </c>
      <c r="R882" s="2" t="inlineStr"/>
    </row>
    <row r="883" ht="15" customHeight="1">
      <c r="A883" t="inlineStr">
        <is>
          <t>A 63307-2021</t>
        </is>
      </c>
      <c r="B883" s="1" t="n">
        <v>44508.44033564815</v>
      </c>
      <c r="C883" s="1" t="n">
        <v>45916</v>
      </c>
      <c r="D883" t="inlineStr">
        <is>
          <t>UPPSALA LÄN</t>
        </is>
      </c>
      <c r="E883" t="inlineStr">
        <is>
          <t>UPPSALA</t>
        </is>
      </c>
      <c r="F883" t="inlineStr">
        <is>
          <t>Bergvik skog öst AB</t>
        </is>
      </c>
      <c r="G883" t="n">
        <v>2.8</v>
      </c>
      <c r="H883" t="n">
        <v>0</v>
      </c>
      <c r="I883" t="n">
        <v>0</v>
      </c>
      <c r="J883" t="n">
        <v>0</v>
      </c>
      <c r="K883" t="n">
        <v>0</v>
      </c>
      <c r="L883" t="n">
        <v>0</v>
      </c>
      <c r="M883" t="n">
        <v>0</v>
      </c>
      <c r="N883" t="n">
        <v>0</v>
      </c>
      <c r="O883" t="n">
        <v>0</v>
      </c>
      <c r="P883" t="n">
        <v>0</v>
      </c>
      <c r="Q883" t="n">
        <v>0</v>
      </c>
      <c r="R883" s="2" t="inlineStr"/>
    </row>
    <row r="884" ht="15" customHeight="1">
      <c r="A884" t="inlineStr">
        <is>
          <t>A 13128-2022</t>
        </is>
      </c>
      <c r="B884" s="1" t="n">
        <v>44644.37548611111</v>
      </c>
      <c r="C884" s="1" t="n">
        <v>45916</v>
      </c>
      <c r="D884" t="inlineStr">
        <is>
          <t>UPPSALA LÄN</t>
        </is>
      </c>
      <c r="E884" t="inlineStr">
        <is>
          <t>UPPSALA</t>
        </is>
      </c>
      <c r="F884" t="inlineStr">
        <is>
          <t>Övriga Aktiebolag</t>
        </is>
      </c>
      <c r="G884" t="n">
        <v>3.7</v>
      </c>
      <c r="H884" t="n">
        <v>0</v>
      </c>
      <c r="I884" t="n">
        <v>0</v>
      </c>
      <c r="J884" t="n">
        <v>0</v>
      </c>
      <c r="K884" t="n">
        <v>0</v>
      </c>
      <c r="L884" t="n">
        <v>0</v>
      </c>
      <c r="M884" t="n">
        <v>0</v>
      </c>
      <c r="N884" t="n">
        <v>0</v>
      </c>
      <c r="O884" t="n">
        <v>0</v>
      </c>
      <c r="P884" t="n">
        <v>0</v>
      </c>
      <c r="Q884" t="n">
        <v>0</v>
      </c>
      <c r="R884" s="2" t="inlineStr"/>
    </row>
    <row r="885" ht="15" customHeight="1">
      <c r="A885" t="inlineStr">
        <is>
          <t>A 18808-2024</t>
        </is>
      </c>
      <c r="B885" s="1" t="n">
        <v>45426.61569444444</v>
      </c>
      <c r="C885" s="1" t="n">
        <v>45916</v>
      </c>
      <c r="D885" t="inlineStr">
        <is>
          <t>UPPSALA LÄN</t>
        </is>
      </c>
      <c r="E885" t="inlineStr">
        <is>
          <t>UPPSALA</t>
        </is>
      </c>
      <c r="G885" t="n">
        <v>11.5</v>
      </c>
      <c r="H885" t="n">
        <v>0</v>
      </c>
      <c r="I885" t="n">
        <v>0</v>
      </c>
      <c r="J885" t="n">
        <v>0</v>
      </c>
      <c r="K885" t="n">
        <v>0</v>
      </c>
      <c r="L885" t="n">
        <v>0</v>
      </c>
      <c r="M885" t="n">
        <v>0</v>
      </c>
      <c r="N885" t="n">
        <v>0</v>
      </c>
      <c r="O885" t="n">
        <v>0</v>
      </c>
      <c r="P885" t="n">
        <v>0</v>
      </c>
      <c r="Q885" t="n">
        <v>0</v>
      </c>
      <c r="R885" s="2" t="inlineStr"/>
    </row>
    <row r="886" ht="15" customHeight="1">
      <c r="A886" t="inlineStr">
        <is>
          <t>A 43855-2023</t>
        </is>
      </c>
      <c r="B886" s="1" t="n">
        <v>45187.61136574074</v>
      </c>
      <c r="C886" s="1" t="n">
        <v>45916</v>
      </c>
      <c r="D886" t="inlineStr">
        <is>
          <t>UPPSALA LÄN</t>
        </is>
      </c>
      <c r="E886" t="inlineStr">
        <is>
          <t>UPPSALA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69432-2021</t>
        </is>
      </c>
      <c r="B887" s="1" t="n">
        <v>44531</v>
      </c>
      <c r="C887" s="1" t="n">
        <v>45916</v>
      </c>
      <c r="D887" t="inlineStr">
        <is>
          <t>UPPSALA LÄN</t>
        </is>
      </c>
      <c r="E887" t="inlineStr">
        <is>
          <t>UPPSALA</t>
        </is>
      </c>
      <c r="G887" t="n">
        <v>1.7</v>
      </c>
      <c r="H887" t="n">
        <v>0</v>
      </c>
      <c r="I887" t="n">
        <v>0</v>
      </c>
      <c r="J887" t="n">
        <v>0</v>
      </c>
      <c r="K887" t="n">
        <v>0</v>
      </c>
      <c r="L887" t="n">
        <v>0</v>
      </c>
      <c r="M887" t="n">
        <v>0</v>
      </c>
      <c r="N887" t="n">
        <v>0</v>
      </c>
      <c r="O887" t="n">
        <v>0</v>
      </c>
      <c r="P887" t="n">
        <v>0</v>
      </c>
      <c r="Q887" t="n">
        <v>0</v>
      </c>
      <c r="R887" s="2" t="inlineStr"/>
    </row>
    <row r="888" ht="15" customHeight="1">
      <c r="A888" t="inlineStr">
        <is>
          <t>A 37763-2021</t>
        </is>
      </c>
      <c r="B888" s="1" t="n">
        <v>44400.6750925926</v>
      </c>
      <c r="C888" s="1" t="n">
        <v>45916</v>
      </c>
      <c r="D888" t="inlineStr">
        <is>
          <t>UPPSALA LÄN</t>
        </is>
      </c>
      <c r="E888" t="inlineStr">
        <is>
          <t>UPPSALA</t>
        </is>
      </c>
      <c r="F888" t="inlineStr">
        <is>
          <t>Bergvik skog öst AB</t>
        </is>
      </c>
      <c r="G888" t="n">
        <v>1</v>
      </c>
      <c r="H888" t="n">
        <v>0</v>
      </c>
      <c r="I888" t="n">
        <v>0</v>
      </c>
      <c r="J888" t="n">
        <v>0</v>
      </c>
      <c r="K888" t="n">
        <v>0</v>
      </c>
      <c r="L888" t="n">
        <v>0</v>
      </c>
      <c r="M888" t="n">
        <v>0</v>
      </c>
      <c r="N888" t="n">
        <v>0</v>
      </c>
      <c r="O888" t="n">
        <v>0</v>
      </c>
      <c r="P888" t="n">
        <v>0</v>
      </c>
      <c r="Q888" t="n">
        <v>0</v>
      </c>
      <c r="R888" s="2" t="inlineStr"/>
    </row>
    <row r="889" ht="15" customHeight="1">
      <c r="A889" t="inlineStr">
        <is>
          <t>A 69595-2021</t>
        </is>
      </c>
      <c r="B889" s="1" t="n">
        <v>44532</v>
      </c>
      <c r="C889" s="1" t="n">
        <v>45916</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40701-2024</t>
        </is>
      </c>
      <c r="B890" s="1" t="n">
        <v>45558.42498842593</v>
      </c>
      <c r="C890" s="1" t="n">
        <v>45916</v>
      </c>
      <c r="D890" t="inlineStr">
        <is>
          <t>UPPSALA LÄN</t>
        </is>
      </c>
      <c r="E890" t="inlineStr">
        <is>
          <t>UPPSALA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758-2022</t>
        </is>
      </c>
      <c r="B891" s="1" t="n">
        <v>44569.69358796296</v>
      </c>
      <c r="C891" s="1" t="n">
        <v>45916</v>
      </c>
      <c r="D891" t="inlineStr">
        <is>
          <t>UPPSALA LÄN</t>
        </is>
      </c>
      <c r="E891" t="inlineStr">
        <is>
          <t>UPPSALA</t>
        </is>
      </c>
      <c r="F891" t="inlineStr">
        <is>
          <t>Holmen skog AB</t>
        </is>
      </c>
      <c r="G891" t="n">
        <v>5.2</v>
      </c>
      <c r="H891" t="n">
        <v>0</v>
      </c>
      <c r="I891" t="n">
        <v>0</v>
      </c>
      <c r="J891" t="n">
        <v>0</v>
      </c>
      <c r="K891" t="n">
        <v>0</v>
      </c>
      <c r="L891" t="n">
        <v>0</v>
      </c>
      <c r="M891" t="n">
        <v>0</v>
      </c>
      <c r="N891" t="n">
        <v>0</v>
      </c>
      <c r="O891" t="n">
        <v>0</v>
      </c>
      <c r="P891" t="n">
        <v>0</v>
      </c>
      <c r="Q891" t="n">
        <v>0</v>
      </c>
      <c r="R891" s="2" t="inlineStr"/>
    </row>
    <row r="892" ht="15" customHeight="1">
      <c r="A892" t="inlineStr">
        <is>
          <t>A 59570-2023</t>
        </is>
      </c>
      <c r="B892" s="1" t="n">
        <v>45254</v>
      </c>
      <c r="C892" s="1" t="n">
        <v>45916</v>
      </c>
      <c r="D892" t="inlineStr">
        <is>
          <t>UPPSALA LÄN</t>
        </is>
      </c>
      <c r="E892" t="inlineStr">
        <is>
          <t>UPPSALA</t>
        </is>
      </c>
      <c r="G892" t="n">
        <v>6.7</v>
      </c>
      <c r="H892" t="n">
        <v>0</v>
      </c>
      <c r="I892" t="n">
        <v>0</v>
      </c>
      <c r="J892" t="n">
        <v>0</v>
      </c>
      <c r="K892" t="n">
        <v>0</v>
      </c>
      <c r="L892" t="n">
        <v>0</v>
      </c>
      <c r="M892" t="n">
        <v>0</v>
      </c>
      <c r="N892" t="n">
        <v>0</v>
      </c>
      <c r="O892" t="n">
        <v>0</v>
      </c>
      <c r="P892" t="n">
        <v>0</v>
      </c>
      <c r="Q892" t="n">
        <v>0</v>
      </c>
      <c r="R892" s="2" t="inlineStr"/>
    </row>
    <row r="893" ht="15" customHeight="1">
      <c r="A893" t="inlineStr">
        <is>
          <t>A 10650-2024</t>
        </is>
      </c>
      <c r="B893" s="1" t="n">
        <v>45368.64787037037</v>
      </c>
      <c r="C893" s="1" t="n">
        <v>45916</v>
      </c>
      <c r="D893" t="inlineStr">
        <is>
          <t>UPPSALA LÄN</t>
        </is>
      </c>
      <c r="E893" t="inlineStr">
        <is>
          <t>UPPSALA</t>
        </is>
      </c>
      <c r="F893" t="inlineStr">
        <is>
          <t>Bergvik skog öst AB</t>
        </is>
      </c>
      <c r="G893" t="n">
        <v>1</v>
      </c>
      <c r="H893" t="n">
        <v>0</v>
      </c>
      <c r="I893" t="n">
        <v>0</v>
      </c>
      <c r="J893" t="n">
        <v>0</v>
      </c>
      <c r="K893" t="n">
        <v>0</v>
      </c>
      <c r="L893" t="n">
        <v>0</v>
      </c>
      <c r="M893" t="n">
        <v>0</v>
      </c>
      <c r="N893" t="n">
        <v>0</v>
      </c>
      <c r="O893" t="n">
        <v>0</v>
      </c>
      <c r="P893" t="n">
        <v>0</v>
      </c>
      <c r="Q893" t="n">
        <v>0</v>
      </c>
      <c r="R893" s="2" t="inlineStr"/>
    </row>
    <row r="894" ht="15" customHeight="1">
      <c r="A894" t="inlineStr">
        <is>
          <t>A 46925-2024</t>
        </is>
      </c>
      <c r="B894" s="1" t="n">
        <v>45584.60038194444</v>
      </c>
      <c r="C894" s="1" t="n">
        <v>45916</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3214-2023</t>
        </is>
      </c>
      <c r="B895" s="1" t="n">
        <v>44944</v>
      </c>
      <c r="C895" s="1" t="n">
        <v>45916</v>
      </c>
      <c r="D895" t="inlineStr">
        <is>
          <t>UPPSALA LÄN</t>
        </is>
      </c>
      <c r="E895" t="inlineStr">
        <is>
          <t>UPPSALA</t>
        </is>
      </c>
      <c r="G895" t="n">
        <v>4.1</v>
      </c>
      <c r="H895" t="n">
        <v>0</v>
      </c>
      <c r="I895" t="n">
        <v>0</v>
      </c>
      <c r="J895" t="n">
        <v>0</v>
      </c>
      <c r="K895" t="n">
        <v>0</v>
      </c>
      <c r="L895" t="n">
        <v>0</v>
      </c>
      <c r="M895" t="n">
        <v>0</v>
      </c>
      <c r="N895" t="n">
        <v>0</v>
      </c>
      <c r="O895" t="n">
        <v>0</v>
      </c>
      <c r="P895" t="n">
        <v>0</v>
      </c>
      <c r="Q895" t="n">
        <v>0</v>
      </c>
      <c r="R895" s="2" t="inlineStr"/>
    </row>
    <row r="896" ht="15" customHeight="1">
      <c r="A896" t="inlineStr">
        <is>
          <t>A 38190-2023</t>
        </is>
      </c>
      <c r="B896" s="1" t="n">
        <v>45161</v>
      </c>
      <c r="C896" s="1" t="n">
        <v>45916</v>
      </c>
      <c r="D896" t="inlineStr">
        <is>
          <t>UPPSALA LÄN</t>
        </is>
      </c>
      <c r="E896" t="inlineStr">
        <is>
          <t>UPPSALA</t>
        </is>
      </c>
      <c r="G896" t="n">
        <v>0.4</v>
      </c>
      <c r="H896" t="n">
        <v>0</v>
      </c>
      <c r="I896" t="n">
        <v>0</v>
      </c>
      <c r="J896" t="n">
        <v>0</v>
      </c>
      <c r="K896" t="n">
        <v>0</v>
      </c>
      <c r="L896" t="n">
        <v>0</v>
      </c>
      <c r="M896" t="n">
        <v>0</v>
      </c>
      <c r="N896" t="n">
        <v>0</v>
      </c>
      <c r="O896" t="n">
        <v>0</v>
      </c>
      <c r="P896" t="n">
        <v>0</v>
      </c>
      <c r="Q896" t="n">
        <v>0</v>
      </c>
      <c r="R896" s="2" t="inlineStr"/>
    </row>
    <row r="897" ht="15" customHeight="1">
      <c r="A897" t="inlineStr">
        <is>
          <t>A 26208-2023</t>
        </is>
      </c>
      <c r="B897" s="1" t="n">
        <v>45091</v>
      </c>
      <c r="C897" s="1" t="n">
        <v>45916</v>
      </c>
      <c r="D897" t="inlineStr">
        <is>
          <t>UPPSALA LÄN</t>
        </is>
      </c>
      <c r="E897" t="inlineStr">
        <is>
          <t>UPPSALA</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54924-2024</t>
        </is>
      </c>
      <c r="B898" s="1" t="n">
        <v>45618.71140046296</v>
      </c>
      <c r="C898" s="1" t="n">
        <v>45916</v>
      </c>
      <c r="D898" t="inlineStr">
        <is>
          <t>UPPSALA LÄN</t>
        </is>
      </c>
      <c r="E898" t="inlineStr">
        <is>
          <t>UPPSALA</t>
        </is>
      </c>
      <c r="G898" t="n">
        <v>2.4</v>
      </c>
      <c r="H898" t="n">
        <v>0</v>
      </c>
      <c r="I898" t="n">
        <v>0</v>
      </c>
      <c r="J898" t="n">
        <v>0</v>
      </c>
      <c r="K898" t="n">
        <v>0</v>
      </c>
      <c r="L898" t="n">
        <v>0</v>
      </c>
      <c r="M898" t="n">
        <v>0</v>
      </c>
      <c r="N898" t="n">
        <v>0</v>
      </c>
      <c r="O898" t="n">
        <v>0</v>
      </c>
      <c r="P898" t="n">
        <v>0</v>
      </c>
      <c r="Q898" t="n">
        <v>0</v>
      </c>
      <c r="R898" s="2" t="inlineStr"/>
    </row>
    <row r="899" ht="15" customHeight="1">
      <c r="A899" t="inlineStr">
        <is>
          <t>A 39007-2024</t>
        </is>
      </c>
      <c r="B899" s="1" t="n">
        <v>45548.42854166667</v>
      </c>
      <c r="C899" s="1" t="n">
        <v>45916</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11260-2024</t>
        </is>
      </c>
      <c r="B900" s="1" t="n">
        <v>45371.67368055556</v>
      </c>
      <c r="C900" s="1" t="n">
        <v>45916</v>
      </c>
      <c r="D900" t="inlineStr">
        <is>
          <t>UPPSALA LÄN</t>
        </is>
      </c>
      <c r="E900" t="inlineStr">
        <is>
          <t>UPPSALA</t>
        </is>
      </c>
      <c r="G900" t="n">
        <v>1.9</v>
      </c>
      <c r="H900" t="n">
        <v>0</v>
      </c>
      <c r="I900" t="n">
        <v>0</v>
      </c>
      <c r="J900" t="n">
        <v>0</v>
      </c>
      <c r="K900" t="n">
        <v>0</v>
      </c>
      <c r="L900" t="n">
        <v>0</v>
      </c>
      <c r="M900" t="n">
        <v>0</v>
      </c>
      <c r="N900" t="n">
        <v>0</v>
      </c>
      <c r="O900" t="n">
        <v>0</v>
      </c>
      <c r="P900" t="n">
        <v>0</v>
      </c>
      <c r="Q900" t="n">
        <v>0</v>
      </c>
      <c r="R900" s="2" t="inlineStr"/>
    </row>
    <row r="901" ht="15" customHeight="1">
      <c r="A901" t="inlineStr">
        <is>
          <t>A 27543-2022</t>
        </is>
      </c>
      <c r="B901" s="1" t="n">
        <v>44742</v>
      </c>
      <c r="C901" s="1" t="n">
        <v>45916</v>
      </c>
      <c r="D901" t="inlineStr">
        <is>
          <t>UPPSALA LÄN</t>
        </is>
      </c>
      <c r="E901" t="inlineStr">
        <is>
          <t>UPPSALA</t>
        </is>
      </c>
      <c r="F901" t="inlineStr">
        <is>
          <t>Kyrkan</t>
        </is>
      </c>
      <c r="G901" t="n">
        <v>2.6</v>
      </c>
      <c r="H901" t="n">
        <v>0</v>
      </c>
      <c r="I901" t="n">
        <v>0</v>
      </c>
      <c r="J901" t="n">
        <v>0</v>
      </c>
      <c r="K901" t="n">
        <v>0</v>
      </c>
      <c r="L901" t="n">
        <v>0</v>
      </c>
      <c r="M901" t="n">
        <v>0</v>
      </c>
      <c r="N901" t="n">
        <v>0</v>
      </c>
      <c r="O901" t="n">
        <v>0</v>
      </c>
      <c r="P901" t="n">
        <v>0</v>
      </c>
      <c r="Q901" t="n">
        <v>0</v>
      </c>
      <c r="R901" s="2" t="inlineStr"/>
    </row>
    <row r="902" ht="15" customHeight="1">
      <c r="A902" t="inlineStr">
        <is>
          <t>A 3973-2025</t>
        </is>
      </c>
      <c r="B902" s="1" t="n">
        <v>45684</v>
      </c>
      <c r="C902" s="1" t="n">
        <v>45916</v>
      </c>
      <c r="D902" t="inlineStr">
        <is>
          <t>UPPSALA LÄN</t>
        </is>
      </c>
      <c r="E902" t="inlineStr">
        <is>
          <t>UPPSALA</t>
        </is>
      </c>
      <c r="G902" t="n">
        <v>8</v>
      </c>
      <c r="H902" t="n">
        <v>0</v>
      </c>
      <c r="I902" t="n">
        <v>0</v>
      </c>
      <c r="J902" t="n">
        <v>0</v>
      </c>
      <c r="K902" t="n">
        <v>0</v>
      </c>
      <c r="L902" t="n">
        <v>0</v>
      </c>
      <c r="M902" t="n">
        <v>0</v>
      </c>
      <c r="N902" t="n">
        <v>0</v>
      </c>
      <c r="O902" t="n">
        <v>0</v>
      </c>
      <c r="P902" t="n">
        <v>0</v>
      </c>
      <c r="Q902" t="n">
        <v>0</v>
      </c>
      <c r="R902" s="2" t="inlineStr"/>
    </row>
    <row r="903" ht="15" customHeight="1">
      <c r="A903" t="inlineStr">
        <is>
          <t>A 46743-2024</t>
        </is>
      </c>
      <c r="B903" s="1" t="n">
        <v>45583.47836805556</v>
      </c>
      <c r="C903" s="1" t="n">
        <v>45916</v>
      </c>
      <c r="D903" t="inlineStr">
        <is>
          <t>UPPSALA LÄN</t>
        </is>
      </c>
      <c r="E903" t="inlineStr">
        <is>
          <t>UPPSALA</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16324-2024</t>
        </is>
      </c>
      <c r="B904" s="1" t="n">
        <v>45407.49721064815</v>
      </c>
      <c r="C904" s="1" t="n">
        <v>45916</v>
      </c>
      <c r="D904" t="inlineStr">
        <is>
          <t>UPPSALA LÄN</t>
        </is>
      </c>
      <c r="E904" t="inlineStr">
        <is>
          <t>UPPSALA</t>
        </is>
      </c>
      <c r="G904" t="n">
        <v>2.3</v>
      </c>
      <c r="H904" t="n">
        <v>0</v>
      </c>
      <c r="I904" t="n">
        <v>0</v>
      </c>
      <c r="J904" t="n">
        <v>0</v>
      </c>
      <c r="K904" t="n">
        <v>0</v>
      </c>
      <c r="L904" t="n">
        <v>0</v>
      </c>
      <c r="M904" t="n">
        <v>0</v>
      </c>
      <c r="N904" t="n">
        <v>0</v>
      </c>
      <c r="O904" t="n">
        <v>0</v>
      </c>
      <c r="P904" t="n">
        <v>0</v>
      </c>
      <c r="Q904" t="n">
        <v>0</v>
      </c>
      <c r="R904" s="2" t="inlineStr"/>
    </row>
    <row r="905" ht="15" customHeight="1">
      <c r="A905" t="inlineStr">
        <is>
          <t>A 66690-2021</t>
        </is>
      </c>
      <c r="B905" s="1" t="n">
        <v>44519.64902777778</v>
      </c>
      <c r="C905" s="1" t="n">
        <v>45916</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13602-2025</t>
        </is>
      </c>
      <c r="B906" s="1" t="n">
        <v>45736.60863425926</v>
      </c>
      <c r="C906" s="1" t="n">
        <v>45916</v>
      </c>
      <c r="D906" t="inlineStr">
        <is>
          <t>UPPSALA LÄN</t>
        </is>
      </c>
      <c r="E906" t="inlineStr">
        <is>
          <t>UPPSALA</t>
        </is>
      </c>
      <c r="F906" t="inlineStr">
        <is>
          <t>Allmännings- och besparingsskogar</t>
        </is>
      </c>
      <c r="G906" t="n">
        <v>9.5</v>
      </c>
      <c r="H906" t="n">
        <v>0</v>
      </c>
      <c r="I906" t="n">
        <v>0</v>
      </c>
      <c r="J906" t="n">
        <v>0</v>
      </c>
      <c r="K906" t="n">
        <v>0</v>
      </c>
      <c r="L906" t="n">
        <v>0</v>
      </c>
      <c r="M906" t="n">
        <v>0</v>
      </c>
      <c r="N906" t="n">
        <v>0</v>
      </c>
      <c r="O906" t="n">
        <v>0</v>
      </c>
      <c r="P906" t="n">
        <v>0</v>
      </c>
      <c r="Q906" t="n">
        <v>0</v>
      </c>
      <c r="R906" s="2" t="inlineStr"/>
    </row>
    <row r="907" ht="15" customHeight="1">
      <c r="A907" t="inlineStr">
        <is>
          <t>A 42276-2024</t>
        </is>
      </c>
      <c r="B907" s="1" t="n">
        <v>45562</v>
      </c>
      <c r="C907" s="1" t="n">
        <v>45916</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42131-2023</t>
        </is>
      </c>
      <c r="B908" s="1" t="n">
        <v>45177.79766203704</v>
      </c>
      <c r="C908" s="1" t="n">
        <v>45916</v>
      </c>
      <c r="D908" t="inlineStr">
        <is>
          <t>UPPSALA LÄN</t>
        </is>
      </c>
      <c r="E908" t="inlineStr">
        <is>
          <t>UPPSALA</t>
        </is>
      </c>
      <c r="F908" t="inlineStr">
        <is>
          <t>Allmännings- och besparingsskogar</t>
        </is>
      </c>
      <c r="G908" t="n">
        <v>6.3</v>
      </c>
      <c r="H908" t="n">
        <v>0</v>
      </c>
      <c r="I908" t="n">
        <v>0</v>
      </c>
      <c r="J908" t="n">
        <v>0</v>
      </c>
      <c r="K908" t="n">
        <v>0</v>
      </c>
      <c r="L908" t="n">
        <v>0</v>
      </c>
      <c r="M908" t="n">
        <v>0</v>
      </c>
      <c r="N908" t="n">
        <v>0</v>
      </c>
      <c r="O908" t="n">
        <v>0</v>
      </c>
      <c r="P908" t="n">
        <v>0</v>
      </c>
      <c r="Q908" t="n">
        <v>0</v>
      </c>
      <c r="R908" s="2" t="inlineStr"/>
    </row>
    <row r="909" ht="15" customHeight="1">
      <c r="A909" t="inlineStr">
        <is>
          <t>A 53379-2020</t>
        </is>
      </c>
      <c r="B909" s="1" t="n">
        <v>44123</v>
      </c>
      <c r="C909" s="1" t="n">
        <v>45916</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45916</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56564-2024</t>
        </is>
      </c>
      <c r="B911" s="1" t="n">
        <v>45625.58501157408</v>
      </c>
      <c r="C911" s="1" t="n">
        <v>45916</v>
      </c>
      <c r="D911" t="inlineStr">
        <is>
          <t>UPPSALA LÄN</t>
        </is>
      </c>
      <c r="E911" t="inlineStr">
        <is>
          <t>UPPSALA</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4980-2024</t>
        </is>
      </c>
      <c r="B912" s="1" t="n">
        <v>45329</v>
      </c>
      <c r="C912" s="1" t="n">
        <v>45916</v>
      </c>
      <c r="D912" t="inlineStr">
        <is>
          <t>UPPSALA LÄN</t>
        </is>
      </c>
      <c r="E912" t="inlineStr">
        <is>
          <t>UPPSALA</t>
        </is>
      </c>
      <c r="G912" t="n">
        <v>10.8</v>
      </c>
      <c r="H912" t="n">
        <v>0</v>
      </c>
      <c r="I912" t="n">
        <v>0</v>
      </c>
      <c r="J912" t="n">
        <v>0</v>
      </c>
      <c r="K912" t="n">
        <v>0</v>
      </c>
      <c r="L912" t="n">
        <v>0</v>
      </c>
      <c r="M912" t="n">
        <v>0</v>
      </c>
      <c r="N912" t="n">
        <v>0</v>
      </c>
      <c r="O912" t="n">
        <v>0</v>
      </c>
      <c r="P912" t="n">
        <v>0</v>
      </c>
      <c r="Q912" t="n">
        <v>0</v>
      </c>
      <c r="R912" s="2" t="inlineStr"/>
    </row>
    <row r="913" ht="15" customHeight="1">
      <c r="A913" t="inlineStr">
        <is>
          <t>A 750-2022</t>
        </is>
      </c>
      <c r="B913" s="1" t="n">
        <v>44569.49344907407</v>
      </c>
      <c r="C913" s="1" t="n">
        <v>45916</v>
      </c>
      <c r="D913" t="inlineStr">
        <is>
          <t>UPPSALA LÄN</t>
        </is>
      </c>
      <c r="E913" t="inlineStr">
        <is>
          <t>UPPSALA</t>
        </is>
      </c>
      <c r="F913" t="inlineStr">
        <is>
          <t>Holmen skog AB</t>
        </is>
      </c>
      <c r="G913" t="n">
        <v>6</v>
      </c>
      <c r="H913" t="n">
        <v>0</v>
      </c>
      <c r="I913" t="n">
        <v>0</v>
      </c>
      <c r="J913" t="n">
        <v>0</v>
      </c>
      <c r="K913" t="n">
        <v>0</v>
      </c>
      <c r="L913" t="n">
        <v>0</v>
      </c>
      <c r="M913" t="n">
        <v>0</v>
      </c>
      <c r="N913" t="n">
        <v>0</v>
      </c>
      <c r="O913" t="n">
        <v>0</v>
      </c>
      <c r="P913" t="n">
        <v>0</v>
      </c>
      <c r="Q913" t="n">
        <v>0</v>
      </c>
      <c r="R913" s="2" t="inlineStr"/>
    </row>
    <row r="914" ht="15" customHeight="1">
      <c r="A914" t="inlineStr">
        <is>
          <t>A 46751-2024</t>
        </is>
      </c>
      <c r="B914" s="1" t="n">
        <v>45583.48449074074</v>
      </c>
      <c r="C914" s="1" t="n">
        <v>45916</v>
      </c>
      <c r="D914" t="inlineStr">
        <is>
          <t>UPPSALA LÄN</t>
        </is>
      </c>
      <c r="E914" t="inlineStr">
        <is>
          <t>UPPSALA</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733-2022</t>
        </is>
      </c>
      <c r="B915" s="1" t="n">
        <v>44568.67040509259</v>
      </c>
      <c r="C915" s="1" t="n">
        <v>45916</v>
      </c>
      <c r="D915" t="inlineStr">
        <is>
          <t>UPPSALA LÄN</t>
        </is>
      </c>
      <c r="E915" t="inlineStr">
        <is>
          <t>UPPSALA</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20087-2023</t>
        </is>
      </c>
      <c r="B916" s="1" t="n">
        <v>45054.9271875</v>
      </c>
      <c r="C916" s="1" t="n">
        <v>45916</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22930-2025</t>
        </is>
      </c>
      <c r="B917" s="1" t="n">
        <v>45790.44972222222</v>
      </c>
      <c r="C917" s="1" t="n">
        <v>45916</v>
      </c>
      <c r="D917" t="inlineStr">
        <is>
          <t>UPPSALA LÄN</t>
        </is>
      </c>
      <c r="E917" t="inlineStr">
        <is>
          <t>UPPSALA</t>
        </is>
      </c>
      <c r="G917" t="n">
        <v>7.7</v>
      </c>
      <c r="H917" t="n">
        <v>0</v>
      </c>
      <c r="I917" t="n">
        <v>0</v>
      </c>
      <c r="J917" t="n">
        <v>0</v>
      </c>
      <c r="K917" t="n">
        <v>0</v>
      </c>
      <c r="L917" t="n">
        <v>0</v>
      </c>
      <c r="M917" t="n">
        <v>0</v>
      </c>
      <c r="N917" t="n">
        <v>0</v>
      </c>
      <c r="O917" t="n">
        <v>0</v>
      </c>
      <c r="P917" t="n">
        <v>0</v>
      </c>
      <c r="Q917" t="n">
        <v>0</v>
      </c>
      <c r="R917" s="2" t="inlineStr"/>
    </row>
    <row r="918" ht="15" customHeight="1">
      <c r="A918" t="inlineStr">
        <is>
          <t>A 48588-2022</t>
        </is>
      </c>
      <c r="B918" s="1" t="n">
        <v>44859.36896990741</v>
      </c>
      <c r="C918" s="1" t="n">
        <v>45916</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6971-2025</t>
        </is>
      </c>
      <c r="B919" s="1" t="n">
        <v>45693</v>
      </c>
      <c r="C919" s="1" t="n">
        <v>45916</v>
      </c>
      <c r="D919" t="inlineStr">
        <is>
          <t>UPPSALA LÄN</t>
        </is>
      </c>
      <c r="E919" t="inlineStr">
        <is>
          <t>UPPSALA</t>
        </is>
      </c>
      <c r="G919" t="n">
        <v>1.7</v>
      </c>
      <c r="H919" t="n">
        <v>0</v>
      </c>
      <c r="I919" t="n">
        <v>0</v>
      </c>
      <c r="J919" t="n">
        <v>0</v>
      </c>
      <c r="K919" t="n">
        <v>0</v>
      </c>
      <c r="L919" t="n">
        <v>0</v>
      </c>
      <c r="M919" t="n">
        <v>0</v>
      </c>
      <c r="N919" t="n">
        <v>0</v>
      </c>
      <c r="O919" t="n">
        <v>0</v>
      </c>
      <c r="P919" t="n">
        <v>0</v>
      </c>
      <c r="Q919" t="n">
        <v>0</v>
      </c>
      <c r="R919" s="2" t="inlineStr"/>
    </row>
    <row r="920" ht="15" customHeight="1">
      <c r="A920" t="inlineStr">
        <is>
          <t>A 43032-2022</t>
        </is>
      </c>
      <c r="B920" s="1" t="n">
        <v>44832</v>
      </c>
      <c r="C920" s="1" t="n">
        <v>45916</v>
      </c>
      <c r="D920" t="inlineStr">
        <is>
          <t>UPPSALA LÄN</t>
        </is>
      </c>
      <c r="E920" t="inlineStr">
        <is>
          <t>UPPSALA</t>
        </is>
      </c>
      <c r="G920" t="n">
        <v>1.5</v>
      </c>
      <c r="H920" t="n">
        <v>0</v>
      </c>
      <c r="I920" t="n">
        <v>0</v>
      </c>
      <c r="J920" t="n">
        <v>0</v>
      </c>
      <c r="K920" t="n">
        <v>0</v>
      </c>
      <c r="L920" t="n">
        <v>0</v>
      </c>
      <c r="M920" t="n">
        <v>0</v>
      </c>
      <c r="N920" t="n">
        <v>0</v>
      </c>
      <c r="O920" t="n">
        <v>0</v>
      </c>
      <c r="P920" t="n">
        <v>0</v>
      </c>
      <c r="Q920" t="n">
        <v>0</v>
      </c>
      <c r="R920" s="2" t="inlineStr"/>
    </row>
    <row r="921" ht="15" customHeight="1">
      <c r="A921" t="inlineStr">
        <is>
          <t>A 11339-2025</t>
        </is>
      </c>
      <c r="B921" s="1" t="n">
        <v>45726</v>
      </c>
      <c r="C921" s="1" t="n">
        <v>45916</v>
      </c>
      <c r="D921" t="inlineStr">
        <is>
          <t>UPPSALA LÄN</t>
        </is>
      </c>
      <c r="E921" t="inlineStr">
        <is>
          <t>UPPSALA</t>
        </is>
      </c>
      <c r="G921" t="n">
        <v>13.4</v>
      </c>
      <c r="H921" t="n">
        <v>0</v>
      </c>
      <c r="I921" t="n">
        <v>0</v>
      </c>
      <c r="J921" t="n">
        <v>0</v>
      </c>
      <c r="K921" t="n">
        <v>0</v>
      </c>
      <c r="L921" t="n">
        <v>0</v>
      </c>
      <c r="M921" t="n">
        <v>0</v>
      </c>
      <c r="N921" t="n">
        <v>0</v>
      </c>
      <c r="O921" t="n">
        <v>0</v>
      </c>
      <c r="P921" t="n">
        <v>0</v>
      </c>
      <c r="Q921" t="n">
        <v>0</v>
      </c>
      <c r="R921" s="2" t="inlineStr"/>
    </row>
    <row r="922" ht="15" customHeight="1">
      <c r="A922" t="inlineStr">
        <is>
          <t>A 22953-2025</t>
        </is>
      </c>
      <c r="B922" s="1" t="n">
        <v>45790.51186342593</v>
      </c>
      <c r="C922" s="1" t="n">
        <v>45916</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c r="A923" t="inlineStr">
        <is>
          <t>A 50669-2024</t>
        </is>
      </c>
      <c r="B923" s="1" t="n">
        <v>45601</v>
      </c>
      <c r="C923" s="1" t="n">
        <v>45916</v>
      </c>
      <c r="D923" t="inlineStr">
        <is>
          <t>UPPSALA LÄN</t>
        </is>
      </c>
      <c r="E923" t="inlineStr">
        <is>
          <t>UPPSALA</t>
        </is>
      </c>
      <c r="G923" t="n">
        <v>1.2</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2025-09-16T08:54:52Z</dcterms:created>
  <dcterms:modified xmlns:dcterms="http://purl.org/dc/terms/" xmlns:xsi="http://www.w3.org/2001/XMLSchema-instance" xsi:type="dcterms:W3CDTF">2025-09-16T08:54:53Z</dcterms:modified>
</cp:coreProperties>
</file>