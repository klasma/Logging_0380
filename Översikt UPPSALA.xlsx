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45731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45731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45731</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45731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45731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45731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45731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45731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45731</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45731</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45731</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45731</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45731</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45731</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45731</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45731</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45731</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45731</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45731</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45731</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45731</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45731</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45731</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45731</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45731</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45731</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45731</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45731</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45731</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45731</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45731</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45731</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45731</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45731</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46533-2023</t>
        </is>
      </c>
      <c r="B36" s="1" t="n">
        <v>45197</v>
      </c>
      <c r="C36" s="1" t="n">
        <v>45731</v>
      </c>
      <c r="D36" t="inlineStr">
        <is>
          <t>UPPSALA LÄN</t>
        </is>
      </c>
      <c r="E36" t="inlineStr">
        <is>
          <t>UPPSALA</t>
        </is>
      </c>
      <c r="F36" t="inlineStr">
        <is>
          <t>Allmännings- och besparingsskogar</t>
        </is>
      </c>
      <c r="G36" t="n">
        <v>11.5</v>
      </c>
      <c r="H36" t="n">
        <v>3</v>
      </c>
      <c r="I36" t="n">
        <v>1</v>
      </c>
      <c r="J36" t="n">
        <v>4</v>
      </c>
      <c r="K36" t="n">
        <v>1</v>
      </c>
      <c r="L36" t="n">
        <v>0</v>
      </c>
      <c r="M36" t="n">
        <v>0</v>
      </c>
      <c r="N36" t="n">
        <v>0</v>
      </c>
      <c r="O36" t="n">
        <v>5</v>
      </c>
      <c r="P36" t="n">
        <v>1</v>
      </c>
      <c r="Q36" t="n">
        <v>7</v>
      </c>
      <c r="R36" s="2" t="inlineStr">
        <is>
          <t>Knärot
Lunglav
Tallticka
Talltita
Vedskivlav
Korallblylav
Tjäder</t>
        </is>
      </c>
      <c r="S36">
        <f>HYPERLINK("https://klasma.github.io/Logging_0380/artfynd/A 46533-2023 artfynd.xlsx", "A 46533-2023")</f>
        <v/>
      </c>
      <c r="T36">
        <f>HYPERLINK("https://klasma.github.io/Logging_0380/kartor/A 46533-2023 karta.png", "A 46533-2023")</f>
        <v/>
      </c>
      <c r="U36">
        <f>HYPERLINK("https://klasma.github.io/Logging_0380/knärot/A 46533-2023 karta knärot.png", "A 46533-2023")</f>
        <v/>
      </c>
      <c r="V36">
        <f>HYPERLINK("https://klasma.github.io/Logging_0380/klagomål/A 46533-2023 FSC-klagomål.docx", "A 46533-2023")</f>
        <v/>
      </c>
      <c r="W36">
        <f>HYPERLINK("https://klasma.github.io/Logging_0380/klagomålsmail/A 46533-2023 FSC-klagomål mail.docx", "A 46533-2023")</f>
        <v/>
      </c>
      <c r="X36">
        <f>HYPERLINK("https://klasma.github.io/Logging_0380/tillsyn/A 46533-2023 tillsynsbegäran.docx", "A 46533-2023")</f>
        <v/>
      </c>
      <c r="Y36">
        <f>HYPERLINK("https://klasma.github.io/Logging_0380/tillsynsmail/A 46533-2023 tillsynsbegäran mail.docx", "A 46533-2023")</f>
        <v/>
      </c>
      <c r="Z36">
        <f>HYPERLINK("https://klasma.github.io/Logging_0380/fåglar/A 46533-2023 prioriterade fågelarter.docx", "A 46533-2023")</f>
        <v/>
      </c>
    </row>
    <row r="37" ht="15" customHeight="1">
      <c r="A37" t="inlineStr">
        <is>
          <t>A 31073-2024</t>
        </is>
      </c>
      <c r="B37" s="1" t="n">
        <v>45502</v>
      </c>
      <c r="C37" s="1" t="n">
        <v>45731</v>
      </c>
      <c r="D37" t="inlineStr">
        <is>
          <t>UPPSALA LÄN</t>
        </is>
      </c>
      <c r="E37" t="inlineStr">
        <is>
          <t>UPPSALA</t>
        </is>
      </c>
      <c r="G37" t="n">
        <v>12.9</v>
      </c>
      <c r="H37" t="n">
        <v>1</v>
      </c>
      <c r="I37" t="n">
        <v>4</v>
      </c>
      <c r="J37" t="n">
        <v>2</v>
      </c>
      <c r="K37" t="n">
        <v>1</v>
      </c>
      <c r="L37" t="n">
        <v>0</v>
      </c>
      <c r="M37" t="n">
        <v>0</v>
      </c>
      <c r="N37" t="n">
        <v>0</v>
      </c>
      <c r="O37" t="n">
        <v>3</v>
      </c>
      <c r="P37" t="n">
        <v>1</v>
      </c>
      <c r="Q37" t="n">
        <v>7</v>
      </c>
      <c r="R37" s="2" t="inlineStr">
        <is>
          <t>Knärot
Gul taggsvamp
Orange taggsvamp
Brandticka
Mandelriska
Rödgul trumpetsvamp
Rökmusseron</t>
        </is>
      </c>
      <c r="S37">
        <f>HYPERLINK("https://klasma.github.io/Logging_0380/artfynd/A 31073-2024 artfynd.xlsx", "A 31073-2024")</f>
        <v/>
      </c>
      <c r="T37">
        <f>HYPERLINK("https://klasma.github.io/Logging_0380/kartor/A 31073-2024 karta.png", "A 31073-2024")</f>
        <v/>
      </c>
      <c r="U37">
        <f>HYPERLINK("https://klasma.github.io/Logging_0380/knärot/A 31073-2024 karta knärot.png", "A 31073-2024")</f>
        <v/>
      </c>
      <c r="V37">
        <f>HYPERLINK("https://klasma.github.io/Logging_0380/klagomål/A 31073-2024 FSC-klagomål.docx", "A 31073-2024")</f>
        <v/>
      </c>
      <c r="W37">
        <f>HYPERLINK("https://klasma.github.io/Logging_0380/klagomålsmail/A 31073-2024 FSC-klagomål mail.docx", "A 31073-2024")</f>
        <v/>
      </c>
      <c r="X37">
        <f>HYPERLINK("https://klasma.github.io/Logging_0380/tillsyn/A 31073-2024 tillsynsbegäran.docx", "A 31073-2024")</f>
        <v/>
      </c>
      <c r="Y37">
        <f>HYPERLINK("https://klasma.github.io/Logging_0380/tillsynsmail/A 31073-2024 tillsynsbegäran mail.docx", "A 31073-2024")</f>
        <v/>
      </c>
    </row>
    <row r="38" ht="15" customHeight="1">
      <c r="A38" t="inlineStr">
        <is>
          <t>A 52838-2020</t>
        </is>
      </c>
      <c r="B38" s="1" t="n">
        <v>44119</v>
      </c>
      <c r="C38" s="1" t="n">
        <v>45731</v>
      </c>
      <c r="D38" t="inlineStr">
        <is>
          <t>UPPSALA LÄN</t>
        </is>
      </c>
      <c r="E38" t="inlineStr">
        <is>
          <t>UPPSALA</t>
        </is>
      </c>
      <c r="G38" t="n">
        <v>4.8</v>
      </c>
      <c r="H38" t="n">
        <v>3</v>
      </c>
      <c r="I38" t="n">
        <v>3</v>
      </c>
      <c r="J38" t="n">
        <v>2</v>
      </c>
      <c r="K38" t="n">
        <v>0</v>
      </c>
      <c r="L38" t="n">
        <v>0</v>
      </c>
      <c r="M38" t="n">
        <v>0</v>
      </c>
      <c r="N38" t="n">
        <v>0</v>
      </c>
      <c r="O38" t="n">
        <v>2</v>
      </c>
      <c r="P38" t="n">
        <v>0</v>
      </c>
      <c r="Q38" t="n">
        <v>6</v>
      </c>
      <c r="R38" s="2" t="inlineStr">
        <is>
          <t>Spillkråka
Ärtsångare
Bronshjon
Fjällig taggsvamp s.str.
Thomsons trägnagare
Blåsippa</t>
        </is>
      </c>
      <c r="S38">
        <f>HYPERLINK("https://klasma.github.io/Logging_0380/artfynd/A 52838-2020 artfynd.xlsx", "A 52838-2020")</f>
        <v/>
      </c>
      <c r="T38">
        <f>HYPERLINK("https://klasma.github.io/Logging_0380/kartor/A 52838-2020 karta.png", "A 52838-2020")</f>
        <v/>
      </c>
      <c r="V38">
        <f>HYPERLINK("https://klasma.github.io/Logging_0380/klagomål/A 52838-2020 FSC-klagomål.docx", "A 52838-2020")</f>
        <v/>
      </c>
      <c r="W38">
        <f>HYPERLINK("https://klasma.github.io/Logging_0380/klagomålsmail/A 52838-2020 FSC-klagomål mail.docx", "A 52838-2020")</f>
        <v/>
      </c>
      <c r="X38">
        <f>HYPERLINK("https://klasma.github.io/Logging_0380/tillsyn/A 52838-2020 tillsynsbegäran.docx", "A 52838-2020")</f>
        <v/>
      </c>
      <c r="Y38">
        <f>HYPERLINK("https://klasma.github.io/Logging_0380/tillsynsmail/A 52838-2020 tillsynsbegäran mail.docx", "A 52838-2020")</f>
        <v/>
      </c>
      <c r="Z38">
        <f>HYPERLINK("https://klasma.github.io/Logging_0380/fåglar/A 52838-2020 prioriterade fågelarter.docx", "A 52838-2020")</f>
        <v/>
      </c>
    </row>
    <row r="39" ht="15" customHeight="1">
      <c r="A39" t="inlineStr">
        <is>
          <t>A 28577-2021</t>
        </is>
      </c>
      <c r="B39" s="1" t="n">
        <v>44356</v>
      </c>
      <c r="C39" s="1" t="n">
        <v>45731</v>
      </c>
      <c r="D39" t="inlineStr">
        <is>
          <t>UPPSALA LÄN</t>
        </is>
      </c>
      <c r="E39" t="inlineStr">
        <is>
          <t>UPPSALA</t>
        </is>
      </c>
      <c r="G39" t="n">
        <v>13.1</v>
      </c>
      <c r="H39" t="n">
        <v>2</v>
      </c>
      <c r="I39" t="n">
        <v>3</v>
      </c>
      <c r="J39" t="n">
        <v>2</v>
      </c>
      <c r="K39" t="n">
        <v>0</v>
      </c>
      <c r="L39" t="n">
        <v>0</v>
      </c>
      <c r="M39" t="n">
        <v>0</v>
      </c>
      <c r="N39" t="n">
        <v>0</v>
      </c>
      <c r="O39" t="n">
        <v>2</v>
      </c>
      <c r="P39" t="n">
        <v>0</v>
      </c>
      <c r="Q39" t="n">
        <v>6</v>
      </c>
      <c r="R39" s="2" t="inlineStr">
        <is>
          <t>Spillkråka
Ullticka
Bronshjon
Korallblylav
Thomsons trägnagare
Blåsippa</t>
        </is>
      </c>
      <c r="S39">
        <f>HYPERLINK("https://klasma.github.io/Logging_0380/artfynd/A 28577-2021 artfynd.xlsx", "A 28577-2021")</f>
        <v/>
      </c>
      <c r="T39">
        <f>HYPERLINK("https://klasma.github.io/Logging_0380/kartor/A 28577-2021 karta.png", "A 28577-2021")</f>
        <v/>
      </c>
      <c r="V39">
        <f>HYPERLINK("https://klasma.github.io/Logging_0380/klagomål/A 28577-2021 FSC-klagomål.docx", "A 28577-2021")</f>
        <v/>
      </c>
      <c r="W39">
        <f>HYPERLINK("https://klasma.github.io/Logging_0380/klagomålsmail/A 28577-2021 FSC-klagomål mail.docx", "A 28577-2021")</f>
        <v/>
      </c>
      <c r="X39">
        <f>HYPERLINK("https://klasma.github.io/Logging_0380/tillsyn/A 28577-2021 tillsynsbegäran.docx", "A 28577-2021")</f>
        <v/>
      </c>
      <c r="Y39">
        <f>HYPERLINK("https://klasma.github.io/Logging_0380/tillsynsmail/A 28577-2021 tillsynsbegäran mail.docx", "A 28577-2021")</f>
        <v/>
      </c>
      <c r="Z39">
        <f>HYPERLINK("https://klasma.github.io/Logging_0380/fåglar/A 28577-2021 prioriterade fågelarter.docx", "A 28577-2021")</f>
        <v/>
      </c>
    </row>
    <row r="40" ht="15" customHeight="1">
      <c r="A40" t="inlineStr">
        <is>
          <t>A 34459-2022</t>
        </is>
      </c>
      <c r="B40" s="1" t="n">
        <v>44792</v>
      </c>
      <c r="C40" s="1" t="n">
        <v>45731</v>
      </c>
      <c r="D40" t="inlineStr">
        <is>
          <t>UPPSALA LÄN</t>
        </is>
      </c>
      <c r="E40" t="inlineStr">
        <is>
          <t>UPPSALA</t>
        </is>
      </c>
      <c r="F40" t="inlineStr">
        <is>
          <t>Kommuner</t>
        </is>
      </c>
      <c r="G40" t="n">
        <v>2.6</v>
      </c>
      <c r="H40" t="n">
        <v>5</v>
      </c>
      <c r="I40" t="n">
        <v>1</v>
      </c>
      <c r="J40" t="n">
        <v>0</v>
      </c>
      <c r="K40" t="n">
        <v>0</v>
      </c>
      <c r="L40" t="n">
        <v>1</v>
      </c>
      <c r="M40" t="n">
        <v>0</v>
      </c>
      <c r="N40" t="n">
        <v>0</v>
      </c>
      <c r="O40" t="n">
        <v>1</v>
      </c>
      <c r="P40" t="n">
        <v>1</v>
      </c>
      <c r="Q40" t="n">
        <v>6</v>
      </c>
      <c r="R40" s="2" t="inlineStr">
        <is>
          <t>Cinnoberbagge
Svart trolldruva
Åkergroda
Huggorm
Vanlig padda
Vanlig snok</t>
        </is>
      </c>
      <c r="S40">
        <f>HYPERLINK("https://klasma.github.io/Logging_0380/artfynd/A 34459-2022 artfynd.xlsx", "A 34459-2022")</f>
        <v/>
      </c>
      <c r="T40">
        <f>HYPERLINK("https://klasma.github.io/Logging_0380/kartor/A 34459-2022 karta.png", "A 34459-2022")</f>
        <v/>
      </c>
      <c r="V40">
        <f>HYPERLINK("https://klasma.github.io/Logging_0380/klagomål/A 34459-2022 FSC-klagomål.docx", "A 34459-2022")</f>
        <v/>
      </c>
      <c r="W40">
        <f>HYPERLINK("https://klasma.github.io/Logging_0380/klagomålsmail/A 34459-2022 FSC-klagomål mail.docx", "A 34459-2022")</f>
        <v/>
      </c>
      <c r="X40">
        <f>HYPERLINK("https://klasma.github.io/Logging_0380/tillsyn/A 34459-2022 tillsynsbegäran.docx", "A 34459-2022")</f>
        <v/>
      </c>
      <c r="Y40">
        <f>HYPERLINK("https://klasma.github.io/Logging_0380/tillsynsmail/A 34459-2022 tillsynsbegäran mail.docx", "A 34459-2022")</f>
        <v/>
      </c>
    </row>
    <row r="41" ht="15" customHeight="1">
      <c r="A41" t="inlineStr">
        <is>
          <t>A 58015-2023</t>
        </is>
      </c>
      <c r="B41" s="1" t="n">
        <v>45245</v>
      </c>
      <c r="C41" s="1" t="n">
        <v>45731</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45731</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45731</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45731</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45731</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45731</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45731</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45731</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45731</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45731</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45731</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45731</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45731</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45731</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45731</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45731</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45731</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45731</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45731</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45731</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45731</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45731</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45731</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45731</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45731</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45731</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45731</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45731</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45731</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45731</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45731</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45731</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45731</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45731</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45731</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45731</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45731</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45731</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45731</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45731</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45731</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45731</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45731</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45731</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45731</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45731</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45731</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45731</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45731</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45731</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45731</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45731</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45731</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45731</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45731</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45731</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45731</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45731</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45731</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45731</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45731</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45731</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45731</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45731</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45731</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45731</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45731</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45731</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45731</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45731</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45731</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45731</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45731</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45731</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45731</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45731</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45731</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45731</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45731</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45731</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45731</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45731</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45731</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45731</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45731</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45731</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45731</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45731</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45731</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45731</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45731</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45731</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45731</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69711-2021</t>
        </is>
      </c>
      <c r="B134" s="1" t="n">
        <v>44532</v>
      </c>
      <c r="C134" s="1" t="n">
        <v>45731</v>
      </c>
      <c r="D134" t="inlineStr">
        <is>
          <t>UPPSALA LÄN</t>
        </is>
      </c>
      <c r="E134" t="inlineStr">
        <is>
          <t>UPPSALA</t>
        </is>
      </c>
      <c r="G134" t="n">
        <v>10.2</v>
      </c>
      <c r="H134" t="n">
        <v>1</v>
      </c>
      <c r="I134" t="n">
        <v>0</v>
      </c>
      <c r="J134" t="n">
        <v>0</v>
      </c>
      <c r="K134" t="n">
        <v>0</v>
      </c>
      <c r="L134" t="n">
        <v>0</v>
      </c>
      <c r="M134" t="n">
        <v>0</v>
      </c>
      <c r="N134" t="n">
        <v>0</v>
      </c>
      <c r="O134" t="n">
        <v>0</v>
      </c>
      <c r="P134" t="n">
        <v>0</v>
      </c>
      <c r="Q134" t="n">
        <v>1</v>
      </c>
      <c r="R134" s="2" t="inlineStr">
        <is>
          <t>Tjäder</t>
        </is>
      </c>
      <c r="S134">
        <f>HYPERLINK("https://klasma.github.io/Logging_0380/artfynd/A 69711-2021 artfynd.xlsx", "A 69711-2021")</f>
        <v/>
      </c>
      <c r="T134">
        <f>HYPERLINK("https://klasma.github.io/Logging_0380/kartor/A 69711-2021 karta.png", "A 69711-2021")</f>
        <v/>
      </c>
      <c r="V134">
        <f>HYPERLINK("https://klasma.github.io/Logging_0380/klagomål/A 69711-2021 FSC-klagomål.docx", "A 69711-2021")</f>
        <v/>
      </c>
      <c r="W134">
        <f>HYPERLINK("https://klasma.github.io/Logging_0380/klagomålsmail/A 69711-2021 FSC-klagomål mail.docx", "A 69711-2021")</f>
        <v/>
      </c>
      <c r="X134">
        <f>HYPERLINK("https://klasma.github.io/Logging_0380/tillsyn/A 69711-2021 tillsynsbegäran.docx", "A 69711-2021")</f>
        <v/>
      </c>
      <c r="Y134">
        <f>HYPERLINK("https://klasma.github.io/Logging_0380/tillsynsmail/A 69711-2021 tillsynsbegäran mail.docx", "A 69711-2021")</f>
        <v/>
      </c>
      <c r="Z134">
        <f>HYPERLINK("https://klasma.github.io/Logging_0380/fåglar/A 69711-2021 prioriterade fågelarter.docx", "A 69711-2021")</f>
        <v/>
      </c>
    </row>
    <row r="135" ht="15" customHeight="1">
      <c r="A135" t="inlineStr">
        <is>
          <t>A 3257-2022</t>
        </is>
      </c>
      <c r="B135" s="1" t="n">
        <v>44583</v>
      </c>
      <c r="C135" s="1" t="n">
        <v>45731</v>
      </c>
      <c r="D135" t="inlineStr">
        <is>
          <t>UPPSALA LÄN</t>
        </is>
      </c>
      <c r="E135" t="inlineStr">
        <is>
          <t>UPPSALA</t>
        </is>
      </c>
      <c r="F135" t="inlineStr">
        <is>
          <t>Holmen skog AB</t>
        </is>
      </c>
      <c r="G135" t="n">
        <v>1.9</v>
      </c>
      <c r="H135" t="n">
        <v>0</v>
      </c>
      <c r="I135" t="n">
        <v>1</v>
      </c>
      <c r="J135" t="n">
        <v>0</v>
      </c>
      <c r="K135" t="n">
        <v>0</v>
      </c>
      <c r="L135" t="n">
        <v>0</v>
      </c>
      <c r="M135" t="n">
        <v>0</v>
      </c>
      <c r="N135" t="n">
        <v>0</v>
      </c>
      <c r="O135" t="n">
        <v>0</v>
      </c>
      <c r="P135" t="n">
        <v>0</v>
      </c>
      <c r="Q135" t="n">
        <v>1</v>
      </c>
      <c r="R135" s="2" t="inlineStr">
        <is>
          <t>Gulpudrad spiklav</t>
        </is>
      </c>
      <c r="S135">
        <f>HYPERLINK("https://klasma.github.io/Logging_0380/artfynd/A 3257-2022 artfynd.xlsx", "A 3257-2022")</f>
        <v/>
      </c>
      <c r="T135">
        <f>HYPERLINK("https://klasma.github.io/Logging_0380/kartor/A 3257-2022 karta.png", "A 3257-2022")</f>
        <v/>
      </c>
      <c r="V135">
        <f>HYPERLINK("https://klasma.github.io/Logging_0380/klagomål/A 3257-2022 FSC-klagomål.docx", "A 3257-2022")</f>
        <v/>
      </c>
      <c r="W135">
        <f>HYPERLINK("https://klasma.github.io/Logging_0380/klagomålsmail/A 3257-2022 FSC-klagomål mail.docx", "A 3257-2022")</f>
        <v/>
      </c>
      <c r="X135">
        <f>HYPERLINK("https://klasma.github.io/Logging_0380/tillsyn/A 3257-2022 tillsynsbegäran.docx", "A 3257-2022")</f>
        <v/>
      </c>
      <c r="Y135">
        <f>HYPERLINK("https://klasma.github.io/Logging_0380/tillsynsmail/A 3257-2022 tillsynsbegäran mail.docx", "A 3257-2022")</f>
        <v/>
      </c>
    </row>
    <row r="136" ht="15" customHeight="1">
      <c r="A136" t="inlineStr">
        <is>
          <t>A 4449-2022</t>
        </is>
      </c>
      <c r="B136" s="1" t="n">
        <v>44589</v>
      </c>
      <c r="C136" s="1" t="n">
        <v>45731</v>
      </c>
      <c r="D136" t="inlineStr">
        <is>
          <t>UPPSALA LÄN</t>
        </is>
      </c>
      <c r="E136" t="inlineStr">
        <is>
          <t>UPPSALA</t>
        </is>
      </c>
      <c r="G136" t="n">
        <v>8.9</v>
      </c>
      <c r="H136" t="n">
        <v>0</v>
      </c>
      <c r="I136" t="n">
        <v>0</v>
      </c>
      <c r="J136" t="n">
        <v>1</v>
      </c>
      <c r="K136" t="n">
        <v>0</v>
      </c>
      <c r="L136" t="n">
        <v>0</v>
      </c>
      <c r="M136" t="n">
        <v>0</v>
      </c>
      <c r="N136" t="n">
        <v>0</v>
      </c>
      <c r="O136" t="n">
        <v>1</v>
      </c>
      <c r="P136" t="n">
        <v>0</v>
      </c>
      <c r="Q136" t="n">
        <v>1</v>
      </c>
      <c r="R136" s="2" t="inlineStr">
        <is>
          <t>Gul taggsvamp</t>
        </is>
      </c>
      <c r="S136">
        <f>HYPERLINK("https://klasma.github.io/Logging_0380/artfynd/A 4449-2022 artfynd.xlsx", "A 4449-2022")</f>
        <v/>
      </c>
      <c r="T136">
        <f>HYPERLINK("https://klasma.github.io/Logging_0380/kartor/A 4449-2022 karta.png", "A 4449-2022")</f>
        <v/>
      </c>
      <c r="V136">
        <f>HYPERLINK("https://klasma.github.io/Logging_0380/klagomål/A 4449-2022 FSC-klagomål.docx", "A 4449-2022")</f>
        <v/>
      </c>
      <c r="W136">
        <f>HYPERLINK("https://klasma.github.io/Logging_0380/klagomålsmail/A 4449-2022 FSC-klagomål mail.docx", "A 4449-2022")</f>
        <v/>
      </c>
      <c r="X136">
        <f>HYPERLINK("https://klasma.github.io/Logging_0380/tillsyn/A 4449-2022 tillsynsbegäran.docx", "A 4449-2022")</f>
        <v/>
      </c>
      <c r="Y136">
        <f>HYPERLINK("https://klasma.github.io/Logging_0380/tillsynsmail/A 4449-2022 tillsynsbegäran mail.docx", "A 4449-2022")</f>
        <v/>
      </c>
    </row>
    <row r="137" ht="15" customHeight="1">
      <c r="A137" t="inlineStr">
        <is>
          <t>A 8865-2022</t>
        </is>
      </c>
      <c r="B137" s="1" t="n">
        <v>44614</v>
      </c>
      <c r="C137" s="1" t="n">
        <v>45731</v>
      </c>
      <c r="D137" t="inlineStr">
        <is>
          <t>UPPSALA LÄN</t>
        </is>
      </c>
      <c r="E137" t="inlineStr">
        <is>
          <t>UPPSALA</t>
        </is>
      </c>
      <c r="G137" t="n">
        <v>1.1</v>
      </c>
      <c r="H137" t="n">
        <v>0</v>
      </c>
      <c r="I137" t="n">
        <v>1</v>
      </c>
      <c r="J137" t="n">
        <v>0</v>
      </c>
      <c r="K137" t="n">
        <v>0</v>
      </c>
      <c r="L137" t="n">
        <v>0</v>
      </c>
      <c r="M137" t="n">
        <v>0</v>
      </c>
      <c r="N137" t="n">
        <v>0</v>
      </c>
      <c r="O137" t="n">
        <v>0</v>
      </c>
      <c r="P137" t="n">
        <v>0</v>
      </c>
      <c r="Q137" t="n">
        <v>1</v>
      </c>
      <c r="R137" s="2" t="inlineStr">
        <is>
          <t>Narrtagging</t>
        </is>
      </c>
      <c r="S137">
        <f>HYPERLINK("https://klasma.github.io/Logging_0380/artfynd/A 8865-2022 artfynd.xlsx", "A 8865-2022")</f>
        <v/>
      </c>
      <c r="T137">
        <f>HYPERLINK("https://klasma.github.io/Logging_0380/kartor/A 8865-2022 karta.png", "A 8865-2022")</f>
        <v/>
      </c>
      <c r="V137">
        <f>HYPERLINK("https://klasma.github.io/Logging_0380/klagomål/A 8865-2022 FSC-klagomål.docx", "A 8865-2022")</f>
        <v/>
      </c>
      <c r="W137">
        <f>HYPERLINK("https://klasma.github.io/Logging_0380/klagomålsmail/A 8865-2022 FSC-klagomål mail.docx", "A 8865-2022")</f>
        <v/>
      </c>
      <c r="X137">
        <f>HYPERLINK("https://klasma.github.io/Logging_0380/tillsyn/A 8865-2022 tillsynsbegäran.docx", "A 8865-2022")</f>
        <v/>
      </c>
      <c r="Y137">
        <f>HYPERLINK("https://klasma.github.io/Logging_0380/tillsynsmail/A 8865-2022 tillsynsbegäran mail.docx", "A 8865-2022")</f>
        <v/>
      </c>
    </row>
    <row r="138" ht="15" customHeight="1">
      <c r="A138" t="inlineStr">
        <is>
          <t>A 13363-2022</t>
        </is>
      </c>
      <c r="B138" s="1" t="n">
        <v>44645</v>
      </c>
      <c r="C138" s="1" t="n">
        <v>45731</v>
      </c>
      <c r="D138" t="inlineStr">
        <is>
          <t>UPPSALA LÄN</t>
        </is>
      </c>
      <c r="E138" t="inlineStr">
        <is>
          <t>UPPSALA</t>
        </is>
      </c>
      <c r="F138" t="inlineStr">
        <is>
          <t>Övriga Aktiebolag</t>
        </is>
      </c>
      <c r="G138" t="n">
        <v>9.4</v>
      </c>
      <c r="H138" t="n">
        <v>1</v>
      </c>
      <c r="I138" t="n">
        <v>0</v>
      </c>
      <c r="J138" t="n">
        <v>0</v>
      </c>
      <c r="K138" t="n">
        <v>0</v>
      </c>
      <c r="L138" t="n">
        <v>0</v>
      </c>
      <c r="M138" t="n">
        <v>0</v>
      </c>
      <c r="N138" t="n">
        <v>0</v>
      </c>
      <c r="O138" t="n">
        <v>0</v>
      </c>
      <c r="P138" t="n">
        <v>0</v>
      </c>
      <c r="Q138" t="n">
        <v>1</v>
      </c>
      <c r="R138" s="2" t="inlineStr">
        <is>
          <t>Huggorm</t>
        </is>
      </c>
      <c r="S138">
        <f>HYPERLINK("https://klasma.github.io/Logging_0380/artfynd/A 13363-2022 artfynd.xlsx", "A 13363-2022")</f>
        <v/>
      </c>
      <c r="T138">
        <f>HYPERLINK("https://klasma.github.io/Logging_0380/kartor/A 13363-2022 karta.png", "A 13363-2022")</f>
        <v/>
      </c>
      <c r="V138">
        <f>HYPERLINK("https://klasma.github.io/Logging_0380/klagomål/A 13363-2022 FSC-klagomål.docx", "A 13363-2022")</f>
        <v/>
      </c>
      <c r="W138">
        <f>HYPERLINK("https://klasma.github.io/Logging_0380/klagomålsmail/A 13363-2022 FSC-klagomål mail.docx", "A 13363-2022")</f>
        <v/>
      </c>
      <c r="X138">
        <f>HYPERLINK("https://klasma.github.io/Logging_0380/tillsyn/A 13363-2022 tillsynsbegäran.docx", "A 13363-2022")</f>
        <v/>
      </c>
      <c r="Y138">
        <f>HYPERLINK("https://klasma.github.io/Logging_0380/tillsynsmail/A 13363-2022 tillsynsbegäran mail.docx", "A 13363-2022")</f>
        <v/>
      </c>
    </row>
    <row r="139" ht="15" customHeight="1">
      <c r="A139" t="inlineStr">
        <is>
          <t>A 15297-2022</t>
        </is>
      </c>
      <c r="B139" s="1" t="n">
        <v>44659</v>
      </c>
      <c r="C139" s="1" t="n">
        <v>45731</v>
      </c>
      <c r="D139" t="inlineStr">
        <is>
          <t>UPPSALA LÄN</t>
        </is>
      </c>
      <c r="E139" t="inlineStr">
        <is>
          <t>UPPSALA</t>
        </is>
      </c>
      <c r="F139" t="inlineStr">
        <is>
          <t>Övriga Aktiebolag</t>
        </is>
      </c>
      <c r="G139" t="n">
        <v>6.6</v>
      </c>
      <c r="H139" t="n">
        <v>0</v>
      </c>
      <c r="I139" t="n">
        <v>1</v>
      </c>
      <c r="J139" t="n">
        <v>0</v>
      </c>
      <c r="K139" t="n">
        <v>0</v>
      </c>
      <c r="L139" t="n">
        <v>0</v>
      </c>
      <c r="M139" t="n">
        <v>0</v>
      </c>
      <c r="N139" t="n">
        <v>0</v>
      </c>
      <c r="O139" t="n">
        <v>0</v>
      </c>
      <c r="P139" t="n">
        <v>0</v>
      </c>
      <c r="Q139" t="n">
        <v>1</v>
      </c>
      <c r="R139" s="2" t="inlineStr">
        <is>
          <t>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19376-2022</t>
        </is>
      </c>
      <c r="B140" s="1" t="n">
        <v>44692</v>
      </c>
      <c r="C140" s="1" t="n">
        <v>45731</v>
      </c>
      <c r="D140" t="inlineStr">
        <is>
          <t>UPPSALA LÄN</t>
        </is>
      </c>
      <c r="E140" t="inlineStr">
        <is>
          <t>UPPSALA</t>
        </is>
      </c>
      <c r="F140" t="inlineStr">
        <is>
          <t>Bergvik skog öst AB</t>
        </is>
      </c>
      <c r="G140" t="n">
        <v>6.8</v>
      </c>
      <c r="H140" t="n">
        <v>0</v>
      </c>
      <c r="I140" t="n">
        <v>1</v>
      </c>
      <c r="J140" t="n">
        <v>0</v>
      </c>
      <c r="K140" t="n">
        <v>0</v>
      </c>
      <c r="L140" t="n">
        <v>0</v>
      </c>
      <c r="M140" t="n">
        <v>0</v>
      </c>
      <c r="N140" t="n">
        <v>0</v>
      </c>
      <c r="O140" t="n">
        <v>0</v>
      </c>
      <c r="P140" t="n">
        <v>0</v>
      </c>
      <c r="Q140" t="n">
        <v>1</v>
      </c>
      <c r="R140" s="2" t="inlineStr">
        <is>
          <t>Vårärt</t>
        </is>
      </c>
      <c r="S140">
        <f>HYPERLINK("https://klasma.github.io/Logging_0380/artfynd/A 19376-2022 artfynd.xlsx", "A 19376-2022")</f>
        <v/>
      </c>
      <c r="T140">
        <f>HYPERLINK("https://klasma.github.io/Logging_0380/kartor/A 19376-2022 karta.png", "A 19376-2022")</f>
        <v/>
      </c>
      <c r="V140">
        <f>HYPERLINK("https://klasma.github.io/Logging_0380/klagomål/A 19376-2022 FSC-klagomål.docx", "A 19376-2022")</f>
        <v/>
      </c>
      <c r="W140">
        <f>HYPERLINK("https://klasma.github.io/Logging_0380/klagomålsmail/A 19376-2022 FSC-klagomål mail.docx", "A 19376-2022")</f>
        <v/>
      </c>
      <c r="X140">
        <f>HYPERLINK("https://klasma.github.io/Logging_0380/tillsyn/A 19376-2022 tillsynsbegäran.docx", "A 19376-2022")</f>
        <v/>
      </c>
      <c r="Y140">
        <f>HYPERLINK("https://klasma.github.io/Logging_0380/tillsynsmail/A 19376-2022 tillsynsbegäran mail.docx", "A 19376-2022")</f>
        <v/>
      </c>
    </row>
    <row r="141" ht="15" customHeight="1">
      <c r="A141" t="inlineStr">
        <is>
          <t>A 23141-2022</t>
        </is>
      </c>
      <c r="B141" s="1" t="n">
        <v>44719</v>
      </c>
      <c r="C141" s="1" t="n">
        <v>45731</v>
      </c>
      <c r="D141" t="inlineStr">
        <is>
          <t>UPPSALA LÄN</t>
        </is>
      </c>
      <c r="E141" t="inlineStr">
        <is>
          <t>UPPSALA</t>
        </is>
      </c>
      <c r="G141" t="n">
        <v>3.1</v>
      </c>
      <c r="H141" t="n">
        <v>1</v>
      </c>
      <c r="I141" t="n">
        <v>0</v>
      </c>
      <c r="J141" t="n">
        <v>0</v>
      </c>
      <c r="K141" t="n">
        <v>0</v>
      </c>
      <c r="L141" t="n">
        <v>0</v>
      </c>
      <c r="M141" t="n">
        <v>0</v>
      </c>
      <c r="N141" t="n">
        <v>0</v>
      </c>
      <c r="O141" t="n">
        <v>0</v>
      </c>
      <c r="P141" t="n">
        <v>0</v>
      </c>
      <c r="Q141" t="n">
        <v>1</v>
      </c>
      <c r="R141" s="2" t="inlineStr">
        <is>
          <t>Enkelbeckasin</t>
        </is>
      </c>
      <c r="S141">
        <f>HYPERLINK("https://klasma.github.io/Logging_0380/artfynd/A 23141-2022 artfynd.xlsx", "A 23141-2022")</f>
        <v/>
      </c>
      <c r="T141">
        <f>HYPERLINK("https://klasma.github.io/Logging_0380/kartor/A 23141-2022 karta.png", "A 23141-2022")</f>
        <v/>
      </c>
      <c r="V141">
        <f>HYPERLINK("https://klasma.github.io/Logging_0380/klagomål/A 23141-2022 FSC-klagomål.docx", "A 23141-2022")</f>
        <v/>
      </c>
      <c r="W141">
        <f>HYPERLINK("https://klasma.github.io/Logging_0380/klagomålsmail/A 23141-2022 FSC-klagomål mail.docx", "A 23141-2022")</f>
        <v/>
      </c>
      <c r="X141">
        <f>HYPERLINK("https://klasma.github.io/Logging_0380/tillsyn/A 23141-2022 tillsynsbegäran.docx", "A 23141-2022")</f>
        <v/>
      </c>
      <c r="Y141">
        <f>HYPERLINK("https://klasma.github.io/Logging_0380/tillsynsmail/A 23141-2022 tillsynsbegäran mail.docx", "A 23141-2022")</f>
        <v/>
      </c>
      <c r="Z141">
        <f>HYPERLINK("https://klasma.github.io/Logging_0380/fåglar/A 23141-2022 prioriterade fågelarter.docx", "A 23141-2022")</f>
        <v/>
      </c>
    </row>
    <row r="142" ht="15" customHeight="1">
      <c r="A142" t="inlineStr">
        <is>
          <t>A 25119-2022</t>
        </is>
      </c>
      <c r="B142" s="1" t="n">
        <v>44729</v>
      </c>
      <c r="C142" s="1" t="n">
        <v>45731</v>
      </c>
      <c r="D142" t="inlineStr">
        <is>
          <t>UPPSALA LÄN</t>
        </is>
      </c>
      <c r="E142" t="inlineStr">
        <is>
          <t>UPPSALA</t>
        </is>
      </c>
      <c r="F142" t="inlineStr">
        <is>
          <t>Kommuner</t>
        </is>
      </c>
      <c r="G142" t="n">
        <v>0.9</v>
      </c>
      <c r="H142" t="n">
        <v>0</v>
      </c>
      <c r="I142" t="n">
        <v>1</v>
      </c>
      <c r="J142" t="n">
        <v>0</v>
      </c>
      <c r="K142" t="n">
        <v>0</v>
      </c>
      <c r="L142" t="n">
        <v>0</v>
      </c>
      <c r="M142" t="n">
        <v>0</v>
      </c>
      <c r="N142" t="n">
        <v>0</v>
      </c>
      <c r="O142" t="n">
        <v>0</v>
      </c>
      <c r="P142" t="n">
        <v>0</v>
      </c>
      <c r="Q142" t="n">
        <v>1</v>
      </c>
      <c r="R142" s="2" t="inlineStr">
        <is>
          <t>Stor aspticka</t>
        </is>
      </c>
      <c r="S142">
        <f>HYPERLINK("https://klasma.github.io/Logging_0380/artfynd/A 25119-2022 artfynd.xlsx", "A 25119-2022")</f>
        <v/>
      </c>
      <c r="T142">
        <f>HYPERLINK("https://klasma.github.io/Logging_0380/kartor/A 25119-2022 karta.png", "A 25119-2022")</f>
        <v/>
      </c>
      <c r="V142">
        <f>HYPERLINK("https://klasma.github.io/Logging_0380/klagomål/A 25119-2022 FSC-klagomål.docx", "A 25119-2022")</f>
        <v/>
      </c>
      <c r="W142">
        <f>HYPERLINK("https://klasma.github.io/Logging_0380/klagomålsmail/A 25119-2022 FSC-klagomål mail.docx", "A 25119-2022")</f>
        <v/>
      </c>
      <c r="X142">
        <f>HYPERLINK("https://klasma.github.io/Logging_0380/tillsyn/A 25119-2022 tillsynsbegäran.docx", "A 25119-2022")</f>
        <v/>
      </c>
      <c r="Y142">
        <f>HYPERLINK("https://klasma.github.io/Logging_0380/tillsynsmail/A 25119-2022 tillsynsbegäran mail.docx", "A 25119-2022")</f>
        <v/>
      </c>
    </row>
    <row r="143" ht="15" customHeight="1">
      <c r="A143" t="inlineStr">
        <is>
          <t>A 46634-2022</t>
        </is>
      </c>
      <c r="B143" s="1" t="n">
        <v>44849</v>
      </c>
      <c r="C143" s="1" t="n">
        <v>45731</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49015-2022</t>
        </is>
      </c>
      <c r="B144" s="1" t="n">
        <v>44855</v>
      </c>
      <c r="C144" s="1" t="n">
        <v>45731</v>
      </c>
      <c r="D144" t="inlineStr">
        <is>
          <t>UPPSALA LÄN</t>
        </is>
      </c>
      <c r="E144" t="inlineStr">
        <is>
          <t>UPPSALA</t>
        </is>
      </c>
      <c r="F144" t="inlineStr">
        <is>
          <t>Kommuner</t>
        </is>
      </c>
      <c r="G144" t="n">
        <v>4.5</v>
      </c>
      <c r="H144" t="n">
        <v>0</v>
      </c>
      <c r="I144" t="n">
        <v>0</v>
      </c>
      <c r="J144" t="n">
        <v>1</v>
      </c>
      <c r="K144" t="n">
        <v>0</v>
      </c>
      <c r="L144" t="n">
        <v>0</v>
      </c>
      <c r="M144" t="n">
        <v>0</v>
      </c>
      <c r="N144" t="n">
        <v>0</v>
      </c>
      <c r="O144" t="n">
        <v>1</v>
      </c>
      <c r="P144" t="n">
        <v>0</v>
      </c>
      <c r="Q144" t="n">
        <v>1</v>
      </c>
      <c r="R144" s="2" t="inlineStr">
        <is>
          <t>Harticka</t>
        </is>
      </c>
      <c r="S144">
        <f>HYPERLINK("https://klasma.github.io/Logging_0380/artfynd/A 49015-2022 artfynd.xlsx", "A 49015-2022")</f>
        <v/>
      </c>
      <c r="T144">
        <f>HYPERLINK("https://klasma.github.io/Logging_0380/kartor/A 49015-2022 karta.png", "A 49015-2022")</f>
        <v/>
      </c>
      <c r="V144">
        <f>HYPERLINK("https://klasma.github.io/Logging_0380/klagomål/A 49015-2022 FSC-klagomål.docx", "A 49015-2022")</f>
        <v/>
      </c>
      <c r="W144">
        <f>HYPERLINK("https://klasma.github.io/Logging_0380/klagomålsmail/A 49015-2022 FSC-klagomål mail.docx", "A 49015-2022")</f>
        <v/>
      </c>
      <c r="X144">
        <f>HYPERLINK("https://klasma.github.io/Logging_0380/tillsyn/A 49015-2022 tillsynsbegäran.docx", "A 49015-2022")</f>
        <v/>
      </c>
      <c r="Y144">
        <f>HYPERLINK("https://klasma.github.io/Logging_0380/tillsynsmail/A 49015-2022 tillsynsbegäran mail.docx", "A 49015-2022")</f>
        <v/>
      </c>
    </row>
    <row r="145" ht="15" customHeight="1">
      <c r="A145" t="inlineStr">
        <is>
          <t>A 57793-2022</t>
        </is>
      </c>
      <c r="B145" s="1" t="n">
        <v>44897</v>
      </c>
      <c r="C145" s="1" t="n">
        <v>45731</v>
      </c>
      <c r="D145" t="inlineStr">
        <is>
          <t>UPPSALA LÄN</t>
        </is>
      </c>
      <c r="E145" t="inlineStr">
        <is>
          <t>UPPSALA</t>
        </is>
      </c>
      <c r="G145" t="n">
        <v>2.9</v>
      </c>
      <c r="H145" t="n">
        <v>1</v>
      </c>
      <c r="I145" t="n">
        <v>0</v>
      </c>
      <c r="J145" t="n">
        <v>1</v>
      </c>
      <c r="K145" t="n">
        <v>0</v>
      </c>
      <c r="L145" t="n">
        <v>0</v>
      </c>
      <c r="M145" t="n">
        <v>0</v>
      </c>
      <c r="N145" t="n">
        <v>0</v>
      </c>
      <c r="O145" t="n">
        <v>1</v>
      </c>
      <c r="P145" t="n">
        <v>0</v>
      </c>
      <c r="Q145" t="n">
        <v>1</v>
      </c>
      <c r="R145" s="2" t="inlineStr">
        <is>
          <t>Talltita</t>
        </is>
      </c>
      <c r="S145">
        <f>HYPERLINK("https://klasma.github.io/Logging_0380/artfynd/A 57793-2022 artfynd.xlsx", "A 57793-2022")</f>
        <v/>
      </c>
      <c r="T145">
        <f>HYPERLINK("https://klasma.github.io/Logging_0380/kartor/A 57793-2022 karta.png", "A 57793-2022")</f>
        <v/>
      </c>
      <c r="V145">
        <f>HYPERLINK("https://klasma.github.io/Logging_0380/klagomål/A 57793-2022 FSC-klagomål.docx", "A 57793-2022")</f>
        <v/>
      </c>
      <c r="W145">
        <f>HYPERLINK("https://klasma.github.io/Logging_0380/klagomålsmail/A 57793-2022 FSC-klagomål mail.docx", "A 57793-2022")</f>
        <v/>
      </c>
      <c r="X145">
        <f>HYPERLINK("https://klasma.github.io/Logging_0380/tillsyn/A 57793-2022 tillsynsbegäran.docx", "A 57793-2022")</f>
        <v/>
      </c>
      <c r="Y145">
        <f>HYPERLINK("https://klasma.github.io/Logging_0380/tillsynsmail/A 57793-2022 tillsynsbegäran mail.docx", "A 57793-2022")</f>
        <v/>
      </c>
      <c r="Z145">
        <f>HYPERLINK("https://klasma.github.io/Logging_0380/fåglar/A 57793-2022 prioriterade fågelarter.docx", "A 57793-2022")</f>
        <v/>
      </c>
    </row>
    <row r="146" ht="15" customHeight="1">
      <c r="A146" t="inlineStr">
        <is>
          <t>A 60055-2022</t>
        </is>
      </c>
      <c r="B146" s="1" t="n">
        <v>44909</v>
      </c>
      <c r="C146" s="1" t="n">
        <v>45731</v>
      </c>
      <c r="D146" t="inlineStr">
        <is>
          <t>UPPSALA LÄN</t>
        </is>
      </c>
      <c r="E146" t="inlineStr">
        <is>
          <t>UPPSALA</t>
        </is>
      </c>
      <c r="G146" t="n">
        <v>11.4</v>
      </c>
      <c r="H146" t="n">
        <v>1</v>
      </c>
      <c r="I146" t="n">
        <v>0</v>
      </c>
      <c r="J146" t="n">
        <v>0</v>
      </c>
      <c r="K146" t="n">
        <v>0</v>
      </c>
      <c r="L146" t="n">
        <v>0</v>
      </c>
      <c r="M146" t="n">
        <v>0</v>
      </c>
      <c r="N146" t="n">
        <v>0</v>
      </c>
      <c r="O146" t="n">
        <v>0</v>
      </c>
      <c r="P146" t="n">
        <v>0</v>
      </c>
      <c r="Q146" t="n">
        <v>1</v>
      </c>
      <c r="R146" s="2" t="inlineStr">
        <is>
          <t>Tjäder</t>
        </is>
      </c>
      <c r="S146">
        <f>HYPERLINK("https://klasma.github.io/Logging_0380/artfynd/A 60055-2022 artfynd.xlsx", "A 60055-2022")</f>
        <v/>
      </c>
      <c r="T146">
        <f>HYPERLINK("https://klasma.github.io/Logging_0380/kartor/A 60055-2022 karta.png", "A 60055-2022")</f>
        <v/>
      </c>
      <c r="V146">
        <f>HYPERLINK("https://klasma.github.io/Logging_0380/klagomål/A 60055-2022 FSC-klagomål.docx", "A 60055-2022")</f>
        <v/>
      </c>
      <c r="W146">
        <f>HYPERLINK("https://klasma.github.io/Logging_0380/klagomålsmail/A 60055-2022 FSC-klagomål mail.docx", "A 60055-2022")</f>
        <v/>
      </c>
      <c r="X146">
        <f>HYPERLINK("https://klasma.github.io/Logging_0380/tillsyn/A 60055-2022 tillsynsbegäran.docx", "A 60055-2022")</f>
        <v/>
      </c>
      <c r="Y146">
        <f>HYPERLINK("https://klasma.github.io/Logging_0380/tillsynsmail/A 60055-2022 tillsynsbegäran mail.docx", "A 60055-2022")</f>
        <v/>
      </c>
      <c r="Z146">
        <f>HYPERLINK("https://klasma.github.io/Logging_0380/fåglar/A 60055-2022 prioriterade fågelarter.docx", "A 60055-2022")</f>
        <v/>
      </c>
    </row>
    <row r="147" ht="15" customHeight="1">
      <c r="A147" t="inlineStr">
        <is>
          <t>A 61818-2022</t>
        </is>
      </c>
      <c r="B147" s="1" t="n">
        <v>44917</v>
      </c>
      <c r="C147" s="1" t="n">
        <v>45731</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61830-2022</t>
        </is>
      </c>
      <c r="B148" s="1" t="n">
        <v>44917</v>
      </c>
      <c r="C148" s="1" t="n">
        <v>45731</v>
      </c>
      <c r="D148" t="inlineStr">
        <is>
          <t>UPPSALA LÄN</t>
        </is>
      </c>
      <c r="E148" t="inlineStr">
        <is>
          <t>UPPSALA</t>
        </is>
      </c>
      <c r="F148" t="inlineStr">
        <is>
          <t>Holmen skog AB</t>
        </is>
      </c>
      <c r="G148" t="n">
        <v>1.1</v>
      </c>
      <c r="H148" t="n">
        <v>0</v>
      </c>
      <c r="I148" t="n">
        <v>0</v>
      </c>
      <c r="J148" t="n">
        <v>1</v>
      </c>
      <c r="K148" t="n">
        <v>0</v>
      </c>
      <c r="L148" t="n">
        <v>0</v>
      </c>
      <c r="M148" t="n">
        <v>0</v>
      </c>
      <c r="N148" t="n">
        <v>0</v>
      </c>
      <c r="O148" t="n">
        <v>1</v>
      </c>
      <c r="P148" t="n">
        <v>0</v>
      </c>
      <c r="Q148" t="n">
        <v>1</v>
      </c>
      <c r="R148" s="2" t="inlineStr">
        <is>
          <t>Rödbrun blekspik</t>
        </is>
      </c>
      <c r="S148">
        <f>HYPERLINK("https://klasma.github.io/Logging_0380/artfynd/A 61830-2022 artfynd.xlsx", "A 61830-2022")</f>
        <v/>
      </c>
      <c r="T148">
        <f>HYPERLINK("https://klasma.github.io/Logging_0380/kartor/A 61830-2022 karta.png", "A 61830-2022")</f>
        <v/>
      </c>
      <c r="V148">
        <f>HYPERLINK("https://klasma.github.io/Logging_0380/klagomål/A 61830-2022 FSC-klagomål.docx", "A 61830-2022")</f>
        <v/>
      </c>
      <c r="W148">
        <f>HYPERLINK("https://klasma.github.io/Logging_0380/klagomålsmail/A 61830-2022 FSC-klagomål mail.docx", "A 61830-2022")</f>
        <v/>
      </c>
      <c r="X148">
        <f>HYPERLINK("https://klasma.github.io/Logging_0380/tillsyn/A 61830-2022 tillsynsbegäran.docx", "A 61830-2022")</f>
        <v/>
      </c>
      <c r="Y148">
        <f>HYPERLINK("https://klasma.github.io/Logging_0380/tillsynsmail/A 61830-2022 tillsynsbegäran mail.docx", "A 61830-2022")</f>
        <v/>
      </c>
    </row>
    <row r="149" ht="15" customHeight="1">
      <c r="A149" t="inlineStr">
        <is>
          <t>A 5009-2023</t>
        </is>
      </c>
      <c r="B149" s="1" t="n">
        <v>44958</v>
      </c>
      <c r="C149" s="1" t="n">
        <v>45731</v>
      </c>
      <c r="D149" t="inlineStr">
        <is>
          <t>UPPSALA LÄN</t>
        </is>
      </c>
      <c r="E149" t="inlineStr">
        <is>
          <t>UPPSALA</t>
        </is>
      </c>
      <c r="G149" t="n">
        <v>4.7</v>
      </c>
      <c r="H149" t="n">
        <v>1</v>
      </c>
      <c r="I149" t="n">
        <v>0</v>
      </c>
      <c r="J149" t="n">
        <v>0</v>
      </c>
      <c r="K149" t="n">
        <v>0</v>
      </c>
      <c r="L149" t="n">
        <v>0</v>
      </c>
      <c r="M149" t="n">
        <v>0</v>
      </c>
      <c r="N149" t="n">
        <v>0</v>
      </c>
      <c r="O149" t="n">
        <v>0</v>
      </c>
      <c r="P149" t="n">
        <v>0</v>
      </c>
      <c r="Q149" t="n">
        <v>1</v>
      </c>
      <c r="R149" s="2" t="inlineStr">
        <is>
          <t>Blåsippa</t>
        </is>
      </c>
      <c r="S149">
        <f>HYPERLINK("https://klasma.github.io/Logging_0380/artfynd/A 5009-2023 artfynd.xlsx", "A 5009-2023")</f>
        <v/>
      </c>
      <c r="T149">
        <f>HYPERLINK("https://klasma.github.io/Logging_0380/kartor/A 5009-2023 karta.png", "A 5009-2023")</f>
        <v/>
      </c>
      <c r="V149">
        <f>HYPERLINK("https://klasma.github.io/Logging_0380/klagomål/A 5009-2023 FSC-klagomål.docx", "A 5009-2023")</f>
        <v/>
      </c>
      <c r="W149">
        <f>HYPERLINK("https://klasma.github.io/Logging_0380/klagomålsmail/A 5009-2023 FSC-klagomål mail.docx", "A 5009-2023")</f>
        <v/>
      </c>
      <c r="X149">
        <f>HYPERLINK("https://klasma.github.io/Logging_0380/tillsyn/A 5009-2023 tillsynsbegäran.docx", "A 5009-2023")</f>
        <v/>
      </c>
      <c r="Y149">
        <f>HYPERLINK("https://klasma.github.io/Logging_0380/tillsynsmail/A 5009-2023 tillsynsbegäran mail.docx", "A 5009-2023")</f>
        <v/>
      </c>
    </row>
    <row r="150" ht="15" customHeight="1">
      <c r="A150" t="inlineStr">
        <is>
          <t>A 5750-2023</t>
        </is>
      </c>
      <c r="B150" s="1" t="n">
        <v>44963</v>
      </c>
      <c r="C150" s="1" t="n">
        <v>45731</v>
      </c>
      <c r="D150" t="inlineStr">
        <is>
          <t>UPPSALA LÄN</t>
        </is>
      </c>
      <c r="E150" t="inlineStr">
        <is>
          <t>UPPSALA</t>
        </is>
      </c>
      <c r="G150" t="n">
        <v>13.8</v>
      </c>
      <c r="H150" t="n">
        <v>0</v>
      </c>
      <c r="I150" t="n">
        <v>0</v>
      </c>
      <c r="J150" t="n">
        <v>0</v>
      </c>
      <c r="K150" t="n">
        <v>1</v>
      </c>
      <c r="L150" t="n">
        <v>0</v>
      </c>
      <c r="M150" t="n">
        <v>0</v>
      </c>
      <c r="N150" t="n">
        <v>0</v>
      </c>
      <c r="O150" t="n">
        <v>1</v>
      </c>
      <c r="P150" t="n">
        <v>1</v>
      </c>
      <c r="Q150" t="n">
        <v>1</v>
      </c>
      <c r="R150" s="2" t="inlineStr">
        <is>
          <t>Raggbock</t>
        </is>
      </c>
      <c r="S150">
        <f>HYPERLINK("https://klasma.github.io/Logging_0380/artfynd/A 5750-2023 artfynd.xlsx", "A 5750-2023")</f>
        <v/>
      </c>
      <c r="T150">
        <f>HYPERLINK("https://klasma.github.io/Logging_0380/kartor/A 5750-2023 karta.png", "A 5750-2023")</f>
        <v/>
      </c>
      <c r="V150">
        <f>HYPERLINK("https://klasma.github.io/Logging_0380/klagomål/A 5750-2023 FSC-klagomål.docx", "A 5750-2023")</f>
        <v/>
      </c>
      <c r="W150">
        <f>HYPERLINK("https://klasma.github.io/Logging_0380/klagomålsmail/A 5750-2023 FSC-klagomål mail.docx", "A 5750-2023")</f>
        <v/>
      </c>
      <c r="X150">
        <f>HYPERLINK("https://klasma.github.io/Logging_0380/tillsyn/A 5750-2023 tillsynsbegäran.docx", "A 5750-2023")</f>
        <v/>
      </c>
      <c r="Y150">
        <f>HYPERLINK("https://klasma.github.io/Logging_0380/tillsynsmail/A 5750-2023 tillsynsbegäran mail.docx", "A 5750-2023")</f>
        <v/>
      </c>
    </row>
    <row r="151" ht="15" customHeight="1">
      <c r="A151" t="inlineStr">
        <is>
          <t>A 13154-2023</t>
        </is>
      </c>
      <c r="B151" s="1" t="n">
        <v>45002</v>
      </c>
      <c r="C151" s="1" t="n">
        <v>45731</v>
      </c>
      <c r="D151" t="inlineStr">
        <is>
          <t>UPPSALA LÄN</t>
        </is>
      </c>
      <c r="E151" t="inlineStr">
        <is>
          <t>UPPSALA</t>
        </is>
      </c>
      <c r="F151" t="inlineStr">
        <is>
          <t>Holmen skog AB</t>
        </is>
      </c>
      <c r="G151" t="n">
        <v>2.6</v>
      </c>
      <c r="H151" t="n">
        <v>0</v>
      </c>
      <c r="I151" t="n">
        <v>1</v>
      </c>
      <c r="J151" t="n">
        <v>0</v>
      </c>
      <c r="K151" t="n">
        <v>0</v>
      </c>
      <c r="L151" t="n">
        <v>0</v>
      </c>
      <c r="M151" t="n">
        <v>0</v>
      </c>
      <c r="N151" t="n">
        <v>0</v>
      </c>
      <c r="O151" t="n">
        <v>0</v>
      </c>
      <c r="P151" t="n">
        <v>0</v>
      </c>
      <c r="Q151" t="n">
        <v>1</v>
      </c>
      <c r="R151" s="2" t="inlineStr">
        <is>
          <t>Korallblylav</t>
        </is>
      </c>
      <c r="S151">
        <f>HYPERLINK("https://klasma.github.io/Logging_0380/artfynd/A 13154-2023 artfynd.xlsx", "A 13154-2023")</f>
        <v/>
      </c>
      <c r="T151">
        <f>HYPERLINK("https://klasma.github.io/Logging_0380/kartor/A 13154-2023 karta.png", "A 13154-2023")</f>
        <v/>
      </c>
      <c r="V151">
        <f>HYPERLINK("https://klasma.github.io/Logging_0380/klagomål/A 13154-2023 FSC-klagomål.docx", "A 13154-2023")</f>
        <v/>
      </c>
      <c r="W151">
        <f>HYPERLINK("https://klasma.github.io/Logging_0380/klagomålsmail/A 13154-2023 FSC-klagomål mail.docx", "A 13154-2023")</f>
        <v/>
      </c>
      <c r="X151">
        <f>HYPERLINK("https://klasma.github.io/Logging_0380/tillsyn/A 13154-2023 tillsynsbegäran.docx", "A 13154-2023")</f>
        <v/>
      </c>
      <c r="Y151">
        <f>HYPERLINK("https://klasma.github.io/Logging_0380/tillsynsmail/A 13154-2023 tillsynsbegäran mail.docx", "A 13154-2023")</f>
        <v/>
      </c>
    </row>
    <row r="152" ht="15" customHeight="1">
      <c r="A152" t="inlineStr">
        <is>
          <t>A 15722-2023</t>
        </is>
      </c>
      <c r="B152" s="1" t="n">
        <v>45021</v>
      </c>
      <c r="C152" s="1" t="n">
        <v>45731</v>
      </c>
      <c r="D152" t="inlineStr">
        <is>
          <t>UPPSALA LÄN</t>
        </is>
      </c>
      <c r="E152" t="inlineStr">
        <is>
          <t>UPPSALA</t>
        </is>
      </c>
      <c r="G152" t="n">
        <v>15.2</v>
      </c>
      <c r="H152" t="n">
        <v>0</v>
      </c>
      <c r="I152" t="n">
        <v>1</v>
      </c>
      <c r="J152" t="n">
        <v>0</v>
      </c>
      <c r="K152" t="n">
        <v>0</v>
      </c>
      <c r="L152" t="n">
        <v>0</v>
      </c>
      <c r="M152" t="n">
        <v>0</v>
      </c>
      <c r="N152" t="n">
        <v>0</v>
      </c>
      <c r="O152" t="n">
        <v>0</v>
      </c>
      <c r="P152" t="n">
        <v>0</v>
      </c>
      <c r="Q152" t="n">
        <v>1</v>
      </c>
      <c r="R152" s="2" t="inlineStr">
        <is>
          <t>Tibast</t>
        </is>
      </c>
      <c r="S152">
        <f>HYPERLINK("https://klasma.github.io/Logging_0380/artfynd/A 15722-2023 artfynd.xlsx", "A 15722-2023")</f>
        <v/>
      </c>
      <c r="T152">
        <f>HYPERLINK("https://klasma.github.io/Logging_0380/kartor/A 15722-2023 karta.png", "A 15722-2023")</f>
        <v/>
      </c>
      <c r="V152">
        <f>HYPERLINK("https://klasma.github.io/Logging_0380/klagomål/A 15722-2023 FSC-klagomål.docx", "A 15722-2023")</f>
        <v/>
      </c>
      <c r="W152">
        <f>HYPERLINK("https://klasma.github.io/Logging_0380/klagomålsmail/A 15722-2023 FSC-klagomål mail.docx", "A 15722-2023")</f>
        <v/>
      </c>
      <c r="X152">
        <f>HYPERLINK("https://klasma.github.io/Logging_0380/tillsyn/A 15722-2023 tillsynsbegäran.docx", "A 15722-2023")</f>
        <v/>
      </c>
      <c r="Y152">
        <f>HYPERLINK("https://klasma.github.io/Logging_0380/tillsynsmail/A 15722-2023 tillsynsbegäran mail.docx", "A 15722-2023")</f>
        <v/>
      </c>
    </row>
    <row r="153" ht="15" customHeight="1">
      <c r="A153" t="inlineStr">
        <is>
          <t>A 15919-2023</t>
        </is>
      </c>
      <c r="B153" s="1" t="n">
        <v>45022</v>
      </c>
      <c r="C153" s="1" t="n">
        <v>45731</v>
      </c>
      <c r="D153" t="inlineStr">
        <is>
          <t>UPPSALA LÄN</t>
        </is>
      </c>
      <c r="E153" t="inlineStr">
        <is>
          <t>UPPSALA</t>
        </is>
      </c>
      <c r="F153" t="inlineStr">
        <is>
          <t>Holmen skog AB</t>
        </is>
      </c>
      <c r="G153" t="n">
        <v>10</v>
      </c>
      <c r="H153" t="n">
        <v>1</v>
      </c>
      <c r="I153" t="n">
        <v>0</v>
      </c>
      <c r="J153" t="n">
        <v>0</v>
      </c>
      <c r="K153" t="n">
        <v>0</v>
      </c>
      <c r="L153" t="n">
        <v>0</v>
      </c>
      <c r="M153" t="n">
        <v>0</v>
      </c>
      <c r="N153" t="n">
        <v>0</v>
      </c>
      <c r="O153" t="n">
        <v>0</v>
      </c>
      <c r="P153" t="n">
        <v>0</v>
      </c>
      <c r="Q153" t="n">
        <v>1</v>
      </c>
      <c r="R153" s="2" t="inlineStr">
        <is>
          <t>Blåsippa</t>
        </is>
      </c>
      <c r="S153">
        <f>HYPERLINK("https://klasma.github.io/Logging_0380/artfynd/A 15919-2023 artfynd.xlsx", "A 15919-2023")</f>
        <v/>
      </c>
      <c r="T153">
        <f>HYPERLINK("https://klasma.github.io/Logging_0380/kartor/A 15919-2023 karta.png", "A 15919-2023")</f>
        <v/>
      </c>
      <c r="V153">
        <f>HYPERLINK("https://klasma.github.io/Logging_0380/klagomål/A 15919-2023 FSC-klagomål.docx", "A 15919-2023")</f>
        <v/>
      </c>
      <c r="W153">
        <f>HYPERLINK("https://klasma.github.io/Logging_0380/klagomålsmail/A 15919-2023 FSC-klagomål mail.docx", "A 15919-2023")</f>
        <v/>
      </c>
      <c r="X153">
        <f>HYPERLINK("https://klasma.github.io/Logging_0380/tillsyn/A 15919-2023 tillsynsbegäran.docx", "A 15919-2023")</f>
        <v/>
      </c>
      <c r="Y153">
        <f>HYPERLINK("https://klasma.github.io/Logging_0380/tillsynsmail/A 15919-2023 tillsynsbegäran mail.docx", "A 15919-2023")</f>
        <v/>
      </c>
    </row>
    <row r="154" ht="15" customHeight="1">
      <c r="A154" t="inlineStr">
        <is>
          <t>A 15918-2023</t>
        </is>
      </c>
      <c r="B154" s="1" t="n">
        <v>45022</v>
      </c>
      <c r="C154" s="1" t="n">
        <v>45731</v>
      </c>
      <c r="D154" t="inlineStr">
        <is>
          <t>UPPSALA LÄN</t>
        </is>
      </c>
      <c r="E154" t="inlineStr">
        <is>
          <t>UPPSALA</t>
        </is>
      </c>
      <c r="F154" t="inlineStr">
        <is>
          <t>Holmen skog AB</t>
        </is>
      </c>
      <c r="G154" t="n">
        <v>3.2</v>
      </c>
      <c r="H154" t="n">
        <v>1</v>
      </c>
      <c r="I154" t="n">
        <v>0</v>
      </c>
      <c r="J154" t="n">
        <v>0</v>
      </c>
      <c r="K154" t="n">
        <v>0</v>
      </c>
      <c r="L154" t="n">
        <v>0</v>
      </c>
      <c r="M154" t="n">
        <v>0</v>
      </c>
      <c r="N154" t="n">
        <v>0</v>
      </c>
      <c r="O154" t="n">
        <v>0</v>
      </c>
      <c r="P154" t="n">
        <v>0</v>
      </c>
      <c r="Q154" t="n">
        <v>1</v>
      </c>
      <c r="R154" s="2" t="inlineStr">
        <is>
          <t>Blåsippa</t>
        </is>
      </c>
      <c r="S154">
        <f>HYPERLINK("https://klasma.github.io/Logging_0380/artfynd/A 15918-2023 artfynd.xlsx", "A 15918-2023")</f>
        <v/>
      </c>
      <c r="T154">
        <f>HYPERLINK("https://klasma.github.io/Logging_0380/kartor/A 15918-2023 karta.png", "A 15918-2023")</f>
        <v/>
      </c>
      <c r="V154">
        <f>HYPERLINK("https://klasma.github.io/Logging_0380/klagomål/A 15918-2023 FSC-klagomål.docx", "A 15918-2023")</f>
        <v/>
      </c>
      <c r="W154">
        <f>HYPERLINK("https://klasma.github.io/Logging_0380/klagomålsmail/A 15918-2023 FSC-klagomål mail.docx", "A 15918-2023")</f>
        <v/>
      </c>
      <c r="X154">
        <f>HYPERLINK("https://klasma.github.io/Logging_0380/tillsyn/A 15918-2023 tillsynsbegäran.docx", "A 15918-2023")</f>
        <v/>
      </c>
      <c r="Y154">
        <f>HYPERLINK("https://klasma.github.io/Logging_0380/tillsynsmail/A 15918-2023 tillsynsbegäran mail.docx", "A 15918-2023")</f>
        <v/>
      </c>
    </row>
    <row r="155" ht="15" customHeight="1">
      <c r="A155" t="inlineStr">
        <is>
          <t>A 20172-2023</t>
        </is>
      </c>
      <c r="B155" s="1" t="n">
        <v>45055</v>
      </c>
      <c r="C155" s="1" t="n">
        <v>45731</v>
      </c>
      <c r="D155" t="inlineStr">
        <is>
          <t>UPPSALA LÄN</t>
        </is>
      </c>
      <c r="E155" t="inlineStr">
        <is>
          <t>UPPSALA</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HYPERLINK("https://klasma.github.io/Logging_0380/artfynd/A 20172-2023 artfynd.xlsx", "A 20172-2023")</f>
        <v/>
      </c>
      <c r="T155">
        <f>HYPERLINK("https://klasma.github.io/Logging_0380/kartor/A 20172-2023 karta.png", "A 20172-2023")</f>
        <v/>
      </c>
      <c r="V155">
        <f>HYPERLINK("https://klasma.github.io/Logging_0380/klagomål/A 20172-2023 FSC-klagomål.docx", "A 20172-2023")</f>
        <v/>
      </c>
      <c r="W155">
        <f>HYPERLINK("https://klasma.github.io/Logging_0380/klagomålsmail/A 20172-2023 FSC-klagomål mail.docx", "A 20172-2023")</f>
        <v/>
      </c>
      <c r="X155">
        <f>HYPERLINK("https://klasma.github.io/Logging_0380/tillsyn/A 20172-2023 tillsynsbegäran.docx", "A 20172-2023")</f>
        <v/>
      </c>
      <c r="Y155">
        <f>HYPERLINK("https://klasma.github.io/Logging_0380/tillsynsmail/A 20172-2023 tillsynsbegäran mail.docx", "A 20172-2023")</f>
        <v/>
      </c>
    </row>
    <row r="156" ht="15" customHeight="1">
      <c r="A156" t="inlineStr">
        <is>
          <t>A 20930-2023</t>
        </is>
      </c>
      <c r="B156" s="1" t="n">
        <v>45061</v>
      </c>
      <c r="C156" s="1" t="n">
        <v>45731</v>
      </c>
      <c r="D156" t="inlineStr">
        <is>
          <t>UPPSALA LÄN</t>
        </is>
      </c>
      <c r="E156" t="inlineStr">
        <is>
          <t>UPPSALA</t>
        </is>
      </c>
      <c r="G156" t="n">
        <v>5.1</v>
      </c>
      <c r="H156" t="n">
        <v>0</v>
      </c>
      <c r="I156" t="n">
        <v>1</v>
      </c>
      <c r="J156" t="n">
        <v>0</v>
      </c>
      <c r="K156" t="n">
        <v>0</v>
      </c>
      <c r="L156" t="n">
        <v>0</v>
      </c>
      <c r="M156" t="n">
        <v>0</v>
      </c>
      <c r="N156" t="n">
        <v>0</v>
      </c>
      <c r="O156" t="n">
        <v>0</v>
      </c>
      <c r="P156" t="n">
        <v>0</v>
      </c>
      <c r="Q156" t="n">
        <v>1</v>
      </c>
      <c r="R156" s="2" t="inlineStr">
        <is>
          <t>Grönpyrola</t>
        </is>
      </c>
      <c r="S156">
        <f>HYPERLINK("https://klasma.github.io/Logging_0380/artfynd/A 20930-2023 artfynd.xlsx", "A 20930-2023")</f>
        <v/>
      </c>
      <c r="T156">
        <f>HYPERLINK("https://klasma.github.io/Logging_0380/kartor/A 20930-2023 karta.png", "A 20930-2023")</f>
        <v/>
      </c>
      <c r="V156">
        <f>HYPERLINK("https://klasma.github.io/Logging_0380/klagomål/A 20930-2023 FSC-klagomål.docx", "A 20930-2023")</f>
        <v/>
      </c>
      <c r="W156">
        <f>HYPERLINK("https://klasma.github.io/Logging_0380/klagomålsmail/A 20930-2023 FSC-klagomål mail.docx", "A 20930-2023")</f>
        <v/>
      </c>
      <c r="X156">
        <f>HYPERLINK("https://klasma.github.io/Logging_0380/tillsyn/A 20930-2023 tillsynsbegäran.docx", "A 20930-2023")</f>
        <v/>
      </c>
      <c r="Y156">
        <f>HYPERLINK("https://klasma.github.io/Logging_0380/tillsynsmail/A 20930-2023 tillsynsbegäran mail.docx", "A 20930-2023")</f>
        <v/>
      </c>
    </row>
    <row r="157" ht="15" customHeight="1">
      <c r="A157" t="inlineStr">
        <is>
          <t>A 20923-2023</t>
        </is>
      </c>
      <c r="B157" s="1" t="n">
        <v>45061</v>
      </c>
      <c r="C157" s="1" t="n">
        <v>45731</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Dvärghäxört</t>
        </is>
      </c>
      <c r="S157">
        <f>HYPERLINK("https://klasma.github.io/Logging_0380/artfynd/A 20923-2023 artfynd.xlsx", "A 20923-2023")</f>
        <v/>
      </c>
      <c r="T157">
        <f>HYPERLINK("https://klasma.github.io/Logging_0380/kartor/A 20923-2023 karta.png", "A 20923-2023")</f>
        <v/>
      </c>
      <c r="V157">
        <f>HYPERLINK("https://klasma.github.io/Logging_0380/klagomål/A 20923-2023 FSC-klagomål.docx", "A 20923-2023")</f>
        <v/>
      </c>
      <c r="W157">
        <f>HYPERLINK("https://klasma.github.io/Logging_0380/klagomålsmail/A 20923-2023 FSC-klagomål mail.docx", "A 20923-2023")</f>
        <v/>
      </c>
      <c r="X157">
        <f>HYPERLINK("https://klasma.github.io/Logging_0380/tillsyn/A 20923-2023 tillsynsbegäran.docx", "A 20923-2023")</f>
        <v/>
      </c>
      <c r="Y157">
        <f>HYPERLINK("https://klasma.github.io/Logging_0380/tillsynsmail/A 20923-2023 tillsynsbegäran mail.docx", "A 20923-2023")</f>
        <v/>
      </c>
    </row>
    <row r="158" ht="15" customHeight="1">
      <c r="A158" t="inlineStr">
        <is>
          <t>A 22958-2023</t>
        </is>
      </c>
      <c r="B158" s="1" t="n">
        <v>45072</v>
      </c>
      <c r="C158" s="1" t="n">
        <v>45731</v>
      </c>
      <c r="D158" t="inlineStr">
        <is>
          <t>UPPSALA LÄN</t>
        </is>
      </c>
      <c r="E158" t="inlineStr">
        <is>
          <t>UPPSALA</t>
        </is>
      </c>
      <c r="F158" t="inlineStr">
        <is>
          <t>Holmen skog AB</t>
        </is>
      </c>
      <c r="G158" t="n">
        <v>6.4</v>
      </c>
      <c r="H158" t="n">
        <v>0</v>
      </c>
      <c r="I158" t="n">
        <v>0</v>
      </c>
      <c r="J158" t="n">
        <v>1</v>
      </c>
      <c r="K158" t="n">
        <v>0</v>
      </c>
      <c r="L158" t="n">
        <v>0</v>
      </c>
      <c r="M158" t="n">
        <v>0</v>
      </c>
      <c r="N158" t="n">
        <v>0</v>
      </c>
      <c r="O158" t="n">
        <v>1</v>
      </c>
      <c r="P158" t="n">
        <v>0</v>
      </c>
      <c r="Q158" t="n">
        <v>1</v>
      </c>
      <c r="R158" s="2" t="inlineStr">
        <is>
          <t>Krusfrö</t>
        </is>
      </c>
      <c r="S158">
        <f>HYPERLINK("https://klasma.github.io/Logging_0380/artfynd/A 22958-2023 artfynd.xlsx", "A 22958-2023")</f>
        <v/>
      </c>
      <c r="T158">
        <f>HYPERLINK("https://klasma.github.io/Logging_0380/kartor/A 22958-2023 karta.png", "A 22958-2023")</f>
        <v/>
      </c>
      <c r="V158">
        <f>HYPERLINK("https://klasma.github.io/Logging_0380/klagomål/A 22958-2023 FSC-klagomål.docx", "A 22958-2023")</f>
        <v/>
      </c>
      <c r="W158">
        <f>HYPERLINK("https://klasma.github.io/Logging_0380/klagomålsmail/A 22958-2023 FSC-klagomål mail.docx", "A 22958-2023")</f>
        <v/>
      </c>
      <c r="X158">
        <f>HYPERLINK("https://klasma.github.io/Logging_0380/tillsyn/A 22958-2023 tillsynsbegäran.docx", "A 22958-2023")</f>
        <v/>
      </c>
      <c r="Y158">
        <f>HYPERLINK("https://klasma.github.io/Logging_0380/tillsynsmail/A 22958-2023 tillsynsbegäran mail.docx", "A 22958-2023")</f>
        <v/>
      </c>
    </row>
    <row r="159" ht="15" customHeight="1">
      <c r="A159" t="inlineStr">
        <is>
          <t>A 27848-2023</t>
        </is>
      </c>
      <c r="B159" s="1" t="n">
        <v>45098</v>
      </c>
      <c r="C159" s="1" t="n">
        <v>45731</v>
      </c>
      <c r="D159" t="inlineStr">
        <is>
          <t>UPPSALA LÄN</t>
        </is>
      </c>
      <c r="E159" t="inlineStr">
        <is>
          <t>UPPSALA</t>
        </is>
      </c>
      <c r="G159" t="n">
        <v>14.3</v>
      </c>
      <c r="H159" t="n">
        <v>0</v>
      </c>
      <c r="I159" t="n">
        <v>1</v>
      </c>
      <c r="J159" t="n">
        <v>0</v>
      </c>
      <c r="K159" t="n">
        <v>0</v>
      </c>
      <c r="L159" t="n">
        <v>0</v>
      </c>
      <c r="M159" t="n">
        <v>0</v>
      </c>
      <c r="N159" t="n">
        <v>0</v>
      </c>
      <c r="O159" t="n">
        <v>0</v>
      </c>
      <c r="P159" t="n">
        <v>0</v>
      </c>
      <c r="Q159" t="n">
        <v>1</v>
      </c>
      <c r="R159" s="2" t="inlineStr">
        <is>
          <t>Blåmossa</t>
        </is>
      </c>
      <c r="S159">
        <f>HYPERLINK("https://klasma.github.io/Logging_0380/artfynd/A 27848-2023 artfynd.xlsx", "A 27848-2023")</f>
        <v/>
      </c>
      <c r="T159">
        <f>HYPERLINK("https://klasma.github.io/Logging_0380/kartor/A 27848-2023 karta.png", "A 27848-2023")</f>
        <v/>
      </c>
      <c r="V159">
        <f>HYPERLINK("https://klasma.github.io/Logging_0380/klagomål/A 27848-2023 FSC-klagomål.docx", "A 27848-2023")</f>
        <v/>
      </c>
      <c r="W159">
        <f>HYPERLINK("https://klasma.github.io/Logging_0380/klagomålsmail/A 27848-2023 FSC-klagomål mail.docx", "A 27848-2023")</f>
        <v/>
      </c>
      <c r="X159">
        <f>HYPERLINK("https://klasma.github.io/Logging_0380/tillsyn/A 27848-2023 tillsynsbegäran.docx", "A 27848-2023")</f>
        <v/>
      </c>
      <c r="Y159">
        <f>HYPERLINK("https://klasma.github.io/Logging_0380/tillsynsmail/A 27848-2023 tillsynsbegäran mail.docx", "A 27848-2023")</f>
        <v/>
      </c>
    </row>
    <row r="160" ht="15" customHeight="1">
      <c r="A160" t="inlineStr">
        <is>
          <t>A 28951-2023</t>
        </is>
      </c>
      <c r="B160" s="1" t="n">
        <v>45104</v>
      </c>
      <c r="C160" s="1" t="n">
        <v>45731</v>
      </c>
      <c r="D160" t="inlineStr">
        <is>
          <t>UPPSALA LÄN</t>
        </is>
      </c>
      <c r="E160" t="inlineStr">
        <is>
          <t>UPPSALA</t>
        </is>
      </c>
      <c r="G160" t="n">
        <v>3.7</v>
      </c>
      <c r="H160" t="n">
        <v>0</v>
      </c>
      <c r="I160" t="n">
        <v>1</v>
      </c>
      <c r="J160" t="n">
        <v>0</v>
      </c>
      <c r="K160" t="n">
        <v>0</v>
      </c>
      <c r="L160" t="n">
        <v>0</v>
      </c>
      <c r="M160" t="n">
        <v>0</v>
      </c>
      <c r="N160" t="n">
        <v>0</v>
      </c>
      <c r="O160" t="n">
        <v>0</v>
      </c>
      <c r="P160" t="n">
        <v>0</v>
      </c>
      <c r="Q160" t="n">
        <v>1</v>
      </c>
      <c r="R160" s="2" t="inlineStr">
        <is>
          <t>Grönpyrola</t>
        </is>
      </c>
      <c r="S160">
        <f>HYPERLINK("https://klasma.github.io/Logging_0380/artfynd/A 28951-2023 artfynd.xlsx", "A 28951-2023")</f>
        <v/>
      </c>
      <c r="T160">
        <f>HYPERLINK("https://klasma.github.io/Logging_0380/kartor/A 28951-2023 karta.png", "A 28951-2023")</f>
        <v/>
      </c>
      <c r="V160">
        <f>HYPERLINK("https://klasma.github.io/Logging_0380/klagomål/A 28951-2023 FSC-klagomål.docx", "A 28951-2023")</f>
        <v/>
      </c>
      <c r="W160">
        <f>HYPERLINK("https://klasma.github.io/Logging_0380/klagomålsmail/A 28951-2023 FSC-klagomål mail.docx", "A 28951-2023")</f>
        <v/>
      </c>
      <c r="X160">
        <f>HYPERLINK("https://klasma.github.io/Logging_0380/tillsyn/A 28951-2023 tillsynsbegäran.docx", "A 28951-2023")</f>
        <v/>
      </c>
      <c r="Y160">
        <f>HYPERLINK("https://klasma.github.io/Logging_0380/tillsynsmail/A 28951-2023 tillsynsbegäran mail.docx", "A 28951-2023")</f>
        <v/>
      </c>
    </row>
    <row r="161" ht="15" customHeight="1">
      <c r="A161" t="inlineStr">
        <is>
          <t>A 29902-2023</t>
        </is>
      </c>
      <c r="B161" s="1" t="n">
        <v>45107</v>
      </c>
      <c r="C161" s="1" t="n">
        <v>45731</v>
      </c>
      <c r="D161" t="inlineStr">
        <is>
          <t>UPPSALA LÄN</t>
        </is>
      </c>
      <c r="E161" t="inlineStr">
        <is>
          <t>UPPSALA</t>
        </is>
      </c>
      <c r="F161" t="inlineStr">
        <is>
          <t>Kyrkan</t>
        </is>
      </c>
      <c r="G161" t="n">
        <v>10.6</v>
      </c>
      <c r="H161" t="n">
        <v>1</v>
      </c>
      <c r="I161" t="n">
        <v>0</v>
      </c>
      <c r="J161" t="n">
        <v>1</v>
      </c>
      <c r="K161" t="n">
        <v>0</v>
      </c>
      <c r="L161" t="n">
        <v>0</v>
      </c>
      <c r="M161" t="n">
        <v>0</v>
      </c>
      <c r="N161" t="n">
        <v>0</v>
      </c>
      <c r="O161" t="n">
        <v>1</v>
      </c>
      <c r="P161" t="n">
        <v>0</v>
      </c>
      <c r="Q161" t="n">
        <v>1</v>
      </c>
      <c r="R161" s="2" t="inlineStr">
        <is>
          <t>Järpe</t>
        </is>
      </c>
      <c r="S161">
        <f>HYPERLINK("https://klasma.github.io/Logging_0380/artfynd/A 29902-2023 artfynd.xlsx", "A 29902-2023")</f>
        <v/>
      </c>
      <c r="T161">
        <f>HYPERLINK("https://klasma.github.io/Logging_0380/kartor/A 29902-2023 karta.png", "A 29902-2023")</f>
        <v/>
      </c>
      <c r="V161">
        <f>HYPERLINK("https://klasma.github.io/Logging_0380/klagomål/A 29902-2023 FSC-klagomål.docx", "A 29902-2023")</f>
        <v/>
      </c>
      <c r="W161">
        <f>HYPERLINK("https://klasma.github.io/Logging_0380/klagomålsmail/A 29902-2023 FSC-klagomål mail.docx", "A 29902-2023")</f>
        <v/>
      </c>
      <c r="X161">
        <f>HYPERLINK("https://klasma.github.io/Logging_0380/tillsyn/A 29902-2023 tillsynsbegäran.docx", "A 29902-2023")</f>
        <v/>
      </c>
      <c r="Y161">
        <f>HYPERLINK("https://klasma.github.io/Logging_0380/tillsynsmail/A 29902-2023 tillsynsbegäran mail.docx", "A 29902-2023")</f>
        <v/>
      </c>
      <c r="Z161">
        <f>HYPERLINK("https://klasma.github.io/Logging_0380/fåglar/A 29902-2023 prioriterade fågelarter.docx", "A 29902-2023")</f>
        <v/>
      </c>
    </row>
    <row r="162" ht="15" customHeight="1">
      <c r="A162" t="inlineStr">
        <is>
          <t>A 29906-2023</t>
        </is>
      </c>
      <c r="B162" s="1" t="n">
        <v>45107</v>
      </c>
      <c r="C162" s="1" t="n">
        <v>45731</v>
      </c>
      <c r="D162" t="inlineStr">
        <is>
          <t>UPPSALA LÄN</t>
        </is>
      </c>
      <c r="E162" t="inlineStr">
        <is>
          <t>UPPSALA</t>
        </is>
      </c>
      <c r="F162" t="inlineStr">
        <is>
          <t>Kyrkan</t>
        </is>
      </c>
      <c r="G162" t="n">
        <v>0.5</v>
      </c>
      <c r="H162" t="n">
        <v>0</v>
      </c>
      <c r="I162" t="n">
        <v>1</v>
      </c>
      <c r="J162" t="n">
        <v>0</v>
      </c>
      <c r="K162" t="n">
        <v>0</v>
      </c>
      <c r="L162" t="n">
        <v>0</v>
      </c>
      <c r="M162" t="n">
        <v>0</v>
      </c>
      <c r="N162" t="n">
        <v>0</v>
      </c>
      <c r="O162" t="n">
        <v>0</v>
      </c>
      <c r="P162" t="n">
        <v>0</v>
      </c>
      <c r="Q162" t="n">
        <v>1</v>
      </c>
      <c r="R162" s="2" t="inlineStr">
        <is>
          <t>Sotriska</t>
        </is>
      </c>
      <c r="S162">
        <f>HYPERLINK("https://klasma.github.io/Logging_0380/artfynd/A 29906-2023 artfynd.xlsx", "A 29906-2023")</f>
        <v/>
      </c>
      <c r="T162">
        <f>HYPERLINK("https://klasma.github.io/Logging_0380/kartor/A 29906-2023 karta.png", "A 29906-2023")</f>
        <v/>
      </c>
      <c r="V162">
        <f>HYPERLINK("https://klasma.github.io/Logging_0380/klagomål/A 29906-2023 FSC-klagomål.docx", "A 29906-2023")</f>
        <v/>
      </c>
      <c r="W162">
        <f>HYPERLINK("https://klasma.github.io/Logging_0380/klagomålsmail/A 29906-2023 FSC-klagomål mail.docx", "A 29906-2023")</f>
        <v/>
      </c>
      <c r="X162">
        <f>HYPERLINK("https://klasma.github.io/Logging_0380/tillsyn/A 29906-2023 tillsynsbegäran.docx", "A 29906-2023")</f>
        <v/>
      </c>
      <c r="Y162">
        <f>HYPERLINK("https://klasma.github.io/Logging_0380/tillsynsmail/A 29906-2023 tillsynsbegäran mail.docx", "A 29906-2023")</f>
        <v/>
      </c>
    </row>
    <row r="163" ht="15" customHeight="1">
      <c r="A163" t="inlineStr">
        <is>
          <t>A 32668-2023</t>
        </is>
      </c>
      <c r="B163" s="1" t="n">
        <v>45121</v>
      </c>
      <c r="C163" s="1" t="n">
        <v>45731</v>
      </c>
      <c r="D163" t="inlineStr">
        <is>
          <t>UPPSALA LÄN</t>
        </is>
      </c>
      <c r="E163" t="inlineStr">
        <is>
          <t>UPPSALA</t>
        </is>
      </c>
      <c r="F163" t="inlineStr">
        <is>
          <t>Holmen skog AB</t>
        </is>
      </c>
      <c r="G163" t="n">
        <v>6.3</v>
      </c>
      <c r="H163" t="n">
        <v>1</v>
      </c>
      <c r="I163" t="n">
        <v>0</v>
      </c>
      <c r="J163" t="n">
        <v>0</v>
      </c>
      <c r="K163" t="n">
        <v>0</v>
      </c>
      <c r="L163" t="n">
        <v>0</v>
      </c>
      <c r="M163" t="n">
        <v>0</v>
      </c>
      <c r="N163" t="n">
        <v>0</v>
      </c>
      <c r="O163" t="n">
        <v>0</v>
      </c>
      <c r="P163" t="n">
        <v>0</v>
      </c>
      <c r="Q163" t="n">
        <v>1</v>
      </c>
      <c r="R163" s="2" t="inlineStr">
        <is>
          <t>Blåsippa</t>
        </is>
      </c>
      <c r="S163">
        <f>HYPERLINK("https://klasma.github.io/Logging_0380/artfynd/A 32668-2023 artfynd.xlsx", "A 32668-2023")</f>
        <v/>
      </c>
      <c r="T163">
        <f>HYPERLINK("https://klasma.github.io/Logging_0380/kartor/A 32668-2023 karta.png", "A 32668-2023")</f>
        <v/>
      </c>
      <c r="V163">
        <f>HYPERLINK("https://klasma.github.io/Logging_0380/klagomål/A 32668-2023 FSC-klagomål.docx", "A 32668-2023")</f>
        <v/>
      </c>
      <c r="W163">
        <f>HYPERLINK("https://klasma.github.io/Logging_0380/klagomålsmail/A 32668-2023 FSC-klagomål mail.docx", "A 32668-2023")</f>
        <v/>
      </c>
      <c r="X163">
        <f>HYPERLINK("https://klasma.github.io/Logging_0380/tillsyn/A 32668-2023 tillsynsbegäran.docx", "A 32668-2023")</f>
        <v/>
      </c>
      <c r="Y163">
        <f>HYPERLINK("https://klasma.github.io/Logging_0380/tillsynsmail/A 32668-2023 tillsynsbegäran mail.docx", "A 32668-2023")</f>
        <v/>
      </c>
    </row>
    <row r="164" ht="15" customHeight="1">
      <c r="A164" t="inlineStr">
        <is>
          <t>A 32755-2023</t>
        </is>
      </c>
      <c r="B164" s="1" t="n">
        <v>45123</v>
      </c>
      <c r="C164" s="1" t="n">
        <v>45731</v>
      </c>
      <c r="D164" t="inlineStr">
        <is>
          <t>UPPSALA LÄN</t>
        </is>
      </c>
      <c r="E164" t="inlineStr">
        <is>
          <t>UPPSALA</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HYPERLINK("https://klasma.github.io/Logging_0380/artfynd/A 32755-2023 artfynd.xlsx", "A 32755-2023")</f>
        <v/>
      </c>
      <c r="T164">
        <f>HYPERLINK("https://klasma.github.io/Logging_0380/kartor/A 32755-2023 karta.png", "A 32755-2023")</f>
        <v/>
      </c>
      <c r="V164">
        <f>HYPERLINK("https://klasma.github.io/Logging_0380/klagomål/A 32755-2023 FSC-klagomål.docx", "A 32755-2023")</f>
        <v/>
      </c>
      <c r="W164">
        <f>HYPERLINK("https://klasma.github.io/Logging_0380/klagomålsmail/A 32755-2023 FSC-klagomål mail.docx", "A 32755-2023")</f>
        <v/>
      </c>
      <c r="X164">
        <f>HYPERLINK("https://klasma.github.io/Logging_0380/tillsyn/A 32755-2023 tillsynsbegäran.docx", "A 32755-2023")</f>
        <v/>
      </c>
      <c r="Y164">
        <f>HYPERLINK("https://klasma.github.io/Logging_0380/tillsynsmail/A 32755-2023 tillsynsbegäran mail.docx", "A 32755-2023")</f>
        <v/>
      </c>
      <c r="Z164">
        <f>HYPERLINK("https://klasma.github.io/Logging_0380/fåglar/A 32755-2023 prioriterade fågelarter.docx", "A 32755-2023")</f>
        <v/>
      </c>
    </row>
    <row r="165" ht="15" customHeight="1">
      <c r="A165" t="inlineStr">
        <is>
          <t>A 34732-2023</t>
        </is>
      </c>
      <c r="B165" s="1" t="n">
        <v>45139</v>
      </c>
      <c r="C165" s="1" t="n">
        <v>45731</v>
      </c>
      <c r="D165" t="inlineStr">
        <is>
          <t>UPPSALA LÄN</t>
        </is>
      </c>
      <c r="E165" t="inlineStr">
        <is>
          <t>UPPSALA</t>
        </is>
      </c>
      <c r="G165" t="n">
        <v>8.1</v>
      </c>
      <c r="H165" t="n">
        <v>1</v>
      </c>
      <c r="I165" t="n">
        <v>1</v>
      </c>
      <c r="J165" t="n">
        <v>0</v>
      </c>
      <c r="K165" t="n">
        <v>0</v>
      </c>
      <c r="L165" t="n">
        <v>0</v>
      </c>
      <c r="M165" t="n">
        <v>0</v>
      </c>
      <c r="N165" t="n">
        <v>0</v>
      </c>
      <c r="O165" t="n">
        <v>0</v>
      </c>
      <c r="P165" t="n">
        <v>0</v>
      </c>
      <c r="Q165" t="n">
        <v>1</v>
      </c>
      <c r="R165" s="2" t="inlineStr">
        <is>
          <t>Grön sköldmossa</t>
        </is>
      </c>
      <c r="S165">
        <f>HYPERLINK("https://klasma.github.io/Logging_0380/artfynd/A 34732-2023 artfynd.xlsx", "A 34732-2023")</f>
        <v/>
      </c>
      <c r="T165">
        <f>HYPERLINK("https://klasma.github.io/Logging_0380/kartor/A 34732-2023 karta.png", "A 34732-2023")</f>
        <v/>
      </c>
      <c r="V165">
        <f>HYPERLINK("https://klasma.github.io/Logging_0380/klagomål/A 34732-2023 FSC-klagomål.docx", "A 34732-2023")</f>
        <v/>
      </c>
      <c r="W165">
        <f>HYPERLINK("https://klasma.github.io/Logging_0380/klagomålsmail/A 34732-2023 FSC-klagomål mail.docx", "A 34732-2023")</f>
        <v/>
      </c>
      <c r="X165">
        <f>HYPERLINK("https://klasma.github.io/Logging_0380/tillsyn/A 34732-2023 tillsynsbegäran.docx", "A 34732-2023")</f>
        <v/>
      </c>
      <c r="Y165">
        <f>HYPERLINK("https://klasma.github.io/Logging_0380/tillsynsmail/A 34732-2023 tillsynsbegäran mail.docx", "A 34732-2023")</f>
        <v/>
      </c>
    </row>
    <row r="166" ht="15" customHeight="1">
      <c r="A166" t="inlineStr">
        <is>
          <t>A 39741-2023</t>
        </is>
      </c>
      <c r="B166" s="1" t="n">
        <v>45167</v>
      </c>
      <c r="C166" s="1" t="n">
        <v>45731</v>
      </c>
      <c r="D166" t="inlineStr">
        <is>
          <t>UPPSALA LÄN</t>
        </is>
      </c>
      <c r="E166" t="inlineStr">
        <is>
          <t>UPPSALA</t>
        </is>
      </c>
      <c r="G166" t="n">
        <v>5.6</v>
      </c>
      <c r="H166" t="n">
        <v>1</v>
      </c>
      <c r="I166" t="n">
        <v>0</v>
      </c>
      <c r="J166" t="n">
        <v>1</v>
      </c>
      <c r="K166" t="n">
        <v>0</v>
      </c>
      <c r="L166" t="n">
        <v>0</v>
      </c>
      <c r="M166" t="n">
        <v>0</v>
      </c>
      <c r="N166" t="n">
        <v>0</v>
      </c>
      <c r="O166" t="n">
        <v>1</v>
      </c>
      <c r="P166" t="n">
        <v>0</v>
      </c>
      <c r="Q166" t="n">
        <v>1</v>
      </c>
      <c r="R166" s="2" t="inlineStr">
        <is>
          <t>Entita</t>
        </is>
      </c>
      <c r="S166">
        <f>HYPERLINK("https://klasma.github.io/Logging_0380/artfynd/A 39741-2023 artfynd.xlsx", "A 39741-2023")</f>
        <v/>
      </c>
      <c r="T166">
        <f>HYPERLINK("https://klasma.github.io/Logging_0380/kartor/A 39741-2023 karta.png", "A 39741-2023")</f>
        <v/>
      </c>
      <c r="V166">
        <f>HYPERLINK("https://klasma.github.io/Logging_0380/klagomål/A 39741-2023 FSC-klagomål.docx", "A 39741-2023")</f>
        <v/>
      </c>
      <c r="W166">
        <f>HYPERLINK("https://klasma.github.io/Logging_0380/klagomålsmail/A 39741-2023 FSC-klagomål mail.docx", "A 39741-2023")</f>
        <v/>
      </c>
      <c r="X166">
        <f>HYPERLINK("https://klasma.github.io/Logging_0380/tillsyn/A 39741-2023 tillsynsbegäran.docx", "A 39741-2023")</f>
        <v/>
      </c>
      <c r="Y166">
        <f>HYPERLINK("https://klasma.github.io/Logging_0380/tillsynsmail/A 39741-2023 tillsynsbegäran mail.docx", "A 39741-2023")</f>
        <v/>
      </c>
      <c r="Z166">
        <f>HYPERLINK("https://klasma.github.io/Logging_0380/fåglar/A 39741-2023 prioriterade fågelarter.docx", "A 39741-2023")</f>
        <v/>
      </c>
    </row>
    <row r="167" ht="15" customHeight="1">
      <c r="A167" t="inlineStr">
        <is>
          <t>A 51540-2023</t>
        </is>
      </c>
      <c r="B167" s="1" t="n">
        <v>45222</v>
      </c>
      <c r="C167" s="1" t="n">
        <v>45731</v>
      </c>
      <c r="D167" t="inlineStr">
        <is>
          <t>UPPSALA LÄN</t>
        </is>
      </c>
      <c r="E167" t="inlineStr">
        <is>
          <t>UPPSALA</t>
        </is>
      </c>
      <c r="G167" t="n">
        <v>6.4</v>
      </c>
      <c r="H167" t="n">
        <v>0</v>
      </c>
      <c r="I167" t="n">
        <v>0</v>
      </c>
      <c r="J167" t="n">
        <v>1</v>
      </c>
      <c r="K167" t="n">
        <v>0</v>
      </c>
      <c r="L167" t="n">
        <v>0</v>
      </c>
      <c r="M167" t="n">
        <v>0</v>
      </c>
      <c r="N167" t="n">
        <v>0</v>
      </c>
      <c r="O167" t="n">
        <v>1</v>
      </c>
      <c r="P167" t="n">
        <v>0</v>
      </c>
      <c r="Q167" t="n">
        <v>1</v>
      </c>
      <c r="R167" s="2" t="inlineStr">
        <is>
          <t>Svedjenäva</t>
        </is>
      </c>
      <c r="S167">
        <f>HYPERLINK("https://klasma.github.io/Logging_0380/artfynd/A 51540-2023 artfynd.xlsx", "A 51540-2023")</f>
        <v/>
      </c>
      <c r="T167">
        <f>HYPERLINK("https://klasma.github.io/Logging_0380/kartor/A 51540-2023 karta.png", "A 51540-2023")</f>
        <v/>
      </c>
      <c r="V167">
        <f>HYPERLINK("https://klasma.github.io/Logging_0380/klagomål/A 51540-2023 FSC-klagomål.docx", "A 51540-2023")</f>
        <v/>
      </c>
      <c r="W167">
        <f>HYPERLINK("https://klasma.github.io/Logging_0380/klagomålsmail/A 51540-2023 FSC-klagomål mail.docx", "A 51540-2023")</f>
        <v/>
      </c>
      <c r="X167">
        <f>HYPERLINK("https://klasma.github.io/Logging_0380/tillsyn/A 51540-2023 tillsynsbegäran.docx", "A 51540-2023")</f>
        <v/>
      </c>
      <c r="Y167">
        <f>HYPERLINK("https://klasma.github.io/Logging_0380/tillsynsmail/A 51540-2023 tillsynsbegäran mail.docx", "A 51540-2023")</f>
        <v/>
      </c>
    </row>
    <row r="168" ht="15" customHeight="1">
      <c r="A168" t="inlineStr">
        <is>
          <t>A 57332-2023</t>
        </is>
      </c>
      <c r="B168" s="1" t="n">
        <v>45245</v>
      </c>
      <c r="C168" s="1" t="n">
        <v>45731</v>
      </c>
      <c r="D168" t="inlineStr">
        <is>
          <t>UPPSALA LÄN</t>
        </is>
      </c>
      <c r="E168" t="inlineStr">
        <is>
          <t>UPPSALA</t>
        </is>
      </c>
      <c r="F168" t="inlineStr">
        <is>
          <t>Allmännings- och besparingsskogar</t>
        </is>
      </c>
      <c r="G168" t="n">
        <v>11.4</v>
      </c>
      <c r="H168" t="n">
        <v>1</v>
      </c>
      <c r="I168" t="n">
        <v>0</v>
      </c>
      <c r="J168" t="n">
        <v>0</v>
      </c>
      <c r="K168" t="n">
        <v>1</v>
      </c>
      <c r="L168" t="n">
        <v>0</v>
      </c>
      <c r="M168" t="n">
        <v>0</v>
      </c>
      <c r="N168" t="n">
        <v>0</v>
      </c>
      <c r="O168" t="n">
        <v>1</v>
      </c>
      <c r="P168" t="n">
        <v>1</v>
      </c>
      <c r="Q168" t="n">
        <v>1</v>
      </c>
      <c r="R168" s="2" t="inlineStr">
        <is>
          <t>Knärot</t>
        </is>
      </c>
      <c r="S168">
        <f>HYPERLINK("https://klasma.github.io/Logging_0380/artfynd/A 57332-2023 artfynd.xlsx", "A 57332-2023")</f>
        <v/>
      </c>
      <c r="T168">
        <f>HYPERLINK("https://klasma.github.io/Logging_0380/kartor/A 57332-2023 karta.png", "A 57332-2023")</f>
        <v/>
      </c>
      <c r="U168">
        <f>HYPERLINK("https://klasma.github.io/Logging_0380/knärot/A 57332-2023 karta knärot.png", "A 57332-2023")</f>
        <v/>
      </c>
      <c r="V168">
        <f>HYPERLINK("https://klasma.github.io/Logging_0380/klagomål/A 57332-2023 FSC-klagomål.docx", "A 57332-2023")</f>
        <v/>
      </c>
      <c r="W168">
        <f>HYPERLINK("https://klasma.github.io/Logging_0380/klagomålsmail/A 57332-2023 FSC-klagomål mail.docx", "A 57332-2023")</f>
        <v/>
      </c>
      <c r="X168">
        <f>HYPERLINK("https://klasma.github.io/Logging_0380/tillsyn/A 57332-2023 tillsynsbegäran.docx", "A 57332-2023")</f>
        <v/>
      </c>
      <c r="Y168">
        <f>HYPERLINK("https://klasma.github.io/Logging_0380/tillsynsmail/A 57332-2023 tillsynsbegäran mail.docx", "A 57332-2023")</f>
        <v/>
      </c>
    </row>
    <row r="169" ht="15" customHeight="1">
      <c r="A169" t="inlineStr">
        <is>
          <t>A 61068-2023</t>
        </is>
      </c>
      <c r="B169" s="1" t="n">
        <v>45259</v>
      </c>
      <c r="C169" s="1" t="n">
        <v>45731</v>
      </c>
      <c r="D169" t="inlineStr">
        <is>
          <t>UPPSALA LÄN</t>
        </is>
      </c>
      <c r="E169" t="inlineStr">
        <is>
          <t>UPPSALA</t>
        </is>
      </c>
      <c r="F169" t="inlineStr">
        <is>
          <t>Övriga Aktiebolag</t>
        </is>
      </c>
      <c r="G169" t="n">
        <v>8.800000000000001</v>
      </c>
      <c r="H169" t="n">
        <v>1</v>
      </c>
      <c r="I169" t="n">
        <v>0</v>
      </c>
      <c r="J169" t="n">
        <v>0</v>
      </c>
      <c r="K169" t="n">
        <v>1</v>
      </c>
      <c r="L169" t="n">
        <v>0</v>
      </c>
      <c r="M169" t="n">
        <v>0</v>
      </c>
      <c r="N169" t="n">
        <v>0</v>
      </c>
      <c r="O169" t="n">
        <v>1</v>
      </c>
      <c r="P169" t="n">
        <v>1</v>
      </c>
      <c r="Q169" t="n">
        <v>1</v>
      </c>
      <c r="R169" s="2" t="inlineStr">
        <is>
          <t>Knärot</t>
        </is>
      </c>
      <c r="S169">
        <f>HYPERLINK("https://klasma.github.io/Logging_0380/artfynd/A 61068-2023 artfynd.xlsx", "A 61068-2023")</f>
        <v/>
      </c>
      <c r="T169">
        <f>HYPERLINK("https://klasma.github.io/Logging_0380/kartor/A 61068-2023 karta.png", "A 61068-2023")</f>
        <v/>
      </c>
      <c r="U169">
        <f>HYPERLINK("https://klasma.github.io/Logging_0380/knärot/A 61068-2023 karta knärot.png", "A 61068-2023")</f>
        <v/>
      </c>
      <c r="V169">
        <f>HYPERLINK("https://klasma.github.io/Logging_0380/klagomål/A 61068-2023 FSC-klagomål.docx", "A 61068-2023")</f>
        <v/>
      </c>
      <c r="W169">
        <f>HYPERLINK("https://klasma.github.io/Logging_0380/klagomålsmail/A 61068-2023 FSC-klagomål mail.docx", "A 61068-2023")</f>
        <v/>
      </c>
      <c r="X169">
        <f>HYPERLINK("https://klasma.github.io/Logging_0380/tillsyn/A 61068-2023 tillsynsbegäran.docx", "A 61068-2023")</f>
        <v/>
      </c>
      <c r="Y169">
        <f>HYPERLINK("https://klasma.github.io/Logging_0380/tillsynsmail/A 61068-2023 tillsynsbegäran mail.docx", "A 61068-2023")</f>
        <v/>
      </c>
    </row>
    <row r="170" ht="15" customHeight="1">
      <c r="A170" t="inlineStr">
        <is>
          <t>A 61066-2023</t>
        </is>
      </c>
      <c r="B170" s="1" t="n">
        <v>45259</v>
      </c>
      <c r="C170" s="1" t="n">
        <v>45731</v>
      </c>
      <c r="D170" t="inlineStr">
        <is>
          <t>UPPSALA LÄN</t>
        </is>
      </c>
      <c r="E170" t="inlineStr">
        <is>
          <t>UPPSALA</t>
        </is>
      </c>
      <c r="F170" t="inlineStr">
        <is>
          <t>Övriga Aktiebolag</t>
        </is>
      </c>
      <c r="G170" t="n">
        <v>4.7</v>
      </c>
      <c r="H170" t="n">
        <v>0</v>
      </c>
      <c r="I170" t="n">
        <v>0</v>
      </c>
      <c r="J170" t="n">
        <v>1</v>
      </c>
      <c r="K170" t="n">
        <v>0</v>
      </c>
      <c r="L170" t="n">
        <v>0</v>
      </c>
      <c r="M170" t="n">
        <v>0</v>
      </c>
      <c r="N170" t="n">
        <v>0</v>
      </c>
      <c r="O170" t="n">
        <v>1</v>
      </c>
      <c r="P170" t="n">
        <v>0</v>
      </c>
      <c r="Q170" t="n">
        <v>1</v>
      </c>
      <c r="R170" s="2" t="inlineStr">
        <is>
          <t>Igelkott</t>
        </is>
      </c>
      <c r="S170">
        <f>HYPERLINK("https://klasma.github.io/Logging_0380/artfynd/A 61066-2023 artfynd.xlsx", "A 61066-2023")</f>
        <v/>
      </c>
      <c r="T170">
        <f>HYPERLINK("https://klasma.github.io/Logging_0380/kartor/A 61066-2023 karta.png", "A 61066-2023")</f>
        <v/>
      </c>
      <c r="V170">
        <f>HYPERLINK("https://klasma.github.io/Logging_0380/klagomål/A 61066-2023 FSC-klagomål.docx", "A 61066-2023")</f>
        <v/>
      </c>
      <c r="W170">
        <f>HYPERLINK("https://klasma.github.io/Logging_0380/klagomålsmail/A 61066-2023 FSC-klagomål mail.docx", "A 61066-2023")</f>
        <v/>
      </c>
      <c r="X170">
        <f>HYPERLINK("https://klasma.github.io/Logging_0380/tillsyn/A 61066-2023 tillsynsbegäran.docx", "A 61066-2023")</f>
        <v/>
      </c>
      <c r="Y170">
        <f>HYPERLINK("https://klasma.github.io/Logging_0380/tillsynsmail/A 61066-2023 tillsynsbegäran mail.docx", "A 61066-2023")</f>
        <v/>
      </c>
    </row>
    <row r="171" ht="15" customHeight="1">
      <c r="A171" t="inlineStr">
        <is>
          <t>A 63172-2023</t>
        </is>
      </c>
      <c r="B171" s="1" t="n">
        <v>45273</v>
      </c>
      <c r="C171" s="1" t="n">
        <v>45731</v>
      </c>
      <c r="D171" t="inlineStr">
        <is>
          <t>UPPSALA LÄN</t>
        </is>
      </c>
      <c r="E171" t="inlineStr">
        <is>
          <t>UPPSALA</t>
        </is>
      </c>
      <c r="G171" t="n">
        <v>1.8</v>
      </c>
      <c r="H171" t="n">
        <v>0</v>
      </c>
      <c r="I171" t="n">
        <v>1</v>
      </c>
      <c r="J171" t="n">
        <v>0</v>
      </c>
      <c r="K171" t="n">
        <v>0</v>
      </c>
      <c r="L171" t="n">
        <v>0</v>
      </c>
      <c r="M171" t="n">
        <v>0</v>
      </c>
      <c r="N171" t="n">
        <v>0</v>
      </c>
      <c r="O171" t="n">
        <v>0</v>
      </c>
      <c r="P171" t="n">
        <v>0</v>
      </c>
      <c r="Q171" t="n">
        <v>1</v>
      </c>
      <c r="R171" s="2" t="inlineStr">
        <is>
          <t>Ögonpyrola</t>
        </is>
      </c>
      <c r="S171">
        <f>HYPERLINK("https://klasma.github.io/Logging_0380/artfynd/A 63172-2023 artfynd.xlsx", "A 63172-2023")</f>
        <v/>
      </c>
      <c r="T171">
        <f>HYPERLINK("https://klasma.github.io/Logging_0380/kartor/A 63172-2023 karta.png", "A 63172-2023")</f>
        <v/>
      </c>
      <c r="V171">
        <f>HYPERLINK("https://klasma.github.io/Logging_0380/klagomål/A 63172-2023 FSC-klagomål.docx", "A 63172-2023")</f>
        <v/>
      </c>
      <c r="W171">
        <f>HYPERLINK("https://klasma.github.io/Logging_0380/klagomålsmail/A 63172-2023 FSC-klagomål mail.docx", "A 63172-2023")</f>
        <v/>
      </c>
      <c r="X171">
        <f>HYPERLINK("https://klasma.github.io/Logging_0380/tillsyn/A 63172-2023 tillsynsbegäran.docx", "A 63172-2023")</f>
        <v/>
      </c>
      <c r="Y171">
        <f>HYPERLINK("https://klasma.github.io/Logging_0380/tillsynsmail/A 63172-2023 tillsynsbegäran mail.docx", "A 63172-2023")</f>
        <v/>
      </c>
    </row>
    <row r="172" ht="15" customHeight="1">
      <c r="A172" t="inlineStr">
        <is>
          <t>A 584-2024</t>
        </is>
      </c>
      <c r="B172" s="1" t="n">
        <v>45299</v>
      </c>
      <c r="C172" s="1" t="n">
        <v>45731</v>
      </c>
      <c r="D172" t="inlineStr">
        <is>
          <t>UPPSALA LÄN</t>
        </is>
      </c>
      <c r="E172" t="inlineStr">
        <is>
          <t>UPPSALA</t>
        </is>
      </c>
      <c r="G172" t="n">
        <v>0.8</v>
      </c>
      <c r="H172" t="n">
        <v>1</v>
      </c>
      <c r="I172" t="n">
        <v>0</v>
      </c>
      <c r="J172" t="n">
        <v>0</v>
      </c>
      <c r="K172" t="n">
        <v>1</v>
      </c>
      <c r="L172" t="n">
        <v>0</v>
      </c>
      <c r="M172" t="n">
        <v>0</v>
      </c>
      <c r="N172" t="n">
        <v>0</v>
      </c>
      <c r="O172" t="n">
        <v>1</v>
      </c>
      <c r="P172" t="n">
        <v>1</v>
      </c>
      <c r="Q172" t="n">
        <v>1</v>
      </c>
      <c r="R172" s="2" t="inlineStr">
        <is>
          <t>Väddnätfjäril</t>
        </is>
      </c>
      <c r="S172">
        <f>HYPERLINK("https://klasma.github.io/Logging_0380/artfynd/A 584-2024 artfynd.xlsx", "A 584-2024")</f>
        <v/>
      </c>
      <c r="T172">
        <f>HYPERLINK("https://klasma.github.io/Logging_0380/kartor/A 584-2024 karta.png", "A 584-2024")</f>
        <v/>
      </c>
      <c r="V172">
        <f>HYPERLINK("https://klasma.github.io/Logging_0380/klagomål/A 584-2024 FSC-klagomål.docx", "A 584-2024")</f>
        <v/>
      </c>
      <c r="W172">
        <f>HYPERLINK("https://klasma.github.io/Logging_0380/klagomålsmail/A 584-2024 FSC-klagomål mail.docx", "A 584-2024")</f>
        <v/>
      </c>
      <c r="X172">
        <f>HYPERLINK("https://klasma.github.io/Logging_0380/tillsyn/A 584-2024 tillsynsbegäran.docx", "A 584-2024")</f>
        <v/>
      </c>
      <c r="Y172">
        <f>HYPERLINK("https://klasma.github.io/Logging_0380/tillsynsmail/A 584-2024 tillsynsbegäran mail.docx", "A 584-2024")</f>
        <v/>
      </c>
    </row>
    <row r="173" ht="15" customHeight="1">
      <c r="A173" t="inlineStr">
        <is>
          <t>A 2729-2024</t>
        </is>
      </c>
      <c r="B173" s="1" t="n">
        <v>45314</v>
      </c>
      <c r="C173" s="1" t="n">
        <v>45731</v>
      </c>
      <c r="D173" t="inlineStr">
        <is>
          <t>UPPSALA LÄN</t>
        </is>
      </c>
      <c r="E173" t="inlineStr">
        <is>
          <t>UPPSALA</t>
        </is>
      </c>
      <c r="G173" t="n">
        <v>3.3</v>
      </c>
      <c r="H173" t="n">
        <v>1</v>
      </c>
      <c r="I173" t="n">
        <v>0</v>
      </c>
      <c r="J173" t="n">
        <v>0</v>
      </c>
      <c r="K173" t="n">
        <v>0</v>
      </c>
      <c r="L173" t="n">
        <v>0</v>
      </c>
      <c r="M173" t="n">
        <v>0</v>
      </c>
      <c r="N173" t="n">
        <v>0</v>
      </c>
      <c r="O173" t="n">
        <v>0</v>
      </c>
      <c r="P173" t="n">
        <v>0</v>
      </c>
      <c r="Q173" t="n">
        <v>1</v>
      </c>
      <c r="R173" s="2" t="inlineStr">
        <is>
          <t>Revlummer</t>
        </is>
      </c>
      <c r="S173">
        <f>HYPERLINK("https://klasma.github.io/Logging_0380/artfynd/A 2729-2024 artfynd.xlsx", "A 2729-2024")</f>
        <v/>
      </c>
      <c r="T173">
        <f>HYPERLINK("https://klasma.github.io/Logging_0380/kartor/A 2729-2024 karta.png", "A 2729-2024")</f>
        <v/>
      </c>
      <c r="V173">
        <f>HYPERLINK("https://klasma.github.io/Logging_0380/klagomål/A 2729-2024 FSC-klagomål.docx", "A 2729-2024")</f>
        <v/>
      </c>
      <c r="W173">
        <f>HYPERLINK("https://klasma.github.io/Logging_0380/klagomålsmail/A 2729-2024 FSC-klagomål mail.docx", "A 2729-2024")</f>
        <v/>
      </c>
      <c r="X173">
        <f>HYPERLINK("https://klasma.github.io/Logging_0380/tillsyn/A 2729-2024 tillsynsbegäran.docx", "A 2729-2024")</f>
        <v/>
      </c>
      <c r="Y173">
        <f>HYPERLINK("https://klasma.github.io/Logging_0380/tillsynsmail/A 2729-2024 tillsynsbegäran mail.docx", "A 2729-2024")</f>
        <v/>
      </c>
    </row>
    <row r="174" ht="15" customHeight="1">
      <c r="A174" t="inlineStr">
        <is>
          <t>A 5972-2024</t>
        </is>
      </c>
      <c r="B174" s="1" t="n">
        <v>45336</v>
      </c>
      <c r="C174" s="1" t="n">
        <v>45731</v>
      </c>
      <c r="D174" t="inlineStr">
        <is>
          <t>UPPSALA LÄN</t>
        </is>
      </c>
      <c r="E174" t="inlineStr">
        <is>
          <t>UPPSALA</t>
        </is>
      </c>
      <c r="G174" t="n">
        <v>1.6</v>
      </c>
      <c r="H174" t="n">
        <v>1</v>
      </c>
      <c r="I174" t="n">
        <v>0</v>
      </c>
      <c r="J174" t="n">
        <v>0</v>
      </c>
      <c r="K174" t="n">
        <v>0</v>
      </c>
      <c r="L174" t="n">
        <v>0</v>
      </c>
      <c r="M174" t="n">
        <v>0</v>
      </c>
      <c r="N174" t="n">
        <v>0</v>
      </c>
      <c r="O174" t="n">
        <v>0</v>
      </c>
      <c r="P174" t="n">
        <v>0</v>
      </c>
      <c r="Q174" t="n">
        <v>1</v>
      </c>
      <c r="R174" s="2" t="inlineStr">
        <is>
          <t>Sparvuggla</t>
        </is>
      </c>
      <c r="S174">
        <f>HYPERLINK("https://klasma.github.io/Logging_0380/artfynd/A 5972-2024 artfynd.xlsx", "A 5972-2024")</f>
        <v/>
      </c>
      <c r="T174">
        <f>HYPERLINK("https://klasma.github.io/Logging_0380/kartor/A 5972-2024 karta.png", "A 5972-2024")</f>
        <v/>
      </c>
      <c r="V174">
        <f>HYPERLINK("https://klasma.github.io/Logging_0380/klagomål/A 5972-2024 FSC-klagomål.docx", "A 5972-2024")</f>
        <v/>
      </c>
      <c r="W174">
        <f>HYPERLINK("https://klasma.github.io/Logging_0380/klagomålsmail/A 5972-2024 FSC-klagomål mail.docx", "A 5972-2024")</f>
        <v/>
      </c>
      <c r="X174">
        <f>HYPERLINK("https://klasma.github.io/Logging_0380/tillsyn/A 5972-2024 tillsynsbegäran.docx", "A 5972-2024")</f>
        <v/>
      </c>
      <c r="Y174">
        <f>HYPERLINK("https://klasma.github.io/Logging_0380/tillsynsmail/A 5972-2024 tillsynsbegäran mail.docx", "A 5972-2024")</f>
        <v/>
      </c>
      <c r="Z174">
        <f>HYPERLINK("https://klasma.github.io/Logging_0380/fåglar/A 5972-2024 prioriterade fågelarter.docx", "A 5972-2024")</f>
        <v/>
      </c>
    </row>
    <row r="175" ht="15" customHeight="1">
      <c r="A175" t="inlineStr">
        <is>
          <t>A 6044-2024</t>
        </is>
      </c>
      <c r="B175" s="1" t="n">
        <v>45336</v>
      </c>
      <c r="C175" s="1" t="n">
        <v>45731</v>
      </c>
      <c r="D175" t="inlineStr">
        <is>
          <t>UPPSALA LÄN</t>
        </is>
      </c>
      <c r="E175" t="inlineStr">
        <is>
          <t>UPPSALA</t>
        </is>
      </c>
      <c r="F175" t="inlineStr">
        <is>
          <t>Holmen skog AB</t>
        </is>
      </c>
      <c r="G175" t="n">
        <v>7.4</v>
      </c>
      <c r="H175" t="n">
        <v>0</v>
      </c>
      <c r="I175" t="n">
        <v>0</v>
      </c>
      <c r="J175" t="n">
        <v>1</v>
      </c>
      <c r="K175" t="n">
        <v>0</v>
      </c>
      <c r="L175" t="n">
        <v>0</v>
      </c>
      <c r="M175" t="n">
        <v>0</v>
      </c>
      <c r="N175" t="n">
        <v>0</v>
      </c>
      <c r="O175" t="n">
        <v>1</v>
      </c>
      <c r="P175" t="n">
        <v>0</v>
      </c>
      <c r="Q175" t="n">
        <v>1</v>
      </c>
      <c r="R175" s="2" t="inlineStr">
        <is>
          <t>Gul dropplav</t>
        </is>
      </c>
      <c r="S175">
        <f>HYPERLINK("https://klasma.github.io/Logging_0380/artfynd/A 6044-2024 artfynd.xlsx", "A 6044-2024")</f>
        <v/>
      </c>
      <c r="T175">
        <f>HYPERLINK("https://klasma.github.io/Logging_0380/kartor/A 6044-2024 karta.png", "A 6044-2024")</f>
        <v/>
      </c>
      <c r="V175">
        <f>HYPERLINK("https://klasma.github.io/Logging_0380/klagomål/A 6044-2024 FSC-klagomål.docx", "A 6044-2024")</f>
        <v/>
      </c>
      <c r="W175">
        <f>HYPERLINK("https://klasma.github.io/Logging_0380/klagomålsmail/A 6044-2024 FSC-klagomål mail.docx", "A 6044-2024")</f>
        <v/>
      </c>
      <c r="X175">
        <f>HYPERLINK("https://klasma.github.io/Logging_0380/tillsyn/A 6044-2024 tillsynsbegäran.docx", "A 6044-2024")</f>
        <v/>
      </c>
      <c r="Y175">
        <f>HYPERLINK("https://klasma.github.io/Logging_0380/tillsynsmail/A 6044-2024 tillsynsbegäran mail.docx", "A 6044-2024")</f>
        <v/>
      </c>
    </row>
    <row r="176" ht="15" customHeight="1">
      <c r="A176" t="inlineStr">
        <is>
          <t>A 7395-2024</t>
        </is>
      </c>
      <c r="B176" s="1" t="n">
        <v>45345</v>
      </c>
      <c r="C176" s="1" t="n">
        <v>45731</v>
      </c>
      <c r="D176" t="inlineStr">
        <is>
          <t>UPPSALA LÄN</t>
        </is>
      </c>
      <c r="E176" t="inlineStr">
        <is>
          <t>UPPSALA</t>
        </is>
      </c>
      <c r="G176" t="n">
        <v>1.3</v>
      </c>
      <c r="H176" t="n">
        <v>1</v>
      </c>
      <c r="I176" t="n">
        <v>0</v>
      </c>
      <c r="J176" t="n">
        <v>0</v>
      </c>
      <c r="K176" t="n">
        <v>1</v>
      </c>
      <c r="L176" t="n">
        <v>0</v>
      </c>
      <c r="M176" t="n">
        <v>0</v>
      </c>
      <c r="N176" t="n">
        <v>0</v>
      </c>
      <c r="O176" t="n">
        <v>1</v>
      </c>
      <c r="P176" t="n">
        <v>1</v>
      </c>
      <c r="Q176" t="n">
        <v>1</v>
      </c>
      <c r="R176" s="2" t="inlineStr">
        <is>
          <t>Knärot</t>
        </is>
      </c>
      <c r="S176">
        <f>HYPERLINK("https://klasma.github.io/Logging_0380/artfynd/A 7395-2024 artfynd.xlsx", "A 7395-2024")</f>
        <v/>
      </c>
      <c r="T176">
        <f>HYPERLINK("https://klasma.github.io/Logging_0380/kartor/A 7395-2024 karta.png", "A 7395-2024")</f>
        <v/>
      </c>
      <c r="U176">
        <f>HYPERLINK("https://klasma.github.io/Logging_0380/knärot/A 7395-2024 karta knärot.png", "A 7395-2024")</f>
        <v/>
      </c>
      <c r="V176">
        <f>HYPERLINK("https://klasma.github.io/Logging_0380/klagomål/A 7395-2024 FSC-klagomål.docx", "A 7395-2024")</f>
        <v/>
      </c>
      <c r="W176">
        <f>HYPERLINK("https://klasma.github.io/Logging_0380/klagomålsmail/A 7395-2024 FSC-klagomål mail.docx", "A 7395-2024")</f>
        <v/>
      </c>
      <c r="X176">
        <f>HYPERLINK("https://klasma.github.io/Logging_0380/tillsyn/A 7395-2024 tillsynsbegäran.docx", "A 7395-2024")</f>
        <v/>
      </c>
      <c r="Y176">
        <f>HYPERLINK("https://klasma.github.io/Logging_0380/tillsynsmail/A 7395-2024 tillsynsbegäran mail.docx", "A 7395-2024")</f>
        <v/>
      </c>
    </row>
    <row r="177" ht="15" customHeight="1">
      <c r="A177" t="inlineStr">
        <is>
          <t>A 7397-2024</t>
        </is>
      </c>
      <c r="B177" s="1" t="n">
        <v>45345</v>
      </c>
      <c r="C177" s="1" t="n">
        <v>45731</v>
      </c>
      <c r="D177" t="inlineStr">
        <is>
          <t>UPPSALA LÄN</t>
        </is>
      </c>
      <c r="E177" t="inlineStr">
        <is>
          <t>UPPSALA</t>
        </is>
      </c>
      <c r="G177" t="n">
        <v>3.4</v>
      </c>
      <c r="H177" t="n">
        <v>0</v>
      </c>
      <c r="I177" t="n">
        <v>1</v>
      </c>
      <c r="J177" t="n">
        <v>0</v>
      </c>
      <c r="K177" t="n">
        <v>0</v>
      </c>
      <c r="L177" t="n">
        <v>0</v>
      </c>
      <c r="M177" t="n">
        <v>0</v>
      </c>
      <c r="N177" t="n">
        <v>0</v>
      </c>
      <c r="O177" t="n">
        <v>0</v>
      </c>
      <c r="P177" t="n">
        <v>0</v>
      </c>
      <c r="Q177" t="n">
        <v>1</v>
      </c>
      <c r="R177" s="2" t="inlineStr">
        <is>
          <t>Svavelriska</t>
        </is>
      </c>
      <c r="S177">
        <f>HYPERLINK("https://klasma.github.io/Logging_0380/artfynd/A 7397-2024 artfynd.xlsx", "A 7397-2024")</f>
        <v/>
      </c>
      <c r="T177">
        <f>HYPERLINK("https://klasma.github.io/Logging_0380/kartor/A 7397-2024 karta.png", "A 7397-2024")</f>
        <v/>
      </c>
      <c r="U177">
        <f>HYPERLINK("https://klasma.github.io/Logging_0380/knärot/A 7397-2024 karta knärot.png", "A 7397-2024")</f>
        <v/>
      </c>
      <c r="V177">
        <f>HYPERLINK("https://klasma.github.io/Logging_0380/klagomål/A 7397-2024 FSC-klagomål.docx", "A 7397-2024")</f>
        <v/>
      </c>
      <c r="W177">
        <f>HYPERLINK("https://klasma.github.io/Logging_0380/klagomålsmail/A 7397-2024 FSC-klagomål mail.docx", "A 7397-2024")</f>
        <v/>
      </c>
      <c r="X177">
        <f>HYPERLINK("https://klasma.github.io/Logging_0380/tillsyn/A 7397-2024 tillsynsbegäran.docx", "A 7397-2024")</f>
        <v/>
      </c>
      <c r="Y177">
        <f>HYPERLINK("https://klasma.github.io/Logging_0380/tillsynsmail/A 7397-2024 tillsynsbegäran mail.docx", "A 7397-2024")</f>
        <v/>
      </c>
    </row>
    <row r="178" ht="15" customHeight="1">
      <c r="A178" t="inlineStr">
        <is>
          <t>A 8398-2024</t>
        </is>
      </c>
      <c r="B178" s="1" t="n">
        <v>45352</v>
      </c>
      <c r="C178" s="1" t="n">
        <v>45731</v>
      </c>
      <c r="D178" t="inlineStr">
        <is>
          <t>UPPSALA LÄN</t>
        </is>
      </c>
      <c r="E178" t="inlineStr">
        <is>
          <t>UPPSALA</t>
        </is>
      </c>
      <c r="G178" t="n">
        <v>6.2</v>
      </c>
      <c r="H178" t="n">
        <v>1</v>
      </c>
      <c r="I178" t="n">
        <v>0</v>
      </c>
      <c r="J178" t="n">
        <v>0</v>
      </c>
      <c r="K178" t="n">
        <v>0</v>
      </c>
      <c r="L178" t="n">
        <v>0</v>
      </c>
      <c r="M178" t="n">
        <v>0</v>
      </c>
      <c r="N178" t="n">
        <v>0</v>
      </c>
      <c r="O178" t="n">
        <v>0</v>
      </c>
      <c r="P178" t="n">
        <v>0</v>
      </c>
      <c r="Q178" t="n">
        <v>1</v>
      </c>
      <c r="R178" s="2" t="inlineStr">
        <is>
          <t>Tjäder</t>
        </is>
      </c>
      <c r="S178">
        <f>HYPERLINK("https://klasma.github.io/Logging_0380/artfynd/A 8398-2024 artfynd.xlsx", "A 8398-2024")</f>
        <v/>
      </c>
      <c r="T178">
        <f>HYPERLINK("https://klasma.github.io/Logging_0380/kartor/A 8398-2024 karta.png", "A 8398-2024")</f>
        <v/>
      </c>
      <c r="V178">
        <f>HYPERLINK("https://klasma.github.io/Logging_0380/klagomål/A 8398-2024 FSC-klagomål.docx", "A 8398-2024")</f>
        <v/>
      </c>
      <c r="W178">
        <f>HYPERLINK("https://klasma.github.io/Logging_0380/klagomålsmail/A 8398-2024 FSC-klagomål mail.docx", "A 8398-2024")</f>
        <v/>
      </c>
      <c r="X178">
        <f>HYPERLINK("https://klasma.github.io/Logging_0380/tillsyn/A 8398-2024 tillsynsbegäran.docx", "A 8398-2024")</f>
        <v/>
      </c>
      <c r="Y178">
        <f>HYPERLINK("https://klasma.github.io/Logging_0380/tillsynsmail/A 8398-2024 tillsynsbegäran mail.docx", "A 8398-2024")</f>
        <v/>
      </c>
      <c r="Z178">
        <f>HYPERLINK("https://klasma.github.io/Logging_0380/fåglar/A 8398-2024 prioriterade fågelarter.docx", "A 8398-2024")</f>
        <v/>
      </c>
    </row>
    <row r="179" ht="15" customHeight="1">
      <c r="A179" t="inlineStr">
        <is>
          <t>A 9206-2024</t>
        </is>
      </c>
      <c r="B179" s="1" t="n">
        <v>45358</v>
      </c>
      <c r="C179" s="1" t="n">
        <v>45731</v>
      </c>
      <c r="D179" t="inlineStr">
        <is>
          <t>UPPSALA LÄN</t>
        </is>
      </c>
      <c r="E179" t="inlineStr">
        <is>
          <t>UPPSALA</t>
        </is>
      </c>
      <c r="F179" t="inlineStr">
        <is>
          <t>Allmännings- och besparingsskogar</t>
        </is>
      </c>
      <c r="G179" t="n">
        <v>22.2</v>
      </c>
      <c r="H179" t="n">
        <v>1</v>
      </c>
      <c r="I179" t="n">
        <v>0</v>
      </c>
      <c r="J179" t="n">
        <v>0</v>
      </c>
      <c r="K179" t="n">
        <v>1</v>
      </c>
      <c r="L179" t="n">
        <v>0</v>
      </c>
      <c r="M179" t="n">
        <v>0</v>
      </c>
      <c r="N179" t="n">
        <v>0</v>
      </c>
      <c r="O179" t="n">
        <v>1</v>
      </c>
      <c r="P179" t="n">
        <v>1</v>
      </c>
      <c r="Q179" t="n">
        <v>1</v>
      </c>
      <c r="R179" s="2" t="inlineStr">
        <is>
          <t>Knärot</t>
        </is>
      </c>
      <c r="S179">
        <f>HYPERLINK("https://klasma.github.io/Logging_0380/artfynd/A 9206-2024 artfynd.xlsx", "A 9206-2024")</f>
        <v/>
      </c>
      <c r="T179">
        <f>HYPERLINK("https://klasma.github.io/Logging_0380/kartor/A 9206-2024 karta.png", "A 9206-2024")</f>
        <v/>
      </c>
      <c r="U179">
        <f>HYPERLINK("https://klasma.github.io/Logging_0380/knärot/A 9206-2024 karta knärot.png", "A 9206-2024")</f>
        <v/>
      </c>
      <c r="V179">
        <f>HYPERLINK("https://klasma.github.io/Logging_0380/klagomål/A 9206-2024 FSC-klagomål.docx", "A 9206-2024")</f>
        <v/>
      </c>
      <c r="W179">
        <f>HYPERLINK("https://klasma.github.io/Logging_0380/klagomålsmail/A 9206-2024 FSC-klagomål mail.docx", "A 9206-2024")</f>
        <v/>
      </c>
      <c r="X179">
        <f>HYPERLINK("https://klasma.github.io/Logging_0380/tillsyn/A 9206-2024 tillsynsbegäran.docx", "A 9206-2024")</f>
        <v/>
      </c>
      <c r="Y179">
        <f>HYPERLINK("https://klasma.github.io/Logging_0380/tillsynsmail/A 9206-2024 tillsynsbegäran mail.docx", "A 9206-2024")</f>
        <v/>
      </c>
    </row>
    <row r="180" ht="15" customHeight="1">
      <c r="A180" t="inlineStr">
        <is>
          <t>A 13093-2024</t>
        </is>
      </c>
      <c r="B180" s="1" t="n">
        <v>45385</v>
      </c>
      <c r="C180" s="1" t="n">
        <v>45731</v>
      </c>
      <c r="D180" t="inlineStr">
        <is>
          <t>UPPSALA LÄN</t>
        </is>
      </c>
      <c r="E180" t="inlineStr">
        <is>
          <t>UPPSALA</t>
        </is>
      </c>
      <c r="G180" t="n">
        <v>1.1</v>
      </c>
      <c r="H180" t="n">
        <v>1</v>
      </c>
      <c r="I180" t="n">
        <v>1</v>
      </c>
      <c r="J180" t="n">
        <v>0</v>
      </c>
      <c r="K180" t="n">
        <v>0</v>
      </c>
      <c r="L180" t="n">
        <v>0</v>
      </c>
      <c r="M180" t="n">
        <v>0</v>
      </c>
      <c r="N180" t="n">
        <v>0</v>
      </c>
      <c r="O180" t="n">
        <v>0</v>
      </c>
      <c r="P180" t="n">
        <v>0</v>
      </c>
      <c r="Q180" t="n">
        <v>1</v>
      </c>
      <c r="R180" s="2" t="inlineStr">
        <is>
          <t>Skogsknipprot</t>
        </is>
      </c>
      <c r="S180">
        <f>HYPERLINK("https://klasma.github.io/Logging_0380/artfynd/A 13093-2024 artfynd.xlsx", "A 13093-2024")</f>
        <v/>
      </c>
      <c r="T180">
        <f>HYPERLINK("https://klasma.github.io/Logging_0380/kartor/A 13093-2024 karta.png", "A 13093-2024")</f>
        <v/>
      </c>
      <c r="V180">
        <f>HYPERLINK("https://klasma.github.io/Logging_0380/klagomål/A 13093-2024 FSC-klagomål.docx", "A 13093-2024")</f>
        <v/>
      </c>
      <c r="W180">
        <f>HYPERLINK("https://klasma.github.io/Logging_0380/klagomålsmail/A 13093-2024 FSC-klagomål mail.docx", "A 13093-2024")</f>
        <v/>
      </c>
      <c r="X180">
        <f>HYPERLINK("https://klasma.github.io/Logging_0380/tillsyn/A 13093-2024 tillsynsbegäran.docx", "A 13093-2024")</f>
        <v/>
      </c>
      <c r="Y180">
        <f>HYPERLINK("https://klasma.github.io/Logging_0380/tillsynsmail/A 13093-2024 tillsynsbegäran mail.docx", "A 13093-2024")</f>
        <v/>
      </c>
    </row>
    <row r="181" ht="15" customHeight="1">
      <c r="A181" t="inlineStr">
        <is>
          <t>A 13661-2024</t>
        </is>
      </c>
      <c r="B181" s="1" t="n">
        <v>45390</v>
      </c>
      <c r="C181" s="1" t="n">
        <v>45731</v>
      </c>
      <c r="D181" t="inlineStr">
        <is>
          <t>UPPSALA LÄN</t>
        </is>
      </c>
      <c r="E181" t="inlineStr">
        <is>
          <t>UPPSALA</t>
        </is>
      </c>
      <c r="F181" t="inlineStr">
        <is>
          <t>Holmen skog AB</t>
        </is>
      </c>
      <c r="G181" t="n">
        <v>3.7</v>
      </c>
      <c r="H181" t="n">
        <v>0</v>
      </c>
      <c r="I181" t="n">
        <v>0</v>
      </c>
      <c r="J181" t="n">
        <v>1</v>
      </c>
      <c r="K181" t="n">
        <v>0</v>
      </c>
      <c r="L181" t="n">
        <v>0</v>
      </c>
      <c r="M181" t="n">
        <v>0</v>
      </c>
      <c r="N181" t="n">
        <v>0</v>
      </c>
      <c r="O181" t="n">
        <v>1</v>
      </c>
      <c r="P181" t="n">
        <v>0</v>
      </c>
      <c r="Q181" t="n">
        <v>1</v>
      </c>
      <c r="R181" s="2" t="inlineStr">
        <is>
          <t>Skogsklocka</t>
        </is>
      </c>
      <c r="S181">
        <f>HYPERLINK("https://klasma.github.io/Logging_0380/artfynd/A 13661-2024 artfynd.xlsx", "A 13661-2024")</f>
        <v/>
      </c>
      <c r="T181">
        <f>HYPERLINK("https://klasma.github.io/Logging_0380/kartor/A 13661-2024 karta.png", "A 13661-2024")</f>
        <v/>
      </c>
      <c r="V181">
        <f>HYPERLINK("https://klasma.github.io/Logging_0380/klagomål/A 13661-2024 FSC-klagomål.docx", "A 13661-2024")</f>
        <v/>
      </c>
      <c r="W181">
        <f>HYPERLINK("https://klasma.github.io/Logging_0380/klagomålsmail/A 13661-2024 FSC-klagomål mail.docx", "A 13661-2024")</f>
        <v/>
      </c>
      <c r="X181">
        <f>HYPERLINK("https://klasma.github.io/Logging_0380/tillsyn/A 13661-2024 tillsynsbegäran.docx", "A 13661-2024")</f>
        <v/>
      </c>
      <c r="Y181">
        <f>HYPERLINK("https://klasma.github.io/Logging_0380/tillsynsmail/A 13661-2024 tillsynsbegäran mail.docx", "A 13661-2024")</f>
        <v/>
      </c>
    </row>
    <row r="182" ht="15" customHeight="1">
      <c r="A182" t="inlineStr">
        <is>
          <t>A 18348-2024</t>
        </is>
      </c>
      <c r="B182" s="1" t="n">
        <v>45422</v>
      </c>
      <c r="C182" s="1" t="n">
        <v>45731</v>
      </c>
      <c r="D182" t="inlineStr">
        <is>
          <t>UPPSALA LÄN</t>
        </is>
      </c>
      <c r="E182" t="inlineStr">
        <is>
          <t>UPPSALA</t>
        </is>
      </c>
      <c r="F182" t="inlineStr">
        <is>
          <t>Holmen skog AB</t>
        </is>
      </c>
      <c r="G182" t="n">
        <v>2.8</v>
      </c>
      <c r="H182" t="n">
        <v>0</v>
      </c>
      <c r="I182" t="n">
        <v>0</v>
      </c>
      <c r="J182" t="n">
        <v>1</v>
      </c>
      <c r="K182" t="n">
        <v>0</v>
      </c>
      <c r="L182" t="n">
        <v>0</v>
      </c>
      <c r="M182" t="n">
        <v>0</v>
      </c>
      <c r="N182" t="n">
        <v>0</v>
      </c>
      <c r="O182" t="n">
        <v>1</v>
      </c>
      <c r="P182" t="n">
        <v>0</v>
      </c>
      <c r="Q182" t="n">
        <v>1</v>
      </c>
      <c r="R182" s="2" t="inlineStr">
        <is>
          <t>Granticka</t>
        </is>
      </c>
      <c r="S182">
        <f>HYPERLINK("https://klasma.github.io/Logging_0380/artfynd/A 18348-2024 artfynd.xlsx", "A 18348-2024")</f>
        <v/>
      </c>
      <c r="T182">
        <f>HYPERLINK("https://klasma.github.io/Logging_0380/kartor/A 18348-2024 karta.png", "A 18348-2024")</f>
        <v/>
      </c>
      <c r="V182">
        <f>HYPERLINK("https://klasma.github.io/Logging_0380/klagomål/A 18348-2024 FSC-klagomål.docx", "A 18348-2024")</f>
        <v/>
      </c>
      <c r="W182">
        <f>HYPERLINK("https://klasma.github.io/Logging_0380/klagomålsmail/A 18348-2024 FSC-klagomål mail.docx", "A 18348-2024")</f>
        <v/>
      </c>
      <c r="X182">
        <f>HYPERLINK("https://klasma.github.io/Logging_0380/tillsyn/A 18348-2024 tillsynsbegäran.docx", "A 18348-2024")</f>
        <v/>
      </c>
      <c r="Y182">
        <f>HYPERLINK("https://klasma.github.io/Logging_0380/tillsynsmail/A 18348-2024 tillsynsbegäran mail.docx", "A 18348-2024")</f>
        <v/>
      </c>
    </row>
    <row r="183" ht="15" customHeight="1">
      <c r="A183" t="inlineStr">
        <is>
          <t>A 18509-2024</t>
        </is>
      </c>
      <c r="B183" s="1" t="n">
        <v>45425</v>
      </c>
      <c r="C183" s="1" t="n">
        <v>45731</v>
      </c>
      <c r="D183" t="inlineStr">
        <is>
          <t>UPPSALA LÄN</t>
        </is>
      </c>
      <c r="E183" t="inlineStr">
        <is>
          <t>UPPSALA</t>
        </is>
      </c>
      <c r="G183" t="n">
        <v>4</v>
      </c>
      <c r="H183" t="n">
        <v>0</v>
      </c>
      <c r="I183" t="n">
        <v>1</v>
      </c>
      <c r="J183" t="n">
        <v>0</v>
      </c>
      <c r="K183" t="n">
        <v>0</v>
      </c>
      <c r="L183" t="n">
        <v>0</v>
      </c>
      <c r="M183" t="n">
        <v>0</v>
      </c>
      <c r="N183" t="n">
        <v>0</v>
      </c>
      <c r="O183" t="n">
        <v>0</v>
      </c>
      <c r="P183" t="n">
        <v>0</v>
      </c>
      <c r="Q183" t="n">
        <v>1</v>
      </c>
      <c r="R183" s="2" t="inlineStr">
        <is>
          <t>Fällmossa</t>
        </is>
      </c>
      <c r="S183">
        <f>HYPERLINK("https://klasma.github.io/Logging_0380/artfynd/A 18509-2024 artfynd.xlsx", "A 18509-2024")</f>
        <v/>
      </c>
      <c r="T183">
        <f>HYPERLINK("https://klasma.github.io/Logging_0380/kartor/A 18509-2024 karta.png", "A 18509-2024")</f>
        <v/>
      </c>
      <c r="V183">
        <f>HYPERLINK("https://klasma.github.io/Logging_0380/klagomål/A 18509-2024 FSC-klagomål.docx", "A 18509-2024")</f>
        <v/>
      </c>
      <c r="W183">
        <f>HYPERLINK("https://klasma.github.io/Logging_0380/klagomålsmail/A 18509-2024 FSC-klagomål mail.docx", "A 18509-2024")</f>
        <v/>
      </c>
      <c r="X183">
        <f>HYPERLINK("https://klasma.github.io/Logging_0380/tillsyn/A 18509-2024 tillsynsbegäran.docx", "A 18509-2024")</f>
        <v/>
      </c>
      <c r="Y183">
        <f>HYPERLINK("https://klasma.github.io/Logging_0380/tillsynsmail/A 18509-2024 tillsynsbegäran mail.docx", "A 18509-2024")</f>
        <v/>
      </c>
    </row>
    <row r="184" ht="15" customHeight="1">
      <c r="A184" t="inlineStr">
        <is>
          <t>A 21671-2024</t>
        </is>
      </c>
      <c r="B184" s="1" t="n">
        <v>45442</v>
      </c>
      <c r="C184" s="1" t="n">
        <v>45731</v>
      </c>
      <c r="D184" t="inlineStr">
        <is>
          <t>UPPSALA LÄN</t>
        </is>
      </c>
      <c r="E184" t="inlineStr">
        <is>
          <t>UPPSALA</t>
        </is>
      </c>
      <c r="G184" t="n">
        <v>3.7</v>
      </c>
      <c r="H184" t="n">
        <v>1</v>
      </c>
      <c r="I184" t="n">
        <v>0</v>
      </c>
      <c r="J184" t="n">
        <v>0</v>
      </c>
      <c r="K184" t="n">
        <v>1</v>
      </c>
      <c r="L184" t="n">
        <v>0</v>
      </c>
      <c r="M184" t="n">
        <v>0</v>
      </c>
      <c r="N184" t="n">
        <v>0</v>
      </c>
      <c r="O184" t="n">
        <v>1</v>
      </c>
      <c r="P184" t="n">
        <v>1</v>
      </c>
      <c r="Q184" t="n">
        <v>1</v>
      </c>
      <c r="R184" s="2" t="inlineStr">
        <is>
          <t>Knärot</t>
        </is>
      </c>
      <c r="S184">
        <f>HYPERLINK("https://klasma.github.io/Logging_0380/artfynd/A 21671-2024 artfynd.xlsx", "A 21671-2024")</f>
        <v/>
      </c>
      <c r="T184">
        <f>HYPERLINK("https://klasma.github.io/Logging_0380/kartor/A 21671-2024 karta.png", "A 21671-2024")</f>
        <v/>
      </c>
      <c r="U184">
        <f>HYPERLINK("https://klasma.github.io/Logging_0380/knärot/A 21671-2024 karta knärot.png", "A 21671-2024")</f>
        <v/>
      </c>
      <c r="V184">
        <f>HYPERLINK("https://klasma.github.io/Logging_0380/klagomål/A 21671-2024 FSC-klagomål.docx", "A 21671-2024")</f>
        <v/>
      </c>
      <c r="W184">
        <f>HYPERLINK("https://klasma.github.io/Logging_0380/klagomålsmail/A 21671-2024 FSC-klagomål mail.docx", "A 21671-2024")</f>
        <v/>
      </c>
      <c r="X184">
        <f>HYPERLINK("https://klasma.github.io/Logging_0380/tillsyn/A 21671-2024 tillsynsbegäran.docx", "A 21671-2024")</f>
        <v/>
      </c>
      <c r="Y184">
        <f>HYPERLINK("https://klasma.github.io/Logging_0380/tillsynsmail/A 21671-2024 tillsynsbegäran mail.docx", "A 21671-2024")</f>
        <v/>
      </c>
    </row>
    <row r="185" ht="15" customHeight="1">
      <c r="A185" t="inlineStr">
        <is>
          <t>A 23321-2024</t>
        </is>
      </c>
      <c r="B185" s="1" t="n">
        <v>45453</v>
      </c>
      <c r="C185" s="1" t="n">
        <v>45731</v>
      </c>
      <c r="D185" t="inlineStr">
        <is>
          <t>UPPSALA LÄN</t>
        </is>
      </c>
      <c r="E185" t="inlineStr">
        <is>
          <t>UPPSALA</t>
        </is>
      </c>
      <c r="G185" t="n">
        <v>11.8</v>
      </c>
      <c r="H185" t="n">
        <v>1</v>
      </c>
      <c r="I185" t="n">
        <v>0</v>
      </c>
      <c r="J185" t="n">
        <v>1</v>
      </c>
      <c r="K185" t="n">
        <v>0</v>
      </c>
      <c r="L185" t="n">
        <v>0</v>
      </c>
      <c r="M185" t="n">
        <v>0</v>
      </c>
      <c r="N185" t="n">
        <v>0</v>
      </c>
      <c r="O185" t="n">
        <v>1</v>
      </c>
      <c r="P185" t="n">
        <v>0</v>
      </c>
      <c r="Q185" t="n">
        <v>1</v>
      </c>
      <c r="R185" s="2" t="inlineStr">
        <is>
          <t>Talltita</t>
        </is>
      </c>
      <c r="S185">
        <f>HYPERLINK("https://klasma.github.io/Logging_0380/artfynd/A 23321-2024 artfynd.xlsx", "A 23321-2024")</f>
        <v/>
      </c>
      <c r="T185">
        <f>HYPERLINK("https://klasma.github.io/Logging_0380/kartor/A 23321-2024 karta.png", "A 23321-2024")</f>
        <v/>
      </c>
      <c r="U185">
        <f>HYPERLINK("https://klasma.github.io/Logging_0380/knärot/A 23321-2024 karta knärot.png", "A 23321-2024")</f>
        <v/>
      </c>
      <c r="V185">
        <f>HYPERLINK("https://klasma.github.io/Logging_0380/klagomål/A 23321-2024 FSC-klagomål.docx", "A 23321-2024")</f>
        <v/>
      </c>
      <c r="W185">
        <f>HYPERLINK("https://klasma.github.io/Logging_0380/klagomålsmail/A 23321-2024 FSC-klagomål mail.docx", "A 23321-2024")</f>
        <v/>
      </c>
      <c r="X185">
        <f>HYPERLINK("https://klasma.github.io/Logging_0380/tillsyn/A 23321-2024 tillsynsbegäran.docx", "A 23321-2024")</f>
        <v/>
      </c>
      <c r="Y185">
        <f>HYPERLINK("https://klasma.github.io/Logging_0380/tillsynsmail/A 23321-2024 tillsynsbegäran mail.docx", "A 23321-2024")</f>
        <v/>
      </c>
      <c r="Z185">
        <f>HYPERLINK("https://klasma.github.io/Logging_0380/fåglar/A 23321-2024 prioriterade fågelarter.docx", "A 23321-2024")</f>
        <v/>
      </c>
    </row>
    <row r="186" ht="15" customHeight="1">
      <c r="A186" t="inlineStr">
        <is>
          <t>A 25482-2024</t>
        </is>
      </c>
      <c r="B186" s="1" t="n">
        <v>45463</v>
      </c>
      <c r="C186" s="1" t="n">
        <v>45731</v>
      </c>
      <c r="D186" t="inlineStr">
        <is>
          <t>UPPSALA LÄN</t>
        </is>
      </c>
      <c r="E186" t="inlineStr">
        <is>
          <t>UPPSALA</t>
        </is>
      </c>
      <c r="F186" t="inlineStr">
        <is>
          <t>Övriga Aktiebolag</t>
        </is>
      </c>
      <c r="G186" t="n">
        <v>1</v>
      </c>
      <c r="H186" t="n">
        <v>0</v>
      </c>
      <c r="I186" t="n">
        <v>1</v>
      </c>
      <c r="J186" t="n">
        <v>0</v>
      </c>
      <c r="K186" t="n">
        <v>0</v>
      </c>
      <c r="L186" t="n">
        <v>0</v>
      </c>
      <c r="M186" t="n">
        <v>0</v>
      </c>
      <c r="N186" t="n">
        <v>0</v>
      </c>
      <c r="O186" t="n">
        <v>0</v>
      </c>
      <c r="P186" t="n">
        <v>0</v>
      </c>
      <c r="Q186" t="n">
        <v>1</v>
      </c>
      <c r="R186" s="2" t="inlineStr">
        <is>
          <t>Stor aspticka</t>
        </is>
      </c>
      <c r="S186">
        <f>HYPERLINK("https://klasma.github.io/Logging_0380/artfynd/A 25482-2024 artfynd.xlsx", "A 25482-2024")</f>
        <v/>
      </c>
      <c r="T186">
        <f>HYPERLINK("https://klasma.github.io/Logging_0380/kartor/A 25482-2024 karta.png", "A 25482-2024")</f>
        <v/>
      </c>
      <c r="V186">
        <f>HYPERLINK("https://klasma.github.io/Logging_0380/klagomål/A 25482-2024 FSC-klagomål.docx", "A 25482-2024")</f>
        <v/>
      </c>
      <c r="W186">
        <f>HYPERLINK("https://klasma.github.io/Logging_0380/klagomålsmail/A 25482-2024 FSC-klagomål mail.docx", "A 25482-2024")</f>
        <v/>
      </c>
      <c r="X186">
        <f>HYPERLINK("https://klasma.github.io/Logging_0380/tillsyn/A 25482-2024 tillsynsbegäran.docx", "A 25482-2024")</f>
        <v/>
      </c>
      <c r="Y186">
        <f>HYPERLINK("https://klasma.github.io/Logging_0380/tillsynsmail/A 25482-2024 tillsynsbegäran mail.docx", "A 25482-2024")</f>
        <v/>
      </c>
    </row>
    <row r="187" ht="15" customHeight="1">
      <c r="A187" t="inlineStr">
        <is>
          <t>A 25729-2024</t>
        </is>
      </c>
      <c r="B187" s="1" t="n">
        <v>45464</v>
      </c>
      <c r="C187" s="1" t="n">
        <v>45731</v>
      </c>
      <c r="D187" t="inlineStr">
        <is>
          <t>UPPSALA LÄN</t>
        </is>
      </c>
      <c r="E187" t="inlineStr">
        <is>
          <t>UPPSALA</t>
        </is>
      </c>
      <c r="G187" t="n">
        <v>22.3</v>
      </c>
      <c r="H187" t="n">
        <v>0</v>
      </c>
      <c r="I187" t="n">
        <v>0</v>
      </c>
      <c r="J187" t="n">
        <v>1</v>
      </c>
      <c r="K187" t="n">
        <v>0</v>
      </c>
      <c r="L187" t="n">
        <v>0</v>
      </c>
      <c r="M187" t="n">
        <v>0</v>
      </c>
      <c r="N187" t="n">
        <v>0</v>
      </c>
      <c r="O187" t="n">
        <v>1</v>
      </c>
      <c r="P187" t="n">
        <v>0</v>
      </c>
      <c r="Q187" t="n">
        <v>1</v>
      </c>
      <c r="R187" s="2" t="inlineStr">
        <is>
          <t>Ullticka</t>
        </is>
      </c>
      <c r="S187">
        <f>HYPERLINK("https://klasma.github.io/Logging_0380/artfynd/A 25729-2024 artfynd.xlsx", "A 25729-2024")</f>
        <v/>
      </c>
      <c r="T187">
        <f>HYPERLINK("https://klasma.github.io/Logging_0380/kartor/A 25729-2024 karta.png", "A 25729-2024")</f>
        <v/>
      </c>
      <c r="V187">
        <f>HYPERLINK("https://klasma.github.io/Logging_0380/klagomål/A 25729-2024 FSC-klagomål.docx", "A 25729-2024")</f>
        <v/>
      </c>
      <c r="W187">
        <f>HYPERLINK("https://klasma.github.io/Logging_0380/klagomålsmail/A 25729-2024 FSC-klagomål mail.docx", "A 25729-2024")</f>
        <v/>
      </c>
      <c r="X187">
        <f>HYPERLINK("https://klasma.github.io/Logging_0380/tillsyn/A 25729-2024 tillsynsbegäran.docx", "A 25729-2024")</f>
        <v/>
      </c>
      <c r="Y187">
        <f>HYPERLINK("https://klasma.github.io/Logging_0380/tillsynsmail/A 25729-2024 tillsynsbegäran mail.docx", "A 25729-2024")</f>
        <v/>
      </c>
    </row>
    <row r="188" ht="15" customHeight="1">
      <c r="A188" t="inlineStr">
        <is>
          <t>A 29139-2024</t>
        </is>
      </c>
      <c r="B188" s="1" t="n">
        <v>45482</v>
      </c>
      <c r="C188" s="1" t="n">
        <v>45731</v>
      </c>
      <c r="D188" t="inlineStr">
        <is>
          <t>UPPSALA LÄN</t>
        </is>
      </c>
      <c r="E188" t="inlineStr">
        <is>
          <t>UPPSALA</t>
        </is>
      </c>
      <c r="F188" t="inlineStr">
        <is>
          <t>Allmännings- och besparingsskogar</t>
        </is>
      </c>
      <c r="G188" t="n">
        <v>26.4</v>
      </c>
      <c r="H188" t="n">
        <v>0</v>
      </c>
      <c r="I188" t="n">
        <v>0</v>
      </c>
      <c r="J188" t="n">
        <v>1</v>
      </c>
      <c r="K188" t="n">
        <v>0</v>
      </c>
      <c r="L188" t="n">
        <v>0</v>
      </c>
      <c r="M188" t="n">
        <v>0</v>
      </c>
      <c r="N188" t="n">
        <v>0</v>
      </c>
      <c r="O188" t="n">
        <v>1</v>
      </c>
      <c r="P188" t="n">
        <v>0</v>
      </c>
      <c r="Q188" t="n">
        <v>1</v>
      </c>
      <c r="R188" s="2" t="inlineStr">
        <is>
          <t>Granskugglöpare</t>
        </is>
      </c>
      <c r="S188">
        <f>HYPERLINK("https://klasma.github.io/Logging_0380/artfynd/A 29139-2024 artfynd.xlsx", "A 29139-2024")</f>
        <v/>
      </c>
      <c r="T188">
        <f>HYPERLINK("https://klasma.github.io/Logging_0380/kartor/A 29139-2024 karta.png", "A 29139-2024")</f>
        <v/>
      </c>
      <c r="V188">
        <f>HYPERLINK("https://klasma.github.io/Logging_0380/klagomål/A 29139-2024 FSC-klagomål.docx", "A 29139-2024")</f>
        <v/>
      </c>
      <c r="W188">
        <f>HYPERLINK("https://klasma.github.io/Logging_0380/klagomålsmail/A 29139-2024 FSC-klagomål mail.docx", "A 29139-2024")</f>
        <v/>
      </c>
      <c r="X188">
        <f>HYPERLINK("https://klasma.github.io/Logging_0380/tillsyn/A 29139-2024 tillsynsbegäran.docx", "A 29139-2024")</f>
        <v/>
      </c>
      <c r="Y188">
        <f>HYPERLINK("https://klasma.github.io/Logging_0380/tillsynsmail/A 29139-2024 tillsynsbegäran mail.docx", "A 29139-2024")</f>
        <v/>
      </c>
    </row>
    <row r="189" ht="15" customHeight="1">
      <c r="A189" t="inlineStr">
        <is>
          <t>A 34159-2024</t>
        </is>
      </c>
      <c r="B189" s="1" t="n">
        <v>45524</v>
      </c>
      <c r="C189" s="1" t="n">
        <v>45731</v>
      </c>
      <c r="D189" t="inlineStr">
        <is>
          <t>UPPSALA LÄN</t>
        </is>
      </c>
      <c r="E189" t="inlineStr">
        <is>
          <t>UPPSALA</t>
        </is>
      </c>
      <c r="G189" t="n">
        <v>3.7</v>
      </c>
      <c r="H189" t="n">
        <v>0</v>
      </c>
      <c r="I189" t="n">
        <v>1</v>
      </c>
      <c r="J189" t="n">
        <v>0</v>
      </c>
      <c r="K189" t="n">
        <v>0</v>
      </c>
      <c r="L189" t="n">
        <v>0</v>
      </c>
      <c r="M189" t="n">
        <v>0</v>
      </c>
      <c r="N189" t="n">
        <v>0</v>
      </c>
      <c r="O189" t="n">
        <v>0</v>
      </c>
      <c r="P189" t="n">
        <v>0</v>
      </c>
      <c r="Q189" t="n">
        <v>1</v>
      </c>
      <c r="R189" s="2" t="inlineStr">
        <is>
          <t>Granbarkgnagare</t>
        </is>
      </c>
      <c r="S189">
        <f>HYPERLINK("https://klasma.github.io/Logging_0380/artfynd/A 34159-2024 artfynd.xlsx", "A 34159-2024")</f>
        <v/>
      </c>
      <c r="T189">
        <f>HYPERLINK("https://klasma.github.io/Logging_0380/kartor/A 34159-2024 karta.png", "A 34159-2024")</f>
        <v/>
      </c>
      <c r="V189">
        <f>HYPERLINK("https://klasma.github.io/Logging_0380/klagomål/A 34159-2024 FSC-klagomål.docx", "A 34159-2024")</f>
        <v/>
      </c>
      <c r="W189">
        <f>HYPERLINK("https://klasma.github.io/Logging_0380/klagomålsmail/A 34159-2024 FSC-klagomål mail.docx", "A 34159-2024")</f>
        <v/>
      </c>
      <c r="X189">
        <f>HYPERLINK("https://klasma.github.io/Logging_0380/tillsyn/A 34159-2024 tillsynsbegäran.docx", "A 34159-2024")</f>
        <v/>
      </c>
      <c r="Y189">
        <f>HYPERLINK("https://klasma.github.io/Logging_0380/tillsynsmail/A 34159-2024 tillsynsbegäran mail.docx", "A 34159-2024")</f>
        <v/>
      </c>
    </row>
    <row r="190" ht="15" customHeight="1">
      <c r="A190" t="inlineStr">
        <is>
          <t>A 37563-2024</t>
        </is>
      </c>
      <c r="B190" s="1" t="n">
        <v>45541</v>
      </c>
      <c r="C190" s="1" t="n">
        <v>45731</v>
      </c>
      <c r="D190" t="inlineStr">
        <is>
          <t>UPPSALA LÄN</t>
        </is>
      </c>
      <c r="E190" t="inlineStr">
        <is>
          <t>UPPSALA</t>
        </is>
      </c>
      <c r="F190" t="inlineStr">
        <is>
          <t>Övriga Aktiebolag</t>
        </is>
      </c>
      <c r="G190" t="n">
        <v>6.1</v>
      </c>
      <c r="H190" t="n">
        <v>0</v>
      </c>
      <c r="I190" t="n">
        <v>0</v>
      </c>
      <c r="J190" t="n">
        <v>1</v>
      </c>
      <c r="K190" t="n">
        <v>0</v>
      </c>
      <c r="L190" t="n">
        <v>0</v>
      </c>
      <c r="M190" t="n">
        <v>0</v>
      </c>
      <c r="N190" t="n">
        <v>0</v>
      </c>
      <c r="O190" t="n">
        <v>1</v>
      </c>
      <c r="P190" t="n">
        <v>0</v>
      </c>
      <c r="Q190" t="n">
        <v>1</v>
      </c>
      <c r="R190" s="2" t="inlineStr">
        <is>
          <t>Skogshare</t>
        </is>
      </c>
      <c r="S190">
        <f>HYPERLINK("https://klasma.github.io/Logging_0380/artfynd/A 37563-2024 artfynd.xlsx", "A 37563-2024")</f>
        <v/>
      </c>
      <c r="T190">
        <f>HYPERLINK("https://klasma.github.io/Logging_0380/kartor/A 37563-2024 karta.png", "A 37563-2024")</f>
        <v/>
      </c>
      <c r="V190">
        <f>HYPERLINK("https://klasma.github.io/Logging_0380/klagomål/A 37563-2024 FSC-klagomål.docx", "A 37563-2024")</f>
        <v/>
      </c>
      <c r="W190">
        <f>HYPERLINK("https://klasma.github.io/Logging_0380/klagomålsmail/A 37563-2024 FSC-klagomål mail.docx", "A 37563-2024")</f>
        <v/>
      </c>
      <c r="X190">
        <f>HYPERLINK("https://klasma.github.io/Logging_0380/tillsyn/A 37563-2024 tillsynsbegäran.docx", "A 37563-2024")</f>
        <v/>
      </c>
      <c r="Y190">
        <f>HYPERLINK("https://klasma.github.io/Logging_0380/tillsynsmail/A 37563-2024 tillsynsbegäran mail.docx", "A 37563-2024")</f>
        <v/>
      </c>
    </row>
    <row r="191" ht="15" customHeight="1">
      <c r="A191" t="inlineStr">
        <is>
          <t>A 42787-2024</t>
        </is>
      </c>
      <c r="B191" s="1" t="n">
        <v>45566</v>
      </c>
      <c r="C191" s="1" t="n">
        <v>45731</v>
      </c>
      <c r="D191" t="inlineStr">
        <is>
          <t>UPPSALA LÄN</t>
        </is>
      </c>
      <c r="E191" t="inlineStr">
        <is>
          <t>UPPSALA</t>
        </is>
      </c>
      <c r="G191" t="n">
        <v>3.2</v>
      </c>
      <c r="H191" t="n">
        <v>1</v>
      </c>
      <c r="I191" t="n">
        <v>0</v>
      </c>
      <c r="J191" t="n">
        <v>0</v>
      </c>
      <c r="K191" t="n">
        <v>0</v>
      </c>
      <c r="L191" t="n">
        <v>0</v>
      </c>
      <c r="M191" t="n">
        <v>0</v>
      </c>
      <c r="N191" t="n">
        <v>0</v>
      </c>
      <c r="O191" t="n">
        <v>0</v>
      </c>
      <c r="P191" t="n">
        <v>0</v>
      </c>
      <c r="Q191" t="n">
        <v>1</v>
      </c>
      <c r="R191" s="2" t="inlineStr">
        <is>
          <t>Mattlummer</t>
        </is>
      </c>
      <c r="S191">
        <f>HYPERLINK("https://klasma.github.io/Logging_0380/artfynd/A 42787-2024 artfynd.xlsx", "A 42787-2024")</f>
        <v/>
      </c>
      <c r="T191">
        <f>HYPERLINK("https://klasma.github.io/Logging_0380/kartor/A 42787-2024 karta.png", "A 42787-2024")</f>
        <v/>
      </c>
      <c r="V191">
        <f>HYPERLINK("https://klasma.github.io/Logging_0380/klagomål/A 42787-2024 FSC-klagomål.docx", "A 42787-2024")</f>
        <v/>
      </c>
      <c r="W191">
        <f>HYPERLINK("https://klasma.github.io/Logging_0380/klagomålsmail/A 42787-2024 FSC-klagomål mail.docx", "A 42787-2024")</f>
        <v/>
      </c>
      <c r="X191">
        <f>HYPERLINK("https://klasma.github.io/Logging_0380/tillsyn/A 42787-2024 tillsynsbegäran.docx", "A 42787-2024")</f>
        <v/>
      </c>
      <c r="Y191">
        <f>HYPERLINK("https://klasma.github.io/Logging_0380/tillsynsmail/A 42787-2024 tillsynsbegäran mail.docx", "A 42787-2024")</f>
        <v/>
      </c>
    </row>
    <row r="192" ht="15" customHeight="1">
      <c r="A192" t="inlineStr">
        <is>
          <t>A 54144-2024</t>
        </is>
      </c>
      <c r="B192" s="1" t="n">
        <v>45616</v>
      </c>
      <c r="C192" s="1" t="n">
        <v>45731</v>
      </c>
      <c r="D192" t="inlineStr">
        <is>
          <t>UPPSALA LÄN</t>
        </is>
      </c>
      <c r="E192" t="inlineStr">
        <is>
          <t>UPPSALA</t>
        </is>
      </c>
      <c r="G192" t="n">
        <v>3.2</v>
      </c>
      <c r="H192" t="n">
        <v>0</v>
      </c>
      <c r="I192" t="n">
        <v>1</v>
      </c>
      <c r="J192" t="n">
        <v>0</v>
      </c>
      <c r="K192" t="n">
        <v>0</v>
      </c>
      <c r="L192" t="n">
        <v>0</v>
      </c>
      <c r="M192" t="n">
        <v>0</v>
      </c>
      <c r="N192" t="n">
        <v>0</v>
      </c>
      <c r="O192" t="n">
        <v>0</v>
      </c>
      <c r="P192" t="n">
        <v>0</v>
      </c>
      <c r="Q192" t="n">
        <v>1</v>
      </c>
      <c r="R192" s="2" t="inlineStr">
        <is>
          <t>Svavelriska</t>
        </is>
      </c>
      <c r="S192">
        <f>HYPERLINK("https://klasma.github.io/Logging_0380/artfynd/A 54144-2024 artfynd.xlsx", "A 54144-2024")</f>
        <v/>
      </c>
      <c r="T192">
        <f>HYPERLINK("https://klasma.github.io/Logging_0380/kartor/A 54144-2024 karta.png", "A 54144-2024")</f>
        <v/>
      </c>
      <c r="V192">
        <f>HYPERLINK("https://klasma.github.io/Logging_0380/klagomål/A 54144-2024 FSC-klagomål.docx", "A 54144-2024")</f>
        <v/>
      </c>
      <c r="W192">
        <f>HYPERLINK("https://klasma.github.io/Logging_0380/klagomålsmail/A 54144-2024 FSC-klagomål mail.docx", "A 54144-2024")</f>
        <v/>
      </c>
      <c r="X192">
        <f>HYPERLINK("https://klasma.github.io/Logging_0380/tillsyn/A 54144-2024 tillsynsbegäran.docx", "A 54144-2024")</f>
        <v/>
      </c>
      <c r="Y192">
        <f>HYPERLINK("https://klasma.github.io/Logging_0380/tillsynsmail/A 54144-2024 tillsynsbegäran mail.docx", "A 54144-2024")</f>
        <v/>
      </c>
    </row>
    <row r="193" ht="15" customHeight="1">
      <c r="A193" t="inlineStr">
        <is>
          <t>A 59588-2024</t>
        </is>
      </c>
      <c r="B193" s="1" t="n">
        <v>45638</v>
      </c>
      <c r="C193" s="1" t="n">
        <v>45731</v>
      </c>
      <c r="D193" t="inlineStr">
        <is>
          <t>UPPSALA LÄN</t>
        </is>
      </c>
      <c r="E193" t="inlineStr">
        <is>
          <t>UPPSALA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HYPERLINK("https://klasma.github.io/Logging_0380/artfynd/A 59588-2024 artfynd.xlsx", "A 59588-2024")</f>
        <v/>
      </c>
      <c r="T193">
        <f>HYPERLINK("https://klasma.github.io/Logging_0380/kartor/A 59588-2024 karta.png", "A 59588-2024")</f>
        <v/>
      </c>
      <c r="U193">
        <f>HYPERLINK("https://klasma.github.io/Logging_0380/knärot/A 59588-2024 karta knärot.png", "A 59588-2024")</f>
        <v/>
      </c>
      <c r="V193">
        <f>HYPERLINK("https://klasma.github.io/Logging_0380/klagomål/A 59588-2024 FSC-klagomål.docx", "A 59588-2024")</f>
        <v/>
      </c>
      <c r="W193">
        <f>HYPERLINK("https://klasma.github.io/Logging_0380/klagomålsmail/A 59588-2024 FSC-klagomål mail.docx", "A 59588-2024")</f>
        <v/>
      </c>
      <c r="X193">
        <f>HYPERLINK("https://klasma.github.io/Logging_0380/tillsyn/A 59588-2024 tillsynsbegäran.docx", "A 59588-2024")</f>
        <v/>
      </c>
      <c r="Y193">
        <f>HYPERLINK("https://klasma.github.io/Logging_0380/tillsynsmail/A 59588-2024 tillsynsbegäran mail.docx", "A 59588-2024")</f>
        <v/>
      </c>
    </row>
    <row r="194" ht="15" customHeight="1">
      <c r="A194" t="inlineStr">
        <is>
          <t>A 3304-2025</t>
        </is>
      </c>
      <c r="B194" s="1" t="n">
        <v>45679</v>
      </c>
      <c r="C194" s="1" t="n">
        <v>45731</v>
      </c>
      <c r="D194" t="inlineStr">
        <is>
          <t>UPPSALA LÄN</t>
        </is>
      </c>
      <c r="E194" t="inlineStr">
        <is>
          <t>UPPSALA</t>
        </is>
      </c>
      <c r="F194" t="inlineStr">
        <is>
          <t>Övriga statliga verk och myndigheter</t>
        </is>
      </c>
      <c r="G194" t="n">
        <v>3.8</v>
      </c>
      <c r="H194" t="n">
        <v>1</v>
      </c>
      <c r="I194" t="n">
        <v>0</v>
      </c>
      <c r="J194" t="n">
        <v>0</v>
      </c>
      <c r="K194" t="n">
        <v>0</v>
      </c>
      <c r="L194" t="n">
        <v>0</v>
      </c>
      <c r="M194" t="n">
        <v>0</v>
      </c>
      <c r="N194" t="n">
        <v>0</v>
      </c>
      <c r="O194" t="n">
        <v>0</v>
      </c>
      <c r="P194" t="n">
        <v>0</v>
      </c>
      <c r="Q194" t="n">
        <v>1</v>
      </c>
      <c r="R194" s="2" t="inlineStr">
        <is>
          <t>Blåsippa</t>
        </is>
      </c>
      <c r="S194">
        <f>HYPERLINK("https://klasma.github.io/Logging_0380/artfynd/A 3304-2025 artfynd.xlsx", "A 3304-2025")</f>
        <v/>
      </c>
      <c r="T194">
        <f>HYPERLINK("https://klasma.github.io/Logging_0380/kartor/A 3304-2025 karta.png", "A 3304-2025")</f>
        <v/>
      </c>
      <c r="V194">
        <f>HYPERLINK("https://klasma.github.io/Logging_0380/klagomål/A 3304-2025 FSC-klagomål.docx", "A 3304-2025")</f>
        <v/>
      </c>
      <c r="W194">
        <f>HYPERLINK("https://klasma.github.io/Logging_0380/klagomålsmail/A 3304-2025 FSC-klagomål mail.docx", "A 3304-2025")</f>
        <v/>
      </c>
      <c r="X194">
        <f>HYPERLINK("https://klasma.github.io/Logging_0380/tillsyn/A 3304-2025 tillsynsbegäran.docx", "A 3304-2025")</f>
        <v/>
      </c>
      <c r="Y194">
        <f>HYPERLINK("https://klasma.github.io/Logging_0380/tillsynsmail/A 3304-2025 tillsynsbegäran mail.docx", "A 3304-2025")</f>
        <v/>
      </c>
    </row>
    <row r="195" ht="15" customHeight="1">
      <c r="A195" t="inlineStr">
        <is>
          <t>A 4657-2025</t>
        </is>
      </c>
      <c r="B195" s="1" t="n">
        <v>45687</v>
      </c>
      <c r="C195" s="1" t="n">
        <v>45731</v>
      </c>
      <c r="D195" t="inlineStr">
        <is>
          <t>UPPSALA LÄN</t>
        </is>
      </c>
      <c r="E195" t="inlineStr">
        <is>
          <t>UPPSALA</t>
        </is>
      </c>
      <c r="G195" t="n">
        <v>2.9</v>
      </c>
      <c r="H195" t="n">
        <v>1</v>
      </c>
      <c r="I195" t="n">
        <v>0</v>
      </c>
      <c r="J195" t="n">
        <v>1</v>
      </c>
      <c r="K195" t="n">
        <v>0</v>
      </c>
      <c r="L195" t="n">
        <v>0</v>
      </c>
      <c r="M195" t="n">
        <v>0</v>
      </c>
      <c r="N195" t="n">
        <v>0</v>
      </c>
      <c r="O195" t="n">
        <v>1</v>
      </c>
      <c r="P195" t="n">
        <v>0</v>
      </c>
      <c r="Q195" t="n">
        <v>1</v>
      </c>
      <c r="R195" s="2" t="inlineStr">
        <is>
          <t>Grönsångare</t>
        </is>
      </c>
      <c r="S195">
        <f>HYPERLINK("https://klasma.github.io/Logging_0380/artfynd/A 4657-2025 artfynd.xlsx", "A 4657-2025")</f>
        <v/>
      </c>
      <c r="T195">
        <f>HYPERLINK("https://klasma.github.io/Logging_0380/kartor/A 4657-2025 karta.png", "A 4657-2025")</f>
        <v/>
      </c>
      <c r="V195">
        <f>HYPERLINK("https://klasma.github.io/Logging_0380/klagomål/A 4657-2025 FSC-klagomål.docx", "A 4657-2025")</f>
        <v/>
      </c>
      <c r="W195">
        <f>HYPERLINK("https://klasma.github.io/Logging_0380/klagomålsmail/A 4657-2025 FSC-klagomål mail.docx", "A 4657-2025")</f>
        <v/>
      </c>
      <c r="X195">
        <f>HYPERLINK("https://klasma.github.io/Logging_0380/tillsyn/A 4657-2025 tillsynsbegäran.docx", "A 4657-2025")</f>
        <v/>
      </c>
      <c r="Y195">
        <f>HYPERLINK("https://klasma.github.io/Logging_0380/tillsynsmail/A 4657-2025 tillsynsbegäran mail.docx", "A 4657-2025")</f>
        <v/>
      </c>
      <c r="Z195">
        <f>HYPERLINK("https://klasma.github.io/Logging_0380/fåglar/A 4657-2025 prioriterade fågelarter.docx", "A 4657-2025")</f>
        <v/>
      </c>
    </row>
    <row r="196" ht="15" customHeight="1">
      <c r="A196" t="inlineStr">
        <is>
          <t>A 5619-2025</t>
        </is>
      </c>
      <c r="B196" s="1" t="n">
        <v>45693</v>
      </c>
      <c r="C196" s="1" t="n">
        <v>45731</v>
      </c>
      <c r="D196" t="inlineStr">
        <is>
          <t>UPPSALA LÄN</t>
        </is>
      </c>
      <c r="E196" t="inlineStr">
        <is>
          <t>UPPSALA</t>
        </is>
      </c>
      <c r="G196" t="n">
        <v>6.8</v>
      </c>
      <c r="H196" t="n">
        <v>1</v>
      </c>
      <c r="I196" t="n">
        <v>0</v>
      </c>
      <c r="J196" t="n">
        <v>1</v>
      </c>
      <c r="K196" t="n">
        <v>0</v>
      </c>
      <c r="L196" t="n">
        <v>0</v>
      </c>
      <c r="M196" t="n">
        <v>0</v>
      </c>
      <c r="N196" t="n">
        <v>0</v>
      </c>
      <c r="O196" t="n">
        <v>1</v>
      </c>
      <c r="P196" t="n">
        <v>0</v>
      </c>
      <c r="Q196" t="n">
        <v>1</v>
      </c>
      <c r="R196" s="2" t="inlineStr">
        <is>
          <t>Spillkråka</t>
        </is>
      </c>
      <c r="S196">
        <f>HYPERLINK("https://klasma.github.io/Logging_0380/artfynd/A 5619-2025 artfynd.xlsx", "A 5619-2025")</f>
        <v/>
      </c>
      <c r="T196">
        <f>HYPERLINK("https://klasma.github.io/Logging_0380/kartor/A 5619-2025 karta.png", "A 5619-2025")</f>
        <v/>
      </c>
      <c r="V196">
        <f>HYPERLINK("https://klasma.github.io/Logging_0380/klagomål/A 5619-2025 FSC-klagomål.docx", "A 5619-2025")</f>
        <v/>
      </c>
      <c r="W196">
        <f>HYPERLINK("https://klasma.github.io/Logging_0380/klagomålsmail/A 5619-2025 FSC-klagomål mail.docx", "A 5619-2025")</f>
        <v/>
      </c>
      <c r="X196">
        <f>HYPERLINK("https://klasma.github.io/Logging_0380/tillsyn/A 5619-2025 tillsynsbegäran.docx", "A 5619-2025")</f>
        <v/>
      </c>
      <c r="Y196">
        <f>HYPERLINK("https://klasma.github.io/Logging_0380/tillsynsmail/A 5619-2025 tillsynsbegäran mail.docx", "A 5619-2025")</f>
        <v/>
      </c>
      <c r="Z196">
        <f>HYPERLINK("https://klasma.github.io/Logging_0380/fåglar/A 5619-2025 prioriterade fågelarter.docx", "A 5619-2025")</f>
        <v/>
      </c>
    </row>
    <row r="197" ht="15" customHeight="1">
      <c r="A197" t="inlineStr">
        <is>
          <t>A 5624-2025</t>
        </is>
      </c>
      <c r="B197" s="1" t="n">
        <v>45693</v>
      </c>
      <c r="C197" s="1" t="n">
        <v>45731</v>
      </c>
      <c r="D197" t="inlineStr">
        <is>
          <t>UPPSALA LÄN</t>
        </is>
      </c>
      <c r="E197" t="inlineStr">
        <is>
          <t>UPPSALA</t>
        </is>
      </c>
      <c r="G197" t="n">
        <v>6.1</v>
      </c>
      <c r="H197" t="n">
        <v>0</v>
      </c>
      <c r="I197" t="n">
        <v>1</v>
      </c>
      <c r="J197" t="n">
        <v>0</v>
      </c>
      <c r="K197" t="n">
        <v>0</v>
      </c>
      <c r="L197" t="n">
        <v>0</v>
      </c>
      <c r="M197" t="n">
        <v>0</v>
      </c>
      <c r="N197" t="n">
        <v>0</v>
      </c>
      <c r="O197" t="n">
        <v>0</v>
      </c>
      <c r="P197" t="n">
        <v>0</v>
      </c>
      <c r="Q197" t="n">
        <v>1</v>
      </c>
      <c r="R197" s="2" t="inlineStr">
        <is>
          <t>Mindre märgborre</t>
        </is>
      </c>
      <c r="S197">
        <f>HYPERLINK("https://klasma.github.io/Logging_0380/artfynd/A 5624-2025 artfynd.xlsx", "A 5624-2025")</f>
        <v/>
      </c>
      <c r="T197">
        <f>HYPERLINK("https://klasma.github.io/Logging_0380/kartor/A 5624-2025 karta.png", "A 5624-2025")</f>
        <v/>
      </c>
      <c r="V197">
        <f>HYPERLINK("https://klasma.github.io/Logging_0380/klagomål/A 5624-2025 FSC-klagomål.docx", "A 5624-2025")</f>
        <v/>
      </c>
      <c r="W197">
        <f>HYPERLINK("https://klasma.github.io/Logging_0380/klagomålsmail/A 5624-2025 FSC-klagomål mail.docx", "A 5624-2025")</f>
        <v/>
      </c>
      <c r="X197">
        <f>HYPERLINK("https://klasma.github.io/Logging_0380/tillsyn/A 5624-2025 tillsynsbegäran.docx", "A 5624-2025")</f>
        <v/>
      </c>
      <c r="Y197">
        <f>HYPERLINK("https://klasma.github.io/Logging_0380/tillsynsmail/A 5624-2025 tillsynsbegäran mail.docx", "A 5624-2025")</f>
        <v/>
      </c>
    </row>
    <row r="198" ht="15" customHeight="1">
      <c r="A198" t="inlineStr">
        <is>
          <t>A 5732-2025</t>
        </is>
      </c>
      <c r="B198" s="1" t="n">
        <v>45694</v>
      </c>
      <c r="C198" s="1" t="n">
        <v>45731</v>
      </c>
      <c r="D198" t="inlineStr">
        <is>
          <t>UPPSALA LÄN</t>
        </is>
      </c>
      <c r="E198" t="inlineStr">
        <is>
          <t>UPPSALA</t>
        </is>
      </c>
      <c r="G198" t="n">
        <v>1.9</v>
      </c>
      <c r="H198" t="n">
        <v>0</v>
      </c>
      <c r="I198" t="n">
        <v>1</v>
      </c>
      <c r="J198" t="n">
        <v>0</v>
      </c>
      <c r="K198" t="n">
        <v>0</v>
      </c>
      <c r="L198" t="n">
        <v>0</v>
      </c>
      <c r="M198" t="n">
        <v>0</v>
      </c>
      <c r="N198" t="n">
        <v>0</v>
      </c>
      <c r="O198" t="n">
        <v>0</v>
      </c>
      <c r="P198" t="n">
        <v>0</v>
      </c>
      <c r="Q198" t="n">
        <v>1</v>
      </c>
      <c r="R198" s="2" t="inlineStr">
        <is>
          <t>Fällmossa</t>
        </is>
      </c>
      <c r="S198">
        <f>HYPERLINK("https://klasma.github.io/Logging_0380/artfynd/A 5732-2025 artfynd.xlsx", "A 5732-2025")</f>
        <v/>
      </c>
      <c r="T198">
        <f>HYPERLINK("https://klasma.github.io/Logging_0380/kartor/A 5732-2025 karta.png", "A 5732-2025")</f>
        <v/>
      </c>
      <c r="V198">
        <f>HYPERLINK("https://klasma.github.io/Logging_0380/klagomål/A 5732-2025 FSC-klagomål.docx", "A 5732-2025")</f>
        <v/>
      </c>
      <c r="W198">
        <f>HYPERLINK("https://klasma.github.io/Logging_0380/klagomålsmail/A 5732-2025 FSC-klagomål mail.docx", "A 5732-2025")</f>
        <v/>
      </c>
      <c r="X198">
        <f>HYPERLINK("https://klasma.github.io/Logging_0380/tillsyn/A 5732-2025 tillsynsbegäran.docx", "A 5732-2025")</f>
        <v/>
      </c>
      <c r="Y198">
        <f>HYPERLINK("https://klasma.github.io/Logging_0380/tillsynsmail/A 5732-2025 tillsynsbegäran mail.docx", "A 5732-2025")</f>
        <v/>
      </c>
    </row>
    <row r="199" ht="15" customHeight="1">
      <c r="A199" t="inlineStr">
        <is>
          <t>A 17828-2019</t>
        </is>
      </c>
      <c r="B199" s="1" t="n">
        <v>43556</v>
      </c>
      <c r="C199" s="1" t="n">
        <v>45731</v>
      </c>
      <c r="D199" t="inlineStr">
        <is>
          <t>UPPSALA LÄN</t>
        </is>
      </c>
      <c r="E199" t="inlineStr">
        <is>
          <t>UPPSALA</t>
        </is>
      </c>
      <c r="G199" t="n">
        <v>2.8</v>
      </c>
      <c r="H199" t="n">
        <v>0</v>
      </c>
      <c r="I199" t="n">
        <v>0</v>
      </c>
      <c r="J199" t="n">
        <v>0</v>
      </c>
      <c r="K199" t="n">
        <v>0</v>
      </c>
      <c r="L199" t="n">
        <v>0</v>
      </c>
      <c r="M199" t="n">
        <v>0</v>
      </c>
      <c r="N199" t="n">
        <v>0</v>
      </c>
      <c r="O199" t="n">
        <v>0</v>
      </c>
      <c r="P199" t="n">
        <v>0</v>
      </c>
      <c r="Q199" t="n">
        <v>0</v>
      </c>
      <c r="R199" s="2" t="inlineStr"/>
    </row>
    <row r="200" ht="15" customHeight="1">
      <c r="A200" t="inlineStr">
        <is>
          <t>A 18446-2019</t>
        </is>
      </c>
      <c r="B200" s="1" t="n">
        <v>43559</v>
      </c>
      <c r="C200" s="1" t="n">
        <v>45731</v>
      </c>
      <c r="D200" t="inlineStr">
        <is>
          <t>UPPSALA LÄN</t>
        </is>
      </c>
      <c r="E200" t="inlineStr">
        <is>
          <t>UPPSALA</t>
        </is>
      </c>
      <c r="G200" t="n">
        <v>9.1</v>
      </c>
      <c r="H200" t="n">
        <v>0</v>
      </c>
      <c r="I200" t="n">
        <v>0</v>
      </c>
      <c r="J200" t="n">
        <v>0</v>
      </c>
      <c r="K200" t="n">
        <v>0</v>
      </c>
      <c r="L200" t="n">
        <v>0</v>
      </c>
      <c r="M200" t="n">
        <v>0</v>
      </c>
      <c r="N200" t="n">
        <v>0</v>
      </c>
      <c r="O200" t="n">
        <v>0</v>
      </c>
      <c r="P200" t="n">
        <v>0</v>
      </c>
      <c r="Q200" t="n">
        <v>0</v>
      </c>
      <c r="R200" s="2" t="inlineStr"/>
    </row>
    <row r="201" ht="15" customHeight="1">
      <c r="A201" t="inlineStr">
        <is>
          <t>A 18554-2019</t>
        </is>
      </c>
      <c r="B201" s="1" t="n">
        <v>43559</v>
      </c>
      <c r="C201" s="1" t="n">
        <v>45731</v>
      </c>
      <c r="D201" t="inlineStr">
        <is>
          <t>UPPSALA LÄN</t>
        </is>
      </c>
      <c r="E201" t="inlineStr">
        <is>
          <t>UPPSALA</t>
        </is>
      </c>
      <c r="G201" t="n">
        <v>5.6</v>
      </c>
      <c r="H201" t="n">
        <v>0</v>
      </c>
      <c r="I201" t="n">
        <v>0</v>
      </c>
      <c r="J201" t="n">
        <v>0</v>
      </c>
      <c r="K201" t="n">
        <v>0</v>
      </c>
      <c r="L201" t="n">
        <v>0</v>
      </c>
      <c r="M201" t="n">
        <v>0</v>
      </c>
      <c r="N201" t="n">
        <v>0</v>
      </c>
      <c r="O201" t="n">
        <v>0</v>
      </c>
      <c r="P201" t="n">
        <v>0</v>
      </c>
      <c r="Q201" t="n">
        <v>0</v>
      </c>
      <c r="R201" s="2" t="inlineStr"/>
    </row>
    <row r="202" ht="15" customHeight="1">
      <c r="A202" t="inlineStr">
        <is>
          <t>A 18810-2019</t>
        </is>
      </c>
      <c r="B202" s="1" t="n">
        <v>43560</v>
      </c>
      <c r="C202" s="1" t="n">
        <v>45731</v>
      </c>
      <c r="D202" t="inlineStr">
        <is>
          <t>UPPSALA LÄN</t>
        </is>
      </c>
      <c r="E202" t="inlineStr">
        <is>
          <t>UPPSALA</t>
        </is>
      </c>
      <c r="G202" t="n">
        <v>4</v>
      </c>
      <c r="H202" t="n">
        <v>0</v>
      </c>
      <c r="I202" t="n">
        <v>0</v>
      </c>
      <c r="J202" t="n">
        <v>0</v>
      </c>
      <c r="K202" t="n">
        <v>0</v>
      </c>
      <c r="L202" t="n">
        <v>0</v>
      </c>
      <c r="M202" t="n">
        <v>0</v>
      </c>
      <c r="N202" t="n">
        <v>0</v>
      </c>
      <c r="O202" t="n">
        <v>0</v>
      </c>
      <c r="P202" t="n">
        <v>0</v>
      </c>
      <c r="Q202" t="n">
        <v>0</v>
      </c>
      <c r="R202" s="2" t="inlineStr"/>
    </row>
    <row r="203" ht="15" customHeight="1">
      <c r="A203" t="inlineStr">
        <is>
          <t>A 20011-2019</t>
        </is>
      </c>
      <c r="B203" s="1" t="n">
        <v>43570</v>
      </c>
      <c r="C203" s="1" t="n">
        <v>45731</v>
      </c>
      <c r="D203" t="inlineStr">
        <is>
          <t>UPPSALA LÄN</t>
        </is>
      </c>
      <c r="E203" t="inlineStr">
        <is>
          <t>UPPSALA</t>
        </is>
      </c>
      <c r="G203" t="n">
        <v>6.3</v>
      </c>
      <c r="H203" t="n">
        <v>0</v>
      </c>
      <c r="I203" t="n">
        <v>0</v>
      </c>
      <c r="J203" t="n">
        <v>0</v>
      </c>
      <c r="K203" t="n">
        <v>0</v>
      </c>
      <c r="L203" t="n">
        <v>0</v>
      </c>
      <c r="M203" t="n">
        <v>0</v>
      </c>
      <c r="N203" t="n">
        <v>0</v>
      </c>
      <c r="O203" t="n">
        <v>0</v>
      </c>
      <c r="P203" t="n">
        <v>0</v>
      </c>
      <c r="Q203" t="n">
        <v>0</v>
      </c>
      <c r="R203" s="2" t="inlineStr"/>
    </row>
    <row r="204" ht="15" customHeight="1">
      <c r="A204" t="inlineStr">
        <is>
          <t>A 21087-2019</t>
        </is>
      </c>
      <c r="B204" s="1" t="n">
        <v>43578</v>
      </c>
      <c r="C204" s="1" t="n">
        <v>45731</v>
      </c>
      <c r="D204" t="inlineStr">
        <is>
          <t>UPPSALA LÄN</t>
        </is>
      </c>
      <c r="E204" t="inlineStr">
        <is>
          <t>UPPSALA</t>
        </is>
      </c>
      <c r="G204" t="n">
        <v>1.8</v>
      </c>
      <c r="H204" t="n">
        <v>0</v>
      </c>
      <c r="I204" t="n">
        <v>0</v>
      </c>
      <c r="J204" t="n">
        <v>0</v>
      </c>
      <c r="K204" t="n">
        <v>0</v>
      </c>
      <c r="L204" t="n">
        <v>0</v>
      </c>
      <c r="M204" t="n">
        <v>0</v>
      </c>
      <c r="N204" t="n">
        <v>0</v>
      </c>
      <c r="O204" t="n">
        <v>0</v>
      </c>
      <c r="P204" t="n">
        <v>0</v>
      </c>
      <c r="Q204" t="n">
        <v>0</v>
      </c>
      <c r="R204" s="2" t="inlineStr"/>
    </row>
    <row r="205" ht="15" customHeight="1">
      <c r="A205" t="inlineStr">
        <is>
          <t>A 21082-2019</t>
        </is>
      </c>
      <c r="B205" s="1" t="n">
        <v>43578</v>
      </c>
      <c r="C205" s="1" t="n">
        <v>45731</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22153-2019</t>
        </is>
      </c>
      <c r="B206" s="1" t="n">
        <v>43585</v>
      </c>
      <c r="C206" s="1" t="n">
        <v>45731</v>
      </c>
      <c r="D206" t="inlineStr">
        <is>
          <t>UPPSALA LÄN</t>
        </is>
      </c>
      <c r="E206" t="inlineStr">
        <is>
          <t>UPPSALA</t>
        </is>
      </c>
      <c r="F206" t="inlineStr">
        <is>
          <t>Holmen skog AB</t>
        </is>
      </c>
      <c r="G206" t="n">
        <v>0.7</v>
      </c>
      <c r="H206" t="n">
        <v>0</v>
      </c>
      <c r="I206" t="n">
        <v>0</v>
      </c>
      <c r="J206" t="n">
        <v>0</v>
      </c>
      <c r="K206" t="n">
        <v>0</v>
      </c>
      <c r="L206" t="n">
        <v>0</v>
      </c>
      <c r="M206" t="n">
        <v>0</v>
      </c>
      <c r="N206" t="n">
        <v>0</v>
      </c>
      <c r="O206" t="n">
        <v>0</v>
      </c>
      <c r="P206" t="n">
        <v>0</v>
      </c>
      <c r="Q206" t="n">
        <v>0</v>
      </c>
      <c r="R206" s="2" t="inlineStr"/>
    </row>
    <row r="207" ht="15" customHeight="1">
      <c r="A207" t="inlineStr">
        <is>
          <t>A 23042-2019</t>
        </is>
      </c>
      <c r="B207" s="1" t="n">
        <v>43591</v>
      </c>
      <c r="C207" s="1" t="n">
        <v>45731</v>
      </c>
      <c r="D207" t="inlineStr">
        <is>
          <t>UPPSALA LÄN</t>
        </is>
      </c>
      <c r="E207" t="inlineStr">
        <is>
          <t>UPPSALA</t>
        </is>
      </c>
      <c r="G207" t="n">
        <v>2.7</v>
      </c>
      <c r="H207" t="n">
        <v>0</v>
      </c>
      <c r="I207" t="n">
        <v>0</v>
      </c>
      <c r="J207" t="n">
        <v>0</v>
      </c>
      <c r="K207" t="n">
        <v>0</v>
      </c>
      <c r="L207" t="n">
        <v>0</v>
      </c>
      <c r="M207" t="n">
        <v>0</v>
      </c>
      <c r="N207" t="n">
        <v>0</v>
      </c>
      <c r="O207" t="n">
        <v>0</v>
      </c>
      <c r="P207" t="n">
        <v>0</v>
      </c>
      <c r="Q207" t="n">
        <v>0</v>
      </c>
      <c r="R207" s="2" t="inlineStr"/>
    </row>
    <row r="208" ht="15" customHeight="1">
      <c r="A208" t="inlineStr">
        <is>
          <t>A 23262-2019</t>
        </is>
      </c>
      <c r="B208" s="1" t="n">
        <v>43592</v>
      </c>
      <c r="C208" s="1" t="n">
        <v>45731</v>
      </c>
      <c r="D208" t="inlineStr">
        <is>
          <t>UPPSALA LÄN</t>
        </is>
      </c>
      <c r="E208" t="inlineStr">
        <is>
          <t>UPPSALA</t>
        </is>
      </c>
      <c r="F208" t="inlineStr">
        <is>
          <t>Kyrkan</t>
        </is>
      </c>
      <c r="G208" t="n">
        <v>7.6</v>
      </c>
      <c r="H208" t="n">
        <v>0</v>
      </c>
      <c r="I208" t="n">
        <v>0</v>
      </c>
      <c r="J208" t="n">
        <v>0</v>
      </c>
      <c r="K208" t="n">
        <v>0</v>
      </c>
      <c r="L208" t="n">
        <v>0</v>
      </c>
      <c r="M208" t="n">
        <v>0</v>
      </c>
      <c r="N208" t="n">
        <v>0</v>
      </c>
      <c r="O208" t="n">
        <v>0</v>
      </c>
      <c r="P208" t="n">
        <v>0</v>
      </c>
      <c r="Q208" t="n">
        <v>0</v>
      </c>
      <c r="R208" s="2" t="inlineStr"/>
    </row>
    <row r="209" ht="15" customHeight="1">
      <c r="A209" t="inlineStr">
        <is>
          <t>A 24998-2019</t>
        </is>
      </c>
      <c r="B209" s="1" t="n">
        <v>43600</v>
      </c>
      <c r="C209" s="1" t="n">
        <v>45731</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25164-2019</t>
        </is>
      </c>
      <c r="B210" s="1" t="n">
        <v>43605</v>
      </c>
      <c r="C210" s="1" t="n">
        <v>45731</v>
      </c>
      <c r="D210" t="inlineStr">
        <is>
          <t>UPPSALA LÄN</t>
        </is>
      </c>
      <c r="E210" t="inlineStr">
        <is>
          <t>UPPSALA</t>
        </is>
      </c>
      <c r="G210" t="n">
        <v>1.6</v>
      </c>
      <c r="H210" t="n">
        <v>0</v>
      </c>
      <c r="I210" t="n">
        <v>0</v>
      </c>
      <c r="J210" t="n">
        <v>0</v>
      </c>
      <c r="K210" t="n">
        <v>0</v>
      </c>
      <c r="L210" t="n">
        <v>0</v>
      </c>
      <c r="M210" t="n">
        <v>0</v>
      </c>
      <c r="N210" t="n">
        <v>0</v>
      </c>
      <c r="O210" t="n">
        <v>0</v>
      </c>
      <c r="P210" t="n">
        <v>0</v>
      </c>
      <c r="Q210" t="n">
        <v>0</v>
      </c>
      <c r="R210" s="2" t="inlineStr"/>
    </row>
    <row r="211" ht="15" customHeight="1">
      <c r="A211" t="inlineStr">
        <is>
          <t>A 25157-2019</t>
        </is>
      </c>
      <c r="B211" s="1" t="n">
        <v>43605</v>
      </c>
      <c r="C211" s="1" t="n">
        <v>45731</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25667-2019</t>
        </is>
      </c>
      <c r="B212" s="1" t="n">
        <v>43607</v>
      </c>
      <c r="C212" s="1" t="n">
        <v>45731</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29105-2019</t>
        </is>
      </c>
      <c r="B213" s="1" t="n">
        <v>43628</v>
      </c>
      <c r="C213" s="1" t="n">
        <v>45731</v>
      </c>
      <c r="D213" t="inlineStr">
        <is>
          <t>UPPSALA LÄN</t>
        </is>
      </c>
      <c r="E213" t="inlineStr">
        <is>
          <t>UPPSALA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29183-2019</t>
        </is>
      </c>
      <c r="B214" s="1" t="n">
        <v>43628</v>
      </c>
      <c r="C214" s="1" t="n">
        <v>45731</v>
      </c>
      <c r="D214" t="inlineStr">
        <is>
          <t>UPPSALA LÄN</t>
        </is>
      </c>
      <c r="E214" t="inlineStr">
        <is>
          <t>UPPSALA</t>
        </is>
      </c>
      <c r="F214" t="inlineStr">
        <is>
          <t>Allmännings- och besparingsskogar</t>
        </is>
      </c>
      <c r="G214" t="n">
        <v>6.3</v>
      </c>
      <c r="H214" t="n">
        <v>0</v>
      </c>
      <c r="I214" t="n">
        <v>0</v>
      </c>
      <c r="J214" t="n">
        <v>0</v>
      </c>
      <c r="K214" t="n">
        <v>0</v>
      </c>
      <c r="L214" t="n">
        <v>0</v>
      </c>
      <c r="M214" t="n">
        <v>0</v>
      </c>
      <c r="N214" t="n">
        <v>0</v>
      </c>
      <c r="O214" t="n">
        <v>0</v>
      </c>
      <c r="P214" t="n">
        <v>0</v>
      </c>
      <c r="Q214" t="n">
        <v>0</v>
      </c>
      <c r="R214" s="2" t="inlineStr"/>
    </row>
    <row r="215" ht="15" customHeight="1">
      <c r="A215" t="inlineStr">
        <is>
          <t>A 29081-2019</t>
        </is>
      </c>
      <c r="B215" s="1" t="n">
        <v>43628</v>
      </c>
      <c r="C215" s="1" t="n">
        <v>45731</v>
      </c>
      <c r="D215" t="inlineStr">
        <is>
          <t>UPPSALA LÄN</t>
        </is>
      </c>
      <c r="E215" t="inlineStr">
        <is>
          <t>UPPSALA</t>
        </is>
      </c>
      <c r="G215" t="n">
        <v>8.4</v>
      </c>
      <c r="H215" t="n">
        <v>0</v>
      </c>
      <c r="I215" t="n">
        <v>0</v>
      </c>
      <c r="J215" t="n">
        <v>0</v>
      </c>
      <c r="K215" t="n">
        <v>0</v>
      </c>
      <c r="L215" t="n">
        <v>0</v>
      </c>
      <c r="M215" t="n">
        <v>0</v>
      </c>
      <c r="N215" t="n">
        <v>0</v>
      </c>
      <c r="O215" t="n">
        <v>0</v>
      </c>
      <c r="P215" t="n">
        <v>0</v>
      </c>
      <c r="Q215" t="n">
        <v>0</v>
      </c>
      <c r="R215" s="2" t="inlineStr"/>
    </row>
    <row r="216" ht="15" customHeight="1">
      <c r="A216" t="inlineStr">
        <is>
          <t>A 29719-2019</t>
        </is>
      </c>
      <c r="B216" s="1" t="n">
        <v>43630</v>
      </c>
      <c r="C216" s="1" t="n">
        <v>45731</v>
      </c>
      <c r="D216" t="inlineStr">
        <is>
          <t>UPPSALA LÄN</t>
        </is>
      </c>
      <c r="E216" t="inlineStr">
        <is>
          <t>UPPSALA</t>
        </is>
      </c>
      <c r="G216" t="n">
        <v>1.4</v>
      </c>
      <c r="H216" t="n">
        <v>0</v>
      </c>
      <c r="I216" t="n">
        <v>0</v>
      </c>
      <c r="J216" t="n">
        <v>0</v>
      </c>
      <c r="K216" t="n">
        <v>0</v>
      </c>
      <c r="L216" t="n">
        <v>0</v>
      </c>
      <c r="M216" t="n">
        <v>0</v>
      </c>
      <c r="N216" t="n">
        <v>0</v>
      </c>
      <c r="O216" t="n">
        <v>0</v>
      </c>
      <c r="P216" t="n">
        <v>0</v>
      </c>
      <c r="Q216" t="n">
        <v>0</v>
      </c>
      <c r="R216" s="2" t="inlineStr"/>
    </row>
    <row r="217" ht="15" customHeight="1">
      <c r="A217" t="inlineStr">
        <is>
          <t>A 29713-2019</t>
        </is>
      </c>
      <c r="B217" s="1" t="n">
        <v>43630</v>
      </c>
      <c r="C217" s="1" t="n">
        <v>45731</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32558-2019</t>
        </is>
      </c>
      <c r="B218" s="1" t="n">
        <v>43647</v>
      </c>
      <c r="C218" s="1" t="n">
        <v>45731</v>
      </c>
      <c r="D218" t="inlineStr">
        <is>
          <t>UPPSALA LÄN</t>
        </is>
      </c>
      <c r="E218" t="inlineStr">
        <is>
          <t>UPPSALA</t>
        </is>
      </c>
      <c r="G218" t="n">
        <v>4.2</v>
      </c>
      <c r="H218" t="n">
        <v>0</v>
      </c>
      <c r="I218" t="n">
        <v>0</v>
      </c>
      <c r="J218" t="n">
        <v>0</v>
      </c>
      <c r="K218" t="n">
        <v>0</v>
      </c>
      <c r="L218" t="n">
        <v>0</v>
      </c>
      <c r="M218" t="n">
        <v>0</v>
      </c>
      <c r="N218" t="n">
        <v>0</v>
      </c>
      <c r="O218" t="n">
        <v>0</v>
      </c>
      <c r="P218" t="n">
        <v>0</v>
      </c>
      <c r="Q218" t="n">
        <v>0</v>
      </c>
      <c r="R218" s="2" t="inlineStr"/>
    </row>
    <row r="219" ht="15" customHeight="1">
      <c r="A219" t="inlineStr">
        <is>
          <t>A 34560-2019</t>
        </is>
      </c>
      <c r="B219" s="1" t="n">
        <v>43647</v>
      </c>
      <c r="C219" s="1" t="n">
        <v>45731</v>
      </c>
      <c r="D219" t="inlineStr">
        <is>
          <t>UPPSALA LÄN</t>
        </is>
      </c>
      <c r="E219" t="inlineStr">
        <is>
          <t>UPPSALA</t>
        </is>
      </c>
      <c r="G219" t="n">
        <v>8.6</v>
      </c>
      <c r="H219" t="n">
        <v>0</v>
      </c>
      <c r="I219" t="n">
        <v>0</v>
      </c>
      <c r="J219" t="n">
        <v>0</v>
      </c>
      <c r="K219" t="n">
        <v>0</v>
      </c>
      <c r="L219" t="n">
        <v>0</v>
      </c>
      <c r="M219" t="n">
        <v>0</v>
      </c>
      <c r="N219" t="n">
        <v>0</v>
      </c>
      <c r="O219" t="n">
        <v>0</v>
      </c>
      <c r="P219" t="n">
        <v>0</v>
      </c>
      <c r="Q219" t="n">
        <v>0</v>
      </c>
      <c r="R219" s="2" t="inlineStr"/>
    </row>
    <row r="220" ht="15" customHeight="1">
      <c r="A220" t="inlineStr">
        <is>
          <t>A 32830-2019</t>
        </is>
      </c>
      <c r="B220" s="1" t="n">
        <v>43648</v>
      </c>
      <c r="C220" s="1" t="n">
        <v>45731</v>
      </c>
      <c r="D220" t="inlineStr">
        <is>
          <t>UPPSALA LÄN</t>
        </is>
      </c>
      <c r="E220" t="inlineStr">
        <is>
          <t>UPPSALA</t>
        </is>
      </c>
      <c r="G220" t="n">
        <v>13.6</v>
      </c>
      <c r="H220" t="n">
        <v>0</v>
      </c>
      <c r="I220" t="n">
        <v>0</v>
      </c>
      <c r="J220" t="n">
        <v>0</v>
      </c>
      <c r="K220" t="n">
        <v>0</v>
      </c>
      <c r="L220" t="n">
        <v>0</v>
      </c>
      <c r="M220" t="n">
        <v>0</v>
      </c>
      <c r="N220" t="n">
        <v>0</v>
      </c>
      <c r="O220" t="n">
        <v>0</v>
      </c>
      <c r="P220" t="n">
        <v>0</v>
      </c>
      <c r="Q220" t="n">
        <v>0</v>
      </c>
      <c r="R220" s="2" t="inlineStr"/>
    </row>
    <row r="221" ht="15" customHeight="1">
      <c r="A221" t="inlineStr">
        <is>
          <t>A 33602-2019</t>
        </is>
      </c>
      <c r="B221" s="1" t="n">
        <v>43651</v>
      </c>
      <c r="C221" s="1" t="n">
        <v>45731</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33614-2019</t>
        </is>
      </c>
      <c r="B222" s="1" t="n">
        <v>43651</v>
      </c>
      <c r="C222" s="1" t="n">
        <v>45731</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33615-2019</t>
        </is>
      </c>
      <c r="B223" s="1" t="n">
        <v>43651</v>
      </c>
      <c r="C223" s="1" t="n">
        <v>45731</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33596-2019</t>
        </is>
      </c>
      <c r="B224" s="1" t="n">
        <v>43651</v>
      </c>
      <c r="C224" s="1" t="n">
        <v>45731</v>
      </c>
      <c r="D224" t="inlineStr">
        <is>
          <t>UPPSALA LÄN</t>
        </is>
      </c>
      <c r="E224" t="inlineStr">
        <is>
          <t>UPPSALA</t>
        </is>
      </c>
      <c r="G224" t="n">
        <v>1.3</v>
      </c>
      <c r="H224" t="n">
        <v>0</v>
      </c>
      <c r="I224" t="n">
        <v>0</v>
      </c>
      <c r="J224" t="n">
        <v>0</v>
      </c>
      <c r="K224" t="n">
        <v>0</v>
      </c>
      <c r="L224" t="n">
        <v>0</v>
      </c>
      <c r="M224" t="n">
        <v>0</v>
      </c>
      <c r="N224" t="n">
        <v>0</v>
      </c>
      <c r="O224" t="n">
        <v>0</v>
      </c>
      <c r="P224" t="n">
        <v>0</v>
      </c>
      <c r="Q224" t="n">
        <v>0</v>
      </c>
      <c r="R224" s="2" t="inlineStr"/>
    </row>
    <row r="225" ht="15" customHeight="1">
      <c r="A225" t="inlineStr">
        <is>
          <t>A 34007-2019</t>
        </is>
      </c>
      <c r="B225" s="1" t="n">
        <v>43654</v>
      </c>
      <c r="C225" s="1" t="n">
        <v>45731</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34063-2019</t>
        </is>
      </c>
      <c r="B226" s="1" t="n">
        <v>43654</v>
      </c>
      <c r="C226" s="1" t="n">
        <v>45731</v>
      </c>
      <c r="D226" t="inlineStr">
        <is>
          <t>UPPSALA LÄN</t>
        </is>
      </c>
      <c r="E226" t="inlineStr">
        <is>
          <t>UPPSALA</t>
        </is>
      </c>
      <c r="G226" t="n">
        <v>1.5</v>
      </c>
      <c r="H226" t="n">
        <v>0</v>
      </c>
      <c r="I226" t="n">
        <v>0</v>
      </c>
      <c r="J226" t="n">
        <v>0</v>
      </c>
      <c r="K226" t="n">
        <v>0</v>
      </c>
      <c r="L226" t="n">
        <v>0</v>
      </c>
      <c r="M226" t="n">
        <v>0</v>
      </c>
      <c r="N226" t="n">
        <v>0</v>
      </c>
      <c r="O226" t="n">
        <v>0</v>
      </c>
      <c r="P226" t="n">
        <v>0</v>
      </c>
      <c r="Q226" t="n">
        <v>0</v>
      </c>
      <c r="R226" s="2" t="inlineStr"/>
    </row>
    <row r="227" ht="15" customHeight="1">
      <c r="A227" t="inlineStr">
        <is>
          <t>A 34331-2019</t>
        </is>
      </c>
      <c r="B227" s="1" t="n">
        <v>43656</v>
      </c>
      <c r="C227" s="1" t="n">
        <v>45731</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36345-2019</t>
        </is>
      </c>
      <c r="B228" s="1" t="n">
        <v>43661</v>
      </c>
      <c r="C228" s="1" t="n">
        <v>45731</v>
      </c>
      <c r="D228" t="inlineStr">
        <is>
          <t>UPPSALA LÄN</t>
        </is>
      </c>
      <c r="E228" t="inlineStr">
        <is>
          <t>UPPSALA</t>
        </is>
      </c>
      <c r="G228" t="n">
        <v>5.3</v>
      </c>
      <c r="H228" t="n">
        <v>0</v>
      </c>
      <c r="I228" t="n">
        <v>0</v>
      </c>
      <c r="J228" t="n">
        <v>0</v>
      </c>
      <c r="K228" t="n">
        <v>0</v>
      </c>
      <c r="L228" t="n">
        <v>0</v>
      </c>
      <c r="M228" t="n">
        <v>0</v>
      </c>
      <c r="N228" t="n">
        <v>0</v>
      </c>
      <c r="O228" t="n">
        <v>0</v>
      </c>
      <c r="P228" t="n">
        <v>0</v>
      </c>
      <c r="Q228" t="n">
        <v>0</v>
      </c>
      <c r="R228" s="2" t="inlineStr"/>
    </row>
    <row r="229" ht="15" customHeight="1">
      <c r="A229" t="inlineStr">
        <is>
          <t>A 36394-2019</t>
        </is>
      </c>
      <c r="B229" s="1" t="n">
        <v>43663</v>
      </c>
      <c r="C229" s="1" t="n">
        <v>45731</v>
      </c>
      <c r="D229" t="inlineStr">
        <is>
          <t>UPPSALA LÄN</t>
        </is>
      </c>
      <c r="E229" t="inlineStr">
        <is>
          <t>UPPSALA</t>
        </is>
      </c>
      <c r="G229" t="n">
        <v>2.4</v>
      </c>
      <c r="H229" t="n">
        <v>0</v>
      </c>
      <c r="I229" t="n">
        <v>0</v>
      </c>
      <c r="J229" t="n">
        <v>0</v>
      </c>
      <c r="K229" t="n">
        <v>0</v>
      </c>
      <c r="L229" t="n">
        <v>0</v>
      </c>
      <c r="M229" t="n">
        <v>0</v>
      </c>
      <c r="N229" t="n">
        <v>0</v>
      </c>
      <c r="O229" t="n">
        <v>0</v>
      </c>
      <c r="P229" t="n">
        <v>0</v>
      </c>
      <c r="Q229" t="n">
        <v>0</v>
      </c>
      <c r="R229" s="2" t="inlineStr"/>
    </row>
    <row r="230" ht="15" customHeight="1">
      <c r="A230" t="inlineStr">
        <is>
          <t>A 37234-2019</t>
        </is>
      </c>
      <c r="B230" s="1" t="n">
        <v>43677</v>
      </c>
      <c r="C230" s="1" t="n">
        <v>45731</v>
      </c>
      <c r="D230" t="inlineStr">
        <is>
          <t>UPPSALA LÄN</t>
        </is>
      </c>
      <c r="E230" t="inlineStr">
        <is>
          <t>UPPSALA</t>
        </is>
      </c>
      <c r="G230" t="n">
        <v>3.2</v>
      </c>
      <c r="H230" t="n">
        <v>0</v>
      </c>
      <c r="I230" t="n">
        <v>0</v>
      </c>
      <c r="J230" t="n">
        <v>0</v>
      </c>
      <c r="K230" t="n">
        <v>0</v>
      </c>
      <c r="L230" t="n">
        <v>0</v>
      </c>
      <c r="M230" t="n">
        <v>0</v>
      </c>
      <c r="N230" t="n">
        <v>0</v>
      </c>
      <c r="O230" t="n">
        <v>0</v>
      </c>
      <c r="P230" t="n">
        <v>0</v>
      </c>
      <c r="Q230" t="n">
        <v>0</v>
      </c>
      <c r="R230" s="2" t="inlineStr"/>
    </row>
    <row r="231" ht="15" customHeight="1">
      <c r="A231" t="inlineStr">
        <is>
          <t>A 37711-2019</t>
        </is>
      </c>
      <c r="B231" s="1" t="n">
        <v>43682</v>
      </c>
      <c r="C231" s="1" t="n">
        <v>45731</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38684-2019</t>
        </is>
      </c>
      <c r="B232" s="1" t="n">
        <v>43686</v>
      </c>
      <c r="C232" s="1" t="n">
        <v>45731</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40151-2019</t>
        </is>
      </c>
      <c r="B233" s="1" t="n">
        <v>43693</v>
      </c>
      <c r="C233" s="1" t="n">
        <v>45731</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41609-2019</t>
        </is>
      </c>
      <c r="B234" s="1" t="n">
        <v>43696</v>
      </c>
      <c r="C234" s="1" t="n">
        <v>45731</v>
      </c>
      <c r="D234" t="inlineStr">
        <is>
          <t>UPPSALA LÄN</t>
        </is>
      </c>
      <c r="E234" t="inlineStr">
        <is>
          <t>UPPSALA</t>
        </is>
      </c>
      <c r="F234" t="inlineStr">
        <is>
          <t>Övriga Aktiebolag</t>
        </is>
      </c>
      <c r="G234" t="n">
        <v>1.7</v>
      </c>
      <c r="H234" t="n">
        <v>0</v>
      </c>
      <c r="I234" t="n">
        <v>0</v>
      </c>
      <c r="J234" t="n">
        <v>0</v>
      </c>
      <c r="K234" t="n">
        <v>0</v>
      </c>
      <c r="L234" t="n">
        <v>0</v>
      </c>
      <c r="M234" t="n">
        <v>0</v>
      </c>
      <c r="N234" t="n">
        <v>0</v>
      </c>
      <c r="O234" t="n">
        <v>0</v>
      </c>
      <c r="P234" t="n">
        <v>0</v>
      </c>
      <c r="Q234" t="n">
        <v>0</v>
      </c>
      <c r="R234" s="2" t="inlineStr"/>
    </row>
    <row r="235" ht="15" customHeight="1">
      <c r="A235" t="inlineStr">
        <is>
          <t>A 41653-2019</t>
        </is>
      </c>
      <c r="B235" s="1" t="n">
        <v>43696</v>
      </c>
      <c r="C235" s="1" t="n">
        <v>45731</v>
      </c>
      <c r="D235" t="inlineStr">
        <is>
          <t>UPPSALA LÄN</t>
        </is>
      </c>
      <c r="E235" t="inlineStr">
        <is>
          <t>UPPSALA</t>
        </is>
      </c>
      <c r="G235" t="n">
        <v>5.2</v>
      </c>
      <c r="H235" t="n">
        <v>0</v>
      </c>
      <c r="I235" t="n">
        <v>0</v>
      </c>
      <c r="J235" t="n">
        <v>0</v>
      </c>
      <c r="K235" t="n">
        <v>0</v>
      </c>
      <c r="L235" t="n">
        <v>0</v>
      </c>
      <c r="M235" t="n">
        <v>0</v>
      </c>
      <c r="N235" t="n">
        <v>0</v>
      </c>
      <c r="O235" t="n">
        <v>0</v>
      </c>
      <c r="P235" t="n">
        <v>0</v>
      </c>
      <c r="Q235" t="n">
        <v>0</v>
      </c>
      <c r="R235" s="2" t="inlineStr"/>
    </row>
    <row r="236" ht="15" customHeight="1">
      <c r="A236" t="inlineStr">
        <is>
          <t>A 41524-2019</t>
        </is>
      </c>
      <c r="B236" s="1" t="n">
        <v>43699</v>
      </c>
      <c r="C236" s="1" t="n">
        <v>45731</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41535-2019</t>
        </is>
      </c>
      <c r="B237" s="1" t="n">
        <v>43699</v>
      </c>
      <c r="C237" s="1" t="n">
        <v>45731</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41695-2019</t>
        </is>
      </c>
      <c r="B238" s="1" t="n">
        <v>43699</v>
      </c>
      <c r="C238" s="1" t="n">
        <v>45731</v>
      </c>
      <c r="D238" t="inlineStr">
        <is>
          <t>UPPSALA LÄN</t>
        </is>
      </c>
      <c r="E238" t="inlineStr">
        <is>
          <t>UPPSALA</t>
        </is>
      </c>
      <c r="G238" t="n">
        <v>3.1</v>
      </c>
      <c r="H238" t="n">
        <v>0</v>
      </c>
      <c r="I238" t="n">
        <v>0</v>
      </c>
      <c r="J238" t="n">
        <v>0</v>
      </c>
      <c r="K238" t="n">
        <v>0</v>
      </c>
      <c r="L238" t="n">
        <v>0</v>
      </c>
      <c r="M238" t="n">
        <v>0</v>
      </c>
      <c r="N238" t="n">
        <v>0</v>
      </c>
      <c r="O238" t="n">
        <v>0</v>
      </c>
      <c r="P238" t="n">
        <v>0</v>
      </c>
      <c r="Q238" t="n">
        <v>0</v>
      </c>
      <c r="R238" s="2" t="inlineStr"/>
    </row>
    <row r="239" ht="15" customHeight="1">
      <c r="A239" t="inlineStr">
        <is>
          <t>A 42111-2019</t>
        </is>
      </c>
      <c r="B239" s="1" t="n">
        <v>43703</v>
      </c>
      <c r="C239" s="1" t="n">
        <v>45731</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42986-2019</t>
        </is>
      </c>
      <c r="B240" s="1" t="n">
        <v>43705</v>
      </c>
      <c r="C240" s="1" t="n">
        <v>45731</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43222-2019</t>
        </is>
      </c>
      <c r="B241" s="1" t="n">
        <v>43706</v>
      </c>
      <c r="C241" s="1" t="n">
        <v>45731</v>
      </c>
      <c r="D241" t="inlineStr">
        <is>
          <t>UPPSALA LÄN</t>
        </is>
      </c>
      <c r="E241" t="inlineStr">
        <is>
          <t>UPPSALA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43410-2019</t>
        </is>
      </c>
      <c r="B242" s="1" t="n">
        <v>43706</v>
      </c>
      <c r="C242" s="1" t="n">
        <v>45731</v>
      </c>
      <c r="D242" t="inlineStr">
        <is>
          <t>UPPSALA LÄN</t>
        </is>
      </c>
      <c r="E242" t="inlineStr">
        <is>
          <t>UPPSALA</t>
        </is>
      </c>
      <c r="F242" t="inlineStr">
        <is>
          <t>Övriga statliga verk och myndigheter</t>
        </is>
      </c>
      <c r="G242" t="n">
        <v>8.6</v>
      </c>
      <c r="H242" t="n">
        <v>0</v>
      </c>
      <c r="I242" t="n">
        <v>0</v>
      </c>
      <c r="J242" t="n">
        <v>0</v>
      </c>
      <c r="K242" t="n">
        <v>0</v>
      </c>
      <c r="L242" t="n">
        <v>0</v>
      </c>
      <c r="M242" t="n">
        <v>0</v>
      </c>
      <c r="N242" t="n">
        <v>0</v>
      </c>
      <c r="O242" t="n">
        <v>0</v>
      </c>
      <c r="P242" t="n">
        <v>0</v>
      </c>
      <c r="Q242" t="n">
        <v>0</v>
      </c>
      <c r="R242" s="2" t="inlineStr"/>
    </row>
    <row r="243" ht="15" customHeight="1">
      <c r="A243" t="inlineStr">
        <is>
          <t>A 43715-2019</t>
        </is>
      </c>
      <c r="B243" s="1" t="n">
        <v>43706</v>
      </c>
      <c r="C243" s="1" t="n">
        <v>45731</v>
      </c>
      <c r="D243" t="inlineStr">
        <is>
          <t>UPPSALA LÄN</t>
        </is>
      </c>
      <c r="E243" t="inlineStr">
        <is>
          <t>UPPSALA</t>
        </is>
      </c>
      <c r="F243" t="inlineStr">
        <is>
          <t>Övriga statliga verk och myndigheter</t>
        </is>
      </c>
      <c r="G243" t="n">
        <v>0.8</v>
      </c>
      <c r="H243" t="n">
        <v>0</v>
      </c>
      <c r="I243" t="n">
        <v>0</v>
      </c>
      <c r="J243" t="n">
        <v>0</v>
      </c>
      <c r="K243" t="n">
        <v>0</v>
      </c>
      <c r="L243" t="n">
        <v>0</v>
      </c>
      <c r="M243" t="n">
        <v>0</v>
      </c>
      <c r="N243" t="n">
        <v>0</v>
      </c>
      <c r="O243" t="n">
        <v>0</v>
      </c>
      <c r="P243" t="n">
        <v>0</v>
      </c>
      <c r="Q243" t="n">
        <v>0</v>
      </c>
      <c r="R243" s="2" t="inlineStr"/>
    </row>
    <row r="244" ht="15" customHeight="1">
      <c r="A244" t="inlineStr">
        <is>
          <t>A 43224-2019</t>
        </is>
      </c>
      <c r="B244" s="1" t="n">
        <v>43706</v>
      </c>
      <c r="C244" s="1" t="n">
        <v>45731</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43435-2019</t>
        </is>
      </c>
      <c r="B245" s="1" t="n">
        <v>43706</v>
      </c>
      <c r="C245" s="1" t="n">
        <v>45731</v>
      </c>
      <c r="D245" t="inlineStr">
        <is>
          <t>UPPSALA LÄN</t>
        </is>
      </c>
      <c r="E245" t="inlineStr">
        <is>
          <t>UPPSALA</t>
        </is>
      </c>
      <c r="G245" t="n">
        <v>5.4</v>
      </c>
      <c r="H245" t="n">
        <v>0</v>
      </c>
      <c r="I245" t="n">
        <v>0</v>
      </c>
      <c r="J245" t="n">
        <v>0</v>
      </c>
      <c r="K245" t="n">
        <v>0</v>
      </c>
      <c r="L245" t="n">
        <v>0</v>
      </c>
      <c r="M245" t="n">
        <v>0</v>
      </c>
      <c r="N245" t="n">
        <v>0</v>
      </c>
      <c r="O245" t="n">
        <v>0</v>
      </c>
      <c r="P245" t="n">
        <v>0</v>
      </c>
      <c r="Q245" t="n">
        <v>0</v>
      </c>
      <c r="R245" s="2" t="inlineStr"/>
    </row>
    <row r="246" ht="15" customHeight="1">
      <c r="A246" t="inlineStr">
        <is>
          <t>A 43722-2019</t>
        </is>
      </c>
      <c r="B246" s="1" t="n">
        <v>43706</v>
      </c>
      <c r="C246" s="1" t="n">
        <v>45731</v>
      </c>
      <c r="D246" t="inlineStr">
        <is>
          <t>UPPSALA LÄN</t>
        </is>
      </c>
      <c r="E246" t="inlineStr">
        <is>
          <t>UPPSALA</t>
        </is>
      </c>
      <c r="F246" t="inlineStr">
        <is>
          <t>Övriga statliga verk och myndigheter</t>
        </is>
      </c>
      <c r="G246" t="n">
        <v>0.6</v>
      </c>
      <c r="H246" t="n">
        <v>0</v>
      </c>
      <c r="I246" t="n">
        <v>0</v>
      </c>
      <c r="J246" t="n">
        <v>0</v>
      </c>
      <c r="K246" t="n">
        <v>0</v>
      </c>
      <c r="L246" t="n">
        <v>0</v>
      </c>
      <c r="M246" t="n">
        <v>0</v>
      </c>
      <c r="N246" t="n">
        <v>0</v>
      </c>
      <c r="O246" t="n">
        <v>0</v>
      </c>
      <c r="P246" t="n">
        <v>0</v>
      </c>
      <c r="Q246" t="n">
        <v>0</v>
      </c>
      <c r="R246" s="2" t="inlineStr"/>
    </row>
    <row r="247" ht="15" customHeight="1">
      <c r="A247" t="inlineStr">
        <is>
          <t>A 43704-2019</t>
        </is>
      </c>
      <c r="B247" s="1" t="n">
        <v>43707</v>
      </c>
      <c r="C247" s="1" t="n">
        <v>45731</v>
      </c>
      <c r="D247" t="inlineStr">
        <is>
          <t>UPPSALA LÄN</t>
        </is>
      </c>
      <c r="E247" t="inlineStr">
        <is>
          <t>UPPSALA</t>
        </is>
      </c>
      <c r="F247" t="inlineStr">
        <is>
          <t>Bergvik skog öst AB</t>
        </is>
      </c>
      <c r="G247" t="n">
        <v>2.7</v>
      </c>
      <c r="H247" t="n">
        <v>0</v>
      </c>
      <c r="I247" t="n">
        <v>0</v>
      </c>
      <c r="J247" t="n">
        <v>0</v>
      </c>
      <c r="K247" t="n">
        <v>0</v>
      </c>
      <c r="L247" t="n">
        <v>0</v>
      </c>
      <c r="M247" t="n">
        <v>0</v>
      </c>
      <c r="N247" t="n">
        <v>0</v>
      </c>
      <c r="O247" t="n">
        <v>0</v>
      </c>
      <c r="P247" t="n">
        <v>0</v>
      </c>
      <c r="Q247" t="n">
        <v>0</v>
      </c>
      <c r="R247" s="2" t="inlineStr"/>
    </row>
    <row r="248" ht="15" customHeight="1">
      <c r="A248" t="inlineStr">
        <is>
          <t>A 43725-2019</t>
        </is>
      </c>
      <c r="B248" s="1" t="n">
        <v>43707</v>
      </c>
      <c r="C248" s="1" t="n">
        <v>45731</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44109-2019</t>
        </is>
      </c>
      <c r="B249" s="1" t="n">
        <v>43707</v>
      </c>
      <c r="C249" s="1" t="n">
        <v>45731</v>
      </c>
      <c r="D249" t="inlineStr">
        <is>
          <t>UPPSALA LÄN</t>
        </is>
      </c>
      <c r="E249" t="inlineStr">
        <is>
          <t>UPPSALA</t>
        </is>
      </c>
      <c r="F249" t="inlineStr">
        <is>
          <t>Allmännings- och besparingsskogar</t>
        </is>
      </c>
      <c r="G249" t="n">
        <v>81.3</v>
      </c>
      <c r="H249" t="n">
        <v>0</v>
      </c>
      <c r="I249" t="n">
        <v>0</v>
      </c>
      <c r="J249" t="n">
        <v>0</v>
      </c>
      <c r="K249" t="n">
        <v>0</v>
      </c>
      <c r="L249" t="n">
        <v>0</v>
      </c>
      <c r="M249" t="n">
        <v>0</v>
      </c>
      <c r="N249" t="n">
        <v>0</v>
      </c>
      <c r="O249" t="n">
        <v>0</v>
      </c>
      <c r="P249" t="n">
        <v>0</v>
      </c>
      <c r="Q249" t="n">
        <v>0</v>
      </c>
      <c r="R249" s="2" t="inlineStr"/>
    </row>
    <row r="250" ht="15" customHeight="1">
      <c r="A250" t="inlineStr">
        <is>
          <t>A 43713-2019</t>
        </is>
      </c>
      <c r="B250" s="1" t="n">
        <v>43707</v>
      </c>
      <c r="C250" s="1" t="n">
        <v>45731</v>
      </c>
      <c r="D250" t="inlineStr">
        <is>
          <t>UPPSALA LÄN</t>
        </is>
      </c>
      <c r="E250" t="inlineStr">
        <is>
          <t>UPPSALA</t>
        </is>
      </c>
      <c r="F250" t="inlineStr">
        <is>
          <t>Bergvik skog öst AB</t>
        </is>
      </c>
      <c r="G250" t="n">
        <v>7.9</v>
      </c>
      <c r="H250" t="n">
        <v>0</v>
      </c>
      <c r="I250" t="n">
        <v>0</v>
      </c>
      <c r="J250" t="n">
        <v>0</v>
      </c>
      <c r="K250" t="n">
        <v>0</v>
      </c>
      <c r="L250" t="n">
        <v>0</v>
      </c>
      <c r="M250" t="n">
        <v>0</v>
      </c>
      <c r="N250" t="n">
        <v>0</v>
      </c>
      <c r="O250" t="n">
        <v>0</v>
      </c>
      <c r="P250" t="n">
        <v>0</v>
      </c>
      <c r="Q250" t="n">
        <v>0</v>
      </c>
      <c r="R250" s="2" t="inlineStr"/>
    </row>
    <row r="251" ht="15" customHeight="1">
      <c r="A251" t="inlineStr">
        <is>
          <t>A 43853-2019</t>
        </is>
      </c>
      <c r="B251" s="1" t="n">
        <v>43707</v>
      </c>
      <c r="C251" s="1" t="n">
        <v>45731</v>
      </c>
      <c r="D251" t="inlineStr">
        <is>
          <t>UPPSALA LÄN</t>
        </is>
      </c>
      <c r="E251" t="inlineStr">
        <is>
          <t>UPPSALA</t>
        </is>
      </c>
      <c r="F251" t="inlineStr">
        <is>
          <t>Övriga statliga verk och myndigheter</t>
        </is>
      </c>
      <c r="G251" t="n">
        <v>1.8</v>
      </c>
      <c r="H251" t="n">
        <v>0</v>
      </c>
      <c r="I251" t="n">
        <v>0</v>
      </c>
      <c r="J251" t="n">
        <v>0</v>
      </c>
      <c r="K251" t="n">
        <v>0</v>
      </c>
      <c r="L251" t="n">
        <v>0</v>
      </c>
      <c r="M251" t="n">
        <v>0</v>
      </c>
      <c r="N251" t="n">
        <v>0</v>
      </c>
      <c r="O251" t="n">
        <v>0</v>
      </c>
      <c r="P251" t="n">
        <v>0</v>
      </c>
      <c r="Q251" t="n">
        <v>0</v>
      </c>
      <c r="R251" s="2" t="inlineStr"/>
    </row>
    <row r="252" ht="15" customHeight="1">
      <c r="A252" t="inlineStr">
        <is>
          <t>A 44141-2019</t>
        </is>
      </c>
      <c r="B252" s="1" t="n">
        <v>43710</v>
      </c>
      <c r="C252" s="1" t="n">
        <v>45731</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44701-2019</t>
        </is>
      </c>
      <c r="B253" s="1" t="n">
        <v>43712</v>
      </c>
      <c r="C253" s="1" t="n">
        <v>45731</v>
      </c>
      <c r="D253" t="inlineStr">
        <is>
          <t>UPPSALA LÄN</t>
        </is>
      </c>
      <c r="E253" t="inlineStr">
        <is>
          <t>UPPSALA</t>
        </is>
      </c>
      <c r="G253" t="n">
        <v>3.4</v>
      </c>
      <c r="H253" t="n">
        <v>0</v>
      </c>
      <c r="I253" t="n">
        <v>0</v>
      </c>
      <c r="J253" t="n">
        <v>0</v>
      </c>
      <c r="K253" t="n">
        <v>0</v>
      </c>
      <c r="L253" t="n">
        <v>0</v>
      </c>
      <c r="M253" t="n">
        <v>0</v>
      </c>
      <c r="N253" t="n">
        <v>0</v>
      </c>
      <c r="O253" t="n">
        <v>0</v>
      </c>
      <c r="P253" t="n">
        <v>0</v>
      </c>
      <c r="Q253" t="n">
        <v>0</v>
      </c>
      <c r="R253" s="2" t="inlineStr"/>
    </row>
    <row r="254" ht="15" customHeight="1">
      <c r="A254" t="inlineStr">
        <is>
          <t>A 44687-2019</t>
        </is>
      </c>
      <c r="B254" s="1" t="n">
        <v>43712</v>
      </c>
      <c r="C254" s="1" t="n">
        <v>45731</v>
      </c>
      <c r="D254" t="inlineStr">
        <is>
          <t>UPPSALA LÄN</t>
        </is>
      </c>
      <c r="E254" t="inlineStr">
        <is>
          <t>UPPSALA</t>
        </is>
      </c>
      <c r="G254" t="n">
        <v>3.3</v>
      </c>
      <c r="H254" t="n">
        <v>0</v>
      </c>
      <c r="I254" t="n">
        <v>0</v>
      </c>
      <c r="J254" t="n">
        <v>0</v>
      </c>
      <c r="K254" t="n">
        <v>0</v>
      </c>
      <c r="L254" t="n">
        <v>0</v>
      </c>
      <c r="M254" t="n">
        <v>0</v>
      </c>
      <c r="N254" t="n">
        <v>0</v>
      </c>
      <c r="O254" t="n">
        <v>0</v>
      </c>
      <c r="P254" t="n">
        <v>0</v>
      </c>
      <c r="Q254" t="n">
        <v>0</v>
      </c>
      <c r="R254" s="2" t="inlineStr"/>
    </row>
    <row r="255" ht="15" customHeight="1">
      <c r="A255" t="inlineStr">
        <is>
          <t>A 45010-2019</t>
        </is>
      </c>
      <c r="B255" s="1" t="n">
        <v>43713</v>
      </c>
      <c r="C255" s="1" t="n">
        <v>45731</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45574-2019</t>
        </is>
      </c>
      <c r="B256" s="1" t="n">
        <v>43716</v>
      </c>
      <c r="C256" s="1" t="n">
        <v>45731</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46311-2019</t>
        </is>
      </c>
      <c r="B257" s="1" t="n">
        <v>43718</v>
      </c>
      <c r="C257" s="1" t="n">
        <v>45731</v>
      </c>
      <c r="D257" t="inlineStr">
        <is>
          <t>UPPSALA LÄN</t>
        </is>
      </c>
      <c r="E257" t="inlineStr">
        <is>
          <t>UPPSALA</t>
        </is>
      </c>
      <c r="G257" t="n">
        <v>1.1</v>
      </c>
      <c r="H257" t="n">
        <v>0</v>
      </c>
      <c r="I257" t="n">
        <v>0</v>
      </c>
      <c r="J257" t="n">
        <v>0</v>
      </c>
      <c r="K257" t="n">
        <v>0</v>
      </c>
      <c r="L257" t="n">
        <v>0</v>
      </c>
      <c r="M257" t="n">
        <v>0</v>
      </c>
      <c r="N257" t="n">
        <v>0</v>
      </c>
      <c r="O257" t="n">
        <v>0</v>
      </c>
      <c r="P257" t="n">
        <v>0</v>
      </c>
      <c r="Q257" t="n">
        <v>0</v>
      </c>
      <c r="R257" s="2" t="inlineStr"/>
    </row>
    <row r="258" ht="15" customHeight="1">
      <c r="A258" t="inlineStr">
        <is>
          <t>A 46307-2019</t>
        </is>
      </c>
      <c r="B258" s="1" t="n">
        <v>43718</v>
      </c>
      <c r="C258" s="1" t="n">
        <v>45731</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46151-2019</t>
        </is>
      </c>
      <c r="B259" s="1" t="n">
        <v>43718</v>
      </c>
      <c r="C259" s="1" t="n">
        <v>45731</v>
      </c>
      <c r="D259" t="inlineStr">
        <is>
          <t>UPPSALA LÄN</t>
        </is>
      </c>
      <c r="E259" t="inlineStr">
        <is>
          <t>UPPSALA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46157-2019</t>
        </is>
      </c>
      <c r="B260" s="1" t="n">
        <v>43718</v>
      </c>
      <c r="C260" s="1" t="n">
        <v>45731</v>
      </c>
      <c r="D260" t="inlineStr">
        <is>
          <t>UPPSALA LÄN</t>
        </is>
      </c>
      <c r="E260" t="inlineStr">
        <is>
          <t>UPPSALA</t>
        </is>
      </c>
      <c r="F260" t="inlineStr">
        <is>
          <t>Övriga Aktiebolag</t>
        </is>
      </c>
      <c r="G260" t="n">
        <v>4.5</v>
      </c>
      <c r="H260" t="n">
        <v>0</v>
      </c>
      <c r="I260" t="n">
        <v>0</v>
      </c>
      <c r="J260" t="n">
        <v>0</v>
      </c>
      <c r="K260" t="n">
        <v>0</v>
      </c>
      <c r="L260" t="n">
        <v>0</v>
      </c>
      <c r="M260" t="n">
        <v>0</v>
      </c>
      <c r="N260" t="n">
        <v>0</v>
      </c>
      <c r="O260" t="n">
        <v>0</v>
      </c>
      <c r="P260" t="n">
        <v>0</v>
      </c>
      <c r="Q260" t="n">
        <v>0</v>
      </c>
      <c r="R260" s="2" t="inlineStr"/>
    </row>
    <row r="261" ht="15" customHeight="1">
      <c r="A261" t="inlineStr">
        <is>
          <t>A 46310-2019</t>
        </is>
      </c>
      <c r="B261" s="1" t="n">
        <v>43718</v>
      </c>
      <c r="C261" s="1" t="n">
        <v>45731</v>
      </c>
      <c r="D261" t="inlineStr">
        <is>
          <t>UPPSALA LÄN</t>
        </is>
      </c>
      <c r="E261" t="inlineStr">
        <is>
          <t>UPPSALA</t>
        </is>
      </c>
      <c r="G261" t="n">
        <v>7</v>
      </c>
      <c r="H261" t="n">
        <v>0</v>
      </c>
      <c r="I261" t="n">
        <v>0</v>
      </c>
      <c r="J261" t="n">
        <v>0</v>
      </c>
      <c r="K261" t="n">
        <v>0</v>
      </c>
      <c r="L261" t="n">
        <v>0</v>
      </c>
      <c r="M261" t="n">
        <v>0</v>
      </c>
      <c r="N261" t="n">
        <v>0</v>
      </c>
      <c r="O261" t="n">
        <v>0</v>
      </c>
      <c r="P261" t="n">
        <v>0</v>
      </c>
      <c r="Q261" t="n">
        <v>0</v>
      </c>
      <c r="R261" s="2" t="inlineStr"/>
    </row>
    <row r="262" ht="15" customHeight="1">
      <c r="A262" t="inlineStr">
        <is>
          <t>A 46147-2019</t>
        </is>
      </c>
      <c r="B262" s="1" t="n">
        <v>43718</v>
      </c>
      <c r="C262" s="1" t="n">
        <v>45731</v>
      </c>
      <c r="D262" t="inlineStr">
        <is>
          <t>UPPSALA LÄN</t>
        </is>
      </c>
      <c r="E262" t="inlineStr">
        <is>
          <t>UPPSALA</t>
        </is>
      </c>
      <c r="F262" t="inlineStr">
        <is>
          <t>Övriga Aktiebolag</t>
        </is>
      </c>
      <c r="G262" t="n">
        <v>1.7</v>
      </c>
      <c r="H262" t="n">
        <v>0</v>
      </c>
      <c r="I262" t="n">
        <v>0</v>
      </c>
      <c r="J262" t="n">
        <v>0</v>
      </c>
      <c r="K262" t="n">
        <v>0</v>
      </c>
      <c r="L262" t="n">
        <v>0</v>
      </c>
      <c r="M262" t="n">
        <v>0</v>
      </c>
      <c r="N262" t="n">
        <v>0</v>
      </c>
      <c r="O262" t="n">
        <v>0</v>
      </c>
      <c r="P262" t="n">
        <v>0</v>
      </c>
      <c r="Q262" t="n">
        <v>0</v>
      </c>
      <c r="R262" s="2" t="inlineStr"/>
    </row>
    <row r="263" ht="15" customHeight="1">
      <c r="A263" t="inlineStr">
        <is>
          <t>A 46877-2019</t>
        </is>
      </c>
      <c r="B263" s="1" t="n">
        <v>43720</v>
      </c>
      <c r="C263" s="1" t="n">
        <v>45731</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46896-2019</t>
        </is>
      </c>
      <c r="B264" s="1" t="n">
        <v>43720</v>
      </c>
      <c r="C264" s="1" t="n">
        <v>45731</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48485-2019</t>
        </is>
      </c>
      <c r="B265" s="1" t="n">
        <v>43727</v>
      </c>
      <c r="C265" s="1" t="n">
        <v>45731</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49567-2019</t>
        </is>
      </c>
      <c r="B266" s="1" t="n">
        <v>43730</v>
      </c>
      <c r="C266" s="1" t="n">
        <v>45731</v>
      </c>
      <c r="D266" t="inlineStr">
        <is>
          <t>UPPSALA LÄN</t>
        </is>
      </c>
      <c r="E266" t="inlineStr">
        <is>
          <t>UPPSALA</t>
        </is>
      </c>
      <c r="G266" t="n">
        <v>6</v>
      </c>
      <c r="H266" t="n">
        <v>0</v>
      </c>
      <c r="I266" t="n">
        <v>0</v>
      </c>
      <c r="J266" t="n">
        <v>0</v>
      </c>
      <c r="K266" t="n">
        <v>0</v>
      </c>
      <c r="L266" t="n">
        <v>0</v>
      </c>
      <c r="M266" t="n">
        <v>0</v>
      </c>
      <c r="N266" t="n">
        <v>0</v>
      </c>
      <c r="O266" t="n">
        <v>0</v>
      </c>
      <c r="P266" t="n">
        <v>0</v>
      </c>
      <c r="Q266" t="n">
        <v>0</v>
      </c>
      <c r="R266" s="2" t="inlineStr"/>
    </row>
    <row r="267" ht="15" customHeight="1">
      <c r="A267" t="inlineStr">
        <is>
          <t>A 50180-2019</t>
        </is>
      </c>
      <c r="B267" s="1" t="n">
        <v>43733</v>
      </c>
      <c r="C267" s="1" t="n">
        <v>45731</v>
      </c>
      <c r="D267" t="inlineStr">
        <is>
          <t>UPPSALA LÄN</t>
        </is>
      </c>
      <c r="E267" t="inlineStr">
        <is>
          <t>UPPSALA</t>
        </is>
      </c>
      <c r="F267" t="inlineStr">
        <is>
          <t>Allmännings- och besparingsskogar</t>
        </is>
      </c>
      <c r="G267" t="n">
        <v>3.7</v>
      </c>
      <c r="H267" t="n">
        <v>0</v>
      </c>
      <c r="I267" t="n">
        <v>0</v>
      </c>
      <c r="J267" t="n">
        <v>0</v>
      </c>
      <c r="K267" t="n">
        <v>0</v>
      </c>
      <c r="L267" t="n">
        <v>0</v>
      </c>
      <c r="M267" t="n">
        <v>0</v>
      </c>
      <c r="N267" t="n">
        <v>0</v>
      </c>
      <c r="O267" t="n">
        <v>0</v>
      </c>
      <c r="P267" t="n">
        <v>0</v>
      </c>
      <c r="Q267" t="n">
        <v>0</v>
      </c>
      <c r="R267" s="2" t="inlineStr"/>
    </row>
    <row r="268" ht="15" customHeight="1">
      <c r="A268" t="inlineStr">
        <is>
          <t>A 50387-2019</t>
        </is>
      </c>
      <c r="B268" s="1" t="n">
        <v>43735</v>
      </c>
      <c r="C268" s="1" t="n">
        <v>45731</v>
      </c>
      <c r="D268" t="inlineStr">
        <is>
          <t>UPPSALA LÄN</t>
        </is>
      </c>
      <c r="E268" t="inlineStr">
        <is>
          <t>UPPSALA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50415-2019</t>
        </is>
      </c>
      <c r="B269" s="1" t="n">
        <v>43735</v>
      </c>
      <c r="C269" s="1" t="n">
        <v>45731</v>
      </c>
      <c r="D269" t="inlineStr">
        <is>
          <t>UPPSALA LÄN</t>
        </is>
      </c>
      <c r="E269" t="inlineStr">
        <is>
          <t>UPPSALA</t>
        </is>
      </c>
      <c r="F269" t="inlineStr">
        <is>
          <t>Kyrkan</t>
        </is>
      </c>
      <c r="G269" t="n">
        <v>13.6</v>
      </c>
      <c r="H269" t="n">
        <v>0</v>
      </c>
      <c r="I269" t="n">
        <v>0</v>
      </c>
      <c r="J269" t="n">
        <v>0</v>
      </c>
      <c r="K269" t="n">
        <v>0</v>
      </c>
      <c r="L269" t="n">
        <v>0</v>
      </c>
      <c r="M269" t="n">
        <v>0</v>
      </c>
      <c r="N269" t="n">
        <v>0</v>
      </c>
      <c r="O269" t="n">
        <v>0</v>
      </c>
      <c r="P269" t="n">
        <v>0</v>
      </c>
      <c r="Q269" t="n">
        <v>0</v>
      </c>
      <c r="R269" s="2" t="inlineStr"/>
    </row>
    <row r="270" ht="15" customHeight="1">
      <c r="A270" t="inlineStr">
        <is>
          <t>A 50616-2019</t>
        </is>
      </c>
      <c r="B270" s="1" t="n">
        <v>43736</v>
      </c>
      <c r="C270" s="1" t="n">
        <v>45731</v>
      </c>
      <c r="D270" t="inlineStr">
        <is>
          <t>UPPSALA LÄN</t>
        </is>
      </c>
      <c r="E270" t="inlineStr">
        <is>
          <t>UPPSALA</t>
        </is>
      </c>
      <c r="G270" t="n">
        <v>4.8</v>
      </c>
      <c r="H270" t="n">
        <v>0</v>
      </c>
      <c r="I270" t="n">
        <v>0</v>
      </c>
      <c r="J270" t="n">
        <v>0</v>
      </c>
      <c r="K270" t="n">
        <v>0</v>
      </c>
      <c r="L270" t="n">
        <v>0</v>
      </c>
      <c r="M270" t="n">
        <v>0</v>
      </c>
      <c r="N270" t="n">
        <v>0</v>
      </c>
      <c r="O270" t="n">
        <v>0</v>
      </c>
      <c r="P270" t="n">
        <v>0</v>
      </c>
      <c r="Q270" t="n">
        <v>0</v>
      </c>
      <c r="R270" s="2" t="inlineStr"/>
    </row>
    <row r="271" ht="15" customHeight="1">
      <c r="A271" t="inlineStr">
        <is>
          <t>A 52386-2019</t>
        </is>
      </c>
      <c r="B271" s="1" t="n">
        <v>43745</v>
      </c>
      <c r="C271" s="1" t="n">
        <v>45731</v>
      </c>
      <c r="D271" t="inlineStr">
        <is>
          <t>UPPSALA LÄN</t>
        </is>
      </c>
      <c r="E271" t="inlineStr">
        <is>
          <t>UPPSALA</t>
        </is>
      </c>
      <c r="G271" t="n">
        <v>15.7</v>
      </c>
      <c r="H271" t="n">
        <v>0</v>
      </c>
      <c r="I271" t="n">
        <v>0</v>
      </c>
      <c r="J271" t="n">
        <v>0</v>
      </c>
      <c r="K271" t="n">
        <v>0</v>
      </c>
      <c r="L271" t="n">
        <v>0</v>
      </c>
      <c r="M271" t="n">
        <v>0</v>
      </c>
      <c r="N271" t="n">
        <v>0</v>
      </c>
      <c r="O271" t="n">
        <v>0</v>
      </c>
      <c r="P271" t="n">
        <v>0</v>
      </c>
      <c r="Q271" t="n">
        <v>0</v>
      </c>
      <c r="R271" s="2" t="inlineStr"/>
    </row>
    <row r="272" ht="15" customHeight="1">
      <c r="A272" t="inlineStr">
        <is>
          <t>A 52419-2019</t>
        </is>
      </c>
      <c r="B272" s="1" t="n">
        <v>43745</v>
      </c>
      <c r="C272" s="1" t="n">
        <v>45731</v>
      </c>
      <c r="D272" t="inlineStr">
        <is>
          <t>UPPSALA LÄN</t>
        </is>
      </c>
      <c r="E272" t="inlineStr">
        <is>
          <t>UPPSALA</t>
        </is>
      </c>
      <c r="F272" t="inlineStr">
        <is>
          <t>Allmännings- och besparingsskogar</t>
        </is>
      </c>
      <c r="G272" t="n">
        <v>5.3</v>
      </c>
      <c r="H272" t="n">
        <v>0</v>
      </c>
      <c r="I272" t="n">
        <v>0</v>
      </c>
      <c r="J272" t="n">
        <v>0</v>
      </c>
      <c r="K272" t="n">
        <v>0</v>
      </c>
      <c r="L272" t="n">
        <v>0</v>
      </c>
      <c r="M272" t="n">
        <v>0</v>
      </c>
      <c r="N272" t="n">
        <v>0</v>
      </c>
      <c r="O272" t="n">
        <v>0</v>
      </c>
      <c r="P272" t="n">
        <v>0</v>
      </c>
      <c r="Q272" t="n">
        <v>0</v>
      </c>
      <c r="R272" s="2" t="inlineStr"/>
    </row>
    <row r="273" ht="15" customHeight="1">
      <c r="A273" t="inlineStr">
        <is>
          <t>A 52950-2019</t>
        </is>
      </c>
      <c r="B273" s="1" t="n">
        <v>43747</v>
      </c>
      <c r="C273" s="1" t="n">
        <v>45731</v>
      </c>
      <c r="D273" t="inlineStr">
        <is>
          <t>UPPSALA LÄN</t>
        </is>
      </c>
      <c r="E273" t="inlineStr">
        <is>
          <t>UPPSALA</t>
        </is>
      </c>
      <c r="G273" t="n">
        <v>0.2</v>
      </c>
      <c r="H273" t="n">
        <v>0</v>
      </c>
      <c r="I273" t="n">
        <v>0</v>
      </c>
      <c r="J273" t="n">
        <v>0</v>
      </c>
      <c r="K273" t="n">
        <v>0</v>
      </c>
      <c r="L273" t="n">
        <v>0</v>
      </c>
      <c r="M273" t="n">
        <v>0</v>
      </c>
      <c r="N273" t="n">
        <v>0</v>
      </c>
      <c r="O273" t="n">
        <v>0</v>
      </c>
      <c r="P273" t="n">
        <v>0</v>
      </c>
      <c r="Q273" t="n">
        <v>0</v>
      </c>
      <c r="R273" s="2" t="inlineStr"/>
    </row>
    <row r="274" ht="15" customHeight="1">
      <c r="A274" t="inlineStr">
        <is>
          <t>A 53303-2019</t>
        </is>
      </c>
      <c r="B274" s="1" t="n">
        <v>43747</v>
      </c>
      <c r="C274" s="1" t="n">
        <v>45731</v>
      </c>
      <c r="D274" t="inlineStr">
        <is>
          <t>UPPSALA LÄN</t>
        </is>
      </c>
      <c r="E274" t="inlineStr">
        <is>
          <t>UPPSALA</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53316-2019</t>
        </is>
      </c>
      <c r="B275" s="1" t="n">
        <v>43748</v>
      </c>
      <c r="C275" s="1" t="n">
        <v>45731</v>
      </c>
      <c r="D275" t="inlineStr">
        <is>
          <t>UPPSALA LÄN</t>
        </is>
      </c>
      <c r="E275" t="inlineStr">
        <is>
          <t>UPPSALA</t>
        </is>
      </c>
      <c r="G275" t="n">
        <v>2.3</v>
      </c>
      <c r="H275" t="n">
        <v>0</v>
      </c>
      <c r="I275" t="n">
        <v>0</v>
      </c>
      <c r="J275" t="n">
        <v>0</v>
      </c>
      <c r="K275" t="n">
        <v>0</v>
      </c>
      <c r="L275" t="n">
        <v>0</v>
      </c>
      <c r="M275" t="n">
        <v>0</v>
      </c>
      <c r="N275" t="n">
        <v>0</v>
      </c>
      <c r="O275" t="n">
        <v>0</v>
      </c>
      <c r="P275" t="n">
        <v>0</v>
      </c>
      <c r="Q275" t="n">
        <v>0</v>
      </c>
      <c r="R275" s="2" t="inlineStr"/>
    </row>
    <row r="276" ht="15" customHeight="1">
      <c r="A276" t="inlineStr">
        <is>
          <t>A 54757-2019</t>
        </is>
      </c>
      <c r="B276" s="1" t="n">
        <v>43755</v>
      </c>
      <c r="C276" s="1" t="n">
        <v>45731</v>
      </c>
      <c r="D276" t="inlineStr">
        <is>
          <t>UPPSALA LÄN</t>
        </is>
      </c>
      <c r="E276" t="inlineStr">
        <is>
          <t>UPPSALA</t>
        </is>
      </c>
      <c r="F276" t="inlineStr">
        <is>
          <t>Övriga statliga verk och myndigheter</t>
        </is>
      </c>
      <c r="G276" t="n">
        <v>1.5</v>
      </c>
      <c r="H276" t="n">
        <v>0</v>
      </c>
      <c r="I276" t="n">
        <v>0</v>
      </c>
      <c r="J276" t="n">
        <v>0</v>
      </c>
      <c r="K276" t="n">
        <v>0</v>
      </c>
      <c r="L276" t="n">
        <v>0</v>
      </c>
      <c r="M276" t="n">
        <v>0</v>
      </c>
      <c r="N276" t="n">
        <v>0</v>
      </c>
      <c r="O276" t="n">
        <v>0</v>
      </c>
      <c r="P276" t="n">
        <v>0</v>
      </c>
      <c r="Q276" t="n">
        <v>0</v>
      </c>
      <c r="R276" s="2" t="inlineStr"/>
    </row>
    <row r="277" ht="15" customHeight="1">
      <c r="A277" t="inlineStr">
        <is>
          <t>A 56041-2019</t>
        </is>
      </c>
      <c r="B277" s="1" t="n">
        <v>43759</v>
      </c>
      <c r="C277" s="1" t="n">
        <v>45731</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56634-2019</t>
        </is>
      </c>
      <c r="B278" s="1" t="n">
        <v>43763</v>
      </c>
      <c r="C278" s="1" t="n">
        <v>45731</v>
      </c>
      <c r="D278" t="inlineStr">
        <is>
          <t>UPPSALA LÄN</t>
        </is>
      </c>
      <c r="E278" t="inlineStr">
        <is>
          <t>UPPSALA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58445-2019</t>
        </is>
      </c>
      <c r="B279" s="1" t="n">
        <v>43773</v>
      </c>
      <c r="C279" s="1" t="n">
        <v>45731</v>
      </c>
      <c r="D279" t="inlineStr">
        <is>
          <t>UPPSALA LÄN</t>
        </is>
      </c>
      <c r="E279" t="inlineStr">
        <is>
          <t>UPPSALA</t>
        </is>
      </c>
      <c r="G279" t="n">
        <v>5</v>
      </c>
      <c r="H279" t="n">
        <v>0</v>
      </c>
      <c r="I279" t="n">
        <v>0</v>
      </c>
      <c r="J279" t="n">
        <v>0</v>
      </c>
      <c r="K279" t="n">
        <v>0</v>
      </c>
      <c r="L279" t="n">
        <v>0</v>
      </c>
      <c r="M279" t="n">
        <v>0</v>
      </c>
      <c r="N279" t="n">
        <v>0</v>
      </c>
      <c r="O279" t="n">
        <v>0</v>
      </c>
      <c r="P279" t="n">
        <v>0</v>
      </c>
      <c r="Q279" t="n">
        <v>0</v>
      </c>
      <c r="R279" s="2" t="inlineStr"/>
    </row>
    <row r="280" ht="15" customHeight="1">
      <c r="A280" t="inlineStr">
        <is>
          <t>A 58527-2019</t>
        </is>
      </c>
      <c r="B280" s="1" t="n">
        <v>43773</v>
      </c>
      <c r="C280" s="1" t="n">
        <v>45731</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58903-2019</t>
        </is>
      </c>
      <c r="B281" s="1" t="n">
        <v>43773</v>
      </c>
      <c r="C281" s="1" t="n">
        <v>45731</v>
      </c>
      <c r="D281" t="inlineStr">
        <is>
          <t>UPPSALA LÄN</t>
        </is>
      </c>
      <c r="E281" t="inlineStr">
        <is>
          <t>UPPSALA</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60011-2019</t>
        </is>
      </c>
      <c r="B282" s="1" t="n">
        <v>43777</v>
      </c>
      <c r="C282" s="1" t="n">
        <v>45731</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60159-2019</t>
        </is>
      </c>
      <c r="B283" s="1" t="n">
        <v>43777</v>
      </c>
      <c r="C283" s="1" t="n">
        <v>45731</v>
      </c>
      <c r="D283" t="inlineStr">
        <is>
          <t>UPPSALA LÄN</t>
        </is>
      </c>
      <c r="E283" t="inlineStr">
        <is>
          <t>UPPSALA</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60163-2019</t>
        </is>
      </c>
      <c r="B284" s="1" t="n">
        <v>43780</v>
      </c>
      <c r="C284" s="1" t="n">
        <v>45731</v>
      </c>
      <c r="D284" t="inlineStr">
        <is>
          <t>UPPSALA LÄN</t>
        </is>
      </c>
      <c r="E284" t="inlineStr">
        <is>
          <t>UPPSALA</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60579-2019</t>
        </is>
      </c>
      <c r="B285" s="1" t="n">
        <v>43780</v>
      </c>
      <c r="C285" s="1" t="n">
        <v>45731</v>
      </c>
      <c r="D285" t="inlineStr">
        <is>
          <t>UPPSALA LÄN</t>
        </is>
      </c>
      <c r="E285" t="inlineStr">
        <is>
          <t>UPPSALA</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62308-2019</t>
        </is>
      </c>
      <c r="B286" s="1" t="n">
        <v>43782</v>
      </c>
      <c r="C286" s="1" t="n">
        <v>45731</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61667-2019</t>
        </is>
      </c>
      <c r="B287" s="1" t="n">
        <v>43784</v>
      </c>
      <c r="C287" s="1" t="n">
        <v>45731</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63145-2019</t>
        </is>
      </c>
      <c r="B288" s="1" t="n">
        <v>43791</v>
      </c>
      <c r="C288" s="1" t="n">
        <v>45731</v>
      </c>
      <c r="D288" t="inlineStr">
        <is>
          <t>UPPSALA LÄN</t>
        </is>
      </c>
      <c r="E288" t="inlineStr">
        <is>
          <t>UPPSALA</t>
        </is>
      </c>
      <c r="G288" t="n">
        <v>1.8</v>
      </c>
      <c r="H288" t="n">
        <v>0</v>
      </c>
      <c r="I288" t="n">
        <v>0</v>
      </c>
      <c r="J288" t="n">
        <v>0</v>
      </c>
      <c r="K288" t="n">
        <v>0</v>
      </c>
      <c r="L288" t="n">
        <v>0</v>
      </c>
      <c r="M288" t="n">
        <v>0</v>
      </c>
      <c r="N288" t="n">
        <v>0</v>
      </c>
      <c r="O288" t="n">
        <v>0</v>
      </c>
      <c r="P288" t="n">
        <v>0</v>
      </c>
      <c r="Q288" t="n">
        <v>0</v>
      </c>
      <c r="R288" s="2" t="inlineStr"/>
    </row>
    <row r="289" ht="15" customHeight="1">
      <c r="A289" t="inlineStr">
        <is>
          <t>A 63091-2019</t>
        </is>
      </c>
      <c r="B289" s="1" t="n">
        <v>43791</v>
      </c>
      <c r="C289" s="1" t="n">
        <v>45731</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63099-2019</t>
        </is>
      </c>
      <c r="B290" s="1" t="n">
        <v>43791</v>
      </c>
      <c r="C290" s="1" t="n">
        <v>45731</v>
      </c>
      <c r="D290" t="inlineStr">
        <is>
          <t>UPPSALA LÄN</t>
        </is>
      </c>
      <c r="E290" t="inlineStr">
        <is>
          <t>UPPSALA</t>
        </is>
      </c>
      <c r="G290" t="n">
        <v>4.4</v>
      </c>
      <c r="H290" t="n">
        <v>0</v>
      </c>
      <c r="I290" t="n">
        <v>0</v>
      </c>
      <c r="J290" t="n">
        <v>0</v>
      </c>
      <c r="K290" t="n">
        <v>0</v>
      </c>
      <c r="L290" t="n">
        <v>0</v>
      </c>
      <c r="M290" t="n">
        <v>0</v>
      </c>
      <c r="N290" t="n">
        <v>0</v>
      </c>
      <c r="O290" t="n">
        <v>0</v>
      </c>
      <c r="P290" t="n">
        <v>0</v>
      </c>
      <c r="Q290" t="n">
        <v>0</v>
      </c>
      <c r="R290" s="2" t="inlineStr"/>
    </row>
    <row r="291" ht="15" customHeight="1">
      <c r="A291" t="inlineStr">
        <is>
          <t>A 63118-2019</t>
        </is>
      </c>
      <c r="B291" s="1" t="n">
        <v>43791</v>
      </c>
      <c r="C291" s="1" t="n">
        <v>45731</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63589-2019</t>
        </is>
      </c>
      <c r="B292" s="1" t="n">
        <v>43795</v>
      </c>
      <c r="C292" s="1" t="n">
        <v>45731</v>
      </c>
      <c r="D292" t="inlineStr">
        <is>
          <t>UPPSALA LÄN</t>
        </is>
      </c>
      <c r="E292" t="inlineStr">
        <is>
          <t>UPPSALA</t>
        </is>
      </c>
      <c r="G292" t="n">
        <v>3.8</v>
      </c>
      <c r="H292" t="n">
        <v>0</v>
      </c>
      <c r="I292" t="n">
        <v>0</v>
      </c>
      <c r="J292" t="n">
        <v>0</v>
      </c>
      <c r="K292" t="n">
        <v>0</v>
      </c>
      <c r="L292" t="n">
        <v>0</v>
      </c>
      <c r="M292" t="n">
        <v>0</v>
      </c>
      <c r="N292" t="n">
        <v>0</v>
      </c>
      <c r="O292" t="n">
        <v>0</v>
      </c>
      <c r="P292" t="n">
        <v>0</v>
      </c>
      <c r="Q292" t="n">
        <v>0</v>
      </c>
      <c r="R292" s="2" t="inlineStr"/>
    </row>
    <row r="293" ht="15" customHeight="1">
      <c r="A293" t="inlineStr">
        <is>
          <t>A 63757-2019</t>
        </is>
      </c>
      <c r="B293" s="1" t="n">
        <v>43795</v>
      </c>
      <c r="C293" s="1" t="n">
        <v>45731</v>
      </c>
      <c r="D293" t="inlineStr">
        <is>
          <t>UPPSALA LÄN</t>
        </is>
      </c>
      <c r="E293" t="inlineStr">
        <is>
          <t>UPPSALA</t>
        </is>
      </c>
      <c r="G293" t="n">
        <v>6.9</v>
      </c>
      <c r="H293" t="n">
        <v>0</v>
      </c>
      <c r="I293" t="n">
        <v>0</v>
      </c>
      <c r="J293" t="n">
        <v>0</v>
      </c>
      <c r="K293" t="n">
        <v>0</v>
      </c>
      <c r="L293" t="n">
        <v>0</v>
      </c>
      <c r="M293" t="n">
        <v>0</v>
      </c>
      <c r="N293" t="n">
        <v>0</v>
      </c>
      <c r="O293" t="n">
        <v>0</v>
      </c>
      <c r="P293" t="n">
        <v>0</v>
      </c>
      <c r="Q293" t="n">
        <v>0</v>
      </c>
      <c r="R293" s="2" t="inlineStr"/>
    </row>
    <row r="294" ht="15" customHeight="1">
      <c r="A294" t="inlineStr">
        <is>
          <t>A 63756-2019</t>
        </is>
      </c>
      <c r="B294" s="1" t="n">
        <v>43795</v>
      </c>
      <c r="C294" s="1" t="n">
        <v>45731</v>
      </c>
      <c r="D294" t="inlineStr">
        <is>
          <t>UPPSALA LÄN</t>
        </is>
      </c>
      <c r="E294" t="inlineStr">
        <is>
          <t>UPPSALA</t>
        </is>
      </c>
      <c r="G294" t="n">
        <v>6.5</v>
      </c>
      <c r="H294" t="n">
        <v>0</v>
      </c>
      <c r="I294" t="n">
        <v>0</v>
      </c>
      <c r="J294" t="n">
        <v>0</v>
      </c>
      <c r="K294" t="n">
        <v>0</v>
      </c>
      <c r="L294" t="n">
        <v>0</v>
      </c>
      <c r="M294" t="n">
        <v>0</v>
      </c>
      <c r="N294" t="n">
        <v>0</v>
      </c>
      <c r="O294" t="n">
        <v>0</v>
      </c>
      <c r="P294" t="n">
        <v>0</v>
      </c>
      <c r="Q294" t="n">
        <v>0</v>
      </c>
      <c r="R294" s="2" t="inlineStr"/>
    </row>
    <row r="295" ht="15" customHeight="1">
      <c r="A295" t="inlineStr">
        <is>
          <t>A 64836-2019</t>
        </is>
      </c>
      <c r="B295" s="1" t="n">
        <v>43801</v>
      </c>
      <c r="C295" s="1" t="n">
        <v>45731</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64834-2019</t>
        </is>
      </c>
      <c r="B296" s="1" t="n">
        <v>43801</v>
      </c>
      <c r="C296" s="1" t="n">
        <v>45731</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65527-2019</t>
        </is>
      </c>
      <c r="B297" s="1" t="n">
        <v>43803</v>
      </c>
      <c r="C297" s="1" t="n">
        <v>45731</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65668-2019</t>
        </is>
      </c>
      <c r="B298" s="1" t="n">
        <v>43804</v>
      </c>
      <c r="C298" s="1" t="n">
        <v>45731</v>
      </c>
      <c r="D298" t="inlineStr">
        <is>
          <t>UPPSALA LÄN</t>
        </is>
      </c>
      <c r="E298" t="inlineStr">
        <is>
          <t>UPPSALA</t>
        </is>
      </c>
      <c r="G298" t="n">
        <v>7.6</v>
      </c>
      <c r="H298" t="n">
        <v>0</v>
      </c>
      <c r="I298" t="n">
        <v>0</v>
      </c>
      <c r="J298" t="n">
        <v>0</v>
      </c>
      <c r="K298" t="n">
        <v>0</v>
      </c>
      <c r="L298" t="n">
        <v>0</v>
      </c>
      <c r="M298" t="n">
        <v>0</v>
      </c>
      <c r="N298" t="n">
        <v>0</v>
      </c>
      <c r="O298" t="n">
        <v>0</v>
      </c>
      <c r="P298" t="n">
        <v>0</v>
      </c>
      <c r="Q298" t="n">
        <v>0</v>
      </c>
      <c r="R298" s="2" t="inlineStr"/>
    </row>
    <row r="299" ht="15" customHeight="1">
      <c r="A299" t="inlineStr">
        <is>
          <t>A 66167-2019</t>
        </is>
      </c>
      <c r="B299" s="1" t="n">
        <v>43808</v>
      </c>
      <c r="C299" s="1" t="n">
        <v>45731</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66270-2019</t>
        </is>
      </c>
      <c r="B300" s="1" t="n">
        <v>43808</v>
      </c>
      <c r="C300" s="1" t="n">
        <v>45731</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67108-2019</t>
        </is>
      </c>
      <c r="B301" s="1" t="n">
        <v>43811</v>
      </c>
      <c r="C301" s="1" t="n">
        <v>45731</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67281-2019</t>
        </is>
      </c>
      <c r="B302" s="1" t="n">
        <v>43812</v>
      </c>
      <c r="C302" s="1" t="n">
        <v>45731</v>
      </c>
      <c r="D302" t="inlineStr">
        <is>
          <t>UPPSALA LÄN</t>
        </is>
      </c>
      <c r="E302" t="inlineStr">
        <is>
          <t>UPPSALA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67508-2019</t>
        </is>
      </c>
      <c r="B303" s="1" t="n">
        <v>43814</v>
      </c>
      <c r="C303" s="1" t="n">
        <v>45731</v>
      </c>
      <c r="D303" t="inlineStr">
        <is>
          <t>UPPSALA LÄN</t>
        </is>
      </c>
      <c r="E303" t="inlineStr">
        <is>
          <t>UPPSALA</t>
        </is>
      </c>
      <c r="F303" t="inlineStr">
        <is>
          <t>Allmännings- och besparingsskogar</t>
        </is>
      </c>
      <c r="G303" t="n">
        <v>4.9</v>
      </c>
      <c r="H303" t="n">
        <v>0</v>
      </c>
      <c r="I303" t="n">
        <v>0</v>
      </c>
      <c r="J303" t="n">
        <v>0</v>
      </c>
      <c r="K303" t="n">
        <v>0</v>
      </c>
      <c r="L303" t="n">
        <v>0</v>
      </c>
      <c r="M303" t="n">
        <v>0</v>
      </c>
      <c r="N303" t="n">
        <v>0</v>
      </c>
      <c r="O303" t="n">
        <v>0</v>
      </c>
      <c r="P303" t="n">
        <v>0</v>
      </c>
      <c r="Q303" t="n">
        <v>0</v>
      </c>
      <c r="R303" s="2" t="inlineStr"/>
    </row>
    <row r="304" ht="15" customHeight="1">
      <c r="A304" t="inlineStr">
        <is>
          <t>A 67504-2019</t>
        </is>
      </c>
      <c r="B304" s="1" t="n">
        <v>43814</v>
      </c>
      <c r="C304" s="1" t="n">
        <v>45731</v>
      </c>
      <c r="D304" t="inlineStr">
        <is>
          <t>UPPSALA LÄN</t>
        </is>
      </c>
      <c r="E304" t="inlineStr">
        <is>
          <t>UPPSALA</t>
        </is>
      </c>
      <c r="F304" t="inlineStr">
        <is>
          <t>Allmännings- och besparingsskogar</t>
        </is>
      </c>
      <c r="G304" t="n">
        <v>21.9</v>
      </c>
      <c r="H304" t="n">
        <v>0</v>
      </c>
      <c r="I304" t="n">
        <v>0</v>
      </c>
      <c r="J304" t="n">
        <v>0</v>
      </c>
      <c r="K304" t="n">
        <v>0</v>
      </c>
      <c r="L304" t="n">
        <v>0</v>
      </c>
      <c r="M304" t="n">
        <v>0</v>
      </c>
      <c r="N304" t="n">
        <v>0</v>
      </c>
      <c r="O304" t="n">
        <v>0</v>
      </c>
      <c r="P304" t="n">
        <v>0</v>
      </c>
      <c r="Q304" t="n">
        <v>0</v>
      </c>
      <c r="R304" s="2" t="inlineStr"/>
    </row>
    <row r="305" ht="15" customHeight="1">
      <c r="A305" t="inlineStr">
        <is>
          <t>A 67720-2019</t>
        </is>
      </c>
      <c r="B305" s="1" t="n">
        <v>43815</v>
      </c>
      <c r="C305" s="1" t="n">
        <v>45731</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67592-2019</t>
        </is>
      </c>
      <c r="B306" s="1" t="n">
        <v>43815</v>
      </c>
      <c r="C306" s="1" t="n">
        <v>45731</v>
      </c>
      <c r="D306" t="inlineStr">
        <is>
          <t>UPPSALA LÄN</t>
        </is>
      </c>
      <c r="E306" t="inlineStr">
        <is>
          <t>UPPSALA</t>
        </is>
      </c>
      <c r="F306" t="inlineStr">
        <is>
          <t>Övriga statliga verk och myndigheter</t>
        </is>
      </c>
      <c r="G306" t="n">
        <v>0.8</v>
      </c>
      <c r="H306" t="n">
        <v>0</v>
      </c>
      <c r="I306" t="n">
        <v>0</v>
      </c>
      <c r="J306" t="n">
        <v>0</v>
      </c>
      <c r="K306" t="n">
        <v>0</v>
      </c>
      <c r="L306" t="n">
        <v>0</v>
      </c>
      <c r="M306" t="n">
        <v>0</v>
      </c>
      <c r="N306" t="n">
        <v>0</v>
      </c>
      <c r="O306" t="n">
        <v>0</v>
      </c>
      <c r="P306" t="n">
        <v>0</v>
      </c>
      <c r="Q306" t="n">
        <v>0</v>
      </c>
      <c r="R306" s="2" t="inlineStr"/>
    </row>
    <row r="307" ht="15" customHeight="1">
      <c r="A307" t="inlineStr">
        <is>
          <t>A 68264-2019</t>
        </is>
      </c>
      <c r="B307" s="1" t="n">
        <v>43817</v>
      </c>
      <c r="C307" s="1" t="n">
        <v>45731</v>
      </c>
      <c r="D307" t="inlineStr">
        <is>
          <t>UPPSALA LÄN</t>
        </is>
      </c>
      <c r="E307" t="inlineStr">
        <is>
          <t>UPPSALA</t>
        </is>
      </c>
      <c r="G307" t="n">
        <v>2.9</v>
      </c>
      <c r="H307" t="n">
        <v>0</v>
      </c>
      <c r="I307" t="n">
        <v>0</v>
      </c>
      <c r="J307" t="n">
        <v>0</v>
      </c>
      <c r="K307" t="n">
        <v>0</v>
      </c>
      <c r="L307" t="n">
        <v>0</v>
      </c>
      <c r="M307" t="n">
        <v>0</v>
      </c>
      <c r="N307" t="n">
        <v>0</v>
      </c>
      <c r="O307" t="n">
        <v>0</v>
      </c>
      <c r="P307" t="n">
        <v>0</v>
      </c>
      <c r="Q307" t="n">
        <v>0</v>
      </c>
      <c r="R307" s="2" t="inlineStr"/>
    </row>
    <row r="308" ht="15" customHeight="1">
      <c r="A308" t="inlineStr">
        <is>
          <t>A 68265-2019</t>
        </is>
      </c>
      <c r="B308" s="1" t="n">
        <v>43817</v>
      </c>
      <c r="C308" s="1" t="n">
        <v>45731</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68317-2019</t>
        </is>
      </c>
      <c r="B309" s="1" t="n">
        <v>43818</v>
      </c>
      <c r="C309" s="1" t="n">
        <v>45731</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68316-2019</t>
        </is>
      </c>
      <c r="B310" s="1" t="n">
        <v>43818</v>
      </c>
      <c r="C310" s="1" t="n">
        <v>45731</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68908-2019</t>
        </is>
      </c>
      <c r="B311" s="1" t="n">
        <v>43822</v>
      </c>
      <c r="C311" s="1" t="n">
        <v>45731</v>
      </c>
      <c r="D311" t="inlineStr">
        <is>
          <t>UPPSALA LÄN</t>
        </is>
      </c>
      <c r="E311" t="inlineStr">
        <is>
          <t>UPPSALA</t>
        </is>
      </c>
      <c r="G311" t="n">
        <v>4</v>
      </c>
      <c r="H311" t="n">
        <v>0</v>
      </c>
      <c r="I311" t="n">
        <v>0</v>
      </c>
      <c r="J311" t="n">
        <v>0</v>
      </c>
      <c r="K311" t="n">
        <v>0</v>
      </c>
      <c r="L311" t="n">
        <v>0</v>
      </c>
      <c r="M311" t="n">
        <v>0</v>
      </c>
      <c r="N311" t="n">
        <v>0</v>
      </c>
      <c r="O311" t="n">
        <v>0</v>
      </c>
      <c r="P311" t="n">
        <v>0</v>
      </c>
      <c r="Q311" t="n">
        <v>0</v>
      </c>
      <c r="R311" s="2" t="inlineStr"/>
    </row>
    <row r="312" ht="15" customHeight="1">
      <c r="A312" t="inlineStr">
        <is>
          <t>A 529-2020</t>
        </is>
      </c>
      <c r="B312" s="1" t="n">
        <v>43837</v>
      </c>
      <c r="C312" s="1" t="n">
        <v>45731</v>
      </c>
      <c r="D312" t="inlineStr">
        <is>
          <t>UPPSALA LÄN</t>
        </is>
      </c>
      <c r="E312" t="inlineStr">
        <is>
          <t>UPPSALA</t>
        </is>
      </c>
      <c r="G312" t="n">
        <v>1.6</v>
      </c>
      <c r="H312" t="n">
        <v>0</v>
      </c>
      <c r="I312" t="n">
        <v>0</v>
      </c>
      <c r="J312" t="n">
        <v>0</v>
      </c>
      <c r="K312" t="n">
        <v>0</v>
      </c>
      <c r="L312" t="n">
        <v>0</v>
      </c>
      <c r="M312" t="n">
        <v>0</v>
      </c>
      <c r="N312" t="n">
        <v>0</v>
      </c>
      <c r="O312" t="n">
        <v>0</v>
      </c>
      <c r="P312" t="n">
        <v>0</v>
      </c>
      <c r="Q312" t="n">
        <v>0</v>
      </c>
      <c r="R312" s="2" t="inlineStr"/>
    </row>
    <row r="313" ht="15" customHeight="1">
      <c r="A313" t="inlineStr">
        <is>
          <t>A 1891-2020</t>
        </is>
      </c>
      <c r="B313" s="1" t="n">
        <v>43837</v>
      </c>
      <c r="C313" s="1" t="n">
        <v>45731</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701-2020</t>
        </is>
      </c>
      <c r="B314" s="1" t="n">
        <v>43838</v>
      </c>
      <c r="C314" s="1" t="n">
        <v>45731</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1171-2020</t>
        </is>
      </c>
      <c r="B315" s="1" t="n">
        <v>43840</v>
      </c>
      <c r="C315" s="1" t="n">
        <v>45731</v>
      </c>
      <c r="D315" t="inlineStr">
        <is>
          <t>UPPSALA LÄN</t>
        </is>
      </c>
      <c r="E315" t="inlineStr">
        <is>
          <t>UPPSALA</t>
        </is>
      </c>
      <c r="G315" t="n">
        <v>1.1</v>
      </c>
      <c r="H315" t="n">
        <v>0</v>
      </c>
      <c r="I315" t="n">
        <v>0</v>
      </c>
      <c r="J315" t="n">
        <v>0</v>
      </c>
      <c r="K315" t="n">
        <v>0</v>
      </c>
      <c r="L315" t="n">
        <v>0</v>
      </c>
      <c r="M315" t="n">
        <v>0</v>
      </c>
      <c r="N315" t="n">
        <v>0</v>
      </c>
      <c r="O315" t="n">
        <v>0</v>
      </c>
      <c r="P315" t="n">
        <v>0</v>
      </c>
      <c r="Q315" t="n">
        <v>0</v>
      </c>
      <c r="R315" s="2" t="inlineStr"/>
    </row>
    <row r="316" ht="15" customHeight="1">
      <c r="A316" t="inlineStr">
        <is>
          <t>A 1688-2020</t>
        </is>
      </c>
      <c r="B316" s="1" t="n">
        <v>43844</v>
      </c>
      <c r="C316" s="1" t="n">
        <v>45731</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2162-2020</t>
        </is>
      </c>
      <c r="B317" s="1" t="n">
        <v>43846</v>
      </c>
      <c r="C317" s="1" t="n">
        <v>45731</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2895-2020</t>
        </is>
      </c>
      <c r="B318" s="1" t="n">
        <v>43850</v>
      </c>
      <c r="C318" s="1" t="n">
        <v>45731</v>
      </c>
      <c r="D318" t="inlineStr">
        <is>
          <t>UPPSALA LÄN</t>
        </is>
      </c>
      <c r="E318" t="inlineStr">
        <is>
          <t>UPPSALA</t>
        </is>
      </c>
      <c r="G318" t="n">
        <v>3.8</v>
      </c>
      <c r="H318" t="n">
        <v>0</v>
      </c>
      <c r="I318" t="n">
        <v>0</v>
      </c>
      <c r="J318" t="n">
        <v>0</v>
      </c>
      <c r="K318" t="n">
        <v>0</v>
      </c>
      <c r="L318" t="n">
        <v>0</v>
      </c>
      <c r="M318" t="n">
        <v>0</v>
      </c>
      <c r="N318" t="n">
        <v>0</v>
      </c>
      <c r="O318" t="n">
        <v>0</v>
      </c>
      <c r="P318" t="n">
        <v>0</v>
      </c>
      <c r="Q318" t="n">
        <v>0</v>
      </c>
      <c r="R318" s="2" t="inlineStr"/>
    </row>
    <row r="319" ht="15" customHeight="1">
      <c r="A319" t="inlineStr">
        <is>
          <t>A 3693-2020</t>
        </is>
      </c>
      <c r="B319" s="1" t="n">
        <v>43853</v>
      </c>
      <c r="C319" s="1" t="n">
        <v>45731</v>
      </c>
      <c r="D319" t="inlineStr">
        <is>
          <t>UPPSALA LÄN</t>
        </is>
      </c>
      <c r="E319" t="inlineStr">
        <is>
          <t>UPPSALA</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3516-2020</t>
        </is>
      </c>
      <c r="B320" s="1" t="n">
        <v>43853</v>
      </c>
      <c r="C320" s="1" t="n">
        <v>45731</v>
      </c>
      <c r="D320" t="inlineStr">
        <is>
          <t>UPPSALA LÄN</t>
        </is>
      </c>
      <c r="E320" t="inlineStr">
        <is>
          <t>UPPSALA</t>
        </is>
      </c>
      <c r="G320" t="n">
        <v>9.4</v>
      </c>
      <c r="H320" t="n">
        <v>0</v>
      </c>
      <c r="I320" t="n">
        <v>0</v>
      </c>
      <c r="J320" t="n">
        <v>0</v>
      </c>
      <c r="K320" t="n">
        <v>0</v>
      </c>
      <c r="L320" t="n">
        <v>0</v>
      </c>
      <c r="M320" t="n">
        <v>0</v>
      </c>
      <c r="N320" t="n">
        <v>0</v>
      </c>
      <c r="O320" t="n">
        <v>0</v>
      </c>
      <c r="P320" t="n">
        <v>0</v>
      </c>
      <c r="Q320" t="n">
        <v>0</v>
      </c>
      <c r="R320" s="2" t="inlineStr"/>
    </row>
    <row r="321" ht="15" customHeight="1">
      <c r="A321" t="inlineStr">
        <is>
          <t>A 6313-2020</t>
        </is>
      </c>
      <c r="B321" s="1" t="n">
        <v>43866</v>
      </c>
      <c r="C321" s="1" t="n">
        <v>45731</v>
      </c>
      <c r="D321" t="inlineStr">
        <is>
          <t>UPPSALA LÄN</t>
        </is>
      </c>
      <c r="E321" t="inlineStr">
        <is>
          <t>UPPSALA</t>
        </is>
      </c>
      <c r="F321" t="inlineStr">
        <is>
          <t>Övriga statliga verk och myndigheter</t>
        </is>
      </c>
      <c r="G321" t="n">
        <v>3.4</v>
      </c>
      <c r="H321" t="n">
        <v>0</v>
      </c>
      <c r="I321" t="n">
        <v>0</v>
      </c>
      <c r="J321" t="n">
        <v>0</v>
      </c>
      <c r="K321" t="n">
        <v>0</v>
      </c>
      <c r="L321" t="n">
        <v>0</v>
      </c>
      <c r="M321" t="n">
        <v>0</v>
      </c>
      <c r="N321" t="n">
        <v>0</v>
      </c>
      <c r="O321" t="n">
        <v>0</v>
      </c>
      <c r="P321" t="n">
        <v>0</v>
      </c>
      <c r="Q321" t="n">
        <v>0</v>
      </c>
      <c r="R321" s="2" t="inlineStr"/>
    </row>
    <row r="322" ht="15" customHeight="1">
      <c r="A322" t="inlineStr">
        <is>
          <t>A 6315-2020</t>
        </is>
      </c>
      <c r="B322" s="1" t="n">
        <v>43866</v>
      </c>
      <c r="C322" s="1" t="n">
        <v>45731</v>
      </c>
      <c r="D322" t="inlineStr">
        <is>
          <t>UPPSALA LÄN</t>
        </is>
      </c>
      <c r="E322" t="inlineStr">
        <is>
          <t>UPPSALA</t>
        </is>
      </c>
      <c r="F322" t="inlineStr">
        <is>
          <t>Övriga statliga verk och myndigheter</t>
        </is>
      </c>
      <c r="G322" t="n">
        <v>1.9</v>
      </c>
      <c r="H322" t="n">
        <v>0</v>
      </c>
      <c r="I322" t="n">
        <v>0</v>
      </c>
      <c r="J322" t="n">
        <v>0</v>
      </c>
      <c r="K322" t="n">
        <v>0</v>
      </c>
      <c r="L322" t="n">
        <v>0</v>
      </c>
      <c r="M322" t="n">
        <v>0</v>
      </c>
      <c r="N322" t="n">
        <v>0</v>
      </c>
      <c r="O322" t="n">
        <v>0</v>
      </c>
      <c r="P322" t="n">
        <v>0</v>
      </c>
      <c r="Q322" t="n">
        <v>0</v>
      </c>
      <c r="R322" s="2" t="inlineStr"/>
    </row>
    <row r="323" ht="15" customHeight="1">
      <c r="A323" t="inlineStr">
        <is>
          <t>A 6655-2020</t>
        </is>
      </c>
      <c r="B323" s="1" t="n">
        <v>43867</v>
      </c>
      <c r="C323" s="1" t="n">
        <v>45731</v>
      </c>
      <c r="D323" t="inlineStr">
        <is>
          <t>UPPSALA LÄN</t>
        </is>
      </c>
      <c r="E323" t="inlineStr">
        <is>
          <t>UPPSALA</t>
        </is>
      </c>
      <c r="G323" t="n">
        <v>7.3</v>
      </c>
      <c r="H323" t="n">
        <v>0</v>
      </c>
      <c r="I323" t="n">
        <v>0</v>
      </c>
      <c r="J323" t="n">
        <v>0</v>
      </c>
      <c r="K323" t="n">
        <v>0</v>
      </c>
      <c r="L323" t="n">
        <v>0</v>
      </c>
      <c r="M323" t="n">
        <v>0</v>
      </c>
      <c r="N323" t="n">
        <v>0</v>
      </c>
      <c r="O323" t="n">
        <v>0</v>
      </c>
      <c r="P323" t="n">
        <v>0</v>
      </c>
      <c r="Q323" t="n">
        <v>0</v>
      </c>
      <c r="R323" s="2" t="inlineStr"/>
    </row>
    <row r="324" ht="15" customHeight="1">
      <c r="A324" t="inlineStr">
        <is>
          <t>A 8261-2020</t>
        </is>
      </c>
      <c r="B324" s="1" t="n">
        <v>43874</v>
      </c>
      <c r="C324" s="1" t="n">
        <v>45731</v>
      </c>
      <c r="D324" t="inlineStr">
        <is>
          <t>UPPSALA LÄN</t>
        </is>
      </c>
      <c r="E324" t="inlineStr">
        <is>
          <t>UPPSALA</t>
        </is>
      </c>
      <c r="G324" t="n">
        <v>5.1</v>
      </c>
      <c r="H324" t="n">
        <v>0</v>
      </c>
      <c r="I324" t="n">
        <v>0</v>
      </c>
      <c r="J324" t="n">
        <v>0</v>
      </c>
      <c r="K324" t="n">
        <v>0</v>
      </c>
      <c r="L324" t="n">
        <v>0</v>
      </c>
      <c r="M324" t="n">
        <v>0</v>
      </c>
      <c r="N324" t="n">
        <v>0</v>
      </c>
      <c r="O324" t="n">
        <v>0</v>
      </c>
      <c r="P324" t="n">
        <v>0</v>
      </c>
      <c r="Q324" t="n">
        <v>0</v>
      </c>
      <c r="R324" s="2" t="inlineStr"/>
    </row>
    <row r="325" ht="15" customHeight="1">
      <c r="A325" t="inlineStr">
        <is>
          <t>A 8646-2020</t>
        </is>
      </c>
      <c r="B325" s="1" t="n">
        <v>43878</v>
      </c>
      <c r="C325" s="1" t="n">
        <v>45731</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8902-2020</t>
        </is>
      </c>
      <c r="B326" s="1" t="n">
        <v>43878</v>
      </c>
      <c r="C326" s="1" t="n">
        <v>45731</v>
      </c>
      <c r="D326" t="inlineStr">
        <is>
          <t>UPPSALA LÄN</t>
        </is>
      </c>
      <c r="E326" t="inlineStr">
        <is>
          <t>UPPSALA</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9011-2020</t>
        </is>
      </c>
      <c r="B327" s="1" t="n">
        <v>43879</v>
      </c>
      <c r="C327" s="1" t="n">
        <v>45731</v>
      </c>
      <c r="D327" t="inlineStr">
        <is>
          <t>UPPSALA LÄN</t>
        </is>
      </c>
      <c r="E327" t="inlineStr">
        <is>
          <t>UPPSALA</t>
        </is>
      </c>
      <c r="F327" t="inlineStr">
        <is>
          <t>Övriga statliga verk och myndigheter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9084-2020</t>
        </is>
      </c>
      <c r="B328" s="1" t="n">
        <v>43879</v>
      </c>
      <c r="C328" s="1" t="n">
        <v>45731</v>
      </c>
      <c r="D328" t="inlineStr">
        <is>
          <t>UPPSALA LÄN</t>
        </is>
      </c>
      <c r="E328" t="inlineStr">
        <is>
          <t>UPPSALA</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9257-2020</t>
        </is>
      </c>
      <c r="B329" s="1" t="n">
        <v>43879</v>
      </c>
      <c r="C329" s="1" t="n">
        <v>45731</v>
      </c>
      <c r="D329" t="inlineStr">
        <is>
          <t>UPPSALA LÄN</t>
        </is>
      </c>
      <c r="E329" t="inlineStr">
        <is>
          <t>UPPSALA</t>
        </is>
      </c>
      <c r="F329" t="inlineStr">
        <is>
          <t>Bergvik skog öst AB</t>
        </is>
      </c>
      <c r="G329" t="n">
        <v>5.8</v>
      </c>
      <c r="H329" t="n">
        <v>0</v>
      </c>
      <c r="I329" t="n">
        <v>0</v>
      </c>
      <c r="J329" t="n">
        <v>0</v>
      </c>
      <c r="K329" t="n">
        <v>0</v>
      </c>
      <c r="L329" t="n">
        <v>0</v>
      </c>
      <c r="M329" t="n">
        <v>0</v>
      </c>
      <c r="N329" t="n">
        <v>0</v>
      </c>
      <c r="O329" t="n">
        <v>0</v>
      </c>
      <c r="P329" t="n">
        <v>0</v>
      </c>
      <c r="Q329" t="n">
        <v>0</v>
      </c>
      <c r="R329" s="2" t="inlineStr"/>
    </row>
    <row r="330" ht="15" customHeight="1">
      <c r="A330" t="inlineStr">
        <is>
          <t>A 9658-2020</t>
        </is>
      </c>
      <c r="B330" s="1" t="n">
        <v>43881</v>
      </c>
      <c r="C330" s="1" t="n">
        <v>45731</v>
      </c>
      <c r="D330" t="inlineStr">
        <is>
          <t>UPPSALA LÄN</t>
        </is>
      </c>
      <c r="E330" t="inlineStr">
        <is>
          <t>UPPSALA</t>
        </is>
      </c>
      <c r="G330" t="n">
        <v>3.6</v>
      </c>
      <c r="H330" t="n">
        <v>0</v>
      </c>
      <c r="I330" t="n">
        <v>0</v>
      </c>
      <c r="J330" t="n">
        <v>0</v>
      </c>
      <c r="K330" t="n">
        <v>0</v>
      </c>
      <c r="L330" t="n">
        <v>0</v>
      </c>
      <c r="M330" t="n">
        <v>0</v>
      </c>
      <c r="N330" t="n">
        <v>0</v>
      </c>
      <c r="O330" t="n">
        <v>0</v>
      </c>
      <c r="P330" t="n">
        <v>0</v>
      </c>
      <c r="Q330" t="n">
        <v>0</v>
      </c>
      <c r="R330" s="2" t="inlineStr"/>
    </row>
    <row r="331" ht="15" customHeight="1">
      <c r="A331" t="inlineStr">
        <is>
          <t>A 10003-2020</t>
        </is>
      </c>
      <c r="B331" s="1" t="n">
        <v>43882</v>
      </c>
      <c r="C331" s="1" t="n">
        <v>45731</v>
      </c>
      <c r="D331" t="inlineStr">
        <is>
          <t>UPPSALA LÄN</t>
        </is>
      </c>
      <c r="E331" t="inlineStr">
        <is>
          <t>UPPSALA</t>
        </is>
      </c>
      <c r="F331" t="inlineStr">
        <is>
          <t>Kyrkan</t>
        </is>
      </c>
      <c r="G331" t="n">
        <v>5.2</v>
      </c>
      <c r="H331" t="n">
        <v>0</v>
      </c>
      <c r="I331" t="n">
        <v>0</v>
      </c>
      <c r="J331" t="n">
        <v>0</v>
      </c>
      <c r="K331" t="n">
        <v>0</v>
      </c>
      <c r="L331" t="n">
        <v>0</v>
      </c>
      <c r="M331" t="n">
        <v>0</v>
      </c>
      <c r="N331" t="n">
        <v>0</v>
      </c>
      <c r="O331" t="n">
        <v>0</v>
      </c>
      <c r="P331" t="n">
        <v>0</v>
      </c>
      <c r="Q331" t="n">
        <v>0</v>
      </c>
      <c r="R331" s="2" t="inlineStr"/>
    </row>
    <row r="332" ht="15" customHeight="1">
      <c r="A332" t="inlineStr">
        <is>
          <t>A 9949-2020</t>
        </is>
      </c>
      <c r="B332" s="1" t="n">
        <v>43882</v>
      </c>
      <c r="C332" s="1" t="n">
        <v>45731</v>
      </c>
      <c r="D332" t="inlineStr">
        <is>
          <t>UPPSALA LÄN</t>
        </is>
      </c>
      <c r="E332" t="inlineStr">
        <is>
          <t>UPPSALA</t>
        </is>
      </c>
      <c r="F332" t="inlineStr">
        <is>
          <t>Kyrkan</t>
        </is>
      </c>
      <c r="G332" t="n">
        <v>2.2</v>
      </c>
      <c r="H332" t="n">
        <v>0</v>
      </c>
      <c r="I332" t="n">
        <v>0</v>
      </c>
      <c r="J332" t="n">
        <v>0</v>
      </c>
      <c r="K332" t="n">
        <v>0</v>
      </c>
      <c r="L332" t="n">
        <v>0</v>
      </c>
      <c r="M332" t="n">
        <v>0</v>
      </c>
      <c r="N332" t="n">
        <v>0</v>
      </c>
      <c r="O332" t="n">
        <v>0</v>
      </c>
      <c r="P332" t="n">
        <v>0</v>
      </c>
      <c r="Q332" t="n">
        <v>0</v>
      </c>
      <c r="R332" s="2" t="inlineStr"/>
    </row>
    <row r="333" ht="15" customHeight="1">
      <c r="A333" t="inlineStr">
        <is>
          <t>A 10033-2020</t>
        </is>
      </c>
      <c r="B333" s="1" t="n">
        <v>43882</v>
      </c>
      <c r="C333" s="1" t="n">
        <v>45731</v>
      </c>
      <c r="D333" t="inlineStr">
        <is>
          <t>UPPSALA LÄN</t>
        </is>
      </c>
      <c r="E333" t="inlineStr">
        <is>
          <t>UPPSALA</t>
        </is>
      </c>
      <c r="G333" t="n">
        <v>4.6</v>
      </c>
      <c r="H333" t="n">
        <v>0</v>
      </c>
      <c r="I333" t="n">
        <v>0</v>
      </c>
      <c r="J333" t="n">
        <v>0</v>
      </c>
      <c r="K333" t="n">
        <v>0</v>
      </c>
      <c r="L333" t="n">
        <v>0</v>
      </c>
      <c r="M333" t="n">
        <v>0</v>
      </c>
      <c r="N333" t="n">
        <v>0</v>
      </c>
      <c r="O333" t="n">
        <v>0</v>
      </c>
      <c r="P333" t="n">
        <v>0</v>
      </c>
      <c r="Q333" t="n">
        <v>0</v>
      </c>
      <c r="R333" s="2" t="inlineStr"/>
    </row>
    <row r="334" ht="15" customHeight="1">
      <c r="A334" t="inlineStr">
        <is>
          <t>A 10478-2020</t>
        </is>
      </c>
      <c r="B334" s="1" t="n">
        <v>43886</v>
      </c>
      <c r="C334" s="1" t="n">
        <v>45731</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11540-2020</t>
        </is>
      </c>
      <c r="B335" s="1" t="n">
        <v>43887</v>
      </c>
      <c r="C335" s="1" t="n">
        <v>45731</v>
      </c>
      <c r="D335" t="inlineStr">
        <is>
          <t>UPPSALA LÄN</t>
        </is>
      </c>
      <c r="E335" t="inlineStr">
        <is>
          <t>UPPSALA</t>
        </is>
      </c>
      <c r="G335" t="n">
        <v>2.1</v>
      </c>
      <c r="H335" t="n">
        <v>0</v>
      </c>
      <c r="I335" t="n">
        <v>0</v>
      </c>
      <c r="J335" t="n">
        <v>0</v>
      </c>
      <c r="K335" t="n">
        <v>0</v>
      </c>
      <c r="L335" t="n">
        <v>0</v>
      </c>
      <c r="M335" t="n">
        <v>0</v>
      </c>
      <c r="N335" t="n">
        <v>0</v>
      </c>
      <c r="O335" t="n">
        <v>0</v>
      </c>
      <c r="P335" t="n">
        <v>0</v>
      </c>
      <c r="Q335" t="n">
        <v>0</v>
      </c>
      <c r="R335" s="2" t="inlineStr"/>
    </row>
    <row r="336" ht="15" customHeight="1">
      <c r="A336" t="inlineStr">
        <is>
          <t>A 11174-2020</t>
        </is>
      </c>
      <c r="B336" s="1" t="n">
        <v>43891</v>
      </c>
      <c r="C336" s="1" t="n">
        <v>45731</v>
      </c>
      <c r="D336" t="inlineStr">
        <is>
          <t>UPPSALA LÄN</t>
        </is>
      </c>
      <c r="E336" t="inlineStr">
        <is>
          <t>UPPSALA</t>
        </is>
      </c>
      <c r="F336" t="inlineStr">
        <is>
          <t>Övriga statliga verk och myndigheter</t>
        </is>
      </c>
      <c r="G336" t="n">
        <v>2.8</v>
      </c>
      <c r="H336" t="n">
        <v>0</v>
      </c>
      <c r="I336" t="n">
        <v>0</v>
      </c>
      <c r="J336" t="n">
        <v>0</v>
      </c>
      <c r="K336" t="n">
        <v>0</v>
      </c>
      <c r="L336" t="n">
        <v>0</v>
      </c>
      <c r="M336" t="n">
        <v>0</v>
      </c>
      <c r="N336" t="n">
        <v>0</v>
      </c>
      <c r="O336" t="n">
        <v>0</v>
      </c>
      <c r="P336" t="n">
        <v>0</v>
      </c>
      <c r="Q336" t="n">
        <v>0</v>
      </c>
      <c r="R336" s="2" t="inlineStr"/>
    </row>
    <row r="337" ht="15" customHeight="1">
      <c r="A337" t="inlineStr">
        <is>
          <t>A 12626-2020</t>
        </is>
      </c>
      <c r="B337" s="1" t="n">
        <v>43892</v>
      </c>
      <c r="C337" s="1" t="n">
        <v>45731</v>
      </c>
      <c r="D337" t="inlineStr">
        <is>
          <t>UPPSALA LÄN</t>
        </is>
      </c>
      <c r="E337" t="inlineStr">
        <is>
          <t>UPPSALA</t>
        </is>
      </c>
      <c r="G337" t="n">
        <v>11.4</v>
      </c>
      <c r="H337" t="n">
        <v>0</v>
      </c>
      <c r="I337" t="n">
        <v>0</v>
      </c>
      <c r="J337" t="n">
        <v>0</v>
      </c>
      <c r="K337" t="n">
        <v>0</v>
      </c>
      <c r="L337" t="n">
        <v>0</v>
      </c>
      <c r="M337" t="n">
        <v>0</v>
      </c>
      <c r="N337" t="n">
        <v>0</v>
      </c>
      <c r="O337" t="n">
        <v>0</v>
      </c>
      <c r="P337" t="n">
        <v>0</v>
      </c>
      <c r="Q337" t="n">
        <v>0</v>
      </c>
      <c r="R337" s="2" t="inlineStr"/>
    </row>
    <row r="338" ht="15" customHeight="1">
      <c r="A338" t="inlineStr">
        <is>
          <t>A 11336-2020</t>
        </is>
      </c>
      <c r="B338" s="1" t="n">
        <v>43892</v>
      </c>
      <c r="C338" s="1" t="n">
        <v>45731</v>
      </c>
      <c r="D338" t="inlineStr">
        <is>
          <t>UPPSALA LÄN</t>
        </is>
      </c>
      <c r="E338" t="inlineStr">
        <is>
          <t>UPPSALA</t>
        </is>
      </c>
      <c r="F338" t="inlineStr">
        <is>
          <t>Kyrkan</t>
        </is>
      </c>
      <c r="G338" t="n">
        <v>3.2</v>
      </c>
      <c r="H338" t="n">
        <v>0</v>
      </c>
      <c r="I338" t="n">
        <v>0</v>
      </c>
      <c r="J338" t="n">
        <v>0</v>
      </c>
      <c r="K338" t="n">
        <v>0</v>
      </c>
      <c r="L338" t="n">
        <v>0</v>
      </c>
      <c r="M338" t="n">
        <v>0</v>
      </c>
      <c r="N338" t="n">
        <v>0</v>
      </c>
      <c r="O338" t="n">
        <v>0</v>
      </c>
      <c r="P338" t="n">
        <v>0</v>
      </c>
      <c r="Q338" t="n">
        <v>0</v>
      </c>
      <c r="R338" s="2" t="inlineStr"/>
    </row>
    <row r="339" ht="15" customHeight="1">
      <c r="A339" t="inlineStr">
        <is>
          <t>A 11320-2020</t>
        </is>
      </c>
      <c r="B339" s="1" t="n">
        <v>43892</v>
      </c>
      <c r="C339" s="1" t="n">
        <v>45731</v>
      </c>
      <c r="D339" t="inlineStr">
        <is>
          <t>UPPSALA LÄN</t>
        </is>
      </c>
      <c r="E339" t="inlineStr">
        <is>
          <t>UPPSALA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12028-2020</t>
        </is>
      </c>
      <c r="B340" s="1" t="n">
        <v>43894</v>
      </c>
      <c r="C340" s="1" t="n">
        <v>45731</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12055-2020</t>
        </is>
      </c>
      <c r="B341" s="1" t="n">
        <v>43894</v>
      </c>
      <c r="C341" s="1" t="n">
        <v>45731</v>
      </c>
      <c r="D341" t="inlineStr">
        <is>
          <t>UPPSALA LÄN</t>
        </is>
      </c>
      <c r="E341" t="inlineStr">
        <is>
          <t>UPPSALA</t>
        </is>
      </c>
      <c r="G341" t="n">
        <v>6.2</v>
      </c>
      <c r="H341" t="n">
        <v>0</v>
      </c>
      <c r="I341" t="n">
        <v>0</v>
      </c>
      <c r="J341" t="n">
        <v>0</v>
      </c>
      <c r="K341" t="n">
        <v>0</v>
      </c>
      <c r="L341" t="n">
        <v>0</v>
      </c>
      <c r="M341" t="n">
        <v>0</v>
      </c>
      <c r="N341" t="n">
        <v>0</v>
      </c>
      <c r="O341" t="n">
        <v>0</v>
      </c>
      <c r="P341" t="n">
        <v>0</v>
      </c>
      <c r="Q341" t="n">
        <v>0</v>
      </c>
      <c r="R341" s="2" t="inlineStr"/>
    </row>
    <row r="342" ht="15" customHeight="1">
      <c r="A342" t="inlineStr">
        <is>
          <t>A 12848-2020</t>
        </is>
      </c>
      <c r="B342" s="1" t="n">
        <v>43899</v>
      </c>
      <c r="C342" s="1" t="n">
        <v>45731</v>
      </c>
      <c r="D342" t="inlineStr">
        <is>
          <t>UPPSALA LÄN</t>
        </is>
      </c>
      <c r="E342" t="inlineStr">
        <is>
          <t>UPPSALA</t>
        </is>
      </c>
      <c r="G342" t="n">
        <v>10.3</v>
      </c>
      <c r="H342" t="n">
        <v>0</v>
      </c>
      <c r="I342" t="n">
        <v>0</v>
      </c>
      <c r="J342" t="n">
        <v>0</v>
      </c>
      <c r="K342" t="n">
        <v>0</v>
      </c>
      <c r="L342" t="n">
        <v>0</v>
      </c>
      <c r="M342" t="n">
        <v>0</v>
      </c>
      <c r="N342" t="n">
        <v>0</v>
      </c>
      <c r="O342" t="n">
        <v>0</v>
      </c>
      <c r="P342" t="n">
        <v>0</v>
      </c>
      <c r="Q342" t="n">
        <v>0</v>
      </c>
      <c r="R342" s="2" t="inlineStr"/>
    </row>
    <row r="343" ht="15" customHeight="1">
      <c r="A343" t="inlineStr">
        <is>
          <t>A 12781-2020</t>
        </is>
      </c>
      <c r="B343" s="1" t="n">
        <v>43899</v>
      </c>
      <c r="C343" s="1" t="n">
        <v>45731</v>
      </c>
      <c r="D343" t="inlineStr">
        <is>
          <t>UPPSALA LÄN</t>
        </is>
      </c>
      <c r="E343" t="inlineStr">
        <is>
          <t>UPPSALA</t>
        </is>
      </c>
      <c r="F343" t="inlineStr">
        <is>
          <t>Kyrkan</t>
        </is>
      </c>
      <c r="G343" t="n">
        <v>0.7</v>
      </c>
      <c r="H343" t="n">
        <v>0</v>
      </c>
      <c r="I343" t="n">
        <v>0</v>
      </c>
      <c r="J343" t="n">
        <v>0</v>
      </c>
      <c r="K343" t="n">
        <v>0</v>
      </c>
      <c r="L343" t="n">
        <v>0</v>
      </c>
      <c r="M343" t="n">
        <v>0</v>
      </c>
      <c r="N343" t="n">
        <v>0</v>
      </c>
      <c r="O343" t="n">
        <v>0</v>
      </c>
      <c r="P343" t="n">
        <v>0</v>
      </c>
      <c r="Q343" t="n">
        <v>0</v>
      </c>
      <c r="R343" s="2" t="inlineStr"/>
    </row>
    <row r="344" ht="15" customHeight="1">
      <c r="A344" t="inlineStr">
        <is>
          <t>A 13636-2020</t>
        </is>
      </c>
      <c r="B344" s="1" t="n">
        <v>43903</v>
      </c>
      <c r="C344" s="1" t="n">
        <v>45731</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14469-2020</t>
        </is>
      </c>
      <c r="B345" s="1" t="n">
        <v>43908</v>
      </c>
      <c r="C345" s="1" t="n">
        <v>45731</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14423-2020</t>
        </is>
      </c>
      <c r="B346" s="1" t="n">
        <v>43908</v>
      </c>
      <c r="C346" s="1" t="n">
        <v>45731</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14472-2020</t>
        </is>
      </c>
      <c r="B347" s="1" t="n">
        <v>43908</v>
      </c>
      <c r="C347" s="1" t="n">
        <v>45731</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14427-2020</t>
        </is>
      </c>
      <c r="B348" s="1" t="n">
        <v>43908</v>
      </c>
      <c r="C348" s="1" t="n">
        <v>45731</v>
      </c>
      <c r="D348" t="inlineStr">
        <is>
          <t>UPPSALA LÄN</t>
        </is>
      </c>
      <c r="E348" t="inlineStr">
        <is>
          <t>UPPSALA</t>
        </is>
      </c>
      <c r="F348" t="inlineStr">
        <is>
          <t>Bergvik skog öst AB</t>
        </is>
      </c>
      <c r="G348" t="n">
        <v>0.9</v>
      </c>
      <c r="H348" t="n">
        <v>0</v>
      </c>
      <c r="I348" t="n">
        <v>0</v>
      </c>
      <c r="J348" t="n">
        <v>0</v>
      </c>
      <c r="K348" t="n">
        <v>0</v>
      </c>
      <c r="L348" t="n">
        <v>0</v>
      </c>
      <c r="M348" t="n">
        <v>0</v>
      </c>
      <c r="N348" t="n">
        <v>0</v>
      </c>
      <c r="O348" t="n">
        <v>0</v>
      </c>
      <c r="P348" t="n">
        <v>0</v>
      </c>
      <c r="Q348" t="n">
        <v>0</v>
      </c>
      <c r="R348" s="2" t="inlineStr"/>
    </row>
    <row r="349" ht="15" customHeight="1">
      <c r="A349" t="inlineStr">
        <is>
          <t>A 15344-2020</t>
        </is>
      </c>
      <c r="B349" s="1" t="n">
        <v>43913</v>
      </c>
      <c r="C349" s="1" t="n">
        <v>45731</v>
      </c>
      <c r="D349" t="inlineStr">
        <is>
          <t>UPPSALA LÄN</t>
        </is>
      </c>
      <c r="E349" t="inlineStr">
        <is>
          <t>UPPSALA</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18106-2020</t>
        </is>
      </c>
      <c r="B350" s="1" t="n">
        <v>43927</v>
      </c>
      <c r="C350" s="1" t="n">
        <v>45731</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18114-2020</t>
        </is>
      </c>
      <c r="B351" s="1" t="n">
        <v>43927</v>
      </c>
      <c r="C351" s="1" t="n">
        <v>45731</v>
      </c>
      <c r="D351" t="inlineStr">
        <is>
          <t>UPPSALA LÄN</t>
        </is>
      </c>
      <c r="E351" t="inlineStr">
        <is>
          <t>UPPSALA</t>
        </is>
      </c>
      <c r="G351" t="n">
        <v>1.6</v>
      </c>
      <c r="H351" t="n">
        <v>0</v>
      </c>
      <c r="I351" t="n">
        <v>0</v>
      </c>
      <c r="J351" t="n">
        <v>0</v>
      </c>
      <c r="K351" t="n">
        <v>0</v>
      </c>
      <c r="L351" t="n">
        <v>0</v>
      </c>
      <c r="M351" t="n">
        <v>0</v>
      </c>
      <c r="N351" t="n">
        <v>0</v>
      </c>
      <c r="O351" t="n">
        <v>0</v>
      </c>
      <c r="P351" t="n">
        <v>0</v>
      </c>
      <c r="Q351" t="n">
        <v>0</v>
      </c>
      <c r="R351" s="2" t="inlineStr"/>
    </row>
    <row r="352" ht="15" customHeight="1">
      <c r="A352" t="inlineStr">
        <is>
          <t>A 18469-2020</t>
        </is>
      </c>
      <c r="B352" s="1" t="n">
        <v>43929</v>
      </c>
      <c r="C352" s="1" t="n">
        <v>45731</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19210-2020</t>
        </is>
      </c>
      <c r="B353" s="1" t="n">
        <v>43937</v>
      </c>
      <c r="C353" s="1" t="n">
        <v>45731</v>
      </c>
      <c r="D353" t="inlineStr">
        <is>
          <t>UPPSALA LÄN</t>
        </is>
      </c>
      <c r="E353" t="inlineStr">
        <is>
          <t>UPPSALA</t>
        </is>
      </c>
      <c r="G353" t="n">
        <v>3.7</v>
      </c>
      <c r="H353" t="n">
        <v>0</v>
      </c>
      <c r="I353" t="n">
        <v>0</v>
      </c>
      <c r="J353" t="n">
        <v>0</v>
      </c>
      <c r="K353" t="n">
        <v>0</v>
      </c>
      <c r="L353" t="n">
        <v>0</v>
      </c>
      <c r="M353" t="n">
        <v>0</v>
      </c>
      <c r="N353" t="n">
        <v>0</v>
      </c>
      <c r="O353" t="n">
        <v>0</v>
      </c>
      <c r="P353" t="n">
        <v>0</v>
      </c>
      <c r="Q353" t="n">
        <v>0</v>
      </c>
      <c r="R353" s="2" t="inlineStr"/>
    </row>
    <row r="354" ht="15" customHeight="1">
      <c r="A354" t="inlineStr">
        <is>
          <t>A 20218-2020</t>
        </is>
      </c>
      <c r="B354" s="1" t="n">
        <v>43944</v>
      </c>
      <c r="C354" s="1" t="n">
        <v>45731</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20506-2020</t>
        </is>
      </c>
      <c r="B355" s="1" t="n">
        <v>43948</v>
      </c>
      <c r="C355" s="1" t="n">
        <v>45731</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20490-2020</t>
        </is>
      </c>
      <c r="B356" s="1" t="n">
        <v>43948</v>
      </c>
      <c r="C356" s="1" t="n">
        <v>45731</v>
      </c>
      <c r="D356" t="inlineStr">
        <is>
          <t>UPPSALA LÄN</t>
        </is>
      </c>
      <c r="E356" t="inlineStr">
        <is>
          <t>UPPSALA</t>
        </is>
      </c>
      <c r="G356" t="n">
        <v>2.8</v>
      </c>
      <c r="H356" t="n">
        <v>0</v>
      </c>
      <c r="I356" t="n">
        <v>0</v>
      </c>
      <c r="J356" t="n">
        <v>0</v>
      </c>
      <c r="K356" t="n">
        <v>0</v>
      </c>
      <c r="L356" t="n">
        <v>0</v>
      </c>
      <c r="M356" t="n">
        <v>0</v>
      </c>
      <c r="N356" t="n">
        <v>0</v>
      </c>
      <c r="O356" t="n">
        <v>0</v>
      </c>
      <c r="P356" t="n">
        <v>0</v>
      </c>
      <c r="Q356" t="n">
        <v>0</v>
      </c>
      <c r="R356" s="2" t="inlineStr"/>
    </row>
    <row r="357" ht="15" customHeight="1">
      <c r="A357" t="inlineStr">
        <is>
          <t>A 20960-2020</t>
        </is>
      </c>
      <c r="B357" s="1" t="n">
        <v>43950</v>
      </c>
      <c r="C357" s="1" t="n">
        <v>45731</v>
      </c>
      <c r="D357" t="inlineStr">
        <is>
          <t>UPPSALA LÄN</t>
        </is>
      </c>
      <c r="E357" t="inlineStr">
        <is>
          <t>UPPSALA</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24300-2020</t>
        </is>
      </c>
      <c r="B358" s="1" t="n">
        <v>43973</v>
      </c>
      <c r="C358" s="1" t="n">
        <v>45731</v>
      </c>
      <c r="D358" t="inlineStr">
        <is>
          <t>UPPSALA LÄN</t>
        </is>
      </c>
      <c r="E358" t="inlineStr">
        <is>
          <t>UPPSALA</t>
        </is>
      </c>
      <c r="F358" t="inlineStr">
        <is>
          <t>Övriga Aktiebolag</t>
        </is>
      </c>
      <c r="G358" t="n">
        <v>0.3</v>
      </c>
      <c r="H358" t="n">
        <v>0</v>
      </c>
      <c r="I358" t="n">
        <v>0</v>
      </c>
      <c r="J358" t="n">
        <v>0</v>
      </c>
      <c r="K358" t="n">
        <v>0</v>
      </c>
      <c r="L358" t="n">
        <v>0</v>
      </c>
      <c r="M358" t="n">
        <v>0</v>
      </c>
      <c r="N358" t="n">
        <v>0</v>
      </c>
      <c r="O358" t="n">
        <v>0</v>
      </c>
      <c r="P358" t="n">
        <v>0</v>
      </c>
      <c r="Q358" t="n">
        <v>0</v>
      </c>
      <c r="R358" s="2" t="inlineStr"/>
    </row>
    <row r="359" ht="15" customHeight="1">
      <c r="A359" t="inlineStr">
        <is>
          <t>A 24287-2020</t>
        </is>
      </c>
      <c r="B359" s="1" t="n">
        <v>43976</v>
      </c>
      <c r="C359" s="1" t="n">
        <v>45731</v>
      </c>
      <c r="D359" t="inlineStr">
        <is>
          <t>UPPSALA LÄN</t>
        </is>
      </c>
      <c r="E359" t="inlineStr">
        <is>
          <t>UPPSALA</t>
        </is>
      </c>
      <c r="G359" t="n">
        <v>1</v>
      </c>
      <c r="H359" t="n">
        <v>0</v>
      </c>
      <c r="I359" t="n">
        <v>0</v>
      </c>
      <c r="J359" t="n">
        <v>0</v>
      </c>
      <c r="K359" t="n">
        <v>0</v>
      </c>
      <c r="L359" t="n">
        <v>0</v>
      </c>
      <c r="M359" t="n">
        <v>0</v>
      </c>
      <c r="N359" t="n">
        <v>0</v>
      </c>
      <c r="O359" t="n">
        <v>0</v>
      </c>
      <c r="P359" t="n">
        <v>0</v>
      </c>
      <c r="Q359" t="n">
        <v>0</v>
      </c>
      <c r="R359" s="2" t="inlineStr"/>
    </row>
    <row r="360" ht="15" customHeight="1">
      <c r="A360" t="inlineStr">
        <is>
          <t>A 25798-2020</t>
        </is>
      </c>
      <c r="B360" s="1" t="n">
        <v>43984</v>
      </c>
      <c r="C360" s="1" t="n">
        <v>45731</v>
      </c>
      <c r="D360" t="inlineStr">
        <is>
          <t>UPPSALA LÄN</t>
        </is>
      </c>
      <c r="E360" t="inlineStr">
        <is>
          <t>UPPSALA</t>
        </is>
      </c>
      <c r="G360" t="n">
        <v>2.3</v>
      </c>
      <c r="H360" t="n">
        <v>0</v>
      </c>
      <c r="I360" t="n">
        <v>0</v>
      </c>
      <c r="J360" t="n">
        <v>0</v>
      </c>
      <c r="K360" t="n">
        <v>0</v>
      </c>
      <c r="L360" t="n">
        <v>0</v>
      </c>
      <c r="M360" t="n">
        <v>0</v>
      </c>
      <c r="N360" t="n">
        <v>0</v>
      </c>
      <c r="O360" t="n">
        <v>0</v>
      </c>
      <c r="P360" t="n">
        <v>0</v>
      </c>
      <c r="Q360" t="n">
        <v>0</v>
      </c>
      <c r="R360" s="2" t="inlineStr"/>
    </row>
    <row r="361" ht="15" customHeight="1">
      <c r="A361" t="inlineStr">
        <is>
          <t>A 26488-2020</t>
        </is>
      </c>
      <c r="B361" s="1" t="n">
        <v>43987</v>
      </c>
      <c r="C361" s="1" t="n">
        <v>45731</v>
      </c>
      <c r="D361" t="inlineStr">
        <is>
          <t>UPPSALA LÄN</t>
        </is>
      </c>
      <c r="E361" t="inlineStr">
        <is>
          <t>UPPSALA</t>
        </is>
      </c>
      <c r="G361" t="n">
        <v>2.9</v>
      </c>
      <c r="H361" t="n">
        <v>0</v>
      </c>
      <c r="I361" t="n">
        <v>0</v>
      </c>
      <c r="J361" t="n">
        <v>0</v>
      </c>
      <c r="K361" t="n">
        <v>0</v>
      </c>
      <c r="L361" t="n">
        <v>0</v>
      </c>
      <c r="M361" t="n">
        <v>0</v>
      </c>
      <c r="N361" t="n">
        <v>0</v>
      </c>
      <c r="O361" t="n">
        <v>0</v>
      </c>
      <c r="P361" t="n">
        <v>0</v>
      </c>
      <c r="Q361" t="n">
        <v>0</v>
      </c>
      <c r="R361" s="2" t="inlineStr"/>
    </row>
    <row r="362" ht="15" customHeight="1">
      <c r="A362" t="inlineStr">
        <is>
          <t>A 26492-2020</t>
        </is>
      </c>
      <c r="B362" s="1" t="n">
        <v>43987</v>
      </c>
      <c r="C362" s="1" t="n">
        <v>45731</v>
      </c>
      <c r="D362" t="inlineStr">
        <is>
          <t>UPPSALA LÄN</t>
        </is>
      </c>
      <c r="E362" t="inlineStr">
        <is>
          <t>UPPSALA</t>
        </is>
      </c>
      <c r="G362" t="n">
        <v>9.5</v>
      </c>
      <c r="H362" t="n">
        <v>0</v>
      </c>
      <c r="I362" t="n">
        <v>0</v>
      </c>
      <c r="J362" t="n">
        <v>0</v>
      </c>
      <c r="K362" t="n">
        <v>0</v>
      </c>
      <c r="L362" t="n">
        <v>0</v>
      </c>
      <c r="M362" t="n">
        <v>0</v>
      </c>
      <c r="N362" t="n">
        <v>0</v>
      </c>
      <c r="O362" t="n">
        <v>0</v>
      </c>
      <c r="P362" t="n">
        <v>0</v>
      </c>
      <c r="Q362" t="n">
        <v>0</v>
      </c>
      <c r="R362" s="2" t="inlineStr"/>
    </row>
    <row r="363" ht="15" customHeight="1">
      <c r="A363" t="inlineStr">
        <is>
          <t>A 26856-2020</t>
        </is>
      </c>
      <c r="B363" s="1" t="n">
        <v>43990</v>
      </c>
      <c r="C363" s="1" t="n">
        <v>45731</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28565-2020</t>
        </is>
      </c>
      <c r="B364" s="1" t="n">
        <v>43999</v>
      </c>
      <c r="C364" s="1" t="n">
        <v>45731</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28514-2020</t>
        </is>
      </c>
      <c r="B365" s="1" t="n">
        <v>43999</v>
      </c>
      <c r="C365" s="1" t="n">
        <v>45731</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28993-2020</t>
        </is>
      </c>
      <c r="B366" s="1" t="n">
        <v>44000</v>
      </c>
      <c r="C366" s="1" t="n">
        <v>45731</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29034-2020</t>
        </is>
      </c>
      <c r="B367" s="1" t="n">
        <v>44000</v>
      </c>
      <c r="C367" s="1" t="n">
        <v>45731</v>
      </c>
      <c r="D367" t="inlineStr">
        <is>
          <t>UPPSALA LÄN</t>
        </is>
      </c>
      <c r="E367" t="inlineStr">
        <is>
          <t>UPPSALA</t>
        </is>
      </c>
      <c r="G367" t="n">
        <v>2</v>
      </c>
      <c r="H367" t="n">
        <v>0</v>
      </c>
      <c r="I367" t="n">
        <v>0</v>
      </c>
      <c r="J367" t="n">
        <v>0</v>
      </c>
      <c r="K367" t="n">
        <v>0</v>
      </c>
      <c r="L367" t="n">
        <v>0</v>
      </c>
      <c r="M367" t="n">
        <v>0</v>
      </c>
      <c r="N367" t="n">
        <v>0</v>
      </c>
      <c r="O367" t="n">
        <v>0</v>
      </c>
      <c r="P367" t="n">
        <v>0</v>
      </c>
      <c r="Q367" t="n">
        <v>0</v>
      </c>
      <c r="R367" s="2" t="inlineStr"/>
    </row>
    <row r="368" ht="15" customHeight="1">
      <c r="A368" t="inlineStr">
        <is>
          <t>A 30196-2020</t>
        </is>
      </c>
      <c r="B368" s="1" t="n">
        <v>44007</v>
      </c>
      <c r="C368" s="1" t="n">
        <v>45731</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30208-2020</t>
        </is>
      </c>
      <c r="B369" s="1" t="n">
        <v>44007</v>
      </c>
      <c r="C369" s="1" t="n">
        <v>45731</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31219-2020</t>
        </is>
      </c>
      <c r="B370" s="1" t="n">
        <v>44012</v>
      </c>
      <c r="C370" s="1" t="n">
        <v>45731</v>
      </c>
      <c r="D370" t="inlineStr">
        <is>
          <t>UPPSALA LÄN</t>
        </is>
      </c>
      <c r="E370" t="inlineStr">
        <is>
          <t>UPPSALA</t>
        </is>
      </c>
      <c r="F370" t="inlineStr">
        <is>
          <t>Bergvik skog öst AB</t>
        </is>
      </c>
      <c r="G370" t="n">
        <v>7.4</v>
      </c>
      <c r="H370" t="n">
        <v>0</v>
      </c>
      <c r="I370" t="n">
        <v>0</v>
      </c>
      <c r="J370" t="n">
        <v>0</v>
      </c>
      <c r="K370" t="n">
        <v>0</v>
      </c>
      <c r="L370" t="n">
        <v>0</v>
      </c>
      <c r="M370" t="n">
        <v>0</v>
      </c>
      <c r="N370" t="n">
        <v>0</v>
      </c>
      <c r="O370" t="n">
        <v>0</v>
      </c>
      <c r="P370" t="n">
        <v>0</v>
      </c>
      <c r="Q370" t="n">
        <v>0</v>
      </c>
      <c r="R370" s="2" t="inlineStr"/>
    </row>
    <row r="371" ht="15" customHeight="1">
      <c r="A371" t="inlineStr">
        <is>
          <t>A 31430-2020</t>
        </is>
      </c>
      <c r="B371" s="1" t="n">
        <v>44013</v>
      </c>
      <c r="C371" s="1" t="n">
        <v>45731</v>
      </c>
      <c r="D371" t="inlineStr">
        <is>
          <t>UPPSALA LÄN</t>
        </is>
      </c>
      <c r="E371" t="inlineStr">
        <is>
          <t>UPPSALA</t>
        </is>
      </c>
      <c r="G371" t="n">
        <v>3.4</v>
      </c>
      <c r="H371" t="n">
        <v>0</v>
      </c>
      <c r="I371" t="n">
        <v>0</v>
      </c>
      <c r="J371" t="n">
        <v>0</v>
      </c>
      <c r="K371" t="n">
        <v>0</v>
      </c>
      <c r="L371" t="n">
        <v>0</v>
      </c>
      <c r="M371" t="n">
        <v>0</v>
      </c>
      <c r="N371" t="n">
        <v>0</v>
      </c>
      <c r="O371" t="n">
        <v>0</v>
      </c>
      <c r="P371" t="n">
        <v>0</v>
      </c>
      <c r="Q371" t="n">
        <v>0</v>
      </c>
      <c r="R371" s="2" t="inlineStr"/>
    </row>
    <row r="372" ht="15" customHeight="1">
      <c r="A372" t="inlineStr">
        <is>
          <t>A 31932-2020</t>
        </is>
      </c>
      <c r="B372" s="1" t="n">
        <v>44014</v>
      </c>
      <c r="C372" s="1" t="n">
        <v>45731</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32235-2020</t>
        </is>
      </c>
      <c r="B373" s="1" t="n">
        <v>44015</v>
      </c>
      <c r="C373" s="1" t="n">
        <v>45731</v>
      </c>
      <c r="D373" t="inlineStr">
        <is>
          <t>UPPSALA LÄN</t>
        </is>
      </c>
      <c r="E373" t="inlineStr">
        <is>
          <t>UPPSALA</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32340-2020</t>
        </is>
      </c>
      <c r="B374" s="1" t="n">
        <v>44016</v>
      </c>
      <c r="C374" s="1" t="n">
        <v>45731</v>
      </c>
      <c r="D374" t="inlineStr">
        <is>
          <t>UPPSALA LÄN</t>
        </is>
      </c>
      <c r="E374" t="inlineStr">
        <is>
          <t>UPPSALA</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32608-2020</t>
        </is>
      </c>
      <c r="B375" s="1" t="n">
        <v>44019</v>
      </c>
      <c r="C375" s="1" t="n">
        <v>45731</v>
      </c>
      <c r="D375" t="inlineStr">
        <is>
          <t>UPPSALA LÄN</t>
        </is>
      </c>
      <c r="E375" t="inlineStr">
        <is>
          <t>UPPSALA</t>
        </is>
      </c>
      <c r="F375" t="inlineStr">
        <is>
          <t>Bergvik skog öst AB</t>
        </is>
      </c>
      <c r="G375" t="n">
        <v>5.7</v>
      </c>
      <c r="H375" t="n">
        <v>0</v>
      </c>
      <c r="I375" t="n">
        <v>0</v>
      </c>
      <c r="J375" t="n">
        <v>0</v>
      </c>
      <c r="K375" t="n">
        <v>0</v>
      </c>
      <c r="L375" t="n">
        <v>0</v>
      </c>
      <c r="M375" t="n">
        <v>0</v>
      </c>
      <c r="N375" t="n">
        <v>0</v>
      </c>
      <c r="O375" t="n">
        <v>0</v>
      </c>
      <c r="P375" t="n">
        <v>0</v>
      </c>
      <c r="Q375" t="n">
        <v>0</v>
      </c>
      <c r="R375" s="2" t="inlineStr"/>
    </row>
    <row r="376" ht="15" customHeight="1">
      <c r="A376" t="inlineStr">
        <is>
          <t>A 33658-2020</t>
        </is>
      </c>
      <c r="B376" s="1" t="n">
        <v>44026</v>
      </c>
      <c r="C376" s="1" t="n">
        <v>45731</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34205-2020</t>
        </is>
      </c>
      <c r="B377" s="1" t="n">
        <v>44029</v>
      </c>
      <c r="C377" s="1" t="n">
        <v>45731</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34565-2020</t>
        </is>
      </c>
      <c r="B378" s="1" t="n">
        <v>44033</v>
      </c>
      <c r="C378" s="1" t="n">
        <v>45731</v>
      </c>
      <c r="D378" t="inlineStr">
        <is>
          <t>UPPSALA LÄN</t>
        </is>
      </c>
      <c r="E378" t="inlineStr">
        <is>
          <t>UPPSALA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34753-2020</t>
        </is>
      </c>
      <c r="B379" s="1" t="n">
        <v>44035</v>
      </c>
      <c r="C379" s="1" t="n">
        <v>45731</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34749-2020</t>
        </is>
      </c>
      <c r="B380" s="1" t="n">
        <v>44035</v>
      </c>
      <c r="C380" s="1" t="n">
        <v>45731</v>
      </c>
      <c r="D380" t="inlineStr">
        <is>
          <t>UPPSALA LÄN</t>
        </is>
      </c>
      <c r="E380" t="inlineStr">
        <is>
          <t>UPPSALA</t>
        </is>
      </c>
      <c r="G380" t="n">
        <v>5.5</v>
      </c>
      <c r="H380" t="n">
        <v>0</v>
      </c>
      <c r="I380" t="n">
        <v>0</v>
      </c>
      <c r="J380" t="n">
        <v>0</v>
      </c>
      <c r="K380" t="n">
        <v>0</v>
      </c>
      <c r="L380" t="n">
        <v>0</v>
      </c>
      <c r="M380" t="n">
        <v>0</v>
      </c>
      <c r="N380" t="n">
        <v>0</v>
      </c>
      <c r="O380" t="n">
        <v>0</v>
      </c>
      <c r="P380" t="n">
        <v>0</v>
      </c>
      <c r="Q380" t="n">
        <v>0</v>
      </c>
      <c r="R380" s="2" t="inlineStr"/>
    </row>
    <row r="381" ht="15" customHeight="1">
      <c r="A381" t="inlineStr">
        <is>
          <t>A 35281-2020</t>
        </is>
      </c>
      <c r="B381" s="1" t="n">
        <v>44041</v>
      </c>
      <c r="C381" s="1" t="n">
        <v>45731</v>
      </c>
      <c r="D381" t="inlineStr">
        <is>
          <t>UPPSALA LÄN</t>
        </is>
      </c>
      <c r="E381" t="inlineStr">
        <is>
          <t>UPPSALA</t>
        </is>
      </c>
      <c r="F381" t="inlineStr">
        <is>
          <t>Bergvik skog öst AB</t>
        </is>
      </c>
      <c r="G381" t="n">
        <v>3.1</v>
      </c>
      <c r="H381" t="n">
        <v>0</v>
      </c>
      <c r="I381" t="n">
        <v>0</v>
      </c>
      <c r="J381" t="n">
        <v>0</v>
      </c>
      <c r="K381" t="n">
        <v>0</v>
      </c>
      <c r="L381" t="n">
        <v>0</v>
      </c>
      <c r="M381" t="n">
        <v>0</v>
      </c>
      <c r="N381" t="n">
        <v>0</v>
      </c>
      <c r="O381" t="n">
        <v>0</v>
      </c>
      <c r="P381" t="n">
        <v>0</v>
      </c>
      <c r="Q381" t="n">
        <v>0</v>
      </c>
      <c r="R381" s="2" t="inlineStr"/>
    </row>
    <row r="382" ht="15" customHeight="1">
      <c r="A382" t="inlineStr">
        <is>
          <t>A 36035-2020</t>
        </is>
      </c>
      <c r="B382" s="1" t="n">
        <v>44048</v>
      </c>
      <c r="C382" s="1" t="n">
        <v>45731</v>
      </c>
      <c r="D382" t="inlineStr">
        <is>
          <t>UPPSALA LÄN</t>
        </is>
      </c>
      <c r="E382" t="inlineStr">
        <is>
          <t>UPPSALA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36202-2020</t>
        </is>
      </c>
      <c r="B383" s="1" t="n">
        <v>44048</v>
      </c>
      <c r="C383" s="1" t="n">
        <v>45731</v>
      </c>
      <c r="D383" t="inlineStr">
        <is>
          <t>UPPSALA LÄN</t>
        </is>
      </c>
      <c r="E383" t="inlineStr">
        <is>
          <t>UPPSALA</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36198-2020</t>
        </is>
      </c>
      <c r="B384" s="1" t="n">
        <v>44048</v>
      </c>
      <c r="C384" s="1" t="n">
        <v>45731</v>
      </c>
      <c r="D384" t="inlineStr">
        <is>
          <t>UPPSALA LÄN</t>
        </is>
      </c>
      <c r="E384" t="inlineStr">
        <is>
          <t>UPPSALA</t>
        </is>
      </c>
      <c r="F384" t="inlineStr">
        <is>
          <t>Bergvik skog öst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36350-2020</t>
        </is>
      </c>
      <c r="B385" s="1" t="n">
        <v>44049</v>
      </c>
      <c r="C385" s="1" t="n">
        <v>45731</v>
      </c>
      <c r="D385" t="inlineStr">
        <is>
          <t>UPPSALA LÄN</t>
        </is>
      </c>
      <c r="E385" t="inlineStr">
        <is>
          <t>UPPSALA</t>
        </is>
      </c>
      <c r="G385" t="n">
        <v>1.9</v>
      </c>
      <c r="H385" t="n">
        <v>0</v>
      </c>
      <c r="I385" t="n">
        <v>0</v>
      </c>
      <c r="J385" t="n">
        <v>0</v>
      </c>
      <c r="K385" t="n">
        <v>0</v>
      </c>
      <c r="L385" t="n">
        <v>0</v>
      </c>
      <c r="M385" t="n">
        <v>0</v>
      </c>
      <c r="N385" t="n">
        <v>0</v>
      </c>
      <c r="O385" t="n">
        <v>0</v>
      </c>
      <c r="P385" t="n">
        <v>0</v>
      </c>
      <c r="Q385" t="n">
        <v>0</v>
      </c>
      <c r="R385" s="2" t="inlineStr"/>
    </row>
    <row r="386" ht="15" customHeight="1">
      <c r="A386" t="inlineStr">
        <is>
          <t>A 36512-2020</t>
        </is>
      </c>
      <c r="B386" s="1" t="n">
        <v>44050</v>
      </c>
      <c r="C386" s="1" t="n">
        <v>45731</v>
      </c>
      <c r="D386" t="inlineStr">
        <is>
          <t>UPPSALA LÄN</t>
        </is>
      </c>
      <c r="E386" t="inlineStr">
        <is>
          <t>UPPSALA</t>
        </is>
      </c>
      <c r="G386" t="n">
        <v>5.8</v>
      </c>
      <c r="H386" t="n">
        <v>0</v>
      </c>
      <c r="I386" t="n">
        <v>0</v>
      </c>
      <c r="J386" t="n">
        <v>0</v>
      </c>
      <c r="K386" t="n">
        <v>0</v>
      </c>
      <c r="L386" t="n">
        <v>0</v>
      </c>
      <c r="M386" t="n">
        <v>0</v>
      </c>
      <c r="N386" t="n">
        <v>0</v>
      </c>
      <c r="O386" t="n">
        <v>0</v>
      </c>
      <c r="P386" t="n">
        <v>0</v>
      </c>
      <c r="Q386" t="n">
        <v>0</v>
      </c>
      <c r="R386" s="2" t="inlineStr"/>
    </row>
    <row r="387" ht="15" customHeight="1">
      <c r="A387" t="inlineStr">
        <is>
          <t>A 37276-2020</t>
        </is>
      </c>
      <c r="B387" s="1" t="n">
        <v>44055</v>
      </c>
      <c r="C387" s="1" t="n">
        <v>45731</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37669-2020</t>
        </is>
      </c>
      <c r="B388" s="1" t="n">
        <v>44056</v>
      </c>
      <c r="C388" s="1" t="n">
        <v>45731</v>
      </c>
      <c r="D388" t="inlineStr">
        <is>
          <t>UPPSALA LÄN</t>
        </is>
      </c>
      <c r="E388" t="inlineStr">
        <is>
          <t>UPPSALA</t>
        </is>
      </c>
      <c r="G388" t="n">
        <v>5.1</v>
      </c>
      <c r="H388" t="n">
        <v>0</v>
      </c>
      <c r="I388" t="n">
        <v>0</v>
      </c>
      <c r="J388" t="n">
        <v>0</v>
      </c>
      <c r="K388" t="n">
        <v>0</v>
      </c>
      <c r="L388" t="n">
        <v>0</v>
      </c>
      <c r="M388" t="n">
        <v>0</v>
      </c>
      <c r="N388" t="n">
        <v>0</v>
      </c>
      <c r="O388" t="n">
        <v>0</v>
      </c>
      <c r="P388" t="n">
        <v>0</v>
      </c>
      <c r="Q388" t="n">
        <v>0</v>
      </c>
      <c r="R388" s="2" t="inlineStr"/>
    </row>
    <row r="389" ht="15" customHeight="1">
      <c r="A389" t="inlineStr">
        <is>
          <t>A 39233-2020</t>
        </is>
      </c>
      <c r="B389" s="1" t="n">
        <v>44063</v>
      </c>
      <c r="C389" s="1" t="n">
        <v>45731</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39178-2020</t>
        </is>
      </c>
      <c r="B390" s="1" t="n">
        <v>44063</v>
      </c>
      <c r="C390" s="1" t="n">
        <v>45731</v>
      </c>
      <c r="D390" t="inlineStr">
        <is>
          <t>UPPSALA LÄN</t>
        </is>
      </c>
      <c r="E390" t="inlineStr">
        <is>
          <t>UPPSALA</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39236-2020</t>
        </is>
      </c>
      <c r="B391" s="1" t="n">
        <v>44063</v>
      </c>
      <c r="C391" s="1" t="n">
        <v>45731</v>
      </c>
      <c r="D391" t="inlineStr">
        <is>
          <t>UPPSALA LÄN</t>
        </is>
      </c>
      <c r="E391" t="inlineStr">
        <is>
          <t>UPPSALA</t>
        </is>
      </c>
      <c r="G391" t="n">
        <v>0.5</v>
      </c>
      <c r="H391" t="n">
        <v>0</v>
      </c>
      <c r="I391" t="n">
        <v>0</v>
      </c>
      <c r="J391" t="n">
        <v>0</v>
      </c>
      <c r="K391" t="n">
        <v>0</v>
      </c>
      <c r="L391" t="n">
        <v>0</v>
      </c>
      <c r="M391" t="n">
        <v>0</v>
      </c>
      <c r="N391" t="n">
        <v>0</v>
      </c>
      <c r="O391" t="n">
        <v>0</v>
      </c>
      <c r="P391" t="n">
        <v>0</v>
      </c>
      <c r="Q391" t="n">
        <v>0</v>
      </c>
      <c r="R391" s="2" t="inlineStr"/>
    </row>
    <row r="392" ht="15" customHeight="1">
      <c r="A392" t="inlineStr">
        <is>
          <t>A 39272-2020</t>
        </is>
      </c>
      <c r="B392" s="1" t="n">
        <v>44063</v>
      </c>
      <c r="C392" s="1" t="n">
        <v>45731</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40894-2020</t>
        </is>
      </c>
      <c r="B393" s="1" t="n">
        <v>44070</v>
      </c>
      <c r="C393" s="1" t="n">
        <v>45731</v>
      </c>
      <c r="D393" t="inlineStr">
        <is>
          <t>UPPSALA LÄN</t>
        </is>
      </c>
      <c r="E393" t="inlineStr">
        <is>
          <t>UPPSALA</t>
        </is>
      </c>
      <c r="G393" t="n">
        <v>7.1</v>
      </c>
      <c r="H393" t="n">
        <v>0</v>
      </c>
      <c r="I393" t="n">
        <v>0</v>
      </c>
      <c r="J393" t="n">
        <v>0</v>
      </c>
      <c r="K393" t="n">
        <v>0</v>
      </c>
      <c r="L393" t="n">
        <v>0</v>
      </c>
      <c r="M393" t="n">
        <v>0</v>
      </c>
      <c r="N393" t="n">
        <v>0</v>
      </c>
      <c r="O393" t="n">
        <v>0</v>
      </c>
      <c r="P393" t="n">
        <v>0</v>
      </c>
      <c r="Q393" t="n">
        <v>0</v>
      </c>
      <c r="R393" s="2" t="inlineStr"/>
    </row>
    <row r="394" ht="15" customHeight="1">
      <c r="A394" t="inlineStr">
        <is>
          <t>A 42341-2020</t>
        </is>
      </c>
      <c r="B394" s="1" t="n">
        <v>44076</v>
      </c>
      <c r="C394" s="1" t="n">
        <v>45731</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43968-2020</t>
        </is>
      </c>
      <c r="B395" s="1" t="n">
        <v>44083</v>
      </c>
      <c r="C395" s="1" t="n">
        <v>45731</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45930-2020</t>
        </is>
      </c>
      <c r="B396" s="1" t="n">
        <v>44091</v>
      </c>
      <c r="C396" s="1" t="n">
        <v>45731</v>
      </c>
      <c r="D396" t="inlineStr">
        <is>
          <t>UPPSALA LÄN</t>
        </is>
      </c>
      <c r="E396" t="inlineStr">
        <is>
          <t>UPPSALA</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46633-2020</t>
        </is>
      </c>
      <c r="B397" s="1" t="n">
        <v>44095</v>
      </c>
      <c r="C397" s="1" t="n">
        <v>45731</v>
      </c>
      <c r="D397" t="inlineStr">
        <is>
          <t>UPPSALA LÄN</t>
        </is>
      </c>
      <c r="E397" t="inlineStr">
        <is>
          <t>UPPSALA</t>
        </is>
      </c>
      <c r="G397" t="n">
        <v>4.2</v>
      </c>
      <c r="H397" t="n">
        <v>0</v>
      </c>
      <c r="I397" t="n">
        <v>0</v>
      </c>
      <c r="J397" t="n">
        <v>0</v>
      </c>
      <c r="K397" t="n">
        <v>0</v>
      </c>
      <c r="L397" t="n">
        <v>0</v>
      </c>
      <c r="M397" t="n">
        <v>0</v>
      </c>
      <c r="N397" t="n">
        <v>0</v>
      </c>
      <c r="O397" t="n">
        <v>0</v>
      </c>
      <c r="P397" t="n">
        <v>0</v>
      </c>
      <c r="Q397" t="n">
        <v>0</v>
      </c>
      <c r="R397" s="2" t="inlineStr"/>
    </row>
    <row r="398" ht="15" customHeight="1">
      <c r="A398" t="inlineStr">
        <is>
          <t>A 46647-2020</t>
        </is>
      </c>
      <c r="B398" s="1" t="n">
        <v>44095</v>
      </c>
      <c r="C398" s="1" t="n">
        <v>45731</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48786-2020</t>
        </is>
      </c>
      <c r="B399" s="1" t="n">
        <v>44103</v>
      </c>
      <c r="C399" s="1" t="n">
        <v>45731</v>
      </c>
      <c r="D399" t="inlineStr">
        <is>
          <t>UPPSALA LÄN</t>
        </is>
      </c>
      <c r="E399" t="inlineStr">
        <is>
          <t>UPPSALA</t>
        </is>
      </c>
      <c r="G399" t="n">
        <v>0.4</v>
      </c>
      <c r="H399" t="n">
        <v>0</v>
      </c>
      <c r="I399" t="n">
        <v>0</v>
      </c>
      <c r="J399" t="n">
        <v>0</v>
      </c>
      <c r="K399" t="n">
        <v>0</v>
      </c>
      <c r="L399" t="n">
        <v>0</v>
      </c>
      <c r="M399" t="n">
        <v>0</v>
      </c>
      <c r="N399" t="n">
        <v>0</v>
      </c>
      <c r="O399" t="n">
        <v>0</v>
      </c>
      <c r="P399" t="n">
        <v>0</v>
      </c>
      <c r="Q399" t="n">
        <v>0</v>
      </c>
      <c r="R399" s="2" t="inlineStr"/>
    </row>
    <row r="400" ht="15" customHeight="1">
      <c r="A400" t="inlineStr">
        <is>
          <t>A 49363-2020</t>
        </is>
      </c>
      <c r="B400" s="1" t="n">
        <v>44105</v>
      </c>
      <c r="C400" s="1" t="n">
        <v>45731</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49409-2020</t>
        </is>
      </c>
      <c r="B401" s="1" t="n">
        <v>44105</v>
      </c>
      <c r="C401" s="1" t="n">
        <v>45731</v>
      </c>
      <c r="D401" t="inlineStr">
        <is>
          <t>UPPSALA LÄN</t>
        </is>
      </c>
      <c r="E401" t="inlineStr">
        <is>
          <t>UPPSALA</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49404-2020</t>
        </is>
      </c>
      <c r="B402" s="1" t="n">
        <v>44105</v>
      </c>
      <c r="C402" s="1" t="n">
        <v>45731</v>
      </c>
      <c r="D402" t="inlineStr">
        <is>
          <t>UPPSALA LÄN</t>
        </is>
      </c>
      <c r="E402" t="inlineStr">
        <is>
          <t>UPPSALA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49821-2020</t>
        </is>
      </c>
      <c r="B403" s="1" t="n">
        <v>44106</v>
      </c>
      <c r="C403" s="1" t="n">
        <v>45731</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49931-2020</t>
        </is>
      </c>
      <c r="B404" s="1" t="n">
        <v>44109</v>
      </c>
      <c r="C404" s="1" t="n">
        <v>45731</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52717-2020</t>
        </is>
      </c>
      <c r="B405" s="1" t="n">
        <v>44119</v>
      </c>
      <c r="C405" s="1" t="n">
        <v>45731</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53346-2020</t>
        </is>
      </c>
      <c r="B406" s="1" t="n">
        <v>44123</v>
      </c>
      <c r="C406" s="1" t="n">
        <v>45731</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53379-2020</t>
        </is>
      </c>
      <c r="B407" s="1" t="n">
        <v>44123</v>
      </c>
      <c r="C407" s="1" t="n">
        <v>45731</v>
      </c>
      <c r="D407" t="inlineStr">
        <is>
          <t>UPPSALA LÄN</t>
        </is>
      </c>
      <c r="E407" t="inlineStr">
        <is>
          <t>UPPSALA</t>
        </is>
      </c>
      <c r="G407" t="n">
        <v>2.6</v>
      </c>
      <c r="H407" t="n">
        <v>0</v>
      </c>
      <c r="I407" t="n">
        <v>0</v>
      </c>
      <c r="J407" t="n">
        <v>0</v>
      </c>
      <c r="K407" t="n">
        <v>0</v>
      </c>
      <c r="L407" t="n">
        <v>0</v>
      </c>
      <c r="M407" t="n">
        <v>0</v>
      </c>
      <c r="N407" t="n">
        <v>0</v>
      </c>
      <c r="O407" t="n">
        <v>0</v>
      </c>
      <c r="P407" t="n">
        <v>0</v>
      </c>
      <c r="Q407" t="n">
        <v>0</v>
      </c>
      <c r="R407" s="2" t="inlineStr"/>
    </row>
    <row r="408" ht="15" customHeight="1">
      <c r="A408" t="inlineStr">
        <is>
          <t>A 54742-2020</t>
        </is>
      </c>
      <c r="B408" s="1" t="n">
        <v>44126</v>
      </c>
      <c r="C408" s="1" t="n">
        <v>45731</v>
      </c>
      <c r="D408" t="inlineStr">
        <is>
          <t>UPPSALA LÄN</t>
        </is>
      </c>
      <c r="E408" t="inlineStr">
        <is>
          <t>UPPSALA</t>
        </is>
      </c>
      <c r="G408" t="n">
        <v>3.6</v>
      </c>
      <c r="H408" t="n">
        <v>0</v>
      </c>
      <c r="I408" t="n">
        <v>0</v>
      </c>
      <c r="J408" t="n">
        <v>0</v>
      </c>
      <c r="K408" t="n">
        <v>0</v>
      </c>
      <c r="L408" t="n">
        <v>0</v>
      </c>
      <c r="M408" t="n">
        <v>0</v>
      </c>
      <c r="N408" t="n">
        <v>0</v>
      </c>
      <c r="O408" t="n">
        <v>0</v>
      </c>
      <c r="P408" t="n">
        <v>0</v>
      </c>
      <c r="Q408" t="n">
        <v>0</v>
      </c>
      <c r="R408" s="2" t="inlineStr"/>
    </row>
    <row r="409" ht="15" customHeight="1">
      <c r="A409" t="inlineStr">
        <is>
          <t>A 55220-2020</t>
        </is>
      </c>
      <c r="B409" s="1" t="n">
        <v>44130</v>
      </c>
      <c r="C409" s="1" t="n">
        <v>45731</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55953-2020</t>
        </is>
      </c>
      <c r="B410" s="1" t="n">
        <v>44131</v>
      </c>
      <c r="C410" s="1" t="n">
        <v>45731</v>
      </c>
      <c r="D410" t="inlineStr">
        <is>
          <t>UPPSALA LÄN</t>
        </is>
      </c>
      <c r="E410" t="inlineStr">
        <is>
          <t>UPPSALA</t>
        </is>
      </c>
      <c r="F410" t="inlineStr">
        <is>
          <t>Allmännings- och besparingsskogar</t>
        </is>
      </c>
      <c r="G410" t="n">
        <v>74.40000000000001</v>
      </c>
      <c r="H410" t="n">
        <v>0</v>
      </c>
      <c r="I410" t="n">
        <v>0</v>
      </c>
      <c r="J410" t="n">
        <v>0</v>
      </c>
      <c r="K410" t="n">
        <v>0</v>
      </c>
      <c r="L410" t="n">
        <v>0</v>
      </c>
      <c r="M410" t="n">
        <v>0</v>
      </c>
      <c r="N410" t="n">
        <v>0</v>
      </c>
      <c r="O410" t="n">
        <v>0</v>
      </c>
      <c r="P410" t="n">
        <v>0</v>
      </c>
      <c r="Q410" t="n">
        <v>0</v>
      </c>
      <c r="R410" s="2" t="inlineStr"/>
    </row>
    <row r="411" ht="15" customHeight="1">
      <c r="A411" t="inlineStr">
        <is>
          <t>A 56097-2020</t>
        </is>
      </c>
      <c r="B411" s="1" t="n">
        <v>44131</v>
      </c>
      <c r="C411" s="1" t="n">
        <v>45731</v>
      </c>
      <c r="D411" t="inlineStr">
        <is>
          <t>UPPSALA LÄN</t>
        </is>
      </c>
      <c r="E411" t="inlineStr">
        <is>
          <t>UPPSALA</t>
        </is>
      </c>
      <c r="F411" t="inlineStr">
        <is>
          <t>Allmännings- och besparingsskogar</t>
        </is>
      </c>
      <c r="G411" t="n">
        <v>10.6</v>
      </c>
      <c r="H411" t="n">
        <v>0</v>
      </c>
      <c r="I411" t="n">
        <v>0</v>
      </c>
      <c r="J411" t="n">
        <v>0</v>
      </c>
      <c r="K411" t="n">
        <v>0</v>
      </c>
      <c r="L411" t="n">
        <v>0</v>
      </c>
      <c r="M411" t="n">
        <v>0</v>
      </c>
      <c r="N411" t="n">
        <v>0</v>
      </c>
      <c r="O411" t="n">
        <v>0</v>
      </c>
      <c r="P411" t="n">
        <v>0</v>
      </c>
      <c r="Q411" t="n">
        <v>0</v>
      </c>
      <c r="R411" s="2" t="inlineStr"/>
    </row>
    <row r="412" ht="15" customHeight="1">
      <c r="A412" t="inlineStr">
        <is>
          <t>A 56466-2020</t>
        </is>
      </c>
      <c r="B412" s="1" t="n">
        <v>44134</v>
      </c>
      <c r="C412" s="1" t="n">
        <v>45731</v>
      </c>
      <c r="D412" t="inlineStr">
        <is>
          <t>UPPSALA LÄN</t>
        </is>
      </c>
      <c r="E412" t="inlineStr">
        <is>
          <t>UPPSALA</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57041-2020</t>
        </is>
      </c>
      <c r="B413" s="1" t="n">
        <v>44137</v>
      </c>
      <c r="C413" s="1" t="n">
        <v>45731</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57271-2020</t>
        </is>
      </c>
      <c r="B414" s="1" t="n">
        <v>44139</v>
      </c>
      <c r="C414" s="1" t="n">
        <v>45731</v>
      </c>
      <c r="D414" t="inlineStr">
        <is>
          <t>UPPSALA LÄN</t>
        </is>
      </c>
      <c r="E414" t="inlineStr">
        <is>
          <t>UPPSALA</t>
        </is>
      </c>
      <c r="G414" t="n">
        <v>3.8</v>
      </c>
      <c r="H414" t="n">
        <v>0</v>
      </c>
      <c r="I414" t="n">
        <v>0</v>
      </c>
      <c r="J414" t="n">
        <v>0</v>
      </c>
      <c r="K414" t="n">
        <v>0</v>
      </c>
      <c r="L414" t="n">
        <v>0</v>
      </c>
      <c r="M414" t="n">
        <v>0</v>
      </c>
      <c r="N414" t="n">
        <v>0</v>
      </c>
      <c r="O414" t="n">
        <v>0</v>
      </c>
      <c r="P414" t="n">
        <v>0</v>
      </c>
      <c r="Q414" t="n">
        <v>0</v>
      </c>
      <c r="R414" s="2" t="inlineStr"/>
    </row>
    <row r="415" ht="15" customHeight="1">
      <c r="A415" t="inlineStr">
        <is>
          <t>A 57451-2020</t>
        </is>
      </c>
      <c r="B415" s="1" t="n">
        <v>44139</v>
      </c>
      <c r="C415" s="1" t="n">
        <v>45731</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57466-2020</t>
        </is>
      </c>
      <c r="B416" s="1" t="n">
        <v>44139</v>
      </c>
      <c r="C416" s="1" t="n">
        <v>45731</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58070-2020</t>
        </is>
      </c>
      <c r="B417" s="1" t="n">
        <v>44140</v>
      </c>
      <c r="C417" s="1" t="n">
        <v>45731</v>
      </c>
      <c r="D417" t="inlineStr">
        <is>
          <t>UPPSALA LÄN</t>
        </is>
      </c>
      <c r="E417" t="inlineStr">
        <is>
          <t>UPPSALA</t>
        </is>
      </c>
      <c r="G417" t="n">
        <v>4</v>
      </c>
      <c r="H417" t="n">
        <v>0</v>
      </c>
      <c r="I417" t="n">
        <v>0</v>
      </c>
      <c r="J417" t="n">
        <v>0</v>
      </c>
      <c r="K417" t="n">
        <v>0</v>
      </c>
      <c r="L417" t="n">
        <v>0</v>
      </c>
      <c r="M417" t="n">
        <v>0</v>
      </c>
      <c r="N417" t="n">
        <v>0</v>
      </c>
      <c r="O417" t="n">
        <v>0</v>
      </c>
      <c r="P417" t="n">
        <v>0</v>
      </c>
      <c r="Q417" t="n">
        <v>0</v>
      </c>
      <c r="R417" s="2" t="inlineStr"/>
    </row>
    <row r="418" ht="15" customHeight="1">
      <c r="A418" t="inlineStr">
        <is>
          <t>A 58058-2020</t>
        </is>
      </c>
      <c r="B418" s="1" t="n">
        <v>44144</v>
      </c>
      <c r="C418" s="1" t="n">
        <v>45731</v>
      </c>
      <c r="D418" t="inlineStr">
        <is>
          <t>UPPSALA LÄN</t>
        </is>
      </c>
      <c r="E418" t="inlineStr">
        <is>
          <t>UPPSALA</t>
        </is>
      </c>
      <c r="G418" t="n">
        <v>4.4</v>
      </c>
      <c r="H418" t="n">
        <v>0</v>
      </c>
      <c r="I418" t="n">
        <v>0</v>
      </c>
      <c r="J418" t="n">
        <v>0</v>
      </c>
      <c r="K418" t="n">
        <v>0</v>
      </c>
      <c r="L418" t="n">
        <v>0</v>
      </c>
      <c r="M418" t="n">
        <v>0</v>
      </c>
      <c r="N418" t="n">
        <v>0</v>
      </c>
      <c r="O418" t="n">
        <v>0</v>
      </c>
      <c r="P418" t="n">
        <v>0</v>
      </c>
      <c r="Q418" t="n">
        <v>0</v>
      </c>
      <c r="R418" s="2" t="inlineStr"/>
    </row>
    <row r="419" ht="15" customHeight="1">
      <c r="A419" t="inlineStr">
        <is>
          <t>A 58056-2020</t>
        </is>
      </c>
      <c r="B419" s="1" t="n">
        <v>44144</v>
      </c>
      <c r="C419" s="1" t="n">
        <v>45731</v>
      </c>
      <c r="D419" t="inlineStr">
        <is>
          <t>UPPSALA LÄN</t>
        </is>
      </c>
      <c r="E419" t="inlineStr">
        <is>
          <t>UPPSALA</t>
        </is>
      </c>
      <c r="G419" t="n">
        <v>5.5</v>
      </c>
      <c r="H419" t="n">
        <v>0</v>
      </c>
      <c r="I419" t="n">
        <v>0</v>
      </c>
      <c r="J419" t="n">
        <v>0</v>
      </c>
      <c r="K419" t="n">
        <v>0</v>
      </c>
      <c r="L419" t="n">
        <v>0</v>
      </c>
      <c r="M419" t="n">
        <v>0</v>
      </c>
      <c r="N419" t="n">
        <v>0</v>
      </c>
      <c r="O419" t="n">
        <v>0</v>
      </c>
      <c r="P419" t="n">
        <v>0</v>
      </c>
      <c r="Q419" t="n">
        <v>0</v>
      </c>
      <c r="R419" s="2" t="inlineStr"/>
    </row>
    <row r="420" ht="15" customHeight="1">
      <c r="A420" t="inlineStr">
        <is>
          <t>A 58288-2020</t>
        </is>
      </c>
      <c r="B420" s="1" t="n">
        <v>44144</v>
      </c>
      <c r="C420" s="1" t="n">
        <v>45731</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58928-2020</t>
        </is>
      </c>
      <c r="B421" s="1" t="n">
        <v>44146</v>
      </c>
      <c r="C421" s="1" t="n">
        <v>45731</v>
      </c>
      <c r="D421" t="inlineStr">
        <is>
          <t>UPPSALA LÄN</t>
        </is>
      </c>
      <c r="E421" t="inlineStr">
        <is>
          <t>UPPSALA</t>
        </is>
      </c>
      <c r="G421" t="n">
        <v>10.6</v>
      </c>
      <c r="H421" t="n">
        <v>0</v>
      </c>
      <c r="I421" t="n">
        <v>0</v>
      </c>
      <c r="J421" t="n">
        <v>0</v>
      </c>
      <c r="K421" t="n">
        <v>0</v>
      </c>
      <c r="L421" t="n">
        <v>0</v>
      </c>
      <c r="M421" t="n">
        <v>0</v>
      </c>
      <c r="N421" t="n">
        <v>0</v>
      </c>
      <c r="O421" t="n">
        <v>0</v>
      </c>
      <c r="P421" t="n">
        <v>0</v>
      </c>
      <c r="Q421" t="n">
        <v>0</v>
      </c>
      <c r="R421" s="2" t="inlineStr"/>
    </row>
    <row r="422" ht="15" customHeight="1">
      <c r="A422" t="inlineStr">
        <is>
          <t>A 59952-2020</t>
        </is>
      </c>
      <c r="B422" s="1" t="n">
        <v>44151</v>
      </c>
      <c r="C422" s="1" t="n">
        <v>45731</v>
      </c>
      <c r="D422" t="inlineStr">
        <is>
          <t>UPPSALA LÄN</t>
        </is>
      </c>
      <c r="E422" t="inlineStr">
        <is>
          <t>UPPSALA</t>
        </is>
      </c>
      <c r="G422" t="n">
        <v>25.8</v>
      </c>
      <c r="H422" t="n">
        <v>0</v>
      </c>
      <c r="I422" t="n">
        <v>0</v>
      </c>
      <c r="J422" t="n">
        <v>0</v>
      </c>
      <c r="K422" t="n">
        <v>0</v>
      </c>
      <c r="L422" t="n">
        <v>0</v>
      </c>
      <c r="M422" t="n">
        <v>0</v>
      </c>
      <c r="N422" t="n">
        <v>0</v>
      </c>
      <c r="O422" t="n">
        <v>0</v>
      </c>
      <c r="P422" t="n">
        <v>0</v>
      </c>
      <c r="Q422" t="n">
        <v>0</v>
      </c>
      <c r="R422" s="2" t="inlineStr"/>
    </row>
    <row r="423" ht="15" customHeight="1">
      <c r="A423" t="inlineStr">
        <is>
          <t>A 60702-2020</t>
        </is>
      </c>
      <c r="B423" s="1" t="n">
        <v>44153</v>
      </c>
      <c r="C423" s="1" t="n">
        <v>45731</v>
      </c>
      <c r="D423" t="inlineStr">
        <is>
          <t>UPPSALA LÄN</t>
        </is>
      </c>
      <c r="E423" t="inlineStr">
        <is>
          <t>UPPSALA</t>
        </is>
      </c>
      <c r="F423" t="inlineStr">
        <is>
          <t>Övriga statliga verk och myndigheter</t>
        </is>
      </c>
      <c r="G423" t="n">
        <v>1.4</v>
      </c>
      <c r="H423" t="n">
        <v>0</v>
      </c>
      <c r="I423" t="n">
        <v>0</v>
      </c>
      <c r="J423" t="n">
        <v>0</v>
      </c>
      <c r="K423" t="n">
        <v>0</v>
      </c>
      <c r="L423" t="n">
        <v>0</v>
      </c>
      <c r="M423" t="n">
        <v>0</v>
      </c>
      <c r="N423" t="n">
        <v>0</v>
      </c>
      <c r="O423" t="n">
        <v>0</v>
      </c>
      <c r="P423" t="n">
        <v>0</v>
      </c>
      <c r="Q423" t="n">
        <v>0</v>
      </c>
      <c r="R423" s="2" t="inlineStr"/>
    </row>
    <row r="424" ht="15" customHeight="1">
      <c r="A424" t="inlineStr">
        <is>
          <t>A 61265-2020</t>
        </is>
      </c>
      <c r="B424" s="1" t="n">
        <v>44155</v>
      </c>
      <c r="C424" s="1" t="n">
        <v>45731</v>
      </c>
      <c r="D424" t="inlineStr">
        <is>
          <t>UPPSALA LÄN</t>
        </is>
      </c>
      <c r="E424" t="inlineStr">
        <is>
          <t>UPPSALA</t>
        </is>
      </c>
      <c r="G424" t="n">
        <v>4.7</v>
      </c>
      <c r="H424" t="n">
        <v>0</v>
      </c>
      <c r="I424" t="n">
        <v>0</v>
      </c>
      <c r="J424" t="n">
        <v>0</v>
      </c>
      <c r="K424" t="n">
        <v>0</v>
      </c>
      <c r="L424" t="n">
        <v>0</v>
      </c>
      <c r="M424" t="n">
        <v>0</v>
      </c>
      <c r="N424" t="n">
        <v>0</v>
      </c>
      <c r="O424" t="n">
        <v>0</v>
      </c>
      <c r="P424" t="n">
        <v>0</v>
      </c>
      <c r="Q424" t="n">
        <v>0</v>
      </c>
      <c r="R424" s="2" t="inlineStr"/>
    </row>
    <row r="425" ht="15" customHeight="1">
      <c r="A425" t="inlineStr">
        <is>
          <t>A 61271-2020</t>
        </is>
      </c>
      <c r="B425" s="1" t="n">
        <v>44155</v>
      </c>
      <c r="C425" s="1" t="n">
        <v>45731</v>
      </c>
      <c r="D425" t="inlineStr">
        <is>
          <t>UPPSALA LÄN</t>
        </is>
      </c>
      <c r="E425" t="inlineStr">
        <is>
          <t>UPPSALA</t>
        </is>
      </c>
      <c r="G425" t="n">
        <v>3.5</v>
      </c>
      <c r="H425" t="n">
        <v>0</v>
      </c>
      <c r="I425" t="n">
        <v>0</v>
      </c>
      <c r="J425" t="n">
        <v>0</v>
      </c>
      <c r="K425" t="n">
        <v>0</v>
      </c>
      <c r="L425" t="n">
        <v>0</v>
      </c>
      <c r="M425" t="n">
        <v>0</v>
      </c>
      <c r="N425" t="n">
        <v>0</v>
      </c>
      <c r="O425" t="n">
        <v>0</v>
      </c>
      <c r="P425" t="n">
        <v>0</v>
      </c>
      <c r="Q425" t="n">
        <v>0</v>
      </c>
      <c r="R425" s="2" t="inlineStr"/>
    </row>
    <row r="426" ht="15" customHeight="1">
      <c r="A426" t="inlineStr">
        <is>
          <t>A 62094-2020</t>
        </is>
      </c>
      <c r="B426" s="1" t="n">
        <v>44159</v>
      </c>
      <c r="C426" s="1" t="n">
        <v>45731</v>
      </c>
      <c r="D426" t="inlineStr">
        <is>
          <t>UPPSALA LÄN</t>
        </is>
      </c>
      <c r="E426" t="inlineStr">
        <is>
          <t>UPPSALA</t>
        </is>
      </c>
      <c r="F426" t="inlineStr">
        <is>
          <t>Bergvik skog öst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62352-2020</t>
        </is>
      </c>
      <c r="B427" s="1" t="n">
        <v>44159</v>
      </c>
      <c r="C427" s="1" t="n">
        <v>45731</v>
      </c>
      <c r="D427" t="inlineStr">
        <is>
          <t>UPPSALA LÄN</t>
        </is>
      </c>
      <c r="E427" t="inlineStr">
        <is>
          <t>UPPSALA</t>
        </is>
      </c>
      <c r="F427" t="inlineStr">
        <is>
          <t>Allmännings- och besparingsskogar</t>
        </is>
      </c>
      <c r="G427" t="n">
        <v>12.9</v>
      </c>
      <c r="H427" t="n">
        <v>0</v>
      </c>
      <c r="I427" t="n">
        <v>0</v>
      </c>
      <c r="J427" t="n">
        <v>0</v>
      </c>
      <c r="K427" t="n">
        <v>0</v>
      </c>
      <c r="L427" t="n">
        <v>0</v>
      </c>
      <c r="M427" t="n">
        <v>0</v>
      </c>
      <c r="N427" t="n">
        <v>0</v>
      </c>
      <c r="O427" t="n">
        <v>0</v>
      </c>
      <c r="P427" t="n">
        <v>0</v>
      </c>
      <c r="Q427" t="n">
        <v>0</v>
      </c>
      <c r="R427" s="2" t="inlineStr"/>
    </row>
    <row r="428" ht="15" customHeight="1">
      <c r="A428" t="inlineStr">
        <is>
          <t>A 62504-2020</t>
        </is>
      </c>
      <c r="B428" s="1" t="n">
        <v>44160</v>
      </c>
      <c r="C428" s="1" t="n">
        <v>45731</v>
      </c>
      <c r="D428" t="inlineStr">
        <is>
          <t>UPPSALA LÄN</t>
        </is>
      </c>
      <c r="E428" t="inlineStr">
        <is>
          <t>UPPSALA</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62729-2020</t>
        </is>
      </c>
      <c r="B429" s="1" t="n">
        <v>44161</v>
      </c>
      <c r="C429" s="1" t="n">
        <v>45731</v>
      </c>
      <c r="D429" t="inlineStr">
        <is>
          <t>UPPSALA LÄN</t>
        </is>
      </c>
      <c r="E429" t="inlineStr">
        <is>
          <t>UPPSALA</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62655-2020</t>
        </is>
      </c>
      <c r="B430" s="1" t="n">
        <v>44161</v>
      </c>
      <c r="C430" s="1" t="n">
        <v>45731</v>
      </c>
      <c r="D430" t="inlineStr">
        <is>
          <t>UPPSALA LÄN</t>
        </is>
      </c>
      <c r="E430" t="inlineStr">
        <is>
          <t>UPPSALA</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63145-2020</t>
        </is>
      </c>
      <c r="B431" s="1" t="n">
        <v>44162</v>
      </c>
      <c r="C431" s="1" t="n">
        <v>45731</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63529-2020</t>
        </is>
      </c>
      <c r="B432" s="1" t="n">
        <v>44165</v>
      </c>
      <c r="C432" s="1" t="n">
        <v>45731</v>
      </c>
      <c r="D432" t="inlineStr">
        <is>
          <t>UPPSALA LÄN</t>
        </is>
      </c>
      <c r="E432" t="inlineStr">
        <is>
          <t>UPPSALA</t>
        </is>
      </c>
      <c r="F432" t="inlineStr">
        <is>
          <t>Övriga statliga verk och myndigheter</t>
        </is>
      </c>
      <c r="G432" t="n">
        <v>2.4</v>
      </c>
      <c r="H432" t="n">
        <v>0</v>
      </c>
      <c r="I432" t="n">
        <v>0</v>
      </c>
      <c r="J432" t="n">
        <v>0</v>
      </c>
      <c r="K432" t="n">
        <v>0</v>
      </c>
      <c r="L432" t="n">
        <v>0</v>
      </c>
      <c r="M432" t="n">
        <v>0</v>
      </c>
      <c r="N432" t="n">
        <v>0</v>
      </c>
      <c r="O432" t="n">
        <v>0</v>
      </c>
      <c r="P432" t="n">
        <v>0</v>
      </c>
      <c r="Q432" t="n">
        <v>0</v>
      </c>
      <c r="R432" s="2" t="inlineStr"/>
    </row>
    <row r="433" ht="15" customHeight="1">
      <c r="A433" t="inlineStr">
        <is>
          <t>A 63749-2020</t>
        </is>
      </c>
      <c r="B433" s="1" t="n">
        <v>44166</v>
      </c>
      <c r="C433" s="1" t="n">
        <v>45731</v>
      </c>
      <c r="D433" t="inlineStr">
        <is>
          <t>UPPSALA LÄN</t>
        </is>
      </c>
      <c r="E433" t="inlineStr">
        <is>
          <t>UPPSALA</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64128-2020</t>
        </is>
      </c>
      <c r="B434" s="1" t="n">
        <v>44167</v>
      </c>
      <c r="C434" s="1" t="n">
        <v>45731</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64353-2020</t>
        </is>
      </c>
      <c r="B435" s="1" t="n">
        <v>44168</v>
      </c>
      <c r="C435" s="1" t="n">
        <v>45731</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64333-2020</t>
        </is>
      </c>
      <c r="B436" s="1" t="n">
        <v>44168</v>
      </c>
      <c r="C436" s="1" t="n">
        <v>45731</v>
      </c>
      <c r="D436" t="inlineStr">
        <is>
          <t>UPPSALA LÄN</t>
        </is>
      </c>
      <c r="E436" t="inlineStr">
        <is>
          <t>UPPSALA</t>
        </is>
      </c>
      <c r="G436" t="n">
        <v>7.1</v>
      </c>
      <c r="H436" t="n">
        <v>0</v>
      </c>
      <c r="I436" t="n">
        <v>0</v>
      </c>
      <c r="J436" t="n">
        <v>0</v>
      </c>
      <c r="K436" t="n">
        <v>0</v>
      </c>
      <c r="L436" t="n">
        <v>0</v>
      </c>
      <c r="M436" t="n">
        <v>0</v>
      </c>
      <c r="N436" t="n">
        <v>0</v>
      </c>
      <c r="O436" t="n">
        <v>0</v>
      </c>
      <c r="P436" t="n">
        <v>0</v>
      </c>
      <c r="Q436" t="n">
        <v>0</v>
      </c>
      <c r="R436" s="2" t="inlineStr"/>
    </row>
    <row r="437" ht="15" customHeight="1">
      <c r="A437" t="inlineStr">
        <is>
          <t>A 66984-2020</t>
        </is>
      </c>
      <c r="B437" s="1" t="n">
        <v>44180</v>
      </c>
      <c r="C437" s="1" t="n">
        <v>45731</v>
      </c>
      <c r="D437" t="inlineStr">
        <is>
          <t>UPPSALA LÄN</t>
        </is>
      </c>
      <c r="E437" t="inlineStr">
        <is>
          <t>UPPSALA</t>
        </is>
      </c>
      <c r="F437" t="inlineStr">
        <is>
          <t>Övriga statliga verk och myndigheter</t>
        </is>
      </c>
      <c r="G437" t="n">
        <v>2.1</v>
      </c>
      <c r="H437" t="n">
        <v>0</v>
      </c>
      <c r="I437" t="n">
        <v>0</v>
      </c>
      <c r="J437" t="n">
        <v>0</v>
      </c>
      <c r="K437" t="n">
        <v>0</v>
      </c>
      <c r="L437" t="n">
        <v>0</v>
      </c>
      <c r="M437" t="n">
        <v>0</v>
      </c>
      <c r="N437" t="n">
        <v>0</v>
      </c>
      <c r="O437" t="n">
        <v>0</v>
      </c>
      <c r="P437" t="n">
        <v>0</v>
      </c>
      <c r="Q437" t="n">
        <v>0</v>
      </c>
      <c r="R437" s="2" t="inlineStr"/>
    </row>
    <row r="438" ht="15" customHeight="1">
      <c r="A438" t="inlineStr">
        <is>
          <t>A 265-2021</t>
        </is>
      </c>
      <c r="B438" s="1" t="n">
        <v>44200</v>
      </c>
      <c r="C438" s="1" t="n">
        <v>45731</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1020-2021</t>
        </is>
      </c>
      <c r="B439" s="1" t="n">
        <v>44207</v>
      </c>
      <c r="C439" s="1" t="n">
        <v>45731</v>
      </c>
      <c r="D439" t="inlineStr">
        <is>
          <t>UPPSALA LÄN</t>
        </is>
      </c>
      <c r="E439" t="inlineStr">
        <is>
          <t>UPPSALA</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1573-2021</t>
        </is>
      </c>
      <c r="B440" s="1" t="n">
        <v>44209</v>
      </c>
      <c r="C440" s="1" t="n">
        <v>45731</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1617-2021</t>
        </is>
      </c>
      <c r="B441" s="1" t="n">
        <v>44209</v>
      </c>
      <c r="C441" s="1" t="n">
        <v>45731</v>
      </c>
      <c r="D441" t="inlineStr">
        <is>
          <t>UPPSALA LÄN</t>
        </is>
      </c>
      <c r="E441" t="inlineStr">
        <is>
          <t>UPPSALA</t>
        </is>
      </c>
      <c r="G441" t="n">
        <v>2.5</v>
      </c>
      <c r="H441" t="n">
        <v>0</v>
      </c>
      <c r="I441" t="n">
        <v>0</v>
      </c>
      <c r="J441" t="n">
        <v>0</v>
      </c>
      <c r="K441" t="n">
        <v>0</v>
      </c>
      <c r="L441" t="n">
        <v>0</v>
      </c>
      <c r="M441" t="n">
        <v>0</v>
      </c>
      <c r="N441" t="n">
        <v>0</v>
      </c>
      <c r="O441" t="n">
        <v>0</v>
      </c>
      <c r="P441" t="n">
        <v>0</v>
      </c>
      <c r="Q441" t="n">
        <v>0</v>
      </c>
      <c r="R441" s="2" t="inlineStr"/>
    </row>
    <row r="442" ht="15" customHeight="1">
      <c r="A442" t="inlineStr">
        <is>
          <t>A 1855-2021</t>
        </is>
      </c>
      <c r="B442" s="1" t="n">
        <v>44210</v>
      </c>
      <c r="C442" s="1" t="n">
        <v>45731</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2169-2021</t>
        </is>
      </c>
      <c r="B443" s="1" t="n">
        <v>44211</v>
      </c>
      <c r="C443" s="1" t="n">
        <v>45731</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3864-2021</t>
        </is>
      </c>
      <c r="B444" s="1" t="n">
        <v>44216</v>
      </c>
      <c r="C444" s="1" t="n">
        <v>45731</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3874-2021</t>
        </is>
      </c>
      <c r="B445" s="1" t="n">
        <v>44216</v>
      </c>
      <c r="C445" s="1" t="n">
        <v>45731</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3955-2021</t>
        </is>
      </c>
      <c r="B446" s="1" t="n">
        <v>44222</v>
      </c>
      <c r="C446" s="1" t="n">
        <v>45731</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4875-2021</t>
        </is>
      </c>
      <c r="B447" s="1" t="n">
        <v>44223</v>
      </c>
      <c r="C447" s="1" t="n">
        <v>45731</v>
      </c>
      <c r="D447" t="inlineStr">
        <is>
          <t>UPPSALA LÄN</t>
        </is>
      </c>
      <c r="E447" t="inlineStr">
        <is>
          <t>UPPSALA</t>
        </is>
      </c>
      <c r="G447" t="n">
        <v>0.4</v>
      </c>
      <c r="H447" t="n">
        <v>0</v>
      </c>
      <c r="I447" t="n">
        <v>0</v>
      </c>
      <c r="J447" t="n">
        <v>0</v>
      </c>
      <c r="K447" t="n">
        <v>0</v>
      </c>
      <c r="L447" t="n">
        <v>0</v>
      </c>
      <c r="M447" t="n">
        <v>0</v>
      </c>
      <c r="N447" t="n">
        <v>0</v>
      </c>
      <c r="O447" t="n">
        <v>0</v>
      </c>
      <c r="P447" t="n">
        <v>0</v>
      </c>
      <c r="Q447" t="n">
        <v>0</v>
      </c>
      <c r="R447" s="2" t="inlineStr"/>
    </row>
    <row r="448" ht="15" customHeight="1">
      <c r="A448" t="inlineStr">
        <is>
          <t>A 5663-2021</t>
        </is>
      </c>
      <c r="B448" s="1" t="n">
        <v>44230</v>
      </c>
      <c r="C448" s="1" t="n">
        <v>45731</v>
      </c>
      <c r="D448" t="inlineStr">
        <is>
          <t>UPPSALA LÄN</t>
        </is>
      </c>
      <c r="E448" t="inlineStr">
        <is>
          <t>UPPSALA</t>
        </is>
      </c>
      <c r="G448" t="n">
        <v>0.9</v>
      </c>
      <c r="H448" t="n">
        <v>0</v>
      </c>
      <c r="I448" t="n">
        <v>0</v>
      </c>
      <c r="J448" t="n">
        <v>0</v>
      </c>
      <c r="K448" t="n">
        <v>0</v>
      </c>
      <c r="L448" t="n">
        <v>0</v>
      </c>
      <c r="M448" t="n">
        <v>0</v>
      </c>
      <c r="N448" t="n">
        <v>0</v>
      </c>
      <c r="O448" t="n">
        <v>0</v>
      </c>
      <c r="P448" t="n">
        <v>0</v>
      </c>
      <c r="Q448" t="n">
        <v>0</v>
      </c>
      <c r="R448" s="2" t="inlineStr"/>
    </row>
    <row r="449" ht="15" customHeight="1">
      <c r="A449" t="inlineStr">
        <is>
          <t>A 8114-2021</t>
        </is>
      </c>
      <c r="B449" s="1" t="n">
        <v>44243</v>
      </c>
      <c r="C449" s="1" t="n">
        <v>45731</v>
      </c>
      <c r="D449" t="inlineStr">
        <is>
          <t>UPPSALA LÄN</t>
        </is>
      </c>
      <c r="E449" t="inlineStr">
        <is>
          <t>UPPSALA</t>
        </is>
      </c>
      <c r="G449" t="n">
        <v>3.4</v>
      </c>
      <c r="H449" t="n">
        <v>0</v>
      </c>
      <c r="I449" t="n">
        <v>0</v>
      </c>
      <c r="J449" t="n">
        <v>0</v>
      </c>
      <c r="K449" t="n">
        <v>0</v>
      </c>
      <c r="L449" t="n">
        <v>0</v>
      </c>
      <c r="M449" t="n">
        <v>0</v>
      </c>
      <c r="N449" t="n">
        <v>0</v>
      </c>
      <c r="O449" t="n">
        <v>0</v>
      </c>
      <c r="P449" t="n">
        <v>0</v>
      </c>
      <c r="Q449" t="n">
        <v>0</v>
      </c>
      <c r="R449" s="2" t="inlineStr"/>
    </row>
    <row r="450" ht="15" customHeight="1">
      <c r="A450" t="inlineStr">
        <is>
          <t>A 8494-2021</t>
        </is>
      </c>
      <c r="B450" s="1" t="n">
        <v>44245</v>
      </c>
      <c r="C450" s="1" t="n">
        <v>45731</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9700-2021</t>
        </is>
      </c>
      <c r="B451" s="1" t="n">
        <v>44252</v>
      </c>
      <c r="C451" s="1" t="n">
        <v>45731</v>
      </c>
      <c r="D451" t="inlineStr">
        <is>
          <t>UPPSALA LÄN</t>
        </is>
      </c>
      <c r="E451" t="inlineStr">
        <is>
          <t>UPPSALA</t>
        </is>
      </c>
      <c r="G451" t="n">
        <v>3.3</v>
      </c>
      <c r="H451" t="n">
        <v>0</v>
      </c>
      <c r="I451" t="n">
        <v>0</v>
      </c>
      <c r="J451" t="n">
        <v>0</v>
      </c>
      <c r="K451" t="n">
        <v>0</v>
      </c>
      <c r="L451" t="n">
        <v>0</v>
      </c>
      <c r="M451" t="n">
        <v>0</v>
      </c>
      <c r="N451" t="n">
        <v>0</v>
      </c>
      <c r="O451" t="n">
        <v>0</v>
      </c>
      <c r="P451" t="n">
        <v>0</v>
      </c>
      <c r="Q451" t="n">
        <v>0</v>
      </c>
      <c r="R451" s="2" t="inlineStr"/>
    </row>
    <row r="452" ht="15" customHeight="1">
      <c r="A452" t="inlineStr">
        <is>
          <t>A 9712-2021</t>
        </is>
      </c>
      <c r="B452" s="1" t="n">
        <v>44252</v>
      </c>
      <c r="C452" s="1" t="n">
        <v>45731</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12225-2021</t>
        </is>
      </c>
      <c r="B453" s="1" t="n">
        <v>44266</v>
      </c>
      <c r="C453" s="1" t="n">
        <v>45731</v>
      </c>
      <c r="D453" t="inlineStr">
        <is>
          <t>UPPSALA LÄN</t>
        </is>
      </c>
      <c r="E453" t="inlineStr">
        <is>
          <t>UPPSALA</t>
        </is>
      </c>
      <c r="F453" t="inlineStr">
        <is>
          <t>Bergvik skog öst AB</t>
        </is>
      </c>
      <c r="G453" t="n">
        <v>4.8</v>
      </c>
      <c r="H453" t="n">
        <v>0</v>
      </c>
      <c r="I453" t="n">
        <v>0</v>
      </c>
      <c r="J453" t="n">
        <v>0</v>
      </c>
      <c r="K453" t="n">
        <v>0</v>
      </c>
      <c r="L453" t="n">
        <v>0</v>
      </c>
      <c r="M453" t="n">
        <v>0</v>
      </c>
      <c r="N453" t="n">
        <v>0</v>
      </c>
      <c r="O453" t="n">
        <v>0</v>
      </c>
      <c r="P453" t="n">
        <v>0</v>
      </c>
      <c r="Q453" t="n">
        <v>0</v>
      </c>
      <c r="R453" s="2" t="inlineStr"/>
    </row>
    <row r="454" ht="15" customHeight="1">
      <c r="A454" t="inlineStr">
        <is>
          <t>A 12152-2021</t>
        </is>
      </c>
      <c r="B454" s="1" t="n">
        <v>44266</v>
      </c>
      <c r="C454" s="1" t="n">
        <v>45731</v>
      </c>
      <c r="D454" t="inlineStr">
        <is>
          <t>UPPSALA LÄN</t>
        </is>
      </c>
      <c r="E454" t="inlineStr">
        <is>
          <t>UPPSALA</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12172-2021</t>
        </is>
      </c>
      <c r="B455" s="1" t="n">
        <v>44266</v>
      </c>
      <c r="C455" s="1" t="n">
        <v>45731</v>
      </c>
      <c r="D455" t="inlineStr">
        <is>
          <t>UPPSALA LÄN</t>
        </is>
      </c>
      <c r="E455" t="inlineStr">
        <is>
          <t>UPPSALA</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12194-2021</t>
        </is>
      </c>
      <c r="B456" s="1" t="n">
        <v>44266</v>
      </c>
      <c r="C456" s="1" t="n">
        <v>45731</v>
      </c>
      <c r="D456" t="inlineStr">
        <is>
          <t>UPPSALA LÄN</t>
        </is>
      </c>
      <c r="E456" t="inlineStr">
        <is>
          <t>UPPSALA</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12313-2021</t>
        </is>
      </c>
      <c r="B457" s="1" t="n">
        <v>44266</v>
      </c>
      <c r="C457" s="1" t="n">
        <v>45731</v>
      </c>
      <c r="D457" t="inlineStr">
        <is>
          <t>UPPSALA LÄN</t>
        </is>
      </c>
      <c r="E457" t="inlineStr">
        <is>
          <t>UPPSALA</t>
        </is>
      </c>
      <c r="G457" t="n">
        <v>23.6</v>
      </c>
      <c r="H457" t="n">
        <v>0</v>
      </c>
      <c r="I457" t="n">
        <v>0</v>
      </c>
      <c r="J457" t="n">
        <v>0</v>
      </c>
      <c r="K457" t="n">
        <v>0</v>
      </c>
      <c r="L457" t="n">
        <v>0</v>
      </c>
      <c r="M457" t="n">
        <v>0</v>
      </c>
      <c r="N457" t="n">
        <v>0</v>
      </c>
      <c r="O457" t="n">
        <v>0</v>
      </c>
      <c r="P457" t="n">
        <v>0</v>
      </c>
      <c r="Q457" t="n">
        <v>0</v>
      </c>
      <c r="R457" s="2" t="inlineStr"/>
    </row>
    <row r="458" ht="15" customHeight="1">
      <c r="A458" t="inlineStr">
        <is>
          <t>A 13010-2021</t>
        </is>
      </c>
      <c r="B458" s="1" t="n">
        <v>44271</v>
      </c>
      <c r="C458" s="1" t="n">
        <v>45731</v>
      </c>
      <c r="D458" t="inlineStr">
        <is>
          <t>UPPSALA LÄN</t>
        </is>
      </c>
      <c r="E458" t="inlineStr">
        <is>
          <t>UPPSALA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13420-2021</t>
        </is>
      </c>
      <c r="B459" s="1" t="n">
        <v>44273</v>
      </c>
      <c r="C459" s="1" t="n">
        <v>45731</v>
      </c>
      <c r="D459" t="inlineStr">
        <is>
          <t>UPPSALA LÄN</t>
        </is>
      </c>
      <c r="E459" t="inlineStr">
        <is>
          <t>UPPSALA</t>
        </is>
      </c>
      <c r="G459" t="n">
        <v>1.9</v>
      </c>
      <c r="H459" t="n">
        <v>0</v>
      </c>
      <c r="I459" t="n">
        <v>0</v>
      </c>
      <c r="J459" t="n">
        <v>0</v>
      </c>
      <c r="K459" t="n">
        <v>0</v>
      </c>
      <c r="L459" t="n">
        <v>0</v>
      </c>
      <c r="M459" t="n">
        <v>0</v>
      </c>
      <c r="N459" t="n">
        <v>0</v>
      </c>
      <c r="O459" t="n">
        <v>0</v>
      </c>
      <c r="P459" t="n">
        <v>0</v>
      </c>
      <c r="Q459" t="n">
        <v>0</v>
      </c>
      <c r="R459" s="2" t="inlineStr"/>
    </row>
    <row r="460" ht="15" customHeight="1">
      <c r="A460" t="inlineStr">
        <is>
          <t>A 14026-2021</t>
        </is>
      </c>
      <c r="B460" s="1" t="n">
        <v>44277</v>
      </c>
      <c r="C460" s="1" t="n">
        <v>45731</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14022-2021</t>
        </is>
      </c>
      <c r="B461" s="1" t="n">
        <v>44277</v>
      </c>
      <c r="C461" s="1" t="n">
        <v>45731</v>
      </c>
      <c r="D461" t="inlineStr">
        <is>
          <t>UPPSALA LÄN</t>
        </is>
      </c>
      <c r="E461" t="inlineStr">
        <is>
          <t>UPPSALA</t>
        </is>
      </c>
      <c r="G461" t="n">
        <v>11.1</v>
      </c>
      <c r="H461" t="n">
        <v>0</v>
      </c>
      <c r="I461" t="n">
        <v>0</v>
      </c>
      <c r="J461" t="n">
        <v>0</v>
      </c>
      <c r="K461" t="n">
        <v>0</v>
      </c>
      <c r="L461" t="n">
        <v>0</v>
      </c>
      <c r="M461" t="n">
        <v>0</v>
      </c>
      <c r="N461" t="n">
        <v>0</v>
      </c>
      <c r="O461" t="n">
        <v>0</v>
      </c>
      <c r="P461" t="n">
        <v>0</v>
      </c>
      <c r="Q461" t="n">
        <v>0</v>
      </c>
      <c r="R461" s="2" t="inlineStr"/>
    </row>
    <row r="462" ht="15" customHeight="1">
      <c r="A462" t="inlineStr">
        <is>
          <t>A 14341-2021</t>
        </is>
      </c>
      <c r="B462" s="1" t="n">
        <v>44279</v>
      </c>
      <c r="C462" s="1" t="n">
        <v>45731</v>
      </c>
      <c r="D462" t="inlineStr">
        <is>
          <t>UPPSALA LÄN</t>
        </is>
      </c>
      <c r="E462" t="inlineStr">
        <is>
          <t>UPPSALA</t>
        </is>
      </c>
      <c r="G462" t="n">
        <v>8.9</v>
      </c>
      <c r="H462" t="n">
        <v>0</v>
      </c>
      <c r="I462" t="n">
        <v>0</v>
      </c>
      <c r="J462" t="n">
        <v>0</v>
      </c>
      <c r="K462" t="n">
        <v>0</v>
      </c>
      <c r="L462" t="n">
        <v>0</v>
      </c>
      <c r="M462" t="n">
        <v>0</v>
      </c>
      <c r="N462" t="n">
        <v>0</v>
      </c>
      <c r="O462" t="n">
        <v>0</v>
      </c>
      <c r="P462" t="n">
        <v>0</v>
      </c>
      <c r="Q462" t="n">
        <v>0</v>
      </c>
      <c r="R462" s="2" t="inlineStr"/>
    </row>
    <row r="463" ht="15" customHeight="1">
      <c r="A463" t="inlineStr">
        <is>
          <t>A 14941-2021</t>
        </is>
      </c>
      <c r="B463" s="1" t="n">
        <v>44281</v>
      </c>
      <c r="C463" s="1" t="n">
        <v>45731</v>
      </c>
      <c r="D463" t="inlineStr">
        <is>
          <t>UPPSALA LÄN</t>
        </is>
      </c>
      <c r="E463" t="inlineStr">
        <is>
          <t>UPPSALA</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15816-2021</t>
        </is>
      </c>
      <c r="B464" s="1" t="n">
        <v>44286</v>
      </c>
      <c r="C464" s="1" t="n">
        <v>45731</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15820-2021</t>
        </is>
      </c>
      <c r="B465" s="1" t="n">
        <v>44286</v>
      </c>
      <c r="C465" s="1" t="n">
        <v>45731</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16592-2021</t>
        </is>
      </c>
      <c r="B466" s="1" t="n">
        <v>44294</v>
      </c>
      <c r="C466" s="1" t="n">
        <v>45731</v>
      </c>
      <c r="D466" t="inlineStr">
        <is>
          <t>UPPSALA LÄN</t>
        </is>
      </c>
      <c r="E466" t="inlineStr">
        <is>
          <t>UPPSALA</t>
        </is>
      </c>
      <c r="F466" t="inlineStr">
        <is>
          <t>Övriga Aktiebolag</t>
        </is>
      </c>
      <c r="G466" t="n">
        <v>1.6</v>
      </c>
      <c r="H466" t="n">
        <v>0</v>
      </c>
      <c r="I466" t="n">
        <v>0</v>
      </c>
      <c r="J466" t="n">
        <v>0</v>
      </c>
      <c r="K466" t="n">
        <v>0</v>
      </c>
      <c r="L466" t="n">
        <v>0</v>
      </c>
      <c r="M466" t="n">
        <v>0</v>
      </c>
      <c r="N466" t="n">
        <v>0</v>
      </c>
      <c r="O466" t="n">
        <v>0</v>
      </c>
      <c r="P466" t="n">
        <v>0</v>
      </c>
      <c r="Q466" t="n">
        <v>0</v>
      </c>
      <c r="R466" s="2" t="inlineStr"/>
    </row>
    <row r="467" ht="15" customHeight="1">
      <c r="A467" t="inlineStr">
        <is>
          <t>A 16615-2021</t>
        </is>
      </c>
      <c r="B467" s="1" t="n">
        <v>44294</v>
      </c>
      <c r="C467" s="1" t="n">
        <v>45731</v>
      </c>
      <c r="D467" t="inlineStr">
        <is>
          <t>UPPSALA LÄN</t>
        </is>
      </c>
      <c r="E467" t="inlineStr">
        <is>
          <t>UPPSALA</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16684-2021</t>
        </is>
      </c>
      <c r="B468" s="1" t="n">
        <v>44294</v>
      </c>
      <c r="C468" s="1" t="n">
        <v>45731</v>
      </c>
      <c r="D468" t="inlineStr">
        <is>
          <t>UPPSALA LÄN</t>
        </is>
      </c>
      <c r="E468" t="inlineStr">
        <is>
          <t>UPPSALA</t>
        </is>
      </c>
      <c r="F468" t="inlineStr">
        <is>
          <t>Övriga Aktiebolag</t>
        </is>
      </c>
      <c r="G468" t="n">
        <v>1.3</v>
      </c>
      <c r="H468" t="n">
        <v>0</v>
      </c>
      <c r="I468" t="n">
        <v>0</v>
      </c>
      <c r="J468" t="n">
        <v>0</v>
      </c>
      <c r="K468" t="n">
        <v>0</v>
      </c>
      <c r="L468" t="n">
        <v>0</v>
      </c>
      <c r="M468" t="n">
        <v>0</v>
      </c>
      <c r="N468" t="n">
        <v>0</v>
      </c>
      <c r="O468" t="n">
        <v>0</v>
      </c>
      <c r="P468" t="n">
        <v>0</v>
      </c>
      <c r="Q468" t="n">
        <v>0</v>
      </c>
      <c r="R468" s="2" t="inlineStr"/>
    </row>
    <row r="469" ht="15" customHeight="1">
      <c r="A469" t="inlineStr">
        <is>
          <t>A 17262-2021</t>
        </is>
      </c>
      <c r="B469" s="1" t="n">
        <v>44297</v>
      </c>
      <c r="C469" s="1" t="n">
        <v>45731</v>
      </c>
      <c r="D469" t="inlineStr">
        <is>
          <t>UPPSALA LÄN</t>
        </is>
      </c>
      <c r="E469" t="inlineStr">
        <is>
          <t>UPPSALA</t>
        </is>
      </c>
      <c r="F469" t="inlineStr">
        <is>
          <t>Allmännings- och besparingsskogar</t>
        </is>
      </c>
      <c r="G469" t="n">
        <v>1</v>
      </c>
      <c r="H469" t="n">
        <v>0</v>
      </c>
      <c r="I469" t="n">
        <v>0</v>
      </c>
      <c r="J469" t="n">
        <v>0</v>
      </c>
      <c r="K469" t="n">
        <v>0</v>
      </c>
      <c r="L469" t="n">
        <v>0</v>
      </c>
      <c r="M469" t="n">
        <v>0</v>
      </c>
      <c r="N469" t="n">
        <v>0</v>
      </c>
      <c r="O469" t="n">
        <v>0</v>
      </c>
      <c r="P469" t="n">
        <v>0</v>
      </c>
      <c r="Q469" t="n">
        <v>0</v>
      </c>
      <c r="R469" s="2" t="inlineStr"/>
    </row>
    <row r="470" ht="15" customHeight="1">
      <c r="A470" t="inlineStr">
        <is>
          <t>A 17250-2021</t>
        </is>
      </c>
      <c r="B470" s="1" t="n">
        <v>44297</v>
      </c>
      <c r="C470" s="1" t="n">
        <v>45731</v>
      </c>
      <c r="D470" t="inlineStr">
        <is>
          <t>UPPSALA LÄN</t>
        </is>
      </c>
      <c r="E470" t="inlineStr">
        <is>
          <t>UPPSALA</t>
        </is>
      </c>
      <c r="G470" t="n">
        <v>3.6</v>
      </c>
      <c r="H470" t="n">
        <v>0</v>
      </c>
      <c r="I470" t="n">
        <v>0</v>
      </c>
      <c r="J470" t="n">
        <v>0</v>
      </c>
      <c r="K470" t="n">
        <v>0</v>
      </c>
      <c r="L470" t="n">
        <v>0</v>
      </c>
      <c r="M470" t="n">
        <v>0</v>
      </c>
      <c r="N470" t="n">
        <v>0</v>
      </c>
      <c r="O470" t="n">
        <v>0</v>
      </c>
      <c r="P470" t="n">
        <v>0</v>
      </c>
      <c r="Q470" t="n">
        <v>0</v>
      </c>
      <c r="R470" s="2" t="inlineStr"/>
    </row>
    <row r="471" ht="15" customHeight="1">
      <c r="A471" t="inlineStr">
        <is>
          <t>A 17536-2021</t>
        </is>
      </c>
      <c r="B471" s="1" t="n">
        <v>44299</v>
      </c>
      <c r="C471" s="1" t="n">
        <v>45731</v>
      </c>
      <c r="D471" t="inlineStr">
        <is>
          <t>UPPSALA LÄN</t>
        </is>
      </c>
      <c r="E471" t="inlineStr">
        <is>
          <t>UPPSALA</t>
        </is>
      </c>
      <c r="F471" t="inlineStr">
        <is>
          <t>Holmen skog AB</t>
        </is>
      </c>
      <c r="G471" t="n">
        <v>7.6</v>
      </c>
      <c r="H471" t="n">
        <v>0</v>
      </c>
      <c r="I471" t="n">
        <v>0</v>
      </c>
      <c r="J471" t="n">
        <v>0</v>
      </c>
      <c r="K471" t="n">
        <v>0</v>
      </c>
      <c r="L471" t="n">
        <v>0</v>
      </c>
      <c r="M471" t="n">
        <v>0</v>
      </c>
      <c r="N471" t="n">
        <v>0</v>
      </c>
      <c r="O471" t="n">
        <v>0</v>
      </c>
      <c r="P471" t="n">
        <v>0</v>
      </c>
      <c r="Q471" t="n">
        <v>0</v>
      </c>
      <c r="R471" s="2" t="inlineStr"/>
    </row>
    <row r="472" ht="15" customHeight="1">
      <c r="A472" t="inlineStr">
        <is>
          <t>A 18906-2021</t>
        </is>
      </c>
      <c r="B472" s="1" t="n">
        <v>44308</v>
      </c>
      <c r="C472" s="1" t="n">
        <v>45731</v>
      </c>
      <c r="D472" t="inlineStr">
        <is>
          <t>UPPSALA LÄN</t>
        </is>
      </c>
      <c r="E472" t="inlineStr">
        <is>
          <t>UPPSALA</t>
        </is>
      </c>
      <c r="G472" t="n">
        <v>1.8</v>
      </c>
      <c r="H472" t="n">
        <v>0</v>
      </c>
      <c r="I472" t="n">
        <v>0</v>
      </c>
      <c r="J472" t="n">
        <v>0</v>
      </c>
      <c r="K472" t="n">
        <v>0</v>
      </c>
      <c r="L472" t="n">
        <v>0</v>
      </c>
      <c r="M472" t="n">
        <v>0</v>
      </c>
      <c r="N472" t="n">
        <v>0</v>
      </c>
      <c r="O472" t="n">
        <v>0</v>
      </c>
      <c r="P472" t="n">
        <v>0</v>
      </c>
      <c r="Q472" t="n">
        <v>0</v>
      </c>
      <c r="R472" s="2" t="inlineStr"/>
    </row>
    <row r="473" ht="15" customHeight="1">
      <c r="A473" t="inlineStr">
        <is>
          <t>A 19927-2021</t>
        </is>
      </c>
      <c r="B473" s="1" t="n">
        <v>44313</v>
      </c>
      <c r="C473" s="1" t="n">
        <v>45731</v>
      </c>
      <c r="D473" t="inlineStr">
        <is>
          <t>UPPSALA LÄN</t>
        </is>
      </c>
      <c r="E473" t="inlineStr">
        <is>
          <t>UPPSALA</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19947-2021</t>
        </is>
      </c>
      <c r="B474" s="1" t="n">
        <v>44313</v>
      </c>
      <c r="C474" s="1" t="n">
        <v>45731</v>
      </c>
      <c r="D474" t="inlineStr">
        <is>
          <t>UPPSALA LÄN</t>
        </is>
      </c>
      <c r="E474" t="inlineStr">
        <is>
          <t>UPPSALA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20276-2021</t>
        </is>
      </c>
      <c r="B475" s="1" t="n">
        <v>44314</v>
      </c>
      <c r="C475" s="1" t="n">
        <v>45731</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20271-2021</t>
        </is>
      </c>
      <c r="B476" s="1" t="n">
        <v>44314</v>
      </c>
      <c r="C476" s="1" t="n">
        <v>45731</v>
      </c>
      <c r="D476" t="inlineStr">
        <is>
          <t>UPPSALA LÄN</t>
        </is>
      </c>
      <c r="E476" t="inlineStr">
        <is>
          <t>UPPSALA</t>
        </is>
      </c>
      <c r="F476" t="inlineStr">
        <is>
          <t>Bergvik skog öst AB</t>
        </is>
      </c>
      <c r="G476" t="n">
        <v>1.5</v>
      </c>
      <c r="H476" t="n">
        <v>0</v>
      </c>
      <c r="I476" t="n">
        <v>0</v>
      </c>
      <c r="J476" t="n">
        <v>0</v>
      </c>
      <c r="K476" t="n">
        <v>0</v>
      </c>
      <c r="L476" t="n">
        <v>0</v>
      </c>
      <c r="M476" t="n">
        <v>0</v>
      </c>
      <c r="N476" t="n">
        <v>0</v>
      </c>
      <c r="O476" t="n">
        <v>0</v>
      </c>
      <c r="P476" t="n">
        <v>0</v>
      </c>
      <c r="Q476" t="n">
        <v>0</v>
      </c>
      <c r="R476" s="2" t="inlineStr"/>
    </row>
    <row r="477" ht="15" customHeight="1">
      <c r="A477" t="inlineStr">
        <is>
          <t>A 20609-2021</t>
        </is>
      </c>
      <c r="B477" s="1" t="n">
        <v>44316</v>
      </c>
      <c r="C477" s="1" t="n">
        <v>45731</v>
      </c>
      <c r="D477" t="inlineStr">
        <is>
          <t>UPPSALA LÄN</t>
        </is>
      </c>
      <c r="E477" t="inlineStr">
        <is>
          <t>UPPSALA</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22070-2021</t>
        </is>
      </c>
      <c r="B478" s="1" t="n">
        <v>44323</v>
      </c>
      <c r="C478" s="1" t="n">
        <v>45731</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22946-2021</t>
        </is>
      </c>
      <c r="B479" s="1" t="n">
        <v>44328</v>
      </c>
      <c r="C479" s="1" t="n">
        <v>45731</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23877-2021</t>
        </is>
      </c>
      <c r="B480" s="1" t="n">
        <v>44335</v>
      </c>
      <c r="C480" s="1" t="n">
        <v>45731</v>
      </c>
      <c r="D480" t="inlineStr">
        <is>
          <t>UPPSALA LÄN</t>
        </is>
      </c>
      <c r="E480" t="inlineStr">
        <is>
          <t>UPPSALA</t>
        </is>
      </c>
      <c r="G480" t="n">
        <v>0.6</v>
      </c>
      <c r="H480" t="n">
        <v>0</v>
      </c>
      <c r="I480" t="n">
        <v>0</v>
      </c>
      <c r="J480" t="n">
        <v>0</v>
      </c>
      <c r="K480" t="n">
        <v>0</v>
      </c>
      <c r="L480" t="n">
        <v>0</v>
      </c>
      <c r="M480" t="n">
        <v>0</v>
      </c>
      <c r="N480" t="n">
        <v>0</v>
      </c>
      <c r="O480" t="n">
        <v>0</v>
      </c>
      <c r="P480" t="n">
        <v>0</v>
      </c>
      <c r="Q480" t="n">
        <v>0</v>
      </c>
      <c r="R480" s="2" t="inlineStr"/>
    </row>
    <row r="481" ht="15" customHeight="1">
      <c r="A481" t="inlineStr">
        <is>
          <t>A 25613-2021</t>
        </is>
      </c>
      <c r="B481" s="1" t="n">
        <v>44343</v>
      </c>
      <c r="C481" s="1" t="n">
        <v>45731</v>
      </c>
      <c r="D481" t="inlineStr">
        <is>
          <t>UPPSALA LÄN</t>
        </is>
      </c>
      <c r="E481" t="inlineStr">
        <is>
          <t>UPPSALA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26785-2021</t>
        </is>
      </c>
      <c r="B482" s="1" t="n">
        <v>44349</v>
      </c>
      <c r="C482" s="1" t="n">
        <v>45731</v>
      </c>
      <c r="D482" t="inlineStr">
        <is>
          <t>UPPSALA LÄN</t>
        </is>
      </c>
      <c r="E482" t="inlineStr">
        <is>
          <t>UPPSALA</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27365-2021</t>
        </is>
      </c>
      <c r="B483" s="1" t="n">
        <v>44351</v>
      </c>
      <c r="C483" s="1" t="n">
        <v>45731</v>
      </c>
      <c r="D483" t="inlineStr">
        <is>
          <t>UPPSALA LÄN</t>
        </is>
      </c>
      <c r="E483" t="inlineStr">
        <is>
          <t>UPPSALA</t>
        </is>
      </c>
      <c r="F483" t="inlineStr">
        <is>
          <t>Allmännings- och besparingsskogar</t>
        </is>
      </c>
      <c r="G483" t="n">
        <v>20.5</v>
      </c>
      <c r="H483" t="n">
        <v>0</v>
      </c>
      <c r="I483" t="n">
        <v>0</v>
      </c>
      <c r="J483" t="n">
        <v>0</v>
      </c>
      <c r="K483" t="n">
        <v>0</v>
      </c>
      <c r="L483" t="n">
        <v>0</v>
      </c>
      <c r="M483" t="n">
        <v>0</v>
      </c>
      <c r="N483" t="n">
        <v>0</v>
      </c>
      <c r="O483" t="n">
        <v>0</v>
      </c>
      <c r="P483" t="n">
        <v>0</v>
      </c>
      <c r="Q483" t="n">
        <v>0</v>
      </c>
      <c r="R483" s="2" t="inlineStr"/>
    </row>
    <row r="484" ht="15" customHeight="1">
      <c r="A484" t="inlineStr">
        <is>
          <t>A 28694-2021</t>
        </is>
      </c>
      <c r="B484" s="1" t="n">
        <v>44357</v>
      </c>
      <c r="C484" s="1" t="n">
        <v>45731</v>
      </c>
      <c r="D484" t="inlineStr">
        <is>
          <t>UPPSALA LÄN</t>
        </is>
      </c>
      <c r="E484" t="inlineStr">
        <is>
          <t>UPPSALA</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29145-2021</t>
        </is>
      </c>
      <c r="B485" s="1" t="n">
        <v>44358</v>
      </c>
      <c r="C485" s="1" t="n">
        <v>45731</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30655-2021</t>
        </is>
      </c>
      <c r="B486" s="1" t="n">
        <v>44365</v>
      </c>
      <c r="C486" s="1" t="n">
        <v>45731</v>
      </c>
      <c r="D486" t="inlineStr">
        <is>
          <t>UPPSALA LÄN</t>
        </is>
      </c>
      <c r="E486" t="inlineStr">
        <is>
          <t>UPPSALA</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30656-2021</t>
        </is>
      </c>
      <c r="B487" s="1" t="n">
        <v>44365</v>
      </c>
      <c r="C487" s="1" t="n">
        <v>45731</v>
      </c>
      <c r="D487" t="inlineStr">
        <is>
          <t>UPPSALA LÄN</t>
        </is>
      </c>
      <c r="E487" t="inlineStr">
        <is>
          <t>UPPSALA</t>
        </is>
      </c>
      <c r="G487" t="n">
        <v>6.7</v>
      </c>
      <c r="H487" t="n">
        <v>0</v>
      </c>
      <c r="I487" t="n">
        <v>0</v>
      </c>
      <c r="J487" t="n">
        <v>0</v>
      </c>
      <c r="K487" t="n">
        <v>0</v>
      </c>
      <c r="L487" t="n">
        <v>0</v>
      </c>
      <c r="M487" t="n">
        <v>0</v>
      </c>
      <c r="N487" t="n">
        <v>0</v>
      </c>
      <c r="O487" t="n">
        <v>0</v>
      </c>
      <c r="P487" t="n">
        <v>0</v>
      </c>
      <c r="Q487" t="n">
        <v>0</v>
      </c>
      <c r="R487" s="2" t="inlineStr"/>
    </row>
    <row r="488" ht="15" customHeight="1">
      <c r="A488" t="inlineStr">
        <is>
          <t>A 31646-2021</t>
        </is>
      </c>
      <c r="B488" s="1" t="n">
        <v>44369</v>
      </c>
      <c r="C488" s="1" t="n">
        <v>45731</v>
      </c>
      <c r="D488" t="inlineStr">
        <is>
          <t>UPPSALA LÄN</t>
        </is>
      </c>
      <c r="E488" t="inlineStr">
        <is>
          <t>UPPSALA</t>
        </is>
      </c>
      <c r="G488" t="n">
        <v>1.7</v>
      </c>
      <c r="H488" t="n">
        <v>0</v>
      </c>
      <c r="I488" t="n">
        <v>0</v>
      </c>
      <c r="J488" t="n">
        <v>0</v>
      </c>
      <c r="K488" t="n">
        <v>0</v>
      </c>
      <c r="L488" t="n">
        <v>0</v>
      </c>
      <c r="M488" t="n">
        <v>0</v>
      </c>
      <c r="N488" t="n">
        <v>0</v>
      </c>
      <c r="O488" t="n">
        <v>0</v>
      </c>
      <c r="P488" t="n">
        <v>0</v>
      </c>
      <c r="Q488" t="n">
        <v>0</v>
      </c>
      <c r="R488" s="2" t="inlineStr"/>
    </row>
    <row r="489" ht="15" customHeight="1">
      <c r="A489" t="inlineStr">
        <is>
          <t>A 31662-2021</t>
        </is>
      </c>
      <c r="B489" s="1" t="n">
        <v>44369</v>
      </c>
      <c r="C489" s="1" t="n">
        <v>45731</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31829-2021</t>
        </is>
      </c>
      <c r="B490" s="1" t="n">
        <v>44370</v>
      </c>
      <c r="C490" s="1" t="n">
        <v>45731</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32276-2021</t>
        </is>
      </c>
      <c r="B491" s="1" t="n">
        <v>44371</v>
      </c>
      <c r="C491" s="1" t="n">
        <v>45731</v>
      </c>
      <c r="D491" t="inlineStr">
        <is>
          <t>UPPSALA LÄN</t>
        </is>
      </c>
      <c r="E491" t="inlineStr">
        <is>
          <t>UPPSALA</t>
        </is>
      </c>
      <c r="G491" t="n">
        <v>3.7</v>
      </c>
      <c r="H491" t="n">
        <v>0</v>
      </c>
      <c r="I491" t="n">
        <v>0</v>
      </c>
      <c r="J491" t="n">
        <v>0</v>
      </c>
      <c r="K491" t="n">
        <v>0</v>
      </c>
      <c r="L491" t="n">
        <v>0</v>
      </c>
      <c r="M491" t="n">
        <v>0</v>
      </c>
      <c r="N491" t="n">
        <v>0</v>
      </c>
      <c r="O491" t="n">
        <v>0</v>
      </c>
      <c r="P491" t="n">
        <v>0</v>
      </c>
      <c r="Q491" t="n">
        <v>0</v>
      </c>
      <c r="R491" s="2" t="inlineStr"/>
    </row>
    <row r="492" ht="15" customHeight="1">
      <c r="A492" t="inlineStr">
        <is>
          <t>A 32428-2021</t>
        </is>
      </c>
      <c r="B492" s="1" t="n">
        <v>44371</v>
      </c>
      <c r="C492" s="1" t="n">
        <v>45731</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32955-2021</t>
        </is>
      </c>
      <c r="B493" s="1" t="n">
        <v>44376</v>
      </c>
      <c r="C493" s="1" t="n">
        <v>45731</v>
      </c>
      <c r="D493" t="inlineStr">
        <is>
          <t>UPPSALA LÄN</t>
        </is>
      </c>
      <c r="E493" t="inlineStr">
        <is>
          <t>UPPSALA</t>
        </is>
      </c>
      <c r="F493" t="inlineStr">
        <is>
          <t>Bergvik skog öst AB</t>
        </is>
      </c>
      <c r="G493" t="n">
        <v>10</v>
      </c>
      <c r="H493" t="n">
        <v>0</v>
      </c>
      <c r="I493" t="n">
        <v>0</v>
      </c>
      <c r="J493" t="n">
        <v>0</v>
      </c>
      <c r="K493" t="n">
        <v>0</v>
      </c>
      <c r="L493" t="n">
        <v>0</v>
      </c>
      <c r="M493" t="n">
        <v>0</v>
      </c>
      <c r="N493" t="n">
        <v>0</v>
      </c>
      <c r="O493" t="n">
        <v>0</v>
      </c>
      <c r="P493" t="n">
        <v>0</v>
      </c>
      <c r="Q493" t="n">
        <v>0</v>
      </c>
      <c r="R493" s="2" t="inlineStr"/>
    </row>
    <row r="494" ht="15" customHeight="1">
      <c r="A494" t="inlineStr">
        <is>
          <t>A 33797-2021</t>
        </is>
      </c>
      <c r="B494" s="1" t="n">
        <v>44378</v>
      </c>
      <c r="C494" s="1" t="n">
        <v>45731</v>
      </c>
      <c r="D494" t="inlineStr">
        <is>
          <t>UPPSALA LÄN</t>
        </is>
      </c>
      <c r="E494" t="inlineStr">
        <is>
          <t>UPPSALA</t>
        </is>
      </c>
      <c r="G494" t="n">
        <v>1</v>
      </c>
      <c r="H494" t="n">
        <v>0</v>
      </c>
      <c r="I494" t="n">
        <v>0</v>
      </c>
      <c r="J494" t="n">
        <v>0</v>
      </c>
      <c r="K494" t="n">
        <v>0</v>
      </c>
      <c r="L494" t="n">
        <v>0</v>
      </c>
      <c r="M494" t="n">
        <v>0</v>
      </c>
      <c r="N494" t="n">
        <v>0</v>
      </c>
      <c r="O494" t="n">
        <v>0</v>
      </c>
      <c r="P494" t="n">
        <v>0</v>
      </c>
      <c r="Q494" t="n">
        <v>0</v>
      </c>
      <c r="R494" s="2" t="inlineStr"/>
    </row>
    <row r="495" ht="15" customHeight="1">
      <c r="A495" t="inlineStr">
        <is>
          <t>A 33920-2021</t>
        </is>
      </c>
      <c r="B495" s="1" t="n">
        <v>44378</v>
      </c>
      <c r="C495" s="1" t="n">
        <v>45731</v>
      </c>
      <c r="D495" t="inlineStr">
        <is>
          <t>UPPSALA LÄN</t>
        </is>
      </c>
      <c r="E495" t="inlineStr">
        <is>
          <t>UPPSALA</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34039-2021</t>
        </is>
      </c>
      <c r="B496" s="1" t="n">
        <v>44379</v>
      </c>
      <c r="C496" s="1" t="n">
        <v>45731</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34043-2021</t>
        </is>
      </c>
      <c r="B497" s="1" t="n">
        <v>44379</v>
      </c>
      <c r="C497" s="1" t="n">
        <v>45731</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34265-2021</t>
        </is>
      </c>
      <c r="B498" s="1" t="n">
        <v>44379</v>
      </c>
      <c r="C498" s="1" t="n">
        <v>45731</v>
      </c>
      <c r="D498" t="inlineStr">
        <is>
          <t>UPPSALA LÄN</t>
        </is>
      </c>
      <c r="E498" t="inlineStr">
        <is>
          <t>UPPSALA</t>
        </is>
      </c>
      <c r="G498" t="n">
        <v>1.1</v>
      </c>
      <c r="H498" t="n">
        <v>0</v>
      </c>
      <c r="I498" t="n">
        <v>0</v>
      </c>
      <c r="J498" t="n">
        <v>0</v>
      </c>
      <c r="K498" t="n">
        <v>0</v>
      </c>
      <c r="L498" t="n">
        <v>0</v>
      </c>
      <c r="M498" t="n">
        <v>0</v>
      </c>
      <c r="N498" t="n">
        <v>0</v>
      </c>
      <c r="O498" t="n">
        <v>0</v>
      </c>
      <c r="P498" t="n">
        <v>0</v>
      </c>
      <c r="Q498" t="n">
        <v>0</v>
      </c>
      <c r="R498" s="2" t="inlineStr"/>
    </row>
    <row r="499" ht="15" customHeight="1">
      <c r="A499" t="inlineStr">
        <is>
          <t>A 34249-2021</t>
        </is>
      </c>
      <c r="B499" s="1" t="n">
        <v>44379</v>
      </c>
      <c r="C499" s="1" t="n">
        <v>45731</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34243-2021</t>
        </is>
      </c>
      <c r="B500" s="1" t="n">
        <v>44379</v>
      </c>
      <c r="C500" s="1" t="n">
        <v>45731</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34263-2021</t>
        </is>
      </c>
      <c r="B501" s="1" t="n">
        <v>44379</v>
      </c>
      <c r="C501" s="1" t="n">
        <v>45731</v>
      </c>
      <c r="D501" t="inlineStr">
        <is>
          <t>UPPSALA LÄN</t>
        </is>
      </c>
      <c r="E501" t="inlineStr">
        <is>
          <t>UPPSALA</t>
        </is>
      </c>
      <c r="G501" t="n">
        <v>5.8</v>
      </c>
      <c r="H501" t="n">
        <v>0</v>
      </c>
      <c r="I501" t="n">
        <v>0</v>
      </c>
      <c r="J501" t="n">
        <v>0</v>
      </c>
      <c r="K501" t="n">
        <v>0</v>
      </c>
      <c r="L501" t="n">
        <v>0</v>
      </c>
      <c r="M501" t="n">
        <v>0</v>
      </c>
      <c r="N501" t="n">
        <v>0</v>
      </c>
      <c r="O501" t="n">
        <v>0</v>
      </c>
      <c r="P501" t="n">
        <v>0</v>
      </c>
      <c r="Q501" t="n">
        <v>0</v>
      </c>
      <c r="R501" s="2" t="inlineStr"/>
    </row>
    <row r="502" ht="15" customHeight="1">
      <c r="A502" t="inlineStr">
        <is>
          <t>A 34838-2021</t>
        </is>
      </c>
      <c r="B502" s="1" t="n">
        <v>44383</v>
      </c>
      <c r="C502" s="1" t="n">
        <v>45731</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34825-2021</t>
        </is>
      </c>
      <c r="B503" s="1" t="n">
        <v>44383</v>
      </c>
      <c r="C503" s="1" t="n">
        <v>45731</v>
      </c>
      <c r="D503" t="inlineStr">
        <is>
          <t>UPPSALA LÄN</t>
        </is>
      </c>
      <c r="E503" t="inlineStr">
        <is>
          <t>UPPSALA</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35630-2021</t>
        </is>
      </c>
      <c r="B504" s="1" t="n">
        <v>44386</v>
      </c>
      <c r="C504" s="1" t="n">
        <v>45731</v>
      </c>
      <c r="D504" t="inlineStr">
        <is>
          <t>UPPSALA LÄN</t>
        </is>
      </c>
      <c r="E504" t="inlineStr">
        <is>
          <t>UPPSALA</t>
        </is>
      </c>
      <c r="G504" t="n">
        <v>6</v>
      </c>
      <c r="H504" t="n">
        <v>0</v>
      </c>
      <c r="I504" t="n">
        <v>0</v>
      </c>
      <c r="J504" t="n">
        <v>0</v>
      </c>
      <c r="K504" t="n">
        <v>0</v>
      </c>
      <c r="L504" t="n">
        <v>0</v>
      </c>
      <c r="M504" t="n">
        <v>0</v>
      </c>
      <c r="N504" t="n">
        <v>0</v>
      </c>
      <c r="O504" t="n">
        <v>0</v>
      </c>
      <c r="P504" t="n">
        <v>0</v>
      </c>
      <c r="Q504" t="n">
        <v>0</v>
      </c>
      <c r="R504" s="2" t="inlineStr"/>
    </row>
    <row r="505" ht="15" customHeight="1">
      <c r="A505" t="inlineStr">
        <is>
          <t>A 36304-2021</t>
        </is>
      </c>
      <c r="B505" s="1" t="n">
        <v>44390</v>
      </c>
      <c r="C505" s="1" t="n">
        <v>45731</v>
      </c>
      <c r="D505" t="inlineStr">
        <is>
          <t>UPPSALA LÄN</t>
        </is>
      </c>
      <c r="E505" t="inlineStr">
        <is>
          <t>UPPSALA</t>
        </is>
      </c>
      <c r="G505" t="n">
        <v>7.4</v>
      </c>
      <c r="H505" t="n">
        <v>0</v>
      </c>
      <c r="I505" t="n">
        <v>0</v>
      </c>
      <c r="J505" t="n">
        <v>0</v>
      </c>
      <c r="K505" t="n">
        <v>0</v>
      </c>
      <c r="L505" t="n">
        <v>0</v>
      </c>
      <c r="M505" t="n">
        <v>0</v>
      </c>
      <c r="N505" t="n">
        <v>0</v>
      </c>
      <c r="O505" t="n">
        <v>0</v>
      </c>
      <c r="P505" t="n">
        <v>0</v>
      </c>
      <c r="Q505" t="n">
        <v>0</v>
      </c>
      <c r="R505" s="2" t="inlineStr"/>
    </row>
    <row r="506" ht="15" customHeight="1">
      <c r="A506" t="inlineStr">
        <is>
          <t>A 36721-2021</t>
        </is>
      </c>
      <c r="B506" s="1" t="n">
        <v>44392</v>
      </c>
      <c r="C506" s="1" t="n">
        <v>45731</v>
      </c>
      <c r="D506" t="inlineStr">
        <is>
          <t>UPPSALA LÄN</t>
        </is>
      </c>
      <c r="E506" t="inlineStr">
        <is>
          <t>UPPSALA</t>
        </is>
      </c>
      <c r="F506" t="inlineStr">
        <is>
          <t>Bergvik skog öst AB</t>
        </is>
      </c>
      <c r="G506" t="n">
        <v>5.8</v>
      </c>
      <c r="H506" t="n">
        <v>0</v>
      </c>
      <c r="I506" t="n">
        <v>0</v>
      </c>
      <c r="J506" t="n">
        <v>0</v>
      </c>
      <c r="K506" t="n">
        <v>0</v>
      </c>
      <c r="L506" t="n">
        <v>0</v>
      </c>
      <c r="M506" t="n">
        <v>0</v>
      </c>
      <c r="N506" t="n">
        <v>0</v>
      </c>
      <c r="O506" t="n">
        <v>0</v>
      </c>
      <c r="P506" t="n">
        <v>0</v>
      </c>
      <c r="Q506" t="n">
        <v>0</v>
      </c>
      <c r="R506" s="2" t="inlineStr"/>
    </row>
    <row r="507" ht="15" customHeight="1">
      <c r="A507" t="inlineStr">
        <is>
          <t>A 36998-2021</t>
        </is>
      </c>
      <c r="B507" s="1" t="n">
        <v>44393</v>
      </c>
      <c r="C507" s="1" t="n">
        <v>45731</v>
      </c>
      <c r="D507" t="inlineStr">
        <is>
          <t>UPPSALA LÄN</t>
        </is>
      </c>
      <c r="E507" t="inlineStr">
        <is>
          <t>UPPSALA</t>
        </is>
      </c>
      <c r="F507" t="inlineStr">
        <is>
          <t>Bergvik skog öst AB</t>
        </is>
      </c>
      <c r="G507" t="n">
        <v>3.5</v>
      </c>
      <c r="H507" t="n">
        <v>0</v>
      </c>
      <c r="I507" t="n">
        <v>0</v>
      </c>
      <c r="J507" t="n">
        <v>0</v>
      </c>
      <c r="K507" t="n">
        <v>0</v>
      </c>
      <c r="L507" t="n">
        <v>0</v>
      </c>
      <c r="M507" t="n">
        <v>0</v>
      </c>
      <c r="N507" t="n">
        <v>0</v>
      </c>
      <c r="O507" t="n">
        <v>0</v>
      </c>
      <c r="P507" t="n">
        <v>0</v>
      </c>
      <c r="Q507" t="n">
        <v>0</v>
      </c>
      <c r="R507" s="2" t="inlineStr"/>
    </row>
    <row r="508" ht="15" customHeight="1">
      <c r="A508" t="inlineStr">
        <is>
          <t>A 37162-2021</t>
        </is>
      </c>
      <c r="B508" s="1" t="n">
        <v>44395</v>
      </c>
      <c r="C508" s="1" t="n">
        <v>45731</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37763-2021</t>
        </is>
      </c>
      <c r="B509" s="1" t="n">
        <v>44400</v>
      </c>
      <c r="C509" s="1" t="n">
        <v>45731</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37819-2021</t>
        </is>
      </c>
      <c r="B510" s="1" t="n">
        <v>44403</v>
      </c>
      <c r="C510" s="1" t="n">
        <v>45731</v>
      </c>
      <c r="D510" t="inlineStr">
        <is>
          <t>UPPSALA LÄN</t>
        </is>
      </c>
      <c r="E510" t="inlineStr">
        <is>
          <t>UPPSALA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37820-2021</t>
        </is>
      </c>
      <c r="B511" s="1" t="n">
        <v>44403</v>
      </c>
      <c r="C511" s="1" t="n">
        <v>45731</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38469-2021</t>
        </is>
      </c>
      <c r="B512" s="1" t="n">
        <v>44407</v>
      </c>
      <c r="C512" s="1" t="n">
        <v>45731</v>
      </c>
      <c r="D512" t="inlineStr">
        <is>
          <t>UPPSALA LÄN</t>
        </is>
      </c>
      <c r="E512" t="inlineStr">
        <is>
          <t>UPPSALA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38463-2021</t>
        </is>
      </c>
      <c r="B513" s="1" t="n">
        <v>44407</v>
      </c>
      <c r="C513" s="1" t="n">
        <v>45731</v>
      </c>
      <c r="D513" t="inlineStr">
        <is>
          <t>UPPSALA LÄN</t>
        </is>
      </c>
      <c r="E513" t="inlineStr">
        <is>
          <t>UPPSALA</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40500-2021</t>
        </is>
      </c>
      <c r="B514" s="1" t="n">
        <v>44420</v>
      </c>
      <c r="C514" s="1" t="n">
        <v>45731</v>
      </c>
      <c r="D514" t="inlineStr">
        <is>
          <t>UPPSALA LÄN</t>
        </is>
      </c>
      <c r="E514" t="inlineStr">
        <is>
          <t>UPPSALA</t>
        </is>
      </c>
      <c r="G514" t="n">
        <v>3.5</v>
      </c>
      <c r="H514" t="n">
        <v>0</v>
      </c>
      <c r="I514" t="n">
        <v>0</v>
      </c>
      <c r="J514" t="n">
        <v>0</v>
      </c>
      <c r="K514" t="n">
        <v>0</v>
      </c>
      <c r="L514" t="n">
        <v>0</v>
      </c>
      <c r="M514" t="n">
        <v>0</v>
      </c>
      <c r="N514" t="n">
        <v>0</v>
      </c>
      <c r="O514" t="n">
        <v>0</v>
      </c>
      <c r="P514" t="n">
        <v>0</v>
      </c>
      <c r="Q514" t="n">
        <v>0</v>
      </c>
      <c r="R514" s="2" t="inlineStr"/>
    </row>
    <row r="515" ht="15" customHeight="1">
      <c r="A515" t="inlineStr">
        <is>
          <t>A 40507-2021</t>
        </is>
      </c>
      <c r="B515" s="1" t="n">
        <v>44420</v>
      </c>
      <c r="C515" s="1" t="n">
        <v>45731</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45731</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42294-2021</t>
        </is>
      </c>
      <c r="B517" s="1" t="n">
        <v>44427</v>
      </c>
      <c r="C517" s="1" t="n">
        <v>45731</v>
      </c>
      <c r="D517" t="inlineStr">
        <is>
          <t>UPPSALA LÄN</t>
        </is>
      </c>
      <c r="E517" t="inlineStr">
        <is>
          <t>UPPSALA</t>
        </is>
      </c>
      <c r="G517" t="n">
        <v>1.6</v>
      </c>
      <c r="H517" t="n">
        <v>0</v>
      </c>
      <c r="I517" t="n">
        <v>0</v>
      </c>
      <c r="J517" t="n">
        <v>0</v>
      </c>
      <c r="K517" t="n">
        <v>0</v>
      </c>
      <c r="L517" t="n">
        <v>0</v>
      </c>
      <c r="M517" t="n">
        <v>0</v>
      </c>
      <c r="N517" t="n">
        <v>0</v>
      </c>
      <c r="O517" t="n">
        <v>0</v>
      </c>
      <c r="P517" t="n">
        <v>0</v>
      </c>
      <c r="Q517" t="n">
        <v>0</v>
      </c>
      <c r="R517" s="2" t="inlineStr"/>
    </row>
    <row r="518" ht="15" customHeight="1">
      <c r="A518" t="inlineStr">
        <is>
          <t>A 44315-2021</t>
        </is>
      </c>
      <c r="B518" s="1" t="n">
        <v>44435</v>
      </c>
      <c r="C518" s="1" t="n">
        <v>45731</v>
      </c>
      <c r="D518" t="inlineStr">
        <is>
          <t>UPPSALA LÄN</t>
        </is>
      </c>
      <c r="E518" t="inlineStr">
        <is>
          <t>UPPSALA</t>
        </is>
      </c>
      <c r="G518" t="n">
        <v>5.2</v>
      </c>
      <c r="H518" t="n">
        <v>0</v>
      </c>
      <c r="I518" t="n">
        <v>0</v>
      </c>
      <c r="J518" t="n">
        <v>0</v>
      </c>
      <c r="K518" t="n">
        <v>0</v>
      </c>
      <c r="L518" t="n">
        <v>0</v>
      </c>
      <c r="M518" t="n">
        <v>0</v>
      </c>
      <c r="N518" t="n">
        <v>0</v>
      </c>
      <c r="O518" t="n">
        <v>0</v>
      </c>
      <c r="P518" t="n">
        <v>0</v>
      </c>
      <c r="Q518" t="n">
        <v>0</v>
      </c>
      <c r="R518" s="2" t="inlineStr"/>
    </row>
    <row r="519" ht="15" customHeight="1">
      <c r="A519" t="inlineStr">
        <is>
          <t>A 44781-2021</t>
        </is>
      </c>
      <c r="B519" s="1" t="n">
        <v>44438</v>
      </c>
      <c r="C519" s="1" t="n">
        <v>45731</v>
      </c>
      <c r="D519" t="inlineStr">
        <is>
          <t>UPPSALA LÄN</t>
        </is>
      </c>
      <c r="E519" t="inlineStr">
        <is>
          <t>UPPSALA</t>
        </is>
      </c>
      <c r="F519" t="inlineStr">
        <is>
          <t>Sveaskog</t>
        </is>
      </c>
      <c r="G519" t="n">
        <v>0.1</v>
      </c>
      <c r="H519" t="n">
        <v>0</v>
      </c>
      <c r="I519" t="n">
        <v>0</v>
      </c>
      <c r="J519" t="n">
        <v>0</v>
      </c>
      <c r="K519" t="n">
        <v>0</v>
      </c>
      <c r="L519" t="n">
        <v>0</v>
      </c>
      <c r="M519" t="n">
        <v>0</v>
      </c>
      <c r="N519" t="n">
        <v>0</v>
      </c>
      <c r="O519" t="n">
        <v>0</v>
      </c>
      <c r="P519" t="n">
        <v>0</v>
      </c>
      <c r="Q519" t="n">
        <v>0</v>
      </c>
      <c r="R519" s="2" t="inlineStr"/>
    </row>
    <row r="520" ht="15" customHeight="1">
      <c r="A520" t="inlineStr">
        <is>
          <t>A 46097-2021</t>
        </is>
      </c>
      <c r="B520" s="1" t="n">
        <v>44442</v>
      </c>
      <c r="C520" s="1" t="n">
        <v>45731</v>
      </c>
      <c r="D520" t="inlineStr">
        <is>
          <t>UPPSALA LÄN</t>
        </is>
      </c>
      <c r="E520" t="inlineStr">
        <is>
          <t>UPPSALA</t>
        </is>
      </c>
      <c r="G520" t="n">
        <v>0.5</v>
      </c>
      <c r="H520" t="n">
        <v>0</v>
      </c>
      <c r="I520" t="n">
        <v>0</v>
      </c>
      <c r="J520" t="n">
        <v>0</v>
      </c>
      <c r="K520" t="n">
        <v>0</v>
      </c>
      <c r="L520" t="n">
        <v>0</v>
      </c>
      <c r="M520" t="n">
        <v>0</v>
      </c>
      <c r="N520" t="n">
        <v>0</v>
      </c>
      <c r="O520" t="n">
        <v>0</v>
      </c>
      <c r="P520" t="n">
        <v>0</v>
      </c>
      <c r="Q520" t="n">
        <v>0</v>
      </c>
      <c r="R520" s="2" t="inlineStr"/>
    </row>
    <row r="521" ht="15" customHeight="1">
      <c r="A521" t="inlineStr">
        <is>
          <t>A 46099-2021</t>
        </is>
      </c>
      <c r="B521" s="1" t="n">
        <v>44442</v>
      </c>
      <c r="C521" s="1" t="n">
        <v>45731</v>
      </c>
      <c r="D521" t="inlineStr">
        <is>
          <t>UPPSALA LÄN</t>
        </is>
      </c>
      <c r="E521" t="inlineStr">
        <is>
          <t>UPPSALA</t>
        </is>
      </c>
      <c r="G521" t="n">
        <v>0.7</v>
      </c>
      <c r="H521" t="n">
        <v>0</v>
      </c>
      <c r="I521" t="n">
        <v>0</v>
      </c>
      <c r="J521" t="n">
        <v>0</v>
      </c>
      <c r="K521" t="n">
        <v>0</v>
      </c>
      <c r="L521" t="n">
        <v>0</v>
      </c>
      <c r="M521" t="n">
        <v>0</v>
      </c>
      <c r="N521" t="n">
        <v>0</v>
      </c>
      <c r="O521" t="n">
        <v>0</v>
      </c>
      <c r="P521" t="n">
        <v>0</v>
      </c>
      <c r="Q521" t="n">
        <v>0</v>
      </c>
      <c r="R521" s="2" t="inlineStr"/>
    </row>
    <row r="522" ht="15" customHeight="1">
      <c r="A522" t="inlineStr">
        <is>
          <t>A 46553-2021</t>
        </is>
      </c>
      <c r="B522" s="1" t="n">
        <v>44445</v>
      </c>
      <c r="C522" s="1" t="n">
        <v>45731</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46920-2021</t>
        </is>
      </c>
      <c r="B523" s="1" t="n">
        <v>44446</v>
      </c>
      <c r="C523" s="1" t="n">
        <v>45731</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46916-2021</t>
        </is>
      </c>
      <c r="B524" s="1" t="n">
        <v>44446</v>
      </c>
      <c r="C524" s="1" t="n">
        <v>45731</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47367-2021</t>
        </is>
      </c>
      <c r="B525" s="1" t="n">
        <v>44447</v>
      </c>
      <c r="C525" s="1" t="n">
        <v>45731</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48918-2021</t>
        </is>
      </c>
      <c r="B526" s="1" t="n">
        <v>44453</v>
      </c>
      <c r="C526" s="1" t="n">
        <v>45731</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49274-2021</t>
        </is>
      </c>
      <c r="B527" s="1" t="n">
        <v>44454</v>
      </c>
      <c r="C527" s="1" t="n">
        <v>45731</v>
      </c>
      <c r="D527" t="inlineStr">
        <is>
          <t>UPPSALA LÄN</t>
        </is>
      </c>
      <c r="E527" t="inlineStr">
        <is>
          <t>UPPSALA</t>
        </is>
      </c>
      <c r="G527" t="n">
        <v>8.5</v>
      </c>
      <c r="H527" t="n">
        <v>0</v>
      </c>
      <c r="I527" t="n">
        <v>0</v>
      </c>
      <c r="J527" t="n">
        <v>0</v>
      </c>
      <c r="K527" t="n">
        <v>0</v>
      </c>
      <c r="L527" t="n">
        <v>0</v>
      </c>
      <c r="M527" t="n">
        <v>0</v>
      </c>
      <c r="N527" t="n">
        <v>0</v>
      </c>
      <c r="O527" t="n">
        <v>0</v>
      </c>
      <c r="P527" t="n">
        <v>0</v>
      </c>
      <c r="Q527" t="n">
        <v>0</v>
      </c>
      <c r="R527" s="2" t="inlineStr"/>
    </row>
    <row r="528" ht="15" customHeight="1">
      <c r="A528" t="inlineStr">
        <is>
          <t>A 51050-2021</t>
        </is>
      </c>
      <c r="B528" s="1" t="n">
        <v>44459</v>
      </c>
      <c r="C528" s="1" t="n">
        <v>45731</v>
      </c>
      <c r="D528" t="inlineStr">
        <is>
          <t>UPPSALA LÄN</t>
        </is>
      </c>
      <c r="E528" t="inlineStr">
        <is>
          <t>UPPSALA</t>
        </is>
      </c>
      <c r="F528" t="inlineStr">
        <is>
          <t>Övriga Aktiebolag</t>
        </is>
      </c>
      <c r="G528" t="n">
        <v>7.5</v>
      </c>
      <c r="H528" t="n">
        <v>0</v>
      </c>
      <c r="I528" t="n">
        <v>0</v>
      </c>
      <c r="J528" t="n">
        <v>0</v>
      </c>
      <c r="K528" t="n">
        <v>0</v>
      </c>
      <c r="L528" t="n">
        <v>0</v>
      </c>
      <c r="M528" t="n">
        <v>0</v>
      </c>
      <c r="N528" t="n">
        <v>0</v>
      </c>
      <c r="O528" t="n">
        <v>0</v>
      </c>
      <c r="P528" t="n">
        <v>0</v>
      </c>
      <c r="Q528" t="n">
        <v>0</v>
      </c>
      <c r="R528" s="2" t="inlineStr"/>
    </row>
    <row r="529" ht="15" customHeight="1">
      <c r="A529" t="inlineStr">
        <is>
          <t>A 51821-2021</t>
        </is>
      </c>
      <c r="B529" s="1" t="n">
        <v>44461</v>
      </c>
      <c r="C529" s="1" t="n">
        <v>45731</v>
      </c>
      <c r="D529" t="inlineStr">
        <is>
          <t>UPPSALA LÄN</t>
        </is>
      </c>
      <c r="E529" t="inlineStr">
        <is>
          <t>UPPSALA</t>
        </is>
      </c>
      <c r="F529" t="inlineStr">
        <is>
          <t>Övriga Aktiebolag</t>
        </is>
      </c>
      <c r="G529" t="n">
        <v>5.3</v>
      </c>
      <c r="H529" t="n">
        <v>0</v>
      </c>
      <c r="I529" t="n">
        <v>0</v>
      </c>
      <c r="J529" t="n">
        <v>0</v>
      </c>
      <c r="K529" t="n">
        <v>0</v>
      </c>
      <c r="L529" t="n">
        <v>0</v>
      </c>
      <c r="M529" t="n">
        <v>0</v>
      </c>
      <c r="N529" t="n">
        <v>0</v>
      </c>
      <c r="O529" t="n">
        <v>0</v>
      </c>
      <c r="P529" t="n">
        <v>0</v>
      </c>
      <c r="Q529" t="n">
        <v>0</v>
      </c>
      <c r="R529" s="2" t="inlineStr"/>
    </row>
    <row r="530" ht="15" customHeight="1">
      <c r="A530" t="inlineStr">
        <is>
          <t>A 51396-2021</t>
        </is>
      </c>
      <c r="B530" s="1" t="n">
        <v>44461</v>
      </c>
      <c r="C530" s="1" t="n">
        <v>45731</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52083-2021</t>
        </is>
      </c>
      <c r="B531" s="1" t="n">
        <v>44463</v>
      </c>
      <c r="C531" s="1" t="n">
        <v>45731</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54168-2021</t>
        </is>
      </c>
      <c r="B532" s="1" t="n">
        <v>44470</v>
      </c>
      <c r="C532" s="1" t="n">
        <v>45731</v>
      </c>
      <c r="D532" t="inlineStr">
        <is>
          <t>UPPSALA LÄN</t>
        </is>
      </c>
      <c r="E532" t="inlineStr">
        <is>
          <t>UPPSALA</t>
        </is>
      </c>
      <c r="G532" t="n">
        <v>7.5</v>
      </c>
      <c r="H532" t="n">
        <v>0</v>
      </c>
      <c r="I532" t="n">
        <v>0</v>
      </c>
      <c r="J532" t="n">
        <v>0</v>
      </c>
      <c r="K532" t="n">
        <v>0</v>
      </c>
      <c r="L532" t="n">
        <v>0</v>
      </c>
      <c r="M532" t="n">
        <v>0</v>
      </c>
      <c r="N532" t="n">
        <v>0</v>
      </c>
      <c r="O532" t="n">
        <v>0</v>
      </c>
      <c r="P532" t="n">
        <v>0</v>
      </c>
      <c r="Q532" t="n">
        <v>0</v>
      </c>
      <c r="R532" s="2" t="inlineStr"/>
    </row>
    <row r="533" ht="15" customHeight="1">
      <c r="A533" t="inlineStr">
        <is>
          <t>A 55823-2021</t>
        </is>
      </c>
      <c r="B533" s="1" t="n">
        <v>44476</v>
      </c>
      <c r="C533" s="1" t="n">
        <v>45731</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56042-2021</t>
        </is>
      </c>
      <c r="B534" s="1" t="n">
        <v>44477</v>
      </c>
      <c r="C534" s="1" t="n">
        <v>45731</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56049-2021</t>
        </is>
      </c>
      <c r="B535" s="1" t="n">
        <v>44477</v>
      </c>
      <c r="C535" s="1" t="n">
        <v>45731</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56463-2021</t>
        </is>
      </c>
      <c r="B536" s="1" t="n">
        <v>44479</v>
      </c>
      <c r="C536" s="1" t="n">
        <v>45731</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56769-2021</t>
        </is>
      </c>
      <c r="B537" s="1" t="n">
        <v>44481</v>
      </c>
      <c r="C537" s="1" t="n">
        <v>45731</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57647-2021</t>
        </is>
      </c>
      <c r="B538" s="1" t="n">
        <v>44484</v>
      </c>
      <c r="C538" s="1" t="n">
        <v>45731</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57890-2021</t>
        </is>
      </c>
      <c r="B539" s="1" t="n">
        <v>44486</v>
      </c>
      <c r="C539" s="1" t="n">
        <v>45731</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58767-2021</t>
        </is>
      </c>
      <c r="B540" s="1" t="n">
        <v>44489</v>
      </c>
      <c r="C540" s="1" t="n">
        <v>45731</v>
      </c>
      <c r="D540" t="inlineStr">
        <is>
          <t>UPPSALA LÄN</t>
        </is>
      </c>
      <c r="E540" t="inlineStr">
        <is>
          <t>UPPSALA</t>
        </is>
      </c>
      <c r="G540" t="n">
        <v>4.8</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45731</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59241-2021</t>
        </is>
      </c>
      <c r="B542" s="1" t="n">
        <v>44490</v>
      </c>
      <c r="C542" s="1" t="n">
        <v>45731</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59484-2021</t>
        </is>
      </c>
      <c r="B543" s="1" t="n">
        <v>44491</v>
      </c>
      <c r="C543" s="1" t="n">
        <v>45731</v>
      </c>
      <c r="D543" t="inlineStr">
        <is>
          <t>UPPSALA LÄN</t>
        </is>
      </c>
      <c r="E543" t="inlineStr">
        <is>
          <t>UPPSALA</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59500-2021</t>
        </is>
      </c>
      <c r="B544" s="1" t="n">
        <v>44491</v>
      </c>
      <c r="C544" s="1" t="n">
        <v>45731</v>
      </c>
      <c r="D544" t="inlineStr">
        <is>
          <t>UPPSALA LÄN</t>
        </is>
      </c>
      <c r="E544" t="inlineStr">
        <is>
          <t>UPPSALA</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59479-2021</t>
        </is>
      </c>
      <c r="B545" s="1" t="n">
        <v>44491</v>
      </c>
      <c r="C545" s="1" t="n">
        <v>45731</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59881-2021</t>
        </is>
      </c>
      <c r="B546" s="1" t="n">
        <v>44494</v>
      </c>
      <c r="C546" s="1" t="n">
        <v>45731</v>
      </c>
      <c r="D546" t="inlineStr">
        <is>
          <t>UPPSALA LÄN</t>
        </is>
      </c>
      <c r="E546" t="inlineStr">
        <is>
          <t>UPPSALA</t>
        </is>
      </c>
      <c r="F546" t="inlineStr">
        <is>
          <t>Allmännings- och besparingsskogar</t>
        </is>
      </c>
      <c r="G546" t="n">
        <v>1.6</v>
      </c>
      <c r="H546" t="n">
        <v>0</v>
      </c>
      <c r="I546" t="n">
        <v>0</v>
      </c>
      <c r="J546" t="n">
        <v>0</v>
      </c>
      <c r="K546" t="n">
        <v>0</v>
      </c>
      <c r="L546" t="n">
        <v>0</v>
      </c>
      <c r="M546" t="n">
        <v>0</v>
      </c>
      <c r="N546" t="n">
        <v>0</v>
      </c>
      <c r="O546" t="n">
        <v>0</v>
      </c>
      <c r="P546" t="n">
        <v>0</v>
      </c>
      <c r="Q546" t="n">
        <v>0</v>
      </c>
      <c r="R546" s="2" t="inlineStr"/>
    </row>
    <row r="547" ht="15" customHeight="1">
      <c r="A547" t="inlineStr">
        <is>
          <t>A 60032-2021</t>
        </is>
      </c>
      <c r="B547" s="1" t="n">
        <v>44495</v>
      </c>
      <c r="C547" s="1" t="n">
        <v>45731</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61008-2021</t>
        </is>
      </c>
      <c r="B548" s="1" t="n">
        <v>44497</v>
      </c>
      <c r="C548" s="1" t="n">
        <v>45731</v>
      </c>
      <c r="D548" t="inlineStr">
        <is>
          <t>UPPSALA LÄN</t>
        </is>
      </c>
      <c r="E548" t="inlineStr">
        <is>
          <t>UPPSALA</t>
        </is>
      </c>
      <c r="G548" t="n">
        <v>6.3</v>
      </c>
      <c r="H548" t="n">
        <v>0</v>
      </c>
      <c r="I548" t="n">
        <v>0</v>
      </c>
      <c r="J548" t="n">
        <v>0</v>
      </c>
      <c r="K548" t="n">
        <v>0</v>
      </c>
      <c r="L548" t="n">
        <v>0</v>
      </c>
      <c r="M548" t="n">
        <v>0</v>
      </c>
      <c r="N548" t="n">
        <v>0</v>
      </c>
      <c r="O548" t="n">
        <v>0</v>
      </c>
      <c r="P548" t="n">
        <v>0</v>
      </c>
      <c r="Q548" t="n">
        <v>0</v>
      </c>
      <c r="R548" s="2" t="inlineStr"/>
    </row>
    <row r="549" ht="15" customHeight="1">
      <c r="A549" t="inlineStr">
        <is>
          <t>A 60917-2021</t>
        </is>
      </c>
      <c r="B549" s="1" t="n">
        <v>44497</v>
      </c>
      <c r="C549" s="1" t="n">
        <v>45731</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60925-2021</t>
        </is>
      </c>
      <c r="B550" s="1" t="n">
        <v>44497</v>
      </c>
      <c r="C550" s="1" t="n">
        <v>45731</v>
      </c>
      <c r="D550" t="inlineStr">
        <is>
          <t>UPPSALA LÄN</t>
        </is>
      </c>
      <c r="E550" t="inlineStr">
        <is>
          <t>UPPSALA</t>
        </is>
      </c>
      <c r="G550" t="n">
        <v>3.7</v>
      </c>
      <c r="H550" t="n">
        <v>0</v>
      </c>
      <c r="I550" t="n">
        <v>0</v>
      </c>
      <c r="J550" t="n">
        <v>0</v>
      </c>
      <c r="K550" t="n">
        <v>0</v>
      </c>
      <c r="L550" t="n">
        <v>0</v>
      </c>
      <c r="M550" t="n">
        <v>0</v>
      </c>
      <c r="N550" t="n">
        <v>0</v>
      </c>
      <c r="O550" t="n">
        <v>0</v>
      </c>
      <c r="P550" t="n">
        <v>0</v>
      </c>
      <c r="Q550" t="n">
        <v>0</v>
      </c>
      <c r="R550" s="2" t="inlineStr"/>
    </row>
    <row r="551" ht="15" customHeight="1">
      <c r="A551" t="inlineStr">
        <is>
          <t>A 61805-2021</t>
        </is>
      </c>
      <c r="B551" s="1" t="n">
        <v>44501</v>
      </c>
      <c r="C551" s="1" t="n">
        <v>45731</v>
      </c>
      <c r="D551" t="inlineStr">
        <is>
          <t>UPPSALA LÄN</t>
        </is>
      </c>
      <c r="E551" t="inlineStr">
        <is>
          <t>UPPSALA</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62471-2021</t>
        </is>
      </c>
      <c r="B552" s="1" t="n">
        <v>44503</v>
      </c>
      <c r="C552" s="1" t="n">
        <v>45731</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62865-2021</t>
        </is>
      </c>
      <c r="B553" s="1" t="n">
        <v>44504</v>
      </c>
      <c r="C553" s="1" t="n">
        <v>45731</v>
      </c>
      <c r="D553" t="inlineStr">
        <is>
          <t>UPPSALA LÄN</t>
        </is>
      </c>
      <c r="E553" t="inlineStr">
        <is>
          <t>UPPSALA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63011-2021</t>
        </is>
      </c>
      <c r="B554" s="1" t="n">
        <v>44504</v>
      </c>
      <c r="C554" s="1" t="n">
        <v>45731</v>
      </c>
      <c r="D554" t="inlineStr">
        <is>
          <t>UPPSALA LÄN</t>
        </is>
      </c>
      <c r="E554" t="inlineStr">
        <is>
          <t>UPPSALA</t>
        </is>
      </c>
      <c r="G554" t="n">
        <v>11.2</v>
      </c>
      <c r="H554" t="n">
        <v>0</v>
      </c>
      <c r="I554" t="n">
        <v>0</v>
      </c>
      <c r="J554" t="n">
        <v>0</v>
      </c>
      <c r="K554" t="n">
        <v>0</v>
      </c>
      <c r="L554" t="n">
        <v>0</v>
      </c>
      <c r="M554" t="n">
        <v>0</v>
      </c>
      <c r="N554" t="n">
        <v>0</v>
      </c>
      <c r="O554" t="n">
        <v>0</v>
      </c>
      <c r="P554" t="n">
        <v>0</v>
      </c>
      <c r="Q554" t="n">
        <v>0</v>
      </c>
      <c r="R554" s="2" t="inlineStr"/>
    </row>
    <row r="555" ht="15" customHeight="1">
      <c r="A555" t="inlineStr">
        <is>
          <t>A 63307-2021</t>
        </is>
      </c>
      <c r="B555" s="1" t="n">
        <v>44508</v>
      </c>
      <c r="C555" s="1" t="n">
        <v>45731</v>
      </c>
      <c r="D555" t="inlineStr">
        <is>
          <t>UPPSALA LÄN</t>
        </is>
      </c>
      <c r="E555" t="inlineStr">
        <is>
          <t>UPPSALA</t>
        </is>
      </c>
      <c r="F555" t="inlineStr">
        <is>
          <t>Bergvik skog öst AB</t>
        </is>
      </c>
      <c r="G555" t="n">
        <v>2.8</v>
      </c>
      <c r="H555" t="n">
        <v>0</v>
      </c>
      <c r="I555" t="n">
        <v>0</v>
      </c>
      <c r="J555" t="n">
        <v>0</v>
      </c>
      <c r="K555" t="n">
        <v>0</v>
      </c>
      <c r="L555" t="n">
        <v>0</v>
      </c>
      <c r="M555" t="n">
        <v>0</v>
      </c>
      <c r="N555" t="n">
        <v>0</v>
      </c>
      <c r="O555" t="n">
        <v>0</v>
      </c>
      <c r="P555" t="n">
        <v>0</v>
      </c>
      <c r="Q555" t="n">
        <v>0</v>
      </c>
      <c r="R555" s="2" t="inlineStr"/>
    </row>
    <row r="556" ht="15" customHeight="1">
      <c r="A556" t="inlineStr">
        <is>
          <t>A 64016-2021</t>
        </is>
      </c>
      <c r="B556" s="1" t="n">
        <v>44510</v>
      </c>
      <c r="C556" s="1" t="n">
        <v>45731</v>
      </c>
      <c r="D556" t="inlineStr">
        <is>
          <t>UPPSALA LÄN</t>
        </is>
      </c>
      <c r="E556" t="inlineStr">
        <is>
          <t>UPPSALA</t>
        </is>
      </c>
      <c r="G556" t="n">
        <v>2.1</v>
      </c>
      <c r="H556" t="n">
        <v>0</v>
      </c>
      <c r="I556" t="n">
        <v>0</v>
      </c>
      <c r="J556" t="n">
        <v>0</v>
      </c>
      <c r="K556" t="n">
        <v>0</v>
      </c>
      <c r="L556" t="n">
        <v>0</v>
      </c>
      <c r="M556" t="n">
        <v>0</v>
      </c>
      <c r="N556" t="n">
        <v>0</v>
      </c>
      <c r="O556" t="n">
        <v>0</v>
      </c>
      <c r="P556" t="n">
        <v>0</v>
      </c>
      <c r="Q556" t="n">
        <v>0</v>
      </c>
      <c r="R556" s="2" t="inlineStr"/>
    </row>
    <row r="557" ht="15" customHeight="1">
      <c r="A557" t="inlineStr">
        <is>
          <t>A 64857-2021</t>
        </is>
      </c>
      <c r="B557" s="1" t="n">
        <v>44512</v>
      </c>
      <c r="C557" s="1" t="n">
        <v>45731</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64856-2021</t>
        </is>
      </c>
      <c r="B558" s="1" t="n">
        <v>44512</v>
      </c>
      <c r="C558" s="1" t="n">
        <v>45731</v>
      </c>
      <c r="D558" t="inlineStr">
        <is>
          <t>UPPSALA LÄN</t>
        </is>
      </c>
      <c r="E558" t="inlineStr">
        <is>
          <t>UPPSALA</t>
        </is>
      </c>
      <c r="G558" t="n">
        <v>4.1</v>
      </c>
      <c r="H558" t="n">
        <v>0</v>
      </c>
      <c r="I558" t="n">
        <v>0</v>
      </c>
      <c r="J558" t="n">
        <v>0</v>
      </c>
      <c r="K558" t="n">
        <v>0</v>
      </c>
      <c r="L558" t="n">
        <v>0</v>
      </c>
      <c r="M558" t="n">
        <v>0</v>
      </c>
      <c r="N558" t="n">
        <v>0</v>
      </c>
      <c r="O558" t="n">
        <v>0</v>
      </c>
      <c r="P558" t="n">
        <v>0</v>
      </c>
      <c r="Q558" t="n">
        <v>0</v>
      </c>
      <c r="R558" s="2" t="inlineStr"/>
    </row>
    <row r="559" ht="15" customHeight="1">
      <c r="A559" t="inlineStr">
        <is>
          <t>A 64858-2021</t>
        </is>
      </c>
      <c r="B559" s="1" t="n">
        <v>44512</v>
      </c>
      <c r="C559" s="1" t="n">
        <v>45731</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45731</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65132-2021</t>
        </is>
      </c>
      <c r="B561" s="1" t="n">
        <v>44515</v>
      </c>
      <c r="C561" s="1" t="n">
        <v>45731</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65659-2021</t>
        </is>
      </c>
      <c r="B562" s="1" t="n">
        <v>44516</v>
      </c>
      <c r="C562" s="1" t="n">
        <v>45731</v>
      </c>
      <c r="D562" t="inlineStr">
        <is>
          <t>UPPSALA LÄN</t>
        </is>
      </c>
      <c r="E562" t="inlineStr">
        <is>
          <t>UPPSALA</t>
        </is>
      </c>
      <c r="G562" t="n">
        <v>2.2</v>
      </c>
      <c r="H562" t="n">
        <v>0</v>
      </c>
      <c r="I562" t="n">
        <v>0</v>
      </c>
      <c r="J562" t="n">
        <v>0</v>
      </c>
      <c r="K562" t="n">
        <v>0</v>
      </c>
      <c r="L562" t="n">
        <v>0</v>
      </c>
      <c r="M562" t="n">
        <v>0</v>
      </c>
      <c r="N562" t="n">
        <v>0</v>
      </c>
      <c r="O562" t="n">
        <v>0</v>
      </c>
      <c r="P562" t="n">
        <v>0</v>
      </c>
      <c r="Q562" t="n">
        <v>0</v>
      </c>
      <c r="R562" s="2" t="inlineStr"/>
    </row>
    <row r="563" ht="15" customHeight="1">
      <c r="A563" t="inlineStr">
        <is>
          <t>A 65695-2021</t>
        </is>
      </c>
      <c r="B563" s="1" t="n">
        <v>44516</v>
      </c>
      <c r="C563" s="1" t="n">
        <v>45731</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65809-2021</t>
        </is>
      </c>
      <c r="B564" s="1" t="n">
        <v>44517</v>
      </c>
      <c r="C564" s="1" t="n">
        <v>45731</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65811-2021</t>
        </is>
      </c>
      <c r="B565" s="1" t="n">
        <v>44517</v>
      </c>
      <c r="C565" s="1" t="n">
        <v>45731</v>
      </c>
      <c r="D565" t="inlineStr">
        <is>
          <t>UPPSALA LÄN</t>
        </is>
      </c>
      <c r="E565" t="inlineStr">
        <is>
          <t>UPPSALA</t>
        </is>
      </c>
      <c r="G565" t="n">
        <v>0.3</v>
      </c>
      <c r="H565" t="n">
        <v>0</v>
      </c>
      <c r="I565" t="n">
        <v>0</v>
      </c>
      <c r="J565" t="n">
        <v>0</v>
      </c>
      <c r="K565" t="n">
        <v>0</v>
      </c>
      <c r="L565" t="n">
        <v>0</v>
      </c>
      <c r="M565" t="n">
        <v>0</v>
      </c>
      <c r="N565" t="n">
        <v>0</v>
      </c>
      <c r="O565" t="n">
        <v>0</v>
      </c>
      <c r="P565" t="n">
        <v>0</v>
      </c>
      <c r="Q565" t="n">
        <v>0</v>
      </c>
      <c r="R565" s="2" t="inlineStr"/>
    </row>
    <row r="566" ht="15" customHeight="1">
      <c r="A566" t="inlineStr">
        <is>
          <t>A 65964-2021</t>
        </is>
      </c>
      <c r="B566" s="1" t="n">
        <v>44517</v>
      </c>
      <c r="C566" s="1" t="n">
        <v>45731</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66239-2021</t>
        </is>
      </c>
      <c r="B567" s="1" t="n">
        <v>44518</v>
      </c>
      <c r="C567" s="1" t="n">
        <v>45731</v>
      </c>
      <c r="D567" t="inlineStr">
        <is>
          <t>UPPSALA LÄN</t>
        </is>
      </c>
      <c r="E567" t="inlineStr">
        <is>
          <t>UPPSALA</t>
        </is>
      </c>
      <c r="G567" t="n">
        <v>4.2</v>
      </c>
      <c r="H567" t="n">
        <v>0</v>
      </c>
      <c r="I567" t="n">
        <v>0</v>
      </c>
      <c r="J567" t="n">
        <v>0</v>
      </c>
      <c r="K567" t="n">
        <v>0</v>
      </c>
      <c r="L567" t="n">
        <v>0</v>
      </c>
      <c r="M567" t="n">
        <v>0</v>
      </c>
      <c r="N567" t="n">
        <v>0</v>
      </c>
      <c r="O567" t="n">
        <v>0</v>
      </c>
      <c r="P567" t="n">
        <v>0</v>
      </c>
      <c r="Q567" t="n">
        <v>0</v>
      </c>
      <c r="R567" s="2" t="inlineStr"/>
    </row>
    <row r="568" ht="15" customHeight="1">
      <c r="A568" t="inlineStr">
        <is>
          <t>A 66690-2021</t>
        </is>
      </c>
      <c r="B568" s="1" t="n">
        <v>44519</v>
      </c>
      <c r="C568" s="1" t="n">
        <v>45731</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66686-2021</t>
        </is>
      </c>
      <c r="B569" s="1" t="n">
        <v>44519</v>
      </c>
      <c r="C569" s="1" t="n">
        <v>45731</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66794-2021</t>
        </is>
      </c>
      <c r="B570" s="1" t="n">
        <v>44522</v>
      </c>
      <c r="C570" s="1" t="n">
        <v>45731</v>
      </c>
      <c r="D570" t="inlineStr">
        <is>
          <t>UPPSALA LÄN</t>
        </is>
      </c>
      <c r="E570" t="inlineStr">
        <is>
          <t>UPPSALA</t>
        </is>
      </c>
      <c r="G570" t="n">
        <v>4.9</v>
      </c>
      <c r="H570" t="n">
        <v>0</v>
      </c>
      <c r="I570" t="n">
        <v>0</v>
      </c>
      <c r="J570" t="n">
        <v>0</v>
      </c>
      <c r="K570" t="n">
        <v>0</v>
      </c>
      <c r="L570" t="n">
        <v>0</v>
      </c>
      <c r="M570" t="n">
        <v>0</v>
      </c>
      <c r="N570" t="n">
        <v>0</v>
      </c>
      <c r="O570" t="n">
        <v>0</v>
      </c>
      <c r="P570" t="n">
        <v>0</v>
      </c>
      <c r="Q570" t="n">
        <v>0</v>
      </c>
      <c r="R570" s="2" t="inlineStr"/>
    </row>
    <row r="571" ht="15" customHeight="1">
      <c r="A571" t="inlineStr">
        <is>
          <t>A 66927-2021</t>
        </is>
      </c>
      <c r="B571" s="1" t="n">
        <v>44522</v>
      </c>
      <c r="C571" s="1" t="n">
        <v>45731</v>
      </c>
      <c r="D571" t="inlineStr">
        <is>
          <t>UPPSALA LÄN</t>
        </is>
      </c>
      <c r="E571" t="inlineStr">
        <is>
          <t>UPPSALA</t>
        </is>
      </c>
      <c r="G571" t="n">
        <v>2.9</v>
      </c>
      <c r="H571" t="n">
        <v>0</v>
      </c>
      <c r="I571" t="n">
        <v>0</v>
      </c>
      <c r="J571" t="n">
        <v>0</v>
      </c>
      <c r="K571" t="n">
        <v>0</v>
      </c>
      <c r="L571" t="n">
        <v>0</v>
      </c>
      <c r="M571" t="n">
        <v>0</v>
      </c>
      <c r="N571" t="n">
        <v>0</v>
      </c>
      <c r="O571" t="n">
        <v>0</v>
      </c>
      <c r="P571" t="n">
        <v>0</v>
      </c>
      <c r="Q571" t="n">
        <v>0</v>
      </c>
      <c r="R571" s="2" t="inlineStr"/>
    </row>
    <row r="572" ht="15" customHeight="1">
      <c r="A572" t="inlineStr">
        <is>
          <t>A 66983-2021</t>
        </is>
      </c>
      <c r="B572" s="1" t="n">
        <v>44522</v>
      </c>
      <c r="C572" s="1" t="n">
        <v>45731</v>
      </c>
      <c r="D572" t="inlineStr">
        <is>
          <t>UPPSALA LÄN</t>
        </is>
      </c>
      <c r="E572" t="inlineStr">
        <is>
          <t>UPPSALA</t>
        </is>
      </c>
      <c r="G572" t="n">
        <v>2.5</v>
      </c>
      <c r="H572" t="n">
        <v>0</v>
      </c>
      <c r="I572" t="n">
        <v>0</v>
      </c>
      <c r="J572" t="n">
        <v>0</v>
      </c>
      <c r="K572" t="n">
        <v>0</v>
      </c>
      <c r="L572" t="n">
        <v>0</v>
      </c>
      <c r="M572" t="n">
        <v>0</v>
      </c>
      <c r="N572" t="n">
        <v>0</v>
      </c>
      <c r="O572" t="n">
        <v>0</v>
      </c>
      <c r="P572" t="n">
        <v>0</v>
      </c>
      <c r="Q572" t="n">
        <v>0</v>
      </c>
      <c r="R572" s="2" t="inlineStr"/>
    </row>
    <row r="573" ht="15" customHeight="1">
      <c r="A573" t="inlineStr">
        <is>
          <t>A 67991-2021</t>
        </is>
      </c>
      <c r="B573" s="1" t="n">
        <v>44525</v>
      </c>
      <c r="C573" s="1" t="n">
        <v>45731</v>
      </c>
      <c r="D573" t="inlineStr">
        <is>
          <t>UPPSALA LÄN</t>
        </is>
      </c>
      <c r="E573" t="inlineStr">
        <is>
          <t>UPPSALA</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68696-2021</t>
        </is>
      </c>
      <c r="B574" s="1" t="n">
        <v>44526</v>
      </c>
      <c r="C574" s="1" t="n">
        <v>45731</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68139-2021</t>
        </is>
      </c>
      <c r="B575" s="1" t="n">
        <v>44526</v>
      </c>
      <c r="C575" s="1" t="n">
        <v>45731</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68296-2021</t>
        </is>
      </c>
      <c r="B576" s="1" t="n">
        <v>44526</v>
      </c>
      <c r="C576" s="1" t="n">
        <v>45731</v>
      </c>
      <c r="D576" t="inlineStr">
        <is>
          <t>UPPSALA LÄN</t>
        </is>
      </c>
      <c r="E576" t="inlineStr">
        <is>
          <t>UPPSALA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69067-2021</t>
        </is>
      </c>
      <c r="B577" s="1" t="n">
        <v>44530</v>
      </c>
      <c r="C577" s="1" t="n">
        <v>45731</v>
      </c>
      <c r="D577" t="inlineStr">
        <is>
          <t>UPPSALA LÄN</t>
        </is>
      </c>
      <c r="E577" t="inlineStr">
        <is>
          <t>UPPSALA</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69432-2021</t>
        </is>
      </c>
      <c r="B578" s="1" t="n">
        <v>44531</v>
      </c>
      <c r="C578" s="1" t="n">
        <v>45731</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69214-2021</t>
        </is>
      </c>
      <c r="B579" s="1" t="n">
        <v>44531</v>
      </c>
      <c r="C579" s="1" t="n">
        <v>45731</v>
      </c>
      <c r="D579" t="inlineStr">
        <is>
          <t>UPPSALA LÄN</t>
        </is>
      </c>
      <c r="E579" t="inlineStr">
        <is>
          <t>UPPSALA</t>
        </is>
      </c>
      <c r="F579" t="inlineStr">
        <is>
          <t>Bergvik skog öst AB</t>
        </is>
      </c>
      <c r="G579" t="n">
        <v>3.4</v>
      </c>
      <c r="H579" t="n">
        <v>0</v>
      </c>
      <c r="I579" t="n">
        <v>0</v>
      </c>
      <c r="J579" t="n">
        <v>0</v>
      </c>
      <c r="K579" t="n">
        <v>0</v>
      </c>
      <c r="L579" t="n">
        <v>0</v>
      </c>
      <c r="M579" t="n">
        <v>0</v>
      </c>
      <c r="N579" t="n">
        <v>0</v>
      </c>
      <c r="O579" t="n">
        <v>0</v>
      </c>
      <c r="P579" t="n">
        <v>0</v>
      </c>
      <c r="Q579" t="n">
        <v>0</v>
      </c>
      <c r="R579" s="2" t="inlineStr"/>
    </row>
    <row r="580" ht="15" customHeight="1">
      <c r="A580" t="inlineStr">
        <is>
          <t>A 69397-2021</t>
        </is>
      </c>
      <c r="B580" s="1" t="n">
        <v>44531</v>
      </c>
      <c r="C580" s="1" t="n">
        <v>45731</v>
      </c>
      <c r="D580" t="inlineStr">
        <is>
          <t>UPPSALA LÄN</t>
        </is>
      </c>
      <c r="E580" t="inlineStr">
        <is>
          <t>UPPSALA</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69436-2021</t>
        </is>
      </c>
      <c r="B581" s="1" t="n">
        <v>44531</v>
      </c>
      <c r="C581" s="1" t="n">
        <v>45731</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69439-2021</t>
        </is>
      </c>
      <c r="B582" s="1" t="n">
        <v>44531</v>
      </c>
      <c r="C582" s="1" t="n">
        <v>45731</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45731</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45731</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45731</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45731</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45731</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45731</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45731</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45731</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45731</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45731</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45731</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45731</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45731</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45731</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45731</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45731</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45731</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45731</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45731</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45731</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45731</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45731</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45731</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45731</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45731</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45731</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45731</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45731</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45731</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45731</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45731</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45731</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45731</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45731</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45731</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45731</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45731</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45731</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45731</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45731</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45731</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45731</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45731</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45731</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45731</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45731</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45731</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45731</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45731</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45731</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45731</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45731</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45731</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45731</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45731</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45731</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45731</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45731</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45731</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45731</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45731</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45731</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45731</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45731</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45731</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45731</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45731</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45731</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45731</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45731</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45731</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45731</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45731</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45731</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45731</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45731</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45731</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45731</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45731</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45731</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45731</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45731</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45731</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45731</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45731</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45731</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45731</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45731</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45731</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45731</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45731</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45731</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45731</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45731</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45731</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45731</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45731</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45731</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45731</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45731</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45731</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45731</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45731</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45731</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45731</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45731</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45731</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45731</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45731</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45731</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45731</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45731</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45731</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45731</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45731</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45731</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45731</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45731</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45731</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45731</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45731</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45731</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45731</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45731</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45731</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45731</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45731</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45731</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45731</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45731</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45731</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45731</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45731</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45731</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45731</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45731</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45731</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45731</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45731</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45731</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45731</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45731</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45731</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45731</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45731</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45731</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45731</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45731</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45731</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45731</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45731</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45731</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45731</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45731</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45731</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45731</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45731</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45731</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45731</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45731</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45731</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45731</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45731</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45731</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45731</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45731</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45731</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45731</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45731</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45731</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45731</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45731</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45731</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45731</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45731</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45731</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45731</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45731</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45731</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45731</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45731</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45731</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45731</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45731</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45731</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45731</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45731</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45731</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45731</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45731</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45731</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45731</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45731</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45731</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45731</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45731</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45731</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45731</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45731</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45731</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45731</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45731</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45731</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45731</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45731</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45731</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45731</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45731</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45731</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45731</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45731</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45731</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45731</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45731</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45731</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45731</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45731</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45731</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45731</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45731</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45731</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45731</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45731</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45731</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45731</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45731</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45731</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45731</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45731</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45731</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45731</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45731</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45731</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45731</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45731</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45731</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45731</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45731</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45731</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45731</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45731</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45731</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45731</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45731</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45731</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45731</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45731</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45731</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45731</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45731</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45731</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45731</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45731</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45731</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45731</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45731</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45731</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45731</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45731</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45731</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45731</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45731</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45731</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45731</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45731</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45731</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45731</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45731</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45731</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45731</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45731</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45731</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45731</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45731</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45731</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45731</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45731</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45731</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45731</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45731</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45731</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45731</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45731</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45731</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45731</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45731</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45731</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45731</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45731</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45731</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45731</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45731</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45731</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45731</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45731</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45731</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45731</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45731</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45731</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45731</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45731</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45731</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45731</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45731</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45731</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45731</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45731</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45731</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45731</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45731</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45731</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45731</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45731</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45731</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45731</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45731</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45731</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45731</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45731</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45731</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45731</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45731</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45731</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45731</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45731</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45731</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45731</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45731</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45731</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45731</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45731</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45731</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45731</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45731</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45731</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45731</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45731</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45731</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45731</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45731</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45731</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45731</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45731</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45731</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45731</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45731</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45731</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45731</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45731</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45731</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45731</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45731</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45731</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45731</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45731</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45731</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45731</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45731</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45731</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45731</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45731</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45731</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45731</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45731</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45731</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45731</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45731</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45731</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45731</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45731</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45731</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45731</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45731</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45731</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45731</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45731</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45731</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45731</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45731</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45731</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45731</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45731</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45731</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45731</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45731</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45731</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45731</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45731</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45731</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45731</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45731</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45731</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45731</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45731</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45731</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45731</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45731</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45731</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45731</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45731</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45731</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45731</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45731</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45731</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45731</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45731</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45731</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45731</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45731</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45731</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45731</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45731</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45731</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45731</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45731</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45731</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45731</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45731</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45731</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45731</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45731</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45731</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45731</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45731</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45731</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45731</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45731</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45731</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45731</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45731</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45731</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45731</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45731</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45731</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45731</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45731</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45731</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45731</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45731</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45731</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45731</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45731</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45731</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45731</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45731</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45731</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45731</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45731</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45731</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45731</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45731</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45731</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45731</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45731</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45731</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45731</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45731</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45731</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45731</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45731</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45731</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45731</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45731</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45731</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45731</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45731</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45731</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45731</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45731</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45731</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45731</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45731</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45731</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45731</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45731</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45731</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45731</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45731</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45731</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45731</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45731</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45731</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45731</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45731</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45731</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45731</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45731</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45731</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45731</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45731</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45731</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45731</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45731</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45731</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45731</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45731</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45731</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45731</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45731</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45731</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45731</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45731</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45731</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45731</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45731</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45731</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45731</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45731</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45731</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45731</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45731</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45731</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45731</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45731</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45731</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45731</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45731</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45731</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45731</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45731</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45731</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45731</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45731</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45731</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45731</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45731</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45731</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45731</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45731</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45731</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45731</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45731</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45731</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45731</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45731</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45731</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45731</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45731</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45731</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45731</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45731</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45731</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45731</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45731</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45731</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45731</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45731</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45731</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45731</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45731</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45731</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45731</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45731</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45731</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45731</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45731</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45731</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45731</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45731</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45731</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45731</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45731</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45731</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45731</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45731</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45731</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45731</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45731</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45731</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45731</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45731</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45731</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45731</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45731</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45731</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45731</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45731</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45731</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45731</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45731</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45731</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45731</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45731</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45731</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45731</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45731</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45731</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45731</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45731</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45731</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45731</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45731</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45731</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45731</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45731</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45731</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45731</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45731</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45731</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45731</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45731</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45731</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45731</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45731</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45731</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45731</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45731</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45731</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45731</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45731</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45731</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45731</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45731</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45731</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45731</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45731</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45731</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45731</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45731</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45731</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45731</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45731</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45731</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45731</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45731</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45731</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45731</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45731</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45731</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45731</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45731</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45731</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45731</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45731</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45731</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45731</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45731</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45731</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45731</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45731</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45731</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45731</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45731</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45731</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45731</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45731</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45731</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45731</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45731</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45731</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45731</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45731</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45731</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45731</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45731</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45731</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45731</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45731</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45731</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45731</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45731</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45731</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45731</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45731</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45731</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45731</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45731</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45731</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45731</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45731</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45731</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45731</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45731</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45731</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45731</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45731</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45731</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45731</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45731</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45731</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45731</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45731</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45731</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45731</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45731</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45731</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45731</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45731</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45731</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45731</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45731</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45731</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45731</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45731</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45731</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45731</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45731</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45731</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45731</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45731</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45731</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45731</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45731</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45731</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45731</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45731</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45731</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45731</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45731</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45731</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45731</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45731</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45731</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45731</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45731</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45731</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45731</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45731</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45731</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45731</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45731</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45731</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45731</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45731</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45731</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45731</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45731</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45731</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45731</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45731</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45731</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45731</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45731</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45731</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45731</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45731</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45731</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45731</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45731</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45731</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45731</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45731</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45731</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45731</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45731</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45731</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45731</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45731</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45731</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45731</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45731</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45731</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45731</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45731</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45731</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45731</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45731</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45731</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45731</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45731</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45731</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45731</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45731</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45731</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45731</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45731</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45731</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45731</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45731</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45731</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45731</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45731</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45731</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45731</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45731</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45731</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45731</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45731</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45731</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45731</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45731</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45731</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45731</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45731</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45731</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45731</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45731</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45731</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45731</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45731</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45731</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45731</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45731</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45731</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45731</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45731</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45731</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45731</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45731</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45731</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45731</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45731</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45731</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45731</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45731</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45731</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45731</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45731</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45731</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45731</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45731</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45731</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45731</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45731</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45731</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45731</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45731</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45731</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45731</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45731</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45731</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45731</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45731</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45731</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45731</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45731</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45731</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45731</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45731</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45731</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45731</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45731</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45731</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45731</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45731</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45731</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45731</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45731</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45731</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45731</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45731</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45731</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45731</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45731</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45731</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45731</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45731</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45731</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45731</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45731</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45731</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45731</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45731</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45731</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45731</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45731</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45731</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45731</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45731</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45731</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45731</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45731</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45731</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45731</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45731</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45731</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45731</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45731</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45731</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45731</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45731</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45731</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45731</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45731</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45731</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45731</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45731</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45731</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45731</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45731</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45731</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45731</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45731</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45731</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45731</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45731</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45731</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45731</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45731</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45731</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45731</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45731</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45731</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45731</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45731</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45731</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45731</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45731</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45731</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45731</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45731</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45731</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45731</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45731</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45731</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45731</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45731</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45731</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45731</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45731</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45731</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45731</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45731</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45731</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45731</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45731</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45731</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45731</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45731</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45731</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45731</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45731</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45731</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45731</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45731</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45731</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45731</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45731</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45731</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45731</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45731</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45731</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45731</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45731</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45731</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45731</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45731</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45731</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45731</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45731</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45731</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45731</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45731</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45731</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45731</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45731</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45731</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45731</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45731</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45731</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45731</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45731</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45731</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45731</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45731</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45731</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45731</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45731</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45731</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45731</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45731</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45731</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45731</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45731</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45731</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45731</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45731</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45731</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45731</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45731</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45731</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45731</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45731</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45731</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45731</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45731</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45731</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45731</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45731</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45731</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45731</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45731</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45731</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45731</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45731</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45731</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45731</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45731</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45731</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45731</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45731</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45731</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45731</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45731</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45731</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45731</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45731</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45731</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45731</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45731</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45731</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45731</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45731</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45731</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45731</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45731</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45731</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45731</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45731</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45731</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45731</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45731</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45731</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45731</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45731</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45731</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45731</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45731</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45731</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45731</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45731</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45731</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45731</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45731</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45731</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45731</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45731</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45731</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45731</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45731</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45731</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45731</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45731</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45731</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45731</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45731</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45731</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45731</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45731</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45731</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45731</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45731</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45731</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45731</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45731</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45731</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45731</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45731</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45731</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45731</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45731</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45731</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45731</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45731</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45731</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45731</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45731</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45731</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45731</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45731</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45731</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45731</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45731</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45731</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45731</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45731</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45731</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45731</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45731</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45731</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45731</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45731</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45731</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45731</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45731</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45731</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45731</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45731</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45731</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45731</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45731</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45731</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45731</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45731</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45731</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45731</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45731</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45731</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45731</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45731</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45731</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45731</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45731</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45731</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45731</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45731</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45731</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45731</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45731</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45731</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45731</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45731</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45731</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45731</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45731</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45731</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45731</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45731</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45731</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45731</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45731</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45731</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45731</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45731</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45731</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45731</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45731</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45731</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45731</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45731</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45731</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45731</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45731</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45731</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45731</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45731</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45731</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45731</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45731</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45731</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45731</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45731</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45731</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9409-2025</t>
        </is>
      </c>
      <c r="B1716" s="1" t="n">
        <v>45715</v>
      </c>
      <c r="C1716" s="1" t="n">
        <v>45731</v>
      </c>
      <c r="D1716" t="inlineStr">
        <is>
          <t>UPPSALA LÄN</t>
        </is>
      </c>
      <c r="E1716" t="inlineStr">
        <is>
          <t>UPPSALA</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9411-2025</t>
        </is>
      </c>
      <c r="B1717" s="1" t="n">
        <v>45715</v>
      </c>
      <c r="C1717" s="1" t="n">
        <v>45731</v>
      </c>
      <c r="D1717" t="inlineStr">
        <is>
          <t>UPPSALA LÄN</t>
        </is>
      </c>
      <c r="E1717" t="inlineStr">
        <is>
          <t>UPPSALA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9414-2025</t>
        </is>
      </c>
      <c r="B1718" s="1" t="n">
        <v>45715</v>
      </c>
      <c r="C1718" s="1" t="n">
        <v>45731</v>
      </c>
      <c r="D1718" t="inlineStr">
        <is>
          <t>UPPSALA LÄN</t>
        </is>
      </c>
      <c r="E1718" t="inlineStr">
        <is>
          <t>UPPSALA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9982-2025</t>
        </is>
      </c>
      <c r="B1719" s="1" t="n">
        <v>45719</v>
      </c>
      <c r="C1719" s="1" t="n">
        <v>45731</v>
      </c>
      <c r="D1719" t="inlineStr">
        <is>
          <t>UPPSALA LÄN</t>
        </is>
      </c>
      <c r="E1719" t="inlineStr">
        <is>
          <t>UPPSALA</t>
        </is>
      </c>
      <c r="F1719" t="inlineStr">
        <is>
          <t>Kyrkan</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9984-2025</t>
        </is>
      </c>
      <c r="B1720" s="1" t="n">
        <v>45719</v>
      </c>
      <c r="C1720" s="1" t="n">
        <v>45731</v>
      </c>
      <c r="D1720" t="inlineStr">
        <is>
          <t>UPPSALA LÄN</t>
        </is>
      </c>
      <c r="E1720" t="inlineStr">
        <is>
          <t>UPPSALA</t>
        </is>
      </c>
      <c r="F1720" t="inlineStr">
        <is>
          <t>Kyrkan</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9991-2025</t>
        </is>
      </c>
      <c r="B1721" s="1" t="n">
        <v>45719</v>
      </c>
      <c r="C1721" s="1" t="n">
        <v>45731</v>
      </c>
      <c r="D1721" t="inlineStr">
        <is>
          <t>UPPSALA LÄN</t>
        </is>
      </c>
      <c r="E1721" t="inlineStr">
        <is>
          <t>UPPSALA</t>
        </is>
      </c>
      <c r="F1721" t="inlineStr">
        <is>
          <t>Kyrkan</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9995-2025</t>
        </is>
      </c>
      <c r="B1722" s="1" t="n">
        <v>45719</v>
      </c>
      <c r="C1722" s="1" t="n">
        <v>45731</v>
      </c>
      <c r="D1722" t="inlineStr">
        <is>
          <t>UPPSALA LÄN</t>
        </is>
      </c>
      <c r="E1722" t="inlineStr">
        <is>
          <t>UPPSALA</t>
        </is>
      </c>
      <c r="F1722" t="inlineStr">
        <is>
          <t>Kyrkan</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9981-2025</t>
        </is>
      </c>
      <c r="B1723" s="1" t="n">
        <v>45719</v>
      </c>
      <c r="C1723" s="1" t="n">
        <v>45731</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45731</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45731</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10488-2025</t>
        </is>
      </c>
      <c r="B1726" s="1" t="n">
        <v>45721</v>
      </c>
      <c r="C1726" s="1" t="n">
        <v>45731</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10612-2025</t>
        </is>
      </c>
      <c r="B1727" s="1" t="n">
        <v>45721</v>
      </c>
      <c r="C1727" s="1" t="n">
        <v>45731</v>
      </c>
      <c r="D1727" t="inlineStr">
        <is>
          <t>UPPSALA LÄN</t>
        </is>
      </c>
      <c r="E1727" t="inlineStr">
        <is>
          <t>UPPSALA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10490-2025</t>
        </is>
      </c>
      <c r="B1728" s="1" t="n">
        <v>45721</v>
      </c>
      <c r="C1728" s="1" t="n">
        <v>45731</v>
      </c>
      <c r="D1728" t="inlineStr">
        <is>
          <t>UPPSALA LÄN</t>
        </is>
      </c>
      <c r="E1728" t="inlineStr">
        <is>
          <t>UPPSALA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45731</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11119-2025</t>
        </is>
      </c>
      <c r="B1730" s="1" t="n">
        <v>45723</v>
      </c>
      <c r="C1730" s="1" t="n">
        <v>45731</v>
      </c>
      <c r="D1730" t="inlineStr">
        <is>
          <t>UPPSALA LÄN</t>
        </is>
      </c>
      <c r="E1730" t="inlineStr">
        <is>
          <t>UPPSALA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11103-2025</t>
        </is>
      </c>
      <c r="B1731" s="1" t="n">
        <v>45723</v>
      </c>
      <c r="C1731" s="1" t="n">
        <v>45731</v>
      </c>
      <c r="D1731" t="inlineStr">
        <is>
          <t>UPPSALA LÄN</t>
        </is>
      </c>
      <c r="E1731" t="inlineStr">
        <is>
          <t>UPPSALA</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11184-2025</t>
        </is>
      </c>
      <c r="B1732" s="1" t="n">
        <v>45725</v>
      </c>
      <c r="C1732" s="1" t="n">
        <v>45731</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11339-2025</t>
        </is>
      </c>
      <c r="B1733" s="1" t="n">
        <v>45726</v>
      </c>
      <c r="C1733" s="1" t="n">
        <v>45731</v>
      </c>
      <c r="D1733" t="inlineStr">
        <is>
          <t>UPPSALA LÄN</t>
        </is>
      </c>
      <c r="E1733" t="inlineStr">
        <is>
          <t>UPPSALA</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11409-2025</t>
        </is>
      </c>
      <c r="B1734" s="1" t="n">
        <v>45726</v>
      </c>
      <c r="C1734" s="1" t="n">
        <v>45731</v>
      </c>
      <c r="D1734" t="inlineStr">
        <is>
          <t>UPPSALA LÄN</t>
        </is>
      </c>
      <c r="E1734" t="inlineStr">
        <is>
          <t>UPPSALA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11833-2025</t>
        </is>
      </c>
      <c r="B1735" s="1" t="n">
        <v>45728</v>
      </c>
      <c r="C1735" s="1" t="n">
        <v>45731</v>
      </c>
      <c r="D1735" t="inlineStr">
        <is>
          <t>UPPSALA LÄN</t>
        </is>
      </c>
      <c r="E1735" t="inlineStr">
        <is>
          <t>UPPSALA</t>
        </is>
      </c>
      <c r="F1735" t="inlineStr">
        <is>
          <t>Kyrkan</t>
        </is>
      </c>
      <c r="G1735" t="n">
        <v>13</v>
      </c>
      <c r="H1735" t="n">
        <v>0</v>
      </c>
      <c r="I1735" t="n">
        <v>0</v>
      </c>
      <c r="J1735" t="n">
        <v>0</v>
      </c>
      <c r="K1735" t="n">
        <v>0</v>
      </c>
      <c r="L1735" t="n">
        <v>0</v>
      </c>
      <c r="M1735" t="n">
        <v>0</v>
      </c>
      <c r="N1735" t="n">
        <v>0</v>
      </c>
      <c r="O1735" t="n">
        <v>0</v>
      </c>
      <c r="P1735" t="n">
        <v>0</v>
      </c>
      <c r="Q1735" t="n">
        <v>0</v>
      </c>
      <c r="R1735" s="2" t="inlineStr"/>
    </row>
    <row r="1736">
      <c r="A1736" t="inlineStr">
        <is>
          <t>A 12414-2025</t>
        </is>
      </c>
      <c r="B1736" s="1" t="n">
        <v>45730</v>
      </c>
      <c r="C1736" s="1" t="n">
        <v>45731</v>
      </c>
      <c r="D1736" t="inlineStr">
        <is>
          <t>UPPSALA LÄN</t>
        </is>
      </c>
      <c r="E1736" t="inlineStr">
        <is>
          <t>UPPSALA</t>
        </is>
      </c>
      <c r="F1736" t="inlineStr">
        <is>
          <t>Övriga statliga verk och myndigheter</t>
        </is>
      </c>
      <c r="G1736" t="n">
        <v>6.8</v>
      </c>
      <c r="H1736" t="n">
        <v>0</v>
      </c>
      <c r="I1736" t="n">
        <v>0</v>
      </c>
      <c r="J1736" t="n">
        <v>0</v>
      </c>
      <c r="K1736" t="n">
        <v>0</v>
      </c>
      <c r="L1736" t="n">
        <v>0</v>
      </c>
      <c r="M1736" t="n">
        <v>0</v>
      </c>
      <c r="N1736" t="n">
        <v>0</v>
      </c>
      <c r="O1736" t="n">
        <v>0</v>
      </c>
      <c r="P1736" t="n">
        <v>0</v>
      </c>
      <c r="Q1736" t="n">
        <v>0</v>
      </c>
      <c r="R1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2025-03-15T17:42:36Z</dcterms:created>
  <dcterms:modified xmlns:dcterms="http://purl.org/dc/terms/" xmlns:xsi="http://www.w3.org/2001/XMLSchema-instance" xsi:type="dcterms:W3CDTF">2025-03-15T17:42:38Z</dcterms:modified>
</cp:coreProperties>
</file>