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46075</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46075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46075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46075</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46075</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46075</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46075</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46075</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46075</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46075</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10368-2022</t>
        </is>
      </c>
      <c r="B19" s="1" t="n">
        <v>44623</v>
      </c>
      <c r="C19" s="1" t="n">
        <v>46075</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46075</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46075</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46075</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25143-2023</t>
        </is>
      </c>
      <c r="B23" s="1" t="n">
        <v>45086</v>
      </c>
      <c r="C23" s="1" t="n">
        <v>46075</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2021-2022</t>
        </is>
      </c>
      <c r="B24" s="1" t="n">
        <v>44575</v>
      </c>
      <c r="C24" s="1" t="n">
        <v>46075</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46075</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46075</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46075</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46075</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46075</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46075</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25608-2025</t>
        </is>
      </c>
      <c r="B31" s="1" t="n">
        <v>45803.55535879629</v>
      </c>
      <c r="C31" s="1" t="n">
        <v>46075</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46075</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46075</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46075</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46075</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46075</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46075</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46075</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46075</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46075</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46075</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46075</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46075</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46075</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46075</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46075</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46075</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46075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46075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44601-2025</t>
        </is>
      </c>
      <c r="B50" s="1" t="n">
        <v>45917.43857638889</v>
      </c>
      <c r="C50" s="1" t="n">
        <v>46075</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53870-2025</t>
        </is>
      </c>
      <c r="B51" s="1" t="n">
        <v>45961.38690972222</v>
      </c>
      <c r="C51" s="1" t="n">
        <v>46075</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46075</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46075</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46075</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21809-2024</t>
        </is>
      </c>
      <c r="B55" s="1" t="n">
        <v>45442</v>
      </c>
      <c r="C55" s="1" t="n">
        <v>46075</v>
      </c>
      <c r="D55" t="inlineStr">
        <is>
          <t>UPPSALA LÄN</t>
        </is>
      </c>
      <c r="E55" t="inlineStr">
        <is>
          <t>UPPSALA</t>
        </is>
      </c>
      <c r="F55" t="inlineStr">
        <is>
          <t>Övriga statliga verk och myndigheter</t>
        </is>
      </c>
      <c r="G55" t="n">
        <v>6.6</v>
      </c>
      <c r="H55" t="n">
        <v>3</v>
      </c>
      <c r="I55" t="n">
        <v>1</v>
      </c>
      <c r="J55" t="n">
        <v>2</v>
      </c>
      <c r="K55" t="n">
        <v>0</v>
      </c>
      <c r="L55" t="n">
        <v>0</v>
      </c>
      <c r="M55" t="n">
        <v>0</v>
      </c>
      <c r="N55" t="n">
        <v>0</v>
      </c>
      <c r="O55" t="n">
        <v>2</v>
      </c>
      <c r="P55" t="n">
        <v>0</v>
      </c>
      <c r="Q55" t="n">
        <v>5</v>
      </c>
      <c r="R55" s="2" t="inlineStr">
        <is>
          <t>Igelkott
Nordfladdermus
Vågbandad barkbock
Dvärgpipistrell
Blåsippa</t>
        </is>
      </c>
      <c r="S55">
        <f>HYPERLINK("https://klasma.github.io/Logging_0380/artfynd/A 21809-2024 artfynd.xlsx", "A 21809-2024")</f>
        <v/>
      </c>
      <c r="T55">
        <f>HYPERLINK("https://klasma.github.io/Logging_0380/kartor/A 21809-2024 karta.png", "A 21809-2024")</f>
        <v/>
      </c>
      <c r="V55">
        <f>HYPERLINK("https://klasma.github.io/Logging_0380/klagomål/A 21809-2024 FSC-klagomål.docx", "A 21809-2024")</f>
        <v/>
      </c>
      <c r="W55">
        <f>HYPERLINK("https://klasma.github.io/Logging_0380/klagomålsmail/A 21809-2024 FSC-klagomål mail.docx", "A 21809-2024")</f>
        <v/>
      </c>
      <c r="X55">
        <f>HYPERLINK("https://klasma.github.io/Logging_0380/tillsyn/A 21809-2024 tillsynsbegäran.docx", "A 21809-2024")</f>
        <v/>
      </c>
      <c r="Y55">
        <f>HYPERLINK("https://klasma.github.io/Logging_0380/tillsynsmail/A 21809-2024 tillsynsbegäran mail.docx", "A 21809-2024")</f>
        <v/>
      </c>
    </row>
    <row r="56" ht="15" customHeight="1">
      <c r="A56" t="inlineStr">
        <is>
          <t>A 23153-2022</t>
        </is>
      </c>
      <c r="B56" s="1" t="n">
        <v>44719</v>
      </c>
      <c r="C56" s="1" t="n">
        <v>46075</v>
      </c>
      <c r="D56" t="inlineStr">
        <is>
          <t>UPPSALA LÄN</t>
        </is>
      </c>
      <c r="E56" t="inlineStr">
        <is>
          <t>UPPSALA</t>
        </is>
      </c>
      <c r="G56" t="n">
        <v>5.4</v>
      </c>
      <c r="H56" t="n">
        <v>0</v>
      </c>
      <c r="I56" t="n">
        <v>3</v>
      </c>
      <c r="J56" t="n">
        <v>1</v>
      </c>
      <c r="K56" t="n">
        <v>0</v>
      </c>
      <c r="L56" t="n">
        <v>0</v>
      </c>
      <c r="M56" t="n">
        <v>0</v>
      </c>
      <c r="N56" t="n">
        <v>0</v>
      </c>
      <c r="O56" t="n">
        <v>1</v>
      </c>
      <c r="P56" t="n">
        <v>0</v>
      </c>
      <c r="Q56" t="n">
        <v>4</v>
      </c>
      <c r="R56" s="2" t="inlineStr">
        <is>
          <t>Större flatbagge
Bronshjon
Thomsons trägnagare
Trådticka</t>
        </is>
      </c>
      <c r="S56">
        <f>HYPERLINK("https://klasma.github.io/Logging_0380/artfynd/A 23153-2022 artfynd.xlsx", "A 23153-2022")</f>
        <v/>
      </c>
      <c r="T56">
        <f>HYPERLINK("https://klasma.github.io/Logging_0380/kartor/A 23153-2022 karta.png", "A 23153-2022")</f>
        <v/>
      </c>
      <c r="V56">
        <f>HYPERLINK("https://klasma.github.io/Logging_0380/klagomål/A 23153-2022 FSC-klagomål.docx", "A 23153-2022")</f>
        <v/>
      </c>
      <c r="W56">
        <f>HYPERLINK("https://klasma.github.io/Logging_0380/klagomålsmail/A 23153-2022 FSC-klagomål mail.docx", "A 23153-2022")</f>
        <v/>
      </c>
      <c r="X56">
        <f>HYPERLINK("https://klasma.github.io/Logging_0380/tillsyn/A 23153-2022 tillsynsbegäran.docx", "A 23153-2022")</f>
        <v/>
      </c>
      <c r="Y56">
        <f>HYPERLINK("https://klasma.github.io/Logging_0380/tillsynsmail/A 23153-2022 tillsynsbegäran mail.docx", "A 23153-2022")</f>
        <v/>
      </c>
    </row>
    <row r="57" ht="15" customHeight="1">
      <c r="A57" t="inlineStr">
        <is>
          <t>A 15956-2022</t>
        </is>
      </c>
      <c r="B57" s="1" t="n">
        <v>44664</v>
      </c>
      <c r="C57" s="1" t="n">
        <v>46075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42581-2025</t>
        </is>
      </c>
      <c r="B58" s="1" t="n">
        <v>45905.62541666667</v>
      </c>
      <c r="C58" s="1" t="n">
        <v>46075</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46075</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26758-2022</t>
        </is>
      </c>
      <c r="B60" s="1" t="n">
        <v>44740</v>
      </c>
      <c r="C60" s="1" t="n">
        <v>46075</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51875-2025</t>
        </is>
      </c>
      <c r="B61" s="1" t="n">
        <v>45952.39770833333</v>
      </c>
      <c r="C61" s="1" t="n">
        <v>46075</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15297-2022</t>
        </is>
      </c>
      <c r="B62" s="1" t="n">
        <v>44659</v>
      </c>
      <c r="C62" s="1" t="n">
        <v>46075</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2524-2026</t>
        </is>
      </c>
      <c r="B63" s="1" t="n">
        <v>46037.42877314815</v>
      </c>
      <c r="C63" s="1" t="n">
        <v>46075</v>
      </c>
      <c r="D63" t="inlineStr">
        <is>
          <t>UPPSALA LÄN</t>
        </is>
      </c>
      <c r="E63" t="inlineStr">
        <is>
          <t>UPPSALA</t>
        </is>
      </c>
      <c r="F63" t="inlineStr">
        <is>
          <t>Allmännings- och besparingsskogar</t>
        </is>
      </c>
      <c r="G63" t="n">
        <v>13.4</v>
      </c>
      <c r="H63" t="n">
        <v>2</v>
      </c>
      <c r="I63" t="n">
        <v>1</v>
      </c>
      <c r="J63" t="n">
        <v>1</v>
      </c>
      <c r="K63" t="n">
        <v>1</v>
      </c>
      <c r="L63" t="n">
        <v>0</v>
      </c>
      <c r="M63" t="n">
        <v>0</v>
      </c>
      <c r="N63" t="n">
        <v>0</v>
      </c>
      <c r="O63" t="n">
        <v>2</v>
      </c>
      <c r="P63" t="n">
        <v>1</v>
      </c>
      <c r="Q63" t="n">
        <v>4</v>
      </c>
      <c r="R63" s="2" t="inlineStr">
        <is>
          <t>Vågticka
Spillkråka
Blodticka
Tjäder</t>
        </is>
      </c>
      <c r="S63">
        <f>HYPERLINK("https://klasma.github.io/Logging_0380/artfynd/A 2524-2026 artfynd.xlsx", "A 2524-2026")</f>
        <v/>
      </c>
      <c r="T63">
        <f>HYPERLINK("https://klasma.github.io/Logging_0380/kartor/A 2524-2026 karta.png", "A 2524-2026")</f>
        <v/>
      </c>
      <c r="V63">
        <f>HYPERLINK("https://klasma.github.io/Logging_0380/klagomål/A 2524-2026 FSC-klagomål.docx", "A 2524-2026")</f>
        <v/>
      </c>
      <c r="W63">
        <f>HYPERLINK("https://klasma.github.io/Logging_0380/klagomålsmail/A 2524-2026 FSC-klagomål mail.docx", "A 2524-2026")</f>
        <v/>
      </c>
      <c r="X63">
        <f>HYPERLINK("https://klasma.github.io/Logging_0380/tillsyn/A 2524-2026 tillsynsbegäran.docx", "A 2524-2026")</f>
        <v/>
      </c>
      <c r="Y63">
        <f>HYPERLINK("https://klasma.github.io/Logging_0380/tillsynsmail/A 2524-2026 tillsynsbegäran mail.docx", "A 2524-2026")</f>
        <v/>
      </c>
      <c r="Z63">
        <f>HYPERLINK("https://klasma.github.io/Logging_0380/fåglar/A 2524-2026 prioriterade fågelarter.docx", "A 2524-2026")</f>
        <v/>
      </c>
    </row>
    <row r="64" ht="15" customHeight="1">
      <c r="A64" t="inlineStr">
        <is>
          <t>A 62004-2025</t>
        </is>
      </c>
      <c r="B64" s="1" t="n">
        <v>46003.66043981481</v>
      </c>
      <c r="C64" s="1" t="n">
        <v>46075</v>
      </c>
      <c r="D64" t="inlineStr">
        <is>
          <t>UPPSALA LÄN</t>
        </is>
      </c>
      <c r="E64" t="inlineStr">
        <is>
          <t>UPPSALA</t>
        </is>
      </c>
      <c r="G64" t="n">
        <v>7.2</v>
      </c>
      <c r="H64" t="n">
        <v>3</v>
      </c>
      <c r="I64" t="n">
        <v>0</v>
      </c>
      <c r="J64" t="n">
        <v>2</v>
      </c>
      <c r="K64" t="n">
        <v>1</v>
      </c>
      <c r="L64" t="n">
        <v>0</v>
      </c>
      <c r="M64" t="n">
        <v>0</v>
      </c>
      <c r="N64" t="n">
        <v>0</v>
      </c>
      <c r="O64" t="n">
        <v>3</v>
      </c>
      <c r="P64" t="n">
        <v>1</v>
      </c>
      <c r="Q64" t="n">
        <v>4</v>
      </c>
      <c r="R64" s="2" t="inlineStr">
        <is>
          <t>Knärot
Spillkråka
Vedtrappmossa
Revlummer</t>
        </is>
      </c>
      <c r="S64">
        <f>HYPERLINK("https://klasma.github.io/Logging_0380/artfynd/A 62004-2025 artfynd.xlsx", "A 62004-2025")</f>
        <v/>
      </c>
      <c r="T64">
        <f>HYPERLINK("https://klasma.github.io/Logging_0380/kartor/A 62004-2025 karta.png", "A 62004-2025")</f>
        <v/>
      </c>
      <c r="U64">
        <f>HYPERLINK("https://klasma.github.io/Logging_0380/knärot/A 62004-2025 karta knärot.png", "A 62004-2025")</f>
        <v/>
      </c>
      <c r="V64">
        <f>HYPERLINK("https://klasma.github.io/Logging_0380/klagomål/A 62004-2025 FSC-klagomål.docx", "A 62004-2025")</f>
        <v/>
      </c>
      <c r="W64">
        <f>HYPERLINK("https://klasma.github.io/Logging_0380/klagomålsmail/A 62004-2025 FSC-klagomål mail.docx", "A 62004-2025")</f>
        <v/>
      </c>
      <c r="X64">
        <f>HYPERLINK("https://klasma.github.io/Logging_0380/tillsyn/A 62004-2025 tillsynsbegäran.docx", "A 62004-2025")</f>
        <v/>
      </c>
      <c r="Y64">
        <f>HYPERLINK("https://klasma.github.io/Logging_0380/tillsynsmail/A 62004-2025 tillsynsbegäran mail.docx", "A 62004-2025")</f>
        <v/>
      </c>
      <c r="Z64">
        <f>HYPERLINK("https://klasma.github.io/Logging_0380/fåglar/A 62004-2025 prioriterade fågelarter.docx", "A 62004-2025")</f>
        <v/>
      </c>
    </row>
    <row r="65" ht="15" customHeight="1">
      <c r="A65" t="inlineStr">
        <is>
          <t>A 8323-2023</t>
        </is>
      </c>
      <c r="B65" s="1" t="n">
        <v>44974</v>
      </c>
      <c r="C65" s="1" t="n">
        <v>46075</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11217-2024</t>
        </is>
      </c>
      <c r="B66" s="1" t="n">
        <v>45371</v>
      </c>
      <c r="C66" s="1" t="n">
        <v>46075</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34147-2022</t>
        </is>
      </c>
      <c r="B67" s="1" t="n">
        <v>44791</v>
      </c>
      <c r="C67" s="1" t="n">
        <v>46075</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30716-2025</t>
        </is>
      </c>
      <c r="B68" s="1" t="n">
        <v>45831.55982638889</v>
      </c>
      <c r="C68" s="1" t="n">
        <v>46075</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60038-2021</t>
        </is>
      </c>
      <c r="B69" s="1" t="n">
        <v>44495</v>
      </c>
      <c r="C69" s="1" t="n">
        <v>46075</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43280-2025</t>
        </is>
      </c>
      <c r="B70" s="1" t="n">
        <v>45910.59475694445</v>
      </c>
      <c r="C70" s="1" t="n">
        <v>46075</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46075</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46075</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18079-2022</t>
        </is>
      </c>
      <c r="B73" s="1" t="n">
        <v>44684</v>
      </c>
      <c r="C73" s="1" t="n">
        <v>46075</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17277-2023</t>
        </is>
      </c>
      <c r="B74" s="1" t="n">
        <v>45035.44672453704</v>
      </c>
      <c r="C74" s="1" t="n">
        <v>46075</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55788-2025</t>
        </is>
      </c>
      <c r="B75" s="1" t="n">
        <v>45972.64483796297</v>
      </c>
      <c r="C75" s="1" t="n">
        <v>46075</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6044-2024</t>
        </is>
      </c>
      <c r="B76" s="1" t="n">
        <v>45336</v>
      </c>
      <c r="C76" s="1" t="n">
        <v>46075</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36471-2022</t>
        </is>
      </c>
      <c r="B77" s="1" t="n">
        <v>44804</v>
      </c>
      <c r="C77" s="1" t="n">
        <v>46075</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59538-2025</t>
        </is>
      </c>
      <c r="B78" s="1" t="n">
        <v>45989.96568287037</v>
      </c>
      <c r="C78" s="1" t="n">
        <v>46075</v>
      </c>
      <c r="D78" t="inlineStr">
        <is>
          <t>UPPSALA LÄN</t>
        </is>
      </c>
      <c r="E78" t="inlineStr">
        <is>
          <t>UPPSALA</t>
        </is>
      </c>
      <c r="G78" t="n">
        <v>4.3</v>
      </c>
      <c r="H78" t="n">
        <v>1</v>
      </c>
      <c r="I78" t="n">
        <v>1</v>
      </c>
      <c r="J78" t="n">
        <v>2</v>
      </c>
      <c r="K78" t="n">
        <v>0</v>
      </c>
      <c r="L78" t="n">
        <v>0</v>
      </c>
      <c r="M78" t="n">
        <v>0</v>
      </c>
      <c r="N78" t="n">
        <v>0</v>
      </c>
      <c r="O78" t="n">
        <v>2</v>
      </c>
      <c r="P78" t="n">
        <v>0</v>
      </c>
      <c r="Q78" t="n">
        <v>3</v>
      </c>
      <c r="R78" s="2" t="inlineStr">
        <is>
          <t>Spillkråka
Ullticka
Vågbandad barkbock</t>
        </is>
      </c>
      <c r="S78">
        <f>HYPERLINK("https://klasma.github.io/Logging_0380/artfynd/A 59538-2025 artfynd.xlsx", "A 59538-2025")</f>
        <v/>
      </c>
      <c r="T78">
        <f>HYPERLINK("https://klasma.github.io/Logging_0380/kartor/A 59538-2025 karta.png", "A 59538-2025")</f>
        <v/>
      </c>
      <c r="U78">
        <f>HYPERLINK("https://klasma.github.io/Logging_0380/knärot/A 59538-2025 karta knärot.png", "A 59538-2025")</f>
        <v/>
      </c>
      <c r="V78">
        <f>HYPERLINK("https://klasma.github.io/Logging_0380/klagomål/A 59538-2025 FSC-klagomål.docx", "A 59538-2025")</f>
        <v/>
      </c>
      <c r="W78">
        <f>HYPERLINK("https://klasma.github.io/Logging_0380/klagomålsmail/A 59538-2025 FSC-klagomål mail.docx", "A 59538-2025")</f>
        <v/>
      </c>
      <c r="X78">
        <f>HYPERLINK("https://klasma.github.io/Logging_0380/tillsyn/A 59538-2025 tillsynsbegäran.docx", "A 59538-2025")</f>
        <v/>
      </c>
      <c r="Y78">
        <f>HYPERLINK("https://klasma.github.io/Logging_0380/tillsynsmail/A 59538-2025 tillsynsbegäran mail.docx", "A 59538-2025")</f>
        <v/>
      </c>
      <c r="Z78">
        <f>HYPERLINK("https://klasma.github.io/Logging_0380/fåglar/A 59538-2025 prioriterade fågelarter.docx", "A 59538-2025")</f>
        <v/>
      </c>
    </row>
    <row r="79" ht="15" customHeight="1">
      <c r="A79" t="inlineStr">
        <is>
          <t>A 25943-2023</t>
        </is>
      </c>
      <c r="B79" s="1" t="n">
        <v>45090</v>
      </c>
      <c r="C79" s="1" t="n">
        <v>46075</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6998-2023</t>
        </is>
      </c>
      <c r="B80" s="1" t="n">
        <v>44967</v>
      </c>
      <c r="C80" s="1" t="n">
        <v>46075</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18425-2025</t>
        </is>
      </c>
      <c r="B81" s="1" t="n">
        <v>45762.62260416667</v>
      </c>
      <c r="C81" s="1" t="n">
        <v>46075</v>
      </c>
      <c r="D81" t="inlineStr">
        <is>
          <t>UPPSALA LÄN</t>
        </is>
      </c>
      <c r="E81" t="inlineStr">
        <is>
          <t>UPPSALA</t>
        </is>
      </c>
      <c r="G81" t="n">
        <v>9.800000000000001</v>
      </c>
      <c r="H81" t="n">
        <v>1</v>
      </c>
      <c r="I81" t="n">
        <v>0</v>
      </c>
      <c r="J81" t="n">
        <v>2</v>
      </c>
      <c r="K81" t="n">
        <v>0</v>
      </c>
      <c r="L81" t="n">
        <v>0</v>
      </c>
      <c r="M81" t="n">
        <v>0</v>
      </c>
      <c r="N81" t="n">
        <v>0</v>
      </c>
      <c r="O81" t="n">
        <v>2</v>
      </c>
      <c r="P81" t="n">
        <v>0</v>
      </c>
      <c r="Q81" t="n">
        <v>2</v>
      </c>
      <c r="R81" s="2" t="inlineStr">
        <is>
          <t>Spillkråka
Tallticka</t>
        </is>
      </c>
      <c r="S81">
        <f>HYPERLINK("https://klasma.github.io/Logging_0380/artfynd/A 18425-2025 artfynd.xlsx", "A 18425-2025")</f>
        <v/>
      </c>
      <c r="T81">
        <f>HYPERLINK("https://klasma.github.io/Logging_0380/kartor/A 18425-2025 karta.png", "A 18425-2025")</f>
        <v/>
      </c>
      <c r="V81">
        <f>HYPERLINK("https://klasma.github.io/Logging_0380/klagomål/A 18425-2025 FSC-klagomål.docx", "A 18425-2025")</f>
        <v/>
      </c>
      <c r="W81">
        <f>HYPERLINK("https://klasma.github.io/Logging_0380/klagomålsmail/A 18425-2025 FSC-klagomål mail.docx", "A 18425-2025")</f>
        <v/>
      </c>
      <c r="X81">
        <f>HYPERLINK("https://klasma.github.io/Logging_0380/tillsyn/A 18425-2025 tillsynsbegäran.docx", "A 18425-2025")</f>
        <v/>
      </c>
      <c r="Y81">
        <f>HYPERLINK("https://klasma.github.io/Logging_0380/tillsynsmail/A 18425-2025 tillsynsbegäran mail.docx", "A 18425-2025")</f>
        <v/>
      </c>
      <c r="Z81">
        <f>HYPERLINK("https://klasma.github.io/Logging_0380/fåglar/A 18425-2025 prioriterade fågelarter.docx", "A 18425-2025")</f>
        <v/>
      </c>
    </row>
    <row r="82" ht="15" customHeight="1">
      <c r="A82" t="inlineStr">
        <is>
          <t>A 9401-2025</t>
        </is>
      </c>
      <c r="B82" s="1" t="n">
        <v>45715.38105324074</v>
      </c>
      <c r="C82" s="1" t="n">
        <v>46075</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5755-2025</t>
        </is>
      </c>
      <c r="B83" s="1" t="n">
        <v>45694.55559027778</v>
      </c>
      <c r="C83" s="1" t="n">
        <v>46075</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41921-2025</t>
        </is>
      </c>
      <c r="B84" s="1" t="n">
        <v>45903</v>
      </c>
      <c r="C84" s="1" t="n">
        <v>46075</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46075</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46075</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46075</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46075</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46075</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46075</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46075</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63026-2025</t>
        </is>
      </c>
      <c r="B92" s="1" t="n">
        <v>46009.59555555556</v>
      </c>
      <c r="C92" s="1" t="n">
        <v>46075</v>
      </c>
      <c r="D92" t="inlineStr">
        <is>
          <t>UPPSALA LÄN</t>
        </is>
      </c>
      <c r="E92" t="inlineStr">
        <is>
          <t>UPPSALA</t>
        </is>
      </c>
      <c r="G92" t="n">
        <v>1.1</v>
      </c>
      <c r="H92" t="n">
        <v>1</v>
      </c>
      <c r="I92" t="n">
        <v>1</v>
      </c>
      <c r="J92" t="n">
        <v>1</v>
      </c>
      <c r="K92" t="n">
        <v>0</v>
      </c>
      <c r="L92" t="n">
        <v>0</v>
      </c>
      <c r="M92" t="n">
        <v>0</v>
      </c>
      <c r="N92" t="n">
        <v>0</v>
      </c>
      <c r="O92" t="n">
        <v>1</v>
      </c>
      <c r="P92" t="n">
        <v>0</v>
      </c>
      <c r="Q92" t="n">
        <v>2</v>
      </c>
      <c r="R92" s="2" t="inlineStr">
        <is>
          <t>Spillkråka
Jättesvampmal</t>
        </is>
      </c>
      <c r="S92">
        <f>HYPERLINK("https://klasma.github.io/Logging_0380/artfynd/A 63026-2025 artfynd.xlsx", "A 63026-2025")</f>
        <v/>
      </c>
      <c r="T92">
        <f>HYPERLINK("https://klasma.github.io/Logging_0380/kartor/A 63026-2025 karta.png", "A 63026-2025")</f>
        <v/>
      </c>
      <c r="V92">
        <f>HYPERLINK("https://klasma.github.io/Logging_0380/klagomål/A 63026-2025 FSC-klagomål.docx", "A 63026-2025")</f>
        <v/>
      </c>
      <c r="W92">
        <f>HYPERLINK("https://klasma.github.io/Logging_0380/klagomålsmail/A 63026-2025 FSC-klagomål mail.docx", "A 63026-2025")</f>
        <v/>
      </c>
      <c r="X92">
        <f>HYPERLINK("https://klasma.github.io/Logging_0380/tillsyn/A 63026-2025 tillsynsbegäran.docx", "A 63026-2025")</f>
        <v/>
      </c>
      <c r="Y92">
        <f>HYPERLINK("https://klasma.github.io/Logging_0380/tillsynsmail/A 63026-2025 tillsynsbegäran mail.docx", "A 63026-2025")</f>
        <v/>
      </c>
      <c r="Z92">
        <f>HYPERLINK("https://klasma.github.io/Logging_0380/fåglar/A 63026-2025 prioriterade fågelarter.docx", "A 63026-2025")</f>
        <v/>
      </c>
    </row>
    <row r="93" ht="15" customHeight="1">
      <c r="A93" t="inlineStr">
        <is>
          <t>A 39933-2023</t>
        </is>
      </c>
      <c r="B93" s="1" t="n">
        <v>45168.50667824074</v>
      </c>
      <c r="C93" s="1" t="n">
        <v>46075</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58546-2025</t>
        </is>
      </c>
      <c r="B94" s="1" t="n">
        <v>45985</v>
      </c>
      <c r="C94" s="1" t="n">
        <v>46075</v>
      </c>
      <c r="D94" t="inlineStr">
        <is>
          <t>UPPSALA LÄN</t>
        </is>
      </c>
      <c r="E94" t="inlineStr">
        <is>
          <t>UPPSALA</t>
        </is>
      </c>
      <c r="G94" t="n">
        <v>0.6</v>
      </c>
      <c r="H94" t="n">
        <v>1</v>
      </c>
      <c r="I94" t="n">
        <v>0</v>
      </c>
      <c r="J94" t="n">
        <v>1</v>
      </c>
      <c r="K94" t="n">
        <v>0</v>
      </c>
      <c r="L94" t="n">
        <v>0</v>
      </c>
      <c r="M94" t="n">
        <v>0</v>
      </c>
      <c r="N94" t="n">
        <v>0</v>
      </c>
      <c r="O94" t="n">
        <v>1</v>
      </c>
      <c r="P94" t="n">
        <v>0</v>
      </c>
      <c r="Q94" t="n">
        <v>2</v>
      </c>
      <c r="R94" s="2" t="inlineStr">
        <is>
          <t>Vedtrappmossa
Revlummer</t>
        </is>
      </c>
      <c r="S94">
        <f>HYPERLINK("https://klasma.github.io/Logging_0380/artfynd/A 58546-2025 artfynd.xlsx", "A 58546-2025")</f>
        <v/>
      </c>
      <c r="T94">
        <f>HYPERLINK("https://klasma.github.io/Logging_0380/kartor/A 58546-2025 karta.png", "A 58546-2025")</f>
        <v/>
      </c>
      <c r="U94">
        <f>HYPERLINK("https://klasma.github.io/Logging_0380/knärot/A 58546-2025 karta knärot.png", "A 58546-2025")</f>
        <v/>
      </c>
      <c r="V94">
        <f>HYPERLINK("https://klasma.github.io/Logging_0380/klagomål/A 58546-2025 FSC-klagomål.docx", "A 58546-2025")</f>
        <v/>
      </c>
      <c r="W94">
        <f>HYPERLINK("https://klasma.github.io/Logging_0380/klagomålsmail/A 58546-2025 FSC-klagomål mail.docx", "A 58546-2025")</f>
        <v/>
      </c>
      <c r="X94">
        <f>HYPERLINK("https://klasma.github.io/Logging_0380/tillsyn/A 58546-2025 tillsynsbegäran.docx", "A 58546-2025")</f>
        <v/>
      </c>
      <c r="Y94">
        <f>HYPERLINK("https://klasma.github.io/Logging_0380/tillsynsmail/A 58546-2025 tillsynsbegäran mail.docx", "A 58546-2025")</f>
        <v/>
      </c>
    </row>
    <row r="95" ht="15" customHeight="1">
      <c r="A95" t="inlineStr">
        <is>
          <t>A 88-2024</t>
        </is>
      </c>
      <c r="B95" s="1" t="n">
        <v>45293</v>
      </c>
      <c r="C95" s="1" t="n">
        <v>46075</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25660-2025</t>
        </is>
      </c>
      <c r="B96" s="1" t="n">
        <v>45803.61554398148</v>
      </c>
      <c r="C96" s="1" t="n">
        <v>46075</v>
      </c>
      <c r="D96" t="inlineStr">
        <is>
          <t>UPPSALA LÄN</t>
        </is>
      </c>
      <c r="E96" t="inlineStr">
        <is>
          <t>UPPSALA</t>
        </is>
      </c>
      <c r="F96" t="inlineStr">
        <is>
          <t>Holmen skog AB</t>
        </is>
      </c>
      <c r="G96" t="n">
        <v>4.8</v>
      </c>
      <c r="H96" t="n">
        <v>0</v>
      </c>
      <c r="I96" t="n">
        <v>2</v>
      </c>
      <c r="J96" t="n">
        <v>0</v>
      </c>
      <c r="K96" t="n">
        <v>0</v>
      </c>
      <c r="L96" t="n">
        <v>0</v>
      </c>
      <c r="M96" t="n">
        <v>0</v>
      </c>
      <c r="N96" t="n">
        <v>0</v>
      </c>
      <c r="O96" t="n">
        <v>0</v>
      </c>
      <c r="P96" t="n">
        <v>0</v>
      </c>
      <c r="Q96" t="n">
        <v>2</v>
      </c>
      <c r="R96" s="2" t="inlineStr">
        <is>
          <t>Mindre märgborre
Skogshakmossa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8865-2022</t>
        </is>
      </c>
      <c r="B97" s="1" t="n">
        <v>44614</v>
      </c>
      <c r="C97" s="1" t="n">
        <v>46075</v>
      </c>
      <c r="D97" t="inlineStr">
        <is>
          <t>UPPSALA LÄN</t>
        </is>
      </c>
      <c r="E97" t="inlineStr">
        <is>
          <t>UPPSALA</t>
        </is>
      </c>
      <c r="G97" t="n">
        <v>1.1</v>
      </c>
      <c r="H97" t="n">
        <v>0</v>
      </c>
      <c r="I97" t="n">
        <v>1</v>
      </c>
      <c r="J97" t="n">
        <v>0</v>
      </c>
      <c r="K97" t="n">
        <v>0</v>
      </c>
      <c r="L97" t="n">
        <v>0</v>
      </c>
      <c r="M97" t="n">
        <v>0</v>
      </c>
      <c r="N97" t="n">
        <v>0</v>
      </c>
      <c r="O97" t="n">
        <v>0</v>
      </c>
      <c r="P97" t="n">
        <v>0</v>
      </c>
      <c r="Q97" t="n">
        <v>1</v>
      </c>
      <c r="R97" s="2" t="inlineStr">
        <is>
          <t>Narrtagging</t>
        </is>
      </c>
      <c r="S97">
        <f>HYPERLINK("https://klasma.github.io/Logging_0380/artfynd/A 8865-2022 artfynd.xlsx", "A 8865-2022")</f>
        <v/>
      </c>
      <c r="T97">
        <f>HYPERLINK("https://klasma.github.io/Logging_0380/kartor/A 8865-2022 karta.png", "A 8865-2022")</f>
        <v/>
      </c>
      <c r="V97">
        <f>HYPERLINK("https://klasma.github.io/Logging_0380/klagomål/A 8865-2022 FSC-klagomål.docx", "A 8865-2022")</f>
        <v/>
      </c>
      <c r="W97">
        <f>HYPERLINK("https://klasma.github.io/Logging_0380/klagomålsmail/A 8865-2022 FSC-klagomål mail.docx", "A 8865-2022")</f>
        <v/>
      </c>
      <c r="X97">
        <f>HYPERLINK("https://klasma.github.io/Logging_0380/tillsyn/A 8865-2022 tillsynsbegäran.docx", "A 8865-2022")</f>
        <v/>
      </c>
      <c r="Y97">
        <f>HYPERLINK("https://klasma.github.io/Logging_0380/tillsynsmail/A 8865-2022 tillsynsbegäran mail.docx", "A 8865-2022")</f>
        <v/>
      </c>
    </row>
    <row r="98" ht="15" customHeight="1">
      <c r="A98" t="inlineStr">
        <is>
          <t>A 34020-2021</t>
        </is>
      </c>
      <c r="B98" s="1" t="n">
        <v>44379</v>
      </c>
      <c r="C98" s="1" t="n">
        <v>46075</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46075</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58050-2021</t>
        </is>
      </c>
      <c r="B100" s="1" t="n">
        <v>44487</v>
      </c>
      <c r="C100" s="1" t="n">
        <v>46075</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9206-2024</t>
        </is>
      </c>
      <c r="B101" s="1" t="n">
        <v>45358</v>
      </c>
      <c r="C101" s="1" t="n">
        <v>46075</v>
      </c>
      <c r="D101" t="inlineStr">
        <is>
          <t>UPPSALA LÄN</t>
        </is>
      </c>
      <c r="E101" t="inlineStr">
        <is>
          <t>UPPSALA</t>
        </is>
      </c>
      <c r="F101" t="inlineStr">
        <is>
          <t>Allmännings- och besparingsskogar</t>
        </is>
      </c>
      <c r="G101" t="n">
        <v>22.2</v>
      </c>
      <c r="H101" t="n">
        <v>1</v>
      </c>
      <c r="I101" t="n">
        <v>0</v>
      </c>
      <c r="J101" t="n">
        <v>0</v>
      </c>
      <c r="K101" t="n">
        <v>1</v>
      </c>
      <c r="L101" t="n">
        <v>0</v>
      </c>
      <c r="M101" t="n">
        <v>0</v>
      </c>
      <c r="N101" t="n">
        <v>0</v>
      </c>
      <c r="O101" t="n">
        <v>1</v>
      </c>
      <c r="P101" t="n">
        <v>1</v>
      </c>
      <c r="Q101" t="n">
        <v>1</v>
      </c>
      <c r="R101" s="2" t="inlineStr">
        <is>
          <t>Knärot</t>
        </is>
      </c>
      <c r="S101">
        <f>HYPERLINK("https://klasma.github.io/Logging_0380/artfynd/A 9206-2024 artfynd.xlsx", "A 9206-2024")</f>
        <v/>
      </c>
      <c r="T101">
        <f>HYPERLINK("https://klasma.github.io/Logging_0380/kartor/A 9206-2024 karta.png", "A 9206-2024")</f>
        <v/>
      </c>
      <c r="U101">
        <f>HYPERLINK("https://klasma.github.io/Logging_0380/knärot/A 9206-2024 karta knärot.png", "A 9206-2024")</f>
        <v/>
      </c>
      <c r="V101">
        <f>HYPERLINK("https://klasma.github.io/Logging_0380/klagomål/A 9206-2024 FSC-klagomål.docx", "A 9206-2024")</f>
        <v/>
      </c>
      <c r="W101">
        <f>HYPERLINK("https://klasma.github.io/Logging_0380/klagomålsmail/A 9206-2024 FSC-klagomål mail.docx", "A 9206-2024")</f>
        <v/>
      </c>
      <c r="X101">
        <f>HYPERLINK("https://klasma.github.io/Logging_0380/tillsyn/A 9206-2024 tillsynsbegäran.docx", "A 9206-2024")</f>
        <v/>
      </c>
      <c r="Y101">
        <f>HYPERLINK("https://klasma.github.io/Logging_0380/tillsynsmail/A 9206-2024 tillsynsbegäran mail.docx", "A 9206-2024")</f>
        <v/>
      </c>
    </row>
    <row r="102" ht="15" customHeight="1">
      <c r="A102" t="inlineStr">
        <is>
          <t>A 29906-2023</t>
        </is>
      </c>
      <c r="B102" s="1" t="n">
        <v>45107</v>
      </c>
      <c r="C102" s="1" t="n">
        <v>46075</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844-2025</t>
        </is>
      </c>
      <c r="B103" s="1" t="n">
        <v>45665</v>
      </c>
      <c r="C103" s="1" t="n">
        <v>46075</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5732-2025</t>
        </is>
      </c>
      <c r="B104" s="1" t="n">
        <v>45694.49650462963</v>
      </c>
      <c r="C104" s="1" t="n">
        <v>46075</v>
      </c>
      <c r="D104" t="inlineStr">
        <is>
          <t>UPPSALA LÄN</t>
        </is>
      </c>
      <c r="E104" t="inlineStr">
        <is>
          <t>UPPSALA</t>
        </is>
      </c>
      <c r="G104" t="n">
        <v>1.9</v>
      </c>
      <c r="H104" t="n">
        <v>0</v>
      </c>
      <c r="I104" t="n">
        <v>1</v>
      </c>
      <c r="J104" t="n">
        <v>0</v>
      </c>
      <c r="K104" t="n">
        <v>0</v>
      </c>
      <c r="L104" t="n">
        <v>0</v>
      </c>
      <c r="M104" t="n">
        <v>0</v>
      </c>
      <c r="N104" t="n">
        <v>0</v>
      </c>
      <c r="O104" t="n">
        <v>0</v>
      </c>
      <c r="P104" t="n">
        <v>0</v>
      </c>
      <c r="Q104" t="n">
        <v>1</v>
      </c>
      <c r="R104" s="2" t="inlineStr">
        <is>
          <t>Fällmossa</t>
        </is>
      </c>
      <c r="S104">
        <f>HYPERLINK("https://klasma.github.io/Logging_0380/artfynd/A 5732-2025 artfynd.xlsx", "A 5732-2025")</f>
        <v/>
      </c>
      <c r="T104">
        <f>HYPERLINK("https://klasma.github.io/Logging_0380/kartor/A 5732-2025 karta.png", "A 5732-2025")</f>
        <v/>
      </c>
      <c r="V104">
        <f>HYPERLINK("https://klasma.github.io/Logging_0380/klagomål/A 5732-2025 FSC-klagomål.docx", "A 5732-2025")</f>
        <v/>
      </c>
      <c r="W104">
        <f>HYPERLINK("https://klasma.github.io/Logging_0380/klagomålsmail/A 5732-2025 FSC-klagomål mail.docx", "A 5732-2025")</f>
        <v/>
      </c>
      <c r="X104">
        <f>HYPERLINK("https://klasma.github.io/Logging_0380/tillsyn/A 5732-2025 tillsynsbegäran.docx", "A 5732-2025")</f>
        <v/>
      </c>
      <c r="Y104">
        <f>HYPERLINK("https://klasma.github.io/Logging_0380/tillsynsmail/A 5732-2025 tillsynsbegäran mail.docx", "A 5732-2025")</f>
        <v/>
      </c>
    </row>
    <row r="105" ht="15" customHeight="1">
      <c r="A105" t="inlineStr">
        <is>
          <t>A 27824-2025</t>
        </is>
      </c>
      <c r="B105" s="1" t="n">
        <v>45817.34614583333</v>
      </c>
      <c r="C105" s="1" t="n">
        <v>46075</v>
      </c>
      <c r="D105" t="inlineStr">
        <is>
          <t>UPPSALA LÄN</t>
        </is>
      </c>
      <c r="E105" t="inlineStr">
        <is>
          <t>UPPSALA</t>
        </is>
      </c>
      <c r="F105" t="inlineStr">
        <is>
          <t>Kyrkan</t>
        </is>
      </c>
      <c r="G105" t="n">
        <v>3.3</v>
      </c>
      <c r="H105" t="n">
        <v>0</v>
      </c>
      <c r="I105" t="n">
        <v>1</v>
      </c>
      <c r="J105" t="n">
        <v>0</v>
      </c>
      <c r="K105" t="n">
        <v>0</v>
      </c>
      <c r="L105" t="n">
        <v>0</v>
      </c>
      <c r="M105" t="n">
        <v>0</v>
      </c>
      <c r="N105" t="n">
        <v>0</v>
      </c>
      <c r="O105" t="n">
        <v>0</v>
      </c>
      <c r="P105" t="n">
        <v>0</v>
      </c>
      <c r="Q105" t="n">
        <v>1</v>
      </c>
      <c r="R105" s="2" t="inlineStr">
        <is>
          <t>Sårläka</t>
        </is>
      </c>
      <c r="S105">
        <f>HYPERLINK("https://klasma.github.io/Logging_0380/artfynd/A 27824-2025 artfynd.xlsx", "A 27824-2025")</f>
        <v/>
      </c>
      <c r="T105">
        <f>HYPERLINK("https://klasma.github.io/Logging_0380/kartor/A 27824-2025 karta.png", "A 27824-2025")</f>
        <v/>
      </c>
      <c r="V105">
        <f>HYPERLINK("https://klasma.github.io/Logging_0380/klagomål/A 27824-2025 FSC-klagomål.docx", "A 27824-2025")</f>
        <v/>
      </c>
      <c r="W105">
        <f>HYPERLINK("https://klasma.github.io/Logging_0380/klagomålsmail/A 27824-2025 FSC-klagomål mail.docx", "A 27824-2025")</f>
        <v/>
      </c>
      <c r="X105">
        <f>HYPERLINK("https://klasma.github.io/Logging_0380/tillsyn/A 27824-2025 tillsynsbegäran.docx", "A 27824-2025")</f>
        <v/>
      </c>
      <c r="Y105">
        <f>HYPERLINK("https://klasma.github.io/Logging_0380/tillsynsmail/A 27824-2025 tillsynsbegäran mail.docx", "A 27824-2025")</f>
        <v/>
      </c>
    </row>
    <row r="106" ht="15" customHeight="1">
      <c r="A106" t="inlineStr">
        <is>
          <t>A 28299-2025</t>
        </is>
      </c>
      <c r="B106" s="1" t="n">
        <v>45818.60254629629</v>
      </c>
      <c r="C106" s="1" t="n">
        <v>46075</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13526-2025</t>
        </is>
      </c>
      <c r="B107" s="1" t="n">
        <v>45736.49902777778</v>
      </c>
      <c r="C107" s="1" t="n">
        <v>46075</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46075</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61818-2022</t>
        </is>
      </c>
      <c r="B109" s="1" t="n">
        <v>44917</v>
      </c>
      <c r="C109" s="1" t="n">
        <v>46075</v>
      </c>
      <c r="D109" t="inlineStr">
        <is>
          <t>UPPSALA LÄN</t>
        </is>
      </c>
      <c r="E109" t="inlineStr">
        <is>
          <t>UPPSALA</t>
        </is>
      </c>
      <c r="F109" t="inlineStr">
        <is>
          <t>Holmen skog AB</t>
        </is>
      </c>
      <c r="G109" t="n">
        <v>0.8</v>
      </c>
      <c r="H109" t="n">
        <v>0</v>
      </c>
      <c r="I109" t="n">
        <v>0</v>
      </c>
      <c r="J109" t="n">
        <v>1</v>
      </c>
      <c r="K109" t="n">
        <v>0</v>
      </c>
      <c r="L109" t="n">
        <v>0</v>
      </c>
      <c r="M109" t="n">
        <v>0</v>
      </c>
      <c r="N109" t="n">
        <v>0</v>
      </c>
      <c r="O109" t="n">
        <v>1</v>
      </c>
      <c r="P109" t="n">
        <v>0</v>
      </c>
      <c r="Q109" t="n">
        <v>1</v>
      </c>
      <c r="R109" s="2" t="inlineStr">
        <is>
          <t>Blekticka</t>
        </is>
      </c>
      <c r="S109">
        <f>HYPERLINK("https://klasma.github.io/Logging_0380/artfynd/A 61818-2022 artfynd.xlsx", "A 61818-2022")</f>
        <v/>
      </c>
      <c r="T109">
        <f>HYPERLINK("https://klasma.github.io/Logging_0380/kartor/A 61818-2022 karta.png", "A 61818-2022")</f>
        <v/>
      </c>
      <c r="V109">
        <f>HYPERLINK("https://klasma.github.io/Logging_0380/klagomål/A 61818-2022 FSC-klagomål.docx", "A 61818-2022")</f>
        <v/>
      </c>
      <c r="W109">
        <f>HYPERLINK("https://klasma.github.io/Logging_0380/klagomålsmail/A 61818-2022 FSC-klagomål mail.docx", "A 61818-2022")</f>
        <v/>
      </c>
      <c r="X109">
        <f>HYPERLINK("https://klasma.github.io/Logging_0380/tillsyn/A 61818-2022 tillsynsbegäran.docx", "A 61818-2022")</f>
        <v/>
      </c>
      <c r="Y109">
        <f>HYPERLINK("https://klasma.github.io/Logging_0380/tillsynsmail/A 61818-2022 tillsynsbegäran mail.docx", "A 61818-2022")</f>
        <v/>
      </c>
    </row>
    <row r="110" ht="15" customHeight="1">
      <c r="A110" t="inlineStr">
        <is>
          <t>A 49015-2022</t>
        </is>
      </c>
      <c r="B110" s="1" t="n">
        <v>44855</v>
      </c>
      <c r="C110" s="1" t="n">
        <v>46075</v>
      </c>
      <c r="D110" t="inlineStr">
        <is>
          <t>UPPSALA LÄN</t>
        </is>
      </c>
      <c r="E110" t="inlineStr">
        <is>
          <t>UPPSALA</t>
        </is>
      </c>
      <c r="F110" t="inlineStr">
        <is>
          <t>Kommuner</t>
        </is>
      </c>
      <c r="G110" t="n">
        <v>4.5</v>
      </c>
      <c r="H110" t="n">
        <v>0</v>
      </c>
      <c r="I110" t="n">
        <v>0</v>
      </c>
      <c r="J110" t="n">
        <v>1</v>
      </c>
      <c r="K110" t="n">
        <v>0</v>
      </c>
      <c r="L110" t="n">
        <v>0</v>
      </c>
      <c r="M110" t="n">
        <v>0</v>
      </c>
      <c r="N110" t="n">
        <v>0</v>
      </c>
      <c r="O110" t="n">
        <v>1</v>
      </c>
      <c r="P110" t="n">
        <v>0</v>
      </c>
      <c r="Q110" t="n">
        <v>1</v>
      </c>
      <c r="R110" s="2" t="inlineStr">
        <is>
          <t>Harticka</t>
        </is>
      </c>
      <c r="S110">
        <f>HYPERLINK("https://klasma.github.io/Logging_0380/artfynd/A 49015-2022 artfynd.xlsx", "A 49015-2022")</f>
        <v/>
      </c>
      <c r="T110">
        <f>HYPERLINK("https://klasma.github.io/Logging_0380/kartor/A 49015-2022 karta.png", "A 49015-2022")</f>
        <v/>
      </c>
      <c r="V110">
        <f>HYPERLINK("https://klasma.github.io/Logging_0380/klagomål/A 49015-2022 FSC-klagomål.docx", "A 49015-2022")</f>
        <v/>
      </c>
      <c r="W110">
        <f>HYPERLINK("https://klasma.github.io/Logging_0380/klagomålsmail/A 49015-2022 FSC-klagomål mail.docx", "A 49015-2022")</f>
        <v/>
      </c>
      <c r="X110">
        <f>HYPERLINK("https://klasma.github.io/Logging_0380/tillsyn/A 49015-2022 tillsynsbegäran.docx", "A 49015-2022")</f>
        <v/>
      </c>
      <c r="Y110">
        <f>HYPERLINK("https://klasma.github.io/Logging_0380/tillsynsmail/A 49015-2022 tillsynsbegäran mail.docx", "A 49015-2022")</f>
        <v/>
      </c>
    </row>
    <row r="111" ht="15" customHeight="1">
      <c r="A111" t="inlineStr">
        <is>
          <t>A 40568-2025</t>
        </is>
      </c>
      <c r="B111" s="1" t="n">
        <v>45896.47487268518</v>
      </c>
      <c r="C111" s="1" t="n">
        <v>46075</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41606-2025</t>
        </is>
      </c>
      <c r="B112" s="1" t="n">
        <v>45901.66702546296</v>
      </c>
      <c r="C112" s="1" t="n">
        <v>46075</v>
      </c>
      <c r="D112" t="inlineStr">
        <is>
          <t>UPPSALA LÄN</t>
        </is>
      </c>
      <c r="E112" t="inlineStr">
        <is>
          <t>UPPSALA</t>
        </is>
      </c>
      <c r="G112" t="n">
        <v>5.1</v>
      </c>
      <c r="H112" t="n">
        <v>0</v>
      </c>
      <c r="I112" t="n">
        <v>1</v>
      </c>
      <c r="J112" t="n">
        <v>0</v>
      </c>
      <c r="K112" t="n">
        <v>0</v>
      </c>
      <c r="L112" t="n">
        <v>0</v>
      </c>
      <c r="M112" t="n">
        <v>0</v>
      </c>
      <c r="N112" t="n">
        <v>0</v>
      </c>
      <c r="O112" t="n">
        <v>0</v>
      </c>
      <c r="P112" t="n">
        <v>0</v>
      </c>
      <c r="Q112" t="n">
        <v>1</v>
      </c>
      <c r="R112" s="2" t="inlineStr">
        <is>
          <t>Granbräken</t>
        </is>
      </c>
      <c r="S112">
        <f>HYPERLINK("https://klasma.github.io/Logging_0380/artfynd/A 41606-2025 artfynd.xlsx", "A 41606-2025")</f>
        <v/>
      </c>
      <c r="T112">
        <f>HYPERLINK("https://klasma.github.io/Logging_0380/kartor/A 41606-2025 karta.png", "A 41606-2025")</f>
        <v/>
      </c>
      <c r="V112">
        <f>HYPERLINK("https://klasma.github.io/Logging_0380/klagomål/A 41606-2025 FSC-klagomål.docx", "A 41606-2025")</f>
        <v/>
      </c>
      <c r="W112">
        <f>HYPERLINK("https://klasma.github.io/Logging_0380/klagomålsmail/A 41606-2025 FSC-klagomål mail.docx", "A 41606-2025")</f>
        <v/>
      </c>
      <c r="X112">
        <f>HYPERLINK("https://klasma.github.io/Logging_0380/tillsyn/A 41606-2025 tillsynsbegäran.docx", "A 41606-2025")</f>
        <v/>
      </c>
      <c r="Y112">
        <f>HYPERLINK("https://klasma.github.io/Logging_0380/tillsynsmail/A 41606-2025 tillsynsbegäran mail.docx", "A 41606-2025")</f>
        <v/>
      </c>
    </row>
    <row r="113" ht="15" customHeight="1">
      <c r="A113" t="inlineStr">
        <is>
          <t>A 5009-2023</t>
        </is>
      </c>
      <c r="B113" s="1" t="n">
        <v>44958</v>
      </c>
      <c r="C113" s="1" t="n">
        <v>46075</v>
      </c>
      <c r="D113" t="inlineStr">
        <is>
          <t>UPPSALA LÄN</t>
        </is>
      </c>
      <c r="E113" t="inlineStr">
        <is>
          <t>UPPSALA</t>
        </is>
      </c>
      <c r="G113" t="n">
        <v>4.7</v>
      </c>
      <c r="H113" t="n">
        <v>1</v>
      </c>
      <c r="I113" t="n">
        <v>0</v>
      </c>
      <c r="J113" t="n">
        <v>0</v>
      </c>
      <c r="K113" t="n">
        <v>0</v>
      </c>
      <c r="L113" t="n">
        <v>0</v>
      </c>
      <c r="M113" t="n">
        <v>0</v>
      </c>
      <c r="N113" t="n">
        <v>0</v>
      </c>
      <c r="O113" t="n">
        <v>0</v>
      </c>
      <c r="P113" t="n">
        <v>0</v>
      </c>
      <c r="Q113" t="n">
        <v>1</v>
      </c>
      <c r="R113" s="2" t="inlineStr">
        <is>
          <t>Blåsippa</t>
        </is>
      </c>
      <c r="S113">
        <f>HYPERLINK("https://klasma.github.io/Logging_0380/artfynd/A 5009-2023 artfynd.xlsx", "A 5009-2023")</f>
        <v/>
      </c>
      <c r="T113">
        <f>HYPERLINK("https://klasma.github.io/Logging_0380/kartor/A 5009-2023 karta.png", "A 5009-2023")</f>
        <v/>
      </c>
      <c r="V113">
        <f>HYPERLINK("https://klasma.github.io/Logging_0380/klagomål/A 5009-2023 FSC-klagomål.docx", "A 5009-2023")</f>
        <v/>
      </c>
      <c r="W113">
        <f>HYPERLINK("https://klasma.github.io/Logging_0380/klagomålsmail/A 5009-2023 FSC-klagomål mail.docx", "A 5009-2023")</f>
        <v/>
      </c>
      <c r="X113">
        <f>HYPERLINK("https://klasma.github.io/Logging_0380/tillsyn/A 5009-2023 tillsynsbegäran.docx", "A 5009-2023")</f>
        <v/>
      </c>
      <c r="Y113">
        <f>HYPERLINK("https://klasma.github.io/Logging_0380/tillsynsmail/A 5009-2023 tillsynsbegäran mail.docx", "A 5009-2023")</f>
        <v/>
      </c>
    </row>
    <row r="114" ht="15" customHeight="1">
      <c r="A114" t="inlineStr">
        <is>
          <t>A 25729-2024</t>
        </is>
      </c>
      <c r="B114" s="1" t="n">
        <v>45464</v>
      </c>
      <c r="C114" s="1" t="n">
        <v>46075</v>
      </c>
      <c r="D114" t="inlineStr">
        <is>
          <t>UPPSALA LÄN</t>
        </is>
      </c>
      <c r="E114" t="inlineStr">
        <is>
          <t>UPPSALA</t>
        </is>
      </c>
      <c r="G114" t="n">
        <v>22.3</v>
      </c>
      <c r="H114" t="n">
        <v>0</v>
      </c>
      <c r="I114" t="n">
        <v>0</v>
      </c>
      <c r="J114" t="n">
        <v>1</v>
      </c>
      <c r="K114" t="n">
        <v>0</v>
      </c>
      <c r="L114" t="n">
        <v>0</v>
      </c>
      <c r="M114" t="n">
        <v>0</v>
      </c>
      <c r="N114" t="n">
        <v>0</v>
      </c>
      <c r="O114" t="n">
        <v>1</v>
      </c>
      <c r="P114" t="n">
        <v>0</v>
      </c>
      <c r="Q114" t="n">
        <v>1</v>
      </c>
      <c r="R114" s="2" t="inlineStr">
        <is>
          <t>Ullticka</t>
        </is>
      </c>
      <c r="S114">
        <f>HYPERLINK("https://klasma.github.io/Logging_0380/artfynd/A 25729-2024 artfynd.xlsx", "A 25729-2024")</f>
        <v/>
      </c>
      <c r="T114">
        <f>HYPERLINK("https://klasma.github.io/Logging_0380/kartor/A 25729-2024 karta.png", "A 25729-2024")</f>
        <v/>
      </c>
      <c r="V114">
        <f>HYPERLINK("https://klasma.github.io/Logging_0380/klagomål/A 25729-2024 FSC-klagomål.docx", "A 25729-2024")</f>
        <v/>
      </c>
      <c r="W114">
        <f>HYPERLINK("https://klasma.github.io/Logging_0380/klagomålsmail/A 25729-2024 FSC-klagomål mail.docx", "A 25729-2024")</f>
        <v/>
      </c>
      <c r="X114">
        <f>HYPERLINK("https://klasma.github.io/Logging_0380/tillsyn/A 25729-2024 tillsynsbegäran.docx", "A 25729-2024")</f>
        <v/>
      </c>
      <c r="Y114">
        <f>HYPERLINK("https://klasma.github.io/Logging_0380/tillsynsmail/A 25729-2024 tillsynsbegäran mail.docx", "A 25729-2024")</f>
        <v/>
      </c>
    </row>
    <row r="115" ht="15" customHeight="1">
      <c r="A115" t="inlineStr">
        <is>
          <t>A 44385-2025</t>
        </is>
      </c>
      <c r="B115" s="1" t="n">
        <v>45916.48704861111</v>
      </c>
      <c r="C115" s="1" t="n">
        <v>46075</v>
      </c>
      <c r="D115" t="inlineStr">
        <is>
          <t>UPPSALA LÄN</t>
        </is>
      </c>
      <c r="E115" t="inlineStr">
        <is>
          <t>UPPSALA</t>
        </is>
      </c>
      <c r="F115" t="inlineStr">
        <is>
          <t>Bergvik skog öst AB</t>
        </is>
      </c>
      <c r="G115" t="n">
        <v>6.8</v>
      </c>
      <c r="H115" t="n">
        <v>1</v>
      </c>
      <c r="I115" t="n">
        <v>0</v>
      </c>
      <c r="J115" t="n">
        <v>0</v>
      </c>
      <c r="K115" t="n">
        <v>0</v>
      </c>
      <c r="L115" t="n">
        <v>0</v>
      </c>
      <c r="M115" t="n">
        <v>0</v>
      </c>
      <c r="N115" t="n">
        <v>0</v>
      </c>
      <c r="O115" t="n">
        <v>0</v>
      </c>
      <c r="P115" t="n">
        <v>0</v>
      </c>
      <c r="Q115" t="n">
        <v>1</v>
      </c>
      <c r="R115" s="2" t="inlineStr">
        <is>
          <t>Blåsippa</t>
        </is>
      </c>
      <c r="S115">
        <f>HYPERLINK("https://klasma.github.io/Logging_0380/artfynd/A 44385-2025 artfynd.xlsx", "A 44385-2025")</f>
        <v/>
      </c>
      <c r="T115">
        <f>HYPERLINK("https://klasma.github.io/Logging_0380/kartor/A 44385-2025 karta.png", "A 44385-2025")</f>
        <v/>
      </c>
      <c r="V115">
        <f>HYPERLINK("https://klasma.github.io/Logging_0380/klagomål/A 44385-2025 FSC-klagomål.docx", "A 44385-2025")</f>
        <v/>
      </c>
      <c r="W115">
        <f>HYPERLINK("https://klasma.github.io/Logging_0380/klagomålsmail/A 44385-2025 FSC-klagomål mail.docx", "A 44385-2025")</f>
        <v/>
      </c>
      <c r="X115">
        <f>HYPERLINK("https://klasma.github.io/Logging_0380/tillsyn/A 44385-2025 tillsynsbegäran.docx", "A 44385-2025")</f>
        <v/>
      </c>
      <c r="Y115">
        <f>HYPERLINK("https://klasma.github.io/Logging_0380/tillsynsmail/A 44385-2025 tillsynsbegäran mail.docx", "A 44385-2025")</f>
        <v/>
      </c>
    </row>
    <row r="116" ht="15" customHeight="1">
      <c r="A116" t="inlineStr">
        <is>
          <t>A 52849-2021</t>
        </is>
      </c>
      <c r="B116" s="1" t="n">
        <v>44467</v>
      </c>
      <c r="C116" s="1" t="n">
        <v>46075</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35260-2025</t>
        </is>
      </c>
      <c r="B117" s="1" t="n">
        <v>45853.76976851852</v>
      </c>
      <c r="C117" s="1" t="n">
        <v>46075</v>
      </c>
      <c r="D117" t="inlineStr">
        <is>
          <t>UPPSALA LÄN</t>
        </is>
      </c>
      <c r="E117" t="inlineStr">
        <is>
          <t>UPPSALA</t>
        </is>
      </c>
      <c r="G117" t="n">
        <v>7.3</v>
      </c>
      <c r="H117" t="n">
        <v>0</v>
      </c>
      <c r="I117" t="n">
        <v>1</v>
      </c>
      <c r="J117" t="n">
        <v>0</v>
      </c>
      <c r="K117" t="n">
        <v>0</v>
      </c>
      <c r="L117" t="n">
        <v>0</v>
      </c>
      <c r="M117" t="n">
        <v>0</v>
      </c>
      <c r="N117" t="n">
        <v>0</v>
      </c>
      <c r="O117" t="n">
        <v>0</v>
      </c>
      <c r="P117" t="n">
        <v>0</v>
      </c>
      <c r="Q117" t="n">
        <v>1</v>
      </c>
      <c r="R117" s="2" t="inlineStr">
        <is>
          <t>Svavelriska</t>
        </is>
      </c>
      <c r="S117">
        <f>HYPERLINK("https://klasma.github.io/Logging_0380/artfynd/A 35260-2025 artfynd.xlsx", "A 35260-2025")</f>
        <v/>
      </c>
      <c r="T117">
        <f>HYPERLINK("https://klasma.github.io/Logging_0380/kartor/A 35260-2025 karta.png", "A 35260-2025")</f>
        <v/>
      </c>
      <c r="V117">
        <f>HYPERLINK("https://klasma.github.io/Logging_0380/klagomål/A 35260-2025 FSC-klagomål.docx", "A 35260-2025")</f>
        <v/>
      </c>
      <c r="W117">
        <f>HYPERLINK("https://klasma.github.io/Logging_0380/klagomålsmail/A 35260-2025 FSC-klagomål mail.docx", "A 35260-2025")</f>
        <v/>
      </c>
      <c r="X117">
        <f>HYPERLINK("https://klasma.github.io/Logging_0380/tillsyn/A 35260-2025 tillsynsbegäran.docx", "A 35260-2025")</f>
        <v/>
      </c>
      <c r="Y117">
        <f>HYPERLINK("https://klasma.github.io/Logging_0380/tillsynsmail/A 35260-2025 tillsynsbegäran mail.docx", "A 35260-2025")</f>
        <v/>
      </c>
    </row>
    <row r="118" ht="15" customHeight="1">
      <c r="A118" t="inlineStr">
        <is>
          <t>A 26135-2025</t>
        </is>
      </c>
      <c r="B118" s="1" t="n">
        <v>45805.41232638889</v>
      </c>
      <c r="C118" s="1" t="n">
        <v>46075</v>
      </c>
      <c r="D118" t="inlineStr">
        <is>
          <t>UPPSALA LÄN</t>
        </is>
      </c>
      <c r="E118" t="inlineStr">
        <is>
          <t>UPPSALA</t>
        </is>
      </c>
      <c r="F118" t="inlineStr">
        <is>
          <t>Holmen skog AB</t>
        </is>
      </c>
      <c r="G118" t="n">
        <v>3.1</v>
      </c>
      <c r="H118" t="n">
        <v>0</v>
      </c>
      <c r="I118" t="n">
        <v>0</v>
      </c>
      <c r="J118" t="n">
        <v>1</v>
      </c>
      <c r="K118" t="n">
        <v>0</v>
      </c>
      <c r="L118" t="n">
        <v>0</v>
      </c>
      <c r="M118" t="n">
        <v>0</v>
      </c>
      <c r="N118" t="n">
        <v>0</v>
      </c>
      <c r="O118" t="n">
        <v>1</v>
      </c>
      <c r="P118" t="n">
        <v>0</v>
      </c>
      <c r="Q118" t="n">
        <v>1</v>
      </c>
      <c r="R118" s="2" t="inlineStr">
        <is>
          <t>Vedtrappmossa</t>
        </is>
      </c>
      <c r="S118">
        <f>HYPERLINK("https://klasma.github.io/Logging_0380/artfynd/A 26135-2025 artfynd.xlsx", "A 26135-2025")</f>
        <v/>
      </c>
      <c r="T118">
        <f>HYPERLINK("https://klasma.github.io/Logging_0380/kartor/A 26135-2025 karta.png", "A 26135-2025")</f>
        <v/>
      </c>
      <c r="V118">
        <f>HYPERLINK("https://klasma.github.io/Logging_0380/klagomål/A 26135-2025 FSC-klagomål.docx", "A 26135-2025")</f>
        <v/>
      </c>
      <c r="W118">
        <f>HYPERLINK("https://klasma.github.io/Logging_0380/klagomålsmail/A 26135-2025 FSC-klagomål mail.docx", "A 26135-2025")</f>
        <v/>
      </c>
      <c r="X118">
        <f>HYPERLINK("https://klasma.github.io/Logging_0380/tillsyn/A 26135-2025 tillsynsbegäran.docx", "A 26135-2025")</f>
        <v/>
      </c>
      <c r="Y118">
        <f>HYPERLINK("https://klasma.github.io/Logging_0380/tillsynsmail/A 26135-2025 tillsynsbegäran mail.docx", "A 26135-2025")</f>
        <v/>
      </c>
    </row>
    <row r="119" ht="15" customHeight="1">
      <c r="A119" t="inlineStr">
        <is>
          <t>A 39741-2023</t>
        </is>
      </c>
      <c r="B119" s="1" t="n">
        <v>45167</v>
      </c>
      <c r="C119" s="1" t="n">
        <v>46075</v>
      </c>
      <c r="D119" t="inlineStr">
        <is>
          <t>UPPSALA LÄN</t>
        </is>
      </c>
      <c r="E119" t="inlineStr">
        <is>
          <t>UPPSALA</t>
        </is>
      </c>
      <c r="G119" t="n">
        <v>5.6</v>
      </c>
      <c r="H119" t="n">
        <v>1</v>
      </c>
      <c r="I119" t="n">
        <v>0</v>
      </c>
      <c r="J119" t="n">
        <v>1</v>
      </c>
      <c r="K119" t="n">
        <v>0</v>
      </c>
      <c r="L119" t="n">
        <v>0</v>
      </c>
      <c r="M119" t="n">
        <v>0</v>
      </c>
      <c r="N119" t="n">
        <v>0</v>
      </c>
      <c r="O119" t="n">
        <v>1</v>
      </c>
      <c r="P119" t="n">
        <v>0</v>
      </c>
      <c r="Q119" t="n">
        <v>1</v>
      </c>
      <c r="R119" s="2" t="inlineStr">
        <is>
          <t>Entita</t>
        </is>
      </c>
      <c r="S119">
        <f>HYPERLINK("https://klasma.github.io/Logging_0380/artfynd/A 39741-2023 artfynd.xlsx", "A 39741-2023")</f>
        <v/>
      </c>
      <c r="T119">
        <f>HYPERLINK("https://klasma.github.io/Logging_0380/kartor/A 39741-2023 karta.png", "A 39741-2023")</f>
        <v/>
      </c>
      <c r="V119">
        <f>HYPERLINK("https://klasma.github.io/Logging_0380/klagomål/A 39741-2023 FSC-klagomål.docx", "A 39741-2023")</f>
        <v/>
      </c>
      <c r="W119">
        <f>HYPERLINK("https://klasma.github.io/Logging_0380/klagomålsmail/A 39741-2023 FSC-klagomål mail.docx", "A 39741-2023")</f>
        <v/>
      </c>
      <c r="X119">
        <f>HYPERLINK("https://klasma.github.io/Logging_0380/tillsyn/A 39741-2023 tillsynsbegäran.docx", "A 39741-2023")</f>
        <v/>
      </c>
      <c r="Y119">
        <f>HYPERLINK("https://klasma.github.io/Logging_0380/tillsynsmail/A 39741-2023 tillsynsbegäran mail.docx", "A 39741-2023")</f>
        <v/>
      </c>
      <c r="Z119">
        <f>HYPERLINK("https://klasma.github.io/Logging_0380/fåglar/A 39741-2023 prioriterade fågelarter.docx", "A 39741-2023")</f>
        <v/>
      </c>
    </row>
    <row r="120" ht="15" customHeight="1">
      <c r="A120" t="inlineStr">
        <is>
          <t>A 60055-2022</t>
        </is>
      </c>
      <c r="B120" s="1" t="n">
        <v>44909</v>
      </c>
      <c r="C120" s="1" t="n">
        <v>46075</v>
      </c>
      <c r="D120" t="inlineStr">
        <is>
          <t>UPPSALA LÄN</t>
        </is>
      </c>
      <c r="E120" t="inlineStr">
        <is>
          <t>UPPSALA</t>
        </is>
      </c>
      <c r="G120" t="n">
        <v>11.4</v>
      </c>
      <c r="H120" t="n">
        <v>1</v>
      </c>
      <c r="I120" t="n">
        <v>0</v>
      </c>
      <c r="J120" t="n">
        <v>0</v>
      </c>
      <c r="K120" t="n">
        <v>0</v>
      </c>
      <c r="L120" t="n">
        <v>0</v>
      </c>
      <c r="M120" t="n">
        <v>0</v>
      </c>
      <c r="N120" t="n">
        <v>0</v>
      </c>
      <c r="O120" t="n">
        <v>0</v>
      </c>
      <c r="P120" t="n">
        <v>0</v>
      </c>
      <c r="Q120" t="n">
        <v>1</v>
      </c>
      <c r="R120" s="2" t="inlineStr">
        <is>
          <t>Tjäder</t>
        </is>
      </c>
      <c r="S120">
        <f>HYPERLINK("https://klasma.github.io/Logging_0380/artfynd/A 60055-2022 artfynd.xlsx", "A 60055-2022")</f>
        <v/>
      </c>
      <c r="T120">
        <f>HYPERLINK("https://klasma.github.io/Logging_0380/kartor/A 60055-2022 karta.png", "A 60055-2022")</f>
        <v/>
      </c>
      <c r="V120">
        <f>HYPERLINK("https://klasma.github.io/Logging_0380/klagomål/A 60055-2022 FSC-klagomål.docx", "A 60055-2022")</f>
        <v/>
      </c>
      <c r="W120">
        <f>HYPERLINK("https://klasma.github.io/Logging_0380/klagomålsmail/A 60055-2022 FSC-klagomål mail.docx", "A 60055-2022")</f>
        <v/>
      </c>
      <c r="X120">
        <f>HYPERLINK("https://klasma.github.io/Logging_0380/tillsyn/A 60055-2022 tillsynsbegäran.docx", "A 60055-2022")</f>
        <v/>
      </c>
      <c r="Y120">
        <f>HYPERLINK("https://klasma.github.io/Logging_0380/tillsynsmail/A 60055-2022 tillsynsbegäran mail.docx", "A 60055-2022")</f>
        <v/>
      </c>
      <c r="Z120">
        <f>HYPERLINK("https://klasma.github.io/Logging_0380/fåglar/A 60055-2022 prioriterade fågelarter.docx", "A 60055-2022")</f>
        <v/>
      </c>
    </row>
    <row r="121" ht="15" customHeight="1">
      <c r="A121" t="inlineStr">
        <is>
          <t>A 51475-2025</t>
        </is>
      </c>
      <c r="B121" s="1" t="n">
        <v>45950</v>
      </c>
      <c r="C121" s="1" t="n">
        <v>46075</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57793-2022</t>
        </is>
      </c>
      <c r="B122" s="1" t="n">
        <v>44897</v>
      </c>
      <c r="C122" s="1" t="n">
        <v>46075</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5750-2023</t>
        </is>
      </c>
      <c r="B123" s="1" t="n">
        <v>44963</v>
      </c>
      <c r="C123" s="1" t="n">
        <v>46075</v>
      </c>
      <c r="D123" t="inlineStr">
        <is>
          <t>UPPSALA LÄN</t>
        </is>
      </c>
      <c r="E123" t="inlineStr">
        <is>
          <t>UPPSALA</t>
        </is>
      </c>
      <c r="G123" t="n">
        <v>13.8</v>
      </c>
      <c r="H123" t="n">
        <v>0</v>
      </c>
      <c r="I123" t="n">
        <v>0</v>
      </c>
      <c r="J123" t="n">
        <v>0</v>
      </c>
      <c r="K123" t="n">
        <v>1</v>
      </c>
      <c r="L123" t="n">
        <v>0</v>
      </c>
      <c r="M123" t="n">
        <v>0</v>
      </c>
      <c r="N123" t="n">
        <v>0</v>
      </c>
      <c r="O123" t="n">
        <v>1</v>
      </c>
      <c r="P123" t="n">
        <v>1</v>
      </c>
      <c r="Q123" t="n">
        <v>1</v>
      </c>
      <c r="R123" s="2" t="inlineStr">
        <is>
          <t>Raggbock</t>
        </is>
      </c>
      <c r="S123">
        <f>HYPERLINK("https://klasma.github.io/Logging_0380/artfynd/A 5750-2023 artfynd.xlsx", "A 5750-2023")</f>
        <v/>
      </c>
      <c r="T123">
        <f>HYPERLINK("https://klasma.github.io/Logging_0380/kartor/A 5750-2023 karta.png", "A 5750-2023")</f>
        <v/>
      </c>
      <c r="V123">
        <f>HYPERLINK("https://klasma.github.io/Logging_0380/klagomål/A 5750-2023 FSC-klagomål.docx", "A 5750-2023")</f>
        <v/>
      </c>
      <c r="W123">
        <f>HYPERLINK("https://klasma.github.io/Logging_0380/klagomålsmail/A 5750-2023 FSC-klagomål mail.docx", "A 5750-2023")</f>
        <v/>
      </c>
      <c r="X123">
        <f>HYPERLINK("https://klasma.github.io/Logging_0380/tillsyn/A 5750-2023 tillsynsbegäran.docx", "A 5750-2023")</f>
        <v/>
      </c>
      <c r="Y123">
        <f>HYPERLINK("https://klasma.github.io/Logging_0380/tillsynsmail/A 5750-2023 tillsynsbegäran mail.docx", "A 5750-2023")</f>
        <v/>
      </c>
    </row>
    <row r="124" ht="15" customHeight="1">
      <c r="A124" t="inlineStr">
        <is>
          <t>A 46634-2022</t>
        </is>
      </c>
      <c r="B124" s="1" t="n">
        <v>44849</v>
      </c>
      <c r="C124" s="1" t="n">
        <v>46075</v>
      </c>
      <c r="D124" t="inlineStr">
        <is>
          <t>UPPSALA LÄN</t>
        </is>
      </c>
      <c r="E124" t="inlineStr">
        <is>
          <t>UPPSALA</t>
        </is>
      </c>
      <c r="G124" t="n">
        <v>2.9</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46634-2022 artfynd.xlsx", "A 46634-2022")</f>
        <v/>
      </c>
      <c r="T124">
        <f>HYPERLINK("https://klasma.github.io/Logging_0380/kartor/A 46634-2022 karta.png", "A 46634-2022")</f>
        <v/>
      </c>
      <c r="V124">
        <f>HYPERLINK("https://klasma.github.io/Logging_0380/klagomål/A 46634-2022 FSC-klagomål.docx", "A 46634-2022")</f>
        <v/>
      </c>
      <c r="W124">
        <f>HYPERLINK("https://klasma.github.io/Logging_0380/klagomålsmail/A 46634-2022 FSC-klagomål mail.docx", "A 46634-2022")</f>
        <v/>
      </c>
      <c r="X124">
        <f>HYPERLINK("https://klasma.github.io/Logging_0380/tillsyn/A 46634-2022 tillsynsbegäran.docx", "A 46634-2022")</f>
        <v/>
      </c>
      <c r="Y124">
        <f>HYPERLINK("https://klasma.github.io/Logging_0380/tillsynsmail/A 46634-2022 tillsynsbegäran mail.docx", "A 46634-2022")</f>
        <v/>
      </c>
    </row>
    <row r="125" ht="15" customHeight="1">
      <c r="A125" t="inlineStr">
        <is>
          <t>A 36842-2025</t>
        </is>
      </c>
      <c r="B125" s="1" t="n">
        <v>45874</v>
      </c>
      <c r="C125" s="1" t="n">
        <v>46075</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13093-2024</t>
        </is>
      </c>
      <c r="B126" s="1" t="n">
        <v>45385</v>
      </c>
      <c r="C126" s="1" t="n">
        <v>46075</v>
      </c>
      <c r="D126" t="inlineStr">
        <is>
          <t>UPPSALA LÄN</t>
        </is>
      </c>
      <c r="E126" t="inlineStr">
        <is>
          <t>UPPSALA</t>
        </is>
      </c>
      <c r="G126" t="n">
        <v>1.1</v>
      </c>
      <c r="H126" t="n">
        <v>1</v>
      </c>
      <c r="I126" t="n">
        <v>1</v>
      </c>
      <c r="J126" t="n">
        <v>0</v>
      </c>
      <c r="K126" t="n">
        <v>0</v>
      </c>
      <c r="L126" t="n">
        <v>0</v>
      </c>
      <c r="M126" t="n">
        <v>0</v>
      </c>
      <c r="N126" t="n">
        <v>0</v>
      </c>
      <c r="O126" t="n">
        <v>0</v>
      </c>
      <c r="P126" t="n">
        <v>0</v>
      </c>
      <c r="Q126" t="n">
        <v>1</v>
      </c>
      <c r="R126" s="2" t="inlineStr">
        <is>
          <t>Skogsknipprot</t>
        </is>
      </c>
      <c r="S126">
        <f>HYPERLINK("https://klasma.github.io/Logging_0380/artfynd/A 13093-2024 artfynd.xlsx", "A 13093-2024")</f>
        <v/>
      </c>
      <c r="T126">
        <f>HYPERLINK("https://klasma.github.io/Logging_0380/kartor/A 13093-2024 karta.png", "A 13093-2024")</f>
        <v/>
      </c>
      <c r="V126">
        <f>HYPERLINK("https://klasma.github.io/Logging_0380/klagomål/A 13093-2024 FSC-klagomål.docx", "A 13093-2024")</f>
        <v/>
      </c>
      <c r="W126">
        <f>HYPERLINK("https://klasma.github.io/Logging_0380/klagomålsmail/A 13093-2024 FSC-klagomål mail.docx", "A 13093-2024")</f>
        <v/>
      </c>
      <c r="X126">
        <f>HYPERLINK("https://klasma.github.io/Logging_0380/tillsyn/A 13093-2024 tillsynsbegäran.docx", "A 13093-2024")</f>
        <v/>
      </c>
      <c r="Y126">
        <f>HYPERLINK("https://klasma.github.io/Logging_0380/tillsynsmail/A 13093-2024 tillsynsbegäran mail.docx", "A 13093-2024")</f>
        <v/>
      </c>
    </row>
    <row r="127" ht="15" customHeight="1">
      <c r="A127" t="inlineStr">
        <is>
          <t>A 13363-2022</t>
        </is>
      </c>
      <c r="B127" s="1" t="n">
        <v>44645</v>
      </c>
      <c r="C127" s="1" t="n">
        <v>46075</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61374-2025</t>
        </is>
      </c>
      <c r="B128" s="1" t="n">
        <v>46001.44021990741</v>
      </c>
      <c r="C128" s="1" t="n">
        <v>46075</v>
      </c>
      <c r="D128" t="inlineStr">
        <is>
          <t>UPPSALA LÄN</t>
        </is>
      </c>
      <c r="E128" t="inlineStr">
        <is>
          <t>UPPSALA</t>
        </is>
      </c>
      <c r="F128" t="inlineStr">
        <is>
          <t>Holmen skog AB</t>
        </is>
      </c>
      <c r="G128" t="n">
        <v>6.2</v>
      </c>
      <c r="H128" t="n">
        <v>0</v>
      </c>
      <c r="I128" t="n">
        <v>1</v>
      </c>
      <c r="J128" t="n">
        <v>0</v>
      </c>
      <c r="K128" t="n">
        <v>0</v>
      </c>
      <c r="L128" t="n">
        <v>0</v>
      </c>
      <c r="M128" t="n">
        <v>0</v>
      </c>
      <c r="N128" t="n">
        <v>0</v>
      </c>
      <c r="O128" t="n">
        <v>0</v>
      </c>
      <c r="P128" t="n">
        <v>0</v>
      </c>
      <c r="Q128" t="n">
        <v>1</v>
      </c>
      <c r="R128" s="2" t="inlineStr">
        <is>
          <t>Tibast</t>
        </is>
      </c>
      <c r="S128">
        <f>HYPERLINK("https://klasma.github.io/Logging_0380/artfynd/A 61374-2025 artfynd.xlsx", "A 61374-2025")</f>
        <v/>
      </c>
      <c r="T128">
        <f>HYPERLINK("https://klasma.github.io/Logging_0380/kartor/A 61374-2025 karta.png", "A 61374-2025")</f>
        <v/>
      </c>
      <c r="V128">
        <f>HYPERLINK("https://klasma.github.io/Logging_0380/klagomål/A 61374-2025 FSC-klagomål.docx", "A 61374-2025")</f>
        <v/>
      </c>
      <c r="W128">
        <f>HYPERLINK("https://klasma.github.io/Logging_0380/klagomålsmail/A 61374-2025 FSC-klagomål mail.docx", "A 61374-2025")</f>
        <v/>
      </c>
      <c r="X128">
        <f>HYPERLINK("https://klasma.github.io/Logging_0380/tillsyn/A 61374-2025 tillsynsbegäran.docx", "A 61374-2025")</f>
        <v/>
      </c>
      <c r="Y128">
        <f>HYPERLINK("https://klasma.github.io/Logging_0380/tillsynsmail/A 61374-2025 tillsynsbegäran mail.docx", "A 61374-2025")</f>
        <v/>
      </c>
    </row>
    <row r="129" ht="15" customHeight="1">
      <c r="A129" t="inlineStr">
        <is>
          <t>A 63075-2025</t>
        </is>
      </c>
      <c r="B129" s="1" t="n">
        <v>46009</v>
      </c>
      <c r="C129" s="1" t="n">
        <v>46075</v>
      </c>
      <c r="D129" t="inlineStr">
        <is>
          <t>UPPSALA LÄN</t>
        </is>
      </c>
      <c r="E129" t="inlineStr">
        <is>
          <t>UPPSALA</t>
        </is>
      </c>
      <c r="F129" t="inlineStr">
        <is>
          <t>Övriga statliga verk och myndigheter</t>
        </is>
      </c>
      <c r="G129" t="n">
        <v>4</v>
      </c>
      <c r="H129" t="n">
        <v>1</v>
      </c>
      <c r="I129" t="n">
        <v>0</v>
      </c>
      <c r="J129" t="n">
        <v>1</v>
      </c>
      <c r="K129" t="n">
        <v>0</v>
      </c>
      <c r="L129" t="n">
        <v>0</v>
      </c>
      <c r="M129" t="n">
        <v>0</v>
      </c>
      <c r="N129" t="n">
        <v>0</v>
      </c>
      <c r="O129" t="n">
        <v>1</v>
      </c>
      <c r="P129" t="n">
        <v>0</v>
      </c>
      <c r="Q129" t="n">
        <v>1</v>
      </c>
      <c r="R129" s="2" t="inlineStr">
        <is>
          <t>Talltita</t>
        </is>
      </c>
      <c r="S129">
        <f>HYPERLINK("https://klasma.github.io/Logging_0380/artfynd/A 63075-2025 artfynd.xlsx", "A 63075-2025")</f>
        <v/>
      </c>
      <c r="T129">
        <f>HYPERLINK("https://klasma.github.io/Logging_0380/kartor/A 63075-2025 karta.png", "A 63075-2025")</f>
        <v/>
      </c>
      <c r="V129">
        <f>HYPERLINK("https://klasma.github.io/Logging_0380/klagomål/A 63075-2025 FSC-klagomål.docx", "A 63075-2025")</f>
        <v/>
      </c>
      <c r="W129">
        <f>HYPERLINK("https://klasma.github.io/Logging_0380/klagomålsmail/A 63075-2025 FSC-klagomål mail.docx", "A 63075-2025")</f>
        <v/>
      </c>
      <c r="X129">
        <f>HYPERLINK("https://klasma.github.io/Logging_0380/tillsyn/A 63075-2025 tillsynsbegäran.docx", "A 63075-2025")</f>
        <v/>
      </c>
      <c r="Y129">
        <f>HYPERLINK("https://klasma.github.io/Logging_0380/tillsynsmail/A 63075-2025 tillsynsbegäran mail.docx", "A 63075-2025")</f>
        <v/>
      </c>
      <c r="Z129">
        <f>HYPERLINK("https://klasma.github.io/Logging_0380/fåglar/A 63075-2025 prioriterade fågelarter.docx", "A 63075-2025")</f>
        <v/>
      </c>
    </row>
    <row r="130" ht="15" customHeight="1">
      <c r="A130" t="inlineStr">
        <is>
          <t>A 37004-2025</t>
        </is>
      </c>
      <c r="B130" s="1" t="n">
        <v>45874.69282407407</v>
      </c>
      <c r="C130" s="1" t="n">
        <v>46075</v>
      </c>
      <c r="D130" t="inlineStr">
        <is>
          <t>UPPSALA LÄN</t>
        </is>
      </c>
      <c r="E130" t="inlineStr">
        <is>
          <t>UPPSALA</t>
        </is>
      </c>
      <c r="G130" t="n">
        <v>15.8</v>
      </c>
      <c r="H130" t="n">
        <v>1</v>
      </c>
      <c r="I130" t="n">
        <v>0</v>
      </c>
      <c r="J130" t="n">
        <v>0</v>
      </c>
      <c r="K130" t="n">
        <v>0</v>
      </c>
      <c r="L130" t="n">
        <v>0</v>
      </c>
      <c r="M130" t="n">
        <v>0</v>
      </c>
      <c r="N130" t="n">
        <v>0</v>
      </c>
      <c r="O130" t="n">
        <v>0</v>
      </c>
      <c r="P130" t="n">
        <v>0</v>
      </c>
      <c r="Q130" t="n">
        <v>1</v>
      </c>
      <c r="R130" s="2" t="inlineStr">
        <is>
          <t>Vanlig padda</t>
        </is>
      </c>
      <c r="S130">
        <f>HYPERLINK("https://klasma.github.io/Logging_0380/artfynd/A 37004-2025 artfynd.xlsx", "A 37004-2025")</f>
        <v/>
      </c>
      <c r="T130">
        <f>HYPERLINK("https://klasma.github.io/Logging_0380/kartor/A 37004-2025 karta.png", "A 37004-2025")</f>
        <v/>
      </c>
      <c r="V130">
        <f>HYPERLINK("https://klasma.github.io/Logging_0380/klagomål/A 37004-2025 FSC-klagomål.docx", "A 37004-2025")</f>
        <v/>
      </c>
      <c r="W130">
        <f>HYPERLINK("https://klasma.github.io/Logging_0380/klagomålsmail/A 37004-2025 FSC-klagomål mail.docx", "A 37004-2025")</f>
        <v/>
      </c>
      <c r="X130">
        <f>HYPERLINK("https://klasma.github.io/Logging_0380/tillsyn/A 37004-2025 tillsynsbegäran.docx", "A 37004-2025")</f>
        <v/>
      </c>
      <c r="Y130">
        <f>HYPERLINK("https://klasma.github.io/Logging_0380/tillsynsmail/A 37004-2025 tillsynsbegäran mail.docx", "A 37004-2025")</f>
        <v/>
      </c>
    </row>
    <row r="131" ht="15" customHeight="1">
      <c r="A131" t="inlineStr">
        <is>
          <t>A 2729-2024</t>
        </is>
      </c>
      <c r="B131" s="1" t="n">
        <v>45314.55579861111</v>
      </c>
      <c r="C131" s="1" t="n">
        <v>46075</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42622-2022</t>
        </is>
      </c>
      <c r="B132" s="1" t="n">
        <v>44831</v>
      </c>
      <c r="C132" s="1" t="n">
        <v>46075</v>
      </c>
      <c r="D132" t="inlineStr">
        <is>
          <t>UPPSALA LÄN</t>
        </is>
      </c>
      <c r="E132" t="inlineStr">
        <is>
          <t>UPPSALA</t>
        </is>
      </c>
      <c r="G132" t="n">
        <v>2.4</v>
      </c>
      <c r="H132" t="n">
        <v>0</v>
      </c>
      <c r="I132" t="n">
        <v>0</v>
      </c>
      <c r="J132" t="n">
        <v>1</v>
      </c>
      <c r="K132" t="n">
        <v>0</v>
      </c>
      <c r="L132" t="n">
        <v>0</v>
      </c>
      <c r="M132" t="n">
        <v>0</v>
      </c>
      <c r="N132" t="n">
        <v>0</v>
      </c>
      <c r="O132" t="n">
        <v>1</v>
      </c>
      <c r="P132" t="n">
        <v>0</v>
      </c>
      <c r="Q132" t="n">
        <v>1</v>
      </c>
      <c r="R132" s="2" t="inlineStr">
        <is>
          <t>Motaggsvamp</t>
        </is>
      </c>
      <c r="S132">
        <f>HYPERLINK("https://klasma.github.io/Logging_0380/artfynd/A 42622-2022 artfynd.xlsx", "A 42622-2022")</f>
        <v/>
      </c>
      <c r="T132">
        <f>HYPERLINK("https://klasma.github.io/Logging_0380/kartor/A 42622-2022 karta.png", "A 42622-2022")</f>
        <v/>
      </c>
      <c r="V132">
        <f>HYPERLINK("https://klasma.github.io/Logging_0380/klagomål/A 42622-2022 FSC-klagomål.docx", "A 42622-2022")</f>
        <v/>
      </c>
      <c r="W132">
        <f>HYPERLINK("https://klasma.github.io/Logging_0380/klagomålsmail/A 42622-2022 FSC-klagomål mail.docx", "A 42622-2022")</f>
        <v/>
      </c>
      <c r="X132">
        <f>HYPERLINK("https://klasma.github.io/Logging_0380/tillsyn/A 42622-2022 tillsynsbegäran.docx", "A 42622-2022")</f>
        <v/>
      </c>
      <c r="Y132">
        <f>HYPERLINK("https://klasma.github.io/Logging_0380/tillsynsmail/A 42622-2022 tillsynsbegäran mail.docx", "A 42622-2022")</f>
        <v/>
      </c>
    </row>
    <row r="133" ht="15" customHeight="1">
      <c r="A133" t="inlineStr">
        <is>
          <t>A 16761-2022</t>
        </is>
      </c>
      <c r="B133" s="1" t="n">
        <v>44673.47858796296</v>
      </c>
      <c r="C133" s="1" t="n">
        <v>46075</v>
      </c>
      <c r="D133" t="inlineStr">
        <is>
          <t>UPPSALA LÄN</t>
        </is>
      </c>
      <c r="E133" t="inlineStr">
        <is>
          <t>UPPSALA</t>
        </is>
      </c>
      <c r="G133" t="n">
        <v>0.6</v>
      </c>
      <c r="H133" t="n">
        <v>1</v>
      </c>
      <c r="I133" t="n">
        <v>0</v>
      </c>
      <c r="J133" t="n">
        <v>0</v>
      </c>
      <c r="K133" t="n">
        <v>0</v>
      </c>
      <c r="L133" t="n">
        <v>0</v>
      </c>
      <c r="M133" t="n">
        <v>0</v>
      </c>
      <c r="N133" t="n">
        <v>0</v>
      </c>
      <c r="O133" t="n">
        <v>0</v>
      </c>
      <c r="P133" t="n">
        <v>0</v>
      </c>
      <c r="Q133" t="n">
        <v>1</v>
      </c>
      <c r="R133" s="2" t="inlineStr">
        <is>
          <t>Trädlärka</t>
        </is>
      </c>
      <c r="S133">
        <f>HYPERLINK("https://klasma.github.io/Logging_0380/artfynd/A 16761-2022 artfynd.xlsx", "A 16761-2022")</f>
        <v/>
      </c>
      <c r="T133">
        <f>HYPERLINK("https://klasma.github.io/Logging_0380/kartor/A 16761-2022 karta.png", "A 16761-2022")</f>
        <v/>
      </c>
      <c r="V133">
        <f>HYPERLINK("https://klasma.github.io/Logging_0380/klagomål/A 16761-2022 FSC-klagomål.docx", "A 16761-2022")</f>
        <v/>
      </c>
      <c r="W133">
        <f>HYPERLINK("https://klasma.github.io/Logging_0380/klagomålsmail/A 16761-2022 FSC-klagomål mail.docx", "A 16761-2022")</f>
        <v/>
      </c>
      <c r="X133">
        <f>HYPERLINK("https://klasma.github.io/Logging_0380/tillsyn/A 16761-2022 tillsynsbegäran.docx", "A 16761-2022")</f>
        <v/>
      </c>
      <c r="Y133">
        <f>HYPERLINK("https://klasma.github.io/Logging_0380/tillsynsmail/A 16761-2022 tillsynsbegäran mail.docx", "A 16761-2022")</f>
        <v/>
      </c>
      <c r="Z133">
        <f>HYPERLINK("https://klasma.github.io/Logging_0380/fåglar/A 16761-2022 prioriterade fågelarter.docx", "A 16761-2022")</f>
        <v/>
      </c>
    </row>
    <row r="134" ht="15" customHeight="1">
      <c r="A134" t="inlineStr">
        <is>
          <t>A 21657-2024</t>
        </is>
      </c>
      <c r="B134" s="1" t="n">
        <v>45442</v>
      </c>
      <c r="C134" s="1" t="n">
        <v>46075</v>
      </c>
      <c r="D134" t="inlineStr">
        <is>
          <t>UPPSALA LÄN</t>
        </is>
      </c>
      <c r="E134" t="inlineStr">
        <is>
          <t>UPPSALA</t>
        </is>
      </c>
      <c r="G134" t="n">
        <v>5.7</v>
      </c>
      <c r="H134" t="n">
        <v>1</v>
      </c>
      <c r="I134" t="n">
        <v>0</v>
      </c>
      <c r="J134" t="n">
        <v>0</v>
      </c>
      <c r="K134" t="n">
        <v>0</v>
      </c>
      <c r="L134" t="n">
        <v>0</v>
      </c>
      <c r="M134" t="n">
        <v>0</v>
      </c>
      <c r="N134" t="n">
        <v>0</v>
      </c>
      <c r="O134" t="n">
        <v>0</v>
      </c>
      <c r="P134" t="n">
        <v>0</v>
      </c>
      <c r="Q134" t="n">
        <v>1</v>
      </c>
      <c r="R134" s="2" t="inlineStr">
        <is>
          <t>Kungsfågel</t>
        </is>
      </c>
      <c r="S134">
        <f>HYPERLINK("https://klasma.github.io/Logging_0380/artfynd/A 21657-2024 artfynd.xlsx", "A 21657-2024")</f>
        <v/>
      </c>
      <c r="T134">
        <f>HYPERLINK("https://klasma.github.io/Logging_0380/kartor/A 21657-2024 karta.png", "A 21657-2024")</f>
        <v/>
      </c>
      <c r="V134">
        <f>HYPERLINK("https://klasma.github.io/Logging_0380/klagomål/A 21657-2024 FSC-klagomål.docx", "A 21657-2024")</f>
        <v/>
      </c>
      <c r="W134">
        <f>HYPERLINK("https://klasma.github.io/Logging_0380/klagomålsmail/A 21657-2024 FSC-klagomål mail.docx", "A 21657-2024")</f>
        <v/>
      </c>
      <c r="X134">
        <f>HYPERLINK("https://klasma.github.io/Logging_0380/tillsyn/A 21657-2024 tillsynsbegäran.docx", "A 21657-2024")</f>
        <v/>
      </c>
      <c r="Y134">
        <f>HYPERLINK("https://klasma.github.io/Logging_0380/tillsynsmail/A 21657-2024 tillsynsbegäran mail.docx", "A 21657-2024")</f>
        <v/>
      </c>
      <c r="Z134">
        <f>HYPERLINK("https://klasma.github.io/Logging_0380/fåglar/A 21657-2024 prioriterade fågelarter.docx", "A 21657-2024")</f>
        <v/>
      </c>
    </row>
    <row r="135" ht="15" customHeight="1">
      <c r="A135" t="inlineStr">
        <is>
          <t>A 18373-2025</t>
        </is>
      </c>
      <c r="B135" s="1" t="n">
        <v>45762.57244212963</v>
      </c>
      <c r="C135" s="1" t="n">
        <v>46075</v>
      </c>
      <c r="D135" t="inlineStr">
        <is>
          <t>UPPSALA LÄN</t>
        </is>
      </c>
      <c r="E135" t="inlineStr">
        <is>
          <t>UPPSALA</t>
        </is>
      </c>
      <c r="G135" t="n">
        <v>9.5</v>
      </c>
      <c r="H135" t="n">
        <v>0</v>
      </c>
      <c r="I135" t="n">
        <v>0</v>
      </c>
      <c r="J135" t="n">
        <v>1</v>
      </c>
      <c r="K135" t="n">
        <v>0</v>
      </c>
      <c r="L135" t="n">
        <v>0</v>
      </c>
      <c r="M135" t="n">
        <v>0</v>
      </c>
      <c r="N135" t="n">
        <v>0</v>
      </c>
      <c r="O135" t="n">
        <v>1</v>
      </c>
      <c r="P135" t="n">
        <v>0</v>
      </c>
      <c r="Q135" t="n">
        <v>1</v>
      </c>
      <c r="R135" s="2" t="inlineStr">
        <is>
          <t>Ullticka</t>
        </is>
      </c>
      <c r="S135">
        <f>HYPERLINK("https://klasma.github.io/Logging_0380/artfynd/A 18373-2025 artfynd.xlsx", "A 18373-2025")</f>
        <v/>
      </c>
      <c r="T135">
        <f>HYPERLINK("https://klasma.github.io/Logging_0380/kartor/A 18373-2025 karta.png", "A 18373-2025")</f>
        <v/>
      </c>
      <c r="V135">
        <f>HYPERLINK("https://klasma.github.io/Logging_0380/klagomål/A 18373-2025 FSC-klagomål.docx", "A 18373-2025")</f>
        <v/>
      </c>
      <c r="W135">
        <f>HYPERLINK("https://klasma.github.io/Logging_0380/klagomålsmail/A 18373-2025 FSC-klagomål mail.docx", "A 18373-2025")</f>
        <v/>
      </c>
      <c r="X135">
        <f>HYPERLINK("https://klasma.github.io/Logging_0380/tillsyn/A 18373-2025 tillsynsbegäran.docx", "A 18373-2025")</f>
        <v/>
      </c>
      <c r="Y135">
        <f>HYPERLINK("https://klasma.github.io/Logging_0380/tillsynsmail/A 18373-2025 tillsynsbegäran mail.docx", "A 18373-2025")</f>
        <v/>
      </c>
    </row>
    <row r="136" ht="15" customHeight="1">
      <c r="A136" t="inlineStr">
        <is>
          <t>A 29902-2023</t>
        </is>
      </c>
      <c r="B136" s="1" t="n">
        <v>45107</v>
      </c>
      <c r="C136" s="1" t="n">
        <v>46075</v>
      </c>
      <c r="D136" t="inlineStr">
        <is>
          <t>UPPSALA LÄN</t>
        </is>
      </c>
      <c r="E136" t="inlineStr">
        <is>
          <t>UPPSALA</t>
        </is>
      </c>
      <c r="F136" t="inlineStr">
        <is>
          <t>Kyrkan</t>
        </is>
      </c>
      <c r="G136" t="n">
        <v>10.6</v>
      </c>
      <c r="H136" t="n">
        <v>1</v>
      </c>
      <c r="I136" t="n">
        <v>0</v>
      </c>
      <c r="J136" t="n">
        <v>1</v>
      </c>
      <c r="K136" t="n">
        <v>0</v>
      </c>
      <c r="L136" t="n">
        <v>0</v>
      </c>
      <c r="M136" t="n">
        <v>0</v>
      </c>
      <c r="N136" t="n">
        <v>0</v>
      </c>
      <c r="O136" t="n">
        <v>1</v>
      </c>
      <c r="P136" t="n">
        <v>0</v>
      </c>
      <c r="Q136" t="n">
        <v>1</v>
      </c>
      <c r="R136" s="2" t="inlineStr">
        <is>
          <t>Järpe</t>
        </is>
      </c>
      <c r="S136">
        <f>HYPERLINK("https://klasma.github.io/Logging_0380/artfynd/A 29902-2023 artfynd.xlsx", "A 29902-2023")</f>
        <v/>
      </c>
      <c r="T136">
        <f>HYPERLINK("https://klasma.github.io/Logging_0380/kartor/A 29902-2023 karta.png", "A 29902-2023")</f>
        <v/>
      </c>
      <c r="V136">
        <f>HYPERLINK("https://klasma.github.io/Logging_0380/klagomål/A 29902-2023 FSC-klagomål.docx", "A 29902-2023")</f>
        <v/>
      </c>
      <c r="W136">
        <f>HYPERLINK("https://klasma.github.io/Logging_0380/klagomålsmail/A 29902-2023 FSC-klagomål mail.docx", "A 29902-2023")</f>
        <v/>
      </c>
      <c r="X136">
        <f>HYPERLINK("https://klasma.github.io/Logging_0380/tillsyn/A 29902-2023 tillsynsbegäran.docx", "A 29902-2023")</f>
        <v/>
      </c>
      <c r="Y136">
        <f>HYPERLINK("https://klasma.github.io/Logging_0380/tillsynsmail/A 29902-2023 tillsynsbegäran mail.docx", "A 29902-2023")</f>
        <v/>
      </c>
      <c r="Z136">
        <f>HYPERLINK("https://klasma.github.io/Logging_0380/fåglar/A 29902-2023 prioriterade fågelarter.docx", "A 29902-2023")</f>
        <v/>
      </c>
    </row>
    <row r="137" ht="15" customHeight="1">
      <c r="A137" t="inlineStr">
        <is>
          <t>A 63172-2023</t>
        </is>
      </c>
      <c r="B137" s="1" t="n">
        <v>45273</v>
      </c>
      <c r="C137" s="1" t="n">
        <v>46075</v>
      </c>
      <c r="D137" t="inlineStr">
        <is>
          <t>UPPSALA LÄN</t>
        </is>
      </c>
      <c r="E137" t="inlineStr">
        <is>
          <t>UPPSALA</t>
        </is>
      </c>
      <c r="G137" t="n">
        <v>1.8</v>
      </c>
      <c r="H137" t="n">
        <v>0</v>
      </c>
      <c r="I137" t="n">
        <v>1</v>
      </c>
      <c r="J137" t="n">
        <v>0</v>
      </c>
      <c r="K137" t="n">
        <v>0</v>
      </c>
      <c r="L137" t="n">
        <v>0</v>
      </c>
      <c r="M137" t="n">
        <v>0</v>
      </c>
      <c r="N137" t="n">
        <v>0</v>
      </c>
      <c r="O137" t="n">
        <v>0</v>
      </c>
      <c r="P137" t="n">
        <v>0</v>
      </c>
      <c r="Q137" t="n">
        <v>1</v>
      </c>
      <c r="R137" s="2" t="inlineStr">
        <is>
          <t>Ögonpyrola</t>
        </is>
      </c>
      <c r="S137">
        <f>HYPERLINK("https://klasma.github.io/Logging_0380/artfynd/A 63172-2023 artfynd.xlsx", "A 63172-2023")</f>
        <v/>
      </c>
      <c r="T137">
        <f>HYPERLINK("https://klasma.github.io/Logging_0380/kartor/A 63172-2023 karta.png", "A 63172-2023")</f>
        <v/>
      </c>
      <c r="V137">
        <f>HYPERLINK("https://klasma.github.io/Logging_0380/klagomål/A 63172-2023 FSC-klagomål.docx", "A 63172-2023")</f>
        <v/>
      </c>
      <c r="W137">
        <f>HYPERLINK("https://klasma.github.io/Logging_0380/klagomålsmail/A 63172-2023 FSC-klagomål mail.docx", "A 63172-2023")</f>
        <v/>
      </c>
      <c r="X137">
        <f>HYPERLINK("https://klasma.github.io/Logging_0380/tillsyn/A 63172-2023 tillsynsbegäran.docx", "A 63172-2023")</f>
        <v/>
      </c>
      <c r="Y137">
        <f>HYPERLINK("https://klasma.github.io/Logging_0380/tillsynsmail/A 63172-2023 tillsynsbegäran mail.docx", "A 63172-2023")</f>
        <v/>
      </c>
    </row>
    <row r="138" ht="15" customHeight="1">
      <c r="A138" t="inlineStr">
        <is>
          <t>A 17484-2025</t>
        </is>
      </c>
      <c r="B138" s="1" t="n">
        <v>45757.49934027778</v>
      </c>
      <c r="C138" s="1" t="n">
        <v>46075</v>
      </c>
      <c r="D138" t="inlineStr">
        <is>
          <t>UPPSALA LÄN</t>
        </is>
      </c>
      <c r="E138" t="inlineStr">
        <is>
          <t>UPPSALA</t>
        </is>
      </c>
      <c r="G138" t="n">
        <v>13.1</v>
      </c>
      <c r="H138" t="n">
        <v>1</v>
      </c>
      <c r="I138" t="n">
        <v>0</v>
      </c>
      <c r="J138" t="n">
        <v>0</v>
      </c>
      <c r="K138" t="n">
        <v>0</v>
      </c>
      <c r="L138" t="n">
        <v>0</v>
      </c>
      <c r="M138" t="n">
        <v>0</v>
      </c>
      <c r="N138" t="n">
        <v>0</v>
      </c>
      <c r="O138" t="n">
        <v>0</v>
      </c>
      <c r="P138" t="n">
        <v>0</v>
      </c>
      <c r="Q138" t="n">
        <v>1</v>
      </c>
      <c r="R138" s="2" t="inlineStr">
        <is>
          <t>Fläcknycklar</t>
        </is>
      </c>
      <c r="S138">
        <f>HYPERLINK("https://klasma.github.io/Logging_0380/artfynd/A 17484-2025 artfynd.xlsx", "A 17484-2025")</f>
        <v/>
      </c>
      <c r="T138">
        <f>HYPERLINK("https://klasma.github.io/Logging_0380/kartor/A 17484-2025 karta.png", "A 17484-2025")</f>
        <v/>
      </c>
      <c r="V138">
        <f>HYPERLINK("https://klasma.github.io/Logging_0380/klagomål/A 17484-2025 FSC-klagomål.docx", "A 17484-2025")</f>
        <v/>
      </c>
      <c r="W138">
        <f>HYPERLINK("https://klasma.github.io/Logging_0380/klagomålsmail/A 17484-2025 FSC-klagomål mail.docx", "A 17484-2025")</f>
        <v/>
      </c>
      <c r="X138">
        <f>HYPERLINK("https://klasma.github.io/Logging_0380/tillsyn/A 17484-2025 tillsynsbegäran.docx", "A 17484-2025")</f>
        <v/>
      </c>
      <c r="Y138">
        <f>HYPERLINK("https://klasma.github.io/Logging_0380/tillsynsmail/A 17484-2025 tillsynsbegäran mail.docx", "A 17484-2025")</f>
        <v/>
      </c>
    </row>
    <row r="139" ht="15" customHeight="1">
      <c r="A139" t="inlineStr">
        <is>
          <t>A 61830-2022</t>
        </is>
      </c>
      <c r="B139" s="1" t="n">
        <v>44917.59298611111</v>
      </c>
      <c r="C139" s="1" t="n">
        <v>46075</v>
      </c>
      <c r="D139" t="inlineStr">
        <is>
          <t>UPPSALA LÄN</t>
        </is>
      </c>
      <c r="E139" t="inlineStr">
        <is>
          <t>UPPSALA</t>
        </is>
      </c>
      <c r="F139" t="inlineStr">
        <is>
          <t>Holmen skog AB</t>
        </is>
      </c>
      <c r="G139" t="n">
        <v>1.1</v>
      </c>
      <c r="H139" t="n">
        <v>0</v>
      </c>
      <c r="I139" t="n">
        <v>0</v>
      </c>
      <c r="J139" t="n">
        <v>1</v>
      </c>
      <c r="K139" t="n">
        <v>0</v>
      </c>
      <c r="L139" t="n">
        <v>0</v>
      </c>
      <c r="M139" t="n">
        <v>0</v>
      </c>
      <c r="N139" t="n">
        <v>0</v>
      </c>
      <c r="O139" t="n">
        <v>1</v>
      </c>
      <c r="P139" t="n">
        <v>0</v>
      </c>
      <c r="Q139" t="n">
        <v>1</v>
      </c>
      <c r="R139" s="2" t="inlineStr">
        <is>
          <t>Rödbrun blekspik</t>
        </is>
      </c>
      <c r="S139">
        <f>HYPERLINK("https://klasma.github.io/Logging_0380/artfynd/A 61830-2022 artfynd.xlsx", "A 61830-2022")</f>
        <v/>
      </c>
      <c r="T139">
        <f>HYPERLINK("https://klasma.github.io/Logging_0380/kartor/A 61830-2022 karta.png", "A 61830-2022")</f>
        <v/>
      </c>
      <c r="V139">
        <f>HYPERLINK("https://klasma.github.io/Logging_0380/klagomål/A 61830-2022 FSC-klagomål.docx", "A 61830-2022")</f>
        <v/>
      </c>
      <c r="W139">
        <f>HYPERLINK("https://klasma.github.io/Logging_0380/klagomålsmail/A 61830-2022 FSC-klagomål mail.docx", "A 61830-2022")</f>
        <v/>
      </c>
      <c r="X139">
        <f>HYPERLINK("https://klasma.github.io/Logging_0380/tillsyn/A 61830-2022 tillsynsbegäran.docx", "A 61830-2022")</f>
        <v/>
      </c>
      <c r="Y139">
        <f>HYPERLINK("https://klasma.github.io/Logging_0380/tillsynsmail/A 61830-2022 tillsynsbegäran mail.docx", "A 61830-2022")</f>
        <v/>
      </c>
    </row>
    <row r="140" ht="15" customHeight="1">
      <c r="A140" t="inlineStr">
        <is>
          <t>A 21801-2025</t>
        </is>
      </c>
      <c r="B140" s="1" t="n">
        <v>45783</v>
      </c>
      <c r="C140" s="1" t="n">
        <v>46075</v>
      </c>
      <c r="D140" t="inlineStr">
        <is>
          <t>UPPSALA LÄN</t>
        </is>
      </c>
      <c r="E140" t="inlineStr">
        <is>
          <t>UPPSALA</t>
        </is>
      </c>
      <c r="G140" t="n">
        <v>7.9</v>
      </c>
      <c r="H140" t="n">
        <v>1</v>
      </c>
      <c r="I140" t="n">
        <v>0</v>
      </c>
      <c r="J140" t="n">
        <v>0</v>
      </c>
      <c r="K140" t="n">
        <v>0</v>
      </c>
      <c r="L140" t="n">
        <v>0</v>
      </c>
      <c r="M140" t="n">
        <v>0</v>
      </c>
      <c r="N140" t="n">
        <v>0</v>
      </c>
      <c r="O140" t="n">
        <v>0</v>
      </c>
      <c r="P140" t="n">
        <v>0</v>
      </c>
      <c r="Q140" t="n">
        <v>1</v>
      </c>
      <c r="R140" s="2" t="inlineStr">
        <is>
          <t>Mattlummer</t>
        </is>
      </c>
      <c r="S140">
        <f>HYPERLINK("https://klasma.github.io/Logging_0380/artfynd/A 21801-2025 artfynd.xlsx", "A 21801-2025")</f>
        <v/>
      </c>
      <c r="T140">
        <f>HYPERLINK("https://klasma.github.io/Logging_0380/kartor/A 21801-2025 karta.png", "A 21801-2025")</f>
        <v/>
      </c>
      <c r="V140">
        <f>HYPERLINK("https://klasma.github.io/Logging_0380/klagomål/A 21801-2025 FSC-klagomål.docx", "A 21801-2025")</f>
        <v/>
      </c>
      <c r="W140">
        <f>HYPERLINK("https://klasma.github.io/Logging_0380/klagomålsmail/A 21801-2025 FSC-klagomål mail.docx", "A 21801-2025")</f>
        <v/>
      </c>
      <c r="X140">
        <f>HYPERLINK("https://klasma.github.io/Logging_0380/tillsyn/A 21801-2025 tillsynsbegäran.docx", "A 21801-2025")</f>
        <v/>
      </c>
      <c r="Y140">
        <f>HYPERLINK("https://klasma.github.io/Logging_0380/tillsynsmail/A 21801-2025 tillsynsbegäran mail.docx", "A 21801-2025")</f>
        <v/>
      </c>
    </row>
    <row r="141" ht="15" customHeight="1">
      <c r="A141" t="inlineStr">
        <is>
          <t>A 4657-2025</t>
        </is>
      </c>
      <c r="B141" s="1" t="n">
        <v>45687</v>
      </c>
      <c r="C141" s="1" t="n">
        <v>46075</v>
      </c>
      <c r="D141" t="inlineStr">
        <is>
          <t>UPPSALA LÄN</t>
        </is>
      </c>
      <c r="E141" t="inlineStr">
        <is>
          <t>UPPSALA</t>
        </is>
      </c>
      <c r="G141" t="n">
        <v>2.9</v>
      </c>
      <c r="H141" t="n">
        <v>1</v>
      </c>
      <c r="I141" t="n">
        <v>0</v>
      </c>
      <c r="J141" t="n">
        <v>1</v>
      </c>
      <c r="K141" t="n">
        <v>0</v>
      </c>
      <c r="L141" t="n">
        <v>0</v>
      </c>
      <c r="M141" t="n">
        <v>0</v>
      </c>
      <c r="N141" t="n">
        <v>0</v>
      </c>
      <c r="O141" t="n">
        <v>1</v>
      </c>
      <c r="P141" t="n">
        <v>0</v>
      </c>
      <c r="Q141" t="n">
        <v>1</v>
      </c>
      <c r="R141" s="2" t="inlineStr">
        <is>
          <t>Grönsångare</t>
        </is>
      </c>
      <c r="S141">
        <f>HYPERLINK("https://klasma.github.io/Logging_0380/artfynd/A 4657-2025 artfynd.xlsx", "A 4657-2025")</f>
        <v/>
      </c>
      <c r="T141">
        <f>HYPERLINK("https://klasma.github.io/Logging_0380/kartor/A 4657-2025 karta.png", "A 4657-2025")</f>
        <v/>
      </c>
      <c r="V141">
        <f>HYPERLINK("https://klasma.github.io/Logging_0380/klagomål/A 4657-2025 FSC-klagomål.docx", "A 4657-2025")</f>
        <v/>
      </c>
      <c r="W141">
        <f>HYPERLINK("https://klasma.github.io/Logging_0380/klagomålsmail/A 4657-2025 FSC-klagomål mail.docx", "A 4657-2025")</f>
        <v/>
      </c>
      <c r="X141">
        <f>HYPERLINK("https://klasma.github.io/Logging_0380/tillsyn/A 4657-2025 tillsynsbegäran.docx", "A 4657-2025")</f>
        <v/>
      </c>
      <c r="Y141">
        <f>HYPERLINK("https://klasma.github.io/Logging_0380/tillsynsmail/A 4657-2025 tillsynsbegäran mail.docx", "A 4657-2025")</f>
        <v/>
      </c>
      <c r="Z141">
        <f>HYPERLINK("https://klasma.github.io/Logging_0380/fåglar/A 4657-2025 prioriterade fågelarter.docx", "A 4657-2025")</f>
        <v/>
      </c>
    </row>
    <row r="142" ht="15" customHeight="1">
      <c r="A142" t="inlineStr">
        <is>
          <t>A 26923-2025</t>
        </is>
      </c>
      <c r="B142" s="1" t="n">
        <v>45811.38710648148</v>
      </c>
      <c r="C142" s="1" t="n">
        <v>46075</v>
      </c>
      <c r="D142" t="inlineStr">
        <is>
          <t>UPPSALA LÄN</t>
        </is>
      </c>
      <c r="E142" t="inlineStr">
        <is>
          <t>UPPSALA</t>
        </is>
      </c>
      <c r="F142" t="inlineStr">
        <is>
          <t>Kyrkan</t>
        </is>
      </c>
      <c r="G142" t="n">
        <v>9.800000000000001</v>
      </c>
      <c r="H142" t="n">
        <v>1</v>
      </c>
      <c r="I142" t="n">
        <v>0</v>
      </c>
      <c r="J142" t="n">
        <v>0</v>
      </c>
      <c r="K142" t="n">
        <v>0</v>
      </c>
      <c r="L142" t="n">
        <v>0</v>
      </c>
      <c r="M142" t="n">
        <v>0</v>
      </c>
      <c r="N142" t="n">
        <v>0</v>
      </c>
      <c r="O142" t="n">
        <v>0</v>
      </c>
      <c r="P142" t="n">
        <v>0</v>
      </c>
      <c r="Q142" t="n">
        <v>1</v>
      </c>
      <c r="R142" s="2" t="inlineStr">
        <is>
          <t>Fläcknycklar</t>
        </is>
      </c>
      <c r="S142">
        <f>HYPERLINK("https://klasma.github.io/Logging_0380/artfynd/A 26923-2025 artfynd.xlsx", "A 26923-2025")</f>
        <v/>
      </c>
      <c r="T142">
        <f>HYPERLINK("https://klasma.github.io/Logging_0380/kartor/A 26923-2025 karta.png", "A 26923-2025")</f>
        <v/>
      </c>
      <c r="V142">
        <f>HYPERLINK("https://klasma.github.io/Logging_0380/klagomål/A 26923-2025 FSC-klagomål.docx", "A 26923-2025")</f>
        <v/>
      </c>
      <c r="W142">
        <f>HYPERLINK("https://klasma.github.io/Logging_0380/klagomålsmail/A 26923-2025 FSC-klagomål mail.docx", "A 26923-2025")</f>
        <v/>
      </c>
      <c r="X142">
        <f>HYPERLINK("https://klasma.github.io/Logging_0380/tillsyn/A 26923-2025 tillsynsbegäran.docx", "A 26923-2025")</f>
        <v/>
      </c>
      <c r="Y142">
        <f>HYPERLINK("https://klasma.github.io/Logging_0380/tillsynsmail/A 26923-2025 tillsynsbegäran mail.docx", "A 26923-2025")</f>
        <v/>
      </c>
    </row>
    <row r="143" ht="15" customHeight="1">
      <c r="A143" t="inlineStr">
        <is>
          <t>A 27848-2023</t>
        </is>
      </c>
      <c r="B143" s="1" t="n">
        <v>45098</v>
      </c>
      <c r="C143" s="1" t="n">
        <v>46075</v>
      </c>
      <c r="D143" t="inlineStr">
        <is>
          <t>UPPSALA LÄN</t>
        </is>
      </c>
      <c r="E143" t="inlineStr">
        <is>
          <t>UPPSALA</t>
        </is>
      </c>
      <c r="G143" t="n">
        <v>14.3</v>
      </c>
      <c r="H143" t="n">
        <v>0</v>
      </c>
      <c r="I143" t="n">
        <v>1</v>
      </c>
      <c r="J143" t="n">
        <v>0</v>
      </c>
      <c r="K143" t="n">
        <v>0</v>
      </c>
      <c r="L143" t="n">
        <v>0</v>
      </c>
      <c r="M143" t="n">
        <v>0</v>
      </c>
      <c r="N143" t="n">
        <v>0</v>
      </c>
      <c r="O143" t="n">
        <v>0</v>
      </c>
      <c r="P143" t="n">
        <v>0</v>
      </c>
      <c r="Q143" t="n">
        <v>1</v>
      </c>
      <c r="R143" s="2" t="inlineStr">
        <is>
          <t>Blåmossa</t>
        </is>
      </c>
      <c r="S143">
        <f>HYPERLINK("https://klasma.github.io/Logging_0380/artfynd/A 27848-2023 artfynd.xlsx", "A 27848-2023")</f>
        <v/>
      </c>
      <c r="T143">
        <f>HYPERLINK("https://klasma.github.io/Logging_0380/kartor/A 27848-2023 karta.png", "A 27848-2023")</f>
        <v/>
      </c>
      <c r="V143">
        <f>HYPERLINK("https://klasma.github.io/Logging_0380/klagomål/A 27848-2023 FSC-klagomål.docx", "A 27848-2023")</f>
        <v/>
      </c>
      <c r="W143">
        <f>HYPERLINK("https://klasma.github.io/Logging_0380/klagomålsmail/A 27848-2023 FSC-klagomål mail.docx", "A 27848-2023")</f>
        <v/>
      </c>
      <c r="X143">
        <f>HYPERLINK("https://klasma.github.io/Logging_0380/tillsyn/A 27848-2023 tillsynsbegäran.docx", "A 27848-2023")</f>
        <v/>
      </c>
      <c r="Y143">
        <f>HYPERLINK("https://klasma.github.io/Logging_0380/tillsynsmail/A 27848-2023 tillsynsbegäran mail.docx", "A 27848-2023")</f>
        <v/>
      </c>
    </row>
    <row r="144" ht="15" customHeight="1">
      <c r="A144" t="inlineStr">
        <is>
          <t>A 3304-2025</t>
        </is>
      </c>
      <c r="B144" s="1" t="n">
        <v>45679</v>
      </c>
      <c r="C144" s="1" t="n">
        <v>46075</v>
      </c>
      <c r="D144" t="inlineStr">
        <is>
          <t>UPPSALA LÄN</t>
        </is>
      </c>
      <c r="E144" t="inlineStr">
        <is>
          <t>UPPSALA</t>
        </is>
      </c>
      <c r="F144" t="inlineStr">
        <is>
          <t>Övriga statliga verk och myndigheter</t>
        </is>
      </c>
      <c r="G144" t="n">
        <v>3.8</v>
      </c>
      <c r="H144" t="n">
        <v>1</v>
      </c>
      <c r="I144" t="n">
        <v>0</v>
      </c>
      <c r="J144" t="n">
        <v>0</v>
      </c>
      <c r="K144" t="n">
        <v>0</v>
      </c>
      <c r="L144" t="n">
        <v>0</v>
      </c>
      <c r="M144" t="n">
        <v>0</v>
      </c>
      <c r="N144" t="n">
        <v>0</v>
      </c>
      <c r="O144" t="n">
        <v>0</v>
      </c>
      <c r="P144" t="n">
        <v>0</v>
      </c>
      <c r="Q144" t="n">
        <v>1</v>
      </c>
      <c r="R144" s="2" t="inlineStr">
        <is>
          <t>Blåsippa</t>
        </is>
      </c>
      <c r="S144">
        <f>HYPERLINK("https://klasma.github.io/Logging_0380/artfynd/A 3304-2025 artfynd.xlsx", "A 3304-2025")</f>
        <v/>
      </c>
      <c r="T144">
        <f>HYPERLINK("https://klasma.github.io/Logging_0380/kartor/A 3304-2025 karta.png", "A 3304-2025")</f>
        <v/>
      </c>
      <c r="V144">
        <f>HYPERLINK("https://klasma.github.io/Logging_0380/klagomål/A 3304-2025 FSC-klagomål.docx", "A 3304-2025")</f>
        <v/>
      </c>
      <c r="W144">
        <f>HYPERLINK("https://klasma.github.io/Logging_0380/klagomålsmail/A 3304-2025 FSC-klagomål mail.docx", "A 3304-2025")</f>
        <v/>
      </c>
      <c r="X144">
        <f>HYPERLINK("https://klasma.github.io/Logging_0380/tillsyn/A 3304-2025 tillsynsbegäran.docx", "A 3304-2025")</f>
        <v/>
      </c>
      <c r="Y144">
        <f>HYPERLINK("https://klasma.github.io/Logging_0380/tillsynsmail/A 3304-2025 tillsynsbegäran mail.docx", "A 3304-2025")</f>
        <v/>
      </c>
    </row>
    <row r="145" ht="15" customHeight="1">
      <c r="A145" t="inlineStr">
        <is>
          <t>A 28056-2025</t>
        </is>
      </c>
      <c r="B145" s="1" t="n">
        <v>45817</v>
      </c>
      <c r="C145" s="1" t="n">
        <v>46075</v>
      </c>
      <c r="D145" t="inlineStr">
        <is>
          <t>UPPSALA LÄN</t>
        </is>
      </c>
      <c r="E145" t="inlineStr">
        <is>
          <t>UPPSALA</t>
        </is>
      </c>
      <c r="G145" t="n">
        <v>19.3</v>
      </c>
      <c r="H145" t="n">
        <v>1</v>
      </c>
      <c r="I145" t="n">
        <v>0</v>
      </c>
      <c r="J145" t="n">
        <v>0</v>
      </c>
      <c r="K145" t="n">
        <v>1</v>
      </c>
      <c r="L145" t="n">
        <v>0</v>
      </c>
      <c r="M145" t="n">
        <v>0</v>
      </c>
      <c r="N145" t="n">
        <v>0</v>
      </c>
      <c r="O145" t="n">
        <v>1</v>
      </c>
      <c r="P145" t="n">
        <v>1</v>
      </c>
      <c r="Q145" t="n">
        <v>1</v>
      </c>
      <c r="R145" s="2" t="inlineStr">
        <is>
          <t>Knärot</t>
        </is>
      </c>
      <c r="S145">
        <f>HYPERLINK("https://klasma.github.io/Logging_0380/artfynd/A 28056-2025 artfynd.xlsx", "A 28056-2025")</f>
        <v/>
      </c>
      <c r="T145">
        <f>HYPERLINK("https://klasma.github.io/Logging_0380/kartor/A 28056-2025 karta.png", "A 28056-2025")</f>
        <v/>
      </c>
      <c r="U145">
        <f>HYPERLINK("https://klasma.github.io/Logging_0380/knärot/A 28056-2025 karta knärot.png", "A 28056-2025")</f>
        <v/>
      </c>
      <c r="V145">
        <f>HYPERLINK("https://klasma.github.io/Logging_0380/klagomål/A 28056-2025 FSC-klagomål.docx", "A 28056-2025")</f>
        <v/>
      </c>
      <c r="W145">
        <f>HYPERLINK("https://klasma.github.io/Logging_0380/klagomålsmail/A 28056-2025 FSC-klagomål mail.docx", "A 28056-2025")</f>
        <v/>
      </c>
      <c r="X145">
        <f>HYPERLINK("https://klasma.github.io/Logging_0380/tillsyn/A 28056-2025 tillsynsbegäran.docx", "A 28056-2025")</f>
        <v/>
      </c>
      <c r="Y145">
        <f>HYPERLINK("https://klasma.github.io/Logging_0380/tillsynsmail/A 28056-2025 tillsynsbegäran mail.docx", "A 28056-2025")</f>
        <v/>
      </c>
    </row>
    <row r="146" ht="15" customHeight="1">
      <c r="A146" t="inlineStr">
        <is>
          <t>A 3260-2022</t>
        </is>
      </c>
      <c r="B146" s="1" t="n">
        <v>44583.61803240741</v>
      </c>
      <c r="C146" s="1" t="n">
        <v>46075</v>
      </c>
      <c r="D146" t="inlineStr">
        <is>
          <t>UPPSALA LÄN</t>
        </is>
      </c>
      <c r="E146" t="inlineStr">
        <is>
          <t>UPPSALA</t>
        </is>
      </c>
      <c r="F146" t="inlineStr">
        <is>
          <t>Holmen skog AB</t>
        </is>
      </c>
      <c r="G146" t="n">
        <v>0.5</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46075</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612-2022</t>
        </is>
      </c>
      <c r="B148" s="1" t="n">
        <v>44567.81241898148</v>
      </c>
      <c r="C148" s="1" t="n">
        <v>46075</v>
      </c>
      <c r="D148" t="inlineStr">
        <is>
          <t>UPPSALA LÄN</t>
        </is>
      </c>
      <c r="E148" t="inlineStr">
        <is>
          <t>UPPSALA</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38469-2021</t>
        </is>
      </c>
      <c r="B149" s="1" t="n">
        <v>44407</v>
      </c>
      <c r="C149" s="1" t="n">
        <v>46075</v>
      </c>
      <c r="D149" t="inlineStr">
        <is>
          <t>UPPSALA LÄN</t>
        </is>
      </c>
      <c r="E149" t="inlineStr">
        <is>
          <t>UPPSALA</t>
        </is>
      </c>
      <c r="F149" t="inlineStr">
        <is>
          <t>Bergvik skog öst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6853-2022</t>
        </is>
      </c>
      <c r="B150" s="1" t="n">
        <v>44602</v>
      </c>
      <c r="C150" s="1" t="n">
        <v>46075</v>
      </c>
      <c r="D150" t="inlineStr">
        <is>
          <t>UPPSALA LÄN</t>
        </is>
      </c>
      <c r="E150" t="inlineStr">
        <is>
          <t>UPPSALA</t>
        </is>
      </c>
      <c r="G150" t="n">
        <v>12</v>
      </c>
      <c r="H150" t="n">
        <v>0</v>
      </c>
      <c r="I150" t="n">
        <v>0</v>
      </c>
      <c r="J150" t="n">
        <v>0</v>
      </c>
      <c r="K150" t="n">
        <v>0</v>
      </c>
      <c r="L150" t="n">
        <v>0</v>
      </c>
      <c r="M150" t="n">
        <v>0</v>
      </c>
      <c r="N150" t="n">
        <v>0</v>
      </c>
      <c r="O150" t="n">
        <v>0</v>
      </c>
      <c r="P150" t="n">
        <v>0</v>
      </c>
      <c r="Q150" t="n">
        <v>0</v>
      </c>
      <c r="R150" s="2" t="inlineStr"/>
    </row>
    <row r="151" ht="15" customHeight="1">
      <c r="A151" t="inlineStr">
        <is>
          <t>A 6863-2022</t>
        </is>
      </c>
      <c r="B151" s="1" t="n">
        <v>44602</v>
      </c>
      <c r="C151" s="1" t="n">
        <v>46075</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46075</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68139-2021</t>
        </is>
      </c>
      <c r="B153" s="1" t="n">
        <v>44526</v>
      </c>
      <c r="C153" s="1" t="n">
        <v>46075</v>
      </c>
      <c r="D153" t="inlineStr">
        <is>
          <t>UPPSALA LÄN</t>
        </is>
      </c>
      <c r="E153" t="inlineStr">
        <is>
          <t>UPPSALA</t>
        </is>
      </c>
      <c r="F153" t="inlineStr">
        <is>
          <t>Bergvik skog öst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58897-2021</t>
        </is>
      </c>
      <c r="B154" s="1" t="n">
        <v>44489</v>
      </c>
      <c r="C154" s="1" t="n">
        <v>46075</v>
      </c>
      <c r="D154" t="inlineStr">
        <is>
          <t>UPPSALA LÄN</t>
        </is>
      </c>
      <c r="E154" t="inlineStr">
        <is>
          <t>UPPSALA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8139-2022</t>
        </is>
      </c>
      <c r="B155" s="1" t="n">
        <v>44609.61430555556</v>
      </c>
      <c r="C155" s="1" t="n">
        <v>46075</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46075</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46075</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22645-2022</t>
        </is>
      </c>
      <c r="B158" s="1" t="n">
        <v>44714</v>
      </c>
      <c r="C158" s="1" t="n">
        <v>46075</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59479-2021</t>
        </is>
      </c>
      <c r="B159" s="1" t="n">
        <v>44491.50769675926</v>
      </c>
      <c r="C159" s="1" t="n">
        <v>46075</v>
      </c>
      <c r="D159" t="inlineStr">
        <is>
          <t>UPPSALA LÄN</t>
        </is>
      </c>
      <c r="E159" t="inlineStr">
        <is>
          <t>UPPSALA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9712-2021</t>
        </is>
      </c>
      <c r="B160" s="1" t="n">
        <v>44252</v>
      </c>
      <c r="C160" s="1" t="n">
        <v>46075</v>
      </c>
      <c r="D160" t="inlineStr">
        <is>
          <t>UPPSALA LÄN</t>
        </is>
      </c>
      <c r="E160" t="inlineStr">
        <is>
          <t>UPPSALA</t>
        </is>
      </c>
      <c r="G160" t="n">
        <v>1.7</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46075</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46075</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46075</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46075</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1148-2022</t>
        </is>
      </c>
      <c r="B165" s="1" t="n">
        <v>44572.39640046296</v>
      </c>
      <c r="C165" s="1" t="n">
        <v>46075</v>
      </c>
      <c r="D165" t="inlineStr">
        <is>
          <t>UPPSALA LÄN</t>
        </is>
      </c>
      <c r="E165" t="inlineStr">
        <is>
          <t>UPPSALA</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46075</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46075</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46075</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46075</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46075</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46075</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46075</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46075</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46075</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46075</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46075</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46075</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46075</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46075</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46075</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46075</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46075</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46075</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46075</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46075</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46075</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46075</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27365-2021</t>
        </is>
      </c>
      <c r="B188" s="1" t="n">
        <v>44351</v>
      </c>
      <c r="C188" s="1" t="n">
        <v>46075</v>
      </c>
      <c r="D188" t="inlineStr">
        <is>
          <t>UPPSALA LÄN</t>
        </is>
      </c>
      <c r="E188" t="inlineStr">
        <is>
          <t>UPPSALA</t>
        </is>
      </c>
      <c r="F188" t="inlineStr">
        <is>
          <t>Allmännings- och besparingsskogar</t>
        </is>
      </c>
      <c r="G188" t="n">
        <v>20.5</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46075</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46075</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46075</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46075</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46075</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46075</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46075</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46075</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46075</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46075</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46075</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46075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46075</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46075</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46075</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46075</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46075</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46075</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46075</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46075</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46075</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46075</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46075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46075</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46075</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46075</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46075</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46075</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46075</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46075</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46075</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46075</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46075</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46075</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46075</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46075</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46075</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46075</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46075</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46075</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46075</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46075</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46075</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46075</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46075</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46075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46075</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46075</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46075</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46075</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46075</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46075</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46075</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46075</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46075</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46075</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46075</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46075</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46075</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46075</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46075</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46075</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46075</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46075</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46075</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46075</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46075</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46075</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46075</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46075</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46075</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46075</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9201-2024</t>
        </is>
      </c>
      <c r="B261" s="1" t="n">
        <v>45358</v>
      </c>
      <c r="C261" s="1" t="n">
        <v>46075</v>
      </c>
      <c r="D261" t="inlineStr">
        <is>
          <t>UPPSALA LÄN</t>
        </is>
      </c>
      <c r="E261" t="inlineStr">
        <is>
          <t>UPPSALA</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46075</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51935-2023</t>
        </is>
      </c>
      <c r="B263" s="1" t="n">
        <v>45223</v>
      </c>
      <c r="C263" s="1" t="n">
        <v>46075</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46075</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46075</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2980-2025</t>
        </is>
      </c>
      <c r="B266" s="1" t="n">
        <v>45678</v>
      </c>
      <c r="C266" s="1" t="n">
        <v>46075</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46075</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6059-2025</t>
        </is>
      </c>
      <c r="B268" s="1" t="n">
        <v>45695.8391550926</v>
      </c>
      <c r="C268" s="1" t="n">
        <v>46075</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12221-2022</t>
        </is>
      </c>
      <c r="B269" s="1" t="n">
        <v>44637.35744212963</v>
      </c>
      <c r="C269" s="1" t="n">
        <v>46075</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53921-2024</t>
        </is>
      </c>
      <c r="B270" s="1" t="n">
        <v>45615</v>
      </c>
      <c r="C270" s="1" t="n">
        <v>46075</v>
      </c>
      <c r="D270" t="inlineStr">
        <is>
          <t>UPPSALA LÄN</t>
        </is>
      </c>
      <c r="E270" t="inlineStr">
        <is>
          <t>UPPSALA</t>
        </is>
      </c>
      <c r="G270" t="n">
        <v>8.1</v>
      </c>
      <c r="H270" t="n">
        <v>0</v>
      </c>
      <c r="I270" t="n">
        <v>0</v>
      </c>
      <c r="J270" t="n">
        <v>0</v>
      </c>
      <c r="K270" t="n">
        <v>0</v>
      </c>
      <c r="L270" t="n">
        <v>0</v>
      </c>
      <c r="M270" t="n">
        <v>0</v>
      </c>
      <c r="N270" t="n">
        <v>0</v>
      </c>
      <c r="O270" t="n">
        <v>0</v>
      </c>
      <c r="P270" t="n">
        <v>0</v>
      </c>
      <c r="Q270" t="n">
        <v>0</v>
      </c>
      <c r="R270" s="2" t="inlineStr"/>
    </row>
    <row r="271" ht="15" customHeight="1">
      <c r="A271" t="inlineStr">
        <is>
          <t>A 12293-2022</t>
        </is>
      </c>
      <c r="B271" s="1" t="n">
        <v>44637.56178240741</v>
      </c>
      <c r="C271" s="1" t="n">
        <v>46075</v>
      </c>
      <c r="D271" t="inlineStr">
        <is>
          <t>UPPSALA LÄN</t>
        </is>
      </c>
      <c r="E271" t="inlineStr">
        <is>
          <t>UPPSALA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56679-2022</t>
        </is>
      </c>
      <c r="B272" s="1" t="n">
        <v>44893</v>
      </c>
      <c r="C272" s="1" t="n">
        <v>46075</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6012-2025</t>
        </is>
      </c>
      <c r="B273" s="1" t="n">
        <v>45695.59805555556</v>
      </c>
      <c r="C273" s="1" t="n">
        <v>46075</v>
      </c>
      <c r="D273" t="inlineStr">
        <is>
          <t>UPPSALA LÄN</t>
        </is>
      </c>
      <c r="E273" t="inlineStr">
        <is>
          <t>UPPSALA</t>
        </is>
      </c>
      <c r="F273" t="inlineStr">
        <is>
          <t>Övriga Aktiebolag</t>
        </is>
      </c>
      <c r="G273" t="n">
        <v>14.3</v>
      </c>
      <c r="H273" t="n">
        <v>0</v>
      </c>
      <c r="I273" t="n">
        <v>0</v>
      </c>
      <c r="J273" t="n">
        <v>0</v>
      </c>
      <c r="K273" t="n">
        <v>0</v>
      </c>
      <c r="L273" t="n">
        <v>0</v>
      </c>
      <c r="M273" t="n">
        <v>0</v>
      </c>
      <c r="N273" t="n">
        <v>0</v>
      </c>
      <c r="O273" t="n">
        <v>0</v>
      </c>
      <c r="P273" t="n">
        <v>0</v>
      </c>
      <c r="Q273" t="n">
        <v>0</v>
      </c>
      <c r="R273" s="2" t="inlineStr"/>
    </row>
    <row r="274" ht="15" customHeight="1">
      <c r="A274" t="inlineStr">
        <is>
          <t>A 6997-2023</t>
        </is>
      </c>
      <c r="B274" s="1" t="n">
        <v>44967.78984953704</v>
      </c>
      <c r="C274" s="1" t="n">
        <v>46075</v>
      </c>
      <c r="D274" t="inlineStr">
        <is>
          <t>UPPSALA LÄN</t>
        </is>
      </c>
      <c r="E274" t="inlineStr">
        <is>
          <t>UPPSALA</t>
        </is>
      </c>
      <c r="G274" t="n">
        <v>3.9</v>
      </c>
      <c r="H274" t="n">
        <v>0</v>
      </c>
      <c r="I274" t="n">
        <v>0</v>
      </c>
      <c r="J274" t="n">
        <v>0</v>
      </c>
      <c r="K274" t="n">
        <v>0</v>
      </c>
      <c r="L274" t="n">
        <v>0</v>
      </c>
      <c r="M274" t="n">
        <v>0</v>
      </c>
      <c r="N274" t="n">
        <v>0</v>
      </c>
      <c r="O274" t="n">
        <v>0</v>
      </c>
      <c r="P274" t="n">
        <v>0</v>
      </c>
      <c r="Q274" t="n">
        <v>0</v>
      </c>
      <c r="R274" s="2" t="inlineStr"/>
    </row>
    <row r="275" ht="15" customHeight="1">
      <c r="A275" t="inlineStr">
        <is>
          <t>A 179-2024</t>
        </is>
      </c>
      <c r="B275" s="1" t="n">
        <v>45294.5666550926</v>
      </c>
      <c r="C275" s="1" t="n">
        <v>46075</v>
      </c>
      <c r="D275" t="inlineStr">
        <is>
          <t>UPPSALA LÄN</t>
        </is>
      </c>
      <c r="E275" t="inlineStr">
        <is>
          <t>UPPSALA</t>
        </is>
      </c>
      <c r="F275" t="inlineStr">
        <is>
          <t>Bergvik skog öst AB</t>
        </is>
      </c>
      <c r="G275" t="n">
        <v>12.7</v>
      </c>
      <c r="H275" t="n">
        <v>0</v>
      </c>
      <c r="I275" t="n">
        <v>0</v>
      </c>
      <c r="J275" t="n">
        <v>0</v>
      </c>
      <c r="K275" t="n">
        <v>0</v>
      </c>
      <c r="L275" t="n">
        <v>0</v>
      </c>
      <c r="M275" t="n">
        <v>0</v>
      </c>
      <c r="N275" t="n">
        <v>0</v>
      </c>
      <c r="O275" t="n">
        <v>0</v>
      </c>
      <c r="P275" t="n">
        <v>0</v>
      </c>
      <c r="Q275" t="n">
        <v>0</v>
      </c>
      <c r="R275" s="2" t="inlineStr"/>
    </row>
    <row r="276" ht="15" customHeight="1">
      <c r="A276" t="inlineStr">
        <is>
          <t>A 66686-2021</t>
        </is>
      </c>
      <c r="B276" s="1" t="n">
        <v>44519</v>
      </c>
      <c r="C276" s="1" t="n">
        <v>46075</v>
      </c>
      <c r="D276" t="inlineStr">
        <is>
          <t>UPPSALA LÄN</t>
        </is>
      </c>
      <c r="E276" t="inlineStr">
        <is>
          <t>UPPSALA</t>
        </is>
      </c>
      <c r="G276" t="n">
        <v>6.4</v>
      </c>
      <c r="H276" t="n">
        <v>0</v>
      </c>
      <c r="I276" t="n">
        <v>0</v>
      </c>
      <c r="J276" t="n">
        <v>0</v>
      </c>
      <c r="K276" t="n">
        <v>0</v>
      </c>
      <c r="L276" t="n">
        <v>0</v>
      </c>
      <c r="M276" t="n">
        <v>0</v>
      </c>
      <c r="N276" t="n">
        <v>0</v>
      </c>
      <c r="O276" t="n">
        <v>0</v>
      </c>
      <c r="P276" t="n">
        <v>0</v>
      </c>
      <c r="Q276" t="n">
        <v>0</v>
      </c>
      <c r="R276" s="2" t="inlineStr"/>
    </row>
    <row r="277" ht="15" customHeight="1">
      <c r="A277" t="inlineStr">
        <is>
          <t>A 17211-2025</t>
        </is>
      </c>
      <c r="B277" s="1" t="n">
        <v>45756.44024305556</v>
      </c>
      <c r="C277" s="1" t="n">
        <v>46075</v>
      </c>
      <c r="D277" t="inlineStr">
        <is>
          <t>UPPSALA LÄN</t>
        </is>
      </c>
      <c r="E277" t="inlineStr">
        <is>
          <t>UPPSALA</t>
        </is>
      </c>
      <c r="G277" t="n">
        <v>1.2</v>
      </c>
      <c r="H277" t="n">
        <v>0</v>
      </c>
      <c r="I277" t="n">
        <v>0</v>
      </c>
      <c r="J277" t="n">
        <v>0</v>
      </c>
      <c r="K277" t="n">
        <v>0</v>
      </c>
      <c r="L277" t="n">
        <v>0</v>
      </c>
      <c r="M277" t="n">
        <v>0</v>
      </c>
      <c r="N277" t="n">
        <v>0</v>
      </c>
      <c r="O277" t="n">
        <v>0</v>
      </c>
      <c r="P277" t="n">
        <v>0</v>
      </c>
      <c r="Q277" t="n">
        <v>0</v>
      </c>
      <c r="R277" s="2" t="inlineStr"/>
    </row>
    <row r="278" ht="15" customHeight="1">
      <c r="A278" t="inlineStr">
        <is>
          <t>A 8090-2022</t>
        </is>
      </c>
      <c r="B278" s="1" t="n">
        <v>44608</v>
      </c>
      <c r="C278" s="1" t="n">
        <v>46075</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11744-2023</t>
        </is>
      </c>
      <c r="B279" s="1" t="n">
        <v>44993</v>
      </c>
      <c r="C279" s="1" t="n">
        <v>46075</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39148-2022</t>
        </is>
      </c>
      <c r="B280" s="1" t="n">
        <v>44816</v>
      </c>
      <c r="C280" s="1" t="n">
        <v>46075</v>
      </c>
      <c r="D280" t="inlineStr">
        <is>
          <t>UPPSALA LÄN</t>
        </is>
      </c>
      <c r="E280" t="inlineStr">
        <is>
          <t>UPPSALA</t>
        </is>
      </c>
      <c r="F280" t="inlineStr">
        <is>
          <t>Övriga statliga verk och myndigheter</t>
        </is>
      </c>
      <c r="G280" t="n">
        <v>1.7</v>
      </c>
      <c r="H280" t="n">
        <v>0</v>
      </c>
      <c r="I280" t="n">
        <v>0</v>
      </c>
      <c r="J280" t="n">
        <v>0</v>
      </c>
      <c r="K280" t="n">
        <v>0</v>
      </c>
      <c r="L280" t="n">
        <v>0</v>
      </c>
      <c r="M280" t="n">
        <v>0</v>
      </c>
      <c r="N280" t="n">
        <v>0</v>
      </c>
      <c r="O280" t="n">
        <v>0</v>
      </c>
      <c r="P280" t="n">
        <v>0</v>
      </c>
      <c r="Q280" t="n">
        <v>0</v>
      </c>
      <c r="R280" s="2" t="inlineStr"/>
    </row>
    <row r="281" ht="15" customHeight="1">
      <c r="A281" t="inlineStr">
        <is>
          <t>A 5729-2025</t>
        </is>
      </c>
      <c r="B281" s="1" t="n">
        <v>45694.49037037037</v>
      </c>
      <c r="C281" s="1" t="n">
        <v>46075</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8132-2024</t>
        </is>
      </c>
      <c r="B282" s="1" t="n">
        <v>45351.54596064815</v>
      </c>
      <c r="C282" s="1" t="n">
        <v>46075</v>
      </c>
      <c r="D282" t="inlineStr">
        <is>
          <t>UPPSALA LÄN</t>
        </is>
      </c>
      <c r="E282" t="inlineStr">
        <is>
          <t>UPPSALA</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46075</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46075</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46075</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46075</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46075</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69691-2021</t>
        </is>
      </c>
      <c r="B288" s="1" t="n">
        <v>44532</v>
      </c>
      <c r="C288" s="1" t="n">
        <v>46075</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16811-2023</t>
        </is>
      </c>
      <c r="B289" s="1" t="n">
        <v>45033</v>
      </c>
      <c r="C289" s="1" t="n">
        <v>46075</v>
      </c>
      <c r="D289" t="inlineStr">
        <is>
          <t>UPPSALA LÄN</t>
        </is>
      </c>
      <c r="E289" t="inlineStr">
        <is>
          <t>UPPSALA</t>
        </is>
      </c>
      <c r="G289" t="n">
        <v>10.1</v>
      </c>
      <c r="H289" t="n">
        <v>0</v>
      </c>
      <c r="I289" t="n">
        <v>0</v>
      </c>
      <c r="J289" t="n">
        <v>0</v>
      </c>
      <c r="K289" t="n">
        <v>0</v>
      </c>
      <c r="L289" t="n">
        <v>0</v>
      </c>
      <c r="M289" t="n">
        <v>0</v>
      </c>
      <c r="N289" t="n">
        <v>0</v>
      </c>
      <c r="O289" t="n">
        <v>0</v>
      </c>
      <c r="P289" t="n">
        <v>0</v>
      </c>
      <c r="Q289" t="n">
        <v>0</v>
      </c>
      <c r="R289" s="2" t="inlineStr"/>
    </row>
    <row r="290" ht="15" customHeight="1">
      <c r="A290" t="inlineStr">
        <is>
          <t>A 5362-2023</t>
        </is>
      </c>
      <c r="B290" s="1" t="n">
        <v>44944</v>
      </c>
      <c r="C290" s="1" t="n">
        <v>46075</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26762-2023</t>
        </is>
      </c>
      <c r="B291" s="1" t="n">
        <v>45093.46706018518</v>
      </c>
      <c r="C291" s="1" t="n">
        <v>46075</v>
      </c>
      <c r="D291" t="inlineStr">
        <is>
          <t>UPPSALA LÄN</t>
        </is>
      </c>
      <c r="E291" t="inlineStr">
        <is>
          <t>UPPSALA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46075</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46075</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56872-2023</t>
        </is>
      </c>
      <c r="B294" s="1" t="n">
        <v>45244.52202546296</v>
      </c>
      <c r="C294" s="1" t="n">
        <v>46075</v>
      </c>
      <c r="D294" t="inlineStr">
        <is>
          <t>UPPSALA LÄN</t>
        </is>
      </c>
      <c r="E294" t="inlineStr">
        <is>
          <t>UPPSALA</t>
        </is>
      </c>
      <c r="F294" t="inlineStr">
        <is>
          <t>Holmen skog AB</t>
        </is>
      </c>
      <c r="G294" t="n">
        <v>3.5</v>
      </c>
      <c r="H294" t="n">
        <v>0</v>
      </c>
      <c r="I294" t="n">
        <v>0</v>
      </c>
      <c r="J294" t="n">
        <v>0</v>
      </c>
      <c r="K294" t="n">
        <v>0</v>
      </c>
      <c r="L294" t="n">
        <v>0</v>
      </c>
      <c r="M294" t="n">
        <v>0</v>
      </c>
      <c r="N294" t="n">
        <v>0</v>
      </c>
      <c r="O294" t="n">
        <v>0</v>
      </c>
      <c r="P294" t="n">
        <v>0</v>
      </c>
      <c r="Q294" t="n">
        <v>0</v>
      </c>
      <c r="R294" s="2" t="inlineStr"/>
    </row>
    <row r="295" ht="15" customHeight="1">
      <c r="A295" t="inlineStr">
        <is>
          <t>A 5204-2025</t>
        </is>
      </c>
      <c r="B295" s="1" t="n">
        <v>45691</v>
      </c>
      <c r="C295" s="1" t="n">
        <v>46075</v>
      </c>
      <c r="D295" t="inlineStr">
        <is>
          <t>UPPSALA LÄN</t>
        </is>
      </c>
      <c r="E295" t="inlineStr">
        <is>
          <t>UPPSALA</t>
        </is>
      </c>
      <c r="G295" t="n">
        <v>3.7</v>
      </c>
      <c r="H295" t="n">
        <v>0</v>
      </c>
      <c r="I295" t="n">
        <v>0</v>
      </c>
      <c r="J295" t="n">
        <v>0</v>
      </c>
      <c r="K295" t="n">
        <v>0</v>
      </c>
      <c r="L295" t="n">
        <v>0</v>
      </c>
      <c r="M295" t="n">
        <v>0</v>
      </c>
      <c r="N295" t="n">
        <v>0</v>
      </c>
      <c r="O295" t="n">
        <v>0</v>
      </c>
      <c r="P295" t="n">
        <v>0</v>
      </c>
      <c r="Q295" t="n">
        <v>0</v>
      </c>
      <c r="R295" s="2" t="inlineStr"/>
    </row>
    <row r="296" ht="15" customHeight="1">
      <c r="A296" t="inlineStr">
        <is>
          <t>A 53893-2023</t>
        </is>
      </c>
      <c r="B296" s="1" t="n">
        <v>45231</v>
      </c>
      <c r="C296" s="1" t="n">
        <v>46075</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46075</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46075</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50395-2023</t>
        </is>
      </c>
      <c r="B299" s="1" t="n">
        <v>45216</v>
      </c>
      <c r="C299" s="1" t="n">
        <v>46075</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46075</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341-2024</t>
        </is>
      </c>
      <c r="B301" s="1" t="n">
        <v>45295</v>
      </c>
      <c r="C301" s="1" t="n">
        <v>46075</v>
      </c>
      <c r="D301" t="inlineStr">
        <is>
          <t>UPPSALA LÄN</t>
        </is>
      </c>
      <c r="E301" t="inlineStr">
        <is>
          <t>UPPSALA</t>
        </is>
      </c>
      <c r="F301" t="inlineStr">
        <is>
          <t>Allmännings- och besparingsskogar</t>
        </is>
      </c>
      <c r="G301" t="n">
        <v>1.8</v>
      </c>
      <c r="H301" t="n">
        <v>0</v>
      </c>
      <c r="I301" t="n">
        <v>0</v>
      </c>
      <c r="J301" t="n">
        <v>0</v>
      </c>
      <c r="K301" t="n">
        <v>0</v>
      </c>
      <c r="L301" t="n">
        <v>0</v>
      </c>
      <c r="M301" t="n">
        <v>0</v>
      </c>
      <c r="N301" t="n">
        <v>0</v>
      </c>
      <c r="O301" t="n">
        <v>0</v>
      </c>
      <c r="P301" t="n">
        <v>0</v>
      </c>
      <c r="Q301" t="n">
        <v>0</v>
      </c>
      <c r="R301" s="2" t="inlineStr"/>
    </row>
    <row r="302" ht="15" customHeight="1">
      <c r="A302" t="inlineStr">
        <is>
          <t>A 18607-2024</t>
        </is>
      </c>
      <c r="B302" s="1" t="n">
        <v>45425.94947916667</v>
      </c>
      <c r="C302" s="1" t="n">
        <v>46075</v>
      </c>
      <c r="D302" t="inlineStr">
        <is>
          <t>UPPSALA LÄN</t>
        </is>
      </c>
      <c r="E302" t="inlineStr">
        <is>
          <t>UPPSALA</t>
        </is>
      </c>
      <c r="G302" t="n">
        <v>4.3</v>
      </c>
      <c r="H302" t="n">
        <v>0</v>
      </c>
      <c r="I302" t="n">
        <v>0</v>
      </c>
      <c r="J302" t="n">
        <v>0</v>
      </c>
      <c r="K302" t="n">
        <v>0</v>
      </c>
      <c r="L302" t="n">
        <v>0</v>
      </c>
      <c r="M302" t="n">
        <v>0</v>
      </c>
      <c r="N302" t="n">
        <v>0</v>
      </c>
      <c r="O302" t="n">
        <v>0</v>
      </c>
      <c r="P302" t="n">
        <v>0</v>
      </c>
      <c r="Q302" t="n">
        <v>0</v>
      </c>
      <c r="R302" s="2" t="inlineStr"/>
    </row>
    <row r="303" ht="15" customHeight="1">
      <c r="A303" t="inlineStr">
        <is>
          <t>A 10827-2024</t>
        </is>
      </c>
      <c r="B303" s="1" t="n">
        <v>45369</v>
      </c>
      <c r="C303" s="1" t="n">
        <v>46075</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12830-2025</t>
        </is>
      </c>
      <c r="B304" s="1" t="n">
        <v>45733.63099537037</v>
      </c>
      <c r="C304" s="1" t="n">
        <v>46075</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9914-2024</t>
        </is>
      </c>
      <c r="B305" s="1" t="n">
        <v>45363.54878472222</v>
      </c>
      <c r="C305" s="1" t="n">
        <v>46075</v>
      </c>
      <c r="D305" t="inlineStr">
        <is>
          <t>UPPSALA LÄN</t>
        </is>
      </c>
      <c r="E305" t="inlineStr">
        <is>
          <t>UPPSALA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37588-2022</t>
        </is>
      </c>
      <c r="B306" s="1" t="n">
        <v>44809.92752314815</v>
      </c>
      <c r="C306" s="1" t="n">
        <v>46075</v>
      </c>
      <c r="D306" t="inlineStr">
        <is>
          <t>UPPSALA LÄN</t>
        </is>
      </c>
      <c r="E306" t="inlineStr">
        <is>
          <t>UPPSALA</t>
        </is>
      </c>
      <c r="G306" t="n">
        <v>1.2</v>
      </c>
      <c r="H306" t="n">
        <v>0</v>
      </c>
      <c r="I306" t="n">
        <v>0</v>
      </c>
      <c r="J306" t="n">
        <v>0</v>
      </c>
      <c r="K306" t="n">
        <v>0</v>
      </c>
      <c r="L306" t="n">
        <v>0</v>
      </c>
      <c r="M306" t="n">
        <v>0</v>
      </c>
      <c r="N306" t="n">
        <v>0</v>
      </c>
      <c r="O306" t="n">
        <v>0</v>
      </c>
      <c r="P306" t="n">
        <v>0</v>
      </c>
      <c r="Q306" t="n">
        <v>0</v>
      </c>
      <c r="R306" s="2" t="inlineStr"/>
    </row>
    <row r="307" ht="15" customHeight="1">
      <c r="A307" t="inlineStr">
        <is>
          <t>A 59549-2024</t>
        </is>
      </c>
      <c r="B307" s="1" t="n">
        <v>45638</v>
      </c>
      <c r="C307" s="1" t="n">
        <v>46075</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9592-2022</t>
        </is>
      </c>
      <c r="B308" s="1" t="n">
        <v>44617.48311342593</v>
      </c>
      <c r="C308" s="1" t="n">
        <v>46075</v>
      </c>
      <c r="D308" t="inlineStr">
        <is>
          <t>UPPSALA LÄN</t>
        </is>
      </c>
      <c r="E308" t="inlineStr">
        <is>
          <t>UPPSALA</t>
        </is>
      </c>
      <c r="G308" t="n">
        <v>7.5</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46075</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29901-2023</t>
        </is>
      </c>
      <c r="B310" s="1" t="n">
        <v>45107</v>
      </c>
      <c r="C310" s="1" t="n">
        <v>46075</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29926-2023</t>
        </is>
      </c>
      <c r="B311" s="1" t="n">
        <v>45107</v>
      </c>
      <c r="C311" s="1" t="n">
        <v>46075</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3353-2023</t>
        </is>
      </c>
      <c r="B312" s="1" t="n">
        <v>44949.4708912037</v>
      </c>
      <c r="C312" s="1" t="n">
        <v>46075</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4412-2024</t>
        </is>
      </c>
      <c r="B313" s="1" t="n">
        <v>45327</v>
      </c>
      <c r="C313" s="1" t="n">
        <v>46075</v>
      </c>
      <c r="D313" t="inlineStr">
        <is>
          <t>UPPSALA LÄN</t>
        </is>
      </c>
      <c r="E313" t="inlineStr">
        <is>
          <t>UPPSALA</t>
        </is>
      </c>
      <c r="G313" t="n">
        <v>5.4</v>
      </c>
      <c r="H313" t="n">
        <v>0</v>
      </c>
      <c r="I313" t="n">
        <v>0</v>
      </c>
      <c r="J313" t="n">
        <v>0</v>
      </c>
      <c r="K313" t="n">
        <v>0</v>
      </c>
      <c r="L313" t="n">
        <v>0</v>
      </c>
      <c r="M313" t="n">
        <v>0</v>
      </c>
      <c r="N313" t="n">
        <v>0</v>
      </c>
      <c r="O313" t="n">
        <v>0</v>
      </c>
      <c r="P313" t="n">
        <v>0</v>
      </c>
      <c r="Q313" t="n">
        <v>0</v>
      </c>
      <c r="R313" s="2" t="inlineStr"/>
    </row>
    <row r="314" ht="15" customHeight="1">
      <c r="A314" t="inlineStr">
        <is>
          <t>A 36123-2023</t>
        </is>
      </c>
      <c r="B314" s="1" t="n">
        <v>45149.56928240741</v>
      </c>
      <c r="C314" s="1" t="n">
        <v>46075</v>
      </c>
      <c r="D314" t="inlineStr">
        <is>
          <t>UPPSALA LÄN</t>
        </is>
      </c>
      <c r="E314" t="inlineStr">
        <is>
          <t>UPPSALA</t>
        </is>
      </c>
      <c r="F314" t="inlineStr">
        <is>
          <t>Allmännings- och besparingsskogar</t>
        </is>
      </c>
      <c r="G314" t="n">
        <v>4.2</v>
      </c>
      <c r="H314" t="n">
        <v>0</v>
      </c>
      <c r="I314" t="n">
        <v>0</v>
      </c>
      <c r="J314" t="n">
        <v>0</v>
      </c>
      <c r="K314" t="n">
        <v>0</v>
      </c>
      <c r="L314" t="n">
        <v>0</v>
      </c>
      <c r="M314" t="n">
        <v>0</v>
      </c>
      <c r="N314" t="n">
        <v>0</v>
      </c>
      <c r="O314" t="n">
        <v>0</v>
      </c>
      <c r="P314" t="n">
        <v>0</v>
      </c>
      <c r="Q314" t="n">
        <v>0</v>
      </c>
      <c r="R314" s="2" t="inlineStr"/>
    </row>
    <row r="315" ht="15" customHeight="1">
      <c r="A315" t="inlineStr">
        <is>
          <t>A 5309-2022</t>
        </is>
      </c>
      <c r="B315" s="1" t="n">
        <v>44594</v>
      </c>
      <c r="C315" s="1" t="n">
        <v>46075</v>
      </c>
      <c r="D315" t="inlineStr">
        <is>
          <t>UPPSALA LÄN</t>
        </is>
      </c>
      <c r="E315" t="inlineStr">
        <is>
          <t>UPPSALA</t>
        </is>
      </c>
      <c r="G315" t="n">
        <v>4.8</v>
      </c>
      <c r="H315" t="n">
        <v>0</v>
      </c>
      <c r="I315" t="n">
        <v>0</v>
      </c>
      <c r="J315" t="n">
        <v>0</v>
      </c>
      <c r="K315" t="n">
        <v>0</v>
      </c>
      <c r="L315" t="n">
        <v>0</v>
      </c>
      <c r="M315" t="n">
        <v>0</v>
      </c>
      <c r="N315" t="n">
        <v>0</v>
      </c>
      <c r="O315" t="n">
        <v>0</v>
      </c>
      <c r="P315" t="n">
        <v>0</v>
      </c>
      <c r="Q315" t="n">
        <v>0</v>
      </c>
      <c r="R315" s="2" t="inlineStr"/>
    </row>
    <row r="316" ht="15" customHeight="1">
      <c r="A316" t="inlineStr">
        <is>
          <t>A 37162-2021</t>
        </is>
      </c>
      <c r="B316" s="1" t="n">
        <v>44395</v>
      </c>
      <c r="C316" s="1" t="n">
        <v>46075</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73326-2021</t>
        </is>
      </c>
      <c r="B317" s="1" t="n">
        <v>44548</v>
      </c>
      <c r="C317" s="1" t="n">
        <v>46075</v>
      </c>
      <c r="D317" t="inlineStr">
        <is>
          <t>UPPSALA LÄN</t>
        </is>
      </c>
      <c r="E317" t="inlineStr">
        <is>
          <t>UPPSALA</t>
        </is>
      </c>
      <c r="G317" t="n">
        <v>4</v>
      </c>
      <c r="H317" t="n">
        <v>0</v>
      </c>
      <c r="I317" t="n">
        <v>0</v>
      </c>
      <c r="J317" t="n">
        <v>0</v>
      </c>
      <c r="K317" t="n">
        <v>0</v>
      </c>
      <c r="L317" t="n">
        <v>0</v>
      </c>
      <c r="M317" t="n">
        <v>0</v>
      </c>
      <c r="N317" t="n">
        <v>0</v>
      </c>
      <c r="O317" t="n">
        <v>0</v>
      </c>
      <c r="P317" t="n">
        <v>0</v>
      </c>
      <c r="Q317" t="n">
        <v>0</v>
      </c>
      <c r="R317" s="2" t="inlineStr"/>
    </row>
    <row r="318" ht="15" customHeight="1">
      <c r="A318" t="inlineStr">
        <is>
          <t>A 24012-2023</t>
        </is>
      </c>
      <c r="B318" s="1" t="n">
        <v>45078</v>
      </c>
      <c r="C318" s="1" t="n">
        <v>46075</v>
      </c>
      <c r="D318" t="inlineStr">
        <is>
          <t>UPPSALA LÄN</t>
        </is>
      </c>
      <c r="E318" t="inlineStr">
        <is>
          <t>UPPSALA</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10612-2025</t>
        </is>
      </c>
      <c r="B319" s="1" t="n">
        <v>45721.60894675926</v>
      </c>
      <c r="C319" s="1" t="n">
        <v>46075</v>
      </c>
      <c r="D319" t="inlineStr">
        <is>
          <t>UPPSALA LÄN</t>
        </is>
      </c>
      <c r="E319" t="inlineStr">
        <is>
          <t>UPPSALA</t>
        </is>
      </c>
      <c r="G319" t="n">
        <v>3.5</v>
      </c>
      <c r="H319" t="n">
        <v>0</v>
      </c>
      <c r="I319" t="n">
        <v>0</v>
      </c>
      <c r="J319" t="n">
        <v>0</v>
      </c>
      <c r="K319" t="n">
        <v>0</v>
      </c>
      <c r="L319" t="n">
        <v>0</v>
      </c>
      <c r="M319" t="n">
        <v>0</v>
      </c>
      <c r="N319" t="n">
        <v>0</v>
      </c>
      <c r="O319" t="n">
        <v>0</v>
      </c>
      <c r="P319" t="n">
        <v>0</v>
      </c>
      <c r="Q319" t="n">
        <v>0</v>
      </c>
      <c r="R319" s="2" t="inlineStr"/>
    </row>
    <row r="320" ht="15" customHeight="1">
      <c r="A320" t="inlineStr">
        <is>
          <t>A 9206-2022</t>
        </is>
      </c>
      <c r="B320" s="1" t="n">
        <v>44616</v>
      </c>
      <c r="C320" s="1" t="n">
        <v>46075</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43818-2023</t>
        </is>
      </c>
      <c r="B321" s="1" t="n">
        <v>45182</v>
      </c>
      <c r="C321" s="1" t="n">
        <v>46075</v>
      </c>
      <c r="D321" t="inlineStr">
        <is>
          <t>UPPSALA LÄN</t>
        </is>
      </c>
      <c r="E321" t="inlineStr">
        <is>
          <t>UPPSALA</t>
        </is>
      </c>
      <c r="G321" t="n">
        <v>10.8</v>
      </c>
      <c r="H321" t="n">
        <v>0</v>
      </c>
      <c r="I321" t="n">
        <v>0</v>
      </c>
      <c r="J321" t="n">
        <v>0</v>
      </c>
      <c r="K321" t="n">
        <v>0</v>
      </c>
      <c r="L321" t="n">
        <v>0</v>
      </c>
      <c r="M321" t="n">
        <v>0</v>
      </c>
      <c r="N321" t="n">
        <v>0</v>
      </c>
      <c r="O321" t="n">
        <v>0</v>
      </c>
      <c r="P321" t="n">
        <v>0</v>
      </c>
      <c r="Q321" t="n">
        <v>0</v>
      </c>
      <c r="R321" s="2" t="inlineStr"/>
    </row>
    <row r="322" ht="15" customHeight="1">
      <c r="A322" t="inlineStr">
        <is>
          <t>A 40503-2024</t>
        </is>
      </c>
      <c r="B322" s="1" t="n">
        <v>45555.5727662037</v>
      </c>
      <c r="C322" s="1" t="n">
        <v>46075</v>
      </c>
      <c r="D322" t="inlineStr">
        <is>
          <t>UPPSALA LÄN</t>
        </is>
      </c>
      <c r="E322" t="inlineStr">
        <is>
          <t>UPPSALA</t>
        </is>
      </c>
      <c r="G322" t="n">
        <v>0.9</v>
      </c>
      <c r="H322" t="n">
        <v>0</v>
      </c>
      <c r="I322" t="n">
        <v>0</v>
      </c>
      <c r="J322" t="n">
        <v>0</v>
      </c>
      <c r="K322" t="n">
        <v>0</v>
      </c>
      <c r="L322" t="n">
        <v>0</v>
      </c>
      <c r="M322" t="n">
        <v>0</v>
      </c>
      <c r="N322" t="n">
        <v>0</v>
      </c>
      <c r="O322" t="n">
        <v>0</v>
      </c>
      <c r="P322" t="n">
        <v>0</v>
      </c>
      <c r="Q322" t="n">
        <v>0</v>
      </c>
      <c r="R322" s="2" t="inlineStr"/>
    </row>
    <row r="323" ht="15" customHeight="1">
      <c r="A323" t="inlineStr">
        <is>
          <t>A 9981-2025</t>
        </is>
      </c>
      <c r="B323" s="1" t="n">
        <v>45719.40723379629</v>
      </c>
      <c r="C323" s="1" t="n">
        <v>46075</v>
      </c>
      <c r="D323" t="inlineStr">
        <is>
          <t>UPPSALA LÄN</t>
        </is>
      </c>
      <c r="E323" t="inlineStr">
        <is>
          <t>UPPSALA</t>
        </is>
      </c>
      <c r="F323" t="inlineStr">
        <is>
          <t>Kyrkan</t>
        </is>
      </c>
      <c r="G323" t="n">
        <v>2.9</v>
      </c>
      <c r="H323" t="n">
        <v>0</v>
      </c>
      <c r="I323" t="n">
        <v>0</v>
      </c>
      <c r="J323" t="n">
        <v>0</v>
      </c>
      <c r="K323" t="n">
        <v>0</v>
      </c>
      <c r="L323" t="n">
        <v>0</v>
      </c>
      <c r="M323" t="n">
        <v>0</v>
      </c>
      <c r="N323" t="n">
        <v>0</v>
      </c>
      <c r="O323" t="n">
        <v>0</v>
      </c>
      <c r="P323" t="n">
        <v>0</v>
      </c>
      <c r="Q323" t="n">
        <v>0</v>
      </c>
      <c r="R323" s="2" t="inlineStr"/>
    </row>
    <row r="324" ht="15" customHeight="1">
      <c r="A324" t="inlineStr">
        <is>
          <t>A 60698-2024</t>
        </is>
      </c>
      <c r="B324" s="1" t="n">
        <v>45644</v>
      </c>
      <c r="C324" s="1" t="n">
        <v>46075</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60735-2024</t>
        </is>
      </c>
      <c r="B325" s="1" t="n">
        <v>45644</v>
      </c>
      <c r="C325" s="1" t="n">
        <v>46075</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13420-2021</t>
        </is>
      </c>
      <c r="B326" s="1" t="n">
        <v>44273</v>
      </c>
      <c r="C326" s="1" t="n">
        <v>46075</v>
      </c>
      <c r="D326" t="inlineStr">
        <is>
          <t>UPPSALA LÄN</t>
        </is>
      </c>
      <c r="E326" t="inlineStr">
        <is>
          <t>UPPSALA</t>
        </is>
      </c>
      <c r="G326" t="n">
        <v>1.9</v>
      </c>
      <c r="H326" t="n">
        <v>0</v>
      </c>
      <c r="I326" t="n">
        <v>0</v>
      </c>
      <c r="J326" t="n">
        <v>0</v>
      </c>
      <c r="K326" t="n">
        <v>0</v>
      </c>
      <c r="L326" t="n">
        <v>0</v>
      </c>
      <c r="M326" t="n">
        <v>0</v>
      </c>
      <c r="N326" t="n">
        <v>0</v>
      </c>
      <c r="O326" t="n">
        <v>0</v>
      </c>
      <c r="P326" t="n">
        <v>0</v>
      </c>
      <c r="Q326" t="n">
        <v>0</v>
      </c>
      <c r="R326" s="2" t="inlineStr"/>
    </row>
    <row r="327" ht="15" customHeight="1">
      <c r="A327" t="inlineStr">
        <is>
          <t>A 20206-2023</t>
        </is>
      </c>
      <c r="B327" s="1" t="n">
        <v>45055</v>
      </c>
      <c r="C327" s="1" t="n">
        <v>46075</v>
      </c>
      <c r="D327" t="inlineStr">
        <is>
          <t>UPPSALA LÄN</t>
        </is>
      </c>
      <c r="E327" t="inlineStr">
        <is>
          <t>UPPSALA</t>
        </is>
      </c>
      <c r="G327" t="n">
        <v>5.7</v>
      </c>
      <c r="H327" t="n">
        <v>0</v>
      </c>
      <c r="I327" t="n">
        <v>0</v>
      </c>
      <c r="J327" t="n">
        <v>0</v>
      </c>
      <c r="K327" t="n">
        <v>0</v>
      </c>
      <c r="L327" t="n">
        <v>0</v>
      </c>
      <c r="M327" t="n">
        <v>0</v>
      </c>
      <c r="N327" t="n">
        <v>0</v>
      </c>
      <c r="O327" t="n">
        <v>0</v>
      </c>
      <c r="P327" t="n">
        <v>0</v>
      </c>
      <c r="Q327" t="n">
        <v>0</v>
      </c>
      <c r="R327" s="2" t="inlineStr"/>
    </row>
    <row r="328" ht="15" customHeight="1">
      <c r="A328" t="inlineStr">
        <is>
          <t>A 61463-2024</t>
        </is>
      </c>
      <c r="B328" s="1" t="n">
        <v>45646.50211805556</v>
      </c>
      <c r="C328" s="1" t="n">
        <v>46075</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60701-2022</t>
        </is>
      </c>
      <c r="B329" s="1" t="n">
        <v>44912</v>
      </c>
      <c r="C329" s="1" t="n">
        <v>46075</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16434-2024</t>
        </is>
      </c>
      <c r="B330" s="1" t="n">
        <v>45407.69575231482</v>
      </c>
      <c r="C330" s="1" t="n">
        <v>46075</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1825-2024</t>
        </is>
      </c>
      <c r="B331" s="1" t="n">
        <v>45307</v>
      </c>
      <c r="C331" s="1" t="n">
        <v>46075</v>
      </c>
      <c r="D331" t="inlineStr">
        <is>
          <t>UPPSALA LÄN</t>
        </is>
      </c>
      <c r="E331" t="inlineStr">
        <is>
          <t>UPPSALA</t>
        </is>
      </c>
      <c r="G331" t="n">
        <v>4.2</v>
      </c>
      <c r="H331" t="n">
        <v>0</v>
      </c>
      <c r="I331" t="n">
        <v>0</v>
      </c>
      <c r="J331" t="n">
        <v>0</v>
      </c>
      <c r="K331" t="n">
        <v>0</v>
      </c>
      <c r="L331" t="n">
        <v>0</v>
      </c>
      <c r="M331" t="n">
        <v>0</v>
      </c>
      <c r="N331" t="n">
        <v>0</v>
      </c>
      <c r="O331" t="n">
        <v>0</v>
      </c>
      <c r="P331" t="n">
        <v>0</v>
      </c>
      <c r="Q331" t="n">
        <v>0</v>
      </c>
      <c r="R331" s="2" t="inlineStr"/>
    </row>
    <row r="332" ht="15" customHeight="1">
      <c r="A332" t="inlineStr">
        <is>
          <t>A 9993-2025</t>
        </is>
      </c>
      <c r="B332" s="1" t="n">
        <v>45719.43755787037</v>
      </c>
      <c r="C332" s="1" t="n">
        <v>46075</v>
      </c>
      <c r="D332" t="inlineStr">
        <is>
          <t>UPPSALA LÄN</t>
        </is>
      </c>
      <c r="E332" t="inlineStr">
        <is>
          <t>UPPSALA</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53614-2024</t>
        </is>
      </c>
      <c r="B333" s="1" t="n">
        <v>45611</v>
      </c>
      <c r="C333" s="1" t="n">
        <v>46075</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64855-2021</t>
        </is>
      </c>
      <c r="B334" s="1" t="n">
        <v>44512</v>
      </c>
      <c r="C334" s="1" t="n">
        <v>46075</v>
      </c>
      <c r="D334" t="inlineStr">
        <is>
          <t>UPPSALA LÄN</t>
        </is>
      </c>
      <c r="E334" t="inlineStr">
        <is>
          <t>UPPSALA</t>
        </is>
      </c>
      <c r="G334" t="n">
        <v>3.1</v>
      </c>
      <c r="H334" t="n">
        <v>0</v>
      </c>
      <c r="I334" t="n">
        <v>0</v>
      </c>
      <c r="J334" t="n">
        <v>0</v>
      </c>
      <c r="K334" t="n">
        <v>0</v>
      </c>
      <c r="L334" t="n">
        <v>0</v>
      </c>
      <c r="M334" t="n">
        <v>0</v>
      </c>
      <c r="N334" t="n">
        <v>0</v>
      </c>
      <c r="O334" t="n">
        <v>0</v>
      </c>
      <c r="P334" t="n">
        <v>0</v>
      </c>
      <c r="Q334" t="n">
        <v>0</v>
      </c>
      <c r="R334" s="2" t="inlineStr"/>
    </row>
    <row r="335" ht="15" customHeight="1">
      <c r="A335" t="inlineStr">
        <is>
          <t>A 27622-2023</t>
        </is>
      </c>
      <c r="B335" s="1" t="n">
        <v>45097</v>
      </c>
      <c r="C335" s="1" t="n">
        <v>46075</v>
      </c>
      <c r="D335" t="inlineStr">
        <is>
          <t>UPPSALA LÄN</t>
        </is>
      </c>
      <c r="E335" t="inlineStr">
        <is>
          <t>UPPSALA</t>
        </is>
      </c>
      <c r="G335" t="n">
        <v>3.2</v>
      </c>
      <c r="H335" t="n">
        <v>0</v>
      </c>
      <c r="I335" t="n">
        <v>0</v>
      </c>
      <c r="J335" t="n">
        <v>0</v>
      </c>
      <c r="K335" t="n">
        <v>0</v>
      </c>
      <c r="L335" t="n">
        <v>0</v>
      </c>
      <c r="M335" t="n">
        <v>0</v>
      </c>
      <c r="N335" t="n">
        <v>0</v>
      </c>
      <c r="O335" t="n">
        <v>0</v>
      </c>
      <c r="P335" t="n">
        <v>0</v>
      </c>
      <c r="Q335" t="n">
        <v>0</v>
      </c>
      <c r="R335" s="2" t="inlineStr"/>
    </row>
    <row r="336" ht="15" customHeight="1">
      <c r="A336" t="inlineStr">
        <is>
          <t>A 59133-2022</t>
        </is>
      </c>
      <c r="B336" s="1" t="n">
        <v>44904</v>
      </c>
      <c r="C336" s="1" t="n">
        <v>46075</v>
      </c>
      <c r="D336" t="inlineStr">
        <is>
          <t>UPPSALA LÄN</t>
        </is>
      </c>
      <c r="E336" t="inlineStr">
        <is>
          <t>UPPSALA</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43031-2023</t>
        </is>
      </c>
      <c r="B337" s="1" t="n">
        <v>45182</v>
      </c>
      <c r="C337" s="1" t="n">
        <v>46075</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28275-2025</t>
        </is>
      </c>
      <c r="B338" s="1" t="n">
        <v>45818.57910879629</v>
      </c>
      <c r="C338" s="1" t="n">
        <v>46075</v>
      </c>
      <c r="D338" t="inlineStr">
        <is>
          <t>UPPSALA LÄN</t>
        </is>
      </c>
      <c r="E338" t="inlineStr">
        <is>
          <t>UPPSALA</t>
        </is>
      </c>
      <c r="F338" t="inlineStr">
        <is>
          <t>Holmen skog AB</t>
        </is>
      </c>
      <c r="G338" t="n">
        <v>6.5</v>
      </c>
      <c r="H338" t="n">
        <v>0</v>
      </c>
      <c r="I338" t="n">
        <v>0</v>
      </c>
      <c r="J338" t="n">
        <v>0</v>
      </c>
      <c r="K338" t="n">
        <v>0</v>
      </c>
      <c r="L338" t="n">
        <v>0</v>
      </c>
      <c r="M338" t="n">
        <v>0</v>
      </c>
      <c r="N338" t="n">
        <v>0</v>
      </c>
      <c r="O338" t="n">
        <v>0</v>
      </c>
      <c r="P338" t="n">
        <v>0</v>
      </c>
      <c r="Q338" t="n">
        <v>0</v>
      </c>
      <c r="R338" s="2" t="inlineStr"/>
    </row>
    <row r="339" ht="15" customHeight="1">
      <c r="A339" t="inlineStr">
        <is>
          <t>A 27922-2025</t>
        </is>
      </c>
      <c r="B339" s="1" t="n">
        <v>45817</v>
      </c>
      <c r="C339" s="1" t="n">
        <v>46075</v>
      </c>
      <c r="D339" t="inlineStr">
        <is>
          <t>UPPSALA LÄN</t>
        </is>
      </c>
      <c r="E339" t="inlineStr">
        <is>
          <t>UPPSALA</t>
        </is>
      </c>
      <c r="F339" t="inlineStr">
        <is>
          <t>Övriga Aktiebolag</t>
        </is>
      </c>
      <c r="G339" t="n">
        <v>0.1</v>
      </c>
      <c r="H339" t="n">
        <v>0</v>
      </c>
      <c r="I339" t="n">
        <v>0</v>
      </c>
      <c r="J339" t="n">
        <v>0</v>
      </c>
      <c r="K339" t="n">
        <v>0</v>
      </c>
      <c r="L339" t="n">
        <v>0</v>
      </c>
      <c r="M339" t="n">
        <v>0</v>
      </c>
      <c r="N339" t="n">
        <v>0</v>
      </c>
      <c r="O339" t="n">
        <v>0</v>
      </c>
      <c r="P339" t="n">
        <v>0</v>
      </c>
      <c r="Q339" t="n">
        <v>0</v>
      </c>
      <c r="R339" s="2" t="inlineStr"/>
    </row>
    <row r="340" ht="15" customHeight="1">
      <c r="A340" t="inlineStr">
        <is>
          <t>A 42124-2021</t>
        </is>
      </c>
      <c r="B340" s="1" t="n">
        <v>44426</v>
      </c>
      <c r="C340" s="1" t="n">
        <v>46075</v>
      </c>
      <c r="D340" t="inlineStr">
        <is>
          <t>UPPSALA LÄN</t>
        </is>
      </c>
      <c r="E340" t="inlineStr">
        <is>
          <t>UPPSALA</t>
        </is>
      </c>
      <c r="G340" t="n">
        <v>6.3</v>
      </c>
      <c r="H340" t="n">
        <v>0</v>
      </c>
      <c r="I340" t="n">
        <v>0</v>
      </c>
      <c r="J340" t="n">
        <v>0</v>
      </c>
      <c r="K340" t="n">
        <v>0</v>
      </c>
      <c r="L340" t="n">
        <v>0</v>
      </c>
      <c r="M340" t="n">
        <v>0</v>
      </c>
      <c r="N340" t="n">
        <v>0</v>
      </c>
      <c r="O340" t="n">
        <v>0</v>
      </c>
      <c r="P340" t="n">
        <v>0</v>
      </c>
      <c r="Q340" t="n">
        <v>0</v>
      </c>
      <c r="R340" s="2" t="inlineStr"/>
    </row>
    <row r="341" ht="15" customHeight="1">
      <c r="A341" t="inlineStr">
        <is>
          <t>A 39795-2022</t>
        </is>
      </c>
      <c r="B341" s="1" t="n">
        <v>44819.50233796296</v>
      </c>
      <c r="C341" s="1" t="n">
        <v>46075</v>
      </c>
      <c r="D341" t="inlineStr">
        <is>
          <t>UPPSALA LÄN</t>
        </is>
      </c>
      <c r="E341" t="inlineStr">
        <is>
          <t>UPPSALA</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11409-2025</t>
        </is>
      </c>
      <c r="B342" s="1" t="n">
        <v>45726</v>
      </c>
      <c r="C342" s="1" t="n">
        <v>46075</v>
      </c>
      <c r="D342" t="inlineStr">
        <is>
          <t>UPPSALA LÄN</t>
        </is>
      </c>
      <c r="E342" t="inlineStr">
        <is>
          <t>UPPSALA</t>
        </is>
      </c>
      <c r="G342" t="n">
        <v>0.3</v>
      </c>
      <c r="H342" t="n">
        <v>0</v>
      </c>
      <c r="I342" t="n">
        <v>0</v>
      </c>
      <c r="J342" t="n">
        <v>0</v>
      </c>
      <c r="K342" t="n">
        <v>0</v>
      </c>
      <c r="L342" t="n">
        <v>0</v>
      </c>
      <c r="M342" t="n">
        <v>0</v>
      </c>
      <c r="N342" t="n">
        <v>0</v>
      </c>
      <c r="O342" t="n">
        <v>0</v>
      </c>
      <c r="P342" t="n">
        <v>0</v>
      </c>
      <c r="Q342" t="n">
        <v>0</v>
      </c>
      <c r="R342" s="2" t="inlineStr"/>
    </row>
    <row r="343" ht="15" customHeight="1">
      <c r="A343" t="inlineStr">
        <is>
          <t>A 668-2025</t>
        </is>
      </c>
      <c r="B343" s="1" t="n">
        <v>45664</v>
      </c>
      <c r="C343" s="1" t="n">
        <v>46075</v>
      </c>
      <c r="D343" t="inlineStr">
        <is>
          <t>UPPSALA LÄN</t>
        </is>
      </c>
      <c r="E343" t="inlineStr">
        <is>
          <t>UPPSALA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5006-2022</t>
        </is>
      </c>
      <c r="B344" s="1" t="n">
        <v>44593</v>
      </c>
      <c r="C344" s="1" t="n">
        <v>46075</v>
      </c>
      <c r="D344" t="inlineStr">
        <is>
          <t>UPPSALA LÄN</t>
        </is>
      </c>
      <c r="E344" t="inlineStr">
        <is>
          <t>UPPSALA</t>
        </is>
      </c>
      <c r="F344" t="inlineStr">
        <is>
          <t>BillerudKorsnäs AB</t>
        </is>
      </c>
      <c r="G344" t="n">
        <v>1.4</v>
      </c>
      <c r="H344" t="n">
        <v>0</v>
      </c>
      <c r="I344" t="n">
        <v>0</v>
      </c>
      <c r="J344" t="n">
        <v>0</v>
      </c>
      <c r="K344" t="n">
        <v>0</v>
      </c>
      <c r="L344" t="n">
        <v>0</v>
      </c>
      <c r="M344" t="n">
        <v>0</v>
      </c>
      <c r="N344" t="n">
        <v>0</v>
      </c>
      <c r="O344" t="n">
        <v>0</v>
      </c>
      <c r="P344" t="n">
        <v>0</v>
      </c>
      <c r="Q344" t="n">
        <v>0</v>
      </c>
      <c r="R344" s="2" t="inlineStr"/>
    </row>
    <row r="345" ht="15" customHeight="1">
      <c r="A345" t="inlineStr">
        <is>
          <t>A 38469-2025</t>
        </is>
      </c>
      <c r="B345" s="1" t="n">
        <v>45884</v>
      </c>
      <c r="C345" s="1" t="n">
        <v>46075</v>
      </c>
      <c r="D345" t="inlineStr">
        <is>
          <t>UPPSALA LÄN</t>
        </is>
      </c>
      <c r="E345" t="inlineStr">
        <is>
          <t>UPPSALA</t>
        </is>
      </c>
      <c r="G345" t="n">
        <v>2</v>
      </c>
      <c r="H345" t="n">
        <v>0</v>
      </c>
      <c r="I345" t="n">
        <v>0</v>
      </c>
      <c r="J345" t="n">
        <v>0</v>
      </c>
      <c r="K345" t="n">
        <v>0</v>
      </c>
      <c r="L345" t="n">
        <v>0</v>
      </c>
      <c r="M345" t="n">
        <v>0</v>
      </c>
      <c r="N345" t="n">
        <v>0</v>
      </c>
      <c r="O345" t="n">
        <v>0</v>
      </c>
      <c r="P345" t="n">
        <v>0</v>
      </c>
      <c r="Q345" t="n">
        <v>0</v>
      </c>
      <c r="R345" s="2" t="inlineStr"/>
    </row>
    <row r="346" ht="15" customHeight="1">
      <c r="A346" t="inlineStr">
        <is>
          <t>A 32928-2025</t>
        </is>
      </c>
      <c r="B346" s="1" t="n">
        <v>45839</v>
      </c>
      <c r="C346" s="1" t="n">
        <v>46075</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6408-2022</t>
        </is>
      </c>
      <c r="B347" s="1" t="n">
        <v>44600</v>
      </c>
      <c r="C347" s="1" t="n">
        <v>46075</v>
      </c>
      <c r="D347" t="inlineStr">
        <is>
          <t>UPPSALA LÄN</t>
        </is>
      </c>
      <c r="E347" t="inlineStr">
        <is>
          <t>UPPSALA</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24098-2024</t>
        </is>
      </c>
      <c r="B348" s="1" t="n">
        <v>45456.59535879629</v>
      </c>
      <c r="C348" s="1" t="n">
        <v>46075</v>
      </c>
      <c r="D348" t="inlineStr">
        <is>
          <t>UPPSALA LÄN</t>
        </is>
      </c>
      <c r="E348" t="inlineStr">
        <is>
          <t>UPPSALA</t>
        </is>
      </c>
      <c r="G348" t="n">
        <v>2.2</v>
      </c>
      <c r="H348" t="n">
        <v>0</v>
      </c>
      <c r="I348" t="n">
        <v>0</v>
      </c>
      <c r="J348" t="n">
        <v>0</v>
      </c>
      <c r="K348" t="n">
        <v>0</v>
      </c>
      <c r="L348" t="n">
        <v>0</v>
      </c>
      <c r="M348" t="n">
        <v>0</v>
      </c>
      <c r="N348" t="n">
        <v>0</v>
      </c>
      <c r="O348" t="n">
        <v>0</v>
      </c>
      <c r="P348" t="n">
        <v>0</v>
      </c>
      <c r="Q348" t="n">
        <v>0</v>
      </c>
      <c r="R348" s="2" t="inlineStr"/>
    </row>
    <row r="349" ht="15" customHeight="1">
      <c r="A349" t="inlineStr">
        <is>
          <t>A 5722-2025</t>
        </is>
      </c>
      <c r="B349" s="1" t="n">
        <v>45694</v>
      </c>
      <c r="C349" s="1" t="n">
        <v>46075</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37316-2022</t>
        </is>
      </c>
      <c r="B350" s="1" t="n">
        <v>44806</v>
      </c>
      <c r="C350" s="1" t="n">
        <v>46075</v>
      </c>
      <c r="D350" t="inlineStr">
        <is>
          <t>UPPSALA LÄN</t>
        </is>
      </c>
      <c r="E350" t="inlineStr">
        <is>
          <t>UPPSALA</t>
        </is>
      </c>
      <c r="G350" t="n">
        <v>10.6</v>
      </c>
      <c r="H350" t="n">
        <v>0</v>
      </c>
      <c r="I350" t="n">
        <v>0</v>
      </c>
      <c r="J350" t="n">
        <v>0</v>
      </c>
      <c r="K350" t="n">
        <v>0</v>
      </c>
      <c r="L350" t="n">
        <v>0</v>
      </c>
      <c r="M350" t="n">
        <v>0</v>
      </c>
      <c r="N350" t="n">
        <v>0</v>
      </c>
      <c r="O350" t="n">
        <v>0</v>
      </c>
      <c r="P350" t="n">
        <v>0</v>
      </c>
      <c r="Q350" t="n">
        <v>0</v>
      </c>
      <c r="R350" s="2" t="inlineStr"/>
    </row>
    <row r="351" ht="15" customHeight="1">
      <c r="A351" t="inlineStr">
        <is>
          <t>A 6363-2024</t>
        </is>
      </c>
      <c r="B351" s="1" t="n">
        <v>45338.49412037037</v>
      </c>
      <c r="C351" s="1" t="n">
        <v>46075</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28876-2025</t>
        </is>
      </c>
      <c r="B352" s="1" t="n">
        <v>45820</v>
      </c>
      <c r="C352" s="1" t="n">
        <v>46075</v>
      </c>
      <c r="D352" t="inlineStr">
        <is>
          <t>UPPSALA LÄN</t>
        </is>
      </c>
      <c r="E352" t="inlineStr">
        <is>
          <t>UPPSALA</t>
        </is>
      </c>
      <c r="G352" t="n">
        <v>4</v>
      </c>
      <c r="H352" t="n">
        <v>0</v>
      </c>
      <c r="I352" t="n">
        <v>0</v>
      </c>
      <c r="J352" t="n">
        <v>0</v>
      </c>
      <c r="K352" t="n">
        <v>0</v>
      </c>
      <c r="L352" t="n">
        <v>0</v>
      </c>
      <c r="M352" t="n">
        <v>0</v>
      </c>
      <c r="N352" t="n">
        <v>0</v>
      </c>
      <c r="O352" t="n">
        <v>0</v>
      </c>
      <c r="P352" t="n">
        <v>0</v>
      </c>
      <c r="Q352" t="n">
        <v>0</v>
      </c>
      <c r="R352" s="2" t="inlineStr"/>
    </row>
    <row r="353" ht="15" customHeight="1">
      <c r="A353" t="inlineStr">
        <is>
          <t>A 54808-2023</t>
        </is>
      </c>
      <c r="B353" s="1" t="n">
        <v>45236</v>
      </c>
      <c r="C353" s="1" t="n">
        <v>46075</v>
      </c>
      <c r="D353" t="inlineStr">
        <is>
          <t>UPPSALA LÄN</t>
        </is>
      </c>
      <c r="E353" t="inlineStr">
        <is>
          <t>UPPSALA</t>
        </is>
      </c>
      <c r="G353" t="n">
        <v>4.1</v>
      </c>
      <c r="H353" t="n">
        <v>0</v>
      </c>
      <c r="I353" t="n">
        <v>0</v>
      </c>
      <c r="J353" t="n">
        <v>0</v>
      </c>
      <c r="K353" t="n">
        <v>0</v>
      </c>
      <c r="L353" t="n">
        <v>0</v>
      </c>
      <c r="M353" t="n">
        <v>0</v>
      </c>
      <c r="N353" t="n">
        <v>0</v>
      </c>
      <c r="O353" t="n">
        <v>0</v>
      </c>
      <c r="P353" t="n">
        <v>0</v>
      </c>
      <c r="Q353" t="n">
        <v>0</v>
      </c>
      <c r="R353" s="2" t="inlineStr"/>
    </row>
    <row r="354" ht="15" customHeight="1">
      <c r="A354" t="inlineStr">
        <is>
          <t>A 28871-2025</t>
        </is>
      </c>
      <c r="B354" s="1" t="n">
        <v>45820</v>
      </c>
      <c r="C354" s="1" t="n">
        <v>46075</v>
      </c>
      <c r="D354" t="inlineStr">
        <is>
          <t>UPPSALA LÄN</t>
        </is>
      </c>
      <c r="E354" t="inlineStr">
        <is>
          <t>UPPSALA</t>
        </is>
      </c>
      <c r="G354" t="n">
        <v>6.5</v>
      </c>
      <c r="H354" t="n">
        <v>0</v>
      </c>
      <c r="I354" t="n">
        <v>0</v>
      </c>
      <c r="J354" t="n">
        <v>0</v>
      </c>
      <c r="K354" t="n">
        <v>0</v>
      </c>
      <c r="L354" t="n">
        <v>0</v>
      </c>
      <c r="M354" t="n">
        <v>0</v>
      </c>
      <c r="N354" t="n">
        <v>0</v>
      </c>
      <c r="O354" t="n">
        <v>0</v>
      </c>
      <c r="P354" t="n">
        <v>0</v>
      </c>
      <c r="Q354" t="n">
        <v>0</v>
      </c>
      <c r="R354" s="2" t="inlineStr"/>
    </row>
    <row r="355" ht="15" customHeight="1">
      <c r="A355" t="inlineStr">
        <is>
          <t>A 28878-2025</t>
        </is>
      </c>
      <c r="B355" s="1" t="n">
        <v>45820</v>
      </c>
      <c r="C355" s="1" t="n">
        <v>46075</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29030-2025</t>
        </is>
      </c>
      <c r="B356" s="1" t="n">
        <v>45821.44101851852</v>
      </c>
      <c r="C356" s="1" t="n">
        <v>46075</v>
      </c>
      <c r="D356" t="inlineStr">
        <is>
          <t>UPPSALA LÄN</t>
        </is>
      </c>
      <c r="E356" t="inlineStr">
        <is>
          <t>UPPSALA</t>
        </is>
      </c>
      <c r="G356" t="n">
        <v>3.9</v>
      </c>
      <c r="H356" t="n">
        <v>0</v>
      </c>
      <c r="I356" t="n">
        <v>0</v>
      </c>
      <c r="J356" t="n">
        <v>0</v>
      </c>
      <c r="K356" t="n">
        <v>0</v>
      </c>
      <c r="L356" t="n">
        <v>0</v>
      </c>
      <c r="M356" t="n">
        <v>0</v>
      </c>
      <c r="N356" t="n">
        <v>0</v>
      </c>
      <c r="O356" t="n">
        <v>0</v>
      </c>
      <c r="P356" t="n">
        <v>0</v>
      </c>
      <c r="Q356" t="n">
        <v>0</v>
      </c>
      <c r="R356" s="2" t="inlineStr"/>
    </row>
    <row r="357" ht="15" customHeight="1">
      <c r="A357" t="inlineStr">
        <is>
          <t>A 54813-2022</t>
        </is>
      </c>
      <c r="B357" s="1" t="n">
        <v>44883</v>
      </c>
      <c r="C357" s="1" t="n">
        <v>46075</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35542-2022</t>
        </is>
      </c>
      <c r="B358" s="1" t="n">
        <v>44799.36695601852</v>
      </c>
      <c r="C358" s="1" t="n">
        <v>46075</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29287-2025</t>
        </is>
      </c>
      <c r="B359" s="1" t="n">
        <v>45824.43798611111</v>
      </c>
      <c r="C359" s="1" t="n">
        <v>46075</v>
      </c>
      <c r="D359" t="inlineStr">
        <is>
          <t>UPPSALA LÄN</t>
        </is>
      </c>
      <c r="E359" t="inlineStr">
        <is>
          <t>UPPSALA</t>
        </is>
      </c>
      <c r="F359" t="inlineStr">
        <is>
          <t>Kyrkan</t>
        </is>
      </c>
      <c r="G359" t="n">
        <v>5.2</v>
      </c>
      <c r="H359" t="n">
        <v>0</v>
      </c>
      <c r="I359" t="n">
        <v>0</v>
      </c>
      <c r="J359" t="n">
        <v>0</v>
      </c>
      <c r="K359" t="n">
        <v>0</v>
      </c>
      <c r="L359" t="n">
        <v>0</v>
      </c>
      <c r="M359" t="n">
        <v>0</v>
      </c>
      <c r="N359" t="n">
        <v>0</v>
      </c>
      <c r="O359" t="n">
        <v>0</v>
      </c>
      <c r="P359" t="n">
        <v>0</v>
      </c>
      <c r="Q359" t="n">
        <v>0</v>
      </c>
      <c r="R359" s="2" t="inlineStr"/>
    </row>
    <row r="360" ht="15" customHeight="1">
      <c r="A360" t="inlineStr">
        <is>
          <t>A 29627-2025</t>
        </is>
      </c>
      <c r="B360" s="1" t="n">
        <v>45825.44482638889</v>
      </c>
      <c r="C360" s="1" t="n">
        <v>46075</v>
      </c>
      <c r="D360" t="inlineStr">
        <is>
          <t>UPPSALA LÄN</t>
        </is>
      </c>
      <c r="E360" t="inlineStr">
        <is>
          <t>UPPSALA</t>
        </is>
      </c>
      <c r="F360" t="inlineStr">
        <is>
          <t>Kommuner</t>
        </is>
      </c>
      <c r="G360" t="n">
        <v>1.6</v>
      </c>
      <c r="H360" t="n">
        <v>0</v>
      </c>
      <c r="I360" t="n">
        <v>0</v>
      </c>
      <c r="J360" t="n">
        <v>0</v>
      </c>
      <c r="K360" t="n">
        <v>0</v>
      </c>
      <c r="L360" t="n">
        <v>0</v>
      </c>
      <c r="M360" t="n">
        <v>0</v>
      </c>
      <c r="N360" t="n">
        <v>0</v>
      </c>
      <c r="O360" t="n">
        <v>0</v>
      </c>
      <c r="P360" t="n">
        <v>0</v>
      </c>
      <c r="Q360" t="n">
        <v>0</v>
      </c>
      <c r="R360" s="2" t="inlineStr"/>
    </row>
    <row r="361" ht="15" customHeight="1">
      <c r="A361" t="inlineStr">
        <is>
          <t>A 29047-2025</t>
        </is>
      </c>
      <c r="B361" s="1" t="n">
        <v>45821.45905092593</v>
      </c>
      <c r="C361" s="1" t="n">
        <v>46075</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47316-2023</t>
        </is>
      </c>
      <c r="B362" s="1" t="n">
        <v>45202.4997337963</v>
      </c>
      <c r="C362" s="1" t="n">
        <v>46075</v>
      </c>
      <c r="D362" t="inlineStr">
        <is>
          <t>UPPSALA LÄN</t>
        </is>
      </c>
      <c r="E362" t="inlineStr">
        <is>
          <t>UPPSALA</t>
        </is>
      </c>
      <c r="F362" t="inlineStr">
        <is>
          <t>Bergvik skog öst AB</t>
        </is>
      </c>
      <c r="G362" t="n">
        <v>0.3</v>
      </c>
      <c r="H362" t="n">
        <v>0</v>
      </c>
      <c r="I362" t="n">
        <v>0</v>
      </c>
      <c r="J362" t="n">
        <v>0</v>
      </c>
      <c r="K362" t="n">
        <v>0</v>
      </c>
      <c r="L362" t="n">
        <v>0</v>
      </c>
      <c r="M362" t="n">
        <v>0</v>
      </c>
      <c r="N362" t="n">
        <v>0</v>
      </c>
      <c r="O362" t="n">
        <v>0</v>
      </c>
      <c r="P362" t="n">
        <v>0</v>
      </c>
      <c r="Q362" t="n">
        <v>0</v>
      </c>
      <c r="R362" s="2" t="inlineStr"/>
    </row>
    <row r="363" ht="15" customHeight="1">
      <c r="A363" t="inlineStr">
        <is>
          <t>A 6851-2022</t>
        </is>
      </c>
      <c r="B363" s="1" t="n">
        <v>44602</v>
      </c>
      <c r="C363" s="1" t="n">
        <v>46075</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39792-2025</t>
        </is>
      </c>
      <c r="B364" s="1" t="n">
        <v>45891.4865625</v>
      </c>
      <c r="C364" s="1" t="n">
        <v>46075</v>
      </c>
      <c r="D364" t="inlineStr">
        <is>
          <t>UPPSALA LÄN</t>
        </is>
      </c>
      <c r="E364" t="inlineStr">
        <is>
          <t>UPPSALA</t>
        </is>
      </c>
      <c r="G364" t="n">
        <v>0.9</v>
      </c>
      <c r="H364" t="n">
        <v>0</v>
      </c>
      <c r="I364" t="n">
        <v>0</v>
      </c>
      <c r="J364" t="n">
        <v>0</v>
      </c>
      <c r="K364" t="n">
        <v>0</v>
      </c>
      <c r="L364" t="n">
        <v>0</v>
      </c>
      <c r="M364" t="n">
        <v>0</v>
      </c>
      <c r="N364" t="n">
        <v>0</v>
      </c>
      <c r="O364" t="n">
        <v>0</v>
      </c>
      <c r="P364" t="n">
        <v>0</v>
      </c>
      <c r="Q364" t="n">
        <v>0</v>
      </c>
      <c r="R364" s="2" t="inlineStr"/>
    </row>
    <row r="365" ht="15" customHeight="1">
      <c r="A365" t="inlineStr">
        <is>
          <t>A 39777-2025</t>
        </is>
      </c>
      <c r="B365" s="1" t="n">
        <v>45891.46827546296</v>
      </c>
      <c r="C365" s="1" t="n">
        <v>46075</v>
      </c>
      <c r="D365" t="inlineStr">
        <is>
          <t>UPPSALA LÄN</t>
        </is>
      </c>
      <c r="E365" t="inlineStr">
        <is>
          <t>UPPSALA</t>
        </is>
      </c>
      <c r="G365" t="n">
        <v>6.5</v>
      </c>
      <c r="H365" t="n">
        <v>0</v>
      </c>
      <c r="I365" t="n">
        <v>0</v>
      </c>
      <c r="J365" t="n">
        <v>0</v>
      </c>
      <c r="K365" t="n">
        <v>0</v>
      </c>
      <c r="L365" t="n">
        <v>0</v>
      </c>
      <c r="M365" t="n">
        <v>0</v>
      </c>
      <c r="N365" t="n">
        <v>0</v>
      </c>
      <c r="O365" t="n">
        <v>0</v>
      </c>
      <c r="P365" t="n">
        <v>0</v>
      </c>
      <c r="Q365" t="n">
        <v>0</v>
      </c>
      <c r="R365" s="2" t="inlineStr"/>
    </row>
    <row r="366" ht="15" customHeight="1">
      <c r="A366" t="inlineStr">
        <is>
          <t>A 39107-2023</t>
        </is>
      </c>
      <c r="B366" s="1" t="n">
        <v>45164.82913194445</v>
      </c>
      <c r="C366" s="1" t="n">
        <v>46075</v>
      </c>
      <c r="D366" t="inlineStr">
        <is>
          <t>UPPSALA LÄN</t>
        </is>
      </c>
      <c r="E366" t="inlineStr">
        <is>
          <t>UPPSALA</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39721-2025</t>
        </is>
      </c>
      <c r="B367" s="1" t="n">
        <v>45891.33204861111</v>
      </c>
      <c r="C367" s="1" t="n">
        <v>46075</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30437-2025</t>
        </is>
      </c>
      <c r="B368" s="1" t="n">
        <v>45827.64092592592</v>
      </c>
      <c r="C368" s="1" t="n">
        <v>46075</v>
      </c>
      <c r="D368" t="inlineStr">
        <is>
          <t>UPPSALA LÄN</t>
        </is>
      </c>
      <c r="E368" t="inlineStr">
        <is>
          <t>UPPSALA</t>
        </is>
      </c>
      <c r="G368" t="n">
        <v>3.6</v>
      </c>
      <c r="H368" t="n">
        <v>0</v>
      </c>
      <c r="I368" t="n">
        <v>0</v>
      </c>
      <c r="J368" t="n">
        <v>0</v>
      </c>
      <c r="K368" t="n">
        <v>0</v>
      </c>
      <c r="L368" t="n">
        <v>0</v>
      </c>
      <c r="M368" t="n">
        <v>0</v>
      </c>
      <c r="N368" t="n">
        <v>0</v>
      </c>
      <c r="O368" t="n">
        <v>0</v>
      </c>
      <c r="P368" t="n">
        <v>0</v>
      </c>
      <c r="Q368" t="n">
        <v>0</v>
      </c>
      <c r="R368" s="2" t="inlineStr"/>
    </row>
    <row r="369" ht="15" customHeight="1">
      <c r="A369" t="inlineStr">
        <is>
          <t>A 30282-2025</t>
        </is>
      </c>
      <c r="B369" s="1" t="n">
        <v>45827.46288194445</v>
      </c>
      <c r="C369" s="1" t="n">
        <v>46075</v>
      </c>
      <c r="D369" t="inlineStr">
        <is>
          <t>UPPSALA LÄN</t>
        </is>
      </c>
      <c r="E369" t="inlineStr">
        <is>
          <t>UPPSALA</t>
        </is>
      </c>
      <c r="F369" t="inlineStr">
        <is>
          <t>Holmen skog AB</t>
        </is>
      </c>
      <c r="G369" t="n">
        <v>3.5</v>
      </c>
      <c r="H369" t="n">
        <v>0</v>
      </c>
      <c r="I369" t="n">
        <v>0</v>
      </c>
      <c r="J369" t="n">
        <v>0</v>
      </c>
      <c r="K369" t="n">
        <v>0</v>
      </c>
      <c r="L369" t="n">
        <v>0</v>
      </c>
      <c r="M369" t="n">
        <v>0</v>
      </c>
      <c r="N369" t="n">
        <v>0</v>
      </c>
      <c r="O369" t="n">
        <v>0</v>
      </c>
      <c r="P369" t="n">
        <v>0</v>
      </c>
      <c r="Q369" t="n">
        <v>0</v>
      </c>
      <c r="R369" s="2" t="inlineStr"/>
    </row>
    <row r="370" ht="15" customHeight="1">
      <c r="A370" t="inlineStr">
        <is>
          <t>A 39529-2025</t>
        </is>
      </c>
      <c r="B370" s="1" t="n">
        <v>45890</v>
      </c>
      <c r="C370" s="1" t="n">
        <v>46075</v>
      </c>
      <c r="D370" t="inlineStr">
        <is>
          <t>UPPSALA LÄN</t>
        </is>
      </c>
      <c r="E370" t="inlineStr">
        <is>
          <t>UPPSALA</t>
        </is>
      </c>
      <c r="F370" t="inlineStr">
        <is>
          <t>Allmännings- och besparingsskogar</t>
        </is>
      </c>
      <c r="G370" t="n">
        <v>3.9</v>
      </c>
      <c r="H370" t="n">
        <v>0</v>
      </c>
      <c r="I370" t="n">
        <v>0</v>
      </c>
      <c r="J370" t="n">
        <v>0</v>
      </c>
      <c r="K370" t="n">
        <v>0</v>
      </c>
      <c r="L370" t="n">
        <v>0</v>
      </c>
      <c r="M370" t="n">
        <v>0</v>
      </c>
      <c r="N370" t="n">
        <v>0</v>
      </c>
      <c r="O370" t="n">
        <v>0</v>
      </c>
      <c r="P370" t="n">
        <v>0</v>
      </c>
      <c r="Q370" t="n">
        <v>0</v>
      </c>
      <c r="R370" s="2" t="inlineStr"/>
    </row>
    <row r="371" ht="15" customHeight="1">
      <c r="A371" t="inlineStr">
        <is>
          <t>A 48564-2023</t>
        </is>
      </c>
      <c r="B371" s="1" t="n">
        <v>45208.4350462963</v>
      </c>
      <c r="C371" s="1" t="n">
        <v>46075</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21727-2023</t>
        </is>
      </c>
      <c r="B372" s="1" t="n">
        <v>45065.43013888889</v>
      </c>
      <c r="C372" s="1" t="n">
        <v>46075</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18668-2024</t>
        </is>
      </c>
      <c r="B373" s="1" t="n">
        <v>45426.34148148148</v>
      </c>
      <c r="C373" s="1" t="n">
        <v>46075</v>
      </c>
      <c r="D373" t="inlineStr">
        <is>
          <t>UPPSALA LÄN</t>
        </is>
      </c>
      <c r="E373" t="inlineStr">
        <is>
          <t>UPPSALA</t>
        </is>
      </c>
      <c r="G373" t="n">
        <v>0.9</v>
      </c>
      <c r="H373" t="n">
        <v>0</v>
      </c>
      <c r="I373" t="n">
        <v>0</v>
      </c>
      <c r="J373" t="n">
        <v>0</v>
      </c>
      <c r="K373" t="n">
        <v>0</v>
      </c>
      <c r="L373" t="n">
        <v>0</v>
      </c>
      <c r="M373" t="n">
        <v>0</v>
      </c>
      <c r="N373" t="n">
        <v>0</v>
      </c>
      <c r="O373" t="n">
        <v>0</v>
      </c>
      <c r="P373" t="n">
        <v>0</v>
      </c>
      <c r="Q373" t="n">
        <v>0</v>
      </c>
      <c r="R373" s="2" t="inlineStr"/>
    </row>
    <row r="374" ht="15" customHeight="1">
      <c r="A374" t="inlineStr">
        <is>
          <t>A 30429-2025</t>
        </is>
      </c>
      <c r="B374" s="1" t="n">
        <v>45827.62096064815</v>
      </c>
      <c r="C374" s="1" t="n">
        <v>46075</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30567-2025</t>
        </is>
      </c>
      <c r="B375" s="1" t="n">
        <v>45831.40671296296</v>
      </c>
      <c r="C375" s="1" t="n">
        <v>46075</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32276-2021</t>
        </is>
      </c>
      <c r="B376" s="1" t="n">
        <v>44371.49178240741</v>
      </c>
      <c r="C376" s="1" t="n">
        <v>46075</v>
      </c>
      <c r="D376" t="inlineStr">
        <is>
          <t>UPPSALA LÄN</t>
        </is>
      </c>
      <c r="E376" t="inlineStr">
        <is>
          <t>UPPSALA</t>
        </is>
      </c>
      <c r="G376" t="n">
        <v>3.7</v>
      </c>
      <c r="H376" t="n">
        <v>0</v>
      </c>
      <c r="I376" t="n">
        <v>0</v>
      </c>
      <c r="J376" t="n">
        <v>0</v>
      </c>
      <c r="K376" t="n">
        <v>0</v>
      </c>
      <c r="L376" t="n">
        <v>0</v>
      </c>
      <c r="M376" t="n">
        <v>0</v>
      </c>
      <c r="N376" t="n">
        <v>0</v>
      </c>
      <c r="O376" t="n">
        <v>0</v>
      </c>
      <c r="P376" t="n">
        <v>0</v>
      </c>
      <c r="Q376" t="n">
        <v>0</v>
      </c>
      <c r="R376" s="2" t="inlineStr"/>
    </row>
    <row r="377" ht="15" customHeight="1">
      <c r="A377" t="inlineStr">
        <is>
          <t>A 11103-2025</t>
        </is>
      </c>
      <c r="B377" s="1" t="n">
        <v>45723</v>
      </c>
      <c r="C377" s="1" t="n">
        <v>46075</v>
      </c>
      <c r="D377" t="inlineStr">
        <is>
          <t>UPPSALA LÄN</t>
        </is>
      </c>
      <c r="E377" t="inlineStr">
        <is>
          <t>UPPSALA</t>
        </is>
      </c>
      <c r="G377" t="n">
        <v>7.9</v>
      </c>
      <c r="H377" t="n">
        <v>0</v>
      </c>
      <c r="I377" t="n">
        <v>0</v>
      </c>
      <c r="J377" t="n">
        <v>0</v>
      </c>
      <c r="K377" t="n">
        <v>0</v>
      </c>
      <c r="L377" t="n">
        <v>0</v>
      </c>
      <c r="M377" t="n">
        <v>0</v>
      </c>
      <c r="N377" t="n">
        <v>0</v>
      </c>
      <c r="O377" t="n">
        <v>0</v>
      </c>
      <c r="P377" t="n">
        <v>0</v>
      </c>
      <c r="Q377" t="n">
        <v>0</v>
      </c>
      <c r="R377" s="2" t="inlineStr"/>
    </row>
    <row r="378" ht="15" customHeight="1">
      <c r="A378" t="inlineStr">
        <is>
          <t>A 6549-2025</t>
        </is>
      </c>
      <c r="B378" s="1" t="n">
        <v>45699</v>
      </c>
      <c r="C378" s="1" t="n">
        <v>46075</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30838-2025</t>
        </is>
      </c>
      <c r="B379" s="1" t="n">
        <v>45831.72686342592</v>
      </c>
      <c r="C379" s="1" t="n">
        <v>46075</v>
      </c>
      <c r="D379" t="inlineStr">
        <is>
          <t>UPPSALA LÄN</t>
        </is>
      </c>
      <c r="E379" t="inlineStr">
        <is>
          <t>UPPSALA</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6999-2023</t>
        </is>
      </c>
      <c r="B380" s="1" t="n">
        <v>44967.80034722222</v>
      </c>
      <c r="C380" s="1" t="n">
        <v>46075</v>
      </c>
      <c r="D380" t="inlineStr">
        <is>
          <t>UPPSALA LÄN</t>
        </is>
      </c>
      <c r="E380" t="inlineStr">
        <is>
          <t>UPPSALA</t>
        </is>
      </c>
      <c r="G380" t="n">
        <v>1</v>
      </c>
      <c r="H380" t="n">
        <v>0</v>
      </c>
      <c r="I380" t="n">
        <v>0</v>
      </c>
      <c r="J380" t="n">
        <v>0</v>
      </c>
      <c r="K380" t="n">
        <v>0</v>
      </c>
      <c r="L380" t="n">
        <v>0</v>
      </c>
      <c r="M380" t="n">
        <v>0</v>
      </c>
      <c r="N380" t="n">
        <v>0</v>
      </c>
      <c r="O380" t="n">
        <v>0</v>
      </c>
      <c r="P380" t="n">
        <v>0</v>
      </c>
      <c r="Q380" t="n">
        <v>0</v>
      </c>
      <c r="R380" s="2" t="inlineStr"/>
    </row>
    <row r="381" ht="15" customHeight="1">
      <c r="A381" t="inlineStr">
        <is>
          <t>A 7002-2023</t>
        </is>
      </c>
      <c r="B381" s="1" t="n">
        <v>44967</v>
      </c>
      <c r="C381" s="1" t="n">
        <v>46075</v>
      </c>
      <c r="D381" t="inlineStr">
        <is>
          <t>UPPSALA LÄN</t>
        </is>
      </c>
      <c r="E381" t="inlineStr">
        <is>
          <t>UPPSALA</t>
        </is>
      </c>
      <c r="G381" t="n">
        <v>5</v>
      </c>
      <c r="H381" t="n">
        <v>0</v>
      </c>
      <c r="I381" t="n">
        <v>0</v>
      </c>
      <c r="J381" t="n">
        <v>0</v>
      </c>
      <c r="K381" t="n">
        <v>0</v>
      </c>
      <c r="L381" t="n">
        <v>0</v>
      </c>
      <c r="M381" t="n">
        <v>0</v>
      </c>
      <c r="N381" t="n">
        <v>0</v>
      </c>
      <c r="O381" t="n">
        <v>0</v>
      </c>
      <c r="P381" t="n">
        <v>0</v>
      </c>
      <c r="Q381" t="n">
        <v>0</v>
      </c>
      <c r="R381" s="2" t="inlineStr"/>
    </row>
    <row r="382" ht="15" customHeight="1">
      <c r="A382" t="inlineStr">
        <is>
          <t>A 30839-2025</t>
        </is>
      </c>
      <c r="B382" s="1" t="n">
        <v>45831.73</v>
      </c>
      <c r="C382" s="1" t="n">
        <v>46075</v>
      </c>
      <c r="D382" t="inlineStr">
        <is>
          <t>UPPSALA LÄN</t>
        </is>
      </c>
      <c r="E382" t="inlineStr">
        <is>
          <t>UPPSALA</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30585-2025</t>
        </is>
      </c>
      <c r="B383" s="1" t="n">
        <v>45831.42616898148</v>
      </c>
      <c r="C383" s="1" t="n">
        <v>46075</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40610-2025</t>
        </is>
      </c>
      <c r="B384" s="1" t="n">
        <v>45896.57368055556</v>
      </c>
      <c r="C384" s="1" t="n">
        <v>46075</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40504-2025</t>
        </is>
      </c>
      <c r="B385" s="1" t="n">
        <v>45896</v>
      </c>
      <c r="C385" s="1" t="n">
        <v>46075</v>
      </c>
      <c r="D385" t="inlineStr">
        <is>
          <t>UPPSALA LÄN</t>
        </is>
      </c>
      <c r="E385" t="inlineStr">
        <is>
          <t>UPPSALA</t>
        </is>
      </c>
      <c r="G385" t="n">
        <v>4.4</v>
      </c>
      <c r="H385" t="n">
        <v>0</v>
      </c>
      <c r="I385" t="n">
        <v>0</v>
      </c>
      <c r="J385" t="n">
        <v>0</v>
      </c>
      <c r="K385" t="n">
        <v>0</v>
      </c>
      <c r="L385" t="n">
        <v>0</v>
      </c>
      <c r="M385" t="n">
        <v>0</v>
      </c>
      <c r="N385" t="n">
        <v>0</v>
      </c>
      <c r="O385" t="n">
        <v>0</v>
      </c>
      <c r="P385" t="n">
        <v>0</v>
      </c>
      <c r="Q385" t="n">
        <v>0</v>
      </c>
      <c r="R385" s="2" t="inlineStr"/>
    </row>
    <row r="386" ht="15" customHeight="1">
      <c r="A386" t="inlineStr">
        <is>
          <t>A 40606-2025</t>
        </is>
      </c>
      <c r="B386" s="1" t="n">
        <v>45896.57171296296</v>
      </c>
      <c r="C386" s="1" t="n">
        <v>46075</v>
      </c>
      <c r="D386" t="inlineStr">
        <is>
          <t>UPPSALA LÄN</t>
        </is>
      </c>
      <c r="E386" t="inlineStr">
        <is>
          <t>UPPSALA</t>
        </is>
      </c>
      <c r="G386" t="n">
        <v>3.2</v>
      </c>
      <c r="H386" t="n">
        <v>0</v>
      </c>
      <c r="I386" t="n">
        <v>0</v>
      </c>
      <c r="J386" t="n">
        <v>0</v>
      </c>
      <c r="K386" t="n">
        <v>0</v>
      </c>
      <c r="L386" t="n">
        <v>0</v>
      </c>
      <c r="M386" t="n">
        <v>0</v>
      </c>
      <c r="N386" t="n">
        <v>0</v>
      </c>
      <c r="O386" t="n">
        <v>0</v>
      </c>
      <c r="P386" t="n">
        <v>0</v>
      </c>
      <c r="Q386" t="n">
        <v>0</v>
      </c>
      <c r="R386" s="2" t="inlineStr"/>
    </row>
    <row r="387" ht="15" customHeight="1">
      <c r="A387" t="inlineStr">
        <is>
          <t>A 40501-2025</t>
        </is>
      </c>
      <c r="B387" s="1" t="n">
        <v>45896</v>
      </c>
      <c r="C387" s="1" t="n">
        <v>46075</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30897-2025</t>
        </is>
      </c>
      <c r="B388" s="1" t="n">
        <v>45832.35545138889</v>
      </c>
      <c r="C388" s="1" t="n">
        <v>46075</v>
      </c>
      <c r="D388" t="inlineStr">
        <is>
          <t>UPPSALA LÄN</t>
        </is>
      </c>
      <c r="E388" t="inlineStr">
        <is>
          <t>UPPSALA</t>
        </is>
      </c>
      <c r="F388" t="inlineStr">
        <is>
          <t>Kyrkan</t>
        </is>
      </c>
      <c r="G388" t="n">
        <v>2.8</v>
      </c>
      <c r="H388" t="n">
        <v>0</v>
      </c>
      <c r="I388" t="n">
        <v>0</v>
      </c>
      <c r="J388" t="n">
        <v>0</v>
      </c>
      <c r="K388" t="n">
        <v>0</v>
      </c>
      <c r="L388" t="n">
        <v>0</v>
      </c>
      <c r="M388" t="n">
        <v>0</v>
      </c>
      <c r="N388" t="n">
        <v>0</v>
      </c>
      <c r="O388" t="n">
        <v>0</v>
      </c>
      <c r="P388" t="n">
        <v>0</v>
      </c>
      <c r="Q388" t="n">
        <v>0</v>
      </c>
      <c r="R388" s="2" t="inlineStr"/>
    </row>
    <row r="389" ht="15" customHeight="1">
      <c r="A389" t="inlineStr">
        <is>
          <t>A 40855-2025</t>
        </is>
      </c>
      <c r="B389" s="1" t="n">
        <v>45897</v>
      </c>
      <c r="C389" s="1" t="n">
        <v>46075</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30898-2025</t>
        </is>
      </c>
      <c r="B390" s="1" t="n">
        <v>45832.35590277778</v>
      </c>
      <c r="C390" s="1" t="n">
        <v>46075</v>
      </c>
      <c r="D390" t="inlineStr">
        <is>
          <t>UPPSALA LÄN</t>
        </is>
      </c>
      <c r="E390" t="inlineStr">
        <is>
          <t>UPPSALA</t>
        </is>
      </c>
      <c r="F390" t="inlineStr">
        <is>
          <t>Kyrkan</t>
        </is>
      </c>
      <c r="G390" t="n">
        <v>2.8</v>
      </c>
      <c r="H390" t="n">
        <v>0</v>
      </c>
      <c r="I390" t="n">
        <v>0</v>
      </c>
      <c r="J390" t="n">
        <v>0</v>
      </c>
      <c r="K390" t="n">
        <v>0</v>
      </c>
      <c r="L390" t="n">
        <v>0</v>
      </c>
      <c r="M390" t="n">
        <v>0</v>
      </c>
      <c r="N390" t="n">
        <v>0</v>
      </c>
      <c r="O390" t="n">
        <v>0</v>
      </c>
      <c r="P390" t="n">
        <v>0</v>
      </c>
      <c r="Q390" t="n">
        <v>0</v>
      </c>
      <c r="R390" s="2" t="inlineStr"/>
    </row>
    <row r="391" ht="15" customHeight="1">
      <c r="A391" t="inlineStr">
        <is>
          <t>A 57871-2024</t>
        </is>
      </c>
      <c r="B391" s="1" t="n">
        <v>45631.44464120371</v>
      </c>
      <c r="C391" s="1" t="n">
        <v>46075</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40639-2025</t>
        </is>
      </c>
      <c r="B392" s="1" t="n">
        <v>45896.61050925926</v>
      </c>
      <c r="C392" s="1" t="n">
        <v>46075</v>
      </c>
      <c r="D392" t="inlineStr">
        <is>
          <t>UPPSALA LÄN</t>
        </is>
      </c>
      <c r="E392" t="inlineStr">
        <is>
          <t>UPPSALA</t>
        </is>
      </c>
      <c r="G392" t="n">
        <v>6.9</v>
      </c>
      <c r="H392" t="n">
        <v>0</v>
      </c>
      <c r="I392" t="n">
        <v>0</v>
      </c>
      <c r="J392" t="n">
        <v>0</v>
      </c>
      <c r="K392" t="n">
        <v>0</v>
      </c>
      <c r="L392" t="n">
        <v>0</v>
      </c>
      <c r="M392" t="n">
        <v>0</v>
      </c>
      <c r="N392" t="n">
        <v>0</v>
      </c>
      <c r="O392" t="n">
        <v>0</v>
      </c>
      <c r="P392" t="n">
        <v>0</v>
      </c>
      <c r="Q392" t="n">
        <v>0</v>
      </c>
      <c r="R392" s="2" t="inlineStr"/>
    </row>
    <row r="393" ht="15" customHeight="1">
      <c r="A393" t="inlineStr">
        <is>
          <t>A 41444-2025</t>
        </is>
      </c>
      <c r="B393" s="1" t="n">
        <v>45901.41756944444</v>
      </c>
      <c r="C393" s="1" t="n">
        <v>46075</v>
      </c>
      <c r="D393" t="inlineStr">
        <is>
          <t>UPPSALA LÄN</t>
        </is>
      </c>
      <c r="E393" t="inlineStr">
        <is>
          <t>UPPSALA</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62471-2021</t>
        </is>
      </c>
      <c r="B394" s="1" t="n">
        <v>44503</v>
      </c>
      <c r="C394" s="1" t="n">
        <v>46075</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12606-2023</t>
        </is>
      </c>
      <c r="B395" s="1" t="n">
        <v>45000.44666666666</v>
      </c>
      <c r="C395" s="1" t="n">
        <v>46075</v>
      </c>
      <c r="D395" t="inlineStr">
        <is>
          <t>UPPSALA LÄN</t>
        </is>
      </c>
      <c r="E395" t="inlineStr">
        <is>
          <t>UPPSALA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6602-2023</t>
        </is>
      </c>
      <c r="B396" s="1" t="n">
        <v>44966</v>
      </c>
      <c r="C396" s="1" t="n">
        <v>46075</v>
      </c>
      <c r="D396" t="inlineStr">
        <is>
          <t>UPPSALA LÄN</t>
        </is>
      </c>
      <c r="E396" t="inlineStr">
        <is>
          <t>UPPSALA</t>
        </is>
      </c>
      <c r="F396" t="inlineStr">
        <is>
          <t>Allmännings- och besparingsskogar</t>
        </is>
      </c>
      <c r="G396" t="n">
        <v>20.2</v>
      </c>
      <c r="H396" t="n">
        <v>0</v>
      </c>
      <c r="I396" t="n">
        <v>0</v>
      </c>
      <c r="J396" t="n">
        <v>0</v>
      </c>
      <c r="K396" t="n">
        <v>0</v>
      </c>
      <c r="L396" t="n">
        <v>0</v>
      </c>
      <c r="M396" t="n">
        <v>0</v>
      </c>
      <c r="N396" t="n">
        <v>0</v>
      </c>
      <c r="O396" t="n">
        <v>0</v>
      </c>
      <c r="P396" t="n">
        <v>0</v>
      </c>
      <c r="Q396" t="n">
        <v>0</v>
      </c>
      <c r="R396" s="2" t="inlineStr"/>
    </row>
    <row r="397" ht="15" customHeight="1">
      <c r="A397" t="inlineStr">
        <is>
          <t>A 44115-2023</t>
        </is>
      </c>
      <c r="B397" s="1" t="n">
        <v>45188</v>
      </c>
      <c r="C397" s="1" t="n">
        <v>46075</v>
      </c>
      <c r="D397" t="inlineStr">
        <is>
          <t>UPPSALA LÄN</t>
        </is>
      </c>
      <c r="E397" t="inlineStr">
        <is>
          <t>UPPSALA</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41445-2025</t>
        </is>
      </c>
      <c r="B398" s="1" t="n">
        <v>45901.41853009259</v>
      </c>
      <c r="C398" s="1" t="n">
        <v>46075</v>
      </c>
      <c r="D398" t="inlineStr">
        <is>
          <t>UPPSALA LÄN</t>
        </is>
      </c>
      <c r="E398" t="inlineStr">
        <is>
          <t>UPPSALA</t>
        </is>
      </c>
      <c r="F398" t="inlineStr">
        <is>
          <t>Kyrkan</t>
        </is>
      </c>
      <c r="G398" t="n">
        <v>4.5</v>
      </c>
      <c r="H398" t="n">
        <v>0</v>
      </c>
      <c r="I398" t="n">
        <v>0</v>
      </c>
      <c r="J398" t="n">
        <v>0</v>
      </c>
      <c r="K398" t="n">
        <v>0</v>
      </c>
      <c r="L398" t="n">
        <v>0</v>
      </c>
      <c r="M398" t="n">
        <v>0</v>
      </c>
      <c r="N398" t="n">
        <v>0</v>
      </c>
      <c r="O398" t="n">
        <v>0</v>
      </c>
      <c r="P398" t="n">
        <v>0</v>
      </c>
      <c r="Q398" t="n">
        <v>0</v>
      </c>
      <c r="R398" s="2" t="inlineStr"/>
    </row>
    <row r="399" ht="15" customHeight="1">
      <c r="A399" t="inlineStr">
        <is>
          <t>A 42063-2023</t>
        </is>
      </c>
      <c r="B399" s="1" t="n">
        <v>45177.56940972222</v>
      </c>
      <c r="C399" s="1" t="n">
        <v>46075</v>
      </c>
      <c r="D399" t="inlineStr">
        <is>
          <t>UPPSALA LÄN</t>
        </is>
      </c>
      <c r="E399" t="inlineStr">
        <is>
          <t>UPPSALA</t>
        </is>
      </c>
      <c r="G399" t="n">
        <v>5.6</v>
      </c>
      <c r="H399" t="n">
        <v>0</v>
      </c>
      <c r="I399" t="n">
        <v>0</v>
      </c>
      <c r="J399" t="n">
        <v>0</v>
      </c>
      <c r="K399" t="n">
        <v>0</v>
      </c>
      <c r="L399" t="n">
        <v>0</v>
      </c>
      <c r="M399" t="n">
        <v>0</v>
      </c>
      <c r="N399" t="n">
        <v>0</v>
      </c>
      <c r="O399" t="n">
        <v>0</v>
      </c>
      <c r="P399" t="n">
        <v>0</v>
      </c>
      <c r="Q399" t="n">
        <v>0</v>
      </c>
      <c r="R399" s="2" t="inlineStr"/>
    </row>
    <row r="400" ht="15" customHeight="1">
      <c r="A400" t="inlineStr">
        <is>
          <t>A 74493-2021</t>
        </is>
      </c>
      <c r="B400" s="1" t="n">
        <v>44560</v>
      </c>
      <c r="C400" s="1" t="n">
        <v>46075</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17481-2023</t>
        </is>
      </c>
      <c r="B401" s="1" t="n">
        <v>45036</v>
      </c>
      <c r="C401" s="1" t="n">
        <v>46075</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2695-2025</t>
        </is>
      </c>
      <c r="B402" s="1" t="n">
        <v>45677.39440972222</v>
      </c>
      <c r="C402" s="1" t="n">
        <v>46075</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41954-2025</t>
        </is>
      </c>
      <c r="B403" s="1" t="n">
        <v>45903</v>
      </c>
      <c r="C403" s="1" t="n">
        <v>46075</v>
      </c>
      <c r="D403" t="inlineStr">
        <is>
          <t>UPPSALA LÄN</t>
        </is>
      </c>
      <c r="E403" t="inlineStr">
        <is>
          <t>UPPSALA</t>
        </is>
      </c>
      <c r="G403" t="n">
        <v>7.5</v>
      </c>
      <c r="H403" t="n">
        <v>0</v>
      </c>
      <c r="I403" t="n">
        <v>0</v>
      </c>
      <c r="J403" t="n">
        <v>0</v>
      </c>
      <c r="K403" t="n">
        <v>0</v>
      </c>
      <c r="L403" t="n">
        <v>0</v>
      </c>
      <c r="M403" t="n">
        <v>0</v>
      </c>
      <c r="N403" t="n">
        <v>0</v>
      </c>
      <c r="O403" t="n">
        <v>0</v>
      </c>
      <c r="P403" t="n">
        <v>0</v>
      </c>
      <c r="Q403" t="n">
        <v>0</v>
      </c>
      <c r="R403" s="2" t="inlineStr"/>
    </row>
    <row r="404" ht="15" customHeight="1">
      <c r="A404" t="inlineStr">
        <is>
          <t>A 32252-2025</t>
        </is>
      </c>
      <c r="B404" s="1" t="n">
        <v>45835.62752314815</v>
      </c>
      <c r="C404" s="1" t="n">
        <v>46075</v>
      </c>
      <c r="D404" t="inlineStr">
        <is>
          <t>UPPSALA LÄN</t>
        </is>
      </c>
      <c r="E404" t="inlineStr">
        <is>
          <t>UPPSALA</t>
        </is>
      </c>
      <c r="F404" t="inlineStr">
        <is>
          <t>Kyrkan</t>
        </is>
      </c>
      <c r="G404" t="n">
        <v>3.8</v>
      </c>
      <c r="H404" t="n">
        <v>0</v>
      </c>
      <c r="I404" t="n">
        <v>0</v>
      </c>
      <c r="J404" t="n">
        <v>0</v>
      </c>
      <c r="K404" t="n">
        <v>0</v>
      </c>
      <c r="L404" t="n">
        <v>0</v>
      </c>
      <c r="M404" t="n">
        <v>0</v>
      </c>
      <c r="N404" t="n">
        <v>0</v>
      </c>
      <c r="O404" t="n">
        <v>0</v>
      </c>
      <c r="P404" t="n">
        <v>0</v>
      </c>
      <c r="Q404" t="n">
        <v>0</v>
      </c>
      <c r="R404" s="2" t="inlineStr"/>
    </row>
    <row r="405" ht="15" customHeight="1">
      <c r="A405" t="inlineStr">
        <is>
          <t>A 15629-2023</t>
        </is>
      </c>
      <c r="B405" s="1" t="n">
        <v>45021.29524305555</v>
      </c>
      <c r="C405" s="1" t="n">
        <v>46075</v>
      </c>
      <c r="D405" t="inlineStr">
        <is>
          <t>UPPSALA LÄN</t>
        </is>
      </c>
      <c r="E405" t="inlineStr">
        <is>
          <t>UPPSALA</t>
        </is>
      </c>
      <c r="F405" t="inlineStr">
        <is>
          <t>Övriga Aktiebolag</t>
        </is>
      </c>
      <c r="G405" t="n">
        <v>7</v>
      </c>
      <c r="H405" t="n">
        <v>0</v>
      </c>
      <c r="I405" t="n">
        <v>0</v>
      </c>
      <c r="J405" t="n">
        <v>0</v>
      </c>
      <c r="K405" t="n">
        <v>0</v>
      </c>
      <c r="L405" t="n">
        <v>0</v>
      </c>
      <c r="M405" t="n">
        <v>0</v>
      </c>
      <c r="N405" t="n">
        <v>0</v>
      </c>
      <c r="O405" t="n">
        <v>0</v>
      </c>
      <c r="P405" t="n">
        <v>0</v>
      </c>
      <c r="Q405" t="n">
        <v>0</v>
      </c>
      <c r="R405" s="2" t="inlineStr"/>
    </row>
    <row r="406" ht="15" customHeight="1">
      <c r="A406" t="inlineStr">
        <is>
          <t>A 20497-2022</t>
        </is>
      </c>
      <c r="B406" s="1" t="n">
        <v>44699</v>
      </c>
      <c r="C406" s="1" t="n">
        <v>46075</v>
      </c>
      <c r="D406" t="inlineStr">
        <is>
          <t>UPPSALA LÄN</t>
        </is>
      </c>
      <c r="E406" t="inlineStr">
        <is>
          <t>UPPSALA</t>
        </is>
      </c>
      <c r="F406" t="inlineStr">
        <is>
          <t>Övriga statliga verk och myndigheter</t>
        </is>
      </c>
      <c r="G406" t="n">
        <v>1</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46075</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42085-2025</t>
        </is>
      </c>
      <c r="B408" s="1" t="n">
        <v>45903.69358796296</v>
      </c>
      <c r="C408" s="1" t="n">
        <v>46075</v>
      </c>
      <c r="D408" t="inlineStr">
        <is>
          <t>UPPSALA LÄN</t>
        </is>
      </c>
      <c r="E408" t="inlineStr">
        <is>
          <t>UPPSALA</t>
        </is>
      </c>
      <c r="F408" t="inlineStr">
        <is>
          <t>Bergvik skog öst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41707-2025</t>
        </is>
      </c>
      <c r="B409" s="1" t="n">
        <v>45902.42243055555</v>
      </c>
      <c r="C409" s="1" t="n">
        <v>46075</v>
      </c>
      <c r="D409" t="inlineStr">
        <is>
          <t>UPPSALA LÄN</t>
        </is>
      </c>
      <c r="E409" t="inlineStr">
        <is>
          <t>UPPSALA</t>
        </is>
      </c>
      <c r="F409" t="inlineStr">
        <is>
          <t>Allmännings- och besparingsskogar</t>
        </is>
      </c>
      <c r="G409" t="n">
        <v>3.3</v>
      </c>
      <c r="H409" t="n">
        <v>0</v>
      </c>
      <c r="I409" t="n">
        <v>0</v>
      </c>
      <c r="J409" t="n">
        <v>0</v>
      </c>
      <c r="K409" t="n">
        <v>0</v>
      </c>
      <c r="L409" t="n">
        <v>0</v>
      </c>
      <c r="M409" t="n">
        <v>0</v>
      </c>
      <c r="N409" t="n">
        <v>0</v>
      </c>
      <c r="O409" t="n">
        <v>0</v>
      </c>
      <c r="P409" t="n">
        <v>0</v>
      </c>
      <c r="Q409" t="n">
        <v>0</v>
      </c>
      <c r="R409" s="2" t="inlineStr"/>
    </row>
    <row r="410" ht="15" customHeight="1">
      <c r="A410" t="inlineStr">
        <is>
          <t>A 28958-2025</t>
        </is>
      </c>
      <c r="B410" s="1" t="n">
        <v>45821.31292824074</v>
      </c>
      <c r="C410" s="1" t="n">
        <v>46075</v>
      </c>
      <c r="D410" t="inlineStr">
        <is>
          <t>UPPSALA LÄN</t>
        </is>
      </c>
      <c r="E410" t="inlineStr">
        <is>
          <t>UPPSALA</t>
        </is>
      </c>
      <c r="G410" t="n">
        <v>4.6</v>
      </c>
      <c r="H410" t="n">
        <v>0</v>
      </c>
      <c r="I410" t="n">
        <v>0</v>
      </c>
      <c r="J410" t="n">
        <v>0</v>
      </c>
      <c r="K410" t="n">
        <v>0</v>
      </c>
      <c r="L410" t="n">
        <v>0</v>
      </c>
      <c r="M410" t="n">
        <v>0</v>
      </c>
      <c r="N410" t="n">
        <v>0</v>
      </c>
      <c r="O410" t="n">
        <v>0</v>
      </c>
      <c r="P410" t="n">
        <v>0</v>
      </c>
      <c r="Q410" t="n">
        <v>0</v>
      </c>
      <c r="R410" s="2" t="inlineStr"/>
    </row>
    <row r="411" ht="15" customHeight="1">
      <c r="A411" t="inlineStr">
        <is>
          <t>A 42541-2025</t>
        </is>
      </c>
      <c r="B411" s="1" t="n">
        <v>45905.5756712963</v>
      </c>
      <c r="C411" s="1" t="n">
        <v>46075</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44080-2023</t>
        </is>
      </c>
      <c r="B412" s="1" t="n">
        <v>45188.42052083334</v>
      </c>
      <c r="C412" s="1" t="n">
        <v>46075</v>
      </c>
      <c r="D412" t="inlineStr">
        <is>
          <t>UPPSALA LÄN</t>
        </is>
      </c>
      <c r="E412" t="inlineStr">
        <is>
          <t>UPPSALA</t>
        </is>
      </c>
      <c r="G412" t="n">
        <v>13.3</v>
      </c>
      <c r="H412" t="n">
        <v>0</v>
      </c>
      <c r="I412" t="n">
        <v>0</v>
      </c>
      <c r="J412" t="n">
        <v>0</v>
      </c>
      <c r="K412" t="n">
        <v>0</v>
      </c>
      <c r="L412" t="n">
        <v>0</v>
      </c>
      <c r="M412" t="n">
        <v>0</v>
      </c>
      <c r="N412" t="n">
        <v>0</v>
      </c>
      <c r="O412" t="n">
        <v>0</v>
      </c>
      <c r="P412" t="n">
        <v>0</v>
      </c>
      <c r="Q412" t="n">
        <v>0</v>
      </c>
      <c r="R412" s="2" t="inlineStr"/>
    </row>
    <row r="413" ht="15" customHeight="1">
      <c r="A413" t="inlineStr">
        <is>
          <t>A 10490-2025</t>
        </is>
      </c>
      <c r="B413" s="1" t="n">
        <v>45721.35173611111</v>
      </c>
      <c r="C413" s="1" t="n">
        <v>46075</v>
      </c>
      <c r="D413" t="inlineStr">
        <is>
          <t>UPPSALA LÄN</t>
        </is>
      </c>
      <c r="E413" t="inlineStr">
        <is>
          <t>UPPSALA</t>
        </is>
      </c>
      <c r="G413" t="n">
        <v>1.8</v>
      </c>
      <c r="H413" t="n">
        <v>0</v>
      </c>
      <c r="I413" t="n">
        <v>0</v>
      </c>
      <c r="J413" t="n">
        <v>0</v>
      </c>
      <c r="K413" t="n">
        <v>0</v>
      </c>
      <c r="L413" t="n">
        <v>0</v>
      </c>
      <c r="M413" t="n">
        <v>0</v>
      </c>
      <c r="N413" t="n">
        <v>0</v>
      </c>
      <c r="O413" t="n">
        <v>0</v>
      </c>
      <c r="P413" t="n">
        <v>0</v>
      </c>
      <c r="Q413" t="n">
        <v>0</v>
      </c>
      <c r="R413" s="2" t="inlineStr"/>
    </row>
    <row r="414" ht="15" customHeight="1">
      <c r="A414" t="inlineStr">
        <is>
          <t>A 55021-2022</t>
        </is>
      </c>
      <c r="B414" s="1" t="n">
        <v>44886</v>
      </c>
      <c r="C414" s="1" t="n">
        <v>46075</v>
      </c>
      <c r="D414" t="inlineStr">
        <is>
          <t>UPPSALA LÄN</t>
        </is>
      </c>
      <c r="E414" t="inlineStr">
        <is>
          <t>UPPSALA</t>
        </is>
      </c>
      <c r="G414" t="n">
        <v>1.2</v>
      </c>
      <c r="H414" t="n">
        <v>0</v>
      </c>
      <c r="I414" t="n">
        <v>0</v>
      </c>
      <c r="J414" t="n">
        <v>0</v>
      </c>
      <c r="K414" t="n">
        <v>0</v>
      </c>
      <c r="L414" t="n">
        <v>0</v>
      </c>
      <c r="M414" t="n">
        <v>0</v>
      </c>
      <c r="N414" t="n">
        <v>0</v>
      </c>
      <c r="O414" t="n">
        <v>0</v>
      </c>
      <c r="P414" t="n">
        <v>0</v>
      </c>
      <c r="Q414" t="n">
        <v>0</v>
      </c>
      <c r="R414" s="2" t="inlineStr"/>
    </row>
    <row r="415" ht="15" customHeight="1">
      <c r="A415" t="inlineStr">
        <is>
          <t>A 32923-2025</t>
        </is>
      </c>
      <c r="B415" s="1" t="n">
        <v>45839</v>
      </c>
      <c r="C415" s="1" t="n">
        <v>46075</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24909-2025</t>
        </is>
      </c>
      <c r="B416" s="1" t="n">
        <v>45799.53348379629</v>
      </c>
      <c r="C416" s="1" t="n">
        <v>46075</v>
      </c>
      <c r="D416" t="inlineStr">
        <is>
          <t>UPPSALA LÄN</t>
        </is>
      </c>
      <c r="E416" t="inlineStr">
        <is>
          <t>UPPSALA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26739-2025</t>
        </is>
      </c>
      <c r="B417" s="1" t="n">
        <v>45809</v>
      </c>
      <c r="C417" s="1" t="n">
        <v>46075</v>
      </c>
      <c r="D417" t="inlineStr">
        <is>
          <t>UPPSALA LÄN</t>
        </is>
      </c>
      <c r="E417" t="inlineStr">
        <is>
          <t>UPPSALA</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65659-2021</t>
        </is>
      </c>
      <c r="B418" s="1" t="n">
        <v>44516</v>
      </c>
      <c r="C418" s="1" t="n">
        <v>46075</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46075</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12211-2025</t>
        </is>
      </c>
      <c r="B420" s="1" t="n">
        <v>45729</v>
      </c>
      <c r="C420" s="1" t="n">
        <v>46075</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784-2024</t>
        </is>
      </c>
      <c r="B421" s="1" t="n">
        <v>45300.55680555556</v>
      </c>
      <c r="C421" s="1" t="n">
        <v>46075</v>
      </c>
      <c r="D421" t="inlineStr">
        <is>
          <t>UPPSALA LÄN</t>
        </is>
      </c>
      <c r="E421" t="inlineStr">
        <is>
          <t>UPPSALA</t>
        </is>
      </c>
      <c r="G421" t="n">
        <v>6.6</v>
      </c>
      <c r="H421" t="n">
        <v>0</v>
      </c>
      <c r="I421" t="n">
        <v>0</v>
      </c>
      <c r="J421" t="n">
        <v>0</v>
      </c>
      <c r="K421" t="n">
        <v>0</v>
      </c>
      <c r="L421" t="n">
        <v>0</v>
      </c>
      <c r="M421" t="n">
        <v>0</v>
      </c>
      <c r="N421" t="n">
        <v>0</v>
      </c>
      <c r="O421" t="n">
        <v>0</v>
      </c>
      <c r="P421" t="n">
        <v>0</v>
      </c>
      <c r="Q421" t="n">
        <v>0</v>
      </c>
      <c r="R421" s="2" t="inlineStr"/>
    </row>
    <row r="422" ht="15" customHeight="1">
      <c r="A422" t="inlineStr">
        <is>
          <t>A 32711-2025</t>
        </is>
      </c>
      <c r="B422" s="1" t="n">
        <v>45839</v>
      </c>
      <c r="C422" s="1" t="n">
        <v>46075</v>
      </c>
      <c r="D422" t="inlineStr">
        <is>
          <t>UPPSALA LÄN</t>
        </is>
      </c>
      <c r="E422" t="inlineStr">
        <is>
          <t>UPPSALA</t>
        </is>
      </c>
      <c r="G422" t="n">
        <v>0.8</v>
      </c>
      <c r="H422" t="n">
        <v>0</v>
      </c>
      <c r="I422" t="n">
        <v>0</v>
      </c>
      <c r="J422" t="n">
        <v>0</v>
      </c>
      <c r="K422" t="n">
        <v>0</v>
      </c>
      <c r="L422" t="n">
        <v>0</v>
      </c>
      <c r="M422" t="n">
        <v>0</v>
      </c>
      <c r="N422" t="n">
        <v>0</v>
      </c>
      <c r="O422" t="n">
        <v>0</v>
      </c>
      <c r="P422" t="n">
        <v>0</v>
      </c>
      <c r="Q422" t="n">
        <v>0</v>
      </c>
      <c r="R422" s="2" t="inlineStr"/>
      <c r="U422">
        <f>HYPERLINK("https://klasma.github.io/Logging_0380/knärot/A 32711-2025 karta knärot.png", "A 32711-2025")</f>
        <v/>
      </c>
      <c r="V422">
        <f>HYPERLINK("https://klasma.github.io/Logging_0380/klagomål/A 32711-2025 FSC-klagomål.docx", "A 32711-2025")</f>
        <v/>
      </c>
      <c r="W422">
        <f>HYPERLINK("https://klasma.github.io/Logging_0380/klagomålsmail/A 32711-2025 FSC-klagomål mail.docx", "A 32711-2025")</f>
        <v/>
      </c>
      <c r="X422">
        <f>HYPERLINK("https://klasma.github.io/Logging_0380/tillsyn/A 32711-2025 tillsynsbegäran.docx", "A 32711-2025")</f>
        <v/>
      </c>
      <c r="Y422">
        <f>HYPERLINK("https://klasma.github.io/Logging_0380/tillsynsmail/A 32711-2025 tillsynsbegäran mail.docx", "A 32711-2025")</f>
        <v/>
      </c>
    </row>
    <row r="423" ht="15" customHeight="1">
      <c r="A423" t="inlineStr">
        <is>
          <t>A 42593-2025</t>
        </is>
      </c>
      <c r="B423" s="1" t="n">
        <v>45905.64862268518</v>
      </c>
      <c r="C423" s="1" t="n">
        <v>46075</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26738-2025</t>
        </is>
      </c>
      <c r="B424" s="1" t="n">
        <v>45809</v>
      </c>
      <c r="C424" s="1" t="n">
        <v>46075</v>
      </c>
      <c r="D424" t="inlineStr">
        <is>
          <t>UPPSALA LÄN</t>
        </is>
      </c>
      <c r="E424" t="inlineStr">
        <is>
          <t>UPPSALA</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42134-2025</t>
        </is>
      </c>
      <c r="B425" s="1" t="n">
        <v>45904</v>
      </c>
      <c r="C425" s="1" t="n">
        <v>46075</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48571-2023</t>
        </is>
      </c>
      <c r="B426" s="1" t="n">
        <v>45208.46130787037</v>
      </c>
      <c r="C426" s="1" t="n">
        <v>46075</v>
      </c>
      <c r="D426" t="inlineStr">
        <is>
          <t>UPPSALA LÄN</t>
        </is>
      </c>
      <c r="E426" t="inlineStr">
        <is>
          <t>UPPSALA</t>
        </is>
      </c>
      <c r="G426" t="n">
        <v>1.8</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46075</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41002-2023</t>
        </is>
      </c>
      <c r="B428" s="1" t="n">
        <v>45173</v>
      </c>
      <c r="C428" s="1" t="n">
        <v>46075</v>
      </c>
      <c r="D428" t="inlineStr">
        <is>
          <t>UPPSALA LÄN</t>
        </is>
      </c>
      <c r="E428" t="inlineStr">
        <is>
          <t>UPPSALA</t>
        </is>
      </c>
      <c r="G428" t="n">
        <v>6.2</v>
      </c>
      <c r="H428" t="n">
        <v>0</v>
      </c>
      <c r="I428" t="n">
        <v>0</v>
      </c>
      <c r="J428" t="n">
        <v>0</v>
      </c>
      <c r="K428" t="n">
        <v>0</v>
      </c>
      <c r="L428" t="n">
        <v>0</v>
      </c>
      <c r="M428" t="n">
        <v>0</v>
      </c>
      <c r="N428" t="n">
        <v>0</v>
      </c>
      <c r="O428" t="n">
        <v>0</v>
      </c>
      <c r="P428" t="n">
        <v>0</v>
      </c>
      <c r="Q428" t="n">
        <v>0</v>
      </c>
      <c r="R428" s="2" t="inlineStr"/>
    </row>
    <row r="429" ht="15" customHeight="1">
      <c r="A429" t="inlineStr">
        <is>
          <t>A 33571-2025</t>
        </is>
      </c>
      <c r="B429" s="1" t="n">
        <v>45841.5847337963</v>
      </c>
      <c r="C429" s="1" t="n">
        <v>46075</v>
      </c>
      <c r="D429" t="inlineStr">
        <is>
          <t>UPPSALA LÄN</t>
        </is>
      </c>
      <c r="E429" t="inlineStr">
        <is>
          <t>UPPSALA</t>
        </is>
      </c>
      <c r="G429" t="n">
        <v>1.6</v>
      </c>
      <c r="H429" t="n">
        <v>0</v>
      </c>
      <c r="I429" t="n">
        <v>0</v>
      </c>
      <c r="J429" t="n">
        <v>0</v>
      </c>
      <c r="K429" t="n">
        <v>0</v>
      </c>
      <c r="L429" t="n">
        <v>0</v>
      </c>
      <c r="M429" t="n">
        <v>0</v>
      </c>
      <c r="N429" t="n">
        <v>0</v>
      </c>
      <c r="O429" t="n">
        <v>0</v>
      </c>
      <c r="P429" t="n">
        <v>0</v>
      </c>
      <c r="Q429" t="n">
        <v>0</v>
      </c>
      <c r="R429" s="2" t="inlineStr"/>
    </row>
    <row r="430" ht="15" customHeight="1">
      <c r="A430" t="inlineStr">
        <is>
          <t>A 33261-2025</t>
        </is>
      </c>
      <c r="B430" s="1" t="n">
        <v>45840</v>
      </c>
      <c r="C430" s="1" t="n">
        <v>46075</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43056-2025</t>
        </is>
      </c>
      <c r="B431" s="1" t="n">
        <v>45909.57565972222</v>
      </c>
      <c r="C431" s="1" t="n">
        <v>46075</v>
      </c>
      <c r="D431" t="inlineStr">
        <is>
          <t>UPPSALA LÄN</t>
        </is>
      </c>
      <c r="E431" t="inlineStr">
        <is>
          <t>UPPSALA</t>
        </is>
      </c>
      <c r="F431" t="inlineStr">
        <is>
          <t>Allmännings- och besparingsskogar</t>
        </is>
      </c>
      <c r="G431" t="n">
        <v>11.8</v>
      </c>
      <c r="H431" t="n">
        <v>0</v>
      </c>
      <c r="I431" t="n">
        <v>0</v>
      </c>
      <c r="J431" t="n">
        <v>0</v>
      </c>
      <c r="K431" t="n">
        <v>0</v>
      </c>
      <c r="L431" t="n">
        <v>0</v>
      </c>
      <c r="M431" t="n">
        <v>0</v>
      </c>
      <c r="N431" t="n">
        <v>0</v>
      </c>
      <c r="O431" t="n">
        <v>0</v>
      </c>
      <c r="P431" t="n">
        <v>0</v>
      </c>
      <c r="Q431" t="n">
        <v>0</v>
      </c>
      <c r="R431" s="2" t="inlineStr"/>
    </row>
    <row r="432" ht="15" customHeight="1">
      <c r="A432" t="inlineStr">
        <is>
          <t>A 45489-2023</t>
        </is>
      </c>
      <c r="B432" s="1" t="n">
        <v>45194</v>
      </c>
      <c r="C432" s="1" t="n">
        <v>46075</v>
      </c>
      <c r="D432" t="inlineStr">
        <is>
          <t>UPPSALA LÄN</t>
        </is>
      </c>
      <c r="E432" t="inlineStr">
        <is>
          <t>UPPSALA</t>
        </is>
      </c>
      <c r="F432" t="inlineStr">
        <is>
          <t>Allmännings- och besparingsskogar</t>
        </is>
      </c>
      <c r="G432" t="n">
        <v>15.8</v>
      </c>
      <c r="H432" t="n">
        <v>0</v>
      </c>
      <c r="I432" t="n">
        <v>0</v>
      </c>
      <c r="J432" t="n">
        <v>0</v>
      </c>
      <c r="K432" t="n">
        <v>0</v>
      </c>
      <c r="L432" t="n">
        <v>0</v>
      </c>
      <c r="M432" t="n">
        <v>0</v>
      </c>
      <c r="N432" t="n">
        <v>0</v>
      </c>
      <c r="O432" t="n">
        <v>0</v>
      </c>
      <c r="P432" t="n">
        <v>0</v>
      </c>
      <c r="Q432" t="n">
        <v>0</v>
      </c>
      <c r="R432" s="2" t="inlineStr"/>
    </row>
    <row r="433" ht="15" customHeight="1">
      <c r="A433" t="inlineStr">
        <is>
          <t>A 53906-2023</t>
        </is>
      </c>
      <c r="B433" s="1" t="n">
        <v>45231</v>
      </c>
      <c r="C433" s="1" t="n">
        <v>46075</v>
      </c>
      <c r="D433" t="inlineStr">
        <is>
          <t>UPPSALA LÄN</t>
        </is>
      </c>
      <c r="E433" t="inlineStr">
        <is>
          <t>UPPSALA</t>
        </is>
      </c>
      <c r="G433" t="n">
        <v>13.2</v>
      </c>
      <c r="H433" t="n">
        <v>0</v>
      </c>
      <c r="I433" t="n">
        <v>0</v>
      </c>
      <c r="J433" t="n">
        <v>0</v>
      </c>
      <c r="K433" t="n">
        <v>0</v>
      </c>
      <c r="L433" t="n">
        <v>0</v>
      </c>
      <c r="M433" t="n">
        <v>0</v>
      </c>
      <c r="N433" t="n">
        <v>0</v>
      </c>
      <c r="O433" t="n">
        <v>0</v>
      </c>
      <c r="P433" t="n">
        <v>0</v>
      </c>
      <c r="Q433" t="n">
        <v>0</v>
      </c>
      <c r="R433" s="2" t="inlineStr"/>
    </row>
    <row r="434" ht="15" customHeight="1">
      <c r="A434" t="inlineStr">
        <is>
          <t>A 55073-2022</t>
        </is>
      </c>
      <c r="B434" s="1" t="n">
        <v>44886.5928125</v>
      </c>
      <c r="C434" s="1" t="n">
        <v>46075</v>
      </c>
      <c r="D434" t="inlineStr">
        <is>
          <t>UPPSALA LÄN</t>
        </is>
      </c>
      <c r="E434" t="inlineStr">
        <is>
          <t>UPPSALA</t>
        </is>
      </c>
      <c r="G434" t="n">
        <v>1</v>
      </c>
      <c r="H434" t="n">
        <v>0</v>
      </c>
      <c r="I434" t="n">
        <v>0</v>
      </c>
      <c r="J434" t="n">
        <v>0</v>
      </c>
      <c r="K434" t="n">
        <v>0</v>
      </c>
      <c r="L434" t="n">
        <v>0</v>
      </c>
      <c r="M434" t="n">
        <v>0</v>
      </c>
      <c r="N434" t="n">
        <v>0</v>
      </c>
      <c r="O434" t="n">
        <v>0</v>
      </c>
      <c r="P434" t="n">
        <v>0</v>
      </c>
      <c r="Q434" t="n">
        <v>0</v>
      </c>
      <c r="R434" s="2" t="inlineStr"/>
    </row>
    <row r="435" ht="15" customHeight="1">
      <c r="A435" t="inlineStr">
        <is>
          <t>A 33816-2024</t>
        </is>
      </c>
      <c r="B435" s="1" t="n">
        <v>45520</v>
      </c>
      <c r="C435" s="1" t="n">
        <v>46075</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47083-2023</t>
        </is>
      </c>
      <c r="B436" s="1" t="n">
        <v>45201.62318287037</v>
      </c>
      <c r="C436" s="1" t="n">
        <v>46075</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33964-2025</t>
        </is>
      </c>
      <c r="B437" s="1" t="n">
        <v>45842.74049768518</v>
      </c>
      <c r="C437" s="1" t="n">
        <v>46075</v>
      </c>
      <c r="D437" t="inlineStr">
        <is>
          <t>UPPSALA LÄN</t>
        </is>
      </c>
      <c r="E437" t="inlineStr">
        <is>
          <t>UPPSALA</t>
        </is>
      </c>
      <c r="G437" t="n">
        <v>2.7</v>
      </c>
      <c r="H437" t="n">
        <v>0</v>
      </c>
      <c r="I437" t="n">
        <v>0</v>
      </c>
      <c r="J437" t="n">
        <v>0</v>
      </c>
      <c r="K437" t="n">
        <v>0</v>
      </c>
      <c r="L437" t="n">
        <v>0</v>
      </c>
      <c r="M437" t="n">
        <v>0</v>
      </c>
      <c r="N437" t="n">
        <v>0</v>
      </c>
      <c r="O437" t="n">
        <v>0</v>
      </c>
      <c r="P437" t="n">
        <v>0</v>
      </c>
      <c r="Q437" t="n">
        <v>0</v>
      </c>
      <c r="R437" s="2" t="inlineStr"/>
    </row>
    <row r="438" ht="15" customHeight="1">
      <c r="A438" t="inlineStr">
        <is>
          <t>A 36478-2023</t>
        </is>
      </c>
      <c r="B438" s="1" t="n">
        <v>45152</v>
      </c>
      <c r="C438" s="1" t="n">
        <v>46075</v>
      </c>
      <c r="D438" t="inlineStr">
        <is>
          <t>UPPSALA LÄN</t>
        </is>
      </c>
      <c r="E438" t="inlineStr">
        <is>
          <t>UPPSALA</t>
        </is>
      </c>
      <c r="F438" t="inlineStr">
        <is>
          <t>Allmännings- och besparingsskogar</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3314-2025</t>
        </is>
      </c>
      <c r="B439" s="1" t="n">
        <v>45679</v>
      </c>
      <c r="C439" s="1" t="n">
        <v>46075</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37670-2022</t>
        </is>
      </c>
      <c r="B440" s="1" t="n">
        <v>44810</v>
      </c>
      <c r="C440" s="1" t="n">
        <v>46075</v>
      </c>
      <c r="D440" t="inlineStr">
        <is>
          <t>UPPSALA LÄN</t>
        </is>
      </c>
      <c r="E440" t="inlineStr">
        <is>
          <t>UPPSALA</t>
        </is>
      </c>
      <c r="G440" t="n">
        <v>2.4</v>
      </c>
      <c r="H440" t="n">
        <v>0</v>
      </c>
      <c r="I440" t="n">
        <v>0</v>
      </c>
      <c r="J440" t="n">
        <v>0</v>
      </c>
      <c r="K440" t="n">
        <v>0</v>
      </c>
      <c r="L440" t="n">
        <v>0</v>
      </c>
      <c r="M440" t="n">
        <v>0</v>
      </c>
      <c r="N440" t="n">
        <v>0</v>
      </c>
      <c r="O440" t="n">
        <v>0</v>
      </c>
      <c r="P440" t="n">
        <v>0</v>
      </c>
      <c r="Q440" t="n">
        <v>0</v>
      </c>
      <c r="R440" s="2" t="inlineStr"/>
    </row>
    <row r="441" ht="15" customHeight="1">
      <c r="A441" t="inlineStr">
        <is>
          <t>A 18625-2025</t>
        </is>
      </c>
      <c r="B441" s="1" t="n">
        <v>45763.52744212963</v>
      </c>
      <c r="C441" s="1" t="n">
        <v>46075</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34132-2025</t>
        </is>
      </c>
      <c r="B442" s="1" t="n">
        <v>45845.53202546296</v>
      </c>
      <c r="C442" s="1" t="n">
        <v>46075</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43893-2025</t>
        </is>
      </c>
      <c r="B443" s="1" t="n">
        <v>45912.7097337963</v>
      </c>
      <c r="C443" s="1" t="n">
        <v>46075</v>
      </c>
      <c r="D443" t="inlineStr">
        <is>
          <t>UPPSALA LÄN</t>
        </is>
      </c>
      <c r="E443" t="inlineStr">
        <is>
          <t>UPPSALA</t>
        </is>
      </c>
      <c r="F443" t="inlineStr">
        <is>
          <t>Kyrkan</t>
        </is>
      </c>
      <c r="G443" t="n">
        <v>5.7</v>
      </c>
      <c r="H443" t="n">
        <v>0</v>
      </c>
      <c r="I443" t="n">
        <v>0</v>
      </c>
      <c r="J443" t="n">
        <v>0</v>
      </c>
      <c r="K443" t="n">
        <v>0</v>
      </c>
      <c r="L443" t="n">
        <v>0</v>
      </c>
      <c r="M443" t="n">
        <v>0</v>
      </c>
      <c r="N443" t="n">
        <v>0</v>
      </c>
      <c r="O443" t="n">
        <v>0</v>
      </c>
      <c r="P443" t="n">
        <v>0</v>
      </c>
      <c r="Q443" t="n">
        <v>0</v>
      </c>
      <c r="R443" s="2" t="inlineStr"/>
    </row>
    <row r="444" ht="15" customHeight="1">
      <c r="A444" t="inlineStr">
        <is>
          <t>A 44226-2025</t>
        </is>
      </c>
      <c r="B444" s="1" t="n">
        <v>45915.64064814815</v>
      </c>
      <c r="C444" s="1" t="n">
        <v>46075</v>
      </c>
      <c r="D444" t="inlineStr">
        <is>
          <t>UPPSALA LÄN</t>
        </is>
      </c>
      <c r="E444" t="inlineStr">
        <is>
          <t>UPPSALA</t>
        </is>
      </c>
      <c r="F444" t="inlineStr">
        <is>
          <t>Kyrkan</t>
        </is>
      </c>
      <c r="G444" t="n">
        <v>2.5</v>
      </c>
      <c r="H444" t="n">
        <v>0</v>
      </c>
      <c r="I444" t="n">
        <v>0</v>
      </c>
      <c r="J444" t="n">
        <v>0</v>
      </c>
      <c r="K444" t="n">
        <v>0</v>
      </c>
      <c r="L444" t="n">
        <v>0</v>
      </c>
      <c r="M444" t="n">
        <v>0</v>
      </c>
      <c r="N444" t="n">
        <v>0</v>
      </c>
      <c r="O444" t="n">
        <v>0</v>
      </c>
      <c r="P444" t="n">
        <v>0</v>
      </c>
      <c r="Q444" t="n">
        <v>0</v>
      </c>
      <c r="R444" s="2" t="inlineStr"/>
    </row>
    <row r="445" ht="15" customHeight="1">
      <c r="A445" t="inlineStr">
        <is>
          <t>A 43903-2025</t>
        </is>
      </c>
      <c r="B445" s="1" t="n">
        <v>45913.39467592593</v>
      </c>
      <c r="C445" s="1" t="n">
        <v>46075</v>
      </c>
      <c r="D445" t="inlineStr">
        <is>
          <t>UPPSALA LÄN</t>
        </is>
      </c>
      <c r="E445" t="inlineStr">
        <is>
          <t>UPPSALA</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32688-2023</t>
        </is>
      </c>
      <c r="B446" s="1" t="n">
        <v>45121</v>
      </c>
      <c r="C446" s="1" t="n">
        <v>46075</v>
      </c>
      <c r="D446" t="inlineStr">
        <is>
          <t>UPPSALA LÄN</t>
        </is>
      </c>
      <c r="E446" t="inlineStr">
        <is>
          <t>UPPSALA</t>
        </is>
      </c>
      <c r="F446" t="inlineStr">
        <is>
          <t>Holmen skog AB</t>
        </is>
      </c>
      <c r="G446" t="n">
        <v>4.3</v>
      </c>
      <c r="H446" t="n">
        <v>0</v>
      </c>
      <c r="I446" t="n">
        <v>0</v>
      </c>
      <c r="J446" t="n">
        <v>0</v>
      </c>
      <c r="K446" t="n">
        <v>0</v>
      </c>
      <c r="L446" t="n">
        <v>0</v>
      </c>
      <c r="M446" t="n">
        <v>0</v>
      </c>
      <c r="N446" t="n">
        <v>0</v>
      </c>
      <c r="O446" t="n">
        <v>0</v>
      </c>
      <c r="P446" t="n">
        <v>0</v>
      </c>
      <c r="Q446" t="n">
        <v>0</v>
      </c>
      <c r="R446" s="2" t="inlineStr"/>
    </row>
    <row r="447" ht="15" customHeight="1">
      <c r="A447" t="inlineStr">
        <is>
          <t>A 53266-2024</t>
        </is>
      </c>
      <c r="B447" s="1" t="n">
        <v>45614</v>
      </c>
      <c r="C447" s="1" t="n">
        <v>46075</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12282-2025</t>
        </is>
      </c>
      <c r="B448" s="1" t="n">
        <v>45729</v>
      </c>
      <c r="C448" s="1" t="n">
        <v>46075</v>
      </c>
      <c r="D448" t="inlineStr">
        <is>
          <t>UPPSALA LÄN</t>
        </is>
      </c>
      <c r="E448" t="inlineStr">
        <is>
          <t>UPPSALA</t>
        </is>
      </c>
      <c r="G448" t="n">
        <v>3.3</v>
      </c>
      <c r="H448" t="n">
        <v>0</v>
      </c>
      <c r="I448" t="n">
        <v>0</v>
      </c>
      <c r="J448" t="n">
        <v>0</v>
      </c>
      <c r="K448" t="n">
        <v>0</v>
      </c>
      <c r="L448" t="n">
        <v>0</v>
      </c>
      <c r="M448" t="n">
        <v>0</v>
      </c>
      <c r="N448" t="n">
        <v>0</v>
      </c>
      <c r="O448" t="n">
        <v>0</v>
      </c>
      <c r="P448" t="n">
        <v>0</v>
      </c>
      <c r="Q448" t="n">
        <v>0</v>
      </c>
      <c r="R448" s="2" t="inlineStr"/>
    </row>
    <row r="449" ht="15" customHeight="1">
      <c r="A449" t="inlineStr">
        <is>
          <t>A 59116-2024</t>
        </is>
      </c>
      <c r="B449" s="1" t="n">
        <v>45637</v>
      </c>
      <c r="C449" s="1" t="n">
        <v>46075</v>
      </c>
      <c r="D449" t="inlineStr">
        <is>
          <t>UPPSALA LÄN</t>
        </is>
      </c>
      <c r="E449" t="inlineStr">
        <is>
          <t>UPPSALA</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46075</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46075</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34893-2025</t>
        </is>
      </c>
      <c r="B452" s="1" t="n">
        <v>45849.49259259259</v>
      </c>
      <c r="C452" s="1" t="n">
        <v>46075</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13799-2024</t>
        </is>
      </c>
      <c r="B453" s="1" t="n">
        <v>45391.37361111111</v>
      </c>
      <c r="C453" s="1" t="n">
        <v>46075</v>
      </c>
      <c r="D453" t="inlineStr">
        <is>
          <t>UPPSALA LÄN</t>
        </is>
      </c>
      <c r="E453" t="inlineStr">
        <is>
          <t>UPPSALA</t>
        </is>
      </c>
      <c r="G453" t="n">
        <v>1.9</v>
      </c>
      <c r="H453" t="n">
        <v>0</v>
      </c>
      <c r="I453" t="n">
        <v>0</v>
      </c>
      <c r="J453" t="n">
        <v>0</v>
      </c>
      <c r="K453" t="n">
        <v>0</v>
      </c>
      <c r="L453" t="n">
        <v>0</v>
      </c>
      <c r="M453" t="n">
        <v>0</v>
      </c>
      <c r="N453" t="n">
        <v>0</v>
      </c>
      <c r="O453" t="n">
        <v>0</v>
      </c>
      <c r="P453" t="n">
        <v>0</v>
      </c>
      <c r="Q453" t="n">
        <v>0</v>
      </c>
      <c r="R453" s="2" t="inlineStr"/>
    </row>
    <row r="454" ht="15" customHeight="1">
      <c r="A454" t="inlineStr">
        <is>
          <t>A 60820-2024</t>
        </is>
      </c>
      <c r="B454" s="1" t="n">
        <v>45644.62677083333</v>
      </c>
      <c r="C454" s="1" t="n">
        <v>46075</v>
      </c>
      <c r="D454" t="inlineStr">
        <is>
          <t>UPPSALA LÄN</t>
        </is>
      </c>
      <c r="E454" t="inlineStr">
        <is>
          <t>UPPSALA</t>
        </is>
      </c>
      <c r="G454" t="n">
        <v>1.2</v>
      </c>
      <c r="H454" t="n">
        <v>0</v>
      </c>
      <c r="I454" t="n">
        <v>0</v>
      </c>
      <c r="J454" t="n">
        <v>0</v>
      </c>
      <c r="K454" t="n">
        <v>0</v>
      </c>
      <c r="L454" t="n">
        <v>0</v>
      </c>
      <c r="M454" t="n">
        <v>0</v>
      </c>
      <c r="N454" t="n">
        <v>0</v>
      </c>
      <c r="O454" t="n">
        <v>0</v>
      </c>
      <c r="P454" t="n">
        <v>0</v>
      </c>
      <c r="Q454" t="n">
        <v>0</v>
      </c>
      <c r="R454" s="2" t="inlineStr"/>
    </row>
    <row r="455" ht="15" customHeight="1">
      <c r="A455" t="inlineStr">
        <is>
          <t>A 35056-2025</t>
        </is>
      </c>
      <c r="B455" s="1" t="n">
        <v>45852.39642361111</v>
      </c>
      <c r="C455" s="1" t="n">
        <v>46075</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18675-2024</t>
        </is>
      </c>
      <c r="B456" s="1" t="n">
        <v>45426</v>
      </c>
      <c r="C456" s="1" t="n">
        <v>46075</v>
      </c>
      <c r="D456" t="inlineStr">
        <is>
          <t>UPPSALA LÄN</t>
        </is>
      </c>
      <c r="E456" t="inlineStr">
        <is>
          <t>UPPSALA</t>
        </is>
      </c>
      <c r="G456" t="n">
        <v>8.1</v>
      </c>
      <c r="H456" t="n">
        <v>0</v>
      </c>
      <c r="I456" t="n">
        <v>0</v>
      </c>
      <c r="J456" t="n">
        <v>0</v>
      </c>
      <c r="K456" t="n">
        <v>0</v>
      </c>
      <c r="L456" t="n">
        <v>0</v>
      </c>
      <c r="M456" t="n">
        <v>0</v>
      </c>
      <c r="N456" t="n">
        <v>0</v>
      </c>
      <c r="O456" t="n">
        <v>0</v>
      </c>
      <c r="P456" t="n">
        <v>0</v>
      </c>
      <c r="Q456" t="n">
        <v>0</v>
      </c>
      <c r="R456" s="2" t="inlineStr"/>
    </row>
    <row r="457" ht="15" customHeight="1">
      <c r="A457" t="inlineStr">
        <is>
          <t>A 35167-2025</t>
        </is>
      </c>
      <c r="B457" s="1" t="n">
        <v>45852.72965277778</v>
      </c>
      <c r="C457" s="1" t="n">
        <v>46075</v>
      </c>
      <c r="D457" t="inlineStr">
        <is>
          <t>UPPSALA LÄN</t>
        </is>
      </c>
      <c r="E457" t="inlineStr">
        <is>
          <t>UPPSALA</t>
        </is>
      </c>
      <c r="F457" t="inlineStr">
        <is>
          <t>Holmen skog AB</t>
        </is>
      </c>
      <c r="G457" t="n">
        <v>10</v>
      </c>
      <c r="H457" t="n">
        <v>0</v>
      </c>
      <c r="I457" t="n">
        <v>0</v>
      </c>
      <c r="J457" t="n">
        <v>0</v>
      </c>
      <c r="K457" t="n">
        <v>0</v>
      </c>
      <c r="L457" t="n">
        <v>0</v>
      </c>
      <c r="M457" t="n">
        <v>0</v>
      </c>
      <c r="N457" t="n">
        <v>0</v>
      </c>
      <c r="O457" t="n">
        <v>0</v>
      </c>
      <c r="P457" t="n">
        <v>0</v>
      </c>
      <c r="Q457" t="n">
        <v>0</v>
      </c>
      <c r="R457" s="2" t="inlineStr"/>
    </row>
    <row r="458" ht="15" customHeight="1">
      <c r="A458" t="inlineStr">
        <is>
          <t>A 35150-2025</t>
        </is>
      </c>
      <c r="B458" s="1" t="n">
        <v>45852</v>
      </c>
      <c r="C458" s="1" t="n">
        <v>46075</v>
      </c>
      <c r="D458" t="inlineStr">
        <is>
          <t>UPPSALA LÄN</t>
        </is>
      </c>
      <c r="E458" t="inlineStr">
        <is>
          <t>UPPSALA</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35015-2025</t>
        </is>
      </c>
      <c r="B459" s="1" t="n">
        <v>45851.62018518519</v>
      </c>
      <c r="C459" s="1" t="n">
        <v>46075</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42772-2022</t>
        </is>
      </c>
      <c r="B460" s="1" t="n">
        <v>44832.49594907407</v>
      </c>
      <c r="C460" s="1" t="n">
        <v>46075</v>
      </c>
      <c r="D460" t="inlineStr">
        <is>
          <t>UPPSALA LÄN</t>
        </is>
      </c>
      <c r="E460" t="inlineStr">
        <is>
          <t>UPPSALA</t>
        </is>
      </c>
      <c r="G460" t="n">
        <v>17.7</v>
      </c>
      <c r="H460" t="n">
        <v>0</v>
      </c>
      <c r="I460" t="n">
        <v>0</v>
      </c>
      <c r="J460" t="n">
        <v>0</v>
      </c>
      <c r="K460" t="n">
        <v>0</v>
      </c>
      <c r="L460" t="n">
        <v>0</v>
      </c>
      <c r="M460" t="n">
        <v>0</v>
      </c>
      <c r="N460" t="n">
        <v>0</v>
      </c>
      <c r="O460" t="n">
        <v>0</v>
      </c>
      <c r="P460" t="n">
        <v>0</v>
      </c>
      <c r="Q460" t="n">
        <v>0</v>
      </c>
      <c r="R460" s="2" t="inlineStr"/>
    </row>
    <row r="461" ht="15" customHeight="1">
      <c r="A461" t="inlineStr">
        <is>
          <t>A 35155-2025</t>
        </is>
      </c>
      <c r="B461" s="1" t="n">
        <v>45852.68978009259</v>
      </c>
      <c r="C461" s="1" t="n">
        <v>46075</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35148-2025</t>
        </is>
      </c>
      <c r="B462" s="1" t="n">
        <v>45852.67366898148</v>
      </c>
      <c r="C462" s="1" t="n">
        <v>46075</v>
      </c>
      <c r="D462" t="inlineStr">
        <is>
          <t>UPPSALA LÄN</t>
        </is>
      </c>
      <c r="E462" t="inlineStr">
        <is>
          <t>UPPSALA</t>
        </is>
      </c>
      <c r="F462" t="inlineStr">
        <is>
          <t>Holmen skog AB</t>
        </is>
      </c>
      <c r="G462" t="n">
        <v>2.2</v>
      </c>
      <c r="H462" t="n">
        <v>0</v>
      </c>
      <c r="I462" t="n">
        <v>0</v>
      </c>
      <c r="J462" t="n">
        <v>0</v>
      </c>
      <c r="K462" t="n">
        <v>0</v>
      </c>
      <c r="L462" t="n">
        <v>0</v>
      </c>
      <c r="M462" t="n">
        <v>0</v>
      </c>
      <c r="N462" t="n">
        <v>0</v>
      </c>
      <c r="O462" t="n">
        <v>0</v>
      </c>
      <c r="P462" t="n">
        <v>0</v>
      </c>
      <c r="Q462" t="n">
        <v>0</v>
      </c>
      <c r="R462" s="2" t="inlineStr"/>
    </row>
    <row r="463" ht="15" customHeight="1">
      <c r="A463" t="inlineStr">
        <is>
          <t>A 35053-2025</t>
        </is>
      </c>
      <c r="B463" s="1" t="n">
        <v>45852.36871527778</v>
      </c>
      <c r="C463" s="1" t="n">
        <v>46075</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35014-2025</t>
        </is>
      </c>
      <c r="B464" s="1" t="n">
        <v>45851.60097222222</v>
      </c>
      <c r="C464" s="1" t="n">
        <v>46075</v>
      </c>
      <c r="D464" t="inlineStr">
        <is>
          <t>UPPSALA LÄN</t>
        </is>
      </c>
      <c r="E464" t="inlineStr">
        <is>
          <t>UPPSALA</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3261-2024</t>
        </is>
      </c>
      <c r="B465" s="1" t="n">
        <v>45317</v>
      </c>
      <c r="C465" s="1" t="n">
        <v>46075</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59489-2023</t>
        </is>
      </c>
      <c r="B466" s="1" t="n">
        <v>45254</v>
      </c>
      <c r="C466" s="1" t="n">
        <v>46075</v>
      </c>
      <c r="D466" t="inlineStr">
        <is>
          <t>UPPSALA LÄN</t>
        </is>
      </c>
      <c r="E466" t="inlineStr">
        <is>
          <t>UPPSALA</t>
        </is>
      </c>
      <c r="G466" t="n">
        <v>6.5</v>
      </c>
      <c r="H466" t="n">
        <v>0</v>
      </c>
      <c r="I466" t="n">
        <v>0</v>
      </c>
      <c r="J466" t="n">
        <v>0</v>
      </c>
      <c r="K466" t="n">
        <v>0</v>
      </c>
      <c r="L466" t="n">
        <v>0</v>
      </c>
      <c r="M466" t="n">
        <v>0</v>
      </c>
      <c r="N466" t="n">
        <v>0</v>
      </c>
      <c r="O466" t="n">
        <v>0</v>
      </c>
      <c r="P466" t="n">
        <v>0</v>
      </c>
      <c r="Q466" t="n">
        <v>0</v>
      </c>
      <c r="R466" s="2" t="inlineStr"/>
    </row>
    <row r="467" ht="15" customHeight="1">
      <c r="A467" t="inlineStr">
        <is>
          <t>A 44813-2025</t>
        </is>
      </c>
      <c r="B467" s="1" t="n">
        <v>45918.37322916667</v>
      </c>
      <c r="C467" s="1" t="n">
        <v>46075</v>
      </c>
      <c r="D467" t="inlineStr">
        <is>
          <t>UPPSALA LÄN</t>
        </is>
      </c>
      <c r="E467" t="inlineStr">
        <is>
          <t>UPPSALA</t>
        </is>
      </c>
      <c r="G467" t="n">
        <v>1.4</v>
      </c>
      <c r="H467" t="n">
        <v>0</v>
      </c>
      <c r="I467" t="n">
        <v>0</v>
      </c>
      <c r="J467" t="n">
        <v>0</v>
      </c>
      <c r="K467" t="n">
        <v>0</v>
      </c>
      <c r="L467" t="n">
        <v>0</v>
      </c>
      <c r="M467" t="n">
        <v>0</v>
      </c>
      <c r="N467" t="n">
        <v>0</v>
      </c>
      <c r="O467" t="n">
        <v>0</v>
      </c>
      <c r="P467" t="n">
        <v>0</v>
      </c>
      <c r="Q467" t="n">
        <v>0</v>
      </c>
      <c r="R467" s="2" t="inlineStr"/>
    </row>
    <row r="468" ht="15" customHeight="1">
      <c r="A468" t="inlineStr">
        <is>
          <t>A 18805-2025</t>
        </is>
      </c>
      <c r="B468" s="1" t="n">
        <v>45763</v>
      </c>
      <c r="C468" s="1" t="n">
        <v>46075</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35305-2025</t>
        </is>
      </c>
      <c r="B469" s="1" t="n">
        <v>45854.44017361111</v>
      </c>
      <c r="C469" s="1" t="n">
        <v>46075</v>
      </c>
      <c r="D469" t="inlineStr">
        <is>
          <t>UPPSALA LÄN</t>
        </is>
      </c>
      <c r="E469" t="inlineStr">
        <is>
          <t>UPPSALA</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35504-2025</t>
        </is>
      </c>
      <c r="B470" s="1" t="n">
        <v>45856.34034722222</v>
      </c>
      <c r="C470" s="1" t="n">
        <v>46075</v>
      </c>
      <c r="D470" t="inlineStr">
        <is>
          <t>UPPSALA LÄN</t>
        </is>
      </c>
      <c r="E470" t="inlineStr">
        <is>
          <t>UPPSALA</t>
        </is>
      </c>
      <c r="F470" t="inlineStr">
        <is>
          <t>Bergvik skog öst AB</t>
        </is>
      </c>
      <c r="G470" t="n">
        <v>6.7</v>
      </c>
      <c r="H470" t="n">
        <v>0</v>
      </c>
      <c r="I470" t="n">
        <v>0</v>
      </c>
      <c r="J470" t="n">
        <v>0</v>
      </c>
      <c r="K470" t="n">
        <v>0</v>
      </c>
      <c r="L470" t="n">
        <v>0</v>
      </c>
      <c r="M470" t="n">
        <v>0</v>
      </c>
      <c r="N470" t="n">
        <v>0</v>
      </c>
      <c r="O470" t="n">
        <v>0</v>
      </c>
      <c r="P470" t="n">
        <v>0</v>
      </c>
      <c r="Q470" t="n">
        <v>0</v>
      </c>
      <c r="R470" s="2" t="inlineStr"/>
    </row>
    <row r="471" ht="15" customHeight="1">
      <c r="A471" t="inlineStr">
        <is>
          <t>A 35505-2025</t>
        </is>
      </c>
      <c r="B471" s="1" t="n">
        <v>45856.34231481481</v>
      </c>
      <c r="C471" s="1" t="n">
        <v>46075</v>
      </c>
      <c r="D471" t="inlineStr">
        <is>
          <t>UPPSALA LÄN</t>
        </is>
      </c>
      <c r="E471" t="inlineStr">
        <is>
          <t>UPPSALA</t>
        </is>
      </c>
      <c r="F471" t="inlineStr">
        <is>
          <t>Bergvik skog öst AB</t>
        </is>
      </c>
      <c r="G471" t="n">
        <v>7.9</v>
      </c>
      <c r="H471" t="n">
        <v>0</v>
      </c>
      <c r="I471" t="n">
        <v>0</v>
      </c>
      <c r="J471" t="n">
        <v>0</v>
      </c>
      <c r="K471" t="n">
        <v>0</v>
      </c>
      <c r="L471" t="n">
        <v>0</v>
      </c>
      <c r="M471" t="n">
        <v>0</v>
      </c>
      <c r="N471" t="n">
        <v>0</v>
      </c>
      <c r="O471" t="n">
        <v>0</v>
      </c>
      <c r="P471" t="n">
        <v>0</v>
      </c>
      <c r="Q471" t="n">
        <v>0</v>
      </c>
      <c r="R471" s="2" t="inlineStr"/>
    </row>
    <row r="472" ht="15" customHeight="1">
      <c r="A472" t="inlineStr">
        <is>
          <t>A 1032-2023</t>
        </is>
      </c>
      <c r="B472" s="1" t="n">
        <v>44935</v>
      </c>
      <c r="C472" s="1" t="n">
        <v>46075</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45519-2025</t>
        </is>
      </c>
      <c r="B473" s="1" t="n">
        <v>45922</v>
      </c>
      <c r="C473" s="1" t="n">
        <v>46075</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51576-2023</t>
        </is>
      </c>
      <c r="B474" s="1" t="n">
        <v>45222</v>
      </c>
      <c r="C474" s="1" t="n">
        <v>46075</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35509-2025</t>
        </is>
      </c>
      <c r="B475" s="1" t="n">
        <v>45856.34959490741</v>
      </c>
      <c r="C475" s="1" t="n">
        <v>46075</v>
      </c>
      <c r="D475" t="inlineStr">
        <is>
          <t>UPPSALA LÄN</t>
        </is>
      </c>
      <c r="E475" t="inlineStr">
        <is>
          <t>UPPSALA</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35510-2025</t>
        </is>
      </c>
      <c r="B476" s="1" t="n">
        <v>45856</v>
      </c>
      <c r="C476" s="1" t="n">
        <v>46075</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45588-2025</t>
        </is>
      </c>
      <c r="B477" s="1" t="n">
        <v>45922</v>
      </c>
      <c r="C477" s="1" t="n">
        <v>46075</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32484-2025</t>
        </is>
      </c>
      <c r="B478" s="1" t="n">
        <v>45838</v>
      </c>
      <c r="C478" s="1" t="n">
        <v>46075</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45923.70230324074</v>
      </c>
      <c r="C479" s="1" t="n">
        <v>46075</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45436-2025</t>
        </is>
      </c>
      <c r="B480" s="1" t="n">
        <v>45922.46763888889</v>
      </c>
      <c r="C480" s="1" t="n">
        <v>46075</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45405-2025</t>
        </is>
      </c>
      <c r="B481" s="1" t="n">
        <v>45922.42865740741</v>
      </c>
      <c r="C481" s="1" t="n">
        <v>46075</v>
      </c>
      <c r="D481" t="inlineStr">
        <is>
          <t>UPPSALA LÄN</t>
        </is>
      </c>
      <c r="E481" t="inlineStr">
        <is>
          <t>UPPSALA</t>
        </is>
      </c>
      <c r="G481" t="n">
        <v>1.6</v>
      </c>
      <c r="H481" t="n">
        <v>0</v>
      </c>
      <c r="I481" t="n">
        <v>0</v>
      </c>
      <c r="J481" t="n">
        <v>0</v>
      </c>
      <c r="K481" t="n">
        <v>0</v>
      </c>
      <c r="L481" t="n">
        <v>0</v>
      </c>
      <c r="M481" t="n">
        <v>0</v>
      </c>
      <c r="N481" t="n">
        <v>0</v>
      </c>
      <c r="O481" t="n">
        <v>0</v>
      </c>
      <c r="P481" t="n">
        <v>0</v>
      </c>
      <c r="Q481" t="n">
        <v>0</v>
      </c>
      <c r="R481" s="2" t="inlineStr"/>
    </row>
    <row r="482" ht="15" customHeight="1">
      <c r="A482" t="inlineStr">
        <is>
          <t>A 50267-2023</t>
        </is>
      </c>
      <c r="B482" s="1" t="n">
        <v>45216.39040509259</v>
      </c>
      <c r="C482" s="1" t="n">
        <v>46075</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45903-2025</t>
        </is>
      </c>
      <c r="B483" s="1" t="n">
        <v>45923.70146990741</v>
      </c>
      <c r="C483" s="1" t="n">
        <v>46075</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32475-2025</t>
        </is>
      </c>
      <c r="B484" s="1" t="n">
        <v>45838</v>
      </c>
      <c r="C484" s="1" t="n">
        <v>46075</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6058-2025</t>
        </is>
      </c>
      <c r="B485" s="1" t="n">
        <v>45695.83655092592</v>
      </c>
      <c r="C485" s="1" t="n">
        <v>46075</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35978-2025</t>
        </is>
      </c>
      <c r="B486" s="1" t="n">
        <v>45863.44648148148</v>
      </c>
      <c r="C486" s="1" t="n">
        <v>46075</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45447-2025</t>
        </is>
      </c>
      <c r="B487" s="1" t="n">
        <v>45922.48148148148</v>
      </c>
      <c r="C487" s="1" t="n">
        <v>46075</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c r="U487">
        <f>HYPERLINK("https://klasma.github.io/Logging_0380/knärot/A 45447-2025 karta knärot.png", "A 45447-2025")</f>
        <v/>
      </c>
      <c r="V487">
        <f>HYPERLINK("https://klasma.github.io/Logging_0380/klagomål/A 45447-2025 FSC-klagomål.docx", "A 45447-2025")</f>
        <v/>
      </c>
      <c r="W487">
        <f>HYPERLINK("https://klasma.github.io/Logging_0380/klagomålsmail/A 45447-2025 FSC-klagomål mail.docx", "A 45447-2025")</f>
        <v/>
      </c>
      <c r="X487">
        <f>HYPERLINK("https://klasma.github.io/Logging_0380/tillsyn/A 45447-2025 tillsynsbegäran.docx", "A 45447-2025")</f>
        <v/>
      </c>
      <c r="Y487">
        <f>HYPERLINK("https://klasma.github.io/Logging_0380/tillsynsmail/A 45447-2025 tillsynsbegäran mail.docx", "A 45447-2025")</f>
        <v/>
      </c>
    </row>
    <row r="488" ht="15" customHeight="1">
      <c r="A488" t="inlineStr">
        <is>
          <t>A 35984-2025</t>
        </is>
      </c>
      <c r="B488" s="1" t="n">
        <v>45863.45355324074</v>
      </c>
      <c r="C488" s="1" t="n">
        <v>46075</v>
      </c>
      <c r="D488" t="inlineStr">
        <is>
          <t>UPPSALA LÄN</t>
        </is>
      </c>
      <c r="E488" t="inlineStr">
        <is>
          <t>UPPSALA</t>
        </is>
      </c>
      <c r="G488" t="n">
        <v>6.1</v>
      </c>
      <c r="H488" t="n">
        <v>0</v>
      </c>
      <c r="I488" t="n">
        <v>0</v>
      </c>
      <c r="J488" t="n">
        <v>0</v>
      </c>
      <c r="K488" t="n">
        <v>0</v>
      </c>
      <c r="L488" t="n">
        <v>0</v>
      </c>
      <c r="M488" t="n">
        <v>0</v>
      </c>
      <c r="N488" t="n">
        <v>0</v>
      </c>
      <c r="O488" t="n">
        <v>0</v>
      </c>
      <c r="P488" t="n">
        <v>0</v>
      </c>
      <c r="Q488" t="n">
        <v>0</v>
      </c>
      <c r="R488" s="2" t="inlineStr"/>
    </row>
    <row r="489" ht="15" customHeight="1">
      <c r="A489" t="inlineStr">
        <is>
          <t>A 59358-2024</t>
        </is>
      </c>
      <c r="B489" s="1" t="n">
        <v>45638</v>
      </c>
      <c r="C489" s="1" t="n">
        <v>46075</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7727-2024</t>
        </is>
      </c>
      <c r="B490" s="1" t="n">
        <v>45349</v>
      </c>
      <c r="C490" s="1" t="n">
        <v>46075</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36253-2025</t>
        </is>
      </c>
      <c r="B491" s="1" t="n">
        <v>45867.58056712963</v>
      </c>
      <c r="C491" s="1" t="n">
        <v>46075</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17232-2022</t>
        </is>
      </c>
      <c r="B492" s="1" t="n">
        <v>44678.3315625</v>
      </c>
      <c r="C492" s="1" t="n">
        <v>46075</v>
      </c>
      <c r="D492" t="inlineStr">
        <is>
          <t>UPPSALA LÄN</t>
        </is>
      </c>
      <c r="E492" t="inlineStr">
        <is>
          <t>UPPSALA</t>
        </is>
      </c>
      <c r="F492" t="inlineStr">
        <is>
          <t>Övriga Aktiebolag</t>
        </is>
      </c>
      <c r="G492" t="n">
        <v>7.4</v>
      </c>
      <c r="H492" t="n">
        <v>0</v>
      </c>
      <c r="I492" t="n">
        <v>0</v>
      </c>
      <c r="J492" t="n">
        <v>0</v>
      </c>
      <c r="K492" t="n">
        <v>0</v>
      </c>
      <c r="L492" t="n">
        <v>0</v>
      </c>
      <c r="M492" t="n">
        <v>0</v>
      </c>
      <c r="N492" t="n">
        <v>0</v>
      </c>
      <c r="O492" t="n">
        <v>0</v>
      </c>
      <c r="P492" t="n">
        <v>0</v>
      </c>
      <c r="Q492" t="n">
        <v>0</v>
      </c>
      <c r="R492" s="2" t="inlineStr"/>
    </row>
    <row r="493" ht="15" customHeight="1">
      <c r="A493" t="inlineStr">
        <is>
          <t>A 61805-2021</t>
        </is>
      </c>
      <c r="B493" s="1" t="n">
        <v>44501.71344907407</v>
      </c>
      <c r="C493" s="1" t="n">
        <v>46075</v>
      </c>
      <c r="D493" t="inlineStr">
        <is>
          <t>UPPSALA LÄN</t>
        </is>
      </c>
      <c r="E493" t="inlineStr">
        <is>
          <t>UPPSALA</t>
        </is>
      </c>
      <c r="F493" t="inlineStr">
        <is>
          <t>Bergvik skog öst AB</t>
        </is>
      </c>
      <c r="G493" t="n">
        <v>3.8</v>
      </c>
      <c r="H493" t="n">
        <v>0</v>
      </c>
      <c r="I493" t="n">
        <v>0</v>
      </c>
      <c r="J493" t="n">
        <v>0</v>
      </c>
      <c r="K493" t="n">
        <v>0</v>
      </c>
      <c r="L493" t="n">
        <v>0</v>
      </c>
      <c r="M493" t="n">
        <v>0</v>
      </c>
      <c r="N493" t="n">
        <v>0</v>
      </c>
      <c r="O493" t="n">
        <v>0</v>
      </c>
      <c r="P493" t="n">
        <v>0</v>
      </c>
      <c r="Q493" t="n">
        <v>0</v>
      </c>
      <c r="R493" s="2" t="inlineStr"/>
    </row>
    <row r="494" ht="15" customHeight="1">
      <c r="A494" t="inlineStr">
        <is>
          <t>A 4312-2022</t>
        </is>
      </c>
      <c r="B494" s="1" t="n">
        <v>44588</v>
      </c>
      <c r="C494" s="1" t="n">
        <v>46075</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60814-2023</t>
        </is>
      </c>
      <c r="B495" s="1" t="n">
        <v>45259</v>
      </c>
      <c r="C495" s="1" t="n">
        <v>46075</v>
      </c>
      <c r="D495" t="inlineStr">
        <is>
          <t>UPPSALA LÄN</t>
        </is>
      </c>
      <c r="E495" t="inlineStr">
        <is>
          <t>UPPSALA</t>
        </is>
      </c>
      <c r="G495" t="n">
        <v>5.9</v>
      </c>
      <c r="H495" t="n">
        <v>0</v>
      </c>
      <c r="I495" t="n">
        <v>0</v>
      </c>
      <c r="J495" t="n">
        <v>0</v>
      </c>
      <c r="K495" t="n">
        <v>0</v>
      </c>
      <c r="L495" t="n">
        <v>0</v>
      </c>
      <c r="M495" t="n">
        <v>0</v>
      </c>
      <c r="N495" t="n">
        <v>0</v>
      </c>
      <c r="O495" t="n">
        <v>0</v>
      </c>
      <c r="P495" t="n">
        <v>0</v>
      </c>
      <c r="Q495" t="n">
        <v>0</v>
      </c>
      <c r="R495" s="2" t="inlineStr"/>
    </row>
    <row r="496" ht="15" customHeight="1">
      <c r="A496" t="inlineStr">
        <is>
          <t>A 53963-2023</t>
        </is>
      </c>
      <c r="B496" s="1" t="n">
        <v>45231.62840277778</v>
      </c>
      <c r="C496" s="1" t="n">
        <v>46075</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46772-2025</t>
        </is>
      </c>
      <c r="B497" s="1" t="n">
        <v>45926.63232638889</v>
      </c>
      <c r="C497" s="1" t="n">
        <v>46075</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46632-2025</t>
        </is>
      </c>
      <c r="B498" s="1" t="n">
        <v>45926.45846064815</v>
      </c>
      <c r="C498" s="1" t="n">
        <v>46075</v>
      </c>
      <c r="D498" t="inlineStr">
        <is>
          <t>UPPSALA LÄN</t>
        </is>
      </c>
      <c r="E498" t="inlineStr">
        <is>
          <t>UPPSALA</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7501-2025</t>
        </is>
      </c>
      <c r="B499" s="1" t="n">
        <v>45705</v>
      </c>
      <c r="C499" s="1" t="n">
        <v>46075</v>
      </c>
      <c r="D499" t="inlineStr">
        <is>
          <t>UPPSALA LÄN</t>
        </is>
      </c>
      <c r="E499" t="inlineStr">
        <is>
          <t>UPPSALA</t>
        </is>
      </c>
      <c r="G499" t="n">
        <v>4.2</v>
      </c>
      <c r="H499" t="n">
        <v>0</v>
      </c>
      <c r="I499" t="n">
        <v>0</v>
      </c>
      <c r="J499" t="n">
        <v>0</v>
      </c>
      <c r="K499" t="n">
        <v>0</v>
      </c>
      <c r="L499" t="n">
        <v>0</v>
      </c>
      <c r="M499" t="n">
        <v>0</v>
      </c>
      <c r="N499" t="n">
        <v>0</v>
      </c>
      <c r="O499" t="n">
        <v>0</v>
      </c>
      <c r="P499" t="n">
        <v>0</v>
      </c>
      <c r="Q499" t="n">
        <v>0</v>
      </c>
      <c r="R499" s="2" t="inlineStr"/>
    </row>
    <row r="500" ht="15" customHeight="1">
      <c r="A500" t="inlineStr">
        <is>
          <t>A 60444-2023</t>
        </is>
      </c>
      <c r="B500" s="1" t="n">
        <v>45259.52809027778</v>
      </c>
      <c r="C500" s="1" t="n">
        <v>46075</v>
      </c>
      <c r="D500" t="inlineStr">
        <is>
          <t>UPPSALA LÄN</t>
        </is>
      </c>
      <c r="E500" t="inlineStr">
        <is>
          <t>UPPSALA</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53384-2024</t>
        </is>
      </c>
      <c r="B501" s="1" t="n">
        <v>45614</v>
      </c>
      <c r="C501" s="1" t="n">
        <v>46075</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46571-2025</t>
        </is>
      </c>
      <c r="B502" s="1" t="n">
        <v>45926.366875</v>
      </c>
      <c r="C502" s="1" t="n">
        <v>46075</v>
      </c>
      <c r="D502" t="inlineStr">
        <is>
          <t>UPPSALA LÄN</t>
        </is>
      </c>
      <c r="E502" t="inlineStr">
        <is>
          <t>UPPSALA</t>
        </is>
      </c>
      <c r="F502" t="inlineStr">
        <is>
          <t>Bergvik skog öst AB</t>
        </is>
      </c>
      <c r="G502" t="n">
        <v>11.1</v>
      </c>
      <c r="H502" t="n">
        <v>0</v>
      </c>
      <c r="I502" t="n">
        <v>0</v>
      </c>
      <c r="J502" t="n">
        <v>0</v>
      </c>
      <c r="K502" t="n">
        <v>0</v>
      </c>
      <c r="L502" t="n">
        <v>0</v>
      </c>
      <c r="M502" t="n">
        <v>0</v>
      </c>
      <c r="N502" t="n">
        <v>0</v>
      </c>
      <c r="O502" t="n">
        <v>0</v>
      </c>
      <c r="P502" t="n">
        <v>0</v>
      </c>
      <c r="Q502" t="n">
        <v>0</v>
      </c>
      <c r="R502" s="2" t="inlineStr"/>
    </row>
    <row r="503" ht="15" customHeight="1">
      <c r="A503" t="inlineStr">
        <is>
          <t>A 46773-2025</t>
        </is>
      </c>
      <c r="B503" s="1" t="n">
        <v>45926.63290509259</v>
      </c>
      <c r="C503" s="1" t="n">
        <v>46075</v>
      </c>
      <c r="D503" t="inlineStr">
        <is>
          <t>UPPSALA LÄN</t>
        </is>
      </c>
      <c r="E503" t="inlineStr">
        <is>
          <t>UPPSALA</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47131-2025</t>
        </is>
      </c>
      <c r="B504" s="1" t="n">
        <v>45929.69553240741</v>
      </c>
      <c r="C504" s="1" t="n">
        <v>46075</v>
      </c>
      <c r="D504" t="inlineStr">
        <is>
          <t>UPPSALA LÄN</t>
        </is>
      </c>
      <c r="E504" t="inlineStr">
        <is>
          <t>UPPSALA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47132-2025</t>
        </is>
      </c>
      <c r="B505" s="1" t="n">
        <v>45929.6965162037</v>
      </c>
      <c r="C505" s="1" t="n">
        <v>46075</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46983-2025</t>
        </is>
      </c>
      <c r="B506" s="1" t="n">
        <v>45929.53203703704</v>
      </c>
      <c r="C506" s="1" t="n">
        <v>46075</v>
      </c>
      <c r="D506" t="inlineStr">
        <is>
          <t>UPPSALA LÄN</t>
        </is>
      </c>
      <c r="E506" t="inlineStr">
        <is>
          <t>UPPSALA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46775-2025</t>
        </is>
      </c>
      <c r="B507" s="1" t="n">
        <v>45926.63366898148</v>
      </c>
      <c r="C507" s="1" t="n">
        <v>46075</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59996-2024</t>
        </is>
      </c>
      <c r="B508" s="1" t="n">
        <v>45642</v>
      </c>
      <c r="C508" s="1" t="n">
        <v>46075</v>
      </c>
      <c r="D508" t="inlineStr">
        <is>
          <t>UPPSALA LÄN</t>
        </is>
      </c>
      <c r="E508" t="inlineStr">
        <is>
          <t>UPPSALA</t>
        </is>
      </c>
      <c r="F508" t="inlineStr">
        <is>
          <t>Bergvik skog väst AB</t>
        </is>
      </c>
      <c r="G508" t="n">
        <v>14.5</v>
      </c>
      <c r="H508" t="n">
        <v>0</v>
      </c>
      <c r="I508" t="n">
        <v>0</v>
      </c>
      <c r="J508" t="n">
        <v>0</v>
      </c>
      <c r="K508" t="n">
        <v>0</v>
      </c>
      <c r="L508" t="n">
        <v>0</v>
      </c>
      <c r="M508" t="n">
        <v>0</v>
      </c>
      <c r="N508" t="n">
        <v>0</v>
      </c>
      <c r="O508" t="n">
        <v>0</v>
      </c>
      <c r="P508" t="n">
        <v>0</v>
      </c>
      <c r="Q508" t="n">
        <v>0</v>
      </c>
      <c r="R508" s="2" t="inlineStr"/>
    </row>
    <row r="509" ht="15" customHeight="1">
      <c r="A509" t="inlineStr">
        <is>
          <t>A 13644-2024</t>
        </is>
      </c>
      <c r="B509" s="1" t="n">
        <v>45390</v>
      </c>
      <c r="C509" s="1" t="n">
        <v>46075</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46564-2025</t>
        </is>
      </c>
      <c r="B510" s="1" t="n">
        <v>45926.35917824074</v>
      </c>
      <c r="C510" s="1" t="n">
        <v>46075</v>
      </c>
      <c r="D510" t="inlineStr">
        <is>
          <t>UPPSALA LÄN</t>
        </is>
      </c>
      <c r="E510" t="inlineStr">
        <is>
          <t>UPPSALA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46565-2025</t>
        </is>
      </c>
      <c r="B511" s="1" t="n">
        <v>45926.35998842592</v>
      </c>
      <c r="C511" s="1" t="n">
        <v>46075</v>
      </c>
      <c r="D511" t="inlineStr">
        <is>
          <t>UPPSALA LÄN</t>
        </is>
      </c>
      <c r="E511" t="inlineStr">
        <is>
          <t>UPPSALA</t>
        </is>
      </c>
      <c r="F511" t="inlineStr">
        <is>
          <t>Bergvik skog öst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46075</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47558-2025</t>
        </is>
      </c>
      <c r="B513" s="1" t="n">
        <v>45931.37796296296</v>
      </c>
      <c r="C513" s="1" t="n">
        <v>46075</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47649-2025</t>
        </is>
      </c>
      <c r="B514" s="1" t="n">
        <v>45931.52792824074</v>
      </c>
      <c r="C514" s="1" t="n">
        <v>46075</v>
      </c>
      <c r="D514" t="inlineStr">
        <is>
          <t>UPPSALA LÄN</t>
        </is>
      </c>
      <c r="E514" t="inlineStr">
        <is>
          <t>UPPSALA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20102-2023</t>
        </is>
      </c>
      <c r="B515" s="1" t="n">
        <v>45054.95675925926</v>
      </c>
      <c r="C515" s="1" t="n">
        <v>46075</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30616-2025</t>
        </is>
      </c>
      <c r="B516" s="1" t="n">
        <v>45831.46731481481</v>
      </c>
      <c r="C516" s="1" t="n">
        <v>46075</v>
      </c>
      <c r="D516" t="inlineStr">
        <is>
          <t>UPPSALA LÄN</t>
        </is>
      </c>
      <c r="E516" t="inlineStr">
        <is>
          <t>UPPSALA</t>
        </is>
      </c>
      <c r="G516" t="n">
        <v>2.1</v>
      </c>
      <c r="H516" t="n">
        <v>0</v>
      </c>
      <c r="I516" t="n">
        <v>0</v>
      </c>
      <c r="J516" t="n">
        <v>0</v>
      </c>
      <c r="K516" t="n">
        <v>0</v>
      </c>
      <c r="L516" t="n">
        <v>0</v>
      </c>
      <c r="M516" t="n">
        <v>0</v>
      </c>
      <c r="N516" t="n">
        <v>0</v>
      </c>
      <c r="O516" t="n">
        <v>0</v>
      </c>
      <c r="P516" t="n">
        <v>0</v>
      </c>
      <c r="Q516" t="n">
        <v>0</v>
      </c>
      <c r="R516" s="2" t="inlineStr"/>
    </row>
    <row r="517" ht="15" customHeight="1">
      <c r="A517" t="inlineStr">
        <is>
          <t>A 1975-2022</t>
        </is>
      </c>
      <c r="B517" s="1" t="n">
        <v>44575</v>
      </c>
      <c r="C517" s="1" t="n">
        <v>46075</v>
      </c>
      <c r="D517" t="inlineStr">
        <is>
          <t>UPPSALA LÄN</t>
        </is>
      </c>
      <c r="E517" t="inlineStr">
        <is>
          <t>UPPSALA</t>
        </is>
      </c>
      <c r="G517" t="n">
        <v>3.9</v>
      </c>
      <c r="H517" t="n">
        <v>0</v>
      </c>
      <c r="I517" t="n">
        <v>0</v>
      </c>
      <c r="J517" t="n">
        <v>0</v>
      </c>
      <c r="K517" t="n">
        <v>0</v>
      </c>
      <c r="L517" t="n">
        <v>0</v>
      </c>
      <c r="M517" t="n">
        <v>0</v>
      </c>
      <c r="N517" t="n">
        <v>0</v>
      </c>
      <c r="O517" t="n">
        <v>0</v>
      </c>
      <c r="P517" t="n">
        <v>0</v>
      </c>
      <c r="Q517" t="n">
        <v>0</v>
      </c>
      <c r="R517" s="2" t="inlineStr"/>
    </row>
    <row r="518" ht="15" customHeight="1">
      <c r="A518" t="inlineStr">
        <is>
          <t>A 11568-2023</t>
        </is>
      </c>
      <c r="B518" s="1" t="n">
        <v>44994</v>
      </c>
      <c r="C518" s="1" t="n">
        <v>46075</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47316-2025</t>
        </is>
      </c>
      <c r="B519" s="1" t="n">
        <v>45930.55024305556</v>
      </c>
      <c r="C519" s="1" t="n">
        <v>46075</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17562-2022</t>
        </is>
      </c>
      <c r="B520" s="1" t="n">
        <v>44679.68706018518</v>
      </c>
      <c r="C520" s="1" t="n">
        <v>46075</v>
      </c>
      <c r="D520" t="inlineStr">
        <is>
          <t>UPPSALA LÄN</t>
        </is>
      </c>
      <c r="E520" t="inlineStr">
        <is>
          <t>UPPSALA</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47557-2025</t>
        </is>
      </c>
      <c r="B521" s="1" t="n">
        <v>45931.37734953704</v>
      </c>
      <c r="C521" s="1" t="n">
        <v>46075</v>
      </c>
      <c r="D521" t="inlineStr">
        <is>
          <t>UPPSALA LÄN</t>
        </is>
      </c>
      <c r="E521" t="inlineStr">
        <is>
          <t>UPPSALA</t>
        </is>
      </c>
      <c r="F521" t="inlineStr">
        <is>
          <t>Kyrkan</t>
        </is>
      </c>
      <c r="G521" t="n">
        <v>1.9</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46075</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47688-2025</t>
        </is>
      </c>
      <c r="B523" s="1" t="n">
        <v>45931.59091435185</v>
      </c>
      <c r="C523" s="1" t="n">
        <v>46075</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60445-2024</t>
        </is>
      </c>
      <c r="B524" s="1" t="n">
        <v>45643</v>
      </c>
      <c r="C524" s="1" t="n">
        <v>46075</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32479-2025</t>
        </is>
      </c>
      <c r="B525" s="1" t="n">
        <v>45838</v>
      </c>
      <c r="C525" s="1" t="n">
        <v>46075</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43795-2023</t>
        </is>
      </c>
      <c r="B526" s="1" t="n">
        <v>45182</v>
      </c>
      <c r="C526" s="1" t="n">
        <v>46075</v>
      </c>
      <c r="D526" t="inlineStr">
        <is>
          <t>UPPSALA LÄN</t>
        </is>
      </c>
      <c r="E526" t="inlineStr">
        <is>
          <t>UPPSALA</t>
        </is>
      </c>
      <c r="G526" t="n">
        <v>4.7</v>
      </c>
      <c r="H526" t="n">
        <v>0</v>
      </c>
      <c r="I526" t="n">
        <v>0</v>
      </c>
      <c r="J526" t="n">
        <v>0</v>
      </c>
      <c r="K526" t="n">
        <v>0</v>
      </c>
      <c r="L526" t="n">
        <v>0</v>
      </c>
      <c r="M526" t="n">
        <v>0</v>
      </c>
      <c r="N526" t="n">
        <v>0</v>
      </c>
      <c r="O526" t="n">
        <v>0</v>
      </c>
      <c r="P526" t="n">
        <v>0</v>
      </c>
      <c r="Q526" t="n">
        <v>0</v>
      </c>
      <c r="R526" s="2" t="inlineStr"/>
    </row>
    <row r="527" ht="15" customHeight="1">
      <c r="A527" t="inlineStr">
        <is>
          <t>A 36913-2025</t>
        </is>
      </c>
      <c r="B527" s="1" t="n">
        <v>45874</v>
      </c>
      <c r="C527" s="1" t="n">
        <v>46075</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25776-2022</t>
        </is>
      </c>
      <c r="B528" s="1" t="n">
        <v>44733</v>
      </c>
      <c r="C528" s="1" t="n">
        <v>46075</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47840-2025</t>
        </is>
      </c>
      <c r="B529" s="1" t="n">
        <v>45932.37375</v>
      </c>
      <c r="C529" s="1" t="n">
        <v>46075</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37010-2025</t>
        </is>
      </c>
      <c r="B530" s="1" t="n">
        <v>45874.705</v>
      </c>
      <c r="C530" s="1" t="n">
        <v>46075</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47999-2025</t>
        </is>
      </c>
      <c r="B531" s="1" t="n">
        <v>45932.62907407407</v>
      </c>
      <c r="C531" s="1" t="n">
        <v>46075</v>
      </c>
      <c r="D531" t="inlineStr">
        <is>
          <t>UPPSALA LÄN</t>
        </is>
      </c>
      <c r="E531" t="inlineStr">
        <is>
          <t>UPPSALA</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37486-2025</t>
        </is>
      </c>
      <c r="B532" s="1" t="n">
        <v>45877.62969907407</v>
      </c>
      <c r="C532" s="1" t="n">
        <v>46075</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47961-2025</t>
        </is>
      </c>
      <c r="B533" s="1" t="n">
        <v>45932.59373842592</v>
      </c>
      <c r="C533" s="1" t="n">
        <v>46075</v>
      </c>
      <c r="D533" t="inlineStr">
        <is>
          <t>UPPSALA LÄN</t>
        </is>
      </c>
      <c r="E533" t="inlineStr">
        <is>
          <t>UPPSALA</t>
        </is>
      </c>
      <c r="F533" t="inlineStr">
        <is>
          <t>Allmännings- och besparingsskogar</t>
        </is>
      </c>
      <c r="G533" t="n">
        <v>1.5</v>
      </c>
      <c r="H533" t="n">
        <v>0</v>
      </c>
      <c r="I533" t="n">
        <v>0</v>
      </c>
      <c r="J533" t="n">
        <v>0</v>
      </c>
      <c r="K533" t="n">
        <v>0</v>
      </c>
      <c r="L533" t="n">
        <v>0</v>
      </c>
      <c r="M533" t="n">
        <v>0</v>
      </c>
      <c r="N533" t="n">
        <v>0</v>
      </c>
      <c r="O533" t="n">
        <v>0</v>
      </c>
      <c r="P533" t="n">
        <v>0</v>
      </c>
      <c r="Q533" t="n">
        <v>0</v>
      </c>
      <c r="R533" s="2" t="inlineStr"/>
    </row>
    <row r="534" ht="15" customHeight="1">
      <c r="A534" t="inlineStr">
        <is>
          <t>A 47978-2025</t>
        </is>
      </c>
      <c r="B534" s="1" t="n">
        <v>45932.61177083333</v>
      </c>
      <c r="C534" s="1" t="n">
        <v>46075</v>
      </c>
      <c r="D534" t="inlineStr">
        <is>
          <t>UPPSALA LÄN</t>
        </is>
      </c>
      <c r="E534" t="inlineStr">
        <is>
          <t>UPPSALA</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37351-2025</t>
        </is>
      </c>
      <c r="B535" s="1" t="n">
        <v>45876</v>
      </c>
      <c r="C535" s="1" t="n">
        <v>46075</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9982-2025</t>
        </is>
      </c>
      <c r="B536" s="1" t="n">
        <v>45719.4094212963</v>
      </c>
      <c r="C536" s="1" t="n">
        <v>46075</v>
      </c>
      <c r="D536" t="inlineStr">
        <is>
          <t>UPPSALA LÄN</t>
        </is>
      </c>
      <c r="E536" t="inlineStr">
        <is>
          <t>UPPSALA</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9995-2025</t>
        </is>
      </c>
      <c r="B537" s="1" t="n">
        <v>45719.43872685185</v>
      </c>
      <c r="C537" s="1" t="n">
        <v>46075</v>
      </c>
      <c r="D537" t="inlineStr">
        <is>
          <t>UPPSALA LÄN</t>
        </is>
      </c>
      <c r="E537" t="inlineStr">
        <is>
          <t>UPPSALA</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35016-2025</t>
        </is>
      </c>
      <c r="B538" s="1" t="n">
        <v>45851.62179398148</v>
      </c>
      <c r="C538" s="1" t="n">
        <v>46075</v>
      </c>
      <c r="D538" t="inlineStr">
        <is>
          <t>UPPSALA LÄN</t>
        </is>
      </c>
      <c r="E538" t="inlineStr">
        <is>
          <t>UPPSALA</t>
        </is>
      </c>
      <c r="F538" t="inlineStr">
        <is>
          <t>Bergvik skog öst AB</t>
        </is>
      </c>
      <c r="G538" t="n">
        <v>7</v>
      </c>
      <c r="H538" t="n">
        <v>0</v>
      </c>
      <c r="I538" t="n">
        <v>0</v>
      </c>
      <c r="J538" t="n">
        <v>0</v>
      </c>
      <c r="K538" t="n">
        <v>0</v>
      </c>
      <c r="L538" t="n">
        <v>0</v>
      </c>
      <c r="M538" t="n">
        <v>0</v>
      </c>
      <c r="N538" t="n">
        <v>0</v>
      </c>
      <c r="O538" t="n">
        <v>0</v>
      </c>
      <c r="P538" t="n">
        <v>0</v>
      </c>
      <c r="Q538" t="n">
        <v>0</v>
      </c>
      <c r="R538" s="2" t="inlineStr"/>
    </row>
    <row r="539" ht="15" customHeight="1">
      <c r="A539" t="inlineStr">
        <is>
          <t>A 19276-2023</t>
        </is>
      </c>
      <c r="B539" s="1" t="n">
        <v>45049</v>
      </c>
      <c r="C539" s="1" t="n">
        <v>46075</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47287-2023</t>
        </is>
      </c>
      <c r="B540" s="1" t="n">
        <v>45202</v>
      </c>
      <c r="C540" s="1" t="n">
        <v>46075</v>
      </c>
      <c r="D540" t="inlineStr">
        <is>
          <t>UPPSALA LÄN</t>
        </is>
      </c>
      <c r="E540" t="inlineStr">
        <is>
          <t>UPPSALA</t>
        </is>
      </c>
      <c r="F540" t="inlineStr">
        <is>
          <t>Holmen skog AB</t>
        </is>
      </c>
      <c r="G540" t="n">
        <v>0.4</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46075</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60447-2023</t>
        </is>
      </c>
      <c r="B542" s="1" t="n">
        <v>45259</v>
      </c>
      <c r="C542" s="1" t="n">
        <v>46075</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37468-2025</t>
        </is>
      </c>
      <c r="B543" s="1" t="n">
        <v>45877.57847222222</v>
      </c>
      <c r="C543" s="1" t="n">
        <v>46075</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37561-2025</t>
        </is>
      </c>
      <c r="B544" s="1" t="n">
        <v>45880.34064814815</v>
      </c>
      <c r="C544" s="1" t="n">
        <v>46075</v>
      </c>
      <c r="D544" t="inlineStr">
        <is>
          <t>UPPSALA LÄN</t>
        </is>
      </c>
      <c r="E544" t="inlineStr">
        <is>
          <t>UPPSALA</t>
        </is>
      </c>
      <c r="G544" t="n">
        <v>1.4</v>
      </c>
      <c r="H544" t="n">
        <v>0</v>
      </c>
      <c r="I544" t="n">
        <v>0</v>
      </c>
      <c r="J544" t="n">
        <v>0</v>
      </c>
      <c r="K544" t="n">
        <v>0</v>
      </c>
      <c r="L544" t="n">
        <v>0</v>
      </c>
      <c r="M544" t="n">
        <v>0</v>
      </c>
      <c r="N544" t="n">
        <v>0</v>
      </c>
      <c r="O544" t="n">
        <v>0</v>
      </c>
      <c r="P544" t="n">
        <v>0</v>
      </c>
      <c r="Q544" t="n">
        <v>0</v>
      </c>
      <c r="R544" s="2" t="inlineStr"/>
    </row>
    <row r="545" ht="15" customHeight="1">
      <c r="A545" t="inlineStr">
        <is>
          <t>A 56084-2024</t>
        </is>
      </c>
      <c r="B545" s="1" t="n">
        <v>45624</v>
      </c>
      <c r="C545" s="1" t="n">
        <v>46075</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37611-2025</t>
        </is>
      </c>
      <c r="B546" s="1" t="n">
        <v>45880</v>
      </c>
      <c r="C546" s="1" t="n">
        <v>46075</v>
      </c>
      <c r="D546" t="inlineStr">
        <is>
          <t>UPPSALA LÄN</t>
        </is>
      </c>
      <c r="E546" t="inlineStr">
        <is>
          <t>UPPSALA</t>
        </is>
      </c>
      <c r="G546" t="n">
        <v>2.9</v>
      </c>
      <c r="H546" t="n">
        <v>0</v>
      </c>
      <c r="I546" t="n">
        <v>0</v>
      </c>
      <c r="J546" t="n">
        <v>0</v>
      </c>
      <c r="K546" t="n">
        <v>0</v>
      </c>
      <c r="L546" t="n">
        <v>0</v>
      </c>
      <c r="M546" t="n">
        <v>0</v>
      </c>
      <c r="N546" t="n">
        <v>0</v>
      </c>
      <c r="O546" t="n">
        <v>0</v>
      </c>
      <c r="P546" t="n">
        <v>0</v>
      </c>
      <c r="Q546" t="n">
        <v>0</v>
      </c>
      <c r="R546" s="2" t="inlineStr"/>
    </row>
    <row r="547" ht="15" customHeight="1">
      <c r="A547" t="inlineStr">
        <is>
          <t>A 37759-2025</t>
        </is>
      </c>
      <c r="B547" s="1" t="n">
        <v>45880.68200231482</v>
      </c>
      <c r="C547" s="1" t="n">
        <v>46075</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37851-2025</t>
        </is>
      </c>
      <c r="B548" s="1" t="n">
        <v>45881.44938657407</v>
      </c>
      <c r="C548" s="1" t="n">
        <v>46075</v>
      </c>
      <c r="D548" t="inlineStr">
        <is>
          <t>UPPSALA LÄN</t>
        </is>
      </c>
      <c r="E548" t="inlineStr">
        <is>
          <t>UPPSALA</t>
        </is>
      </c>
      <c r="G548" t="n">
        <v>2.3</v>
      </c>
      <c r="H548" t="n">
        <v>0</v>
      </c>
      <c r="I548" t="n">
        <v>0</v>
      </c>
      <c r="J548" t="n">
        <v>0</v>
      </c>
      <c r="K548" t="n">
        <v>0</v>
      </c>
      <c r="L548" t="n">
        <v>0</v>
      </c>
      <c r="M548" t="n">
        <v>0</v>
      </c>
      <c r="N548" t="n">
        <v>0</v>
      </c>
      <c r="O548" t="n">
        <v>0</v>
      </c>
      <c r="P548" t="n">
        <v>0</v>
      </c>
      <c r="Q548" t="n">
        <v>0</v>
      </c>
      <c r="R548" s="2" t="inlineStr"/>
    </row>
    <row r="549" ht="15" customHeight="1">
      <c r="A549" t="inlineStr">
        <is>
          <t>A 37557-2025</t>
        </is>
      </c>
      <c r="B549" s="1" t="n">
        <v>45880.32907407408</v>
      </c>
      <c r="C549" s="1" t="n">
        <v>46075</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46075</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37856-2025</t>
        </is>
      </c>
      <c r="B551" s="1" t="n">
        <v>45881.45898148148</v>
      </c>
      <c r="C551" s="1" t="n">
        <v>46075</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3287-2025</t>
        </is>
      </c>
      <c r="B552" s="1" t="n">
        <v>45679</v>
      </c>
      <c r="C552" s="1" t="n">
        <v>46075</v>
      </c>
      <c r="D552" t="inlineStr">
        <is>
          <t>UPPSALA LÄN</t>
        </is>
      </c>
      <c r="E552" t="inlineStr">
        <is>
          <t>UPPSALA</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49160-2025</t>
        </is>
      </c>
      <c r="B553" s="1" t="n">
        <v>45938.35063657408</v>
      </c>
      <c r="C553" s="1" t="n">
        <v>46075</v>
      </c>
      <c r="D553" t="inlineStr">
        <is>
          <t>UPPSALA LÄN</t>
        </is>
      </c>
      <c r="E553" t="inlineStr">
        <is>
          <t>UPPSALA</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38034-2025</t>
        </is>
      </c>
      <c r="B554" s="1" t="n">
        <v>45882.37202546297</v>
      </c>
      <c r="C554" s="1" t="n">
        <v>46075</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22996-2021</t>
        </is>
      </c>
      <c r="B555" s="1" t="n">
        <v>44328</v>
      </c>
      <c r="C555" s="1" t="n">
        <v>46075</v>
      </c>
      <c r="D555" t="inlineStr">
        <is>
          <t>UPPSALA LÄN</t>
        </is>
      </c>
      <c r="E555" t="inlineStr">
        <is>
          <t>UPPSALA</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49094-2025</t>
        </is>
      </c>
      <c r="B556" s="1" t="n">
        <v>45937.68865740741</v>
      </c>
      <c r="C556" s="1" t="n">
        <v>46075</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4993-2025</t>
        </is>
      </c>
      <c r="B557" s="1" t="n">
        <v>45691</v>
      </c>
      <c r="C557" s="1" t="n">
        <v>46075</v>
      </c>
      <c r="D557" t="inlineStr">
        <is>
          <t>UPPSALA LÄN</t>
        </is>
      </c>
      <c r="E557" t="inlineStr">
        <is>
          <t>UPPSALA</t>
        </is>
      </c>
      <c r="F557" t="inlineStr">
        <is>
          <t>Kyrkan</t>
        </is>
      </c>
      <c r="G557" t="n">
        <v>6.7</v>
      </c>
      <c r="H557" t="n">
        <v>0</v>
      </c>
      <c r="I557" t="n">
        <v>0</v>
      </c>
      <c r="J557" t="n">
        <v>0</v>
      </c>
      <c r="K557" t="n">
        <v>0</v>
      </c>
      <c r="L557" t="n">
        <v>0</v>
      </c>
      <c r="M557" t="n">
        <v>0</v>
      </c>
      <c r="N557" t="n">
        <v>0</v>
      </c>
      <c r="O557" t="n">
        <v>0</v>
      </c>
      <c r="P557" t="n">
        <v>0</v>
      </c>
      <c r="Q557" t="n">
        <v>0</v>
      </c>
      <c r="R557" s="2" t="inlineStr"/>
    </row>
    <row r="558" ht="15" customHeight="1">
      <c r="A558" t="inlineStr">
        <is>
          <t>A 38113-2025</t>
        </is>
      </c>
      <c r="B558" s="1" t="n">
        <v>45882.52290509259</v>
      </c>
      <c r="C558" s="1" t="n">
        <v>46075</v>
      </c>
      <c r="D558" t="inlineStr">
        <is>
          <t>UPPSALA LÄN</t>
        </is>
      </c>
      <c r="E558" t="inlineStr">
        <is>
          <t>UPPSALA</t>
        </is>
      </c>
      <c r="G558" t="n">
        <v>5.8</v>
      </c>
      <c r="H558" t="n">
        <v>0</v>
      </c>
      <c r="I558" t="n">
        <v>0</v>
      </c>
      <c r="J558" t="n">
        <v>0</v>
      </c>
      <c r="K558" t="n">
        <v>0</v>
      </c>
      <c r="L558" t="n">
        <v>0</v>
      </c>
      <c r="M558" t="n">
        <v>0</v>
      </c>
      <c r="N558" t="n">
        <v>0</v>
      </c>
      <c r="O558" t="n">
        <v>0</v>
      </c>
      <c r="P558" t="n">
        <v>0</v>
      </c>
      <c r="Q558" t="n">
        <v>0</v>
      </c>
      <c r="R558" s="2" t="inlineStr"/>
    </row>
    <row r="559" ht="15" customHeight="1">
      <c r="A559" t="inlineStr">
        <is>
          <t>A 62287-2023</t>
        </is>
      </c>
      <c r="B559" s="1" t="n">
        <v>45267</v>
      </c>
      <c r="C559" s="1" t="n">
        <v>46075</v>
      </c>
      <c r="D559" t="inlineStr">
        <is>
          <t>UPPSALA LÄN</t>
        </is>
      </c>
      <c r="E559" t="inlineStr">
        <is>
          <t>UPPSALA</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49164-2025</t>
        </is>
      </c>
      <c r="B560" s="1" t="n">
        <v>45938.3615625</v>
      </c>
      <c r="C560" s="1" t="n">
        <v>46075</v>
      </c>
      <c r="D560" t="inlineStr">
        <is>
          <t>UPPSALA LÄN</t>
        </is>
      </c>
      <c r="E560" t="inlineStr">
        <is>
          <t>UPPSALA</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16288-2025</t>
        </is>
      </c>
      <c r="B561" s="1" t="n">
        <v>45751.32001157408</v>
      </c>
      <c r="C561" s="1" t="n">
        <v>46075</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49463-2025</t>
        </is>
      </c>
      <c r="B562" s="1" t="n">
        <v>45939.32621527778</v>
      </c>
      <c r="C562" s="1" t="n">
        <v>46075</v>
      </c>
      <c r="D562" t="inlineStr">
        <is>
          <t>UPPSALA LÄN</t>
        </is>
      </c>
      <c r="E562" t="inlineStr">
        <is>
          <t>UPPSALA</t>
        </is>
      </c>
      <c r="G562" t="n">
        <v>3.4</v>
      </c>
      <c r="H562" t="n">
        <v>0</v>
      </c>
      <c r="I562" t="n">
        <v>0</v>
      </c>
      <c r="J562" t="n">
        <v>0</v>
      </c>
      <c r="K562" t="n">
        <v>0</v>
      </c>
      <c r="L562" t="n">
        <v>0</v>
      </c>
      <c r="M562" t="n">
        <v>0</v>
      </c>
      <c r="N562" t="n">
        <v>0</v>
      </c>
      <c r="O562" t="n">
        <v>0</v>
      </c>
      <c r="P562" t="n">
        <v>0</v>
      </c>
      <c r="Q562" t="n">
        <v>0</v>
      </c>
      <c r="R562" s="2" t="inlineStr"/>
    </row>
    <row r="563" ht="15" customHeight="1">
      <c r="A563" t="inlineStr">
        <is>
          <t>A 17658-2025</t>
        </is>
      </c>
      <c r="B563" s="1" t="n">
        <v>45758</v>
      </c>
      <c r="C563" s="1" t="n">
        <v>46075</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49080-2025</t>
        </is>
      </c>
      <c r="B564" s="1" t="n">
        <v>45937</v>
      </c>
      <c r="C564" s="1" t="n">
        <v>46075</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49098-2025</t>
        </is>
      </c>
      <c r="B565" s="1" t="n">
        <v>45937</v>
      </c>
      <c r="C565" s="1" t="n">
        <v>46075</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18781-2025</t>
        </is>
      </c>
      <c r="B566" s="1" t="n">
        <v>45763</v>
      </c>
      <c r="C566" s="1" t="n">
        <v>46075</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59547-2024</t>
        </is>
      </c>
      <c r="B567" s="1" t="n">
        <v>45638</v>
      </c>
      <c r="C567" s="1" t="n">
        <v>46075</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49986-2025</t>
        </is>
      </c>
      <c r="B568" s="1" t="n">
        <v>45942.79476851852</v>
      </c>
      <c r="C568" s="1" t="n">
        <v>46075</v>
      </c>
      <c r="D568" t="inlineStr">
        <is>
          <t>UPPSALA LÄN</t>
        </is>
      </c>
      <c r="E568" t="inlineStr">
        <is>
          <t>UPPSALA</t>
        </is>
      </c>
      <c r="F568" t="inlineStr">
        <is>
          <t>Bergvik skog öst AB</t>
        </is>
      </c>
      <c r="G568" t="n">
        <v>4.5</v>
      </c>
      <c r="H568" t="n">
        <v>0</v>
      </c>
      <c r="I568" t="n">
        <v>0</v>
      </c>
      <c r="J568" t="n">
        <v>0</v>
      </c>
      <c r="K568" t="n">
        <v>0</v>
      </c>
      <c r="L568" t="n">
        <v>0</v>
      </c>
      <c r="M568" t="n">
        <v>0</v>
      </c>
      <c r="N568" t="n">
        <v>0</v>
      </c>
      <c r="O568" t="n">
        <v>0</v>
      </c>
      <c r="P568" t="n">
        <v>0</v>
      </c>
      <c r="Q568" t="n">
        <v>0</v>
      </c>
      <c r="R568" s="2" t="inlineStr"/>
    </row>
    <row r="569" ht="15" customHeight="1">
      <c r="A569" t="inlineStr">
        <is>
          <t>A 49989-2025</t>
        </is>
      </c>
      <c r="B569" s="1" t="n">
        <v>45942.8396412037</v>
      </c>
      <c r="C569" s="1" t="n">
        <v>46075</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49988-2025</t>
        </is>
      </c>
      <c r="B570" s="1" t="n">
        <v>45942.80318287037</v>
      </c>
      <c r="C570" s="1" t="n">
        <v>46075</v>
      </c>
      <c r="D570" t="inlineStr">
        <is>
          <t>UPPSALA LÄN</t>
        </is>
      </c>
      <c r="E570" t="inlineStr">
        <is>
          <t>UPPSALA</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49937-2025</t>
        </is>
      </c>
      <c r="B571" s="1" t="n">
        <v>45940.67084490741</v>
      </c>
      <c r="C571" s="1" t="n">
        <v>46075</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49940-2025</t>
        </is>
      </c>
      <c r="B572" s="1" t="n">
        <v>45940.67305555556</v>
      </c>
      <c r="C572" s="1" t="n">
        <v>46075</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46075</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50232-2025</t>
        </is>
      </c>
      <c r="B574" s="1" t="n">
        <v>45943.70756944444</v>
      </c>
      <c r="C574" s="1" t="n">
        <v>46075</v>
      </c>
      <c r="D574" t="inlineStr">
        <is>
          <t>UPPSALA LÄN</t>
        </is>
      </c>
      <c r="E574" t="inlineStr">
        <is>
          <t>UPPSALA</t>
        </is>
      </c>
      <c r="F574" t="inlineStr">
        <is>
          <t>Holmen skog AB</t>
        </is>
      </c>
      <c r="G574" t="n">
        <v>2</v>
      </c>
      <c r="H574" t="n">
        <v>0</v>
      </c>
      <c r="I574" t="n">
        <v>0</v>
      </c>
      <c r="J574" t="n">
        <v>0</v>
      </c>
      <c r="K574" t="n">
        <v>0</v>
      </c>
      <c r="L574" t="n">
        <v>0</v>
      </c>
      <c r="M574" t="n">
        <v>0</v>
      </c>
      <c r="N574" t="n">
        <v>0</v>
      </c>
      <c r="O574" t="n">
        <v>0</v>
      </c>
      <c r="P574" t="n">
        <v>0</v>
      </c>
      <c r="Q574" t="n">
        <v>0</v>
      </c>
      <c r="R574" s="2" t="inlineStr"/>
    </row>
    <row r="575" ht="15" customHeight="1">
      <c r="A575" t="inlineStr">
        <is>
          <t>A 49829-2025</t>
        </is>
      </c>
      <c r="B575" s="1" t="n">
        <v>45940.45038194444</v>
      </c>
      <c r="C575" s="1" t="n">
        <v>46075</v>
      </c>
      <c r="D575" t="inlineStr">
        <is>
          <t>UPPSALA LÄN</t>
        </is>
      </c>
      <c r="E575" t="inlineStr">
        <is>
          <t>UPPSALA</t>
        </is>
      </c>
      <c r="F575" t="inlineStr">
        <is>
          <t>Bergvik skog öst AB</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49990-2025</t>
        </is>
      </c>
      <c r="B576" s="1" t="n">
        <v>45942.84414351852</v>
      </c>
      <c r="C576" s="1" t="n">
        <v>46075</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49987-2025</t>
        </is>
      </c>
      <c r="B577" s="1" t="n">
        <v>45942.80185185185</v>
      </c>
      <c r="C577" s="1" t="n">
        <v>46075</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6155-2023</t>
        </is>
      </c>
      <c r="B578" s="1" t="n">
        <v>44964.65261574074</v>
      </c>
      <c r="C578" s="1" t="n">
        <v>46075</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50591-2025</t>
        </is>
      </c>
      <c r="B579" s="1" t="n">
        <v>45944</v>
      </c>
      <c r="C579" s="1" t="n">
        <v>46075</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1588-2025</t>
        </is>
      </c>
      <c r="B580" s="1" t="n">
        <v>45670</v>
      </c>
      <c r="C580" s="1" t="n">
        <v>46075</v>
      </c>
      <c r="D580" t="inlineStr">
        <is>
          <t>UPPSALA LÄN</t>
        </is>
      </c>
      <c r="E580" t="inlineStr">
        <is>
          <t>UPPSALA</t>
        </is>
      </c>
      <c r="F580" t="inlineStr">
        <is>
          <t>Bergvik skog väst AB</t>
        </is>
      </c>
      <c r="G580" t="n">
        <v>0.8</v>
      </c>
      <c r="H580" t="n">
        <v>0</v>
      </c>
      <c r="I580" t="n">
        <v>0</v>
      </c>
      <c r="J580" t="n">
        <v>0</v>
      </c>
      <c r="K580" t="n">
        <v>0</v>
      </c>
      <c r="L580" t="n">
        <v>0</v>
      </c>
      <c r="M580" t="n">
        <v>0</v>
      </c>
      <c r="N580" t="n">
        <v>0</v>
      </c>
      <c r="O580" t="n">
        <v>0</v>
      </c>
      <c r="P580" t="n">
        <v>0</v>
      </c>
      <c r="Q580" t="n">
        <v>0</v>
      </c>
      <c r="R580" s="2" t="inlineStr"/>
    </row>
    <row r="581" ht="15" customHeight="1">
      <c r="A581" t="inlineStr">
        <is>
          <t>A 41112-2025</t>
        </is>
      </c>
      <c r="B581" s="1" t="n">
        <v>45898.46040509259</v>
      </c>
      <c r="C581" s="1" t="n">
        <v>46075</v>
      </c>
      <c r="D581" t="inlineStr">
        <is>
          <t>UPPSALA LÄN</t>
        </is>
      </c>
      <c r="E581" t="inlineStr">
        <is>
          <t>UPPSALA</t>
        </is>
      </c>
      <c r="G581" t="n">
        <v>3.1</v>
      </c>
      <c r="H581" t="n">
        <v>0</v>
      </c>
      <c r="I581" t="n">
        <v>0</v>
      </c>
      <c r="J581" t="n">
        <v>0</v>
      </c>
      <c r="K581" t="n">
        <v>0</v>
      </c>
      <c r="L581" t="n">
        <v>0</v>
      </c>
      <c r="M581" t="n">
        <v>0</v>
      </c>
      <c r="N581" t="n">
        <v>0</v>
      </c>
      <c r="O581" t="n">
        <v>0</v>
      </c>
      <c r="P581" t="n">
        <v>0</v>
      </c>
      <c r="Q581" t="n">
        <v>0</v>
      </c>
      <c r="R581" s="2" t="inlineStr"/>
    </row>
    <row r="582" ht="15" customHeight="1">
      <c r="A582" t="inlineStr">
        <is>
          <t>A 31157-2023</t>
        </is>
      </c>
      <c r="B582" s="1" t="n">
        <v>45113</v>
      </c>
      <c r="C582" s="1" t="n">
        <v>46075</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17595-2025</t>
        </is>
      </c>
      <c r="B583" s="1" t="n">
        <v>45757</v>
      </c>
      <c r="C583" s="1" t="n">
        <v>46075</v>
      </c>
      <c r="D583" t="inlineStr">
        <is>
          <t>UPPSALA LÄN</t>
        </is>
      </c>
      <c r="E583" t="inlineStr">
        <is>
          <t>UPPSALA</t>
        </is>
      </c>
      <c r="G583" t="n">
        <v>2.7</v>
      </c>
      <c r="H583" t="n">
        <v>0</v>
      </c>
      <c r="I583" t="n">
        <v>0</v>
      </c>
      <c r="J583" t="n">
        <v>0</v>
      </c>
      <c r="K583" t="n">
        <v>0</v>
      </c>
      <c r="L583" t="n">
        <v>0</v>
      </c>
      <c r="M583" t="n">
        <v>0</v>
      </c>
      <c r="N583" t="n">
        <v>0</v>
      </c>
      <c r="O583" t="n">
        <v>0</v>
      </c>
      <c r="P583" t="n">
        <v>0</v>
      </c>
      <c r="Q583" t="n">
        <v>0</v>
      </c>
      <c r="R583" s="2" t="inlineStr"/>
    </row>
    <row r="584" ht="15" customHeight="1">
      <c r="A584" t="inlineStr">
        <is>
          <t>A 50897-2025</t>
        </is>
      </c>
      <c r="B584" s="1" t="n">
        <v>45946.64121527778</v>
      </c>
      <c r="C584" s="1" t="n">
        <v>46075</v>
      </c>
      <c r="D584" t="inlineStr">
        <is>
          <t>UPPSALA LÄN</t>
        </is>
      </c>
      <c r="E584" t="inlineStr">
        <is>
          <t>UPPSALA</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33332-2022</t>
        </is>
      </c>
      <c r="B585" s="1" t="n">
        <v>44788</v>
      </c>
      <c r="C585" s="1" t="n">
        <v>46075</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27912-2023</t>
        </is>
      </c>
      <c r="B586" s="1" t="n">
        <v>45098.63572916666</v>
      </c>
      <c r="C586" s="1" t="n">
        <v>46075</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1592-2025</t>
        </is>
      </c>
      <c r="B587" s="1" t="n">
        <v>45670</v>
      </c>
      <c r="C587" s="1" t="n">
        <v>46075</v>
      </c>
      <c r="D587" t="inlineStr">
        <is>
          <t>UPPSALA LÄN</t>
        </is>
      </c>
      <c r="E587" t="inlineStr">
        <is>
          <t>UPPSALA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51158-2025</t>
        </is>
      </c>
      <c r="B588" s="1" t="n">
        <v>45947.58105324074</v>
      </c>
      <c r="C588" s="1" t="n">
        <v>46075</v>
      </c>
      <c r="D588" t="inlineStr">
        <is>
          <t>UPPSALA LÄN</t>
        </is>
      </c>
      <c r="E588" t="inlineStr">
        <is>
          <t>UPPSALA</t>
        </is>
      </c>
      <c r="F588" t="inlineStr">
        <is>
          <t>Övriga Aktiebolag</t>
        </is>
      </c>
      <c r="G588" t="n">
        <v>12.1</v>
      </c>
      <c r="H588" t="n">
        <v>0</v>
      </c>
      <c r="I588" t="n">
        <v>0</v>
      </c>
      <c r="J588" t="n">
        <v>0</v>
      </c>
      <c r="K588" t="n">
        <v>0</v>
      </c>
      <c r="L588" t="n">
        <v>0</v>
      </c>
      <c r="M588" t="n">
        <v>0</v>
      </c>
      <c r="N588" t="n">
        <v>0</v>
      </c>
      <c r="O588" t="n">
        <v>0</v>
      </c>
      <c r="P588" t="n">
        <v>0</v>
      </c>
      <c r="Q588" t="n">
        <v>0</v>
      </c>
      <c r="R588" s="2" t="inlineStr"/>
    </row>
    <row r="589" ht="15" customHeight="1">
      <c r="A589" t="inlineStr">
        <is>
          <t>A 50951-2025</t>
        </is>
      </c>
      <c r="B589" s="1" t="n">
        <v>45946.76038194444</v>
      </c>
      <c r="C589" s="1" t="n">
        <v>46075</v>
      </c>
      <c r="D589" t="inlineStr">
        <is>
          <t>UPPSALA LÄN</t>
        </is>
      </c>
      <c r="E589" t="inlineStr">
        <is>
          <t>UPPSALA</t>
        </is>
      </c>
      <c r="G589" t="n">
        <v>2.9</v>
      </c>
      <c r="H589" t="n">
        <v>0</v>
      </c>
      <c r="I589" t="n">
        <v>0</v>
      </c>
      <c r="J589" t="n">
        <v>0</v>
      </c>
      <c r="K589" t="n">
        <v>0</v>
      </c>
      <c r="L589" t="n">
        <v>0</v>
      </c>
      <c r="M589" t="n">
        <v>0</v>
      </c>
      <c r="N589" t="n">
        <v>0</v>
      </c>
      <c r="O589" t="n">
        <v>0</v>
      </c>
      <c r="P589" t="n">
        <v>0</v>
      </c>
      <c r="Q589" t="n">
        <v>0</v>
      </c>
      <c r="R589" s="2" t="inlineStr"/>
    </row>
    <row r="590" ht="15" customHeight="1">
      <c r="A590" t="inlineStr">
        <is>
          <t>A 50706-2025</t>
        </is>
      </c>
      <c r="B590" s="1" t="n">
        <v>45946.30063657407</v>
      </c>
      <c r="C590" s="1" t="n">
        <v>46075</v>
      </c>
      <c r="D590" t="inlineStr">
        <is>
          <t>UPPSALA LÄN</t>
        </is>
      </c>
      <c r="E590" t="inlineStr">
        <is>
          <t>UPPSALA</t>
        </is>
      </c>
      <c r="G590" t="n">
        <v>3.6</v>
      </c>
      <c r="H590" t="n">
        <v>0</v>
      </c>
      <c r="I590" t="n">
        <v>0</v>
      </c>
      <c r="J590" t="n">
        <v>0</v>
      </c>
      <c r="K590" t="n">
        <v>0</v>
      </c>
      <c r="L590" t="n">
        <v>0</v>
      </c>
      <c r="M590" t="n">
        <v>0</v>
      </c>
      <c r="N590" t="n">
        <v>0</v>
      </c>
      <c r="O590" t="n">
        <v>0</v>
      </c>
      <c r="P590" t="n">
        <v>0</v>
      </c>
      <c r="Q590" t="n">
        <v>0</v>
      </c>
      <c r="R590" s="2" t="inlineStr"/>
    </row>
    <row r="591" ht="15" customHeight="1">
      <c r="A591" t="inlineStr">
        <is>
          <t>A 50708-2025</t>
        </is>
      </c>
      <c r="B591" s="1" t="n">
        <v>45946.31299768519</v>
      </c>
      <c r="C591" s="1" t="n">
        <v>46075</v>
      </c>
      <c r="D591" t="inlineStr">
        <is>
          <t>UPPSALA LÄN</t>
        </is>
      </c>
      <c r="E591" t="inlineStr">
        <is>
          <t>UPPSALA</t>
        </is>
      </c>
      <c r="G591" t="n">
        <v>6.7</v>
      </c>
      <c r="H591" t="n">
        <v>0</v>
      </c>
      <c r="I591" t="n">
        <v>0</v>
      </c>
      <c r="J591" t="n">
        <v>0</v>
      </c>
      <c r="K591" t="n">
        <v>0</v>
      </c>
      <c r="L591" t="n">
        <v>0</v>
      </c>
      <c r="M591" t="n">
        <v>0</v>
      </c>
      <c r="N591" t="n">
        <v>0</v>
      </c>
      <c r="O591" t="n">
        <v>0</v>
      </c>
      <c r="P591" t="n">
        <v>0</v>
      </c>
      <c r="Q591" t="n">
        <v>0</v>
      </c>
      <c r="R591" s="2" t="inlineStr"/>
    </row>
    <row r="592" ht="15" customHeight="1">
      <c r="A592" t="inlineStr">
        <is>
          <t>A 50949-2025</t>
        </is>
      </c>
      <c r="B592" s="1" t="n">
        <v>45946.75140046296</v>
      </c>
      <c r="C592" s="1" t="n">
        <v>46075</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9611-2024</t>
        </is>
      </c>
      <c r="B593" s="1" t="n">
        <v>45361.57299768519</v>
      </c>
      <c r="C593" s="1" t="n">
        <v>46075</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24091-2024</t>
        </is>
      </c>
      <c r="B594" s="1" t="n">
        <v>45456.58491898148</v>
      </c>
      <c r="C594" s="1" t="n">
        <v>46075</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51090-2025</t>
        </is>
      </c>
      <c r="B595" s="1" t="n">
        <v>45947.4724537037</v>
      </c>
      <c r="C595" s="1" t="n">
        <v>46075</v>
      </c>
      <c r="D595" t="inlineStr">
        <is>
          <t>UPPSALA LÄN</t>
        </is>
      </c>
      <c r="E595" t="inlineStr">
        <is>
          <t>UPPSALA</t>
        </is>
      </c>
      <c r="F595" t="inlineStr">
        <is>
          <t>Övriga Aktiebolag</t>
        </is>
      </c>
      <c r="G595" t="n">
        <v>17.5</v>
      </c>
      <c r="H595" t="n">
        <v>0</v>
      </c>
      <c r="I595" t="n">
        <v>0</v>
      </c>
      <c r="J595" t="n">
        <v>0</v>
      </c>
      <c r="K595" t="n">
        <v>0</v>
      </c>
      <c r="L595" t="n">
        <v>0</v>
      </c>
      <c r="M595" t="n">
        <v>0</v>
      </c>
      <c r="N595" t="n">
        <v>0</v>
      </c>
      <c r="O595" t="n">
        <v>0</v>
      </c>
      <c r="P595" t="n">
        <v>0</v>
      </c>
      <c r="Q595" t="n">
        <v>0</v>
      </c>
      <c r="R595" s="2" t="inlineStr"/>
    </row>
    <row r="596" ht="15" customHeight="1">
      <c r="A596" t="inlineStr">
        <is>
          <t>A 51433-2025</t>
        </is>
      </c>
      <c r="B596" s="1" t="n">
        <v>45950.55603009259</v>
      </c>
      <c r="C596" s="1" t="n">
        <v>46075</v>
      </c>
      <c r="D596" t="inlineStr">
        <is>
          <t>UPPSALA LÄN</t>
        </is>
      </c>
      <c r="E596" t="inlineStr">
        <is>
          <t>UPPSALA</t>
        </is>
      </c>
      <c r="F596" t="inlineStr">
        <is>
          <t>Bergvik skog öst AB</t>
        </is>
      </c>
      <c r="G596" t="n">
        <v>14.7</v>
      </c>
      <c r="H596" t="n">
        <v>0</v>
      </c>
      <c r="I596" t="n">
        <v>0</v>
      </c>
      <c r="J596" t="n">
        <v>0</v>
      </c>
      <c r="K596" t="n">
        <v>0</v>
      </c>
      <c r="L596" t="n">
        <v>0</v>
      </c>
      <c r="M596" t="n">
        <v>0</v>
      </c>
      <c r="N596" t="n">
        <v>0</v>
      </c>
      <c r="O596" t="n">
        <v>0</v>
      </c>
      <c r="P596" t="n">
        <v>0</v>
      </c>
      <c r="Q596" t="n">
        <v>0</v>
      </c>
      <c r="R596" s="2" t="inlineStr"/>
    </row>
    <row r="597" ht="15" customHeight="1">
      <c r="A597" t="inlineStr">
        <is>
          <t>A 60781-2023</t>
        </is>
      </c>
      <c r="B597" s="1" t="n">
        <v>45259</v>
      </c>
      <c r="C597" s="1" t="n">
        <v>46075</v>
      </c>
      <c r="D597" t="inlineStr">
        <is>
          <t>UPPSALA LÄN</t>
        </is>
      </c>
      <c r="E597" t="inlineStr">
        <is>
          <t>UPPSALA</t>
        </is>
      </c>
      <c r="G597" t="n">
        <v>4.1</v>
      </c>
      <c r="H597" t="n">
        <v>0</v>
      </c>
      <c r="I597" t="n">
        <v>0</v>
      </c>
      <c r="J597" t="n">
        <v>0</v>
      </c>
      <c r="K597" t="n">
        <v>0</v>
      </c>
      <c r="L597" t="n">
        <v>0</v>
      </c>
      <c r="M597" t="n">
        <v>0</v>
      </c>
      <c r="N597" t="n">
        <v>0</v>
      </c>
      <c r="O597" t="n">
        <v>0</v>
      </c>
      <c r="P597" t="n">
        <v>0</v>
      </c>
      <c r="Q597" t="n">
        <v>0</v>
      </c>
      <c r="R597" s="2" t="inlineStr"/>
    </row>
    <row r="598" ht="15" customHeight="1">
      <c r="A598" t="inlineStr">
        <is>
          <t>A 24787-2024</t>
        </is>
      </c>
      <c r="B598" s="1" t="n">
        <v>45460</v>
      </c>
      <c r="C598" s="1" t="n">
        <v>46075</v>
      </c>
      <c r="D598" t="inlineStr">
        <is>
          <t>UPPSALA LÄN</t>
        </is>
      </c>
      <c r="E598" t="inlineStr">
        <is>
          <t>UPPSALA</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60167-2024</t>
        </is>
      </c>
      <c r="B599" s="1" t="n">
        <v>45642.63524305556</v>
      </c>
      <c r="C599" s="1" t="n">
        <v>46075</v>
      </c>
      <c r="D599" t="inlineStr">
        <is>
          <t>UPPSALA LÄN</t>
        </is>
      </c>
      <c r="E599" t="inlineStr">
        <is>
          <t>UPPSALA</t>
        </is>
      </c>
      <c r="G599" t="n">
        <v>1</v>
      </c>
      <c r="H599" t="n">
        <v>0</v>
      </c>
      <c r="I599" t="n">
        <v>0</v>
      </c>
      <c r="J599" t="n">
        <v>0</v>
      </c>
      <c r="K599" t="n">
        <v>0</v>
      </c>
      <c r="L599" t="n">
        <v>0</v>
      </c>
      <c r="M599" t="n">
        <v>0</v>
      </c>
      <c r="N599" t="n">
        <v>0</v>
      </c>
      <c r="O599" t="n">
        <v>0</v>
      </c>
      <c r="P599" t="n">
        <v>0</v>
      </c>
      <c r="Q599" t="n">
        <v>0</v>
      </c>
      <c r="R599" s="2" t="inlineStr"/>
    </row>
    <row r="600" ht="15" customHeight="1">
      <c r="A600" t="inlineStr">
        <is>
          <t>A 18717-2025</t>
        </is>
      </c>
      <c r="B600" s="1" t="n">
        <v>45763.6503125</v>
      </c>
      <c r="C600" s="1" t="n">
        <v>46075</v>
      </c>
      <c r="D600" t="inlineStr">
        <is>
          <t>UPPSALA LÄN</t>
        </is>
      </c>
      <c r="E600" t="inlineStr">
        <is>
          <t>UPPSALA</t>
        </is>
      </c>
      <c r="G600" t="n">
        <v>1</v>
      </c>
      <c r="H600" t="n">
        <v>0</v>
      </c>
      <c r="I600" t="n">
        <v>0</v>
      </c>
      <c r="J600" t="n">
        <v>0</v>
      </c>
      <c r="K600" t="n">
        <v>0</v>
      </c>
      <c r="L600" t="n">
        <v>0</v>
      </c>
      <c r="M600" t="n">
        <v>0</v>
      </c>
      <c r="N600" t="n">
        <v>0</v>
      </c>
      <c r="O600" t="n">
        <v>0</v>
      </c>
      <c r="P600" t="n">
        <v>0</v>
      </c>
      <c r="Q600" t="n">
        <v>0</v>
      </c>
      <c r="R600" s="2" t="inlineStr"/>
    </row>
    <row r="601" ht="15" customHeight="1">
      <c r="A601" t="inlineStr">
        <is>
          <t>A 51493-2025</t>
        </is>
      </c>
      <c r="B601" s="1" t="n">
        <v>45950</v>
      </c>
      <c r="C601" s="1" t="n">
        <v>46075</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51505-2025</t>
        </is>
      </c>
      <c r="B602" s="1" t="n">
        <v>45950</v>
      </c>
      <c r="C602" s="1" t="n">
        <v>46075</v>
      </c>
      <c r="D602" t="inlineStr">
        <is>
          <t>UPPSALA LÄN</t>
        </is>
      </c>
      <c r="E602" t="inlineStr">
        <is>
          <t>UPPSALA</t>
        </is>
      </c>
      <c r="G602" t="n">
        <v>6.7</v>
      </c>
      <c r="H602" t="n">
        <v>0</v>
      </c>
      <c r="I602" t="n">
        <v>0</v>
      </c>
      <c r="J602" t="n">
        <v>0</v>
      </c>
      <c r="K602" t="n">
        <v>0</v>
      </c>
      <c r="L602" t="n">
        <v>0</v>
      </c>
      <c r="M602" t="n">
        <v>0</v>
      </c>
      <c r="N602" t="n">
        <v>0</v>
      </c>
      <c r="O602" t="n">
        <v>0</v>
      </c>
      <c r="P602" t="n">
        <v>0</v>
      </c>
      <c r="Q602" t="n">
        <v>0</v>
      </c>
      <c r="R602" s="2" t="inlineStr"/>
    </row>
    <row r="603" ht="15" customHeight="1">
      <c r="A603" t="inlineStr">
        <is>
          <t>A 51275-2025</t>
        </is>
      </c>
      <c r="B603" s="1" t="n">
        <v>45949</v>
      </c>
      <c r="C603" s="1" t="n">
        <v>46075</v>
      </c>
      <c r="D603" t="inlineStr">
        <is>
          <t>UPPSALA LÄN</t>
        </is>
      </c>
      <c r="E603" t="inlineStr">
        <is>
          <t>UPPSALA</t>
        </is>
      </c>
      <c r="G603" t="n">
        <v>0.3</v>
      </c>
      <c r="H603" t="n">
        <v>0</v>
      </c>
      <c r="I603" t="n">
        <v>0</v>
      </c>
      <c r="J603" t="n">
        <v>0</v>
      </c>
      <c r="K603" t="n">
        <v>0</v>
      </c>
      <c r="L603" t="n">
        <v>0</v>
      </c>
      <c r="M603" t="n">
        <v>0</v>
      </c>
      <c r="N603" t="n">
        <v>0</v>
      </c>
      <c r="O603" t="n">
        <v>0</v>
      </c>
      <c r="P603" t="n">
        <v>0</v>
      </c>
      <c r="Q603" t="n">
        <v>0</v>
      </c>
      <c r="R603" s="2" t="inlineStr"/>
    </row>
    <row r="604" ht="15" customHeight="1">
      <c r="A604" t="inlineStr">
        <is>
          <t>A 52267-2025</t>
        </is>
      </c>
      <c r="B604" s="1" t="n">
        <v>45953.53460648148</v>
      </c>
      <c r="C604" s="1" t="n">
        <v>46075</v>
      </c>
      <c r="D604" t="inlineStr">
        <is>
          <t>UPPSALA LÄN</t>
        </is>
      </c>
      <c r="E604" t="inlineStr">
        <is>
          <t>UPPSALA</t>
        </is>
      </c>
      <c r="G604" t="n">
        <v>1.9</v>
      </c>
      <c r="H604" t="n">
        <v>0</v>
      </c>
      <c r="I604" t="n">
        <v>0</v>
      </c>
      <c r="J604" t="n">
        <v>0</v>
      </c>
      <c r="K604" t="n">
        <v>0</v>
      </c>
      <c r="L604" t="n">
        <v>0</v>
      </c>
      <c r="M604" t="n">
        <v>0</v>
      </c>
      <c r="N604" t="n">
        <v>0</v>
      </c>
      <c r="O604" t="n">
        <v>0</v>
      </c>
      <c r="P604" t="n">
        <v>0</v>
      </c>
      <c r="Q604" t="n">
        <v>0</v>
      </c>
      <c r="R604" s="2" t="inlineStr"/>
    </row>
    <row r="605" ht="15" customHeight="1">
      <c r="A605" t="inlineStr">
        <is>
          <t>A 38865-2022</t>
        </is>
      </c>
      <c r="B605" s="1" t="n">
        <v>44816</v>
      </c>
      <c r="C605" s="1" t="n">
        <v>46075</v>
      </c>
      <c r="D605" t="inlineStr">
        <is>
          <t>UPPSALA LÄN</t>
        </is>
      </c>
      <c r="E605" t="inlineStr">
        <is>
          <t>UPPSALA</t>
        </is>
      </c>
      <c r="G605" t="n">
        <v>14.6</v>
      </c>
      <c r="H605" t="n">
        <v>0</v>
      </c>
      <c r="I605" t="n">
        <v>0</v>
      </c>
      <c r="J605" t="n">
        <v>0</v>
      </c>
      <c r="K605" t="n">
        <v>0</v>
      </c>
      <c r="L605" t="n">
        <v>0</v>
      </c>
      <c r="M605" t="n">
        <v>0</v>
      </c>
      <c r="N605" t="n">
        <v>0</v>
      </c>
      <c r="O605" t="n">
        <v>0</v>
      </c>
      <c r="P605" t="n">
        <v>0</v>
      </c>
      <c r="Q605" t="n">
        <v>0</v>
      </c>
      <c r="R605" s="2" t="inlineStr"/>
    </row>
    <row r="606" ht="15" customHeight="1">
      <c r="A606" t="inlineStr">
        <is>
          <t>A 1994-2024</t>
        </is>
      </c>
      <c r="B606" s="1" t="n">
        <v>45308.63298611111</v>
      </c>
      <c r="C606" s="1" t="n">
        <v>46075</v>
      </c>
      <c r="D606" t="inlineStr">
        <is>
          <t>UPPSALA LÄN</t>
        </is>
      </c>
      <c r="E606" t="inlineStr">
        <is>
          <t>UPPSALA</t>
        </is>
      </c>
      <c r="G606" t="n">
        <v>1.6</v>
      </c>
      <c r="H606" t="n">
        <v>0</v>
      </c>
      <c r="I606" t="n">
        <v>0</v>
      </c>
      <c r="J606" t="n">
        <v>0</v>
      </c>
      <c r="K606" t="n">
        <v>0</v>
      </c>
      <c r="L606" t="n">
        <v>0</v>
      </c>
      <c r="M606" t="n">
        <v>0</v>
      </c>
      <c r="N606" t="n">
        <v>0</v>
      </c>
      <c r="O606" t="n">
        <v>0</v>
      </c>
      <c r="P606" t="n">
        <v>0</v>
      </c>
      <c r="Q606" t="n">
        <v>0</v>
      </c>
      <c r="R606" s="2" t="inlineStr"/>
    </row>
    <row r="607" ht="15" customHeight="1">
      <c r="A607" t="inlineStr">
        <is>
          <t>A 29927-2023</t>
        </is>
      </c>
      <c r="B607" s="1" t="n">
        <v>45107</v>
      </c>
      <c r="C607" s="1" t="n">
        <v>46075</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70228-2021</t>
        </is>
      </c>
      <c r="B608" s="1" t="n">
        <v>44535</v>
      </c>
      <c r="C608" s="1" t="n">
        <v>46075</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11224-2022</t>
        </is>
      </c>
      <c r="B609" s="1" t="n">
        <v>44629.57741898148</v>
      </c>
      <c r="C609" s="1" t="n">
        <v>46075</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7899-2022</t>
        </is>
      </c>
      <c r="B610" s="1" t="n">
        <v>44608</v>
      </c>
      <c r="C610" s="1" t="n">
        <v>46075</v>
      </c>
      <c r="D610" t="inlineStr">
        <is>
          <t>UPPSALA LÄN</t>
        </is>
      </c>
      <c r="E610" t="inlineStr">
        <is>
          <t>UPPSALA</t>
        </is>
      </c>
      <c r="F610" t="inlineStr">
        <is>
          <t>Övriga Aktiebolag</t>
        </is>
      </c>
      <c r="G610" t="n">
        <v>7.1</v>
      </c>
      <c r="H610" t="n">
        <v>0</v>
      </c>
      <c r="I610" t="n">
        <v>0</v>
      </c>
      <c r="J610" t="n">
        <v>0</v>
      </c>
      <c r="K610" t="n">
        <v>0</v>
      </c>
      <c r="L610" t="n">
        <v>0</v>
      </c>
      <c r="M610" t="n">
        <v>0</v>
      </c>
      <c r="N610" t="n">
        <v>0</v>
      </c>
      <c r="O610" t="n">
        <v>0</v>
      </c>
      <c r="P610" t="n">
        <v>0</v>
      </c>
      <c r="Q610" t="n">
        <v>0</v>
      </c>
      <c r="R610" s="2" t="inlineStr"/>
    </row>
    <row r="611" ht="15" customHeight="1">
      <c r="A611" t="inlineStr">
        <is>
          <t>A 8164-2025</t>
        </is>
      </c>
      <c r="B611" s="1" t="n">
        <v>45707</v>
      </c>
      <c r="C611" s="1" t="n">
        <v>46075</v>
      </c>
      <c r="D611" t="inlineStr">
        <is>
          <t>UPPSALA LÄN</t>
        </is>
      </c>
      <c r="E611" t="inlineStr">
        <is>
          <t>UPPSALA</t>
        </is>
      </c>
      <c r="F611" t="inlineStr">
        <is>
          <t>Övriga Aktiebolag</t>
        </is>
      </c>
      <c r="G611" t="n">
        <v>12.2</v>
      </c>
      <c r="H611" t="n">
        <v>0</v>
      </c>
      <c r="I611" t="n">
        <v>0</v>
      </c>
      <c r="J611" t="n">
        <v>0</v>
      </c>
      <c r="K611" t="n">
        <v>0</v>
      </c>
      <c r="L611" t="n">
        <v>0</v>
      </c>
      <c r="M611" t="n">
        <v>0</v>
      </c>
      <c r="N611" t="n">
        <v>0</v>
      </c>
      <c r="O611" t="n">
        <v>0</v>
      </c>
      <c r="P611" t="n">
        <v>0</v>
      </c>
      <c r="Q611" t="n">
        <v>0</v>
      </c>
      <c r="R611" s="2" t="inlineStr"/>
    </row>
    <row r="612" ht="15" customHeight="1">
      <c r="A612" t="inlineStr">
        <is>
          <t>A 52269-2025</t>
        </is>
      </c>
      <c r="B612" s="1" t="n">
        <v>45953.53765046296</v>
      </c>
      <c r="C612" s="1" t="n">
        <v>46075</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60729-2024</t>
        </is>
      </c>
      <c r="B613" s="1" t="n">
        <v>45644</v>
      </c>
      <c r="C613" s="1" t="n">
        <v>46075</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52429-2025</t>
        </is>
      </c>
      <c r="B614" s="1" t="n">
        <v>45954.38475694445</v>
      </c>
      <c r="C614" s="1" t="n">
        <v>46075</v>
      </c>
      <c r="D614" t="inlineStr">
        <is>
          <t>UPPSALA LÄN</t>
        </is>
      </c>
      <c r="E614" t="inlineStr">
        <is>
          <t>UPPSALA</t>
        </is>
      </c>
      <c r="G614" t="n">
        <v>16.6</v>
      </c>
      <c r="H614" t="n">
        <v>0</v>
      </c>
      <c r="I614" t="n">
        <v>0</v>
      </c>
      <c r="J614" t="n">
        <v>0</v>
      </c>
      <c r="K614" t="n">
        <v>0</v>
      </c>
      <c r="L614" t="n">
        <v>0</v>
      </c>
      <c r="M614" t="n">
        <v>0</v>
      </c>
      <c r="N614" t="n">
        <v>0</v>
      </c>
      <c r="O614" t="n">
        <v>0</v>
      </c>
      <c r="P614" t="n">
        <v>0</v>
      </c>
      <c r="Q614" t="n">
        <v>0</v>
      </c>
      <c r="R614" s="2" t="inlineStr"/>
    </row>
    <row r="615" ht="15" customHeight="1">
      <c r="A615" t="inlineStr">
        <is>
          <t>A 60925-2021</t>
        </is>
      </c>
      <c r="B615" s="1" t="n">
        <v>44497.4666087963</v>
      </c>
      <c r="C615" s="1" t="n">
        <v>46075</v>
      </c>
      <c r="D615" t="inlineStr">
        <is>
          <t>UPPSALA LÄN</t>
        </is>
      </c>
      <c r="E615" t="inlineStr">
        <is>
          <t>UPPSALA</t>
        </is>
      </c>
      <c r="G615" t="n">
        <v>3.7</v>
      </c>
      <c r="H615" t="n">
        <v>0</v>
      </c>
      <c r="I615" t="n">
        <v>0</v>
      </c>
      <c r="J615" t="n">
        <v>0</v>
      </c>
      <c r="K615" t="n">
        <v>0</v>
      </c>
      <c r="L615" t="n">
        <v>0</v>
      </c>
      <c r="M615" t="n">
        <v>0</v>
      </c>
      <c r="N615" t="n">
        <v>0</v>
      </c>
      <c r="O615" t="n">
        <v>0</v>
      </c>
      <c r="P615" t="n">
        <v>0</v>
      </c>
      <c r="Q615" t="n">
        <v>0</v>
      </c>
      <c r="R615" s="2" t="inlineStr"/>
    </row>
    <row r="616" ht="15" customHeight="1">
      <c r="A616" t="inlineStr">
        <is>
          <t>A 3086-2023</t>
        </is>
      </c>
      <c r="B616" s="1" t="n">
        <v>44946.43564814814</v>
      </c>
      <c r="C616" s="1" t="n">
        <v>46075</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53244-2025</t>
        </is>
      </c>
      <c r="B617" s="1" t="n">
        <v>45957</v>
      </c>
      <c r="C617" s="1" t="n">
        <v>46075</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52963-2025</t>
        </is>
      </c>
      <c r="B618" s="1" t="n">
        <v>45957.66506944445</v>
      </c>
      <c r="C618" s="1" t="n">
        <v>46075</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6422-2023</t>
        </is>
      </c>
      <c r="B619" s="1" t="n">
        <v>44965</v>
      </c>
      <c r="C619" s="1" t="n">
        <v>46075</v>
      </c>
      <c r="D619" t="inlineStr">
        <is>
          <t>UPPSALA LÄN</t>
        </is>
      </c>
      <c r="E619" t="inlineStr">
        <is>
          <t>UPPSALA</t>
        </is>
      </c>
      <c r="G619" t="n">
        <v>3.1</v>
      </c>
      <c r="H619" t="n">
        <v>0</v>
      </c>
      <c r="I619" t="n">
        <v>0</v>
      </c>
      <c r="J619" t="n">
        <v>0</v>
      </c>
      <c r="K619" t="n">
        <v>0</v>
      </c>
      <c r="L619" t="n">
        <v>0</v>
      </c>
      <c r="M619" t="n">
        <v>0</v>
      </c>
      <c r="N619" t="n">
        <v>0</v>
      </c>
      <c r="O619" t="n">
        <v>0</v>
      </c>
      <c r="P619" t="n">
        <v>0</v>
      </c>
      <c r="Q619" t="n">
        <v>0</v>
      </c>
      <c r="R619" s="2" t="inlineStr"/>
    </row>
    <row r="620" ht="15" customHeight="1">
      <c r="A620" t="inlineStr">
        <is>
          <t>A 6423-2023</t>
        </is>
      </c>
      <c r="B620" s="1" t="n">
        <v>44965</v>
      </c>
      <c r="C620" s="1" t="n">
        <v>46075</v>
      </c>
      <c r="D620" t="inlineStr">
        <is>
          <t>UPPSALA LÄN</t>
        </is>
      </c>
      <c r="E620" t="inlineStr">
        <is>
          <t>UPPSALA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17448-2022</t>
        </is>
      </c>
      <c r="B621" s="1" t="n">
        <v>44679</v>
      </c>
      <c r="C621" s="1" t="n">
        <v>46075</v>
      </c>
      <c r="D621" t="inlineStr">
        <is>
          <t>UPPSALA LÄN</t>
        </is>
      </c>
      <c r="E621" t="inlineStr">
        <is>
          <t>UPPSALA</t>
        </is>
      </c>
      <c r="G621" t="n">
        <v>2.7</v>
      </c>
      <c r="H621" t="n">
        <v>0</v>
      </c>
      <c r="I621" t="n">
        <v>0</v>
      </c>
      <c r="J621" t="n">
        <v>0</v>
      </c>
      <c r="K621" t="n">
        <v>0</v>
      </c>
      <c r="L621" t="n">
        <v>0</v>
      </c>
      <c r="M621" t="n">
        <v>0</v>
      </c>
      <c r="N621" t="n">
        <v>0</v>
      </c>
      <c r="O621" t="n">
        <v>0</v>
      </c>
      <c r="P621" t="n">
        <v>0</v>
      </c>
      <c r="Q621" t="n">
        <v>0</v>
      </c>
      <c r="R621" s="2" t="inlineStr"/>
    </row>
    <row r="622" ht="15" customHeight="1">
      <c r="A622" t="inlineStr">
        <is>
          <t>A 5974-2024</t>
        </is>
      </c>
      <c r="B622" s="1" t="n">
        <v>45336.53908564815</v>
      </c>
      <c r="C622" s="1" t="n">
        <v>46075</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52523-2025</t>
        </is>
      </c>
      <c r="B623" s="1" t="n">
        <v>45954.528125</v>
      </c>
      <c r="C623" s="1" t="n">
        <v>46075</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5975-2024</t>
        </is>
      </c>
      <c r="B624" s="1" t="n">
        <v>45336.54270833333</v>
      </c>
      <c r="C624" s="1" t="n">
        <v>46075</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52517-2025</t>
        </is>
      </c>
      <c r="B625" s="1" t="n">
        <v>45954.51438657408</v>
      </c>
      <c r="C625" s="1" t="n">
        <v>46075</v>
      </c>
      <c r="D625" t="inlineStr">
        <is>
          <t>UPPSALA LÄN</t>
        </is>
      </c>
      <c r="E625" t="inlineStr">
        <is>
          <t>UPPSALA</t>
        </is>
      </c>
      <c r="G625" t="n">
        <v>10.3</v>
      </c>
      <c r="H625" t="n">
        <v>0</v>
      </c>
      <c r="I625" t="n">
        <v>0</v>
      </c>
      <c r="J625" t="n">
        <v>0</v>
      </c>
      <c r="K625" t="n">
        <v>0</v>
      </c>
      <c r="L625" t="n">
        <v>0</v>
      </c>
      <c r="M625" t="n">
        <v>0</v>
      </c>
      <c r="N625" t="n">
        <v>0</v>
      </c>
      <c r="O625" t="n">
        <v>0</v>
      </c>
      <c r="P625" t="n">
        <v>0</v>
      </c>
      <c r="Q625" t="n">
        <v>0</v>
      </c>
      <c r="R625" s="2" t="inlineStr"/>
    </row>
    <row r="626" ht="15" customHeight="1">
      <c r="A626" t="inlineStr">
        <is>
          <t>A 53224-2025</t>
        </is>
      </c>
      <c r="B626" s="1" t="n">
        <v>45958.60826388889</v>
      </c>
      <c r="C626" s="1" t="n">
        <v>46075</v>
      </c>
      <c r="D626" t="inlineStr">
        <is>
          <t>UPPSALA LÄN</t>
        </is>
      </c>
      <c r="E626" t="inlineStr">
        <is>
          <t>UPPSALA</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53230-2025</t>
        </is>
      </c>
      <c r="B627" s="1" t="n">
        <v>45958.62303240741</v>
      </c>
      <c r="C627" s="1" t="n">
        <v>46075</v>
      </c>
      <c r="D627" t="inlineStr">
        <is>
          <t>UPPSALA LÄN</t>
        </is>
      </c>
      <c r="E627" t="inlineStr">
        <is>
          <t>UPPSALA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53322-2025</t>
        </is>
      </c>
      <c r="B628" s="1" t="n">
        <v>45959.35965277778</v>
      </c>
      <c r="C628" s="1" t="n">
        <v>46075</v>
      </c>
      <c r="D628" t="inlineStr">
        <is>
          <t>UPPSALA LÄN</t>
        </is>
      </c>
      <c r="E628" t="inlineStr">
        <is>
          <t>UPPSALA</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53234-2025</t>
        </is>
      </c>
      <c r="B629" s="1" t="n">
        <v>45958.62765046296</v>
      </c>
      <c r="C629" s="1" t="n">
        <v>46075</v>
      </c>
      <c r="D629" t="inlineStr">
        <is>
          <t>UPPSALA LÄN</t>
        </is>
      </c>
      <c r="E629" t="inlineStr">
        <is>
          <t>UPPSALA</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53235-2025</t>
        </is>
      </c>
      <c r="B630" s="1" t="n">
        <v>45958.62983796297</v>
      </c>
      <c r="C630" s="1" t="n">
        <v>46075</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53062-2025</t>
        </is>
      </c>
      <c r="B631" s="1" t="n">
        <v>45958.37273148148</v>
      </c>
      <c r="C631" s="1" t="n">
        <v>46075</v>
      </c>
      <c r="D631" t="inlineStr">
        <is>
          <t>UPPSALA LÄN</t>
        </is>
      </c>
      <c r="E631" t="inlineStr">
        <is>
          <t>UPPSALA</t>
        </is>
      </c>
      <c r="G631" t="n">
        <v>2.1</v>
      </c>
      <c r="H631" t="n">
        <v>0</v>
      </c>
      <c r="I631" t="n">
        <v>0</v>
      </c>
      <c r="J631" t="n">
        <v>0</v>
      </c>
      <c r="K631" t="n">
        <v>0</v>
      </c>
      <c r="L631" t="n">
        <v>0</v>
      </c>
      <c r="M631" t="n">
        <v>0</v>
      </c>
      <c r="N631" t="n">
        <v>0</v>
      </c>
      <c r="O631" t="n">
        <v>0</v>
      </c>
      <c r="P631" t="n">
        <v>0</v>
      </c>
      <c r="Q631" t="n">
        <v>0</v>
      </c>
      <c r="R631" s="2" t="inlineStr"/>
    </row>
    <row r="632" ht="15" customHeight="1">
      <c r="A632" t="inlineStr">
        <is>
          <t>A 53021-2025</t>
        </is>
      </c>
      <c r="B632" s="1" t="n">
        <v>45957.95233796296</v>
      </c>
      <c r="C632" s="1" t="n">
        <v>46075</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53161-2025</t>
        </is>
      </c>
      <c r="B633" s="1" t="n">
        <v>45958.49162037037</v>
      </c>
      <c r="C633" s="1" t="n">
        <v>46075</v>
      </c>
      <c r="D633" t="inlineStr">
        <is>
          <t>UPPSALA LÄN</t>
        </is>
      </c>
      <c r="E633" t="inlineStr">
        <is>
          <t>UPPSALA</t>
        </is>
      </c>
      <c r="F633" t="inlineStr">
        <is>
          <t>Bergvik skog väst AB</t>
        </is>
      </c>
      <c r="G633" t="n">
        <v>14.5</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46075</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53228-2025</t>
        </is>
      </c>
      <c r="B635" s="1" t="n">
        <v>45958.61577546296</v>
      </c>
      <c r="C635" s="1" t="n">
        <v>46075</v>
      </c>
      <c r="D635" t="inlineStr">
        <is>
          <t>UPPSALA LÄN</t>
        </is>
      </c>
      <c r="E635" t="inlineStr">
        <is>
          <t>UPPSALA</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53238-2025</t>
        </is>
      </c>
      <c r="B636" s="1" t="n">
        <v>45958.63368055555</v>
      </c>
      <c r="C636" s="1" t="n">
        <v>46075</v>
      </c>
      <c r="D636" t="inlineStr">
        <is>
          <t>UPPSALA LÄN</t>
        </is>
      </c>
      <c r="E636" t="inlineStr">
        <is>
          <t>UPPSALA</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60954-2024</t>
        </is>
      </c>
      <c r="B637" s="1" t="n">
        <v>45645</v>
      </c>
      <c r="C637" s="1" t="n">
        <v>46075</v>
      </c>
      <c r="D637" t="inlineStr">
        <is>
          <t>UPPSALA LÄN</t>
        </is>
      </c>
      <c r="E637" t="inlineStr">
        <is>
          <t>UPPSALA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46075</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46075</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8933-2022</t>
        </is>
      </c>
      <c r="B640" s="1" t="n">
        <v>44614.69730324074</v>
      </c>
      <c r="C640" s="1" t="n">
        <v>46075</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60714-2023</t>
        </is>
      </c>
      <c r="B641" s="1" t="n">
        <v>45259</v>
      </c>
      <c r="C641" s="1" t="n">
        <v>46075</v>
      </c>
      <c r="D641" t="inlineStr">
        <is>
          <t>UPPSALA LÄN</t>
        </is>
      </c>
      <c r="E641" t="inlineStr">
        <is>
          <t>UPPSALA</t>
        </is>
      </c>
      <c r="G641" t="n">
        <v>3.3</v>
      </c>
      <c r="H641" t="n">
        <v>0</v>
      </c>
      <c r="I641" t="n">
        <v>0</v>
      </c>
      <c r="J641" t="n">
        <v>0</v>
      </c>
      <c r="K641" t="n">
        <v>0</v>
      </c>
      <c r="L641" t="n">
        <v>0</v>
      </c>
      <c r="M641" t="n">
        <v>0</v>
      </c>
      <c r="N641" t="n">
        <v>0</v>
      </c>
      <c r="O641" t="n">
        <v>0</v>
      </c>
      <c r="P641" t="n">
        <v>0</v>
      </c>
      <c r="Q641" t="n">
        <v>0</v>
      </c>
      <c r="R641" s="2" t="inlineStr"/>
    </row>
    <row r="642" ht="15" customHeight="1">
      <c r="A642" t="inlineStr">
        <is>
          <t>A 53582-2025</t>
        </is>
      </c>
      <c r="B642" s="1" t="n">
        <v>45960.43065972222</v>
      </c>
      <c r="C642" s="1" t="n">
        <v>46075</v>
      </c>
      <c r="D642" t="inlineStr">
        <is>
          <t>UPPSALA LÄN</t>
        </is>
      </c>
      <c r="E642" t="inlineStr">
        <is>
          <t>UPPSALA</t>
        </is>
      </c>
      <c r="G642" t="n">
        <v>12.2</v>
      </c>
      <c r="H642" t="n">
        <v>0</v>
      </c>
      <c r="I642" t="n">
        <v>0</v>
      </c>
      <c r="J642" t="n">
        <v>0</v>
      </c>
      <c r="K642" t="n">
        <v>0</v>
      </c>
      <c r="L642" t="n">
        <v>0</v>
      </c>
      <c r="M642" t="n">
        <v>0</v>
      </c>
      <c r="N642" t="n">
        <v>0</v>
      </c>
      <c r="O642" t="n">
        <v>0</v>
      </c>
      <c r="P642" t="n">
        <v>0</v>
      </c>
      <c r="Q642" t="n">
        <v>0</v>
      </c>
      <c r="R642" s="2" t="inlineStr"/>
    </row>
    <row r="643" ht="15" customHeight="1">
      <c r="A643" t="inlineStr">
        <is>
          <t>A 48153-2024</t>
        </is>
      </c>
      <c r="B643" s="1" t="n">
        <v>45589</v>
      </c>
      <c r="C643" s="1" t="n">
        <v>46075</v>
      </c>
      <c r="D643" t="inlineStr">
        <is>
          <t>UPPSALA LÄN</t>
        </is>
      </c>
      <c r="E643" t="inlineStr">
        <is>
          <t>UPPSALA</t>
        </is>
      </c>
      <c r="G643" t="n">
        <v>3.4</v>
      </c>
      <c r="H643" t="n">
        <v>0</v>
      </c>
      <c r="I643" t="n">
        <v>0</v>
      </c>
      <c r="J643" t="n">
        <v>0</v>
      </c>
      <c r="K643" t="n">
        <v>0</v>
      </c>
      <c r="L643" t="n">
        <v>0</v>
      </c>
      <c r="M643" t="n">
        <v>0</v>
      </c>
      <c r="N643" t="n">
        <v>0</v>
      </c>
      <c r="O643" t="n">
        <v>0</v>
      </c>
      <c r="P643" t="n">
        <v>0</v>
      </c>
      <c r="Q643" t="n">
        <v>0</v>
      </c>
      <c r="R643" s="2" t="inlineStr"/>
    </row>
    <row r="644" ht="15" customHeight="1">
      <c r="A644" t="inlineStr">
        <is>
          <t>A 48154-2024</t>
        </is>
      </c>
      <c r="B644" s="1" t="n">
        <v>45589</v>
      </c>
      <c r="C644" s="1" t="n">
        <v>46075</v>
      </c>
      <c r="D644" t="inlineStr">
        <is>
          <t>UPPSALA LÄN</t>
        </is>
      </c>
      <c r="E644" t="inlineStr">
        <is>
          <t>UPPSALA</t>
        </is>
      </c>
      <c r="G644" t="n">
        <v>5.1</v>
      </c>
      <c r="H644" t="n">
        <v>0</v>
      </c>
      <c r="I644" t="n">
        <v>0</v>
      </c>
      <c r="J644" t="n">
        <v>0</v>
      </c>
      <c r="K644" t="n">
        <v>0</v>
      </c>
      <c r="L644" t="n">
        <v>0</v>
      </c>
      <c r="M644" t="n">
        <v>0</v>
      </c>
      <c r="N644" t="n">
        <v>0</v>
      </c>
      <c r="O644" t="n">
        <v>0</v>
      </c>
      <c r="P644" t="n">
        <v>0</v>
      </c>
      <c r="Q644" t="n">
        <v>0</v>
      </c>
      <c r="R644" s="2" t="inlineStr"/>
    </row>
    <row r="645" ht="15" customHeight="1">
      <c r="A645" t="inlineStr">
        <is>
          <t>A 53886-2025</t>
        </is>
      </c>
      <c r="B645" s="1" t="n">
        <v>45961.40716435185</v>
      </c>
      <c r="C645" s="1" t="n">
        <v>46075</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6060-2025</t>
        </is>
      </c>
      <c r="B646" s="1" t="n">
        <v>45695.84078703704</v>
      </c>
      <c r="C646" s="1" t="n">
        <v>46075</v>
      </c>
      <c r="D646" t="inlineStr">
        <is>
          <t>UPPSALA LÄN</t>
        </is>
      </c>
      <c r="E646" t="inlineStr">
        <is>
          <t>UPPSALA</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53891-2025</t>
        </is>
      </c>
      <c r="B647" s="1" t="n">
        <v>45961.41853009259</v>
      </c>
      <c r="C647" s="1" t="n">
        <v>46075</v>
      </c>
      <c r="D647" t="inlineStr">
        <is>
          <t>UPPSALA LÄN</t>
        </is>
      </c>
      <c r="E647" t="inlineStr">
        <is>
          <t>UPPSALA</t>
        </is>
      </c>
      <c r="G647" t="n">
        <v>1.7</v>
      </c>
      <c r="H647" t="n">
        <v>0</v>
      </c>
      <c r="I647" t="n">
        <v>0</v>
      </c>
      <c r="J647" t="n">
        <v>0</v>
      </c>
      <c r="K647" t="n">
        <v>0</v>
      </c>
      <c r="L647" t="n">
        <v>0</v>
      </c>
      <c r="M647" t="n">
        <v>0</v>
      </c>
      <c r="N647" t="n">
        <v>0</v>
      </c>
      <c r="O647" t="n">
        <v>0</v>
      </c>
      <c r="P647" t="n">
        <v>0</v>
      </c>
      <c r="Q647" t="n">
        <v>0</v>
      </c>
      <c r="R647" s="2" t="inlineStr"/>
    </row>
    <row r="648" ht="15" customHeight="1">
      <c r="A648" t="inlineStr">
        <is>
          <t>A 53324-2025</t>
        </is>
      </c>
      <c r="B648" s="1" t="n">
        <v>45959.36146990741</v>
      </c>
      <c r="C648" s="1" t="n">
        <v>46075</v>
      </c>
      <c r="D648" t="inlineStr">
        <is>
          <t>UPPSALA LÄN</t>
        </is>
      </c>
      <c r="E648" t="inlineStr">
        <is>
          <t>UPPSALA</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6006-2025</t>
        </is>
      </c>
      <c r="B649" s="1" t="n">
        <v>45695.59197916667</v>
      </c>
      <c r="C649" s="1" t="n">
        <v>46075</v>
      </c>
      <c r="D649" t="inlineStr">
        <is>
          <t>UPPSALA LÄN</t>
        </is>
      </c>
      <c r="E649" t="inlineStr">
        <is>
          <t>UPPSALA</t>
        </is>
      </c>
      <c r="F649" t="inlineStr">
        <is>
          <t>Övriga Aktiebolag</t>
        </is>
      </c>
      <c r="G649" t="n">
        <v>13.8</v>
      </c>
      <c r="H649" t="n">
        <v>0</v>
      </c>
      <c r="I649" t="n">
        <v>0</v>
      </c>
      <c r="J649" t="n">
        <v>0</v>
      </c>
      <c r="K649" t="n">
        <v>0</v>
      </c>
      <c r="L649" t="n">
        <v>0</v>
      </c>
      <c r="M649" t="n">
        <v>0</v>
      </c>
      <c r="N649" t="n">
        <v>0</v>
      </c>
      <c r="O649" t="n">
        <v>0</v>
      </c>
      <c r="P649" t="n">
        <v>0</v>
      </c>
      <c r="Q649" t="n">
        <v>0</v>
      </c>
      <c r="R649" s="2" t="inlineStr"/>
    </row>
    <row r="650" ht="15" customHeight="1">
      <c r="A650" t="inlineStr">
        <is>
          <t>A 54393-2025</t>
        </is>
      </c>
      <c r="B650" s="1" t="n">
        <v>45965</v>
      </c>
      <c r="C650" s="1" t="n">
        <v>46075</v>
      </c>
      <c r="D650" t="inlineStr">
        <is>
          <t>UPPSALA LÄN</t>
        </is>
      </c>
      <c r="E650" t="inlineStr">
        <is>
          <t>UPPSALA</t>
        </is>
      </c>
      <c r="F650" t="inlineStr">
        <is>
          <t>Kyrkan</t>
        </is>
      </c>
      <c r="G650" t="n">
        <v>1</v>
      </c>
      <c r="H650" t="n">
        <v>0</v>
      </c>
      <c r="I650" t="n">
        <v>0</v>
      </c>
      <c r="J650" t="n">
        <v>0</v>
      </c>
      <c r="K650" t="n">
        <v>0</v>
      </c>
      <c r="L650" t="n">
        <v>0</v>
      </c>
      <c r="M650" t="n">
        <v>0</v>
      </c>
      <c r="N650" t="n">
        <v>0</v>
      </c>
      <c r="O650" t="n">
        <v>0</v>
      </c>
      <c r="P650" t="n">
        <v>0</v>
      </c>
      <c r="Q650" t="n">
        <v>0</v>
      </c>
      <c r="R650" s="2" t="inlineStr"/>
    </row>
    <row r="651" ht="15" customHeight="1">
      <c r="A651" t="inlineStr">
        <is>
          <t>A 28825-2024</t>
        </is>
      </c>
      <c r="B651" s="1" t="n">
        <v>45478</v>
      </c>
      <c r="C651" s="1" t="n">
        <v>46075</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54284-2025</t>
        </is>
      </c>
      <c r="B652" s="1" t="n">
        <v>45964.76486111111</v>
      </c>
      <c r="C652" s="1" t="n">
        <v>46075</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45592-2023</t>
        </is>
      </c>
      <c r="B653" s="1" t="n">
        <v>45194.63479166666</v>
      </c>
      <c r="C653" s="1" t="n">
        <v>46075</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45575-2023</t>
        </is>
      </c>
      <c r="B654" s="1" t="n">
        <v>45194.60876157408</v>
      </c>
      <c r="C654" s="1" t="n">
        <v>46075</v>
      </c>
      <c r="D654" t="inlineStr">
        <is>
          <t>UPPSALA LÄN</t>
        </is>
      </c>
      <c r="E654" t="inlineStr">
        <is>
          <t>UPPSALA</t>
        </is>
      </c>
      <c r="F654" t="inlineStr">
        <is>
          <t>Bergvik skog öst AB</t>
        </is>
      </c>
      <c r="G654" t="n">
        <v>2.2</v>
      </c>
      <c r="H654" t="n">
        <v>0</v>
      </c>
      <c r="I654" t="n">
        <v>0</v>
      </c>
      <c r="J654" t="n">
        <v>0</v>
      </c>
      <c r="K654" t="n">
        <v>0</v>
      </c>
      <c r="L654" t="n">
        <v>0</v>
      </c>
      <c r="M654" t="n">
        <v>0</v>
      </c>
      <c r="N654" t="n">
        <v>0</v>
      </c>
      <c r="O654" t="n">
        <v>0</v>
      </c>
      <c r="P654" t="n">
        <v>0</v>
      </c>
      <c r="Q654" t="n">
        <v>0</v>
      </c>
      <c r="R654" s="2" t="inlineStr"/>
    </row>
    <row r="655" ht="15" customHeight="1">
      <c r="A655" t="inlineStr">
        <is>
          <t>A 50037-2024</t>
        </is>
      </c>
      <c r="B655" s="1" t="n">
        <v>45599</v>
      </c>
      <c r="C655" s="1" t="n">
        <v>46075</v>
      </c>
      <c r="D655" t="inlineStr">
        <is>
          <t>UPPSALA LÄN</t>
        </is>
      </c>
      <c r="E655" t="inlineStr">
        <is>
          <t>UPPSALA</t>
        </is>
      </c>
      <c r="G655" t="n">
        <v>13.7</v>
      </c>
      <c r="H655" t="n">
        <v>0</v>
      </c>
      <c r="I655" t="n">
        <v>0</v>
      </c>
      <c r="J655" t="n">
        <v>0</v>
      </c>
      <c r="K655" t="n">
        <v>0</v>
      </c>
      <c r="L655" t="n">
        <v>0</v>
      </c>
      <c r="M655" t="n">
        <v>0</v>
      </c>
      <c r="N655" t="n">
        <v>0</v>
      </c>
      <c r="O655" t="n">
        <v>0</v>
      </c>
      <c r="P655" t="n">
        <v>0</v>
      </c>
      <c r="Q655" t="n">
        <v>0</v>
      </c>
      <c r="R655" s="2" t="inlineStr"/>
    </row>
    <row r="656" ht="15" customHeight="1">
      <c r="A656" t="inlineStr">
        <is>
          <t>A 50535-2024</t>
        </is>
      </c>
      <c r="B656" s="1" t="n">
        <v>45600</v>
      </c>
      <c r="C656" s="1" t="n">
        <v>46075</v>
      </c>
      <c r="D656" t="inlineStr">
        <is>
          <t>UPPSALA LÄN</t>
        </is>
      </c>
      <c r="E656" t="inlineStr">
        <is>
          <t>UPPSALA</t>
        </is>
      </c>
      <c r="F656" t="inlineStr">
        <is>
          <t>Övriga statliga verk och myndigheter</t>
        </is>
      </c>
      <c r="G656" t="n">
        <v>3.2</v>
      </c>
      <c r="H656" t="n">
        <v>0</v>
      </c>
      <c r="I656" t="n">
        <v>0</v>
      </c>
      <c r="J656" t="n">
        <v>0</v>
      </c>
      <c r="K656" t="n">
        <v>0</v>
      </c>
      <c r="L656" t="n">
        <v>0</v>
      </c>
      <c r="M656" t="n">
        <v>0</v>
      </c>
      <c r="N656" t="n">
        <v>0</v>
      </c>
      <c r="O656" t="n">
        <v>0</v>
      </c>
      <c r="P656" t="n">
        <v>0</v>
      </c>
      <c r="Q656" t="n">
        <v>0</v>
      </c>
      <c r="R656" s="2" t="inlineStr"/>
    </row>
    <row r="657" ht="15" customHeight="1">
      <c r="A657" t="inlineStr">
        <is>
          <t>A 54507-2025</t>
        </is>
      </c>
      <c r="B657" s="1" t="n">
        <v>45965.61792824074</v>
      </c>
      <c r="C657" s="1" t="n">
        <v>46075</v>
      </c>
      <c r="D657" t="inlineStr">
        <is>
          <t>UPPSALA LÄN</t>
        </is>
      </c>
      <c r="E657" t="inlineStr">
        <is>
          <t>UPPSALA</t>
        </is>
      </c>
      <c r="G657" t="n">
        <v>7.7</v>
      </c>
      <c r="H657" t="n">
        <v>0</v>
      </c>
      <c r="I657" t="n">
        <v>0</v>
      </c>
      <c r="J657" t="n">
        <v>0</v>
      </c>
      <c r="K657" t="n">
        <v>0</v>
      </c>
      <c r="L657" t="n">
        <v>0</v>
      </c>
      <c r="M657" t="n">
        <v>0</v>
      </c>
      <c r="N657" t="n">
        <v>0</v>
      </c>
      <c r="O657" t="n">
        <v>0</v>
      </c>
      <c r="P657" t="n">
        <v>0</v>
      </c>
      <c r="Q657" t="n">
        <v>0</v>
      </c>
      <c r="R657" s="2" t="inlineStr"/>
    </row>
    <row r="658" ht="15" customHeight="1">
      <c r="A658" t="inlineStr">
        <is>
          <t>A 16126-2022</t>
        </is>
      </c>
      <c r="B658" s="1" t="n">
        <v>44665</v>
      </c>
      <c r="C658" s="1" t="n">
        <v>46075</v>
      </c>
      <c r="D658" t="inlineStr">
        <is>
          <t>UPPSALA LÄN</t>
        </is>
      </c>
      <c r="E658" t="inlineStr">
        <is>
          <t>UPPSALA</t>
        </is>
      </c>
      <c r="F658" t="inlineStr">
        <is>
          <t>Bergvik skog öst AB</t>
        </is>
      </c>
      <c r="G658" t="n">
        <v>4.4</v>
      </c>
      <c r="H658" t="n">
        <v>0</v>
      </c>
      <c r="I658" t="n">
        <v>0</v>
      </c>
      <c r="J658" t="n">
        <v>0</v>
      </c>
      <c r="K658" t="n">
        <v>0</v>
      </c>
      <c r="L658" t="n">
        <v>0</v>
      </c>
      <c r="M658" t="n">
        <v>0</v>
      </c>
      <c r="N658" t="n">
        <v>0</v>
      </c>
      <c r="O658" t="n">
        <v>0</v>
      </c>
      <c r="P658" t="n">
        <v>0</v>
      </c>
      <c r="Q658" t="n">
        <v>0</v>
      </c>
      <c r="R658" s="2" t="inlineStr"/>
    </row>
    <row r="659" ht="15" customHeight="1">
      <c r="A659" t="inlineStr">
        <is>
          <t>A 7388-2024</t>
        </is>
      </c>
      <c r="B659" s="1" t="n">
        <v>45345.56</v>
      </c>
      <c r="C659" s="1" t="n">
        <v>46075</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54724-2025</t>
        </is>
      </c>
      <c r="B660" s="1" t="n">
        <v>45966.53849537037</v>
      </c>
      <c r="C660" s="1" t="n">
        <v>46075</v>
      </c>
      <c r="D660" t="inlineStr">
        <is>
          <t>UPPSALA LÄN</t>
        </is>
      </c>
      <c r="E660" t="inlineStr">
        <is>
          <t>UPPSALA</t>
        </is>
      </c>
      <c r="F660" t="inlineStr">
        <is>
          <t>Bergvik skog öst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54601-2025</t>
        </is>
      </c>
      <c r="B661" s="1" t="n">
        <v>45965.82398148148</v>
      </c>
      <c r="C661" s="1" t="n">
        <v>46075</v>
      </c>
      <c r="D661" t="inlineStr">
        <is>
          <t>UPPSALA LÄN</t>
        </is>
      </c>
      <c r="E661" t="inlineStr">
        <is>
          <t>UPPSALA</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54723-2025</t>
        </is>
      </c>
      <c r="B662" s="1" t="n">
        <v>45966.53721064814</v>
      </c>
      <c r="C662" s="1" t="n">
        <v>46075</v>
      </c>
      <c r="D662" t="inlineStr">
        <is>
          <t>UPPSALA LÄN</t>
        </is>
      </c>
      <c r="E662" t="inlineStr">
        <is>
          <t>UPPSALA</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54600-2025</t>
        </is>
      </c>
      <c r="B663" s="1" t="n">
        <v>45965.81543981482</v>
      </c>
      <c r="C663" s="1" t="n">
        <v>46075</v>
      </c>
      <c r="D663" t="inlineStr">
        <is>
          <t>UPPSALA LÄN</t>
        </is>
      </c>
      <c r="E663" t="inlineStr">
        <is>
          <t>UPPSALA</t>
        </is>
      </c>
      <c r="F663" t="inlineStr">
        <is>
          <t>Bergvik skog öst AB</t>
        </is>
      </c>
      <c r="G663" t="n">
        <v>4.7</v>
      </c>
      <c r="H663" t="n">
        <v>0</v>
      </c>
      <c r="I663" t="n">
        <v>0</v>
      </c>
      <c r="J663" t="n">
        <v>0</v>
      </c>
      <c r="K663" t="n">
        <v>0</v>
      </c>
      <c r="L663" t="n">
        <v>0</v>
      </c>
      <c r="M663" t="n">
        <v>0</v>
      </c>
      <c r="N663" t="n">
        <v>0</v>
      </c>
      <c r="O663" t="n">
        <v>0</v>
      </c>
      <c r="P663" t="n">
        <v>0</v>
      </c>
      <c r="Q663" t="n">
        <v>0</v>
      </c>
      <c r="R663" s="2" t="inlineStr"/>
    </row>
    <row r="664" ht="15" customHeight="1">
      <c r="A664" t="inlineStr">
        <is>
          <t>A 14400-2025</t>
        </is>
      </c>
      <c r="B664" s="1" t="n">
        <v>45741.45114583334</v>
      </c>
      <c r="C664" s="1" t="n">
        <v>46075</v>
      </c>
      <c r="D664" t="inlineStr">
        <is>
          <t>UPPSALA LÄN</t>
        </is>
      </c>
      <c r="E664" t="inlineStr">
        <is>
          <t>UPPSALA</t>
        </is>
      </c>
      <c r="G664" t="n">
        <v>6.6</v>
      </c>
      <c r="H664" t="n">
        <v>0</v>
      </c>
      <c r="I664" t="n">
        <v>0</v>
      </c>
      <c r="J664" t="n">
        <v>0</v>
      </c>
      <c r="K664" t="n">
        <v>0</v>
      </c>
      <c r="L664" t="n">
        <v>0</v>
      </c>
      <c r="M664" t="n">
        <v>0</v>
      </c>
      <c r="N664" t="n">
        <v>0</v>
      </c>
      <c r="O664" t="n">
        <v>0</v>
      </c>
      <c r="P664" t="n">
        <v>0</v>
      </c>
      <c r="Q664" t="n">
        <v>0</v>
      </c>
      <c r="R664" s="2" t="inlineStr"/>
    </row>
    <row r="665" ht="15" customHeight="1">
      <c r="A665" t="inlineStr">
        <is>
          <t>A 36781-2023</t>
        </is>
      </c>
      <c r="B665" s="1" t="n">
        <v>45154.34931712963</v>
      </c>
      <c r="C665" s="1" t="n">
        <v>46075</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55594-2025</t>
        </is>
      </c>
      <c r="B666" s="1" t="n">
        <v>45971.70613425926</v>
      </c>
      <c r="C666" s="1" t="n">
        <v>46075</v>
      </c>
      <c r="D666" t="inlineStr">
        <is>
          <t>UPPSALA LÄN</t>
        </is>
      </c>
      <c r="E666" t="inlineStr">
        <is>
          <t>UPPSALA</t>
        </is>
      </c>
      <c r="F666" t="inlineStr">
        <is>
          <t>Allmännings- och besparingsskogar</t>
        </is>
      </c>
      <c r="G666" t="n">
        <v>3.2</v>
      </c>
      <c r="H666" t="n">
        <v>0</v>
      </c>
      <c r="I666" t="n">
        <v>0</v>
      </c>
      <c r="J666" t="n">
        <v>0</v>
      </c>
      <c r="K666" t="n">
        <v>0</v>
      </c>
      <c r="L666" t="n">
        <v>0</v>
      </c>
      <c r="M666" t="n">
        <v>0</v>
      </c>
      <c r="N666" t="n">
        <v>0</v>
      </c>
      <c r="O666" t="n">
        <v>0</v>
      </c>
      <c r="P666" t="n">
        <v>0</v>
      </c>
      <c r="Q666" t="n">
        <v>0</v>
      </c>
      <c r="R666" s="2" t="inlineStr"/>
    </row>
    <row r="667" ht="15" customHeight="1">
      <c r="A667" t="inlineStr">
        <is>
          <t>A 21859-2024</t>
        </is>
      </c>
      <c r="B667" s="1" t="n">
        <v>45443</v>
      </c>
      <c r="C667" s="1" t="n">
        <v>46075</v>
      </c>
      <c r="D667" t="inlineStr">
        <is>
          <t>UPPSALA LÄN</t>
        </is>
      </c>
      <c r="E667" t="inlineStr">
        <is>
          <t>UPPSALA</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44599.44832175926</v>
      </c>
      <c r="C668" s="1" t="n">
        <v>46075</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2357-2024</t>
        </is>
      </c>
      <c r="B669" s="1" t="n">
        <v>45310</v>
      </c>
      <c r="C669" s="1" t="n">
        <v>46075</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4503-2024</t>
        </is>
      </c>
      <c r="B670" s="1" t="n">
        <v>45327.61831018519</v>
      </c>
      <c r="C670" s="1" t="n">
        <v>46075</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55357-2025</t>
        </is>
      </c>
      <c r="B671" s="1" t="n">
        <v>45971.37480324074</v>
      </c>
      <c r="C671" s="1" t="n">
        <v>46075</v>
      </c>
      <c r="D671" t="inlineStr">
        <is>
          <t>UPPSALA LÄN</t>
        </is>
      </c>
      <c r="E671" t="inlineStr">
        <is>
          <t>UPPSALA</t>
        </is>
      </c>
      <c r="G671" t="n">
        <v>6</v>
      </c>
      <c r="H671" t="n">
        <v>0</v>
      </c>
      <c r="I671" t="n">
        <v>0</v>
      </c>
      <c r="J671" t="n">
        <v>0</v>
      </c>
      <c r="K671" t="n">
        <v>0</v>
      </c>
      <c r="L671" t="n">
        <v>0</v>
      </c>
      <c r="M671" t="n">
        <v>0</v>
      </c>
      <c r="N671" t="n">
        <v>0</v>
      </c>
      <c r="O671" t="n">
        <v>0</v>
      </c>
      <c r="P671" t="n">
        <v>0</v>
      </c>
      <c r="Q671" t="n">
        <v>0</v>
      </c>
      <c r="R671" s="2" t="inlineStr"/>
    </row>
    <row r="672" ht="15" customHeight="1">
      <c r="A672" t="inlineStr">
        <is>
          <t>A 44315-2021</t>
        </is>
      </c>
      <c r="B672" s="1" t="n">
        <v>44435.38657407407</v>
      </c>
      <c r="C672" s="1" t="n">
        <v>46075</v>
      </c>
      <c r="D672" t="inlineStr">
        <is>
          <t>UPPSALA LÄN</t>
        </is>
      </c>
      <c r="E672" t="inlineStr">
        <is>
          <t>UPPSALA</t>
        </is>
      </c>
      <c r="G672" t="n">
        <v>5.2</v>
      </c>
      <c r="H672" t="n">
        <v>0</v>
      </c>
      <c r="I672" t="n">
        <v>0</v>
      </c>
      <c r="J672" t="n">
        <v>0</v>
      </c>
      <c r="K672" t="n">
        <v>0</v>
      </c>
      <c r="L672" t="n">
        <v>0</v>
      </c>
      <c r="M672" t="n">
        <v>0</v>
      </c>
      <c r="N672" t="n">
        <v>0</v>
      </c>
      <c r="O672" t="n">
        <v>0</v>
      </c>
      <c r="P672" t="n">
        <v>0</v>
      </c>
      <c r="Q672" t="n">
        <v>0</v>
      </c>
      <c r="R672" s="2" t="inlineStr"/>
    </row>
    <row r="673" ht="15" customHeight="1">
      <c r="A673" t="inlineStr">
        <is>
          <t>A 48757-2025</t>
        </is>
      </c>
      <c r="B673" s="1" t="n">
        <v>45936.73660879629</v>
      </c>
      <c r="C673" s="1" t="n">
        <v>46075</v>
      </c>
      <c r="D673" t="inlineStr">
        <is>
          <t>UPPSALA LÄN</t>
        </is>
      </c>
      <c r="E673" t="inlineStr">
        <is>
          <t>UPPSALA</t>
        </is>
      </c>
      <c r="G673" t="n">
        <v>4.2</v>
      </c>
      <c r="H673" t="n">
        <v>0</v>
      </c>
      <c r="I673" t="n">
        <v>0</v>
      </c>
      <c r="J673" t="n">
        <v>0</v>
      </c>
      <c r="K673" t="n">
        <v>0</v>
      </c>
      <c r="L673" t="n">
        <v>0</v>
      </c>
      <c r="M673" t="n">
        <v>0</v>
      </c>
      <c r="N673" t="n">
        <v>0</v>
      </c>
      <c r="O673" t="n">
        <v>0</v>
      </c>
      <c r="P673" t="n">
        <v>0</v>
      </c>
      <c r="Q673" t="n">
        <v>0</v>
      </c>
      <c r="R673" s="2" t="inlineStr"/>
    </row>
    <row r="674" ht="15" customHeight="1">
      <c r="A674" t="inlineStr">
        <is>
          <t>A 55732-2025</t>
        </is>
      </c>
      <c r="B674" s="1" t="n">
        <v>45972</v>
      </c>
      <c r="C674" s="1" t="n">
        <v>46075</v>
      </c>
      <c r="D674" t="inlineStr">
        <is>
          <t>UPPSALA LÄN</t>
        </is>
      </c>
      <c r="E674" t="inlineStr">
        <is>
          <t>UPPSALA</t>
        </is>
      </c>
      <c r="G674" t="n">
        <v>10.9</v>
      </c>
      <c r="H674" t="n">
        <v>0</v>
      </c>
      <c r="I674" t="n">
        <v>0</v>
      </c>
      <c r="J674" t="n">
        <v>0</v>
      </c>
      <c r="K674" t="n">
        <v>0</v>
      </c>
      <c r="L674" t="n">
        <v>0</v>
      </c>
      <c r="M674" t="n">
        <v>0</v>
      </c>
      <c r="N674" t="n">
        <v>0</v>
      </c>
      <c r="O674" t="n">
        <v>0</v>
      </c>
      <c r="P674" t="n">
        <v>0</v>
      </c>
      <c r="Q674" t="n">
        <v>0</v>
      </c>
      <c r="R674" s="2" t="inlineStr"/>
    </row>
    <row r="675" ht="15" customHeight="1">
      <c r="A675" t="inlineStr">
        <is>
          <t>A 4461-2024</t>
        </is>
      </c>
      <c r="B675" s="1" t="n">
        <v>45327</v>
      </c>
      <c r="C675" s="1" t="n">
        <v>46075</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33272-2025</t>
        </is>
      </c>
      <c r="B676" s="1" t="n">
        <v>45840.68518518518</v>
      </c>
      <c r="C676" s="1" t="n">
        <v>46075</v>
      </c>
      <c r="D676" t="inlineStr">
        <is>
          <t>UPPSALA LÄN</t>
        </is>
      </c>
      <c r="E676" t="inlineStr">
        <is>
          <t>UPPSALA</t>
        </is>
      </c>
      <c r="G676" t="n">
        <v>4.7</v>
      </c>
      <c r="H676" t="n">
        <v>0</v>
      </c>
      <c r="I676" t="n">
        <v>0</v>
      </c>
      <c r="J676" t="n">
        <v>0</v>
      </c>
      <c r="K676" t="n">
        <v>0</v>
      </c>
      <c r="L676" t="n">
        <v>0</v>
      </c>
      <c r="M676" t="n">
        <v>0</v>
      </c>
      <c r="N676" t="n">
        <v>0</v>
      </c>
      <c r="O676" t="n">
        <v>0</v>
      </c>
      <c r="P676" t="n">
        <v>0</v>
      </c>
      <c r="Q676" t="n">
        <v>0</v>
      </c>
      <c r="R676" s="2" t="inlineStr"/>
    </row>
    <row r="677" ht="15" customHeight="1">
      <c r="A677" t="inlineStr">
        <is>
          <t>A 56493-2025</t>
        </is>
      </c>
      <c r="B677" s="1" t="n">
        <v>45975.424375</v>
      </c>
      <c r="C677" s="1" t="n">
        <v>46075</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12209-2025</t>
        </is>
      </c>
      <c r="B678" s="1" t="n">
        <v>45729</v>
      </c>
      <c r="C678" s="1" t="n">
        <v>46075</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56466-2025</t>
        </is>
      </c>
      <c r="B679" s="1" t="n">
        <v>45975.37621527778</v>
      </c>
      <c r="C679" s="1" t="n">
        <v>46075</v>
      </c>
      <c r="D679" t="inlineStr">
        <is>
          <t>UPPSALA LÄN</t>
        </is>
      </c>
      <c r="E679" t="inlineStr">
        <is>
          <t>UPPSALA</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56577-2025</t>
        </is>
      </c>
      <c r="B680" s="1" t="n">
        <v>45975.5341550926</v>
      </c>
      <c r="C680" s="1" t="n">
        <v>46075</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56620-2025</t>
        </is>
      </c>
      <c r="B681" s="1" t="n">
        <v>45975.59520833333</v>
      </c>
      <c r="C681" s="1" t="n">
        <v>46075</v>
      </c>
      <c r="D681" t="inlineStr">
        <is>
          <t>UPPSALA LÄN</t>
        </is>
      </c>
      <c r="E681" t="inlineStr">
        <is>
          <t>UPPSALA</t>
        </is>
      </c>
      <c r="G681" t="n">
        <v>3.6</v>
      </c>
      <c r="H681" t="n">
        <v>0</v>
      </c>
      <c r="I681" t="n">
        <v>0</v>
      </c>
      <c r="J681" t="n">
        <v>0</v>
      </c>
      <c r="K681" t="n">
        <v>0</v>
      </c>
      <c r="L681" t="n">
        <v>0</v>
      </c>
      <c r="M681" t="n">
        <v>0</v>
      </c>
      <c r="N681" t="n">
        <v>0</v>
      </c>
      <c r="O681" t="n">
        <v>0</v>
      </c>
      <c r="P681" t="n">
        <v>0</v>
      </c>
      <c r="Q681" t="n">
        <v>0</v>
      </c>
      <c r="R681" s="2" t="inlineStr"/>
    </row>
    <row r="682" ht="15" customHeight="1">
      <c r="A682" t="inlineStr">
        <is>
          <t>A 56656-2025</t>
        </is>
      </c>
      <c r="B682" s="1" t="n">
        <v>45975.65054398148</v>
      </c>
      <c r="C682" s="1" t="n">
        <v>46075</v>
      </c>
      <c r="D682" t="inlineStr">
        <is>
          <t>UPPSALA LÄN</t>
        </is>
      </c>
      <c r="E682" t="inlineStr">
        <is>
          <t>UPPSALA</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3813-2024</t>
        </is>
      </c>
      <c r="B683" s="1" t="n">
        <v>45321</v>
      </c>
      <c r="C683" s="1" t="n">
        <v>46075</v>
      </c>
      <c r="D683" t="inlineStr">
        <is>
          <t>UPPSALA LÄN</t>
        </is>
      </c>
      <c r="E683" t="inlineStr">
        <is>
          <t>UPPSALA</t>
        </is>
      </c>
      <c r="G683" t="n">
        <v>0.7</v>
      </c>
      <c r="H683" t="n">
        <v>0</v>
      </c>
      <c r="I683" t="n">
        <v>0</v>
      </c>
      <c r="J683" t="n">
        <v>0</v>
      </c>
      <c r="K683" t="n">
        <v>0</v>
      </c>
      <c r="L683" t="n">
        <v>0</v>
      </c>
      <c r="M683" t="n">
        <v>0</v>
      </c>
      <c r="N683" t="n">
        <v>0</v>
      </c>
      <c r="O683" t="n">
        <v>0</v>
      </c>
      <c r="P683" t="n">
        <v>0</v>
      </c>
      <c r="Q683" t="n">
        <v>0</v>
      </c>
      <c r="R683" s="2" t="inlineStr"/>
    </row>
    <row r="684" ht="15" customHeight="1">
      <c r="A684" t="inlineStr">
        <is>
          <t>A 37820-2021</t>
        </is>
      </c>
      <c r="B684" s="1" t="n">
        <v>44403.3119212963</v>
      </c>
      <c r="C684" s="1" t="n">
        <v>46075</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40507-2021</t>
        </is>
      </c>
      <c r="B685" s="1" t="n">
        <v>44420</v>
      </c>
      <c r="C685" s="1" t="n">
        <v>46075</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57789-2025</t>
        </is>
      </c>
      <c r="B686" s="1" t="n">
        <v>45981.57793981482</v>
      </c>
      <c r="C686" s="1" t="n">
        <v>46075</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40111-2024</t>
        </is>
      </c>
      <c r="B687" s="1" t="n">
        <v>45554</v>
      </c>
      <c r="C687" s="1" t="n">
        <v>46075</v>
      </c>
      <c r="D687" t="inlineStr">
        <is>
          <t>UPPSALA LÄN</t>
        </is>
      </c>
      <c r="E687" t="inlineStr">
        <is>
          <t>UPPSALA</t>
        </is>
      </c>
      <c r="G687" t="n">
        <v>3.7</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46075</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57709-2025</t>
        </is>
      </c>
      <c r="B689" s="1" t="n">
        <v>45981</v>
      </c>
      <c r="C689" s="1" t="n">
        <v>46075</v>
      </c>
      <c r="D689" t="inlineStr">
        <is>
          <t>UPPSALA LÄN</t>
        </is>
      </c>
      <c r="E689" t="inlineStr">
        <is>
          <t>UPPSALA</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46075</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57796-2025</t>
        </is>
      </c>
      <c r="B691" s="1" t="n">
        <v>45981.58204861111</v>
      </c>
      <c r="C691" s="1" t="n">
        <v>46075</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57836-2025</t>
        </is>
      </c>
      <c r="B692" s="1" t="n">
        <v>45981.61822916667</v>
      </c>
      <c r="C692" s="1" t="n">
        <v>46075</v>
      </c>
      <c r="D692" t="inlineStr">
        <is>
          <t>UPPSALA LÄN</t>
        </is>
      </c>
      <c r="E692" t="inlineStr">
        <is>
          <t>UPPSALA</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46075</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2790-2025</t>
        </is>
      </c>
      <c r="B694" s="1" t="n">
        <v>45677</v>
      </c>
      <c r="C694" s="1" t="n">
        <v>46075</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12414-2025</t>
        </is>
      </c>
      <c r="B695" s="1" t="n">
        <v>45730.43966435185</v>
      </c>
      <c r="C695" s="1" t="n">
        <v>46075</v>
      </c>
      <c r="D695" t="inlineStr">
        <is>
          <t>UPPSALA LÄN</t>
        </is>
      </c>
      <c r="E695" t="inlineStr">
        <is>
          <t>UPPSALA</t>
        </is>
      </c>
      <c r="F695" t="inlineStr">
        <is>
          <t>Övriga statliga verk och myndigheter</t>
        </is>
      </c>
      <c r="G695" t="n">
        <v>6.8</v>
      </c>
      <c r="H695" t="n">
        <v>0</v>
      </c>
      <c r="I695" t="n">
        <v>0</v>
      </c>
      <c r="J695" t="n">
        <v>0</v>
      </c>
      <c r="K695" t="n">
        <v>0</v>
      </c>
      <c r="L695" t="n">
        <v>0</v>
      </c>
      <c r="M695" t="n">
        <v>0</v>
      </c>
      <c r="N695" t="n">
        <v>0</v>
      </c>
      <c r="O695" t="n">
        <v>0</v>
      </c>
      <c r="P695" t="n">
        <v>0</v>
      </c>
      <c r="Q695" t="n">
        <v>0</v>
      </c>
      <c r="R695" s="2" t="inlineStr"/>
    </row>
    <row r="696" ht="15" customHeight="1">
      <c r="A696" t="inlineStr">
        <is>
          <t>A 53206-2025</t>
        </is>
      </c>
      <c r="B696" s="1" t="n">
        <v>45958.58711805556</v>
      </c>
      <c r="C696" s="1" t="n">
        <v>46075</v>
      </c>
      <c r="D696" t="inlineStr">
        <is>
          <t>UPPSALA LÄN</t>
        </is>
      </c>
      <c r="E696" t="inlineStr">
        <is>
          <t>UPPSALA</t>
        </is>
      </c>
      <c r="F696" t="inlineStr">
        <is>
          <t>Bergvik skog väst AB</t>
        </is>
      </c>
      <c r="G696" t="n">
        <v>18.6</v>
      </c>
      <c r="H696" t="n">
        <v>0</v>
      </c>
      <c r="I696" t="n">
        <v>0</v>
      </c>
      <c r="J696" t="n">
        <v>0</v>
      </c>
      <c r="K696" t="n">
        <v>0</v>
      </c>
      <c r="L696" t="n">
        <v>0</v>
      </c>
      <c r="M696" t="n">
        <v>0</v>
      </c>
      <c r="N696" t="n">
        <v>0</v>
      </c>
      <c r="O696" t="n">
        <v>0</v>
      </c>
      <c r="P696" t="n">
        <v>0</v>
      </c>
      <c r="Q696" t="n">
        <v>0</v>
      </c>
      <c r="R696" s="2" t="inlineStr"/>
    </row>
    <row r="697" ht="15" customHeight="1">
      <c r="A697" t="inlineStr">
        <is>
          <t>A 4929-2022</t>
        </is>
      </c>
      <c r="B697" s="1" t="n">
        <v>44593</v>
      </c>
      <c r="C697" s="1" t="n">
        <v>46075</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33622-2024</t>
        </is>
      </c>
      <c r="B698" s="1" t="n">
        <v>45520</v>
      </c>
      <c r="C698" s="1" t="n">
        <v>46075</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41545-2023</t>
        </is>
      </c>
      <c r="B699" s="1" t="n">
        <v>45175.57060185185</v>
      </c>
      <c r="C699" s="1" t="n">
        <v>46075</v>
      </c>
      <c r="D699" t="inlineStr">
        <is>
          <t>UPPSALA LÄN</t>
        </is>
      </c>
      <c r="E699" t="inlineStr">
        <is>
          <t>UPPSALA</t>
        </is>
      </c>
      <c r="G699" t="n">
        <v>6.6</v>
      </c>
      <c r="H699" t="n">
        <v>0</v>
      </c>
      <c r="I699" t="n">
        <v>0</v>
      </c>
      <c r="J699" t="n">
        <v>0</v>
      </c>
      <c r="K699" t="n">
        <v>0</v>
      </c>
      <c r="L699" t="n">
        <v>0</v>
      </c>
      <c r="M699" t="n">
        <v>0</v>
      </c>
      <c r="N699" t="n">
        <v>0</v>
      </c>
      <c r="O699" t="n">
        <v>0</v>
      </c>
      <c r="P699" t="n">
        <v>0</v>
      </c>
      <c r="Q699" t="n">
        <v>0</v>
      </c>
      <c r="R699" s="2" t="inlineStr"/>
    </row>
    <row r="700" ht="15" customHeight="1">
      <c r="A700" t="inlineStr">
        <is>
          <t>A 60047-2022</t>
        </is>
      </c>
      <c r="B700" s="1" t="n">
        <v>44909.51885416666</v>
      </c>
      <c r="C700" s="1" t="n">
        <v>46075</v>
      </c>
      <c r="D700" t="inlineStr">
        <is>
          <t>UPPSALA LÄN</t>
        </is>
      </c>
      <c r="E700" t="inlineStr">
        <is>
          <t>UPPSALA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12284-2025</t>
        </is>
      </c>
      <c r="B701" s="1" t="n">
        <v>45729</v>
      </c>
      <c r="C701" s="1" t="n">
        <v>46075</v>
      </c>
      <c r="D701" t="inlineStr">
        <is>
          <t>UPPSALA LÄN</t>
        </is>
      </c>
      <c r="E701" t="inlineStr">
        <is>
          <t>UPPSALA</t>
        </is>
      </c>
      <c r="G701" t="n">
        <v>6.7</v>
      </c>
      <c r="H701" t="n">
        <v>0</v>
      </c>
      <c r="I701" t="n">
        <v>0</v>
      </c>
      <c r="J701" t="n">
        <v>0</v>
      </c>
      <c r="K701" t="n">
        <v>0</v>
      </c>
      <c r="L701" t="n">
        <v>0</v>
      </c>
      <c r="M701" t="n">
        <v>0</v>
      </c>
      <c r="N701" t="n">
        <v>0</v>
      </c>
      <c r="O701" t="n">
        <v>0</v>
      </c>
      <c r="P701" t="n">
        <v>0</v>
      </c>
      <c r="Q701" t="n">
        <v>0</v>
      </c>
      <c r="R701" s="2" t="inlineStr"/>
    </row>
    <row r="702" ht="15" customHeight="1">
      <c r="A702" t="inlineStr">
        <is>
          <t>A 12287-2025</t>
        </is>
      </c>
      <c r="B702" s="1" t="n">
        <v>45729</v>
      </c>
      <c r="C702" s="1" t="n">
        <v>46075</v>
      </c>
      <c r="D702" t="inlineStr">
        <is>
          <t>UPPSALA LÄN</t>
        </is>
      </c>
      <c r="E702" t="inlineStr">
        <is>
          <t>UPPSALA</t>
        </is>
      </c>
      <c r="G702" t="n">
        <v>4.6</v>
      </c>
      <c r="H702" t="n">
        <v>0</v>
      </c>
      <c r="I702" t="n">
        <v>0</v>
      </c>
      <c r="J702" t="n">
        <v>0</v>
      </c>
      <c r="K702" t="n">
        <v>0</v>
      </c>
      <c r="L702" t="n">
        <v>0</v>
      </c>
      <c r="M702" t="n">
        <v>0</v>
      </c>
      <c r="N702" t="n">
        <v>0</v>
      </c>
      <c r="O702" t="n">
        <v>0</v>
      </c>
      <c r="P702" t="n">
        <v>0</v>
      </c>
      <c r="Q702" t="n">
        <v>0</v>
      </c>
      <c r="R702" s="2" t="inlineStr"/>
    </row>
    <row r="703" ht="15" customHeight="1">
      <c r="A703" t="inlineStr">
        <is>
          <t>A 42543-2023</t>
        </is>
      </c>
      <c r="B703" s="1" t="n">
        <v>45181.36815972222</v>
      </c>
      <c r="C703" s="1" t="n">
        <v>46075</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58104-2025</t>
        </is>
      </c>
      <c r="B704" s="1" t="n">
        <v>45982</v>
      </c>
      <c r="C704" s="1" t="n">
        <v>46075</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8931-2025</t>
        </is>
      </c>
      <c r="B705" s="1" t="n">
        <v>45713.44519675926</v>
      </c>
      <c r="C705" s="1" t="n">
        <v>46075</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58193-2025</t>
        </is>
      </c>
      <c r="B706" s="1" t="n">
        <v>45983.85069444445</v>
      </c>
      <c r="C706" s="1" t="n">
        <v>46075</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74023-2021</t>
        </is>
      </c>
      <c r="B707" s="1" t="n">
        <v>44553</v>
      </c>
      <c r="C707" s="1" t="n">
        <v>46075</v>
      </c>
      <c r="D707" t="inlineStr">
        <is>
          <t>UPPSALA LÄN</t>
        </is>
      </c>
      <c r="E707" t="inlineStr">
        <is>
          <t>UPPSALA</t>
        </is>
      </c>
      <c r="G707" t="n">
        <v>5.4</v>
      </c>
      <c r="H707" t="n">
        <v>0</v>
      </c>
      <c r="I707" t="n">
        <v>0</v>
      </c>
      <c r="J707" t="n">
        <v>0</v>
      </c>
      <c r="K707" t="n">
        <v>0</v>
      </c>
      <c r="L707" t="n">
        <v>0</v>
      </c>
      <c r="M707" t="n">
        <v>0</v>
      </c>
      <c r="N707" t="n">
        <v>0</v>
      </c>
      <c r="O707" t="n">
        <v>0</v>
      </c>
      <c r="P707" t="n">
        <v>0</v>
      </c>
      <c r="Q707" t="n">
        <v>0</v>
      </c>
      <c r="R707" s="2" t="inlineStr"/>
    </row>
    <row r="708" ht="15" customHeight="1">
      <c r="A708" t="inlineStr">
        <is>
          <t>A 50106-2025</t>
        </is>
      </c>
      <c r="B708" s="1" t="n">
        <v>45943.53659722222</v>
      </c>
      <c r="C708" s="1" t="n">
        <v>46075</v>
      </c>
      <c r="D708" t="inlineStr">
        <is>
          <t>UPPSALA LÄN</t>
        </is>
      </c>
      <c r="E708" t="inlineStr">
        <is>
          <t>UPPSALA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44830-2023</t>
        </is>
      </c>
      <c r="B709" s="1" t="n">
        <v>45190</v>
      </c>
      <c r="C709" s="1" t="n">
        <v>46075</v>
      </c>
      <c r="D709" t="inlineStr">
        <is>
          <t>UPPSALA LÄN</t>
        </is>
      </c>
      <c r="E709" t="inlineStr">
        <is>
          <t>UPPSALA</t>
        </is>
      </c>
      <c r="G709" t="n">
        <v>1.9</v>
      </c>
      <c r="H709" t="n">
        <v>0</v>
      </c>
      <c r="I709" t="n">
        <v>0</v>
      </c>
      <c r="J709" t="n">
        <v>0</v>
      </c>
      <c r="K709" t="n">
        <v>0</v>
      </c>
      <c r="L709" t="n">
        <v>0</v>
      </c>
      <c r="M709" t="n">
        <v>0</v>
      </c>
      <c r="N709" t="n">
        <v>0</v>
      </c>
      <c r="O709" t="n">
        <v>0</v>
      </c>
      <c r="P709" t="n">
        <v>0</v>
      </c>
      <c r="Q709" t="n">
        <v>0</v>
      </c>
      <c r="R709" s="2" t="inlineStr"/>
    </row>
    <row r="710" ht="15" customHeight="1">
      <c r="A710" t="inlineStr">
        <is>
          <t>A 73044-2021</t>
        </is>
      </c>
      <c r="B710" s="1" t="n">
        <v>44550.37994212963</v>
      </c>
      <c r="C710" s="1" t="n">
        <v>46075</v>
      </c>
      <c r="D710" t="inlineStr">
        <is>
          <t>UPPSALA LÄN</t>
        </is>
      </c>
      <c r="E710" t="inlineStr">
        <is>
          <t>UPPSALA</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50103-2025</t>
        </is>
      </c>
      <c r="B711" s="1" t="n">
        <v>45943.53451388889</v>
      </c>
      <c r="C711" s="1" t="n">
        <v>46075</v>
      </c>
      <c r="D711" t="inlineStr">
        <is>
          <t>UPPSALA LÄN</t>
        </is>
      </c>
      <c r="E711" t="inlineStr">
        <is>
          <t>UPPSALA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50104-2025</t>
        </is>
      </c>
      <c r="B712" s="1" t="n">
        <v>45943.5354050926</v>
      </c>
      <c r="C712" s="1" t="n">
        <v>46075</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50102-2025</t>
        </is>
      </c>
      <c r="B713" s="1" t="n">
        <v>45943.53341435185</v>
      </c>
      <c r="C713" s="1" t="n">
        <v>46075</v>
      </c>
      <c r="D713" t="inlineStr">
        <is>
          <t>UPPSALA LÄN</t>
        </is>
      </c>
      <c r="E713" t="inlineStr">
        <is>
          <t>UPPSALA</t>
        </is>
      </c>
      <c r="F713" t="inlineStr">
        <is>
          <t>Bergvik skog öst AB</t>
        </is>
      </c>
      <c r="G713" t="n">
        <v>5.8</v>
      </c>
      <c r="H713" t="n">
        <v>0</v>
      </c>
      <c r="I713" t="n">
        <v>0</v>
      </c>
      <c r="J713" t="n">
        <v>0</v>
      </c>
      <c r="K713" t="n">
        <v>0</v>
      </c>
      <c r="L713" t="n">
        <v>0</v>
      </c>
      <c r="M713" t="n">
        <v>0</v>
      </c>
      <c r="N713" t="n">
        <v>0</v>
      </c>
      <c r="O713" t="n">
        <v>0</v>
      </c>
      <c r="P713" t="n">
        <v>0</v>
      </c>
      <c r="Q713" t="n">
        <v>0</v>
      </c>
      <c r="R713" s="2" t="inlineStr"/>
    </row>
    <row r="714" ht="15" customHeight="1">
      <c r="A714" t="inlineStr">
        <is>
          <t>A 19139-2023</t>
        </is>
      </c>
      <c r="B714" s="1" t="n">
        <v>45048.55349537037</v>
      </c>
      <c r="C714" s="1" t="n">
        <v>46075</v>
      </c>
      <c r="D714" t="inlineStr">
        <is>
          <t>UPPSALA LÄN</t>
        </is>
      </c>
      <c r="E714" t="inlineStr">
        <is>
          <t>UPPSALA</t>
        </is>
      </c>
      <c r="G714" t="n">
        <v>3</v>
      </c>
      <c r="H714" t="n">
        <v>0</v>
      </c>
      <c r="I714" t="n">
        <v>0</v>
      </c>
      <c r="J714" t="n">
        <v>0</v>
      </c>
      <c r="K714" t="n">
        <v>0</v>
      </c>
      <c r="L714" t="n">
        <v>0</v>
      </c>
      <c r="M714" t="n">
        <v>0</v>
      </c>
      <c r="N714" t="n">
        <v>0</v>
      </c>
      <c r="O714" t="n">
        <v>0</v>
      </c>
      <c r="P714" t="n">
        <v>0</v>
      </c>
      <c r="Q714" t="n">
        <v>0</v>
      </c>
      <c r="R714" s="2" t="inlineStr"/>
    </row>
    <row r="715" ht="15" customHeight="1">
      <c r="A715" t="inlineStr">
        <is>
          <t>A 59207-2025</t>
        </is>
      </c>
      <c r="B715" s="1" t="n">
        <v>45988.61304398148</v>
      </c>
      <c r="C715" s="1" t="n">
        <v>46075</v>
      </c>
      <c r="D715" t="inlineStr">
        <is>
          <t>UPPSALA LÄN</t>
        </is>
      </c>
      <c r="E715" t="inlineStr">
        <is>
          <t>UPPSALA</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29799-2023</t>
        </is>
      </c>
      <c r="B716" s="1" t="n">
        <v>45107.53688657407</v>
      </c>
      <c r="C716" s="1" t="n">
        <v>46075</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46075</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21052-2023</t>
        </is>
      </c>
      <c r="B718" s="1" t="n">
        <v>45061</v>
      </c>
      <c r="C718" s="1" t="n">
        <v>46075</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62054-2024</t>
        </is>
      </c>
      <c r="B719" s="1" t="n">
        <v>45656</v>
      </c>
      <c r="C719" s="1" t="n">
        <v>46075</v>
      </c>
      <c r="D719" t="inlineStr">
        <is>
          <t>UPPSALA LÄN</t>
        </is>
      </c>
      <c r="E719" t="inlineStr">
        <is>
          <t>UPPSALA</t>
        </is>
      </c>
      <c r="F719" t="inlineStr">
        <is>
          <t>Övriga statliga verk och myndigheter</t>
        </is>
      </c>
      <c r="G719" t="n">
        <v>29.3</v>
      </c>
      <c r="H719" t="n">
        <v>0</v>
      </c>
      <c r="I719" t="n">
        <v>0</v>
      </c>
      <c r="J719" t="n">
        <v>0</v>
      </c>
      <c r="K719" t="n">
        <v>0</v>
      </c>
      <c r="L719" t="n">
        <v>0</v>
      </c>
      <c r="M719" t="n">
        <v>0</v>
      </c>
      <c r="N719" t="n">
        <v>0</v>
      </c>
      <c r="O719" t="n">
        <v>0</v>
      </c>
      <c r="P719" t="n">
        <v>0</v>
      </c>
      <c r="Q719" t="n">
        <v>0</v>
      </c>
      <c r="R719" s="2" t="inlineStr"/>
    </row>
    <row r="720" ht="15" customHeight="1">
      <c r="A720" t="inlineStr">
        <is>
          <t>A 9398-2023</t>
        </is>
      </c>
      <c r="B720" s="1" t="n">
        <v>44977</v>
      </c>
      <c r="C720" s="1" t="n">
        <v>46075</v>
      </c>
      <c r="D720" t="inlineStr">
        <is>
          <t>UPPSALA LÄN</t>
        </is>
      </c>
      <c r="E720" t="inlineStr">
        <is>
          <t>UPPSALA</t>
        </is>
      </c>
      <c r="G720" t="n">
        <v>5.1</v>
      </c>
      <c r="H720" t="n">
        <v>0</v>
      </c>
      <c r="I720" t="n">
        <v>0</v>
      </c>
      <c r="J720" t="n">
        <v>0</v>
      </c>
      <c r="K720" t="n">
        <v>0</v>
      </c>
      <c r="L720" t="n">
        <v>0</v>
      </c>
      <c r="M720" t="n">
        <v>0</v>
      </c>
      <c r="N720" t="n">
        <v>0</v>
      </c>
      <c r="O720" t="n">
        <v>0</v>
      </c>
      <c r="P720" t="n">
        <v>0</v>
      </c>
      <c r="Q720" t="n">
        <v>0</v>
      </c>
      <c r="R720" s="2" t="inlineStr"/>
    </row>
    <row r="721" ht="15" customHeight="1">
      <c r="A721" t="inlineStr">
        <is>
          <t>A 49938-2025</t>
        </is>
      </c>
      <c r="B721" s="1" t="n">
        <v>45940</v>
      </c>
      <c r="C721" s="1" t="n">
        <v>46075</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39548-2023</t>
        </is>
      </c>
      <c r="B722" s="1" t="n">
        <v>45167.3721412037</v>
      </c>
      <c r="C722" s="1" t="n">
        <v>46075</v>
      </c>
      <c r="D722" t="inlineStr">
        <is>
          <t>UPPSALA LÄN</t>
        </is>
      </c>
      <c r="E722" t="inlineStr">
        <is>
          <t>UPPSALA</t>
        </is>
      </c>
      <c r="G722" t="n">
        <v>3.4</v>
      </c>
      <c r="H722" t="n">
        <v>0</v>
      </c>
      <c r="I722" t="n">
        <v>0</v>
      </c>
      <c r="J722" t="n">
        <v>0</v>
      </c>
      <c r="K722" t="n">
        <v>0</v>
      </c>
      <c r="L722" t="n">
        <v>0</v>
      </c>
      <c r="M722" t="n">
        <v>0</v>
      </c>
      <c r="N722" t="n">
        <v>0</v>
      </c>
      <c r="O722" t="n">
        <v>0</v>
      </c>
      <c r="P722" t="n">
        <v>0</v>
      </c>
      <c r="Q722" t="n">
        <v>0</v>
      </c>
      <c r="R722" s="2" t="inlineStr"/>
    </row>
    <row r="723" ht="15" customHeight="1">
      <c r="A723" t="inlineStr">
        <is>
          <t>A 59779-2025</t>
        </is>
      </c>
      <c r="B723" s="1" t="n">
        <v>45992.60832175926</v>
      </c>
      <c r="C723" s="1" t="n">
        <v>46075</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26099-2024</t>
        </is>
      </c>
      <c r="B724" s="1" t="n">
        <v>45468</v>
      </c>
      <c r="C724" s="1" t="n">
        <v>46075</v>
      </c>
      <c r="D724" t="inlineStr">
        <is>
          <t>UPPSALA LÄN</t>
        </is>
      </c>
      <c r="E724" t="inlineStr">
        <is>
          <t>UPPSALA</t>
        </is>
      </c>
      <c r="G724" t="n">
        <v>0.3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44679.66694444444</v>
      </c>
      <c r="C725" s="1" t="n">
        <v>46075</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33689-2023</t>
        </is>
      </c>
      <c r="B726" s="1" t="n">
        <v>45119</v>
      </c>
      <c r="C726" s="1" t="n">
        <v>46075</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18626-2025</t>
        </is>
      </c>
      <c r="B727" s="1" t="n">
        <v>45763.52995370371</v>
      </c>
      <c r="C727" s="1" t="n">
        <v>46075</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59688-2025</t>
        </is>
      </c>
      <c r="B728" s="1" t="n">
        <v>45992.47825231482</v>
      </c>
      <c r="C728" s="1" t="n">
        <v>46075</v>
      </c>
      <c r="D728" t="inlineStr">
        <is>
          <t>UPPSALA LÄN</t>
        </is>
      </c>
      <c r="E728" t="inlineStr">
        <is>
          <t>UPPSALA</t>
        </is>
      </c>
      <c r="G728" t="n">
        <v>2.8</v>
      </c>
      <c r="H728" t="n">
        <v>0</v>
      </c>
      <c r="I728" t="n">
        <v>0</v>
      </c>
      <c r="J728" t="n">
        <v>0</v>
      </c>
      <c r="K728" t="n">
        <v>0</v>
      </c>
      <c r="L728" t="n">
        <v>0</v>
      </c>
      <c r="M728" t="n">
        <v>0</v>
      </c>
      <c r="N728" t="n">
        <v>0</v>
      </c>
      <c r="O728" t="n">
        <v>0</v>
      </c>
      <c r="P728" t="n">
        <v>0</v>
      </c>
      <c r="Q728" t="n">
        <v>0</v>
      </c>
      <c r="R728" s="2" t="inlineStr"/>
    </row>
    <row r="729" ht="15" customHeight="1">
      <c r="A729" t="inlineStr">
        <is>
          <t>A 3183-2024</t>
        </is>
      </c>
      <c r="B729" s="1" t="n">
        <v>45316</v>
      </c>
      <c r="C729" s="1" t="n">
        <v>46075</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53569-2024</t>
        </is>
      </c>
      <c r="B730" s="1" t="n">
        <v>45614.65928240741</v>
      </c>
      <c r="C730" s="1" t="n">
        <v>46075</v>
      </c>
      <c r="D730" t="inlineStr">
        <is>
          <t>UPPSALA LÄN</t>
        </is>
      </c>
      <c r="E730" t="inlineStr">
        <is>
          <t>UPPSALA</t>
        </is>
      </c>
      <c r="G730" t="n">
        <v>2.7</v>
      </c>
      <c r="H730" t="n">
        <v>0</v>
      </c>
      <c r="I730" t="n">
        <v>0</v>
      </c>
      <c r="J730" t="n">
        <v>0</v>
      </c>
      <c r="K730" t="n">
        <v>0</v>
      </c>
      <c r="L730" t="n">
        <v>0</v>
      </c>
      <c r="M730" t="n">
        <v>0</v>
      </c>
      <c r="N730" t="n">
        <v>0</v>
      </c>
      <c r="O730" t="n">
        <v>0</v>
      </c>
      <c r="P730" t="n">
        <v>0</v>
      </c>
      <c r="Q730" t="n">
        <v>0</v>
      </c>
      <c r="R730" s="2" t="inlineStr"/>
    </row>
    <row r="731" ht="15" customHeight="1">
      <c r="A731" t="inlineStr">
        <is>
          <t>A 69436-2021</t>
        </is>
      </c>
      <c r="B731" s="1" t="n">
        <v>44531</v>
      </c>
      <c r="C731" s="1" t="n">
        <v>46075</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7253-2024</t>
        </is>
      </c>
      <c r="B732" s="1" t="n">
        <v>45344.69567129629</v>
      </c>
      <c r="C732" s="1" t="n">
        <v>46075</v>
      </c>
      <c r="D732" t="inlineStr">
        <is>
          <t>UPPSALA LÄN</t>
        </is>
      </c>
      <c r="E732" t="inlineStr">
        <is>
          <t>UPPSALA</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5764-2025</t>
        </is>
      </c>
      <c r="B733" s="1" t="n">
        <v>45694</v>
      </c>
      <c r="C733" s="1" t="n">
        <v>46075</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60269-2025</t>
        </is>
      </c>
      <c r="B734" s="1" t="n">
        <v>45994.62346064814</v>
      </c>
      <c r="C734" s="1" t="n">
        <v>46075</v>
      </c>
      <c r="D734" t="inlineStr">
        <is>
          <t>UPPSALA LÄN</t>
        </is>
      </c>
      <c r="E734" t="inlineStr">
        <is>
          <t>UPPSALA</t>
        </is>
      </c>
      <c r="F734" t="inlineStr">
        <is>
          <t>Allmännings- och besparingsskogar</t>
        </is>
      </c>
      <c r="G734" t="n">
        <v>3.8</v>
      </c>
      <c r="H734" t="n">
        <v>0</v>
      </c>
      <c r="I734" t="n">
        <v>0</v>
      </c>
      <c r="J734" t="n">
        <v>0</v>
      </c>
      <c r="K734" t="n">
        <v>0</v>
      </c>
      <c r="L734" t="n">
        <v>0</v>
      </c>
      <c r="M734" t="n">
        <v>0</v>
      </c>
      <c r="N734" t="n">
        <v>0</v>
      </c>
      <c r="O734" t="n">
        <v>0</v>
      </c>
      <c r="P734" t="n">
        <v>0</v>
      </c>
      <c r="Q734" t="n">
        <v>0</v>
      </c>
      <c r="R734" s="2" t="inlineStr"/>
    </row>
    <row r="735" ht="15" customHeight="1">
      <c r="A735" t="inlineStr">
        <is>
          <t>A 60512-2025</t>
        </is>
      </c>
      <c r="B735" s="1" t="n">
        <v>45995.63483796296</v>
      </c>
      <c r="C735" s="1" t="n">
        <v>46075</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60357-2025</t>
        </is>
      </c>
      <c r="B736" s="1" t="n">
        <v>45995.31793981481</v>
      </c>
      <c r="C736" s="1" t="n">
        <v>46075</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63307-2021</t>
        </is>
      </c>
      <c r="B737" s="1" t="n">
        <v>44508.44033564815</v>
      </c>
      <c r="C737" s="1" t="n">
        <v>46075</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60356-2025</t>
        </is>
      </c>
      <c r="B738" s="1" t="n">
        <v>45995.31737268518</v>
      </c>
      <c r="C738" s="1" t="n">
        <v>46075</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13128-2022</t>
        </is>
      </c>
      <c r="B739" s="1" t="n">
        <v>44644.37548611111</v>
      </c>
      <c r="C739" s="1" t="n">
        <v>46075</v>
      </c>
      <c r="D739" t="inlineStr">
        <is>
          <t>UPPSALA LÄN</t>
        </is>
      </c>
      <c r="E739" t="inlineStr">
        <is>
          <t>UPPSALA</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18808-2024</t>
        </is>
      </c>
      <c r="B740" s="1" t="n">
        <v>45426.61569444444</v>
      </c>
      <c r="C740" s="1" t="n">
        <v>46075</v>
      </c>
      <c r="D740" t="inlineStr">
        <is>
          <t>UPPSALA LÄN</t>
        </is>
      </c>
      <c r="E740" t="inlineStr">
        <is>
          <t>UPPSALA</t>
        </is>
      </c>
      <c r="G740" t="n">
        <v>11.5</v>
      </c>
      <c r="H740" t="n">
        <v>0</v>
      </c>
      <c r="I740" t="n">
        <v>0</v>
      </c>
      <c r="J740" t="n">
        <v>0</v>
      </c>
      <c r="K740" t="n">
        <v>0</v>
      </c>
      <c r="L740" t="n">
        <v>0</v>
      </c>
      <c r="M740" t="n">
        <v>0</v>
      </c>
      <c r="N740" t="n">
        <v>0</v>
      </c>
      <c r="O740" t="n">
        <v>0</v>
      </c>
      <c r="P740" t="n">
        <v>0</v>
      </c>
      <c r="Q740" t="n">
        <v>0</v>
      </c>
      <c r="R740" s="2" t="inlineStr"/>
    </row>
    <row r="741" ht="15" customHeight="1">
      <c r="A741" t="inlineStr">
        <is>
          <t>A 46202-2024</t>
        </is>
      </c>
      <c r="B741" s="1" t="n">
        <v>45581</v>
      </c>
      <c r="C741" s="1" t="n">
        <v>46075</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43855-2023</t>
        </is>
      </c>
      <c r="B742" s="1" t="n">
        <v>45187.61136574074</v>
      </c>
      <c r="C742" s="1" t="n">
        <v>46075</v>
      </c>
      <c r="D742" t="inlineStr">
        <is>
          <t>UPPSALA LÄN</t>
        </is>
      </c>
      <c r="E742" t="inlineStr">
        <is>
          <t>UPPSALA</t>
        </is>
      </c>
      <c r="F742" t="inlineStr">
        <is>
          <t>Bergvik skog öst AB</t>
        </is>
      </c>
      <c r="G742" t="n">
        <v>2</v>
      </c>
      <c r="H742" t="n">
        <v>0</v>
      </c>
      <c r="I742" t="n">
        <v>0</v>
      </c>
      <c r="J742" t="n">
        <v>0</v>
      </c>
      <c r="K742" t="n">
        <v>0</v>
      </c>
      <c r="L742" t="n">
        <v>0</v>
      </c>
      <c r="M742" t="n">
        <v>0</v>
      </c>
      <c r="N742" t="n">
        <v>0</v>
      </c>
      <c r="O742" t="n">
        <v>0</v>
      </c>
      <c r="P742" t="n">
        <v>0</v>
      </c>
      <c r="Q742" t="n">
        <v>0</v>
      </c>
      <c r="R742" s="2" t="inlineStr"/>
    </row>
    <row r="743" ht="15" customHeight="1">
      <c r="A743" t="inlineStr">
        <is>
          <t>A 69432-2021</t>
        </is>
      </c>
      <c r="B743" s="1" t="n">
        <v>44531</v>
      </c>
      <c r="C743" s="1" t="n">
        <v>46075</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37763-2021</t>
        </is>
      </c>
      <c r="B744" s="1" t="n">
        <v>44400.6750925926</v>
      </c>
      <c r="C744" s="1" t="n">
        <v>46075</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69595-2021</t>
        </is>
      </c>
      <c r="B745" s="1" t="n">
        <v>44532</v>
      </c>
      <c r="C745" s="1" t="n">
        <v>46075</v>
      </c>
      <c r="D745" t="inlineStr">
        <is>
          <t>UPPSALA LÄN</t>
        </is>
      </c>
      <c r="E745" t="inlineStr">
        <is>
          <t>UPPSALA</t>
        </is>
      </c>
      <c r="G745" t="n">
        <v>3.9</v>
      </c>
      <c r="H745" t="n">
        <v>0</v>
      </c>
      <c r="I745" t="n">
        <v>0</v>
      </c>
      <c r="J745" t="n">
        <v>0</v>
      </c>
      <c r="K745" t="n">
        <v>0</v>
      </c>
      <c r="L745" t="n">
        <v>0</v>
      </c>
      <c r="M745" t="n">
        <v>0</v>
      </c>
      <c r="N745" t="n">
        <v>0</v>
      </c>
      <c r="O745" t="n">
        <v>0</v>
      </c>
      <c r="P745" t="n">
        <v>0</v>
      </c>
      <c r="Q745" t="n">
        <v>0</v>
      </c>
      <c r="R745" s="2" t="inlineStr"/>
    </row>
    <row r="746" ht="15" customHeight="1">
      <c r="A746" t="inlineStr">
        <is>
          <t>A 58965-2025</t>
        </is>
      </c>
      <c r="B746" s="1" t="n">
        <v>45987</v>
      </c>
      <c r="C746" s="1" t="n">
        <v>46075</v>
      </c>
      <c r="D746" t="inlineStr">
        <is>
          <t>UPPSALA LÄN</t>
        </is>
      </c>
      <c r="E746" t="inlineStr">
        <is>
          <t>UPPSALA</t>
        </is>
      </c>
      <c r="G746" t="n">
        <v>7.7</v>
      </c>
      <c r="H746" t="n">
        <v>0</v>
      </c>
      <c r="I746" t="n">
        <v>0</v>
      </c>
      <c r="J746" t="n">
        <v>0</v>
      </c>
      <c r="K746" t="n">
        <v>0</v>
      </c>
      <c r="L746" t="n">
        <v>0</v>
      </c>
      <c r="M746" t="n">
        <v>0</v>
      </c>
      <c r="N746" t="n">
        <v>0</v>
      </c>
      <c r="O746" t="n">
        <v>0</v>
      </c>
      <c r="P746" t="n">
        <v>0</v>
      </c>
      <c r="Q746" t="n">
        <v>0</v>
      </c>
      <c r="R746" s="2" t="inlineStr"/>
    </row>
    <row r="747" ht="15" customHeight="1">
      <c r="A747" t="inlineStr">
        <is>
          <t>A 61245-2025</t>
        </is>
      </c>
      <c r="B747" s="1" t="n">
        <v>45999</v>
      </c>
      <c r="C747" s="1" t="n">
        <v>46075</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3214-2023</t>
        </is>
      </c>
      <c r="B748" s="1" t="n">
        <v>44944</v>
      </c>
      <c r="C748" s="1" t="n">
        <v>46075</v>
      </c>
      <c r="D748" t="inlineStr">
        <is>
          <t>UPPSALA LÄN</t>
        </is>
      </c>
      <c r="E748" t="inlineStr">
        <is>
          <t>UPPSALA</t>
        </is>
      </c>
      <c r="G748" t="n">
        <v>4.1</v>
      </c>
      <c r="H748" t="n">
        <v>0</v>
      </c>
      <c r="I748" t="n">
        <v>0</v>
      </c>
      <c r="J748" t="n">
        <v>0</v>
      </c>
      <c r="K748" t="n">
        <v>0</v>
      </c>
      <c r="L748" t="n">
        <v>0</v>
      </c>
      <c r="M748" t="n">
        <v>0</v>
      </c>
      <c r="N748" t="n">
        <v>0</v>
      </c>
      <c r="O748" t="n">
        <v>0</v>
      </c>
      <c r="P748" t="n">
        <v>0</v>
      </c>
      <c r="Q748" t="n">
        <v>0</v>
      </c>
      <c r="R748" s="2" t="inlineStr"/>
    </row>
    <row r="749" ht="15" customHeight="1">
      <c r="A749" t="inlineStr">
        <is>
          <t>A 38190-2023</t>
        </is>
      </c>
      <c r="B749" s="1" t="n">
        <v>45161</v>
      </c>
      <c r="C749" s="1" t="n">
        <v>46075</v>
      </c>
      <c r="D749" t="inlineStr">
        <is>
          <t>UPPSALA LÄN</t>
        </is>
      </c>
      <c r="E749" t="inlineStr">
        <is>
          <t>UPPSALA</t>
        </is>
      </c>
      <c r="G749" t="n">
        <v>0.4</v>
      </c>
      <c r="H749" t="n">
        <v>0</v>
      </c>
      <c r="I749" t="n">
        <v>0</v>
      </c>
      <c r="J749" t="n">
        <v>0</v>
      </c>
      <c r="K749" t="n">
        <v>0</v>
      </c>
      <c r="L749" t="n">
        <v>0</v>
      </c>
      <c r="M749" t="n">
        <v>0</v>
      </c>
      <c r="N749" t="n">
        <v>0</v>
      </c>
      <c r="O749" t="n">
        <v>0</v>
      </c>
      <c r="P749" t="n">
        <v>0</v>
      </c>
      <c r="Q749" t="n">
        <v>0</v>
      </c>
      <c r="R749" s="2" t="inlineStr"/>
    </row>
    <row r="750" ht="15" customHeight="1">
      <c r="A750" t="inlineStr">
        <is>
          <t>A 54924-2024</t>
        </is>
      </c>
      <c r="B750" s="1" t="n">
        <v>45618.71140046296</v>
      </c>
      <c r="C750" s="1" t="n">
        <v>46075</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39007-2024</t>
        </is>
      </c>
      <c r="B751" s="1" t="n">
        <v>45548.42854166667</v>
      </c>
      <c r="C751" s="1" t="n">
        <v>46075</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46075</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46743-2024</t>
        </is>
      </c>
      <c r="B753" s="1" t="n">
        <v>45583.47836805556</v>
      </c>
      <c r="C753" s="1" t="n">
        <v>46075</v>
      </c>
      <c r="D753" t="inlineStr">
        <is>
          <t>UPPSALA LÄN</t>
        </is>
      </c>
      <c r="E753" t="inlineStr">
        <is>
          <t>UPPSALA</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66690-2021</t>
        </is>
      </c>
      <c r="B754" s="1" t="n">
        <v>44519.64902777778</v>
      </c>
      <c r="C754" s="1" t="n">
        <v>46075</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13602-2025</t>
        </is>
      </c>
      <c r="B755" s="1" t="n">
        <v>45736.60863425926</v>
      </c>
      <c r="C755" s="1" t="n">
        <v>46075</v>
      </c>
      <c r="D755" t="inlineStr">
        <is>
          <t>UPPSALA LÄN</t>
        </is>
      </c>
      <c r="E755" t="inlineStr">
        <is>
          <t>UPPSALA</t>
        </is>
      </c>
      <c r="F755" t="inlineStr">
        <is>
          <t>Allmännings- och besparingsskogar</t>
        </is>
      </c>
      <c r="G755" t="n">
        <v>9.5</v>
      </c>
      <c r="H755" t="n">
        <v>0</v>
      </c>
      <c r="I755" t="n">
        <v>0</v>
      </c>
      <c r="J755" t="n">
        <v>0</v>
      </c>
      <c r="K755" t="n">
        <v>0</v>
      </c>
      <c r="L755" t="n">
        <v>0</v>
      </c>
      <c r="M755" t="n">
        <v>0</v>
      </c>
      <c r="N755" t="n">
        <v>0</v>
      </c>
      <c r="O755" t="n">
        <v>0</v>
      </c>
      <c r="P755" t="n">
        <v>0</v>
      </c>
      <c r="Q755" t="n">
        <v>0</v>
      </c>
      <c r="R755" s="2" t="inlineStr"/>
    </row>
    <row r="756" ht="15" customHeight="1">
      <c r="A756" t="inlineStr">
        <is>
          <t>A 7611-2023</t>
        </is>
      </c>
      <c r="B756" s="1" t="n">
        <v>44967</v>
      </c>
      <c r="C756" s="1" t="n">
        <v>46075</v>
      </c>
      <c r="D756" t="inlineStr">
        <is>
          <t>UPPSALA LÄN</t>
        </is>
      </c>
      <c r="E756" t="inlineStr">
        <is>
          <t>UPPSALA</t>
        </is>
      </c>
      <c r="G756" t="n">
        <v>3.5</v>
      </c>
      <c r="H756" t="n">
        <v>0</v>
      </c>
      <c r="I756" t="n">
        <v>0</v>
      </c>
      <c r="J756" t="n">
        <v>0</v>
      </c>
      <c r="K756" t="n">
        <v>0</v>
      </c>
      <c r="L756" t="n">
        <v>0</v>
      </c>
      <c r="M756" t="n">
        <v>0</v>
      </c>
      <c r="N756" t="n">
        <v>0</v>
      </c>
      <c r="O756" t="n">
        <v>0</v>
      </c>
      <c r="P756" t="n">
        <v>0</v>
      </c>
      <c r="Q756" t="n">
        <v>0</v>
      </c>
      <c r="R756" s="2" t="inlineStr"/>
    </row>
    <row r="757" ht="15" customHeight="1">
      <c r="A757" t="inlineStr">
        <is>
          <t>A 733-2022</t>
        </is>
      </c>
      <c r="B757" s="1" t="n">
        <v>44568.67040509259</v>
      </c>
      <c r="C757" s="1" t="n">
        <v>46075</v>
      </c>
      <c r="D757" t="inlineStr">
        <is>
          <t>UPPSALA LÄN</t>
        </is>
      </c>
      <c r="E757" t="inlineStr">
        <is>
          <t>UPPSALA</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20087-2023</t>
        </is>
      </c>
      <c r="B758" s="1" t="n">
        <v>45054.9271875</v>
      </c>
      <c r="C758" s="1" t="n">
        <v>46075</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48588-2022</t>
        </is>
      </c>
      <c r="B759" s="1" t="n">
        <v>44859.36896990741</v>
      </c>
      <c r="C759" s="1" t="n">
        <v>46075</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6971-2025</t>
        </is>
      </c>
      <c r="B760" s="1" t="n">
        <v>45693</v>
      </c>
      <c r="C760" s="1" t="n">
        <v>46075</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43032-2022</t>
        </is>
      </c>
      <c r="B761" s="1" t="n">
        <v>44832</v>
      </c>
      <c r="C761" s="1" t="n">
        <v>46075</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50669-2024</t>
        </is>
      </c>
      <c r="B762" s="1" t="n">
        <v>45601</v>
      </c>
      <c r="C762" s="1" t="n">
        <v>46075</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34509-2023</t>
        </is>
      </c>
      <c r="B763" s="1" t="n">
        <v>45133</v>
      </c>
      <c r="C763" s="1" t="n">
        <v>46075</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4866-2026</t>
        </is>
      </c>
      <c r="B764" s="1" t="n">
        <v>46045</v>
      </c>
      <c r="C764" s="1" t="n">
        <v>46075</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33939-2024</t>
        </is>
      </c>
      <c r="B765" s="1" t="n">
        <v>45523</v>
      </c>
      <c r="C765" s="1" t="n">
        <v>46075</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13343-2022</t>
        </is>
      </c>
      <c r="B766" s="1" t="n">
        <v>44645.39157407408</v>
      </c>
      <c r="C766" s="1" t="n">
        <v>46075</v>
      </c>
      <c r="D766" t="inlineStr">
        <is>
          <t>UPPSALA LÄN</t>
        </is>
      </c>
      <c r="E766" t="inlineStr">
        <is>
          <t>UPPSALA</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11173-2024</t>
        </is>
      </c>
      <c r="B767" s="1" t="n">
        <v>45371.50738425926</v>
      </c>
      <c r="C767" s="1" t="n">
        <v>46075</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9242-2022</t>
        </is>
      </c>
      <c r="B768" s="1" t="n">
        <v>44616</v>
      </c>
      <c r="C768" s="1" t="n">
        <v>46075</v>
      </c>
      <c r="D768" t="inlineStr">
        <is>
          <t>UPPSALA LÄN</t>
        </is>
      </c>
      <c r="E768" t="inlineStr">
        <is>
          <t>UPPSALA</t>
        </is>
      </c>
      <c r="F768" t="inlineStr">
        <is>
          <t>Övriga Aktiebolag</t>
        </is>
      </c>
      <c r="G768" t="n">
        <v>5.9</v>
      </c>
      <c r="H768" t="n">
        <v>0</v>
      </c>
      <c r="I768" t="n">
        <v>0</v>
      </c>
      <c r="J768" t="n">
        <v>0</v>
      </c>
      <c r="K768" t="n">
        <v>0</v>
      </c>
      <c r="L768" t="n">
        <v>0</v>
      </c>
      <c r="M768" t="n">
        <v>0</v>
      </c>
      <c r="N768" t="n">
        <v>0</v>
      </c>
      <c r="O768" t="n">
        <v>0</v>
      </c>
      <c r="P768" t="n">
        <v>0</v>
      </c>
      <c r="Q768" t="n">
        <v>0</v>
      </c>
      <c r="R768" s="2" t="inlineStr"/>
    </row>
    <row r="769" ht="15" customHeight="1">
      <c r="A769" t="inlineStr">
        <is>
          <t>A 14907-2025</t>
        </is>
      </c>
      <c r="B769" s="1" t="n">
        <v>45743.50744212963</v>
      </c>
      <c r="C769" s="1" t="n">
        <v>46075</v>
      </c>
      <c r="D769" t="inlineStr">
        <is>
          <t>UPPSALA LÄN</t>
        </is>
      </c>
      <c r="E769" t="inlineStr">
        <is>
          <t>UPPSALA</t>
        </is>
      </c>
      <c r="G769" t="n">
        <v>7</v>
      </c>
      <c r="H769" t="n">
        <v>0</v>
      </c>
      <c r="I769" t="n">
        <v>0</v>
      </c>
      <c r="J769" t="n">
        <v>0</v>
      </c>
      <c r="K769" t="n">
        <v>0</v>
      </c>
      <c r="L769" t="n">
        <v>0</v>
      </c>
      <c r="M769" t="n">
        <v>0</v>
      </c>
      <c r="N769" t="n">
        <v>0</v>
      </c>
      <c r="O769" t="n">
        <v>0</v>
      </c>
      <c r="P769" t="n">
        <v>0</v>
      </c>
      <c r="Q769" t="n">
        <v>0</v>
      </c>
      <c r="R769" s="2" t="inlineStr"/>
    </row>
    <row r="770" ht="15" customHeight="1">
      <c r="A770" t="inlineStr">
        <is>
          <t>A 18443-2023</t>
        </is>
      </c>
      <c r="B770" s="1" t="n">
        <v>45042</v>
      </c>
      <c r="C770" s="1" t="n">
        <v>46075</v>
      </c>
      <c r="D770" t="inlineStr">
        <is>
          <t>UPPSALA LÄN</t>
        </is>
      </c>
      <c r="E770" t="inlineStr">
        <is>
          <t>UPPSALA</t>
        </is>
      </c>
      <c r="G770" t="n">
        <v>0.4</v>
      </c>
      <c r="H770" t="n">
        <v>0</v>
      </c>
      <c r="I770" t="n">
        <v>0</v>
      </c>
      <c r="J770" t="n">
        <v>0</v>
      </c>
      <c r="K770" t="n">
        <v>0</v>
      </c>
      <c r="L770" t="n">
        <v>0</v>
      </c>
      <c r="M770" t="n">
        <v>0</v>
      </c>
      <c r="N770" t="n">
        <v>0</v>
      </c>
      <c r="O770" t="n">
        <v>0</v>
      </c>
      <c r="P770" t="n">
        <v>0</v>
      </c>
      <c r="Q770" t="n">
        <v>0</v>
      </c>
      <c r="R770" s="2" t="inlineStr"/>
    </row>
    <row r="771" ht="15" customHeight="1">
      <c r="A771" t="inlineStr">
        <is>
          <t>A 57770-2025</t>
        </is>
      </c>
      <c r="B771" s="1" t="n">
        <v>45981</v>
      </c>
      <c r="C771" s="1" t="n">
        <v>46075</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19017-2023</t>
        </is>
      </c>
      <c r="B772" s="1" t="n">
        <v>45047.31793981481</v>
      </c>
      <c r="C772" s="1" t="n">
        <v>46075</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10674-2022</t>
        </is>
      </c>
      <c r="B773" s="1" t="n">
        <v>44624.64538194444</v>
      </c>
      <c r="C773" s="1" t="n">
        <v>46075</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5129-2026</t>
        </is>
      </c>
      <c r="B774" s="1" t="n">
        <v>46049.58660879629</v>
      </c>
      <c r="C774" s="1" t="n">
        <v>46075</v>
      </c>
      <c r="D774" t="inlineStr">
        <is>
          <t>UPPSALA LÄN</t>
        </is>
      </c>
      <c r="E774" t="inlineStr">
        <is>
          <t>UPPSALA</t>
        </is>
      </c>
      <c r="G774" t="n">
        <v>4.4</v>
      </c>
      <c r="H774" t="n">
        <v>0</v>
      </c>
      <c r="I774" t="n">
        <v>0</v>
      </c>
      <c r="J774" t="n">
        <v>0</v>
      </c>
      <c r="K774" t="n">
        <v>0</v>
      </c>
      <c r="L774" t="n">
        <v>0</v>
      </c>
      <c r="M774" t="n">
        <v>0</v>
      </c>
      <c r="N774" t="n">
        <v>0</v>
      </c>
      <c r="O774" t="n">
        <v>0</v>
      </c>
      <c r="P774" t="n">
        <v>0</v>
      </c>
      <c r="Q774" t="n">
        <v>0</v>
      </c>
      <c r="R774" s="2" t="inlineStr"/>
    </row>
    <row r="775" ht="15" customHeight="1">
      <c r="A775" t="inlineStr">
        <is>
          <t>A 5687-2026</t>
        </is>
      </c>
      <c r="B775" s="1" t="n">
        <v>46051.48957175926</v>
      </c>
      <c r="C775" s="1" t="n">
        <v>46075</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5629-2026</t>
        </is>
      </c>
      <c r="B776" s="1" t="n">
        <v>46051</v>
      </c>
      <c r="C776" s="1" t="n">
        <v>46075</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4509-2024</t>
        </is>
      </c>
      <c r="B777" s="1" t="n">
        <v>45327</v>
      </c>
      <c r="C777" s="1" t="n">
        <v>46075</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19513-2023</t>
        </is>
      </c>
      <c r="B778" s="1" t="n">
        <v>45050.49392361111</v>
      </c>
      <c r="C778" s="1" t="n">
        <v>46075</v>
      </c>
      <c r="D778" t="inlineStr">
        <is>
          <t>UPPSALA LÄN</t>
        </is>
      </c>
      <c r="E778" t="inlineStr">
        <is>
          <t>UPPSALA</t>
        </is>
      </c>
      <c r="G778" t="n">
        <v>6.6</v>
      </c>
      <c r="H778" t="n">
        <v>0</v>
      </c>
      <c r="I778" t="n">
        <v>0</v>
      </c>
      <c r="J778" t="n">
        <v>0</v>
      </c>
      <c r="K778" t="n">
        <v>0</v>
      </c>
      <c r="L778" t="n">
        <v>0</v>
      </c>
      <c r="M778" t="n">
        <v>0</v>
      </c>
      <c r="N778" t="n">
        <v>0</v>
      </c>
      <c r="O778" t="n">
        <v>0</v>
      </c>
      <c r="P778" t="n">
        <v>0</v>
      </c>
      <c r="Q778" t="n">
        <v>0</v>
      </c>
      <c r="R778" s="2" t="inlineStr"/>
    </row>
    <row r="779" ht="15" customHeight="1">
      <c r="A779" t="inlineStr">
        <is>
          <t>A 17788-2023</t>
        </is>
      </c>
      <c r="B779" s="1" t="n">
        <v>45037</v>
      </c>
      <c r="C779" s="1" t="n">
        <v>46075</v>
      </c>
      <c r="D779" t="inlineStr">
        <is>
          <t>UPPSALA LÄN</t>
        </is>
      </c>
      <c r="E779" t="inlineStr">
        <is>
          <t>UPPSALA</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63059-2025</t>
        </is>
      </c>
      <c r="B780" s="1" t="n">
        <v>46009.63920138889</v>
      </c>
      <c r="C780" s="1" t="n">
        <v>46075</v>
      </c>
      <c r="D780" t="inlineStr">
        <is>
          <t>UPPSALA LÄN</t>
        </is>
      </c>
      <c r="E780" t="inlineStr">
        <is>
          <t>UPPSALA</t>
        </is>
      </c>
      <c r="G780" t="n">
        <v>15.4</v>
      </c>
      <c r="H780" t="n">
        <v>0</v>
      </c>
      <c r="I780" t="n">
        <v>0</v>
      </c>
      <c r="J780" t="n">
        <v>0</v>
      </c>
      <c r="K780" t="n">
        <v>0</v>
      </c>
      <c r="L780" t="n">
        <v>0</v>
      </c>
      <c r="M780" t="n">
        <v>0</v>
      </c>
      <c r="N780" t="n">
        <v>0</v>
      </c>
      <c r="O780" t="n">
        <v>0</v>
      </c>
      <c r="P780" t="n">
        <v>0</v>
      </c>
      <c r="Q780" t="n">
        <v>0</v>
      </c>
      <c r="R780" s="2" t="inlineStr"/>
    </row>
    <row r="781" ht="15" customHeight="1">
      <c r="A781" t="inlineStr">
        <is>
          <t>A 787-2024</t>
        </is>
      </c>
      <c r="B781" s="1" t="n">
        <v>45300</v>
      </c>
      <c r="C781" s="1" t="n">
        <v>46075</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70031-2021</t>
        </is>
      </c>
      <c r="B782" s="1" t="n">
        <v>44533.46665509259</v>
      </c>
      <c r="C782" s="1" t="n">
        <v>46075</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46075</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36782-2023</t>
        </is>
      </c>
      <c r="B784" s="1" t="n">
        <v>45154.35092592592</v>
      </c>
      <c r="C784" s="1" t="n">
        <v>46075</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6970-2025</t>
        </is>
      </c>
      <c r="B785" s="1" t="n">
        <v>45693</v>
      </c>
      <c r="C785" s="1" t="n">
        <v>46075</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6360-2026</t>
        </is>
      </c>
      <c r="B786" s="1" t="n">
        <v>46055.61907407407</v>
      </c>
      <c r="C786" s="1" t="n">
        <v>46075</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63527-2025</t>
        </is>
      </c>
      <c r="B787" s="1" t="n">
        <v>46013.55923611111</v>
      </c>
      <c r="C787" s="1" t="n">
        <v>46075</v>
      </c>
      <c r="D787" t="inlineStr">
        <is>
          <t>UPPSALA LÄN</t>
        </is>
      </c>
      <c r="E787" t="inlineStr">
        <is>
          <t>UPPSALA</t>
        </is>
      </c>
      <c r="G787" t="n">
        <v>6.3</v>
      </c>
      <c r="H787" t="n">
        <v>0</v>
      </c>
      <c r="I787" t="n">
        <v>0</v>
      </c>
      <c r="J787" t="n">
        <v>0</v>
      </c>
      <c r="K787" t="n">
        <v>0</v>
      </c>
      <c r="L787" t="n">
        <v>0</v>
      </c>
      <c r="M787" t="n">
        <v>0</v>
      </c>
      <c r="N787" t="n">
        <v>0</v>
      </c>
      <c r="O787" t="n">
        <v>0</v>
      </c>
      <c r="P787" t="n">
        <v>0</v>
      </c>
      <c r="Q787" t="n">
        <v>0</v>
      </c>
      <c r="R787" s="2" t="inlineStr"/>
    </row>
    <row r="788" ht="15" customHeight="1">
      <c r="A788" t="inlineStr">
        <is>
          <t>A 63534-2025</t>
        </is>
      </c>
      <c r="B788" s="1" t="n">
        <v>46013.57037037037</v>
      </c>
      <c r="C788" s="1" t="n">
        <v>46075</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5068-2025</t>
        </is>
      </c>
      <c r="B789" s="1" t="n">
        <v>45691</v>
      </c>
      <c r="C789" s="1" t="n">
        <v>46075</v>
      </c>
      <c r="D789" t="inlineStr">
        <is>
          <t>UPPSALA LÄN</t>
        </is>
      </c>
      <c r="E789" t="inlineStr">
        <is>
          <t>UPPSALA</t>
        </is>
      </c>
      <c r="G789" t="n">
        <v>5.9</v>
      </c>
      <c r="H789" t="n">
        <v>0</v>
      </c>
      <c r="I789" t="n">
        <v>0</v>
      </c>
      <c r="J789" t="n">
        <v>0</v>
      </c>
      <c r="K789" t="n">
        <v>0</v>
      </c>
      <c r="L789" t="n">
        <v>0</v>
      </c>
      <c r="M789" t="n">
        <v>0</v>
      </c>
      <c r="N789" t="n">
        <v>0</v>
      </c>
      <c r="O789" t="n">
        <v>0</v>
      </c>
      <c r="P789" t="n">
        <v>0</v>
      </c>
      <c r="Q789" t="n">
        <v>0</v>
      </c>
      <c r="R789" s="2" t="inlineStr"/>
    </row>
    <row r="790" ht="15" customHeight="1">
      <c r="A790" t="inlineStr">
        <is>
          <t>A 46635-2022</t>
        </is>
      </c>
      <c r="B790" s="1" t="n">
        <v>44849</v>
      </c>
      <c r="C790" s="1" t="n">
        <v>46075</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2897-2025</t>
        </is>
      </c>
      <c r="B791" s="1" t="n">
        <v>45677</v>
      </c>
      <c r="C791" s="1" t="n">
        <v>46075</v>
      </c>
      <c r="D791" t="inlineStr">
        <is>
          <t>UPPSALA LÄN</t>
        </is>
      </c>
      <c r="E791" t="inlineStr">
        <is>
          <t>UPPSALA</t>
        </is>
      </c>
      <c r="G791" t="n">
        <v>2.7</v>
      </c>
      <c r="H791" t="n">
        <v>0</v>
      </c>
      <c r="I791" t="n">
        <v>0</v>
      </c>
      <c r="J791" t="n">
        <v>0</v>
      </c>
      <c r="K791" t="n">
        <v>0</v>
      </c>
      <c r="L791" t="n">
        <v>0</v>
      </c>
      <c r="M791" t="n">
        <v>0</v>
      </c>
      <c r="N791" t="n">
        <v>0</v>
      </c>
      <c r="O791" t="n">
        <v>0</v>
      </c>
      <c r="P791" t="n">
        <v>0</v>
      </c>
      <c r="Q791" t="n">
        <v>0</v>
      </c>
      <c r="R791" s="2" t="inlineStr"/>
    </row>
    <row r="792" ht="15" customHeight="1">
      <c r="A792" t="inlineStr">
        <is>
          <t>A 17593-2025</t>
        </is>
      </c>
      <c r="B792" s="1" t="n">
        <v>45757.6997337963</v>
      </c>
      <c r="C792" s="1" t="n">
        <v>46075</v>
      </c>
      <c r="D792" t="inlineStr">
        <is>
          <t>UPPSALA LÄN</t>
        </is>
      </c>
      <c r="E792" t="inlineStr">
        <is>
          <t>UPPSALA</t>
        </is>
      </c>
      <c r="G792" t="n">
        <v>3.6</v>
      </c>
      <c r="H792" t="n">
        <v>0</v>
      </c>
      <c r="I792" t="n">
        <v>0</v>
      </c>
      <c r="J792" t="n">
        <v>0</v>
      </c>
      <c r="K792" t="n">
        <v>0</v>
      </c>
      <c r="L792" t="n">
        <v>0</v>
      </c>
      <c r="M792" t="n">
        <v>0</v>
      </c>
      <c r="N792" t="n">
        <v>0</v>
      </c>
      <c r="O792" t="n">
        <v>0</v>
      </c>
      <c r="P792" t="n">
        <v>0</v>
      </c>
      <c r="Q792" t="n">
        <v>0</v>
      </c>
      <c r="R792" s="2" t="inlineStr"/>
    </row>
    <row r="793" ht="15" customHeight="1">
      <c r="A793" t="inlineStr">
        <is>
          <t>A 17596-2025</t>
        </is>
      </c>
      <c r="B793" s="1" t="n">
        <v>45757</v>
      </c>
      <c r="C793" s="1" t="n">
        <v>46075</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63530-2025</t>
        </is>
      </c>
      <c r="B794" s="1" t="n">
        <v>46013.56292824074</v>
      </c>
      <c r="C794" s="1" t="n">
        <v>46075</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54512-2024</t>
        </is>
      </c>
      <c r="B795" s="1" t="n">
        <v>45617.59006944444</v>
      </c>
      <c r="C795" s="1" t="n">
        <v>46075</v>
      </c>
      <c r="D795" t="inlineStr">
        <is>
          <t>UPPSALA LÄN</t>
        </is>
      </c>
      <c r="E795" t="inlineStr">
        <is>
          <t>UPPSALA</t>
        </is>
      </c>
      <c r="G795" t="n">
        <v>3.2</v>
      </c>
      <c r="H795" t="n">
        <v>0</v>
      </c>
      <c r="I795" t="n">
        <v>0</v>
      </c>
      <c r="J795" t="n">
        <v>0</v>
      </c>
      <c r="K795" t="n">
        <v>0</v>
      </c>
      <c r="L795" t="n">
        <v>0</v>
      </c>
      <c r="M795" t="n">
        <v>0</v>
      </c>
      <c r="N795" t="n">
        <v>0</v>
      </c>
      <c r="O795" t="n">
        <v>0</v>
      </c>
      <c r="P795" t="n">
        <v>0</v>
      </c>
      <c r="Q795" t="n">
        <v>0</v>
      </c>
      <c r="R795" s="2" t="inlineStr"/>
    </row>
    <row r="796" ht="15" customHeight="1">
      <c r="A796" t="inlineStr">
        <is>
          <t>A 63389-2025</t>
        </is>
      </c>
      <c r="B796" s="1" t="n">
        <v>46011.70635416666</v>
      </c>
      <c r="C796" s="1" t="n">
        <v>46075</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8473-2023</t>
        </is>
      </c>
      <c r="B797" s="1" t="n">
        <v>44977</v>
      </c>
      <c r="C797" s="1" t="n">
        <v>46075</v>
      </c>
      <c r="D797" t="inlineStr">
        <is>
          <t>UPPSALA LÄN</t>
        </is>
      </c>
      <c r="E797" t="inlineStr">
        <is>
          <t>UPPSALA</t>
        </is>
      </c>
      <c r="F797" t="inlineStr">
        <is>
          <t>Holmen skog AB</t>
        </is>
      </c>
      <c r="G797" t="n">
        <v>3.6</v>
      </c>
      <c r="H797" t="n">
        <v>0</v>
      </c>
      <c r="I797" t="n">
        <v>0</v>
      </c>
      <c r="J797" t="n">
        <v>0</v>
      </c>
      <c r="K797" t="n">
        <v>0</v>
      </c>
      <c r="L797" t="n">
        <v>0</v>
      </c>
      <c r="M797" t="n">
        <v>0</v>
      </c>
      <c r="N797" t="n">
        <v>0</v>
      </c>
      <c r="O797" t="n">
        <v>0</v>
      </c>
      <c r="P797" t="n">
        <v>0</v>
      </c>
      <c r="Q797" t="n">
        <v>0</v>
      </c>
      <c r="R797" s="2" t="inlineStr"/>
    </row>
    <row r="798" ht="15" customHeight="1">
      <c r="A798" t="inlineStr">
        <is>
          <t>A 5814-2026</t>
        </is>
      </c>
      <c r="B798" s="1" t="n">
        <v>46051.88001157407</v>
      </c>
      <c r="C798" s="1" t="n">
        <v>46075</v>
      </c>
      <c r="D798" t="inlineStr">
        <is>
          <t>UPPSALA LÄN</t>
        </is>
      </c>
      <c r="E798" t="inlineStr">
        <is>
          <t>UPPSALA</t>
        </is>
      </c>
      <c r="F798" t="inlineStr">
        <is>
          <t>Kommuner</t>
        </is>
      </c>
      <c r="G798" t="n">
        <v>3.4</v>
      </c>
      <c r="H798" t="n">
        <v>0</v>
      </c>
      <c r="I798" t="n">
        <v>0</v>
      </c>
      <c r="J798" t="n">
        <v>0</v>
      </c>
      <c r="K798" t="n">
        <v>0</v>
      </c>
      <c r="L798" t="n">
        <v>0</v>
      </c>
      <c r="M798" t="n">
        <v>0</v>
      </c>
      <c r="N798" t="n">
        <v>0</v>
      </c>
      <c r="O798" t="n">
        <v>0</v>
      </c>
      <c r="P798" t="n">
        <v>0</v>
      </c>
      <c r="Q798" t="n">
        <v>0</v>
      </c>
      <c r="R798" s="2" t="inlineStr"/>
    </row>
    <row r="799" ht="15" customHeight="1">
      <c r="A799" t="inlineStr">
        <is>
          <t>A 63532-2025</t>
        </is>
      </c>
      <c r="B799" s="1" t="n">
        <v>46013.56641203703</v>
      </c>
      <c r="C799" s="1" t="n">
        <v>46075</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6187-2026</t>
        </is>
      </c>
      <c r="B800" s="1" t="n">
        <v>46055.36872685186</v>
      </c>
      <c r="C800" s="1" t="n">
        <v>46075</v>
      </c>
      <c r="D800" t="inlineStr">
        <is>
          <t>UPPSALA LÄN</t>
        </is>
      </c>
      <c r="E800" t="inlineStr">
        <is>
          <t>UPPSALA</t>
        </is>
      </c>
      <c r="F800" t="inlineStr">
        <is>
          <t>Allmännings- och besparingsskogar</t>
        </is>
      </c>
      <c r="G800" t="n">
        <v>10.6</v>
      </c>
      <c r="H800" t="n">
        <v>0</v>
      </c>
      <c r="I800" t="n">
        <v>0</v>
      </c>
      <c r="J800" t="n">
        <v>0</v>
      </c>
      <c r="K800" t="n">
        <v>0</v>
      </c>
      <c r="L800" t="n">
        <v>0</v>
      </c>
      <c r="M800" t="n">
        <v>0</v>
      </c>
      <c r="N800" t="n">
        <v>0</v>
      </c>
      <c r="O800" t="n">
        <v>0</v>
      </c>
      <c r="P800" t="n">
        <v>0</v>
      </c>
      <c r="Q800" t="n">
        <v>0</v>
      </c>
      <c r="R800" s="2" t="inlineStr"/>
    </row>
    <row r="801" ht="15" customHeight="1">
      <c r="A801" t="inlineStr">
        <is>
          <t>A 11739-2023</t>
        </is>
      </c>
      <c r="B801" s="1" t="n">
        <v>44993</v>
      </c>
      <c r="C801" s="1" t="n">
        <v>46075</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63669-2025</t>
        </is>
      </c>
      <c r="B802" s="1" t="n">
        <v>46014.45854166667</v>
      </c>
      <c r="C802" s="1" t="n">
        <v>46075</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21935-2023</t>
        </is>
      </c>
      <c r="B803" s="1" t="n">
        <v>45068.58563657408</v>
      </c>
      <c r="C803" s="1" t="n">
        <v>46075</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367-2023</t>
        </is>
      </c>
      <c r="B804" s="1" t="n">
        <v>44929</v>
      </c>
      <c r="C804" s="1" t="n">
        <v>46075</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63621-2025</t>
        </is>
      </c>
      <c r="B805" s="1" t="n">
        <v>46014.35287037037</v>
      </c>
      <c r="C805" s="1" t="n">
        <v>46075</v>
      </c>
      <c r="D805" t="inlineStr">
        <is>
          <t>UPPSALA LÄN</t>
        </is>
      </c>
      <c r="E805" t="inlineStr">
        <is>
          <t>UPPSALA</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7002-2026</t>
        </is>
      </c>
      <c r="B806" s="1" t="n">
        <v>46057.6280787037</v>
      </c>
      <c r="C806" s="1" t="n">
        <v>46075</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46069-2022</t>
        </is>
      </c>
      <c r="B807" s="1" t="n">
        <v>44847</v>
      </c>
      <c r="C807" s="1" t="n">
        <v>46075</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6991-2026</t>
        </is>
      </c>
      <c r="B808" s="1" t="n">
        <v>46057.60431712963</v>
      </c>
      <c r="C808" s="1" t="n">
        <v>46075</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50463-2024</t>
        </is>
      </c>
      <c r="B809" s="1" t="n">
        <v>45601</v>
      </c>
      <c r="C809" s="1" t="n">
        <v>46075</v>
      </c>
      <c r="D809" t="inlineStr">
        <is>
          <t>UPPSALA LÄN</t>
        </is>
      </c>
      <c r="E809" t="inlineStr">
        <is>
          <t>UPPSALA</t>
        </is>
      </c>
      <c r="F809" t="inlineStr">
        <is>
          <t>Allmännings- och besparingsskogar</t>
        </is>
      </c>
      <c r="G809" t="n">
        <v>12.6</v>
      </c>
      <c r="H809" t="n">
        <v>0</v>
      </c>
      <c r="I809" t="n">
        <v>0</v>
      </c>
      <c r="J809" t="n">
        <v>0</v>
      </c>
      <c r="K809" t="n">
        <v>0</v>
      </c>
      <c r="L809" t="n">
        <v>0</v>
      </c>
      <c r="M809" t="n">
        <v>0</v>
      </c>
      <c r="N809" t="n">
        <v>0</v>
      </c>
      <c r="O809" t="n">
        <v>0</v>
      </c>
      <c r="P809" t="n">
        <v>0</v>
      </c>
      <c r="Q809" t="n">
        <v>0</v>
      </c>
      <c r="R809" s="2" t="inlineStr"/>
    </row>
    <row r="810" ht="15" customHeight="1">
      <c r="A810" t="inlineStr">
        <is>
          <t>A 72224-2021</t>
        </is>
      </c>
      <c r="B810" s="1" t="n">
        <v>44544</v>
      </c>
      <c r="C810" s="1" t="n">
        <v>46075</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37626-2023</t>
        </is>
      </c>
      <c r="B811" s="1" t="n">
        <v>45159.45748842593</v>
      </c>
      <c r="C811" s="1" t="n">
        <v>46075</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56067-2024</t>
        </is>
      </c>
      <c r="B812" s="1" t="n">
        <v>45624</v>
      </c>
      <c r="C812" s="1" t="n">
        <v>46075</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7429-2026</t>
        </is>
      </c>
      <c r="B813" s="1" t="n">
        <v>46059.43493055556</v>
      </c>
      <c r="C813" s="1" t="n">
        <v>46075</v>
      </c>
      <c r="D813" t="inlineStr">
        <is>
          <t>UPPSALA LÄN</t>
        </is>
      </c>
      <c r="E813" t="inlineStr">
        <is>
          <t>UPPSALA</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7436-2026</t>
        </is>
      </c>
      <c r="B814" s="1" t="n">
        <v>46059.4413425926</v>
      </c>
      <c r="C814" s="1" t="n">
        <v>46075</v>
      </c>
      <c r="D814" t="inlineStr">
        <is>
          <t>UPPSALA LÄN</t>
        </is>
      </c>
      <c r="E814" t="inlineStr">
        <is>
          <t>UPPSALA</t>
        </is>
      </c>
      <c r="F814" t="inlineStr">
        <is>
          <t>Bergvik skog öst AB</t>
        </is>
      </c>
      <c r="G814" t="n">
        <v>2.9</v>
      </c>
      <c r="H814" t="n">
        <v>0</v>
      </c>
      <c r="I814" t="n">
        <v>0</v>
      </c>
      <c r="J814" t="n">
        <v>0</v>
      </c>
      <c r="K814" t="n">
        <v>0</v>
      </c>
      <c r="L814" t="n">
        <v>0</v>
      </c>
      <c r="M814" t="n">
        <v>0</v>
      </c>
      <c r="N814" t="n">
        <v>0</v>
      </c>
      <c r="O814" t="n">
        <v>0</v>
      </c>
      <c r="P814" t="n">
        <v>0</v>
      </c>
      <c r="Q814" t="n">
        <v>0</v>
      </c>
      <c r="R814" s="2" t="inlineStr"/>
    </row>
    <row r="815" ht="15" customHeight="1">
      <c r="A815" t="inlineStr">
        <is>
          <t>A 7555-2026</t>
        </is>
      </c>
      <c r="B815" s="1" t="n">
        <v>46059.76059027778</v>
      </c>
      <c r="C815" s="1" t="n">
        <v>46075</v>
      </c>
      <c r="D815" t="inlineStr">
        <is>
          <t>UPPSALA LÄN</t>
        </is>
      </c>
      <c r="E815" t="inlineStr">
        <is>
          <t>UPPSALA</t>
        </is>
      </c>
      <c r="F815" t="inlineStr">
        <is>
          <t>Bergvik skog öst AB</t>
        </is>
      </c>
      <c r="G815" t="n">
        <v>4.4</v>
      </c>
      <c r="H815" t="n">
        <v>0</v>
      </c>
      <c r="I815" t="n">
        <v>0</v>
      </c>
      <c r="J815" t="n">
        <v>0</v>
      </c>
      <c r="K815" t="n">
        <v>0</v>
      </c>
      <c r="L815" t="n">
        <v>0</v>
      </c>
      <c r="M815" t="n">
        <v>0</v>
      </c>
      <c r="N815" t="n">
        <v>0</v>
      </c>
      <c r="O815" t="n">
        <v>0</v>
      </c>
      <c r="P815" t="n">
        <v>0</v>
      </c>
      <c r="Q815" t="n">
        <v>0</v>
      </c>
      <c r="R815" s="2" t="inlineStr"/>
    </row>
    <row r="816" ht="15" customHeight="1">
      <c r="A816" t="inlineStr">
        <is>
          <t>A 7556-2026</t>
        </is>
      </c>
      <c r="B816" s="1" t="n">
        <v>46059.76631944445</v>
      </c>
      <c r="C816" s="1" t="n">
        <v>46075</v>
      </c>
      <c r="D816" t="inlineStr">
        <is>
          <t>UPPSALA LÄN</t>
        </is>
      </c>
      <c r="E816" t="inlineStr">
        <is>
          <t>UPPSALA</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33191-2023</t>
        </is>
      </c>
      <c r="B817" s="1" t="n">
        <v>45127</v>
      </c>
      <c r="C817" s="1" t="n">
        <v>46075</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50473-2023</t>
        </is>
      </c>
      <c r="B818" s="1" t="n">
        <v>45216</v>
      </c>
      <c r="C818" s="1" t="n">
        <v>46075</v>
      </c>
      <c r="D818" t="inlineStr">
        <is>
          <t>UPPSALA LÄN</t>
        </is>
      </c>
      <c r="E818" t="inlineStr">
        <is>
          <t>UPPSALA</t>
        </is>
      </c>
      <c r="F818" t="inlineStr">
        <is>
          <t>Allmännings- och besparingsskogar</t>
        </is>
      </c>
      <c r="G818" t="n">
        <v>7.6</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46075</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60056-2022</t>
        </is>
      </c>
      <c r="B820" s="1" t="n">
        <v>44909</v>
      </c>
      <c r="C820" s="1" t="n">
        <v>46075</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7866-2026</t>
        </is>
      </c>
      <c r="B821" s="1" t="n">
        <v>46062.73936342593</v>
      </c>
      <c r="C821" s="1" t="n">
        <v>46075</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7867-2026</t>
        </is>
      </c>
      <c r="B822" s="1" t="n">
        <v>46062.74180555555</v>
      </c>
      <c r="C822" s="1" t="n">
        <v>46075</v>
      </c>
      <c r="D822" t="inlineStr">
        <is>
          <t>UPPSALA LÄN</t>
        </is>
      </c>
      <c r="E822" t="inlineStr">
        <is>
          <t>UPPSALA</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53365-2024</t>
        </is>
      </c>
      <c r="B823" s="1" t="n">
        <v>45614</v>
      </c>
      <c r="C823" s="1" t="n">
        <v>46075</v>
      </c>
      <c r="D823" t="inlineStr">
        <is>
          <t>UPPSALA LÄN</t>
        </is>
      </c>
      <c r="E823" t="inlineStr">
        <is>
          <t>UPPSALA</t>
        </is>
      </c>
      <c r="F823" t="inlineStr">
        <is>
          <t>Allmännings- och besparingsskogar</t>
        </is>
      </c>
      <c r="G823" t="n">
        <v>6.6</v>
      </c>
      <c r="H823" t="n">
        <v>0</v>
      </c>
      <c r="I823" t="n">
        <v>0</v>
      </c>
      <c r="J823" t="n">
        <v>0</v>
      </c>
      <c r="K823" t="n">
        <v>0</v>
      </c>
      <c r="L823" t="n">
        <v>0</v>
      </c>
      <c r="M823" t="n">
        <v>0</v>
      </c>
      <c r="N823" t="n">
        <v>0</v>
      </c>
      <c r="O823" t="n">
        <v>0</v>
      </c>
      <c r="P823" t="n">
        <v>0</v>
      </c>
      <c r="Q823" t="n">
        <v>0</v>
      </c>
      <c r="R823" s="2" t="inlineStr"/>
    </row>
    <row r="824" ht="15" customHeight="1">
      <c r="A824" t="inlineStr">
        <is>
          <t>A 55275-2025</t>
        </is>
      </c>
      <c r="B824" s="1" t="n">
        <v>45968.76021990741</v>
      </c>
      <c r="C824" s="1" t="n">
        <v>46075</v>
      </c>
      <c r="D824" t="inlineStr">
        <is>
          <t>UPPSALA LÄN</t>
        </is>
      </c>
      <c r="E824" t="inlineStr">
        <is>
          <t>UPPSALA</t>
        </is>
      </c>
      <c r="F824" t="inlineStr">
        <is>
          <t>Allmännings- och besparingsskogar</t>
        </is>
      </c>
      <c r="G824" t="n">
        <v>13.2</v>
      </c>
      <c r="H824" t="n">
        <v>0</v>
      </c>
      <c r="I824" t="n">
        <v>0</v>
      </c>
      <c r="J824" t="n">
        <v>0</v>
      </c>
      <c r="K824" t="n">
        <v>0</v>
      </c>
      <c r="L824" t="n">
        <v>0</v>
      </c>
      <c r="M824" t="n">
        <v>0</v>
      </c>
      <c r="N824" t="n">
        <v>0</v>
      </c>
      <c r="O824" t="n">
        <v>0</v>
      </c>
      <c r="P824" t="n">
        <v>0</v>
      </c>
      <c r="Q824" t="n">
        <v>0</v>
      </c>
      <c r="R824" s="2" t="inlineStr"/>
    </row>
    <row r="825" ht="15" customHeight="1">
      <c r="A825" t="inlineStr">
        <is>
          <t>A 35142-2023</t>
        </is>
      </c>
      <c r="B825" s="1" t="n">
        <v>45145</v>
      </c>
      <c r="C825" s="1" t="n">
        <v>46075</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7865-2026</t>
        </is>
      </c>
      <c r="B826" s="1" t="n">
        <v>46062.73762731482</v>
      </c>
      <c r="C826" s="1" t="n">
        <v>46075</v>
      </c>
      <c r="D826" t="inlineStr">
        <is>
          <t>UPPSALA LÄN</t>
        </is>
      </c>
      <c r="E826" t="inlineStr">
        <is>
          <t>UPPSALA</t>
        </is>
      </c>
      <c r="F826" t="inlineStr">
        <is>
          <t>Bergvik skog öst AB</t>
        </is>
      </c>
      <c r="G826" t="n">
        <v>4.4</v>
      </c>
      <c r="H826" t="n">
        <v>0</v>
      </c>
      <c r="I826" t="n">
        <v>0</v>
      </c>
      <c r="J826" t="n">
        <v>0</v>
      </c>
      <c r="K826" t="n">
        <v>0</v>
      </c>
      <c r="L826" t="n">
        <v>0</v>
      </c>
      <c r="M826" t="n">
        <v>0</v>
      </c>
      <c r="N826" t="n">
        <v>0</v>
      </c>
      <c r="O826" t="n">
        <v>0</v>
      </c>
      <c r="P826" t="n">
        <v>0</v>
      </c>
      <c r="Q826" t="n">
        <v>0</v>
      </c>
      <c r="R826" s="2" t="inlineStr"/>
    </row>
    <row r="827" ht="15" customHeight="1">
      <c r="A827" t="inlineStr">
        <is>
          <t>A 73531-2021</t>
        </is>
      </c>
      <c r="B827" s="1" t="n">
        <v>44551.76711805556</v>
      </c>
      <c r="C827" s="1" t="n">
        <v>46075</v>
      </c>
      <c r="D827" t="inlineStr">
        <is>
          <t>UPPSALA LÄN</t>
        </is>
      </c>
      <c r="E827" t="inlineStr">
        <is>
          <t>UPPSALA</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46075</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8500-2026</t>
        </is>
      </c>
      <c r="B829" s="1" t="n">
        <v>46065.50152777778</v>
      </c>
      <c r="C829" s="1" t="n">
        <v>46075</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8364-2026</t>
        </is>
      </c>
      <c r="B830" s="1" t="n">
        <v>46064</v>
      </c>
      <c r="C830" s="1" t="n">
        <v>46075</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8377-2026</t>
        </is>
      </c>
      <c r="B831" s="1" t="n">
        <v>46064.78336805556</v>
      </c>
      <c r="C831" s="1" t="n">
        <v>46075</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6677-2024</t>
        </is>
      </c>
      <c r="B832" s="1" t="n">
        <v>45341</v>
      </c>
      <c r="C832" s="1" t="n">
        <v>46075</v>
      </c>
      <c r="D832" t="inlineStr">
        <is>
          <t>UPPSALA LÄN</t>
        </is>
      </c>
      <c r="E832" t="inlineStr">
        <is>
          <t>UPPSALA</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8582-2026</t>
        </is>
      </c>
      <c r="B833" s="1" t="n">
        <v>46065.72112268519</v>
      </c>
      <c r="C833" s="1" t="n">
        <v>46075</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8498-2026</t>
        </is>
      </c>
      <c r="B834" s="1" t="n">
        <v>46065.49472222223</v>
      </c>
      <c r="C834" s="1" t="n">
        <v>46075</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13526-2023</t>
        </is>
      </c>
      <c r="B835" s="1" t="n">
        <v>45006</v>
      </c>
      <c r="C835" s="1" t="n">
        <v>46075</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47221-2023</t>
        </is>
      </c>
      <c r="B836" s="1" t="n">
        <v>45202</v>
      </c>
      <c r="C836" s="1" t="n">
        <v>46075</v>
      </c>
      <c r="D836" t="inlineStr">
        <is>
          <t>UPPSALA LÄN</t>
        </is>
      </c>
      <c r="E836" t="inlineStr">
        <is>
          <t>UPPSALA</t>
        </is>
      </c>
      <c r="G836" t="n">
        <v>8.6</v>
      </c>
      <c r="H836" t="n">
        <v>0</v>
      </c>
      <c r="I836" t="n">
        <v>0</v>
      </c>
      <c r="J836" t="n">
        <v>0</v>
      </c>
      <c r="K836" t="n">
        <v>0</v>
      </c>
      <c r="L836" t="n">
        <v>0</v>
      </c>
      <c r="M836" t="n">
        <v>0</v>
      </c>
      <c r="N836" t="n">
        <v>0</v>
      </c>
      <c r="O836" t="n">
        <v>0</v>
      </c>
      <c r="P836" t="n">
        <v>0</v>
      </c>
      <c r="Q836" t="n">
        <v>0</v>
      </c>
      <c r="R836" s="2" t="inlineStr"/>
    </row>
    <row r="837" ht="15" customHeight="1">
      <c r="A837" t="inlineStr">
        <is>
          <t>A 27442-2024</t>
        </is>
      </c>
      <c r="B837" s="1" t="n">
        <v>45474.41729166666</v>
      </c>
      <c r="C837" s="1" t="n">
        <v>46075</v>
      </c>
      <c r="D837" t="inlineStr">
        <is>
          <t>UPPSALA LÄN</t>
        </is>
      </c>
      <c r="E837" t="inlineStr">
        <is>
          <t>UPPSALA</t>
        </is>
      </c>
      <c r="F837" t="inlineStr">
        <is>
          <t>Holmen skog AB</t>
        </is>
      </c>
      <c r="G837" t="n">
        <v>2.6</v>
      </c>
      <c r="H837" t="n">
        <v>0</v>
      </c>
      <c r="I837" t="n">
        <v>0</v>
      </c>
      <c r="J837" t="n">
        <v>0</v>
      </c>
      <c r="K837" t="n">
        <v>0</v>
      </c>
      <c r="L837" t="n">
        <v>0</v>
      </c>
      <c r="M837" t="n">
        <v>0</v>
      </c>
      <c r="N837" t="n">
        <v>0</v>
      </c>
      <c r="O837" t="n">
        <v>0</v>
      </c>
      <c r="P837" t="n">
        <v>0</v>
      </c>
      <c r="Q837" t="n">
        <v>0</v>
      </c>
      <c r="R837" s="2" t="inlineStr"/>
    </row>
    <row r="838" ht="15" customHeight="1">
      <c r="A838" t="inlineStr">
        <is>
          <t>A 3040-2023</t>
        </is>
      </c>
      <c r="B838" s="1" t="n">
        <v>44946</v>
      </c>
      <c r="C838" s="1" t="n">
        <v>46075</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66983-2021</t>
        </is>
      </c>
      <c r="B839" s="1" t="n">
        <v>44522</v>
      </c>
      <c r="C839" s="1" t="n">
        <v>46075</v>
      </c>
      <c r="D839" t="inlineStr">
        <is>
          <t>UPPSALA LÄN</t>
        </is>
      </c>
      <c r="E839" t="inlineStr">
        <is>
          <t>UPPSALA</t>
        </is>
      </c>
      <c r="G839" t="n">
        <v>2.5</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46075</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5028-2022</t>
        </is>
      </c>
      <c r="B841" s="1" t="n">
        <v>44593.64863425926</v>
      </c>
      <c r="C841" s="1" t="n">
        <v>46075</v>
      </c>
      <c r="D841" t="inlineStr">
        <is>
          <t>UPPSALA LÄN</t>
        </is>
      </c>
      <c r="E841" t="inlineStr">
        <is>
          <t>UPPSALA</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36479-2023</t>
        </is>
      </c>
      <c r="B842" s="1" t="n">
        <v>45152</v>
      </c>
      <c r="C842" s="1" t="n">
        <v>46075</v>
      </c>
      <c r="D842" t="inlineStr">
        <is>
          <t>UPPSALA LÄN</t>
        </is>
      </c>
      <c r="E842" t="inlineStr">
        <is>
          <t>UPPSALA</t>
        </is>
      </c>
      <c r="F842" t="inlineStr">
        <is>
          <t>Allmännings- och besparingsskogar</t>
        </is>
      </c>
      <c r="G842" t="n">
        <v>3.4</v>
      </c>
      <c r="H842" t="n">
        <v>0</v>
      </c>
      <c r="I842" t="n">
        <v>0</v>
      </c>
      <c r="J842" t="n">
        <v>0</v>
      </c>
      <c r="K842" t="n">
        <v>0</v>
      </c>
      <c r="L842" t="n">
        <v>0</v>
      </c>
      <c r="M842" t="n">
        <v>0</v>
      </c>
      <c r="N842" t="n">
        <v>0</v>
      </c>
      <c r="O842" t="n">
        <v>0</v>
      </c>
      <c r="P842" t="n">
        <v>0</v>
      </c>
      <c r="Q842" t="n">
        <v>0</v>
      </c>
      <c r="R842" s="2" t="inlineStr"/>
    </row>
    <row r="843" ht="15" customHeight="1">
      <c r="A843" t="inlineStr">
        <is>
          <t>A 600-2024</t>
        </is>
      </c>
      <c r="B843" s="1" t="n">
        <v>45299</v>
      </c>
      <c r="C843" s="1" t="n">
        <v>46075</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37819-2021</t>
        </is>
      </c>
      <c r="B844" s="1" t="n">
        <v>44403.29719907408</v>
      </c>
      <c r="C844" s="1" t="n">
        <v>46075</v>
      </c>
      <c r="D844" t="inlineStr">
        <is>
          <t>UPPSALA LÄN</t>
        </is>
      </c>
      <c r="E844" t="inlineStr">
        <is>
          <t>UPPSALA</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60003-2024</t>
        </is>
      </c>
      <c r="B845" s="1" t="n">
        <v>45642</v>
      </c>
      <c r="C845" s="1" t="n">
        <v>46075</v>
      </c>
      <c r="D845" t="inlineStr">
        <is>
          <t>UPPSALA LÄN</t>
        </is>
      </c>
      <c r="E845" t="inlineStr">
        <is>
          <t>UPPSALA</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1838-2024</t>
        </is>
      </c>
      <c r="B846" s="1" t="n">
        <v>45307</v>
      </c>
      <c r="C846" s="1" t="n">
        <v>46075</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8109-2024</t>
        </is>
      </c>
      <c r="B847" s="1" t="n">
        <v>45351.48662037037</v>
      </c>
      <c r="C847" s="1" t="n">
        <v>46075</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11201-2024</t>
        </is>
      </c>
      <c r="B848" s="1" t="n">
        <v>45371</v>
      </c>
      <c r="C848" s="1" t="n">
        <v>46075</v>
      </c>
      <c r="D848" t="inlineStr">
        <is>
          <t>UPPSALA LÄN</t>
        </is>
      </c>
      <c r="E848" t="inlineStr">
        <is>
          <t>UPPSALA</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29145-2021</t>
        </is>
      </c>
      <c r="B849" s="1" t="n">
        <v>44358.63490740741</v>
      </c>
      <c r="C849" s="1" t="n">
        <v>46075</v>
      </c>
      <c r="D849" t="inlineStr">
        <is>
          <t>UPPSALA LÄN</t>
        </is>
      </c>
      <c r="E849" t="inlineStr">
        <is>
          <t>UPPSALA</t>
        </is>
      </c>
      <c r="G849" t="n">
        <v>2.4</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44908.425625</v>
      </c>
      <c r="C850" s="1" t="n">
        <v>46075</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38934-2023</t>
        </is>
      </c>
      <c r="B851" s="1" t="n">
        <v>45163.59913194444</v>
      </c>
      <c r="C851" s="1" t="n">
        <v>46075</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42681-2023</t>
        </is>
      </c>
      <c r="B852" s="1" t="n">
        <v>45181.58055555556</v>
      </c>
      <c r="C852" s="1" t="n">
        <v>46075</v>
      </c>
      <c r="D852" t="inlineStr">
        <is>
          <t>UPPSALA LÄN</t>
        </is>
      </c>
      <c r="E852" t="inlineStr">
        <is>
          <t>UPPSALA</t>
        </is>
      </c>
      <c r="F852" t="inlineStr">
        <is>
          <t>Bergvik skog öst AB</t>
        </is>
      </c>
      <c r="G852" t="n">
        <v>3.1</v>
      </c>
      <c r="H852" t="n">
        <v>0</v>
      </c>
      <c r="I852" t="n">
        <v>0</v>
      </c>
      <c r="J852" t="n">
        <v>0</v>
      </c>
      <c r="K852" t="n">
        <v>0</v>
      </c>
      <c r="L852" t="n">
        <v>0</v>
      </c>
      <c r="M852" t="n">
        <v>0</v>
      </c>
      <c r="N852" t="n">
        <v>0</v>
      </c>
      <c r="O852" t="n">
        <v>0</v>
      </c>
      <c r="P852" t="n">
        <v>0</v>
      </c>
      <c r="Q852" t="n">
        <v>0</v>
      </c>
      <c r="R852" s="2" t="inlineStr"/>
    </row>
    <row r="853" ht="15" customHeight="1">
      <c r="A853" t="inlineStr">
        <is>
          <t>A 482-2026</t>
        </is>
      </c>
      <c r="B853" s="1" t="n">
        <v>46029.40886574074</v>
      </c>
      <c r="C853" s="1" t="n">
        <v>46075</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33941-2023</t>
        </is>
      </c>
      <c r="B854" s="1" t="n">
        <v>45134.57021990741</v>
      </c>
      <c r="C854" s="1" t="n">
        <v>46075</v>
      </c>
      <c r="D854" t="inlineStr">
        <is>
          <t>UPPSALA LÄN</t>
        </is>
      </c>
      <c r="E854" t="inlineStr">
        <is>
          <t>UPPSALA</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50954-2022</t>
        </is>
      </c>
      <c r="B855" s="1" t="n">
        <v>44866</v>
      </c>
      <c r="C855" s="1" t="n">
        <v>46075</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36392-2023</t>
        </is>
      </c>
      <c r="B856" s="1" t="n">
        <v>45152</v>
      </c>
      <c r="C856" s="1" t="n">
        <v>46075</v>
      </c>
      <c r="D856" t="inlineStr">
        <is>
          <t>UPPSALA LÄN</t>
        </is>
      </c>
      <c r="E856" t="inlineStr">
        <is>
          <t>UPPSALA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968-2026</t>
        </is>
      </c>
      <c r="B857" s="1" t="n">
        <v>46030.56152777778</v>
      </c>
      <c r="C857" s="1" t="n">
        <v>46075</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6630-2024</t>
        </is>
      </c>
      <c r="B858" s="1" t="n">
        <v>45341.63811342593</v>
      </c>
      <c r="C858" s="1" t="n">
        <v>46075</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22431-2024</t>
        </is>
      </c>
      <c r="B859" s="1" t="n">
        <v>45446.78256944445</v>
      </c>
      <c r="C859" s="1" t="n">
        <v>46075</v>
      </c>
      <c r="D859" t="inlineStr">
        <is>
          <t>UPPSALA LÄN</t>
        </is>
      </c>
      <c r="E859" t="inlineStr">
        <is>
          <t>UPPSALA</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1390-2026</t>
        </is>
      </c>
      <c r="B860" s="1" t="n">
        <v>46031.63210648148</v>
      </c>
      <c r="C860" s="1" t="n">
        <v>46075</v>
      </c>
      <c r="D860" t="inlineStr">
        <is>
          <t>UPPSALA LÄN</t>
        </is>
      </c>
      <c r="E860" t="inlineStr">
        <is>
          <t>UPPSALA</t>
        </is>
      </c>
      <c r="G860" t="n">
        <v>7.9</v>
      </c>
      <c r="H860" t="n">
        <v>0</v>
      </c>
      <c r="I860" t="n">
        <v>0</v>
      </c>
      <c r="J860" t="n">
        <v>0</v>
      </c>
      <c r="K860" t="n">
        <v>0</v>
      </c>
      <c r="L860" t="n">
        <v>0</v>
      </c>
      <c r="M860" t="n">
        <v>0</v>
      </c>
      <c r="N860" t="n">
        <v>0</v>
      </c>
      <c r="O860" t="n">
        <v>0</v>
      </c>
      <c r="P860" t="n">
        <v>0</v>
      </c>
      <c r="Q860" t="n">
        <v>0</v>
      </c>
      <c r="R860" s="2" t="inlineStr"/>
    </row>
    <row r="861" ht="15" customHeight="1">
      <c r="A861" t="inlineStr">
        <is>
          <t>A 34114-2024</t>
        </is>
      </c>
      <c r="B861" s="1" t="n">
        <v>45524</v>
      </c>
      <c r="C861" s="1" t="n">
        <v>46075</v>
      </c>
      <c r="D861" t="inlineStr">
        <is>
          <t>UPPSALA LÄN</t>
        </is>
      </c>
      <c r="E861" t="inlineStr">
        <is>
          <t>UPPSALA</t>
        </is>
      </c>
      <c r="F861" t="inlineStr">
        <is>
          <t>Allmännings- och besparingsskogar</t>
        </is>
      </c>
      <c r="G861" t="n">
        <v>1.3</v>
      </c>
      <c r="H861" t="n">
        <v>0</v>
      </c>
      <c r="I861" t="n">
        <v>0</v>
      </c>
      <c r="J861" t="n">
        <v>0</v>
      </c>
      <c r="K861" t="n">
        <v>0</v>
      </c>
      <c r="L861" t="n">
        <v>0</v>
      </c>
      <c r="M861" t="n">
        <v>0</v>
      </c>
      <c r="N861" t="n">
        <v>0</v>
      </c>
      <c r="O861" t="n">
        <v>0</v>
      </c>
      <c r="P861" t="n">
        <v>0</v>
      </c>
      <c r="Q861" t="n">
        <v>0</v>
      </c>
      <c r="R861" s="2" t="inlineStr"/>
    </row>
    <row r="862" ht="15" customHeight="1">
      <c r="A862" t="inlineStr">
        <is>
          <t>A 918-2026</t>
        </is>
      </c>
      <c r="B862" s="1" t="n">
        <v>46030</v>
      </c>
      <c r="C862" s="1" t="n">
        <v>46075</v>
      </c>
      <c r="D862" t="inlineStr">
        <is>
          <t>UPPSALA LÄN</t>
        </is>
      </c>
      <c r="E862" t="inlineStr">
        <is>
          <t>UPPSALA</t>
        </is>
      </c>
      <c r="F862" t="inlineStr">
        <is>
          <t>Övriga statliga verk och myndigheter</t>
        </is>
      </c>
      <c r="G862" t="n">
        <v>15.1</v>
      </c>
      <c r="H862" t="n">
        <v>0</v>
      </c>
      <c r="I862" t="n">
        <v>0</v>
      </c>
      <c r="J862" t="n">
        <v>0</v>
      </c>
      <c r="K862" t="n">
        <v>0</v>
      </c>
      <c r="L862" t="n">
        <v>0</v>
      </c>
      <c r="M862" t="n">
        <v>0</v>
      </c>
      <c r="N862" t="n">
        <v>0</v>
      </c>
      <c r="O862" t="n">
        <v>0</v>
      </c>
      <c r="P862" t="n">
        <v>0</v>
      </c>
      <c r="Q862" t="n">
        <v>0</v>
      </c>
      <c r="R862" s="2" t="inlineStr"/>
    </row>
    <row r="863" ht="15" customHeight="1">
      <c r="A863" t="inlineStr">
        <is>
          <t>A 7276-2024</t>
        </is>
      </c>
      <c r="B863" s="1" t="n">
        <v>45344</v>
      </c>
      <c r="C863" s="1" t="n">
        <v>46075</v>
      </c>
      <c r="D863" t="inlineStr">
        <is>
          <t>UPPSALA LÄN</t>
        </is>
      </c>
      <c r="E863" t="inlineStr">
        <is>
          <t>UPPSALA</t>
        </is>
      </c>
      <c r="F863" t="inlineStr">
        <is>
          <t>Bergvik skog öst AB</t>
        </is>
      </c>
      <c r="G863" t="n">
        <v>0.2</v>
      </c>
      <c r="H863" t="n">
        <v>0</v>
      </c>
      <c r="I863" t="n">
        <v>0</v>
      </c>
      <c r="J863" t="n">
        <v>0</v>
      </c>
      <c r="K863" t="n">
        <v>0</v>
      </c>
      <c r="L863" t="n">
        <v>0</v>
      </c>
      <c r="M863" t="n">
        <v>0</v>
      </c>
      <c r="N863" t="n">
        <v>0</v>
      </c>
      <c r="O863" t="n">
        <v>0</v>
      </c>
      <c r="P863" t="n">
        <v>0</v>
      </c>
      <c r="Q863" t="n">
        <v>0</v>
      </c>
      <c r="R863" s="2" t="inlineStr"/>
    </row>
    <row r="864" ht="15" customHeight="1">
      <c r="A864" t="inlineStr">
        <is>
          <t>A 39608-2022</t>
        </is>
      </c>
      <c r="B864" s="1" t="n">
        <v>44817</v>
      </c>
      <c r="C864" s="1" t="n">
        <v>46075</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11162-2022</t>
        </is>
      </c>
      <c r="B865" s="1" t="n">
        <v>44629.42423611111</v>
      </c>
      <c r="C865" s="1" t="n">
        <v>46075</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1731-2022</t>
        </is>
      </c>
      <c r="B866" s="1" t="n">
        <v>44574</v>
      </c>
      <c r="C866" s="1" t="n">
        <v>46075</v>
      </c>
      <c r="D866" t="inlineStr">
        <is>
          <t>UPPSALA LÄN</t>
        </is>
      </c>
      <c r="E866" t="inlineStr">
        <is>
          <t>UPPSALA</t>
        </is>
      </c>
      <c r="G866" t="n">
        <v>10.1</v>
      </c>
      <c r="H866" t="n">
        <v>0</v>
      </c>
      <c r="I866" t="n">
        <v>0</v>
      </c>
      <c r="J866" t="n">
        <v>0</v>
      </c>
      <c r="K866" t="n">
        <v>0</v>
      </c>
      <c r="L866" t="n">
        <v>0</v>
      </c>
      <c r="M866" t="n">
        <v>0</v>
      </c>
      <c r="N866" t="n">
        <v>0</v>
      </c>
      <c r="O866" t="n">
        <v>0</v>
      </c>
      <c r="P866" t="n">
        <v>0</v>
      </c>
      <c r="Q866" t="n">
        <v>0</v>
      </c>
      <c r="R866" s="2" t="inlineStr"/>
    </row>
    <row r="867" ht="15" customHeight="1">
      <c r="A867" t="inlineStr">
        <is>
          <t>A 27068-2023</t>
        </is>
      </c>
      <c r="B867" s="1" t="n">
        <v>45096</v>
      </c>
      <c r="C867" s="1" t="n">
        <v>46075</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46075</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43-2024</t>
        </is>
      </c>
      <c r="B869" s="1" t="n">
        <v>45293</v>
      </c>
      <c r="C869" s="1" t="n">
        <v>46075</v>
      </c>
      <c r="D869" t="inlineStr">
        <is>
          <t>UPPSALA LÄN</t>
        </is>
      </c>
      <c r="E869" t="inlineStr">
        <is>
          <t>UPPSALA</t>
        </is>
      </c>
      <c r="G869" t="n">
        <v>2.8</v>
      </c>
      <c r="H869" t="n">
        <v>0</v>
      </c>
      <c r="I869" t="n">
        <v>0</v>
      </c>
      <c r="J869" t="n">
        <v>0</v>
      </c>
      <c r="K869" t="n">
        <v>0</v>
      </c>
      <c r="L869" t="n">
        <v>0</v>
      </c>
      <c r="M869" t="n">
        <v>0</v>
      </c>
      <c r="N869" t="n">
        <v>0</v>
      </c>
      <c r="O869" t="n">
        <v>0</v>
      </c>
      <c r="P869" t="n">
        <v>0</v>
      </c>
      <c r="Q869" t="n">
        <v>0</v>
      </c>
      <c r="R869" s="2" t="inlineStr"/>
    </row>
    <row r="870" ht="15" customHeight="1">
      <c r="A870" t="inlineStr">
        <is>
          <t>A 62044-2024</t>
        </is>
      </c>
      <c r="B870" s="1" t="n">
        <v>45656</v>
      </c>
      <c r="C870" s="1" t="n">
        <v>46075</v>
      </c>
      <c r="D870" t="inlineStr">
        <is>
          <t>UPPSALA LÄN</t>
        </is>
      </c>
      <c r="E870" t="inlineStr">
        <is>
          <t>UPPSALA</t>
        </is>
      </c>
      <c r="F870" t="inlineStr">
        <is>
          <t>Övriga statliga verk och myndigheter</t>
        </is>
      </c>
      <c r="G870" t="n">
        <v>11.6</v>
      </c>
      <c r="H870" t="n">
        <v>0</v>
      </c>
      <c r="I870" t="n">
        <v>0</v>
      </c>
      <c r="J870" t="n">
        <v>0</v>
      </c>
      <c r="K870" t="n">
        <v>0</v>
      </c>
      <c r="L870" t="n">
        <v>0</v>
      </c>
      <c r="M870" t="n">
        <v>0</v>
      </c>
      <c r="N870" t="n">
        <v>0</v>
      </c>
      <c r="O870" t="n">
        <v>0</v>
      </c>
      <c r="P870" t="n">
        <v>0</v>
      </c>
      <c r="Q870" t="n">
        <v>0</v>
      </c>
      <c r="R870" s="2" t="inlineStr"/>
    </row>
    <row r="871" ht="15" customHeight="1">
      <c r="A871" t="inlineStr">
        <is>
          <t>A 17587-2025</t>
        </is>
      </c>
      <c r="B871" s="1" t="n">
        <v>45757.67611111111</v>
      </c>
      <c r="C871" s="1" t="n">
        <v>46075</v>
      </c>
      <c r="D871" t="inlineStr">
        <is>
          <t>UPPSALA LÄN</t>
        </is>
      </c>
      <c r="E871" t="inlineStr">
        <is>
          <t>UPPSALA</t>
        </is>
      </c>
      <c r="G871" t="n">
        <v>2.4</v>
      </c>
      <c r="H871" t="n">
        <v>0</v>
      </c>
      <c r="I871" t="n">
        <v>0</v>
      </c>
      <c r="J871" t="n">
        <v>0</v>
      </c>
      <c r="K871" t="n">
        <v>0</v>
      </c>
      <c r="L871" t="n">
        <v>0</v>
      </c>
      <c r="M871" t="n">
        <v>0</v>
      </c>
      <c r="N871" t="n">
        <v>0</v>
      </c>
      <c r="O871" t="n">
        <v>0</v>
      </c>
      <c r="P871" t="n">
        <v>0</v>
      </c>
      <c r="Q871" t="n">
        <v>0</v>
      </c>
      <c r="R871" s="2" t="inlineStr"/>
    </row>
    <row r="872" ht="15" customHeight="1">
      <c r="A872" t="inlineStr">
        <is>
          <t>A 74495-2021</t>
        </is>
      </c>
      <c r="B872" s="1" t="n">
        <v>44560</v>
      </c>
      <c r="C872" s="1" t="n">
        <v>46075</v>
      </c>
      <c r="D872" t="inlineStr">
        <is>
          <t>UPPSALA LÄN</t>
        </is>
      </c>
      <c r="E872" t="inlineStr">
        <is>
          <t>UPPSALA</t>
        </is>
      </c>
      <c r="G872" t="n">
        <v>1.9</v>
      </c>
      <c r="H872" t="n">
        <v>0</v>
      </c>
      <c r="I872" t="n">
        <v>0</v>
      </c>
      <c r="J872" t="n">
        <v>0</v>
      </c>
      <c r="K872" t="n">
        <v>0</v>
      </c>
      <c r="L872" t="n">
        <v>0</v>
      </c>
      <c r="M872" t="n">
        <v>0</v>
      </c>
      <c r="N872" t="n">
        <v>0</v>
      </c>
      <c r="O872" t="n">
        <v>0</v>
      </c>
      <c r="P872" t="n">
        <v>0</v>
      </c>
      <c r="Q872" t="n">
        <v>0</v>
      </c>
      <c r="R872" s="2" t="inlineStr"/>
    </row>
    <row r="873" ht="15" customHeight="1">
      <c r="A873" t="inlineStr">
        <is>
          <t>A 46920-2021</t>
        </is>
      </c>
      <c r="B873" s="1" t="n">
        <v>44446</v>
      </c>
      <c r="C873" s="1" t="n">
        <v>46075</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5189-2022</t>
        </is>
      </c>
      <c r="B874" s="1" t="n">
        <v>44594</v>
      </c>
      <c r="C874" s="1" t="n">
        <v>46075</v>
      </c>
      <c r="D874" t="inlineStr">
        <is>
          <t>UPPSALA LÄN</t>
        </is>
      </c>
      <c r="E874" t="inlineStr">
        <is>
          <t>UPPSALA</t>
        </is>
      </c>
      <c r="G874" t="n">
        <v>5.9</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46075</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18677-2024</t>
        </is>
      </c>
      <c r="B876" s="1" t="n">
        <v>45426</v>
      </c>
      <c r="C876" s="1" t="n">
        <v>46075</v>
      </c>
      <c r="D876" t="inlineStr">
        <is>
          <t>UPPSALA LÄN</t>
        </is>
      </c>
      <c r="E876" t="inlineStr">
        <is>
          <t>UPPSALA</t>
        </is>
      </c>
      <c r="G876" t="n">
        <v>2.8</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44912.29869212963</v>
      </c>
      <c r="C877" s="1" t="n">
        <v>46075</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44967.55960648148</v>
      </c>
      <c r="C878" s="1" t="n">
        <v>46075</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8877-2022</t>
        </is>
      </c>
      <c r="B879" s="1" t="n">
        <v>44614.59027777778</v>
      </c>
      <c r="C879" s="1" t="n">
        <v>46075</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554-2023</t>
        </is>
      </c>
      <c r="B880" s="1" t="n">
        <v>44930</v>
      </c>
      <c r="C880" s="1" t="n">
        <v>46075</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27903-2023</t>
        </is>
      </c>
      <c r="B881" s="1" t="n">
        <v>45098.62966435185</v>
      </c>
      <c r="C881" s="1" t="n">
        <v>46075</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17250-2025</t>
        </is>
      </c>
      <c r="B882" s="1" t="n">
        <v>45756.50738425926</v>
      </c>
      <c r="C882" s="1" t="n">
        <v>46075</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14784-2023</t>
        </is>
      </c>
      <c r="B883" s="1" t="n">
        <v>45014</v>
      </c>
      <c r="C883" s="1" t="n">
        <v>46075</v>
      </c>
      <c r="D883" t="inlineStr">
        <is>
          <t>UPPSALA LÄN</t>
        </is>
      </c>
      <c r="E883" t="inlineStr">
        <is>
          <t>UPPSALA</t>
        </is>
      </c>
      <c r="G883" t="n">
        <v>4.7</v>
      </c>
      <c r="H883" t="n">
        <v>0</v>
      </c>
      <c r="I883" t="n">
        <v>0</v>
      </c>
      <c r="J883" t="n">
        <v>0</v>
      </c>
      <c r="K883" t="n">
        <v>0</v>
      </c>
      <c r="L883" t="n">
        <v>0</v>
      </c>
      <c r="M883" t="n">
        <v>0</v>
      </c>
      <c r="N883" t="n">
        <v>0</v>
      </c>
      <c r="O883" t="n">
        <v>0</v>
      </c>
      <c r="P883" t="n">
        <v>0</v>
      </c>
      <c r="Q883" t="n">
        <v>0</v>
      </c>
      <c r="R883" s="2" t="inlineStr"/>
    </row>
    <row r="884" ht="15" customHeight="1">
      <c r="A884" t="inlineStr">
        <is>
          <t>A 41422-2023</t>
        </is>
      </c>
      <c r="B884" s="1" t="n">
        <v>45175</v>
      </c>
      <c r="C884" s="1" t="n">
        <v>46075</v>
      </c>
      <c r="D884" t="inlineStr">
        <is>
          <t>UPPSALA LÄN</t>
        </is>
      </c>
      <c r="E884" t="inlineStr">
        <is>
          <t>UPPSALA</t>
        </is>
      </c>
      <c r="F884" t="inlineStr">
        <is>
          <t>Kyrkan</t>
        </is>
      </c>
      <c r="G884" t="n">
        <v>5.2</v>
      </c>
      <c r="H884" t="n">
        <v>0</v>
      </c>
      <c r="I884" t="n">
        <v>0</v>
      </c>
      <c r="J884" t="n">
        <v>0</v>
      </c>
      <c r="K884" t="n">
        <v>0</v>
      </c>
      <c r="L884" t="n">
        <v>0</v>
      </c>
      <c r="M884" t="n">
        <v>0</v>
      </c>
      <c r="N884" t="n">
        <v>0</v>
      </c>
      <c r="O884" t="n">
        <v>0</v>
      </c>
      <c r="P884" t="n">
        <v>0</v>
      </c>
      <c r="Q884" t="n">
        <v>0</v>
      </c>
      <c r="R884" s="2" t="inlineStr"/>
    </row>
    <row r="885" ht="15" customHeight="1">
      <c r="A885" t="inlineStr">
        <is>
          <t>A 27473-2024</t>
        </is>
      </c>
      <c r="B885" s="1" t="n">
        <v>45474</v>
      </c>
      <c r="C885" s="1" t="n">
        <v>46075</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45662-2023</t>
        </is>
      </c>
      <c r="B886" s="1" t="n">
        <v>45194</v>
      </c>
      <c r="C886" s="1" t="n">
        <v>46075</v>
      </c>
      <c r="D886" t="inlineStr">
        <is>
          <t>UPPSALA LÄN</t>
        </is>
      </c>
      <c r="E886" t="inlineStr">
        <is>
          <t>UPPSALA</t>
        </is>
      </c>
      <c r="F886" t="inlineStr">
        <is>
          <t>Bergvik skog öst AB</t>
        </is>
      </c>
      <c r="G886" t="n">
        <v>2.8</v>
      </c>
      <c r="H886" t="n">
        <v>0</v>
      </c>
      <c r="I886" t="n">
        <v>0</v>
      </c>
      <c r="J886" t="n">
        <v>0</v>
      </c>
      <c r="K886" t="n">
        <v>0</v>
      </c>
      <c r="L886" t="n">
        <v>0</v>
      </c>
      <c r="M886" t="n">
        <v>0</v>
      </c>
      <c r="N886" t="n">
        <v>0</v>
      </c>
      <c r="O886" t="n">
        <v>0</v>
      </c>
      <c r="P886" t="n">
        <v>0</v>
      </c>
      <c r="Q886" t="n">
        <v>0</v>
      </c>
      <c r="R886" s="2" t="inlineStr"/>
    </row>
    <row r="887" ht="15" customHeight="1">
      <c r="A887" t="inlineStr">
        <is>
          <t>A 39865-2022</t>
        </is>
      </c>
      <c r="B887" s="1" t="n">
        <v>44819.62</v>
      </c>
      <c r="C887" s="1" t="n">
        <v>46075</v>
      </c>
      <c r="D887" t="inlineStr">
        <is>
          <t>UPPSALA LÄN</t>
        </is>
      </c>
      <c r="E887" t="inlineStr">
        <is>
          <t>UPPSALA</t>
        </is>
      </c>
      <c r="G887" t="n">
        <v>2.5</v>
      </c>
      <c r="H887" t="n">
        <v>0</v>
      </c>
      <c r="I887" t="n">
        <v>0</v>
      </c>
      <c r="J887" t="n">
        <v>0</v>
      </c>
      <c r="K887" t="n">
        <v>0</v>
      </c>
      <c r="L887" t="n">
        <v>0</v>
      </c>
      <c r="M887" t="n">
        <v>0</v>
      </c>
      <c r="N887" t="n">
        <v>0</v>
      </c>
      <c r="O887" t="n">
        <v>0</v>
      </c>
      <c r="P887" t="n">
        <v>0</v>
      </c>
      <c r="Q887" t="n">
        <v>0</v>
      </c>
      <c r="R887" s="2" t="inlineStr"/>
    </row>
    <row r="888" ht="15" customHeight="1">
      <c r="A888" t="inlineStr">
        <is>
          <t>A 5899-2024</t>
        </is>
      </c>
      <c r="B888" s="1" t="n">
        <v>45335</v>
      </c>
      <c r="C888" s="1" t="n">
        <v>46075</v>
      </c>
      <c r="D888" t="inlineStr">
        <is>
          <t>UPPSALA LÄN</t>
        </is>
      </c>
      <c r="E888" t="inlineStr">
        <is>
          <t>UPPSALA</t>
        </is>
      </c>
      <c r="F888" t="inlineStr">
        <is>
          <t>Allmännings- och besparingsskogar</t>
        </is>
      </c>
      <c r="G888" t="n">
        <v>3.7</v>
      </c>
      <c r="H888" t="n">
        <v>0</v>
      </c>
      <c r="I888" t="n">
        <v>0</v>
      </c>
      <c r="J888" t="n">
        <v>0</v>
      </c>
      <c r="K888" t="n">
        <v>0</v>
      </c>
      <c r="L888" t="n">
        <v>0</v>
      </c>
      <c r="M888" t="n">
        <v>0</v>
      </c>
      <c r="N888" t="n">
        <v>0</v>
      </c>
      <c r="O888" t="n">
        <v>0</v>
      </c>
      <c r="P888" t="n">
        <v>0</v>
      </c>
      <c r="Q888" t="n">
        <v>0</v>
      </c>
      <c r="R888" s="2" t="inlineStr"/>
    </row>
    <row r="889" ht="15" customHeight="1">
      <c r="A889" t="inlineStr">
        <is>
          <t>A 6679-2024</t>
        </is>
      </c>
      <c r="B889" s="1" t="n">
        <v>45341</v>
      </c>
      <c r="C889" s="1" t="n">
        <v>46075</v>
      </c>
      <c r="D889" t="inlineStr">
        <is>
          <t>UPPSALA LÄN</t>
        </is>
      </c>
      <c r="E889" t="inlineStr">
        <is>
          <t>UPPSALA</t>
        </is>
      </c>
      <c r="F889" t="inlineStr">
        <is>
          <t>Bergvik skog öst AB</t>
        </is>
      </c>
      <c r="G889" t="n">
        <v>0.4</v>
      </c>
      <c r="H889" t="n">
        <v>0</v>
      </c>
      <c r="I889" t="n">
        <v>0</v>
      </c>
      <c r="J889" t="n">
        <v>0</v>
      </c>
      <c r="K889" t="n">
        <v>0</v>
      </c>
      <c r="L889" t="n">
        <v>0</v>
      </c>
      <c r="M889" t="n">
        <v>0</v>
      </c>
      <c r="N889" t="n">
        <v>0</v>
      </c>
      <c r="O889" t="n">
        <v>0</v>
      </c>
      <c r="P889" t="n">
        <v>0</v>
      </c>
      <c r="Q889" t="n">
        <v>0</v>
      </c>
      <c r="R889" s="2" t="inlineStr"/>
    </row>
    <row r="890" ht="15" customHeight="1">
      <c r="A890" t="inlineStr">
        <is>
          <t>A 9235-2025</t>
        </is>
      </c>
      <c r="B890" s="1" t="n">
        <v>45714.55368055555</v>
      </c>
      <c r="C890" s="1" t="n">
        <v>46075</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9984-2025</t>
        </is>
      </c>
      <c r="B891" s="1" t="n">
        <v>45719.42197916667</v>
      </c>
      <c r="C891" s="1" t="n">
        <v>46075</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9991-2025</t>
        </is>
      </c>
      <c r="B892" s="1" t="n">
        <v>45719.43646990741</v>
      </c>
      <c r="C892" s="1" t="n">
        <v>46075</v>
      </c>
      <c r="D892" t="inlineStr">
        <is>
          <t>UPPSALA LÄN</t>
        </is>
      </c>
      <c r="E892" t="inlineStr">
        <is>
          <t>UPPSALA</t>
        </is>
      </c>
      <c r="F892" t="inlineStr">
        <is>
          <t>Kyrkan</t>
        </is>
      </c>
      <c r="G892" t="n">
        <v>6.1</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46075</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9820-2023</t>
        </is>
      </c>
      <c r="B894" s="1" t="n">
        <v>44984.69216435185</v>
      </c>
      <c r="C894" s="1" t="n">
        <v>46075</v>
      </c>
      <c r="D894" t="inlineStr">
        <is>
          <t>UPPSALA LÄN</t>
        </is>
      </c>
      <c r="E894" t="inlineStr">
        <is>
          <t>UPPSALA</t>
        </is>
      </c>
      <c r="F894" t="inlineStr">
        <is>
          <t>Kyrkan</t>
        </is>
      </c>
      <c r="G894" t="n">
        <v>2</v>
      </c>
      <c r="H894" t="n">
        <v>0</v>
      </c>
      <c r="I894" t="n">
        <v>0</v>
      </c>
      <c r="J894" t="n">
        <v>0</v>
      </c>
      <c r="K894" t="n">
        <v>0</v>
      </c>
      <c r="L894" t="n">
        <v>0</v>
      </c>
      <c r="M894" t="n">
        <v>0</v>
      </c>
      <c r="N894" t="n">
        <v>0</v>
      </c>
      <c r="O894" t="n">
        <v>0</v>
      </c>
      <c r="P894" t="n">
        <v>0</v>
      </c>
      <c r="Q894" t="n">
        <v>0</v>
      </c>
      <c r="R894" s="2" t="inlineStr"/>
    </row>
    <row r="895" ht="15" customHeight="1">
      <c r="A895" t="inlineStr">
        <is>
          <t>A 34265-2021</t>
        </is>
      </c>
      <c r="B895" s="1" t="n">
        <v>44379.5745949074</v>
      </c>
      <c r="C895" s="1" t="n">
        <v>46075</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34147-2024</t>
        </is>
      </c>
      <c r="B896" s="1" t="n">
        <v>45524</v>
      </c>
      <c r="C896" s="1" t="n">
        <v>46075</v>
      </c>
      <c r="D896" t="inlineStr">
        <is>
          <t>UPPSALA LÄN</t>
        </is>
      </c>
      <c r="E896" t="inlineStr">
        <is>
          <t>UPPSALA</t>
        </is>
      </c>
      <c r="F896" t="inlineStr">
        <is>
          <t>Allmännings- och besparingsskogar</t>
        </is>
      </c>
      <c r="G896" t="n">
        <v>0.2</v>
      </c>
      <c r="H896" t="n">
        <v>0</v>
      </c>
      <c r="I896" t="n">
        <v>0</v>
      </c>
      <c r="J896" t="n">
        <v>0</v>
      </c>
      <c r="K896" t="n">
        <v>0</v>
      </c>
      <c r="L896" t="n">
        <v>0</v>
      </c>
      <c r="M896" t="n">
        <v>0</v>
      </c>
      <c r="N896" t="n">
        <v>0</v>
      </c>
      <c r="O896" t="n">
        <v>0</v>
      </c>
      <c r="P896" t="n">
        <v>0</v>
      </c>
      <c r="Q896" t="n">
        <v>0</v>
      </c>
      <c r="R896" s="2" t="inlineStr"/>
    </row>
    <row r="897" ht="15" customHeight="1">
      <c r="A897" t="inlineStr">
        <is>
          <t>A 10456-2022</t>
        </is>
      </c>
      <c r="B897" s="1" t="n">
        <v>44623.5571875</v>
      </c>
      <c r="C897" s="1" t="n">
        <v>46075</v>
      </c>
      <c r="D897" t="inlineStr">
        <is>
          <t>UPPSALA LÄN</t>
        </is>
      </c>
      <c r="E897" t="inlineStr">
        <is>
          <t>UPPSALA</t>
        </is>
      </c>
      <c r="F897" t="inlineStr">
        <is>
          <t>Övriga Aktiebolag</t>
        </is>
      </c>
      <c r="G897" t="n">
        <v>12.6</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46075</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5675-2023</t>
        </is>
      </c>
      <c r="B899" s="1" t="n">
        <v>44960.66233796296</v>
      </c>
      <c r="C899" s="1" t="n">
        <v>46075</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69698-2021</t>
        </is>
      </c>
      <c r="B900" s="1" t="n">
        <v>44532</v>
      </c>
      <c r="C900" s="1" t="n">
        <v>46075</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40100-2022</t>
        </is>
      </c>
      <c r="B901" s="1" t="n">
        <v>44820.47935185185</v>
      </c>
      <c r="C901" s="1" t="n">
        <v>46075</v>
      </c>
      <c r="D901" t="inlineStr">
        <is>
          <t>UPPSALA LÄN</t>
        </is>
      </c>
      <c r="E901" t="inlineStr">
        <is>
          <t>UPPSALA</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8672-2024</t>
        </is>
      </c>
      <c r="B902" s="1" t="n">
        <v>45352</v>
      </c>
      <c r="C902" s="1" t="n">
        <v>46075</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42528-2023</t>
        </is>
      </c>
      <c r="B903" s="1" t="n">
        <v>45181.33571759259</v>
      </c>
      <c r="C903" s="1" t="n">
        <v>46075</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9255-2024</t>
        </is>
      </c>
      <c r="B904" s="1" t="n">
        <v>45358</v>
      </c>
      <c r="C904" s="1" t="n">
        <v>46075</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56889-2022</t>
        </is>
      </c>
      <c r="B905" s="1" t="n">
        <v>44894.57065972222</v>
      </c>
      <c r="C905" s="1" t="n">
        <v>46075</v>
      </c>
      <c r="D905" t="inlineStr">
        <is>
          <t>UPPSALA LÄN</t>
        </is>
      </c>
      <c r="E905" t="inlineStr">
        <is>
          <t>UPPSALA</t>
        </is>
      </c>
      <c r="F905" t="inlineStr">
        <is>
          <t>Övriga Aktiebolag</t>
        </is>
      </c>
      <c r="G905" t="n">
        <v>21.6</v>
      </c>
      <c r="H905" t="n">
        <v>0</v>
      </c>
      <c r="I905" t="n">
        <v>0</v>
      </c>
      <c r="J905" t="n">
        <v>0</v>
      </c>
      <c r="K905" t="n">
        <v>0</v>
      </c>
      <c r="L905" t="n">
        <v>0</v>
      </c>
      <c r="M905" t="n">
        <v>0</v>
      </c>
      <c r="N905" t="n">
        <v>0</v>
      </c>
      <c r="O905" t="n">
        <v>0</v>
      </c>
      <c r="P905" t="n">
        <v>0</v>
      </c>
      <c r="Q905" t="n">
        <v>0</v>
      </c>
      <c r="R905" s="2" t="inlineStr"/>
    </row>
    <row r="906" ht="15" customHeight="1">
      <c r="A906" t="inlineStr">
        <is>
          <t>A 33797-2021</t>
        </is>
      </c>
      <c r="B906" s="1" t="n">
        <v>44378.56137731481</v>
      </c>
      <c r="C906" s="1" t="n">
        <v>46075</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5374-2023</t>
        </is>
      </c>
      <c r="B907" s="1" t="n">
        <v>44944</v>
      </c>
      <c r="C907" s="1" t="n">
        <v>46075</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63011-2021</t>
        </is>
      </c>
      <c r="B908" s="1" t="n">
        <v>44504</v>
      </c>
      <c r="C908" s="1" t="n">
        <v>46075</v>
      </c>
      <c r="D908" t="inlineStr">
        <is>
          <t>UPPSALA LÄN</t>
        </is>
      </c>
      <c r="E908" t="inlineStr">
        <is>
          <t>UPPSALA</t>
        </is>
      </c>
      <c r="G908" t="n">
        <v>11.2</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46075</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59585-2023</t>
        </is>
      </c>
      <c r="B910" s="1" t="n">
        <v>45254</v>
      </c>
      <c r="C910" s="1" t="n">
        <v>46075</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6989-2022</t>
        </is>
      </c>
      <c r="B911" s="1" t="n">
        <v>44603</v>
      </c>
      <c r="C911" s="1" t="n">
        <v>46075</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32553-2024</t>
        </is>
      </c>
      <c r="B912" s="1" t="n">
        <v>45513.51815972223</v>
      </c>
      <c r="C912" s="1" t="n">
        <v>46075</v>
      </c>
      <c r="D912" t="inlineStr">
        <is>
          <t>UPPSALA LÄN</t>
        </is>
      </c>
      <c r="E912" t="inlineStr">
        <is>
          <t>UPPSALA</t>
        </is>
      </c>
      <c r="F912" t="inlineStr">
        <is>
          <t>Bergvik skog öst AB</t>
        </is>
      </c>
      <c r="G912" t="n">
        <v>4.1</v>
      </c>
      <c r="H912" t="n">
        <v>0</v>
      </c>
      <c r="I912" t="n">
        <v>0</v>
      </c>
      <c r="J912" t="n">
        <v>0</v>
      </c>
      <c r="K912" t="n">
        <v>0</v>
      </c>
      <c r="L912" t="n">
        <v>0</v>
      </c>
      <c r="M912" t="n">
        <v>0</v>
      </c>
      <c r="N912" t="n">
        <v>0</v>
      </c>
      <c r="O912" t="n">
        <v>0</v>
      </c>
      <c r="P912" t="n">
        <v>0</v>
      </c>
      <c r="Q912" t="n">
        <v>0</v>
      </c>
      <c r="R912" s="2" t="inlineStr"/>
    </row>
    <row r="913" ht="15" customHeight="1">
      <c r="A913" t="inlineStr">
        <is>
          <t>A 46807-2022</t>
        </is>
      </c>
      <c r="B913" s="1" t="n">
        <v>44848</v>
      </c>
      <c r="C913" s="1" t="n">
        <v>46075</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44781-2021</t>
        </is>
      </c>
      <c r="B914" s="1" t="n">
        <v>44438</v>
      </c>
      <c r="C914" s="1" t="n">
        <v>46075</v>
      </c>
      <c r="D914" t="inlineStr">
        <is>
          <t>UPPSALA LÄN</t>
        </is>
      </c>
      <c r="E914" t="inlineStr">
        <is>
          <t>UPPSALA</t>
        </is>
      </c>
      <c r="F914" t="inlineStr">
        <is>
          <t>Sveaskog</t>
        </is>
      </c>
      <c r="G914" t="n">
        <v>0.1</v>
      </c>
      <c r="H914" t="n">
        <v>0</v>
      </c>
      <c r="I914" t="n">
        <v>0</v>
      </c>
      <c r="J914" t="n">
        <v>0</v>
      </c>
      <c r="K914" t="n">
        <v>0</v>
      </c>
      <c r="L914" t="n">
        <v>0</v>
      </c>
      <c r="M914" t="n">
        <v>0</v>
      </c>
      <c r="N914" t="n">
        <v>0</v>
      </c>
      <c r="O914" t="n">
        <v>0</v>
      </c>
      <c r="P914" t="n">
        <v>0</v>
      </c>
      <c r="Q914" t="n">
        <v>0</v>
      </c>
      <c r="R914" s="2" t="inlineStr"/>
    </row>
    <row r="915" ht="15" customHeight="1">
      <c r="A915" t="inlineStr">
        <is>
          <t>A 5605-2025</t>
        </is>
      </c>
      <c r="B915" s="1" t="n">
        <v>45693</v>
      </c>
      <c r="C915" s="1" t="n">
        <v>46075</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12507-2024</t>
        </is>
      </c>
      <c r="B916" s="1" t="n">
        <v>45379</v>
      </c>
      <c r="C916" s="1" t="n">
        <v>46075</v>
      </c>
      <c r="D916" t="inlineStr">
        <is>
          <t>UPPSALA LÄN</t>
        </is>
      </c>
      <c r="E916" t="inlineStr">
        <is>
          <t>UPPSALA</t>
        </is>
      </c>
      <c r="G916" t="n">
        <v>4.6</v>
      </c>
      <c r="H916" t="n">
        <v>0</v>
      </c>
      <c r="I916" t="n">
        <v>0</v>
      </c>
      <c r="J916" t="n">
        <v>0</v>
      </c>
      <c r="K916" t="n">
        <v>0</v>
      </c>
      <c r="L916" t="n">
        <v>0</v>
      </c>
      <c r="M916" t="n">
        <v>0</v>
      </c>
      <c r="N916" t="n">
        <v>0</v>
      </c>
      <c r="O916" t="n">
        <v>0</v>
      </c>
      <c r="P916" t="n">
        <v>0</v>
      </c>
      <c r="Q916" t="n">
        <v>0</v>
      </c>
      <c r="R916" s="2" t="inlineStr"/>
    </row>
    <row r="917" ht="15" customHeight="1">
      <c r="A917" t="inlineStr">
        <is>
          <t>A 4065-2024</t>
        </is>
      </c>
      <c r="B917" s="1" t="n">
        <v>45323.55914351852</v>
      </c>
      <c r="C917" s="1" t="n">
        <v>46075</v>
      </c>
      <c r="D917" t="inlineStr">
        <is>
          <t>UPPSALA LÄN</t>
        </is>
      </c>
      <c r="E917" t="inlineStr">
        <is>
          <t>UPPSALA</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4059-2022</t>
        </is>
      </c>
      <c r="B918" s="1" t="n">
        <v>44588</v>
      </c>
      <c r="C918" s="1" t="n">
        <v>46075</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54715-2022</t>
        </is>
      </c>
      <c r="B919" s="1" t="n">
        <v>44883</v>
      </c>
      <c r="C919" s="1" t="n">
        <v>46075</v>
      </c>
      <c r="D919" t="inlineStr">
        <is>
          <t>UPPSALA LÄN</t>
        </is>
      </c>
      <c r="E919" t="inlineStr">
        <is>
          <t>UPPSALA</t>
        </is>
      </c>
      <c r="F919" t="inlineStr">
        <is>
          <t>Övriga Aktiebolag</t>
        </is>
      </c>
      <c r="G919" t="n">
        <v>9.5</v>
      </c>
      <c r="H919" t="n">
        <v>0</v>
      </c>
      <c r="I919" t="n">
        <v>0</v>
      </c>
      <c r="J919" t="n">
        <v>0</v>
      </c>
      <c r="K919" t="n">
        <v>0</v>
      </c>
      <c r="L919" t="n">
        <v>0</v>
      </c>
      <c r="M919" t="n">
        <v>0</v>
      </c>
      <c r="N919" t="n">
        <v>0</v>
      </c>
      <c r="O919" t="n">
        <v>0</v>
      </c>
      <c r="P919" t="n">
        <v>0</v>
      </c>
      <c r="Q919" t="n">
        <v>0</v>
      </c>
      <c r="R919" s="2" t="inlineStr"/>
    </row>
    <row r="920" ht="15" customHeight="1">
      <c r="A920" t="inlineStr">
        <is>
          <t>A 6973-2025</t>
        </is>
      </c>
      <c r="B920" s="1" t="n">
        <v>45693</v>
      </c>
      <c r="C920" s="1" t="n">
        <v>46075</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74019-2021</t>
        </is>
      </c>
      <c r="B921" s="1" t="n">
        <v>44553</v>
      </c>
      <c r="C921" s="1" t="n">
        <v>46075</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19613-2025</t>
        </is>
      </c>
      <c r="B922" s="1" t="n">
        <v>45770.61341435185</v>
      </c>
      <c r="C922" s="1" t="n">
        <v>46075</v>
      </c>
      <c r="D922" t="inlineStr">
        <is>
          <t>UPPSALA LÄN</t>
        </is>
      </c>
      <c r="E922" t="inlineStr">
        <is>
          <t>UPPSALA</t>
        </is>
      </c>
      <c r="F922" t="inlineStr">
        <is>
          <t>Övriga Aktiebolag</t>
        </is>
      </c>
      <c r="G922" t="n">
        <v>2.2</v>
      </c>
      <c r="H922" t="n">
        <v>0</v>
      </c>
      <c r="I922" t="n">
        <v>0</v>
      </c>
      <c r="J922" t="n">
        <v>0</v>
      </c>
      <c r="K922" t="n">
        <v>0</v>
      </c>
      <c r="L922" t="n">
        <v>0</v>
      </c>
      <c r="M922" t="n">
        <v>0</v>
      </c>
      <c r="N922" t="n">
        <v>0</v>
      </c>
      <c r="O922" t="n">
        <v>0</v>
      </c>
      <c r="P922" t="n">
        <v>0</v>
      </c>
      <c r="Q922" t="n">
        <v>0</v>
      </c>
      <c r="R922" s="2" t="inlineStr"/>
    </row>
    <row r="923" ht="15" customHeight="1">
      <c r="A923" t="inlineStr">
        <is>
          <t>A 27119-2023</t>
        </is>
      </c>
      <c r="B923" s="1" t="n">
        <v>45096</v>
      </c>
      <c r="C923" s="1" t="n">
        <v>46075</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35906-2023</t>
        </is>
      </c>
      <c r="B924" s="1" t="n">
        <v>45148</v>
      </c>
      <c r="C924" s="1" t="n">
        <v>46075</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46075</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46075</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28782-2024</t>
        </is>
      </c>
      <c r="B927" s="1" t="n">
        <v>45478.60802083334</v>
      </c>
      <c r="C927" s="1" t="n">
        <v>46075</v>
      </c>
      <c r="D927" t="inlineStr">
        <is>
          <t>UPPSALA LÄN</t>
        </is>
      </c>
      <c r="E927" t="inlineStr">
        <is>
          <t>UPPSALA</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27125-2023</t>
        </is>
      </c>
      <c r="B928" s="1" t="n">
        <v>45096</v>
      </c>
      <c r="C928" s="1" t="n">
        <v>46075</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46075</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53900-2023</t>
        </is>
      </c>
      <c r="B930" s="1" t="n">
        <v>45231.54601851852</v>
      </c>
      <c r="C930" s="1" t="n">
        <v>46075</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8132-2022</t>
        </is>
      </c>
      <c r="B931" s="1" t="n">
        <v>44609.60171296296</v>
      </c>
      <c r="C931" s="1" t="n">
        <v>46075</v>
      </c>
      <c r="D931" t="inlineStr">
        <is>
          <t>UPPSALA LÄN</t>
        </is>
      </c>
      <c r="E931" t="inlineStr">
        <is>
          <t>UPPSALA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18054-2025</t>
        </is>
      </c>
      <c r="B932" s="1" t="n">
        <v>45761.47540509259</v>
      </c>
      <c r="C932" s="1" t="n">
        <v>46075</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18058-2025</t>
        </is>
      </c>
      <c r="B933" s="1" t="n">
        <v>45761.47748842592</v>
      </c>
      <c r="C933" s="1" t="n">
        <v>46075</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40872-2023</t>
        </is>
      </c>
      <c r="B934" s="1" t="n">
        <v>45173</v>
      </c>
      <c r="C934" s="1" t="n">
        <v>46075</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6550-2025</t>
        </is>
      </c>
      <c r="B935" s="1" t="n">
        <v>45699.71063657408</v>
      </c>
      <c r="C935" s="1" t="n">
        <v>46075</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55862-2022</t>
        </is>
      </c>
      <c r="B936" s="1" t="n">
        <v>44888</v>
      </c>
      <c r="C936" s="1" t="n">
        <v>46075</v>
      </c>
      <c r="D936" t="inlineStr">
        <is>
          <t>UPPSALA LÄN</t>
        </is>
      </c>
      <c r="E936" t="inlineStr">
        <is>
          <t>UPPSALA</t>
        </is>
      </c>
      <c r="F936" t="inlineStr">
        <is>
          <t>Bergvik skog öst AB</t>
        </is>
      </c>
      <c r="G936" t="n">
        <v>1.6</v>
      </c>
      <c r="H936" t="n">
        <v>0</v>
      </c>
      <c r="I936" t="n">
        <v>0</v>
      </c>
      <c r="J936" t="n">
        <v>0</v>
      </c>
      <c r="K936" t="n">
        <v>0</v>
      </c>
      <c r="L936" t="n">
        <v>0</v>
      </c>
      <c r="M936" t="n">
        <v>0</v>
      </c>
      <c r="N936" t="n">
        <v>0</v>
      </c>
      <c r="O936" t="n">
        <v>0</v>
      </c>
      <c r="P936" t="n">
        <v>0</v>
      </c>
      <c r="Q936" t="n">
        <v>0</v>
      </c>
      <c r="R936" s="2" t="inlineStr"/>
    </row>
    <row r="937" ht="15" customHeight="1">
      <c r="A937" t="inlineStr">
        <is>
          <t>A 32428-2023</t>
        </is>
      </c>
      <c r="B937" s="1" t="n">
        <v>45110</v>
      </c>
      <c r="C937" s="1" t="n">
        <v>46075</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49050-2024</t>
        </is>
      </c>
      <c r="B938" s="1" t="n">
        <v>45594</v>
      </c>
      <c r="C938" s="1" t="n">
        <v>46075</v>
      </c>
      <c r="D938" t="inlineStr">
        <is>
          <t>UPPSALA LÄN</t>
        </is>
      </c>
      <c r="E938" t="inlineStr">
        <is>
          <t>UPPSALA</t>
        </is>
      </c>
      <c r="F938" t="inlineStr">
        <is>
          <t>Övriga statliga verk och myndigheter</t>
        </is>
      </c>
      <c r="G938" t="n">
        <v>3.9</v>
      </c>
      <c r="H938" t="n">
        <v>0</v>
      </c>
      <c r="I938" t="n">
        <v>0</v>
      </c>
      <c r="J938" t="n">
        <v>0</v>
      </c>
      <c r="K938" t="n">
        <v>0</v>
      </c>
      <c r="L938" t="n">
        <v>0</v>
      </c>
      <c r="M938" t="n">
        <v>0</v>
      </c>
      <c r="N938" t="n">
        <v>0</v>
      </c>
      <c r="O938" t="n">
        <v>0</v>
      </c>
      <c r="P938" t="n">
        <v>0</v>
      </c>
      <c r="Q938" t="n">
        <v>0</v>
      </c>
      <c r="R938" s="2" t="inlineStr"/>
    </row>
    <row r="939" ht="15" customHeight="1">
      <c r="A939" t="inlineStr">
        <is>
          <t>A 10383-2022</t>
        </is>
      </c>
      <c r="B939" s="1" t="n">
        <v>44623.41775462963</v>
      </c>
      <c r="C939" s="1" t="n">
        <v>46075</v>
      </c>
      <c r="D939" t="inlineStr">
        <is>
          <t>UPPSALA LÄN</t>
        </is>
      </c>
      <c r="E939" t="inlineStr">
        <is>
          <t>UPPSALA</t>
        </is>
      </c>
      <c r="F939" t="inlineStr">
        <is>
          <t>Övriga Aktiebolag</t>
        </is>
      </c>
      <c r="G939" t="n">
        <v>2.8</v>
      </c>
      <c r="H939" t="n">
        <v>0</v>
      </c>
      <c r="I939" t="n">
        <v>0</v>
      </c>
      <c r="J939" t="n">
        <v>0</v>
      </c>
      <c r="K939" t="n">
        <v>0</v>
      </c>
      <c r="L939" t="n">
        <v>0</v>
      </c>
      <c r="M939" t="n">
        <v>0</v>
      </c>
      <c r="N939" t="n">
        <v>0</v>
      </c>
      <c r="O939" t="n">
        <v>0</v>
      </c>
      <c r="P939" t="n">
        <v>0</v>
      </c>
      <c r="Q939" t="n">
        <v>0</v>
      </c>
      <c r="R939" s="2" t="inlineStr"/>
    </row>
    <row r="940" ht="15" customHeight="1">
      <c r="A940" t="inlineStr">
        <is>
          <t>A 60691-2024</t>
        </is>
      </c>
      <c r="B940" s="1" t="n">
        <v>45644.47723379629</v>
      </c>
      <c r="C940" s="1" t="n">
        <v>46075</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23157-2023</t>
        </is>
      </c>
      <c r="B941" s="1" t="n">
        <v>45075.51982638889</v>
      </c>
      <c r="C941" s="1" t="n">
        <v>46075</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53589-2024</t>
        </is>
      </c>
      <c r="B942" s="1" t="n">
        <v>45614.67020833334</v>
      </c>
      <c r="C942" s="1" t="n">
        <v>46075</v>
      </c>
      <c r="D942" t="inlineStr">
        <is>
          <t>UPPSALA LÄN</t>
        </is>
      </c>
      <c r="E942" t="inlineStr">
        <is>
          <t>UPPSALA</t>
        </is>
      </c>
      <c r="G942" t="n">
        <v>4</v>
      </c>
      <c r="H942" t="n">
        <v>0</v>
      </c>
      <c r="I942" t="n">
        <v>0</v>
      </c>
      <c r="J942" t="n">
        <v>0</v>
      </c>
      <c r="K942" t="n">
        <v>0</v>
      </c>
      <c r="L942" t="n">
        <v>0</v>
      </c>
      <c r="M942" t="n">
        <v>0</v>
      </c>
      <c r="N942" t="n">
        <v>0</v>
      </c>
      <c r="O942" t="n">
        <v>0</v>
      </c>
      <c r="P942" t="n">
        <v>0</v>
      </c>
      <c r="Q942" t="n">
        <v>0</v>
      </c>
      <c r="R942" s="2" t="inlineStr"/>
    </row>
    <row r="943" ht="15" customHeight="1">
      <c r="A943" t="inlineStr">
        <is>
          <t>A 35914-2023</t>
        </is>
      </c>
      <c r="B943" s="1" t="n">
        <v>45148</v>
      </c>
      <c r="C943" s="1" t="n">
        <v>46075</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35916-2023</t>
        </is>
      </c>
      <c r="B944" s="1" t="n">
        <v>45148</v>
      </c>
      <c r="C944" s="1" t="n">
        <v>46075</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43029-2023</t>
        </is>
      </c>
      <c r="B945" s="1" t="n">
        <v>45182</v>
      </c>
      <c r="C945" s="1" t="n">
        <v>46075</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61947-2023</t>
        </is>
      </c>
      <c r="B946" s="1" t="n">
        <v>45266</v>
      </c>
      <c r="C946" s="1" t="n">
        <v>46075</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61574-2024</t>
        </is>
      </c>
      <c r="B947" s="1" t="n">
        <v>45646.61892361111</v>
      </c>
      <c r="C947" s="1" t="n">
        <v>46075</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25462-2023</t>
        </is>
      </c>
      <c r="B948" s="1" t="n">
        <v>45089</v>
      </c>
      <c r="C948" s="1" t="n">
        <v>46075</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14337-2022</t>
        </is>
      </c>
      <c r="B949" s="1" t="n">
        <v>44652</v>
      </c>
      <c r="C949" s="1" t="n">
        <v>46075</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46745-2024</t>
        </is>
      </c>
      <c r="B950" s="1" t="n">
        <v>45583</v>
      </c>
      <c r="C950" s="1" t="n">
        <v>46075</v>
      </c>
      <c r="D950" t="inlineStr">
        <is>
          <t>UPPSALA LÄN</t>
        </is>
      </c>
      <c r="E950" t="inlineStr">
        <is>
          <t>UPPSALA</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46748-2024</t>
        </is>
      </c>
      <c r="B951" s="1" t="n">
        <v>45583</v>
      </c>
      <c r="C951" s="1" t="n">
        <v>46075</v>
      </c>
      <c r="D951" t="inlineStr">
        <is>
          <t>UPPSALA LÄN</t>
        </is>
      </c>
      <c r="E951" t="inlineStr">
        <is>
          <t>UPPSALA</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6541-2025</t>
        </is>
      </c>
      <c r="B952" s="1" t="n">
        <v>45699</v>
      </c>
      <c r="C952" s="1" t="n">
        <v>46075</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33562-2023</t>
        </is>
      </c>
      <c r="B953" s="1" t="n">
        <v>45131</v>
      </c>
      <c r="C953" s="1" t="n">
        <v>46075</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5725-2025</t>
        </is>
      </c>
      <c r="B954" s="1" t="n">
        <v>45694</v>
      </c>
      <c r="C954" s="1" t="n">
        <v>46075</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10565-2022</t>
        </is>
      </c>
      <c r="B955" s="1" t="n">
        <v>44624.35083333333</v>
      </c>
      <c r="C955" s="1" t="n">
        <v>46075</v>
      </c>
      <c r="D955" t="inlineStr">
        <is>
          <t>UPPSALA LÄN</t>
        </is>
      </c>
      <c r="E955" t="inlineStr">
        <is>
          <t>UPPSALA</t>
        </is>
      </c>
      <c r="F955" t="inlineStr">
        <is>
          <t>Bergvik skog öst AB</t>
        </is>
      </c>
      <c r="G955" t="n">
        <v>1.3</v>
      </c>
      <c r="H955" t="n">
        <v>0</v>
      </c>
      <c r="I955" t="n">
        <v>0</v>
      </c>
      <c r="J955" t="n">
        <v>0</v>
      </c>
      <c r="K955" t="n">
        <v>0</v>
      </c>
      <c r="L955" t="n">
        <v>0</v>
      </c>
      <c r="M955" t="n">
        <v>0</v>
      </c>
      <c r="N955" t="n">
        <v>0</v>
      </c>
      <c r="O955" t="n">
        <v>0</v>
      </c>
      <c r="P955" t="n">
        <v>0</v>
      </c>
      <c r="Q955" t="n">
        <v>0</v>
      </c>
      <c r="R955" s="2" t="inlineStr"/>
    </row>
    <row r="956" ht="15" customHeight="1">
      <c r="A956" t="inlineStr">
        <is>
          <t>A 4240-2025</t>
        </is>
      </c>
      <c r="B956" s="1" t="n">
        <v>45685.5778125</v>
      </c>
      <c r="C956" s="1" t="n">
        <v>46075</v>
      </c>
      <c r="D956" t="inlineStr">
        <is>
          <t>UPPSALA LÄN</t>
        </is>
      </c>
      <c r="E956" t="inlineStr">
        <is>
          <t>UPPSALA</t>
        </is>
      </c>
      <c r="G956" t="n">
        <v>1.2</v>
      </c>
      <c r="H956" t="n">
        <v>0</v>
      </c>
      <c r="I956" t="n">
        <v>0</v>
      </c>
      <c r="J956" t="n">
        <v>0</v>
      </c>
      <c r="K956" t="n">
        <v>0</v>
      </c>
      <c r="L956" t="n">
        <v>0</v>
      </c>
      <c r="M956" t="n">
        <v>0</v>
      </c>
      <c r="N956" t="n">
        <v>0</v>
      </c>
      <c r="O956" t="n">
        <v>0</v>
      </c>
      <c r="P956" t="n">
        <v>0</v>
      </c>
      <c r="Q956" t="n">
        <v>0</v>
      </c>
      <c r="R956" s="2" t="inlineStr"/>
    </row>
    <row r="957" ht="15" customHeight="1">
      <c r="A957" t="inlineStr">
        <is>
          <t>A 27599-2023</t>
        </is>
      </c>
      <c r="B957" s="1" t="n">
        <v>45097</v>
      </c>
      <c r="C957" s="1" t="n">
        <v>46075</v>
      </c>
      <c r="D957" t="inlineStr">
        <is>
          <t>UPPSALA LÄN</t>
        </is>
      </c>
      <c r="E957" t="inlineStr">
        <is>
          <t>UPPSALA</t>
        </is>
      </c>
      <c r="G957" t="n">
        <v>1</v>
      </c>
      <c r="H957" t="n">
        <v>0</v>
      </c>
      <c r="I957" t="n">
        <v>0</v>
      </c>
      <c r="J957" t="n">
        <v>0</v>
      </c>
      <c r="K957" t="n">
        <v>0</v>
      </c>
      <c r="L957" t="n">
        <v>0</v>
      </c>
      <c r="M957" t="n">
        <v>0</v>
      </c>
      <c r="N957" t="n">
        <v>0</v>
      </c>
      <c r="O957" t="n">
        <v>0</v>
      </c>
      <c r="P957" t="n">
        <v>0</v>
      </c>
      <c r="Q957" t="n">
        <v>0</v>
      </c>
      <c r="R957" s="2" t="inlineStr"/>
    </row>
    <row r="958" ht="15" customHeight="1">
      <c r="A958" t="inlineStr">
        <is>
          <t>A 20301-2024</t>
        </is>
      </c>
      <c r="B958" s="1" t="n">
        <v>45435.34778935185</v>
      </c>
      <c r="C958" s="1" t="n">
        <v>46075</v>
      </c>
      <c r="D958" t="inlineStr">
        <is>
          <t>UPPSALA LÄN</t>
        </is>
      </c>
      <c r="E958" t="inlineStr">
        <is>
          <t>UPPSALA</t>
        </is>
      </c>
      <c r="F958" t="inlineStr">
        <is>
          <t>Kyrkan</t>
        </is>
      </c>
      <c r="G958" t="n">
        <v>2.8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46075</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3260-2024</t>
        </is>
      </c>
      <c r="B960" s="1" t="n">
        <v>45317</v>
      </c>
      <c r="C960" s="1" t="n">
        <v>46075</v>
      </c>
      <c r="D960" t="inlineStr">
        <is>
          <t>UPPSALA LÄN</t>
        </is>
      </c>
      <c r="E960" t="inlineStr">
        <is>
          <t>UPPSALA</t>
        </is>
      </c>
      <c r="G960" t="n">
        <v>0.9</v>
      </c>
      <c r="H960" t="n">
        <v>0</v>
      </c>
      <c r="I960" t="n">
        <v>0</v>
      </c>
      <c r="J960" t="n">
        <v>0</v>
      </c>
      <c r="K960" t="n">
        <v>0</v>
      </c>
      <c r="L960" t="n">
        <v>0</v>
      </c>
      <c r="M960" t="n">
        <v>0</v>
      </c>
      <c r="N960" t="n">
        <v>0</v>
      </c>
      <c r="O960" t="n">
        <v>0</v>
      </c>
      <c r="P960" t="n">
        <v>0</v>
      </c>
      <c r="Q960" t="n">
        <v>0</v>
      </c>
      <c r="R960" s="2" t="inlineStr"/>
    </row>
    <row r="961" ht="15" customHeight="1">
      <c r="A961" t="inlineStr">
        <is>
          <t>A 42273-2023</t>
        </is>
      </c>
      <c r="B961" s="1" t="n">
        <v>45180.40255787037</v>
      </c>
      <c r="C961" s="1" t="n">
        <v>46075</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53615-2024</t>
        </is>
      </c>
      <c r="B962" s="1" t="n">
        <v>45611</v>
      </c>
      <c r="C962" s="1" t="n">
        <v>46075</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45049.66025462963</v>
      </c>
      <c r="C963" s="1" t="n">
        <v>46075</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37618-2023</t>
        </is>
      </c>
      <c r="B964" s="1" t="n">
        <v>45159.44694444445</v>
      </c>
      <c r="C964" s="1" t="n">
        <v>46075</v>
      </c>
      <c r="D964" t="inlineStr">
        <is>
          <t>UPPSALA LÄN</t>
        </is>
      </c>
      <c r="E964" t="inlineStr">
        <is>
          <t>UPPSALA</t>
        </is>
      </c>
      <c r="G964" t="n">
        <v>2.6</v>
      </c>
      <c r="H964" t="n">
        <v>0</v>
      </c>
      <c r="I964" t="n">
        <v>0</v>
      </c>
      <c r="J964" t="n">
        <v>0</v>
      </c>
      <c r="K964" t="n">
        <v>0</v>
      </c>
      <c r="L964" t="n">
        <v>0</v>
      </c>
      <c r="M964" t="n">
        <v>0</v>
      </c>
      <c r="N964" t="n">
        <v>0</v>
      </c>
      <c r="O964" t="n">
        <v>0</v>
      </c>
      <c r="P964" t="n">
        <v>0</v>
      </c>
      <c r="Q964" t="n">
        <v>0</v>
      </c>
      <c r="R964" s="2" t="inlineStr"/>
    </row>
    <row r="965" ht="15" customHeight="1">
      <c r="A965" t="inlineStr">
        <is>
          <t>A 59521-2023</t>
        </is>
      </c>
      <c r="B965" s="1" t="n">
        <v>45254.49552083333</v>
      </c>
      <c r="C965" s="1" t="n">
        <v>46075</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7226-2024</t>
        </is>
      </c>
      <c r="B966" s="1" t="n">
        <v>45344.64759259259</v>
      </c>
      <c r="C966" s="1" t="n">
        <v>46075</v>
      </c>
      <c r="D966" t="inlineStr">
        <is>
          <t>UPPSALA LÄN</t>
        </is>
      </c>
      <c r="E966" t="inlineStr">
        <is>
          <t>UPPSALA</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19345-2025</t>
        </is>
      </c>
      <c r="B967" s="1" t="n">
        <v>45769.6009375</v>
      </c>
      <c r="C967" s="1" t="n">
        <v>46075</v>
      </c>
      <c r="D967" t="inlineStr">
        <is>
          <t>UPPSALA LÄN</t>
        </is>
      </c>
      <c r="E967" t="inlineStr">
        <is>
          <t>UPPSALA</t>
        </is>
      </c>
      <c r="G967" t="n">
        <v>1.8</v>
      </c>
      <c r="H967" t="n">
        <v>0</v>
      </c>
      <c r="I967" t="n">
        <v>0</v>
      </c>
      <c r="J967" t="n">
        <v>0</v>
      </c>
      <c r="K967" t="n">
        <v>0</v>
      </c>
      <c r="L967" t="n">
        <v>0</v>
      </c>
      <c r="M967" t="n">
        <v>0</v>
      </c>
      <c r="N967" t="n">
        <v>0</v>
      </c>
      <c r="O967" t="n">
        <v>0</v>
      </c>
      <c r="P967" t="n">
        <v>0</v>
      </c>
      <c r="Q967" t="n">
        <v>0</v>
      </c>
      <c r="R967" s="2" t="inlineStr"/>
    </row>
    <row r="968" ht="15" customHeight="1">
      <c r="A968" t="inlineStr">
        <is>
          <t>A 18410-2025</t>
        </is>
      </c>
      <c r="B968" s="1" t="n">
        <v>45762.61341435185</v>
      </c>
      <c r="C968" s="1" t="n">
        <v>46075</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8404-2022</t>
        </is>
      </c>
      <c r="B969" s="1" t="n">
        <v>44610</v>
      </c>
      <c r="C969" s="1" t="n">
        <v>46075</v>
      </c>
      <c r="D969" t="inlineStr">
        <is>
          <t>UPPSALA LÄN</t>
        </is>
      </c>
      <c r="E969" t="inlineStr">
        <is>
          <t>UPPSALA</t>
        </is>
      </c>
      <c r="F969" t="inlineStr">
        <is>
          <t>Allmännings- och besparingsskogar</t>
        </is>
      </c>
      <c r="G969" t="n">
        <v>5.4</v>
      </c>
      <c r="H969" t="n">
        <v>0</v>
      </c>
      <c r="I969" t="n">
        <v>0</v>
      </c>
      <c r="J969" t="n">
        <v>0</v>
      </c>
      <c r="K969" t="n">
        <v>0</v>
      </c>
      <c r="L969" t="n">
        <v>0</v>
      </c>
      <c r="M969" t="n">
        <v>0</v>
      </c>
      <c r="N969" t="n">
        <v>0</v>
      </c>
      <c r="O969" t="n">
        <v>0</v>
      </c>
      <c r="P969" t="n">
        <v>0</v>
      </c>
      <c r="Q969" t="n">
        <v>0</v>
      </c>
      <c r="R969" s="2" t="inlineStr"/>
    </row>
    <row r="970" ht="15" customHeight="1">
      <c r="A970" t="inlineStr">
        <is>
          <t>A 23291-2024</t>
        </is>
      </c>
      <c r="B970" s="1" t="n">
        <v>45453</v>
      </c>
      <c r="C970" s="1" t="n">
        <v>46075</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59562-2024</t>
        </is>
      </c>
      <c r="B971" s="1" t="n">
        <v>45638</v>
      </c>
      <c r="C971" s="1" t="n">
        <v>46075</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20797-2025</t>
        </is>
      </c>
      <c r="B972" s="1" t="n">
        <v>45776.6415162037</v>
      </c>
      <c r="C972" s="1" t="n">
        <v>46075</v>
      </c>
      <c r="D972" t="inlineStr">
        <is>
          <t>UPPSALA LÄN</t>
        </is>
      </c>
      <c r="E972" t="inlineStr">
        <is>
          <t>UPPSALA</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33667-2024</t>
        </is>
      </c>
      <c r="B973" s="1" t="n">
        <v>45520</v>
      </c>
      <c r="C973" s="1" t="n">
        <v>46075</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20888-2025</t>
        </is>
      </c>
      <c r="B974" s="1" t="n">
        <v>45777.37119212963</v>
      </c>
      <c r="C974" s="1" t="n">
        <v>46075</v>
      </c>
      <c r="D974" t="inlineStr">
        <is>
          <t>UPPSALA LÄN</t>
        </is>
      </c>
      <c r="E974" t="inlineStr">
        <is>
          <t>UPPSALA</t>
        </is>
      </c>
      <c r="F974" t="inlineStr">
        <is>
          <t>Övriga statliga verk och myndigheter</t>
        </is>
      </c>
      <c r="G974" t="n">
        <v>5.1</v>
      </c>
      <c r="H974" t="n">
        <v>0</v>
      </c>
      <c r="I974" t="n">
        <v>0</v>
      </c>
      <c r="J974" t="n">
        <v>0</v>
      </c>
      <c r="K974" t="n">
        <v>0</v>
      </c>
      <c r="L974" t="n">
        <v>0</v>
      </c>
      <c r="M974" t="n">
        <v>0</v>
      </c>
      <c r="N974" t="n">
        <v>0</v>
      </c>
      <c r="O974" t="n">
        <v>0</v>
      </c>
      <c r="P974" t="n">
        <v>0</v>
      </c>
      <c r="Q974" t="n">
        <v>0</v>
      </c>
      <c r="R974" s="2" t="inlineStr"/>
    </row>
    <row r="975" ht="15" customHeight="1">
      <c r="A975" t="inlineStr">
        <is>
          <t>A 20928-2025</t>
        </is>
      </c>
      <c r="B975" s="1" t="n">
        <v>45777</v>
      </c>
      <c r="C975" s="1" t="n">
        <v>46075</v>
      </c>
      <c r="D975" t="inlineStr">
        <is>
          <t>UPPSALA LÄN</t>
        </is>
      </c>
      <c r="E975" t="inlineStr">
        <is>
          <t>UPPSALA</t>
        </is>
      </c>
      <c r="G975" t="n">
        <v>11.9</v>
      </c>
      <c r="H975" t="n">
        <v>0</v>
      </c>
      <c r="I975" t="n">
        <v>0</v>
      </c>
      <c r="J975" t="n">
        <v>0</v>
      </c>
      <c r="K975" t="n">
        <v>0</v>
      </c>
      <c r="L975" t="n">
        <v>0</v>
      </c>
      <c r="M975" t="n">
        <v>0</v>
      </c>
      <c r="N975" t="n">
        <v>0</v>
      </c>
      <c r="O975" t="n">
        <v>0</v>
      </c>
      <c r="P975" t="n">
        <v>0</v>
      </c>
      <c r="Q975" t="n">
        <v>0</v>
      </c>
      <c r="R975" s="2" t="inlineStr"/>
    </row>
    <row r="976" ht="15" customHeight="1">
      <c r="A976" t="inlineStr">
        <is>
          <t>A 29815-2023</t>
        </is>
      </c>
      <c r="B976" s="1" t="n">
        <v>45107.55574074074</v>
      </c>
      <c r="C976" s="1" t="n">
        <v>46075</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20686-2025</t>
        </is>
      </c>
      <c r="B977" s="1" t="n">
        <v>45776.45263888889</v>
      </c>
      <c r="C977" s="1" t="n">
        <v>46075</v>
      </c>
      <c r="D977" t="inlineStr">
        <is>
          <t>UPPSALA LÄN</t>
        </is>
      </c>
      <c r="E977" t="inlineStr">
        <is>
          <t>UPPSALA</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21033-2025</t>
        </is>
      </c>
      <c r="B978" s="1" t="n">
        <v>45777.52655092593</v>
      </c>
      <c r="C978" s="1" t="n">
        <v>46075</v>
      </c>
      <c r="D978" t="inlineStr">
        <is>
          <t>UPPSALA LÄN</t>
        </is>
      </c>
      <c r="E978" t="inlineStr">
        <is>
          <t>UPPSALA</t>
        </is>
      </c>
      <c r="G978" t="n">
        <v>2.2</v>
      </c>
      <c r="H978" t="n">
        <v>0</v>
      </c>
      <c r="I978" t="n">
        <v>0</v>
      </c>
      <c r="J978" t="n">
        <v>0</v>
      </c>
      <c r="K978" t="n">
        <v>0</v>
      </c>
      <c r="L978" t="n">
        <v>0</v>
      </c>
      <c r="M978" t="n">
        <v>0</v>
      </c>
      <c r="N978" t="n">
        <v>0</v>
      </c>
      <c r="O978" t="n">
        <v>0</v>
      </c>
      <c r="P978" t="n">
        <v>0</v>
      </c>
      <c r="Q978" t="n">
        <v>0</v>
      </c>
      <c r="R978" s="2" t="inlineStr"/>
    </row>
    <row r="979" ht="15" customHeight="1">
      <c r="A979" t="inlineStr">
        <is>
          <t>A 20874-2025</t>
        </is>
      </c>
      <c r="B979" s="1" t="n">
        <v>45777.34894675926</v>
      </c>
      <c r="C979" s="1" t="n">
        <v>46075</v>
      </c>
      <c r="D979" t="inlineStr">
        <is>
          <t>UPPSALA LÄN</t>
        </is>
      </c>
      <c r="E979" t="inlineStr">
        <is>
          <t>UPPSALA</t>
        </is>
      </c>
      <c r="F979" t="inlineStr">
        <is>
          <t>Övriga Aktiebolag</t>
        </is>
      </c>
      <c r="G979" t="n">
        <v>3.9</v>
      </c>
      <c r="H979" t="n">
        <v>0</v>
      </c>
      <c r="I979" t="n">
        <v>0</v>
      </c>
      <c r="J979" t="n">
        <v>0</v>
      </c>
      <c r="K979" t="n">
        <v>0</v>
      </c>
      <c r="L979" t="n">
        <v>0</v>
      </c>
      <c r="M979" t="n">
        <v>0</v>
      </c>
      <c r="N979" t="n">
        <v>0</v>
      </c>
      <c r="O979" t="n">
        <v>0</v>
      </c>
      <c r="P979" t="n">
        <v>0</v>
      </c>
      <c r="Q979" t="n">
        <v>0</v>
      </c>
      <c r="R979" s="2" t="inlineStr"/>
    </row>
    <row r="980" ht="15" customHeight="1">
      <c r="A980" t="inlineStr">
        <is>
          <t>A 44847-2024</t>
        </is>
      </c>
      <c r="B980" s="1" t="n">
        <v>45574</v>
      </c>
      <c r="C980" s="1" t="n">
        <v>46075</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20703-2025</t>
        </is>
      </c>
      <c r="B981" s="1" t="n">
        <v>45776.48275462963</v>
      </c>
      <c r="C981" s="1" t="n">
        <v>46075</v>
      </c>
      <c r="D981" t="inlineStr">
        <is>
          <t>UPPSALA LÄN</t>
        </is>
      </c>
      <c r="E981" t="inlineStr">
        <is>
          <t>UPPSALA</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20712-2025</t>
        </is>
      </c>
      <c r="B982" s="1" t="n">
        <v>45776</v>
      </c>
      <c r="C982" s="1" t="n">
        <v>46075</v>
      </c>
      <c r="D982" t="inlineStr">
        <is>
          <t>UPPSALA LÄN</t>
        </is>
      </c>
      <c r="E982" t="inlineStr">
        <is>
          <t>UPPSALA</t>
        </is>
      </c>
      <c r="G982" t="n">
        <v>1.5</v>
      </c>
      <c r="H982" t="n">
        <v>0</v>
      </c>
      <c r="I982" t="n">
        <v>0</v>
      </c>
      <c r="J982" t="n">
        <v>0</v>
      </c>
      <c r="K982" t="n">
        <v>0</v>
      </c>
      <c r="L982" t="n">
        <v>0</v>
      </c>
      <c r="M982" t="n">
        <v>0</v>
      </c>
      <c r="N982" t="n">
        <v>0</v>
      </c>
      <c r="O982" t="n">
        <v>0</v>
      </c>
      <c r="P982" t="n">
        <v>0</v>
      </c>
      <c r="Q982" t="n">
        <v>0</v>
      </c>
      <c r="R982" s="2" t="inlineStr"/>
    </row>
    <row r="983" ht="15" customHeight="1">
      <c r="A983" t="inlineStr">
        <is>
          <t>A 20858-2025</t>
        </is>
      </c>
      <c r="B983" s="1" t="n">
        <v>45777.32731481481</v>
      </c>
      <c r="C983" s="1" t="n">
        <v>46075</v>
      </c>
      <c r="D983" t="inlineStr">
        <is>
          <t>UPPSALA LÄN</t>
        </is>
      </c>
      <c r="E983" t="inlineStr">
        <is>
          <t>UPPSALA</t>
        </is>
      </c>
      <c r="F983" t="inlineStr">
        <is>
          <t>Övriga Aktiebolag</t>
        </is>
      </c>
      <c r="G983" t="n">
        <v>4.1</v>
      </c>
      <c r="H983" t="n">
        <v>0</v>
      </c>
      <c r="I983" t="n">
        <v>0</v>
      </c>
      <c r="J983" t="n">
        <v>0</v>
      </c>
      <c r="K983" t="n">
        <v>0</v>
      </c>
      <c r="L983" t="n">
        <v>0</v>
      </c>
      <c r="M983" t="n">
        <v>0</v>
      </c>
      <c r="N983" t="n">
        <v>0</v>
      </c>
      <c r="O983" t="n">
        <v>0</v>
      </c>
      <c r="P983" t="n">
        <v>0</v>
      </c>
      <c r="Q983" t="n">
        <v>0</v>
      </c>
      <c r="R983" s="2" t="inlineStr"/>
    </row>
    <row r="984" ht="15" customHeight="1">
      <c r="A984" t="inlineStr">
        <is>
          <t>A 21217-2025</t>
        </is>
      </c>
      <c r="B984" s="1" t="n">
        <v>45779.49085648148</v>
      </c>
      <c r="C984" s="1" t="n">
        <v>46075</v>
      </c>
      <c r="D984" t="inlineStr">
        <is>
          <t>UPPSALA LÄN</t>
        </is>
      </c>
      <c r="E984" t="inlineStr">
        <is>
          <t>UPPSALA</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21281-2025</t>
        </is>
      </c>
      <c r="B985" s="1" t="n">
        <v>45779.6665162037</v>
      </c>
      <c r="C985" s="1" t="n">
        <v>46075</v>
      </c>
      <c r="D985" t="inlineStr">
        <is>
          <t>UPPSALA LÄN</t>
        </is>
      </c>
      <c r="E985" t="inlineStr">
        <is>
          <t>UPPSALA</t>
        </is>
      </c>
      <c r="F985" t="inlineStr">
        <is>
          <t>Övriga Aktiebolag</t>
        </is>
      </c>
      <c r="G985" t="n">
        <v>5.9</v>
      </c>
      <c r="H985" t="n">
        <v>0</v>
      </c>
      <c r="I985" t="n">
        <v>0</v>
      </c>
      <c r="J985" t="n">
        <v>0</v>
      </c>
      <c r="K985" t="n">
        <v>0</v>
      </c>
      <c r="L985" t="n">
        <v>0</v>
      </c>
      <c r="M985" t="n">
        <v>0</v>
      </c>
      <c r="N985" t="n">
        <v>0</v>
      </c>
      <c r="O985" t="n">
        <v>0</v>
      </c>
      <c r="P985" t="n">
        <v>0</v>
      </c>
      <c r="Q985" t="n">
        <v>0</v>
      </c>
      <c r="R985" s="2" t="inlineStr"/>
    </row>
    <row r="986" ht="15" customHeight="1">
      <c r="A986" t="inlineStr">
        <is>
          <t>A 21279-2025</t>
        </is>
      </c>
      <c r="B986" s="1" t="n">
        <v>45779.65787037037</v>
      </c>
      <c r="C986" s="1" t="n">
        <v>46075</v>
      </c>
      <c r="D986" t="inlineStr">
        <is>
          <t>UPPSALA LÄN</t>
        </is>
      </c>
      <c r="E986" t="inlineStr">
        <is>
          <t>UPPSALA</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46075</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22018-2025</t>
        </is>
      </c>
      <c r="B988" s="1" t="n">
        <v>45784.80497685185</v>
      </c>
      <c r="C988" s="1" t="n">
        <v>46075</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21936-2025</t>
        </is>
      </c>
      <c r="B989" s="1" t="n">
        <v>45784.57266203704</v>
      </c>
      <c r="C989" s="1" t="n">
        <v>46075</v>
      </c>
      <c r="D989" t="inlineStr">
        <is>
          <t>UPPSALA LÄN</t>
        </is>
      </c>
      <c r="E989" t="inlineStr">
        <is>
          <t>UPPSALA</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40701-2024</t>
        </is>
      </c>
      <c r="B990" s="1" t="n">
        <v>45558.42498842593</v>
      </c>
      <c r="C990" s="1" t="n">
        <v>46075</v>
      </c>
      <c r="D990" t="inlineStr">
        <is>
          <t>UPPSALA LÄN</t>
        </is>
      </c>
      <c r="E990" t="inlineStr">
        <is>
          <t>UPPSALA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758-2022</t>
        </is>
      </c>
      <c r="B991" s="1" t="n">
        <v>44569.69358796296</v>
      </c>
      <c r="C991" s="1" t="n">
        <v>46075</v>
      </c>
      <c r="D991" t="inlineStr">
        <is>
          <t>UPPSALA LÄN</t>
        </is>
      </c>
      <c r="E991" t="inlineStr">
        <is>
          <t>UPPSALA</t>
        </is>
      </c>
      <c r="F991" t="inlineStr">
        <is>
          <t>Holmen skog AB</t>
        </is>
      </c>
      <c r="G991" t="n">
        <v>5.2</v>
      </c>
      <c r="H991" t="n">
        <v>0</v>
      </c>
      <c r="I991" t="n">
        <v>0</v>
      </c>
      <c r="J991" t="n">
        <v>0</v>
      </c>
      <c r="K991" t="n">
        <v>0</v>
      </c>
      <c r="L991" t="n">
        <v>0</v>
      </c>
      <c r="M991" t="n">
        <v>0</v>
      </c>
      <c r="N991" t="n">
        <v>0</v>
      </c>
      <c r="O991" t="n">
        <v>0</v>
      </c>
      <c r="P991" t="n">
        <v>0</v>
      </c>
      <c r="Q991" t="n">
        <v>0</v>
      </c>
      <c r="R991" s="2" t="inlineStr"/>
    </row>
    <row r="992" ht="15" customHeight="1">
      <c r="A992" t="inlineStr">
        <is>
          <t>A 59570-2023</t>
        </is>
      </c>
      <c r="B992" s="1" t="n">
        <v>45254</v>
      </c>
      <c r="C992" s="1" t="n">
        <v>46075</v>
      </c>
      <c r="D992" t="inlineStr">
        <is>
          <t>UPPSALA LÄN</t>
        </is>
      </c>
      <c r="E992" t="inlineStr">
        <is>
          <t>UPPSALA</t>
        </is>
      </c>
      <c r="G992" t="n">
        <v>6.7</v>
      </c>
      <c r="H992" t="n">
        <v>0</v>
      </c>
      <c r="I992" t="n">
        <v>0</v>
      </c>
      <c r="J992" t="n">
        <v>0</v>
      </c>
      <c r="K992" t="n">
        <v>0</v>
      </c>
      <c r="L992" t="n">
        <v>0</v>
      </c>
      <c r="M992" t="n">
        <v>0</v>
      </c>
      <c r="N992" t="n">
        <v>0</v>
      </c>
      <c r="O992" t="n">
        <v>0</v>
      </c>
      <c r="P992" t="n">
        <v>0</v>
      </c>
      <c r="Q992" t="n">
        <v>0</v>
      </c>
      <c r="R992" s="2" t="inlineStr"/>
    </row>
    <row r="993" ht="15" customHeight="1">
      <c r="A993" t="inlineStr">
        <is>
          <t>A 10650-2024</t>
        </is>
      </c>
      <c r="B993" s="1" t="n">
        <v>45368.64787037037</v>
      </c>
      <c r="C993" s="1" t="n">
        <v>46075</v>
      </c>
      <c r="D993" t="inlineStr">
        <is>
          <t>UPPSALA LÄN</t>
        </is>
      </c>
      <c r="E993" t="inlineStr">
        <is>
          <t>UPPSALA</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46925-2024</t>
        </is>
      </c>
      <c r="B994" s="1" t="n">
        <v>45584.60038194444</v>
      </c>
      <c r="C994" s="1" t="n">
        <v>46075</v>
      </c>
      <c r="D994" t="inlineStr">
        <is>
          <t>UPPSALA LÄN</t>
        </is>
      </c>
      <c r="E994" t="inlineStr">
        <is>
          <t>UPPSALA</t>
        </is>
      </c>
      <c r="G994" t="n">
        <v>0.7</v>
      </c>
      <c r="H994" t="n">
        <v>0</v>
      </c>
      <c r="I994" t="n">
        <v>0</v>
      </c>
      <c r="J994" t="n">
        <v>0</v>
      </c>
      <c r="K994" t="n">
        <v>0</v>
      </c>
      <c r="L994" t="n">
        <v>0</v>
      </c>
      <c r="M994" t="n">
        <v>0</v>
      </c>
      <c r="N994" t="n">
        <v>0</v>
      </c>
      <c r="O994" t="n">
        <v>0</v>
      </c>
      <c r="P994" t="n">
        <v>0</v>
      </c>
      <c r="Q994" t="n">
        <v>0</v>
      </c>
      <c r="R994" s="2" t="inlineStr"/>
    </row>
    <row r="995" ht="15" customHeight="1">
      <c r="A995" t="inlineStr">
        <is>
          <t>A 26208-2023</t>
        </is>
      </c>
      <c r="B995" s="1" t="n">
        <v>45091</v>
      </c>
      <c r="C995" s="1" t="n">
        <v>46075</v>
      </c>
      <c r="D995" t="inlineStr">
        <is>
          <t>UPPSALA LÄN</t>
        </is>
      </c>
      <c r="E995" t="inlineStr">
        <is>
          <t>UPPSALA</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11260-2024</t>
        </is>
      </c>
      <c r="B996" s="1" t="n">
        <v>45371.67368055556</v>
      </c>
      <c r="C996" s="1" t="n">
        <v>46075</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3973-2025</t>
        </is>
      </c>
      <c r="B997" s="1" t="n">
        <v>45684</v>
      </c>
      <c r="C997" s="1" t="n">
        <v>46075</v>
      </c>
      <c r="D997" t="inlineStr">
        <is>
          <t>UPPSALA LÄN</t>
        </is>
      </c>
      <c r="E997" t="inlineStr">
        <is>
          <t>UPPSALA</t>
        </is>
      </c>
      <c r="G997" t="n">
        <v>8</v>
      </c>
      <c r="H997" t="n">
        <v>0</v>
      </c>
      <c r="I997" t="n">
        <v>0</v>
      </c>
      <c r="J997" t="n">
        <v>0</v>
      </c>
      <c r="K997" t="n">
        <v>0</v>
      </c>
      <c r="L997" t="n">
        <v>0</v>
      </c>
      <c r="M997" t="n">
        <v>0</v>
      </c>
      <c r="N997" t="n">
        <v>0</v>
      </c>
      <c r="O997" t="n">
        <v>0</v>
      </c>
      <c r="P997" t="n">
        <v>0</v>
      </c>
      <c r="Q997" t="n">
        <v>0</v>
      </c>
      <c r="R997" s="2" t="inlineStr"/>
    </row>
    <row r="998" ht="15" customHeight="1">
      <c r="A998" t="inlineStr">
        <is>
          <t>A 16324-2024</t>
        </is>
      </c>
      <c r="B998" s="1" t="n">
        <v>45407.49721064815</v>
      </c>
      <c r="C998" s="1" t="n">
        <v>46075</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42276-2024</t>
        </is>
      </c>
      <c r="B999" s="1" t="n">
        <v>45562</v>
      </c>
      <c r="C999" s="1" t="n">
        <v>46075</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42131-2023</t>
        </is>
      </c>
      <c r="B1000" s="1" t="n">
        <v>45177.79766203704</v>
      </c>
      <c r="C1000" s="1" t="n">
        <v>46075</v>
      </c>
      <c r="D1000" t="inlineStr">
        <is>
          <t>UPPSALA LÄN</t>
        </is>
      </c>
      <c r="E1000" t="inlineStr">
        <is>
          <t>UPPSALA</t>
        </is>
      </c>
      <c r="F1000" t="inlineStr">
        <is>
          <t>Allmännings- och besparingsskogar</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56564-2024</t>
        </is>
      </c>
      <c r="B1001" s="1" t="n">
        <v>45625.58501157408</v>
      </c>
      <c r="C1001" s="1" t="n">
        <v>46075</v>
      </c>
      <c r="D1001" t="inlineStr">
        <is>
          <t>UPPSALA LÄN</t>
        </is>
      </c>
      <c r="E1001" t="inlineStr">
        <is>
          <t>UPPSALA</t>
        </is>
      </c>
      <c r="F1001" t="inlineStr">
        <is>
          <t>Övriga Aktiebolag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4980-2024</t>
        </is>
      </c>
      <c r="B1002" s="1" t="n">
        <v>45329</v>
      </c>
      <c r="C1002" s="1" t="n">
        <v>46075</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750-2022</t>
        </is>
      </c>
      <c r="B1003" s="1" t="n">
        <v>44569.49344907407</v>
      </c>
      <c r="C1003" s="1" t="n">
        <v>46075</v>
      </c>
      <c r="D1003" t="inlineStr">
        <is>
          <t>UPPSALA LÄN</t>
        </is>
      </c>
      <c r="E1003" t="inlineStr">
        <is>
          <t>UPPSALA</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46751-2024</t>
        </is>
      </c>
      <c r="B1004" s="1" t="n">
        <v>45583.48449074074</v>
      </c>
      <c r="C1004" s="1" t="n">
        <v>46075</v>
      </c>
      <c r="D1004" t="inlineStr">
        <is>
          <t>UPPSALA LÄN</t>
        </is>
      </c>
      <c r="E1004" t="inlineStr">
        <is>
          <t>UPPSALA</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22930-2025</t>
        </is>
      </c>
      <c r="B1005" s="1" t="n">
        <v>45790.44972222222</v>
      </c>
      <c r="C1005" s="1" t="n">
        <v>46075</v>
      </c>
      <c r="D1005" t="inlineStr">
        <is>
          <t>UPPSALA LÄN</t>
        </is>
      </c>
      <c r="E1005" t="inlineStr">
        <is>
          <t>UPPSALA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11339-2025</t>
        </is>
      </c>
      <c r="B1006" s="1" t="n">
        <v>45726</v>
      </c>
      <c r="C1006" s="1" t="n">
        <v>46075</v>
      </c>
      <c r="D1006" t="inlineStr">
        <is>
          <t>UPPSALA LÄN</t>
        </is>
      </c>
      <c r="E1006" t="inlineStr">
        <is>
          <t>UPPSALA</t>
        </is>
      </c>
      <c r="G1006" t="n">
        <v>13.4</v>
      </c>
      <c r="H1006" t="n">
        <v>0</v>
      </c>
      <c r="I1006" t="n">
        <v>0</v>
      </c>
      <c r="J1006" t="n">
        <v>0</v>
      </c>
      <c r="K1006" t="n">
        <v>0</v>
      </c>
      <c r="L1006" t="n">
        <v>0</v>
      </c>
      <c r="M1006" t="n">
        <v>0</v>
      </c>
      <c r="N1006" t="n">
        <v>0</v>
      </c>
      <c r="O1006" t="n">
        <v>0</v>
      </c>
      <c r="P1006" t="n">
        <v>0</v>
      </c>
      <c r="Q1006" t="n">
        <v>0</v>
      </c>
      <c r="R1006" s="2" t="inlineStr"/>
    </row>
    <row r="1007" ht="15" customHeight="1">
      <c r="A1007" t="inlineStr">
        <is>
          <t>A 22951-2025</t>
        </is>
      </c>
      <c r="B1007" s="1" t="n">
        <v>45790.51040509259</v>
      </c>
      <c r="C1007" s="1" t="n">
        <v>46075</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30319-2024</t>
        </is>
      </c>
      <c r="B1008" s="1" t="n">
        <v>45490</v>
      </c>
      <c r="C1008" s="1" t="n">
        <v>46075</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45885-2023</t>
        </is>
      </c>
      <c r="B1009" s="1" t="n">
        <v>45195.64807870371</v>
      </c>
      <c r="C1009" s="1" t="n">
        <v>46075</v>
      </c>
      <c r="D1009" t="inlineStr">
        <is>
          <t>UPPSALA LÄN</t>
        </is>
      </c>
      <c r="E1009" t="inlineStr">
        <is>
          <t>UPPSALA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20903-2024</t>
        </is>
      </c>
      <c r="B1010" s="1" t="n">
        <v>45439</v>
      </c>
      <c r="C1010" s="1" t="n">
        <v>46075</v>
      </c>
      <c r="D1010" t="inlineStr">
        <is>
          <t>UPPSALA LÄN</t>
        </is>
      </c>
      <c r="E1010" t="inlineStr">
        <is>
          <t>UPPSALA</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5876-2024</t>
        </is>
      </c>
      <c r="B1011" s="1" t="n">
        <v>45335.66331018518</v>
      </c>
      <c r="C1011" s="1" t="n">
        <v>46075</v>
      </c>
      <c r="D1011" t="inlineStr">
        <is>
          <t>UPPSALA LÄN</t>
        </is>
      </c>
      <c r="E1011" t="inlineStr">
        <is>
          <t>UPPSALA</t>
        </is>
      </c>
      <c r="F1011" t="inlineStr">
        <is>
          <t>Kyrkan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59098-2024</t>
        </is>
      </c>
      <c r="B1012" s="1" t="n">
        <v>45636</v>
      </c>
      <c r="C1012" s="1" t="n">
        <v>46075</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24268-2025</t>
        </is>
      </c>
      <c r="B1013" s="1" t="n">
        <v>45797.42777777778</v>
      </c>
      <c r="C1013" s="1" t="n">
        <v>46075</v>
      </c>
      <c r="D1013" t="inlineStr">
        <is>
          <t>UPPSALA LÄN</t>
        </is>
      </c>
      <c r="E1013" t="inlineStr">
        <is>
          <t>UPPSALA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14026-2021</t>
        </is>
      </c>
      <c r="B1014" s="1" t="n">
        <v>44277.65650462963</v>
      </c>
      <c r="C1014" s="1" t="n">
        <v>46075</v>
      </c>
      <c r="D1014" t="inlineStr">
        <is>
          <t>UPPSALA LÄN</t>
        </is>
      </c>
      <c r="E1014" t="inlineStr">
        <is>
          <t>UPPSALA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46075</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34520-2024</t>
        </is>
      </c>
      <c r="B1016" s="1" t="n">
        <v>45525</v>
      </c>
      <c r="C1016" s="1" t="n">
        <v>46075</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19539-2024</t>
        </is>
      </c>
      <c r="B1017" s="1" t="n">
        <v>45429</v>
      </c>
      <c r="C1017" s="1" t="n">
        <v>46075</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24912-2025</t>
        </is>
      </c>
      <c r="B1018" s="1" t="n">
        <v>45799.53803240741</v>
      </c>
      <c r="C1018" s="1" t="n">
        <v>46075</v>
      </c>
      <c r="D1018" t="inlineStr">
        <is>
          <t>UPPSALA LÄN</t>
        </is>
      </c>
      <c r="E1018" t="inlineStr">
        <is>
          <t>UPPSALA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24961-2025</t>
        </is>
      </c>
      <c r="B1019" s="1" t="n">
        <v>45799.57714120371</v>
      </c>
      <c r="C1019" s="1" t="n">
        <v>46075</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12828-2025</t>
        </is>
      </c>
      <c r="B1020" s="1" t="n">
        <v>45733.62903935185</v>
      </c>
      <c r="C1020" s="1" t="n">
        <v>46075</v>
      </c>
      <c r="D1020" t="inlineStr">
        <is>
          <t>UPPSALA LÄN</t>
        </is>
      </c>
      <c r="E1020" t="inlineStr">
        <is>
          <t>UPPSALA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25026-2025</t>
        </is>
      </c>
      <c r="B1021" s="1" t="n">
        <v>45799.65021990741</v>
      </c>
      <c r="C1021" s="1" t="n">
        <v>46075</v>
      </c>
      <c r="D1021" t="inlineStr">
        <is>
          <t>UPPSALA LÄN</t>
        </is>
      </c>
      <c r="E1021" t="inlineStr">
        <is>
          <t>UPPSALA</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25030-2025</t>
        </is>
      </c>
      <c r="B1022" s="1" t="n">
        <v>45799.6527199074</v>
      </c>
      <c r="C1022" s="1" t="n">
        <v>46075</v>
      </c>
      <c r="D1022" t="inlineStr">
        <is>
          <t>UPPSALA LÄN</t>
        </is>
      </c>
      <c r="E1022" t="inlineStr">
        <is>
          <t>UPPSALA</t>
        </is>
      </c>
      <c r="F1022" t="inlineStr">
        <is>
          <t>Sveaskog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13742-2025</t>
        </is>
      </c>
      <c r="B1023" s="1" t="n">
        <v>45737.40503472222</v>
      </c>
      <c r="C1023" s="1" t="n">
        <v>46075</v>
      </c>
      <c r="D1023" t="inlineStr">
        <is>
          <t>UPPSALA LÄN</t>
        </is>
      </c>
      <c r="E1023" t="inlineStr">
        <is>
          <t>UPPSALA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46075</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46075</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6988-2025</t>
        </is>
      </c>
      <c r="B1026" s="1" t="n">
        <v>45693</v>
      </c>
      <c r="C1026" s="1" t="n">
        <v>46075</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24794-2025</t>
        </is>
      </c>
      <c r="B1027" s="1" t="n">
        <v>45799.43496527777</v>
      </c>
      <c r="C1027" s="1" t="n">
        <v>46075</v>
      </c>
      <c r="D1027" t="inlineStr">
        <is>
          <t>UPPSALA LÄN</t>
        </is>
      </c>
      <c r="E1027" t="inlineStr">
        <is>
          <t>UPPSALA</t>
        </is>
      </c>
      <c r="F1027" t="inlineStr">
        <is>
          <t>BillerudKorsnäs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24916-2025</t>
        </is>
      </c>
      <c r="B1028" s="1" t="n">
        <v>45799.5421875</v>
      </c>
      <c r="C1028" s="1" t="n">
        <v>46075</v>
      </c>
      <c r="D1028" t="inlineStr">
        <is>
          <t>UPPSALA LÄN</t>
        </is>
      </c>
      <c r="E1028" t="inlineStr">
        <is>
          <t>UPPSALA</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25025-2025</t>
        </is>
      </c>
      <c r="B1029" s="1" t="n">
        <v>45799.64877314815</v>
      </c>
      <c r="C1029" s="1" t="n">
        <v>46075</v>
      </c>
      <c r="D1029" t="inlineStr">
        <is>
          <t>UPPSALA LÄN</t>
        </is>
      </c>
      <c r="E1029" t="inlineStr">
        <is>
          <t>UPPSALA</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24525-2025</t>
        </is>
      </c>
      <c r="B1030" s="1" t="n">
        <v>45798.42252314815</v>
      </c>
      <c r="C1030" s="1" t="n">
        <v>46075</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25513-2025</t>
        </is>
      </c>
      <c r="B1031" s="1" t="n">
        <v>45803.36384259259</v>
      </c>
      <c r="C1031" s="1" t="n">
        <v>46075</v>
      </c>
      <c r="D1031" t="inlineStr">
        <is>
          <t>UPPSALA LÄN</t>
        </is>
      </c>
      <c r="E1031" t="inlineStr">
        <is>
          <t>UPPSALA</t>
        </is>
      </c>
      <c r="F1031" t="inlineStr">
        <is>
          <t>Bergvik skog öst AB</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25280-2023</t>
        </is>
      </c>
      <c r="B1032" s="1" t="n">
        <v>45086.7037037037</v>
      </c>
      <c r="C1032" s="1" t="n">
        <v>46075</v>
      </c>
      <c r="D1032" t="inlineStr">
        <is>
          <t>UPPSALA LÄN</t>
        </is>
      </c>
      <c r="E1032" t="inlineStr">
        <is>
          <t>UPPSALA</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25674-2025</t>
        </is>
      </c>
      <c r="B1033" s="1" t="n">
        <v>45803.63395833333</v>
      </c>
      <c r="C1033" s="1" t="n">
        <v>46075</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52197-2024</t>
        </is>
      </c>
      <c r="B1034" s="1" t="n">
        <v>45608</v>
      </c>
      <c r="C1034" s="1" t="n">
        <v>46075</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6628-2024</t>
        </is>
      </c>
      <c r="B1035" s="1" t="n">
        <v>45341</v>
      </c>
      <c r="C1035" s="1" t="n">
        <v>46075</v>
      </c>
      <c r="D1035" t="inlineStr">
        <is>
          <t>UPPSALA LÄN</t>
        </is>
      </c>
      <c r="E1035" t="inlineStr">
        <is>
          <t>UPPSALA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15264-2025</t>
        </is>
      </c>
      <c r="B1036" s="1" t="n">
        <v>45744</v>
      </c>
      <c r="C1036" s="1" t="n">
        <v>46075</v>
      </c>
      <c r="D1036" t="inlineStr">
        <is>
          <t>UPPSALA LÄN</t>
        </is>
      </c>
      <c r="E1036" t="inlineStr">
        <is>
          <t>UPPSALA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26130-2025</t>
        </is>
      </c>
      <c r="B1037" s="1" t="n">
        <v>45805.4094675926</v>
      </c>
      <c r="C1037" s="1" t="n">
        <v>46075</v>
      </c>
      <c r="D1037" t="inlineStr">
        <is>
          <t>UPPSALA LÄN</t>
        </is>
      </c>
      <c r="E1037" t="inlineStr">
        <is>
          <t>UPPSALA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46075</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26141-2025</t>
        </is>
      </c>
      <c r="B1039" s="1" t="n">
        <v>45805.4255787037</v>
      </c>
      <c r="C1039" s="1" t="n">
        <v>46075</v>
      </c>
      <c r="D1039" t="inlineStr">
        <is>
          <t>UPPSALA LÄN</t>
        </is>
      </c>
      <c r="E1039" t="inlineStr">
        <is>
          <t>UPPSALA</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26155-2025</t>
        </is>
      </c>
      <c r="B1040" s="1" t="n">
        <v>45805.43402777778</v>
      </c>
      <c r="C1040" s="1" t="n">
        <v>46075</v>
      </c>
      <c r="D1040" t="inlineStr">
        <is>
          <t>UPPSALA LÄN</t>
        </is>
      </c>
      <c r="E1040" t="inlineStr">
        <is>
          <t>UPPSALA</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26131-2025</t>
        </is>
      </c>
      <c r="B1041" s="1" t="n">
        <v>45805.41010416667</v>
      </c>
      <c r="C1041" s="1" t="n">
        <v>46075</v>
      </c>
      <c r="D1041" t="inlineStr">
        <is>
          <t>UPPSALA LÄN</t>
        </is>
      </c>
      <c r="E1041" t="inlineStr">
        <is>
          <t>UPPSALA</t>
        </is>
      </c>
      <c r="F1041" t="inlineStr">
        <is>
          <t>Bergvik skog öst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26740-2025</t>
        </is>
      </c>
      <c r="B1042" s="1" t="n">
        <v>45809</v>
      </c>
      <c r="C1042" s="1" t="n">
        <v>46075</v>
      </c>
      <c r="D1042" t="inlineStr">
        <is>
          <t>UPPSALA LÄN</t>
        </is>
      </c>
      <c r="E1042" t="inlineStr">
        <is>
          <t>UPPSALA</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46075</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26697-2025</t>
        </is>
      </c>
      <c r="B1044" s="1" t="n">
        <v>45810.44339120371</v>
      </c>
      <c r="C1044" s="1" t="n">
        <v>46075</v>
      </c>
      <c r="D1044" t="inlineStr">
        <is>
          <t>UPPSALA LÄN</t>
        </is>
      </c>
      <c r="E1044" t="inlineStr">
        <is>
          <t>UPPSALA</t>
        </is>
      </c>
      <c r="F1044" t="inlineStr">
        <is>
          <t>Bergvik skog öst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26713-2025</t>
        </is>
      </c>
      <c r="B1045" s="1" t="n">
        <v>45809</v>
      </c>
      <c r="C1045" s="1" t="n">
        <v>46075</v>
      </c>
      <c r="D1045" t="inlineStr">
        <is>
          <t>UPPSALA LÄN</t>
        </is>
      </c>
      <c r="E1045" t="inlineStr">
        <is>
          <t>UPPSALA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23494-2024</t>
        </is>
      </c>
      <c r="B1046" s="1" t="n">
        <v>45453.69339120371</v>
      </c>
      <c r="C1046" s="1" t="n">
        <v>46075</v>
      </c>
      <c r="D1046" t="inlineStr">
        <is>
          <t>UPPSALA LÄN</t>
        </is>
      </c>
      <c r="E1046" t="inlineStr">
        <is>
          <t>UPPSALA</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32127-2024</t>
        </is>
      </c>
      <c r="B1047" s="1" t="n">
        <v>45511</v>
      </c>
      <c r="C1047" s="1" t="n">
        <v>46075</v>
      </c>
      <c r="D1047" t="inlineStr">
        <is>
          <t>UPPSALA LÄN</t>
        </is>
      </c>
      <c r="E1047" t="inlineStr">
        <is>
          <t>UPPSALA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26696-2025</t>
        </is>
      </c>
      <c r="B1048" s="1" t="n">
        <v>45810.44299768518</v>
      </c>
      <c r="C1048" s="1" t="n">
        <v>46075</v>
      </c>
      <c r="D1048" t="inlineStr">
        <is>
          <t>UPPSALA LÄN</t>
        </is>
      </c>
      <c r="E1048" t="inlineStr">
        <is>
          <t>UPPSALA</t>
        </is>
      </c>
      <c r="F1048" t="inlineStr">
        <is>
          <t>Bergvik skog öst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27265-2025</t>
        </is>
      </c>
      <c r="B1049" s="1" t="n">
        <v>45812.48032407407</v>
      </c>
      <c r="C1049" s="1" t="n">
        <v>46075</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27538-2025</t>
        </is>
      </c>
      <c r="B1050" s="1" t="n">
        <v>45813.46034722222</v>
      </c>
      <c r="C1050" s="1" t="n">
        <v>46075</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10489-2025</t>
        </is>
      </c>
      <c r="B1051" s="1" t="n">
        <v>45721.34715277778</v>
      </c>
      <c r="C1051" s="1" t="n">
        <v>46075</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27917-2025</t>
        </is>
      </c>
      <c r="B1052" s="1" t="n">
        <v>45814</v>
      </c>
      <c r="C1052" s="1" t="n">
        <v>46075</v>
      </c>
      <c r="D1052" t="inlineStr">
        <is>
          <t>UPPSALA LÄN</t>
        </is>
      </c>
      <c r="E1052" t="inlineStr">
        <is>
          <t>UPPSALA</t>
        </is>
      </c>
      <c r="G1052" t="n">
        <v>4</v>
      </c>
      <c r="H1052" t="n">
        <v>0</v>
      </c>
      <c r="I1052" t="n">
        <v>0</v>
      </c>
      <c r="J1052" t="n">
        <v>0</v>
      </c>
      <c r="K1052" t="n">
        <v>0</v>
      </c>
      <c r="L1052" t="n">
        <v>0</v>
      </c>
      <c r="M1052" t="n">
        <v>0</v>
      </c>
      <c r="N1052" t="n">
        <v>0</v>
      </c>
      <c r="O1052" t="n">
        <v>0</v>
      </c>
      <c r="P1052" t="n">
        <v>0</v>
      </c>
      <c r="Q1052" t="n">
        <v>0</v>
      </c>
      <c r="R1052" s="2" t="inlineStr"/>
    </row>
    <row r="1053">
      <c r="A1053" t="inlineStr">
        <is>
          <t>A 28121-2025</t>
        </is>
      </c>
      <c r="B1053" s="1" t="n">
        <v>45817</v>
      </c>
      <c r="C1053" s="1" t="n">
        <v>46075</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2026-02-22T11:04:33Z</dcterms:created>
  <dcterms:modified xmlns:dcterms="http://purl.org/dc/terms/" xmlns:xsi="http://www.w3.org/2001/XMLSchema-instance" xsi:type="dcterms:W3CDTF">2026-02-22T11:04:34Z</dcterms:modified>
</cp:coreProperties>
</file>