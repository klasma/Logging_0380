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45880</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45880</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45880</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45880</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45880</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45880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45880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45880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27286-2025</t>
        </is>
      </c>
      <c r="B11" s="1" t="n">
        <v>45812.55136574074</v>
      </c>
      <c r="C11" s="1" t="n">
        <v>45880</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7380-2023</t>
        </is>
      </c>
      <c r="B12" s="1" t="n">
        <v>44971</v>
      </c>
      <c r="C12" s="1" t="n">
        <v>45880</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47453-2023</t>
        </is>
      </c>
      <c r="B13" s="1" t="n">
        <v>45202</v>
      </c>
      <c r="C13" s="1" t="n">
        <v>45880</v>
      </c>
      <c r="D13" t="inlineStr">
        <is>
          <t>UPPSALA LÄN</t>
        </is>
      </c>
      <c r="E13" t="inlineStr">
        <is>
          <t>UPPSALA</t>
        </is>
      </c>
      <c r="F13" t="inlineStr">
        <is>
          <t>Allmännings- och besparingsskogar</t>
        </is>
      </c>
      <c r="G13" t="n">
        <v>32.8</v>
      </c>
      <c r="H13" t="n">
        <v>3</v>
      </c>
      <c r="I13" t="n">
        <v>3</v>
      </c>
      <c r="J13" t="n">
        <v>5</v>
      </c>
      <c r="K13" t="n">
        <v>1</v>
      </c>
      <c r="L13" t="n">
        <v>0</v>
      </c>
      <c r="M13" t="n">
        <v>0</v>
      </c>
      <c r="N13" t="n">
        <v>0</v>
      </c>
      <c r="O13" t="n">
        <v>6</v>
      </c>
      <c r="P13" t="n">
        <v>1</v>
      </c>
      <c r="Q13" t="n">
        <v>11</v>
      </c>
      <c r="R13" s="2" t="inlineStr">
        <is>
          <t>Ostticka
Granticka
Större flatbagge
Tallticka
Tretåig hackspett
Vedtrappmossa
Bronshjon
Jättesvampmal
Thomsons trägnagare
Sparvuggla
Tjäder</t>
        </is>
      </c>
      <c r="S13">
        <f>HYPERLINK("https://klasma.github.io/Logging_0380/artfynd/A 47453-2023 artfynd.xlsx", "A 47453-2023")</f>
        <v/>
      </c>
      <c r="T13">
        <f>HYPERLINK("https://klasma.github.io/Logging_0380/kartor/A 47453-2023 karta.png", "A 47453-2023")</f>
        <v/>
      </c>
      <c r="U13">
        <f>HYPERLINK("https://klasma.github.io/Logging_0380/knärot/A 47453-2023 karta knärot.png", "A 47453-2023")</f>
        <v/>
      </c>
      <c r="V13">
        <f>HYPERLINK("https://klasma.github.io/Logging_0380/klagomål/A 47453-2023 FSC-klagomål.docx", "A 47453-2023")</f>
        <v/>
      </c>
      <c r="W13">
        <f>HYPERLINK("https://klasma.github.io/Logging_0380/klagomålsmail/A 47453-2023 FSC-klagomål mail.docx", "A 47453-2023")</f>
        <v/>
      </c>
      <c r="X13">
        <f>HYPERLINK("https://klasma.github.io/Logging_0380/tillsyn/A 47453-2023 tillsynsbegäran.docx", "A 47453-2023")</f>
        <v/>
      </c>
      <c r="Y13">
        <f>HYPERLINK("https://klasma.github.io/Logging_0380/tillsynsmail/A 47453-2023 tillsynsbegäran mail.docx", "A 47453-2023")</f>
        <v/>
      </c>
      <c r="Z13">
        <f>HYPERLINK("https://klasma.github.io/Logging_0380/fåglar/A 47453-2023 prioriterade fågelarter.docx", "A 47453-2023")</f>
        <v/>
      </c>
    </row>
    <row r="14" ht="15" customHeight="1">
      <c r="A14" t="inlineStr">
        <is>
          <t>A 10368-2022</t>
        </is>
      </c>
      <c r="B14" s="1" t="n">
        <v>44623</v>
      </c>
      <c r="C14" s="1" t="n">
        <v>45880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45880</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45880</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2021-2022</t>
        </is>
      </c>
      <c r="B17" s="1" t="n">
        <v>44575</v>
      </c>
      <c r="C17" s="1" t="n">
        <v>45880</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25604-2025</t>
        </is>
      </c>
      <c r="B18" s="1" t="n">
        <v>45803.55260416667</v>
      </c>
      <c r="C18" s="1" t="n">
        <v>45880</v>
      </c>
      <c r="D18" t="inlineStr">
        <is>
          <t>UPPSALA LÄN</t>
        </is>
      </c>
      <c r="E18" t="inlineStr">
        <is>
          <t>UPPSALA</t>
        </is>
      </c>
      <c r="F18" t="inlineStr">
        <is>
          <t>Holmen skog AB</t>
        </is>
      </c>
      <c r="G18" t="n">
        <v>4.7</v>
      </c>
      <c r="H18" t="n">
        <v>8</v>
      </c>
      <c r="I18" t="n">
        <v>2</v>
      </c>
      <c r="J18" t="n">
        <v>2</v>
      </c>
      <c r="K18" t="n">
        <v>2</v>
      </c>
      <c r="L18" t="n">
        <v>0</v>
      </c>
      <c r="M18" t="n">
        <v>0</v>
      </c>
      <c r="N18" t="n">
        <v>0</v>
      </c>
      <c r="O18" t="n">
        <v>4</v>
      </c>
      <c r="P18" t="n">
        <v>2</v>
      </c>
      <c r="Q18" t="n">
        <v>10</v>
      </c>
      <c r="R18" s="2" t="inlineStr">
        <is>
          <t>Knärot
Tallbit
Spillkråka
Talltita
Bronshjon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45880</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46162-2023</t>
        </is>
      </c>
      <c r="B20" s="1" t="n">
        <v>45196</v>
      </c>
      <c r="C20" s="1" t="n">
        <v>45880</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17846-2025</t>
        </is>
      </c>
      <c r="B21" s="1" t="n">
        <v>45758</v>
      </c>
      <c r="C21" s="1" t="n">
        <v>45880</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28450-2021</t>
        </is>
      </c>
      <c r="B22" s="1" t="n">
        <v>44356</v>
      </c>
      <c r="C22" s="1" t="n">
        <v>45880</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66979-2020</t>
        </is>
      </c>
      <c r="B23" s="1" t="n">
        <v>44180</v>
      </c>
      <c r="C23" s="1" t="n">
        <v>45880</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21674-2024</t>
        </is>
      </c>
      <c r="B24" s="1" t="n">
        <v>45442</v>
      </c>
      <c r="C24" s="1" t="n">
        <v>45880</v>
      </c>
      <c r="D24" t="inlineStr">
        <is>
          <t>UPPSALA LÄN</t>
        </is>
      </c>
      <c r="E24" t="inlineStr">
        <is>
          <t>UPPSALA</t>
        </is>
      </c>
      <c r="G24" t="n">
        <v>0.9</v>
      </c>
      <c r="H24" t="n">
        <v>8</v>
      </c>
      <c r="I24" t="n">
        <v>0</v>
      </c>
      <c r="J24" t="n">
        <v>4</v>
      </c>
      <c r="K24" t="n">
        <v>1</v>
      </c>
      <c r="L24" t="n">
        <v>2</v>
      </c>
      <c r="M24" t="n">
        <v>0</v>
      </c>
      <c r="N24" t="n">
        <v>0</v>
      </c>
      <c r="O24" t="n">
        <v>7</v>
      </c>
      <c r="P24" t="n">
        <v>3</v>
      </c>
      <c r="Q24" t="n">
        <v>8</v>
      </c>
      <c r="R24" s="2" t="inlineStr">
        <is>
          <t>Grönfink
Tornseglare
Stare
Entita
Gulsparv
Kråka
Svartvit flugsnappare
Sångsvan</t>
        </is>
      </c>
      <c r="S24">
        <f>HYPERLINK("https://klasma.github.io/Logging_0380/artfynd/A 21674-2024 artfynd.xlsx", "A 21674-2024")</f>
        <v/>
      </c>
      <c r="T24">
        <f>HYPERLINK("https://klasma.github.io/Logging_0380/kartor/A 21674-2024 karta.png", "A 21674-2024")</f>
        <v/>
      </c>
      <c r="V24">
        <f>HYPERLINK("https://klasma.github.io/Logging_0380/klagomål/A 21674-2024 FSC-klagomål.docx", "A 21674-2024")</f>
        <v/>
      </c>
      <c r="W24">
        <f>HYPERLINK("https://klasma.github.io/Logging_0380/klagomålsmail/A 21674-2024 FSC-klagomål mail.docx", "A 21674-2024")</f>
        <v/>
      </c>
      <c r="X24">
        <f>HYPERLINK("https://klasma.github.io/Logging_0380/tillsyn/A 21674-2024 tillsynsbegäran.docx", "A 21674-2024")</f>
        <v/>
      </c>
      <c r="Y24">
        <f>HYPERLINK("https://klasma.github.io/Logging_0380/tillsynsmail/A 21674-2024 tillsynsbegäran mail.docx", "A 21674-2024")</f>
        <v/>
      </c>
      <c r="Z24">
        <f>HYPERLINK("https://klasma.github.io/Logging_0380/fåglar/A 21674-2024 prioriterade fågelarter.docx", "A 21674-2024")</f>
        <v/>
      </c>
    </row>
    <row r="25" ht="15" customHeight="1">
      <c r="A25" t="inlineStr">
        <is>
          <t>A 26460-2023</t>
        </is>
      </c>
      <c r="B25" s="1" t="n">
        <v>45092</v>
      </c>
      <c r="C25" s="1" t="n">
        <v>45880</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61014-2021</t>
        </is>
      </c>
      <c r="B26" s="1" t="n">
        <v>44497</v>
      </c>
      <c r="C26" s="1" t="n">
        <v>45880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27281-2025</t>
        </is>
      </c>
      <c r="B27" s="1" t="n">
        <v>45812</v>
      </c>
      <c r="C27" s="1" t="n">
        <v>45880</v>
      </c>
      <c r="D27" t="inlineStr">
        <is>
          <t>UPPSALA LÄN</t>
        </is>
      </c>
      <c r="E27" t="inlineStr">
        <is>
          <t>UPPSALA</t>
        </is>
      </c>
      <c r="G27" t="n">
        <v>2.8</v>
      </c>
      <c r="H27" t="n">
        <v>4</v>
      </c>
      <c r="I27" t="n">
        <v>3</v>
      </c>
      <c r="J27" t="n">
        <v>2</v>
      </c>
      <c r="K27" t="n">
        <v>0</v>
      </c>
      <c r="L27" t="n">
        <v>0</v>
      </c>
      <c r="M27" t="n">
        <v>0</v>
      </c>
      <c r="N27" t="n">
        <v>0</v>
      </c>
      <c r="O27" t="n">
        <v>2</v>
      </c>
      <c r="P27" t="n">
        <v>0</v>
      </c>
      <c r="Q27" t="n">
        <v>8</v>
      </c>
      <c r="R27" s="2" t="inlineStr">
        <is>
          <t>Ullticka
Vedtrappmossa
Grön sköldmossa
Svart trolldruva
Vedticka
Kungsfågel
Nattviol
Blåsippa</t>
        </is>
      </c>
      <c r="S27">
        <f>HYPERLINK("https://klasma.github.io/Logging_0380/artfynd/A 27281-2025 artfynd.xlsx", "A 27281-2025")</f>
        <v/>
      </c>
      <c r="T27">
        <f>HYPERLINK("https://klasma.github.io/Logging_0380/kartor/A 27281-2025 karta.png", "A 27281-2025")</f>
        <v/>
      </c>
      <c r="V27">
        <f>HYPERLINK("https://klasma.github.io/Logging_0380/klagomål/A 27281-2025 FSC-klagomål.docx", "A 27281-2025")</f>
        <v/>
      </c>
      <c r="W27">
        <f>HYPERLINK("https://klasma.github.io/Logging_0380/klagomålsmail/A 27281-2025 FSC-klagomål mail.docx", "A 27281-2025")</f>
        <v/>
      </c>
      <c r="X27">
        <f>HYPERLINK("https://klasma.github.io/Logging_0380/tillsyn/A 27281-2025 tillsynsbegäran.docx", "A 27281-2025")</f>
        <v/>
      </c>
      <c r="Y27">
        <f>HYPERLINK("https://klasma.github.io/Logging_0380/tillsynsmail/A 27281-2025 tillsynsbegäran mail.docx", "A 27281-2025")</f>
        <v/>
      </c>
      <c r="Z27">
        <f>HYPERLINK("https://klasma.github.io/Logging_0380/fåglar/A 27281-2025 prioriterade fågelarter.docx", "A 27281-2025")</f>
        <v/>
      </c>
    </row>
    <row r="28" ht="15" customHeight="1">
      <c r="A28" t="inlineStr">
        <is>
          <t>A 14836-2023</t>
        </is>
      </c>
      <c r="B28" s="1" t="n">
        <v>45013</v>
      </c>
      <c r="C28" s="1" t="n">
        <v>45880</v>
      </c>
      <c r="D28" t="inlineStr">
        <is>
          <t>UPPSALA LÄN</t>
        </is>
      </c>
      <c r="E28" t="inlineStr">
        <is>
          <t>UPPSALA</t>
        </is>
      </c>
      <c r="G28" t="n">
        <v>8.199999999999999</v>
      </c>
      <c r="H28" t="n">
        <v>5</v>
      </c>
      <c r="I28" t="n">
        <v>2</v>
      </c>
      <c r="J28" t="n">
        <v>3</v>
      </c>
      <c r="K28" t="n">
        <v>1</v>
      </c>
      <c r="L28" t="n">
        <v>0</v>
      </c>
      <c r="M28" t="n">
        <v>0</v>
      </c>
      <c r="N28" t="n">
        <v>0</v>
      </c>
      <c r="O28" t="n">
        <v>4</v>
      </c>
      <c r="P28" t="n">
        <v>1</v>
      </c>
      <c r="Q28" t="n">
        <v>7</v>
      </c>
      <c r="R28" s="2" t="inlineStr">
        <is>
          <t>Kricka
Entita
Gulsparv
Rödvingetrast
Björksplintborre
Jättesvampmal
Nötkråka</t>
        </is>
      </c>
      <c r="S28">
        <f>HYPERLINK("https://klasma.github.io/Logging_0380/artfynd/A 14836-2023 artfynd.xlsx", "A 14836-2023")</f>
        <v/>
      </c>
      <c r="T28">
        <f>HYPERLINK("https://klasma.github.io/Logging_0380/kartor/A 14836-2023 karta.png", "A 14836-2023")</f>
        <v/>
      </c>
      <c r="V28">
        <f>HYPERLINK("https://klasma.github.io/Logging_0380/klagomål/A 14836-2023 FSC-klagomål.docx", "A 14836-2023")</f>
        <v/>
      </c>
      <c r="W28">
        <f>HYPERLINK("https://klasma.github.io/Logging_0380/klagomålsmail/A 14836-2023 FSC-klagomål mail.docx", "A 14836-2023")</f>
        <v/>
      </c>
      <c r="X28">
        <f>HYPERLINK("https://klasma.github.io/Logging_0380/tillsyn/A 14836-2023 tillsynsbegäran.docx", "A 14836-2023")</f>
        <v/>
      </c>
      <c r="Y28">
        <f>HYPERLINK("https://klasma.github.io/Logging_0380/tillsynsmail/A 14836-2023 tillsynsbegäran mail.docx", "A 14836-2023")</f>
        <v/>
      </c>
      <c r="Z28">
        <f>HYPERLINK("https://klasma.github.io/Logging_0380/fåglar/A 14836-2023 prioriterade fågelarter.docx", "A 14836-2023")</f>
        <v/>
      </c>
    </row>
    <row r="29" ht="15" customHeight="1">
      <c r="A29" t="inlineStr">
        <is>
          <t>A 24987-2025</t>
        </is>
      </c>
      <c r="B29" s="1" t="n">
        <v>45799.60315972222</v>
      </c>
      <c r="C29" s="1" t="n">
        <v>45880</v>
      </c>
      <c r="D29" t="inlineStr">
        <is>
          <t>UPPSALA LÄN</t>
        </is>
      </c>
      <c r="E29" t="inlineStr">
        <is>
          <t>UPPSALA</t>
        </is>
      </c>
      <c r="G29" t="n">
        <v>2.6</v>
      </c>
      <c r="H29" t="n">
        <v>1</v>
      </c>
      <c r="I29" t="n">
        <v>3</v>
      </c>
      <c r="J29" t="n">
        <v>3</v>
      </c>
      <c r="K29" t="n">
        <v>0</v>
      </c>
      <c r="L29" t="n">
        <v>0</v>
      </c>
      <c r="M29" t="n">
        <v>0</v>
      </c>
      <c r="N29" t="n">
        <v>0</v>
      </c>
      <c r="O29" t="n">
        <v>3</v>
      </c>
      <c r="P29" t="n">
        <v>0</v>
      </c>
      <c r="Q29" t="n">
        <v>7</v>
      </c>
      <c r="R29" s="2" t="inlineStr">
        <is>
          <t>Bronspraktbagge
Fyrflikig jordstjärna
Mindre timmerman
Fjällig taggsvamp s.str.
Skarp dropptaggsvamp
Svavelriska
Blåsippa</t>
        </is>
      </c>
      <c r="S29">
        <f>HYPERLINK("https://klasma.github.io/Logging_0380/artfynd/A 24987-2025 artfynd.xlsx", "A 24987-2025")</f>
        <v/>
      </c>
      <c r="T29">
        <f>HYPERLINK("https://klasma.github.io/Logging_0380/kartor/A 24987-2025 karta.png", "A 24987-2025")</f>
        <v/>
      </c>
      <c r="V29">
        <f>HYPERLINK("https://klasma.github.io/Logging_0380/klagomål/A 24987-2025 FSC-klagomål.docx", "A 24987-2025")</f>
        <v/>
      </c>
      <c r="W29">
        <f>HYPERLINK("https://klasma.github.io/Logging_0380/klagomålsmail/A 24987-2025 FSC-klagomål mail.docx", "A 24987-2025")</f>
        <v/>
      </c>
      <c r="X29">
        <f>HYPERLINK("https://klasma.github.io/Logging_0380/tillsyn/A 24987-2025 tillsynsbegäran.docx", "A 24987-2025")</f>
        <v/>
      </c>
      <c r="Y29">
        <f>HYPERLINK("https://klasma.github.io/Logging_0380/tillsynsmail/A 24987-2025 tillsynsbegäran mail.docx", "A 24987-2025")</f>
        <v/>
      </c>
    </row>
    <row r="30" ht="15" customHeight="1">
      <c r="A30" t="inlineStr">
        <is>
          <t>A 34459-2022</t>
        </is>
      </c>
      <c r="B30" s="1" t="n">
        <v>44792</v>
      </c>
      <c r="C30" s="1" t="n">
        <v>45880</v>
      </c>
      <c r="D30" t="inlineStr">
        <is>
          <t>UPPSALA LÄN</t>
        </is>
      </c>
      <c r="E30" t="inlineStr">
        <is>
          <t>UPPSALA</t>
        </is>
      </c>
      <c r="F30" t="inlineStr">
        <is>
          <t>Kommuner</t>
        </is>
      </c>
      <c r="G30" t="n">
        <v>2.6</v>
      </c>
      <c r="H30" t="n">
        <v>5</v>
      </c>
      <c r="I30" t="n">
        <v>1</v>
      </c>
      <c r="J30" t="n">
        <v>0</v>
      </c>
      <c r="K30" t="n">
        <v>0</v>
      </c>
      <c r="L30" t="n">
        <v>1</v>
      </c>
      <c r="M30" t="n">
        <v>0</v>
      </c>
      <c r="N30" t="n">
        <v>0</v>
      </c>
      <c r="O30" t="n">
        <v>1</v>
      </c>
      <c r="P30" t="n">
        <v>1</v>
      </c>
      <c r="Q30" t="n">
        <v>6</v>
      </c>
      <c r="R30" s="2" t="inlineStr">
        <is>
          <t>Cinnoberbagge
Svart trolldruva
Åkergroda
Huggorm
Vanlig padda
Vanlig snok</t>
        </is>
      </c>
      <c r="S30">
        <f>HYPERLINK("https://klasma.github.io/Logging_0380/artfynd/A 34459-2022 artfynd.xlsx", "A 34459-2022")</f>
        <v/>
      </c>
      <c r="T30">
        <f>HYPERLINK("https://klasma.github.io/Logging_0380/kartor/A 34459-2022 karta.png", "A 34459-2022")</f>
        <v/>
      </c>
      <c r="V30">
        <f>HYPERLINK("https://klasma.github.io/Logging_0380/klagomål/A 34459-2022 FSC-klagomål.docx", "A 34459-2022")</f>
        <v/>
      </c>
      <c r="W30">
        <f>HYPERLINK("https://klasma.github.io/Logging_0380/klagomålsmail/A 34459-2022 FSC-klagomål mail.docx", "A 34459-2022")</f>
        <v/>
      </c>
      <c r="X30">
        <f>HYPERLINK("https://klasma.github.io/Logging_0380/tillsyn/A 34459-2022 tillsynsbegäran.docx", "A 34459-2022")</f>
        <v/>
      </c>
      <c r="Y30">
        <f>HYPERLINK("https://klasma.github.io/Logging_0380/tillsynsmail/A 34459-2022 tillsynsbegäran mail.docx", "A 34459-2022")</f>
        <v/>
      </c>
    </row>
    <row r="31" ht="15" customHeight="1">
      <c r="A31" t="inlineStr">
        <is>
          <t>A 25651-2025</t>
        </is>
      </c>
      <c r="B31" s="1" t="n">
        <v>45803.61035879629</v>
      </c>
      <c r="C31" s="1" t="n">
        <v>45880</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61388-2021</t>
        </is>
      </c>
      <c r="B32" s="1" t="n">
        <v>44500</v>
      </c>
      <c r="C32" s="1" t="n">
        <v>45880</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45880</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1725-2022</t>
        </is>
      </c>
      <c r="B34" s="1" t="n">
        <v>44574</v>
      </c>
      <c r="C34" s="1" t="n">
        <v>45880</v>
      </c>
      <c r="D34" t="inlineStr">
        <is>
          <t>UPPSALA LÄN</t>
        </is>
      </c>
      <c r="E34" t="inlineStr">
        <is>
          <t>UPPSALA</t>
        </is>
      </c>
      <c r="G34" t="n">
        <v>6.1</v>
      </c>
      <c r="H34" t="n">
        <v>1</v>
      </c>
      <c r="I34" t="n">
        <v>4</v>
      </c>
      <c r="J34" t="n">
        <v>1</v>
      </c>
      <c r="K34" t="n">
        <v>0</v>
      </c>
      <c r="L34" t="n">
        <v>0</v>
      </c>
      <c r="M34" t="n">
        <v>0</v>
      </c>
      <c r="N34" t="n">
        <v>0</v>
      </c>
      <c r="O34" t="n">
        <v>1</v>
      </c>
      <c r="P34" t="n">
        <v>0</v>
      </c>
      <c r="Q34" t="n">
        <v>5</v>
      </c>
      <c r="R34" s="2" t="inlineStr">
        <is>
          <t>Järpe
Fjällig taggsvamp s.str.
Fällmossa
Platt fjädermossa
Stubbspretmossa</t>
        </is>
      </c>
      <c r="S34">
        <f>HYPERLINK("https://klasma.github.io/Logging_0380/artfynd/A 1725-2022 artfynd.xlsx", "A 1725-2022")</f>
        <v/>
      </c>
      <c r="T34">
        <f>HYPERLINK("https://klasma.github.io/Logging_0380/kartor/A 1725-2022 karta.png", "A 1725-2022")</f>
        <v/>
      </c>
      <c r="V34">
        <f>HYPERLINK("https://klasma.github.io/Logging_0380/klagomål/A 1725-2022 FSC-klagomål.docx", "A 1725-2022")</f>
        <v/>
      </c>
      <c r="W34">
        <f>HYPERLINK("https://klasma.github.io/Logging_0380/klagomålsmail/A 1725-2022 FSC-klagomål mail.docx", "A 1725-2022")</f>
        <v/>
      </c>
      <c r="X34">
        <f>HYPERLINK("https://klasma.github.io/Logging_0380/tillsyn/A 1725-2022 tillsynsbegäran.docx", "A 1725-2022")</f>
        <v/>
      </c>
      <c r="Y34">
        <f>HYPERLINK("https://klasma.github.io/Logging_0380/tillsynsmail/A 1725-2022 tillsynsbegäran mail.docx", "A 1725-2022")</f>
        <v/>
      </c>
      <c r="Z34">
        <f>HYPERLINK("https://klasma.github.io/Logging_0380/fåglar/A 1725-2022 prioriterade fågelarter.docx", "A 1725-2022")</f>
        <v/>
      </c>
    </row>
    <row r="35" ht="15" customHeight="1">
      <c r="A35" t="inlineStr">
        <is>
          <t>A 3100-2024</t>
        </is>
      </c>
      <c r="B35" s="1" t="n">
        <v>45316</v>
      </c>
      <c r="C35" s="1" t="n">
        <v>45880</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29803-2023</t>
        </is>
      </c>
      <c r="B36" s="1" t="n">
        <v>45107</v>
      </c>
      <c r="C36" s="1" t="n">
        <v>45880</v>
      </c>
      <c r="D36" t="inlineStr">
        <is>
          <t>UPPSALA LÄN</t>
        </is>
      </c>
      <c r="E36" t="inlineStr">
        <is>
          <t>UPPSALA</t>
        </is>
      </c>
      <c r="G36" t="n">
        <v>2.5</v>
      </c>
      <c r="H36" t="n">
        <v>0</v>
      </c>
      <c r="I36" t="n">
        <v>3</v>
      </c>
      <c r="J36" t="n">
        <v>2</v>
      </c>
      <c r="K36" t="n">
        <v>0</v>
      </c>
      <c r="L36" t="n">
        <v>0</v>
      </c>
      <c r="M36" t="n">
        <v>0</v>
      </c>
      <c r="N36" t="n">
        <v>0</v>
      </c>
      <c r="O36" t="n">
        <v>2</v>
      </c>
      <c r="P36" t="n">
        <v>0</v>
      </c>
      <c r="Q36" t="n">
        <v>5</v>
      </c>
      <c r="R36" s="2" t="inlineStr">
        <is>
          <t>Barrviolspindling
Flattoppad klubbsvamp
Blomkålssvamp
Fjällig taggsvamp s.str.
Svavelriska</t>
        </is>
      </c>
      <c r="S36">
        <f>HYPERLINK("https://klasma.github.io/Logging_0380/artfynd/A 29803-2023 artfynd.xlsx", "A 29803-2023")</f>
        <v/>
      </c>
      <c r="T36">
        <f>HYPERLINK("https://klasma.github.io/Logging_0380/kartor/A 29803-2023 karta.png", "A 29803-2023")</f>
        <v/>
      </c>
      <c r="V36">
        <f>HYPERLINK("https://klasma.github.io/Logging_0380/klagomål/A 29803-2023 FSC-klagomål.docx", "A 29803-2023")</f>
        <v/>
      </c>
      <c r="W36">
        <f>HYPERLINK("https://klasma.github.io/Logging_0380/klagomålsmail/A 29803-2023 FSC-klagomål mail.docx", "A 29803-2023")</f>
        <v/>
      </c>
      <c r="X36">
        <f>HYPERLINK("https://klasma.github.io/Logging_0380/tillsyn/A 29803-2023 tillsynsbegäran.docx", "A 29803-2023")</f>
        <v/>
      </c>
      <c r="Y36">
        <f>HYPERLINK("https://klasma.github.io/Logging_0380/tillsynsmail/A 29803-2023 tillsynsbegäran mail.docx", "A 29803-2023")</f>
        <v/>
      </c>
    </row>
    <row r="37" ht="15" customHeight="1">
      <c r="A37" t="inlineStr">
        <is>
          <t>A 13546-2025</t>
        </is>
      </c>
      <c r="B37" s="1" t="n">
        <v>45736.53695601852</v>
      </c>
      <c r="C37" s="1" t="n">
        <v>45880</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45880</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23153-2022</t>
        </is>
      </c>
      <c r="B39" s="1" t="n">
        <v>44719</v>
      </c>
      <c r="C39" s="1" t="n">
        <v>45880</v>
      </c>
      <c r="D39" t="inlineStr">
        <is>
          <t>UPPSALA LÄN</t>
        </is>
      </c>
      <c r="E39" t="inlineStr">
        <is>
          <t>UPPSALA</t>
        </is>
      </c>
      <c r="G39" t="n">
        <v>5.4</v>
      </c>
      <c r="H39" t="n">
        <v>0</v>
      </c>
      <c r="I39" t="n">
        <v>3</v>
      </c>
      <c r="J39" t="n">
        <v>1</v>
      </c>
      <c r="K39" t="n">
        <v>0</v>
      </c>
      <c r="L39" t="n">
        <v>0</v>
      </c>
      <c r="M39" t="n">
        <v>0</v>
      </c>
      <c r="N39" t="n">
        <v>0</v>
      </c>
      <c r="O39" t="n">
        <v>1</v>
      </c>
      <c r="P39" t="n">
        <v>0</v>
      </c>
      <c r="Q39" t="n">
        <v>4</v>
      </c>
      <c r="R39" s="2" t="inlineStr">
        <is>
          <t>Större flatbagge
Bronshjon
Thomsons trägnagare
Trådticka</t>
        </is>
      </c>
      <c r="S39">
        <f>HYPERLINK("https://klasma.github.io/Logging_0380/artfynd/A 23153-2022 artfynd.xlsx", "A 23153-2022")</f>
        <v/>
      </c>
      <c r="T39">
        <f>HYPERLINK("https://klasma.github.io/Logging_0380/kartor/A 23153-2022 karta.png", "A 23153-2022")</f>
        <v/>
      </c>
      <c r="V39">
        <f>HYPERLINK("https://klasma.github.io/Logging_0380/klagomål/A 23153-2022 FSC-klagomål.docx", "A 23153-2022")</f>
        <v/>
      </c>
      <c r="W39">
        <f>HYPERLINK("https://klasma.github.io/Logging_0380/klagomålsmail/A 23153-2022 FSC-klagomål mail.docx", "A 23153-2022")</f>
        <v/>
      </c>
      <c r="X39">
        <f>HYPERLINK("https://klasma.github.io/Logging_0380/tillsyn/A 23153-2022 tillsynsbegäran.docx", "A 23153-2022")</f>
        <v/>
      </c>
      <c r="Y39">
        <f>HYPERLINK("https://klasma.github.io/Logging_0380/tillsynsmail/A 23153-2022 tillsynsbegäran mail.docx", "A 23153-2022")</f>
        <v/>
      </c>
    </row>
    <row r="40" ht="15" customHeight="1">
      <c r="A40" t="inlineStr">
        <is>
          <t>A 37670-2020</t>
        </is>
      </c>
      <c r="B40" s="1" t="n">
        <v>44056</v>
      </c>
      <c r="C40" s="1" t="n">
        <v>45880</v>
      </c>
      <c r="D40" t="inlineStr">
        <is>
          <t>UPPSALA LÄN</t>
        </is>
      </c>
      <c r="E40" t="inlineStr">
        <is>
          <t>UPPSALA</t>
        </is>
      </c>
      <c r="F40" t="inlineStr">
        <is>
          <t>Allmännings- och besparingsskogar</t>
        </is>
      </c>
      <c r="G40" t="n">
        <v>56.8</v>
      </c>
      <c r="H40" t="n">
        <v>3</v>
      </c>
      <c r="I40" t="n">
        <v>2</v>
      </c>
      <c r="J40" t="n">
        <v>1</v>
      </c>
      <c r="K40" t="n">
        <v>1</v>
      </c>
      <c r="L40" t="n">
        <v>0</v>
      </c>
      <c r="M40" t="n">
        <v>0</v>
      </c>
      <c r="N40" t="n">
        <v>0</v>
      </c>
      <c r="O40" t="n">
        <v>2</v>
      </c>
      <c r="P40" t="n">
        <v>1</v>
      </c>
      <c r="Q40" t="n">
        <v>4</v>
      </c>
      <c r="R40" s="2" t="inlineStr">
        <is>
          <t>Knärot
Talltita
Grönpyrola
Plattlummer</t>
        </is>
      </c>
      <c r="S40">
        <f>HYPERLINK("https://klasma.github.io/Logging_0380/artfynd/A 37670-2020 artfynd.xlsx", "A 37670-2020")</f>
        <v/>
      </c>
      <c r="T40">
        <f>HYPERLINK("https://klasma.github.io/Logging_0380/kartor/A 37670-2020 karta.png", "A 37670-2020")</f>
        <v/>
      </c>
      <c r="U40">
        <f>HYPERLINK("https://klasma.github.io/Logging_0380/knärot/A 37670-2020 karta knärot.png", "A 37670-2020")</f>
        <v/>
      </c>
      <c r="V40">
        <f>HYPERLINK("https://klasma.github.io/Logging_0380/klagomål/A 37670-2020 FSC-klagomål.docx", "A 37670-2020")</f>
        <v/>
      </c>
      <c r="W40">
        <f>HYPERLINK("https://klasma.github.io/Logging_0380/klagomålsmail/A 37670-2020 FSC-klagomål mail.docx", "A 37670-2020")</f>
        <v/>
      </c>
      <c r="X40">
        <f>HYPERLINK("https://klasma.github.io/Logging_0380/tillsyn/A 37670-2020 tillsynsbegäran.docx", "A 37670-2020")</f>
        <v/>
      </c>
      <c r="Y40">
        <f>HYPERLINK("https://klasma.github.io/Logging_0380/tillsynsmail/A 37670-2020 tillsynsbegäran mail.docx", "A 37670-2020")</f>
        <v/>
      </c>
      <c r="Z40">
        <f>HYPERLINK("https://klasma.github.io/Logging_0380/fåglar/A 37670-2020 prioriterade fågelarter.docx", "A 37670-2020")</f>
        <v/>
      </c>
    </row>
    <row r="41" ht="15" customHeight="1">
      <c r="A41" t="inlineStr">
        <is>
          <t>A 15956-2022</t>
        </is>
      </c>
      <c r="B41" s="1" t="n">
        <v>44664</v>
      </c>
      <c r="C41" s="1" t="n">
        <v>45880</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11217-2024</t>
        </is>
      </c>
      <c r="B42" s="1" t="n">
        <v>45371</v>
      </c>
      <c r="C42" s="1" t="n">
        <v>45880</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8323-2023</t>
        </is>
      </c>
      <c r="B43" s="1" t="n">
        <v>44974</v>
      </c>
      <c r="C43" s="1" t="n">
        <v>45880</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33636-2025</t>
        </is>
      </c>
      <c r="B44" s="1" t="n">
        <v>45841.64539351852</v>
      </c>
      <c r="C44" s="1" t="n">
        <v>45880</v>
      </c>
      <c r="D44" t="inlineStr">
        <is>
          <t>UPPSALA LÄN</t>
        </is>
      </c>
      <c r="E44" t="inlineStr">
        <is>
          <t>UPPSALA</t>
        </is>
      </c>
      <c r="F44" t="inlineStr">
        <is>
          <t>Holmen skog AB</t>
        </is>
      </c>
      <c r="G44" t="n">
        <v>13.3</v>
      </c>
      <c r="H44" t="n">
        <v>0</v>
      </c>
      <c r="I44" t="n">
        <v>2</v>
      </c>
      <c r="J44" t="n">
        <v>2</v>
      </c>
      <c r="K44" t="n">
        <v>0</v>
      </c>
      <c r="L44" t="n">
        <v>0</v>
      </c>
      <c r="M44" t="n">
        <v>0</v>
      </c>
      <c r="N44" t="n">
        <v>0</v>
      </c>
      <c r="O44" t="n">
        <v>2</v>
      </c>
      <c r="P44" t="n">
        <v>0</v>
      </c>
      <c r="Q44" t="n">
        <v>4</v>
      </c>
      <c r="R44" s="2" t="inlineStr">
        <is>
          <t>Lunglav
Rödbrun blekspik
Brun nållav
Fällmossa</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21809-2024</t>
        </is>
      </c>
      <c r="B45" s="1" t="n">
        <v>45442</v>
      </c>
      <c r="C45" s="1" t="n">
        <v>45880</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45880</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45880</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16456-2023</t>
        </is>
      </c>
      <c r="B48" s="1" t="n">
        <v>45026</v>
      </c>
      <c r="C48" s="1" t="n">
        <v>45880</v>
      </c>
      <c r="D48" t="inlineStr">
        <is>
          <t>UPPSALA LÄN</t>
        </is>
      </c>
      <c r="E48" t="inlineStr">
        <is>
          <t>UPPSALA</t>
        </is>
      </c>
      <c r="G48" t="n">
        <v>6.5</v>
      </c>
      <c r="H48" t="n">
        <v>3</v>
      </c>
      <c r="I48" t="n">
        <v>1</v>
      </c>
      <c r="J48" t="n">
        <v>2</v>
      </c>
      <c r="K48" t="n">
        <v>0</v>
      </c>
      <c r="L48" t="n">
        <v>0</v>
      </c>
      <c r="M48" t="n">
        <v>0</v>
      </c>
      <c r="N48" t="n">
        <v>0</v>
      </c>
      <c r="O48" t="n">
        <v>2</v>
      </c>
      <c r="P48" t="n">
        <v>0</v>
      </c>
      <c r="Q48" t="n">
        <v>4</v>
      </c>
      <c r="R48" s="2" t="inlineStr">
        <is>
          <t>Entita
Rödvingetrast
Björksplintborre
Skogsduva</t>
        </is>
      </c>
      <c r="S48">
        <f>HYPERLINK("https://klasma.github.io/Logging_0380/artfynd/A 16456-2023 artfynd.xlsx", "A 16456-2023")</f>
        <v/>
      </c>
      <c r="T48">
        <f>HYPERLINK("https://klasma.github.io/Logging_0380/kartor/A 16456-2023 karta.png", "A 16456-2023")</f>
        <v/>
      </c>
      <c r="V48">
        <f>HYPERLINK("https://klasma.github.io/Logging_0380/klagomål/A 16456-2023 FSC-klagomål.docx", "A 16456-2023")</f>
        <v/>
      </c>
      <c r="W48">
        <f>HYPERLINK("https://klasma.github.io/Logging_0380/klagomålsmail/A 16456-2023 FSC-klagomål mail.docx", "A 16456-2023")</f>
        <v/>
      </c>
      <c r="X48">
        <f>HYPERLINK("https://klasma.github.io/Logging_0380/tillsyn/A 16456-2023 tillsynsbegäran.docx", "A 16456-2023")</f>
        <v/>
      </c>
      <c r="Y48">
        <f>HYPERLINK("https://klasma.github.io/Logging_0380/tillsynsmail/A 16456-2023 tillsynsbegäran mail.docx", "A 16456-2023")</f>
        <v/>
      </c>
      <c r="Z48">
        <f>HYPERLINK("https://klasma.github.io/Logging_0380/fåglar/A 16456-2023 prioriterade fågelarter.docx", "A 16456-2023")</f>
        <v/>
      </c>
    </row>
    <row r="49" ht="15" customHeight="1">
      <c r="A49" t="inlineStr">
        <is>
          <t>A 34147-2022</t>
        </is>
      </c>
      <c r="B49" s="1" t="n">
        <v>44791</v>
      </c>
      <c r="C49" s="1" t="n">
        <v>45880</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45880</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45880</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45880</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45880</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45880</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45880</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45880</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45880</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45880</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5755-2025</t>
        </is>
      </c>
      <c r="B59" s="1" t="n">
        <v>45694.55559027778</v>
      </c>
      <c r="C59" s="1" t="n">
        <v>45880</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17277-2023</t>
        </is>
      </c>
      <c r="B60" s="1" t="n">
        <v>45035.44672453704</v>
      </c>
      <c r="C60" s="1" t="n">
        <v>45880</v>
      </c>
      <c r="D60" t="inlineStr">
        <is>
          <t>UPPSALA LÄN</t>
        </is>
      </c>
      <c r="E60" t="inlineStr">
        <is>
          <t>UPPSALA</t>
        </is>
      </c>
      <c r="F60" t="inlineStr">
        <is>
          <t>Övriga Aktiebolag</t>
        </is>
      </c>
      <c r="G60" t="n">
        <v>6.1</v>
      </c>
      <c r="H60" t="n">
        <v>2</v>
      </c>
      <c r="I60" t="n">
        <v>0</v>
      </c>
      <c r="J60" t="n">
        <v>1</v>
      </c>
      <c r="K60" t="n">
        <v>0</v>
      </c>
      <c r="L60" t="n">
        <v>0</v>
      </c>
      <c r="M60" t="n">
        <v>0</v>
      </c>
      <c r="N60" t="n">
        <v>0</v>
      </c>
      <c r="O60" t="n">
        <v>1</v>
      </c>
      <c r="P60" t="n">
        <v>0</v>
      </c>
      <c r="Q60" t="n">
        <v>2</v>
      </c>
      <c r="R60" s="2" t="inlineStr">
        <is>
          <t>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33707-2025</t>
        </is>
      </c>
      <c r="B61" s="1" t="n">
        <v>45841.80690972223</v>
      </c>
      <c r="C61" s="1" t="n">
        <v>45880</v>
      </c>
      <c r="D61" t="inlineStr">
        <is>
          <t>UPPSALA LÄN</t>
        </is>
      </c>
      <c r="E61" t="inlineStr">
        <is>
          <t>UPPSALA</t>
        </is>
      </c>
      <c r="F61" t="inlineStr">
        <is>
          <t>Holmen skog AB</t>
        </is>
      </c>
      <c r="G61" t="n">
        <v>7.9</v>
      </c>
      <c r="H61" t="n">
        <v>2</v>
      </c>
      <c r="I61" t="n">
        <v>0</v>
      </c>
      <c r="J61" t="n">
        <v>2</v>
      </c>
      <c r="K61" t="n">
        <v>0</v>
      </c>
      <c r="L61" t="n">
        <v>0</v>
      </c>
      <c r="M61" t="n">
        <v>0</v>
      </c>
      <c r="N61" t="n">
        <v>0</v>
      </c>
      <c r="O61" t="n">
        <v>2</v>
      </c>
      <c r="P61" t="n">
        <v>0</v>
      </c>
      <c r="Q61" t="n">
        <v>2</v>
      </c>
      <c r="R61" s="2" t="inlineStr">
        <is>
          <t>Buskskvätta
Gulsparv</t>
        </is>
      </c>
      <c r="S61">
        <f>HYPERLINK("https://klasma.github.io/Logging_0380/artfynd/A 33707-2025 artfynd.xlsx", "A 33707-2025")</f>
        <v/>
      </c>
      <c r="T61">
        <f>HYPERLINK("https://klasma.github.io/Logging_0380/kartor/A 33707-2025 karta.png", "A 33707-2025")</f>
        <v/>
      </c>
      <c r="V61">
        <f>HYPERLINK("https://klasma.github.io/Logging_0380/klagomål/A 33707-2025 FSC-klagomål.docx", "A 33707-2025")</f>
        <v/>
      </c>
      <c r="W61">
        <f>HYPERLINK("https://klasma.github.io/Logging_0380/klagomålsmail/A 33707-2025 FSC-klagomål mail.docx", "A 33707-2025")</f>
        <v/>
      </c>
      <c r="X61">
        <f>HYPERLINK("https://klasma.github.io/Logging_0380/tillsyn/A 33707-2025 tillsynsbegäran.docx", "A 33707-2025")</f>
        <v/>
      </c>
      <c r="Y61">
        <f>HYPERLINK("https://klasma.github.io/Logging_0380/tillsynsmail/A 33707-2025 tillsynsbegäran mail.docx", "A 33707-2025")</f>
        <v/>
      </c>
      <c r="Z61">
        <f>HYPERLINK("https://klasma.github.io/Logging_0380/fåglar/A 33707-2025 prioriterade fågelarter.docx", "A 33707-2025")</f>
        <v/>
      </c>
    </row>
    <row r="62" ht="15" customHeight="1">
      <c r="A62" t="inlineStr">
        <is>
          <t>A 18425-2025</t>
        </is>
      </c>
      <c r="B62" s="1" t="n">
        <v>45762.62260416667</v>
      </c>
      <c r="C62" s="1" t="n">
        <v>45880</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1124-2025</t>
        </is>
      </c>
      <c r="B63" s="1" t="n">
        <v>45666</v>
      </c>
      <c r="C63" s="1" t="n">
        <v>45880</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9401-2025</t>
        </is>
      </c>
      <c r="B64" s="1" t="n">
        <v>45715.38105324074</v>
      </c>
      <c r="C64" s="1" t="n">
        <v>45880</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39933-2023</t>
        </is>
      </c>
      <c r="B65" s="1" t="n">
        <v>45168.50667824074</v>
      </c>
      <c r="C65" s="1" t="n">
        <v>45880</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88-2024</t>
        </is>
      </c>
      <c r="B66" s="1" t="n">
        <v>45293</v>
      </c>
      <c r="C66" s="1" t="n">
        <v>45880</v>
      </c>
      <c r="D66" t="inlineStr">
        <is>
          <t>UPPSALA LÄN</t>
        </is>
      </c>
      <c r="E66" t="inlineStr">
        <is>
          <t>UPPSALA</t>
        </is>
      </c>
      <c r="G66" t="n">
        <v>2.1</v>
      </c>
      <c r="H66" t="n">
        <v>0</v>
      </c>
      <c r="I66" t="n">
        <v>0</v>
      </c>
      <c r="J66" t="n">
        <v>1</v>
      </c>
      <c r="K66" t="n">
        <v>0</v>
      </c>
      <c r="L66" t="n">
        <v>1</v>
      </c>
      <c r="M66" t="n">
        <v>0</v>
      </c>
      <c r="N66" t="n">
        <v>0</v>
      </c>
      <c r="O66" t="n">
        <v>2</v>
      </c>
      <c r="P66" t="n">
        <v>1</v>
      </c>
      <c r="Q66" t="n">
        <v>2</v>
      </c>
      <c r="R66" s="2" t="inlineStr">
        <is>
          <t>Ask
Gullklöver</t>
        </is>
      </c>
      <c r="S66">
        <f>HYPERLINK("https://klasma.github.io/Logging_0380/artfynd/A 88-2024 artfynd.xlsx", "A 88-2024")</f>
        <v/>
      </c>
      <c r="T66">
        <f>HYPERLINK("https://klasma.github.io/Logging_0380/kartor/A 88-2024 karta.png", "A 88-2024")</f>
        <v/>
      </c>
      <c r="V66">
        <f>HYPERLINK("https://klasma.github.io/Logging_0380/klagomål/A 88-2024 FSC-klagomål.docx", "A 88-2024")</f>
        <v/>
      </c>
      <c r="W66">
        <f>HYPERLINK("https://klasma.github.io/Logging_0380/klagomålsmail/A 88-2024 FSC-klagomål mail.docx", "A 88-2024")</f>
        <v/>
      </c>
      <c r="X66">
        <f>HYPERLINK("https://klasma.github.io/Logging_0380/tillsyn/A 88-2024 tillsynsbegäran.docx", "A 88-2024")</f>
        <v/>
      </c>
      <c r="Y66">
        <f>HYPERLINK("https://klasma.github.io/Logging_0380/tillsynsmail/A 88-2024 tillsynsbegäran mail.docx", "A 88-2024")</f>
        <v/>
      </c>
    </row>
    <row r="67" ht="15" customHeight="1">
      <c r="A67" t="inlineStr">
        <is>
          <t>A 58906-2021</t>
        </is>
      </c>
      <c r="B67" s="1" t="n">
        <v>44489</v>
      </c>
      <c r="C67" s="1" t="n">
        <v>45880</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44675-2023</t>
        </is>
      </c>
      <c r="B68" s="1" t="n">
        <v>45189</v>
      </c>
      <c r="C68" s="1" t="n">
        <v>45880</v>
      </c>
      <c r="D68" t="inlineStr">
        <is>
          <t>UPPSALA LÄN</t>
        </is>
      </c>
      <c r="E68" t="inlineStr">
        <is>
          <t>UPPSALA</t>
        </is>
      </c>
      <c r="G68" t="n">
        <v>7.1</v>
      </c>
      <c r="H68" t="n">
        <v>2</v>
      </c>
      <c r="I68" t="n">
        <v>0</v>
      </c>
      <c r="J68" t="n">
        <v>1</v>
      </c>
      <c r="K68" t="n">
        <v>1</v>
      </c>
      <c r="L68" t="n">
        <v>0</v>
      </c>
      <c r="M68" t="n">
        <v>0</v>
      </c>
      <c r="N68" t="n">
        <v>0</v>
      </c>
      <c r="O68" t="n">
        <v>2</v>
      </c>
      <c r="P68" t="n">
        <v>1</v>
      </c>
      <c r="Q68" t="n">
        <v>2</v>
      </c>
      <c r="R68" s="2" t="inlineStr">
        <is>
          <t>Knärot
Talltita</t>
        </is>
      </c>
      <c r="S68">
        <f>HYPERLINK("https://klasma.github.io/Logging_0380/artfynd/A 44675-2023 artfynd.xlsx", "A 44675-2023")</f>
        <v/>
      </c>
      <c r="T68">
        <f>HYPERLINK("https://klasma.github.io/Logging_0380/kartor/A 44675-2023 karta.png", "A 44675-2023")</f>
        <v/>
      </c>
      <c r="U68">
        <f>HYPERLINK("https://klasma.github.io/Logging_0380/knärot/A 44675-2023 karta knärot.png", "A 44675-2023")</f>
        <v/>
      </c>
      <c r="V68">
        <f>HYPERLINK("https://klasma.github.io/Logging_0380/klagomål/A 44675-2023 FSC-klagomål.docx", "A 44675-2023")</f>
        <v/>
      </c>
      <c r="W68">
        <f>HYPERLINK("https://klasma.github.io/Logging_0380/klagomålsmail/A 44675-2023 FSC-klagomål mail.docx", "A 44675-2023")</f>
        <v/>
      </c>
      <c r="X68">
        <f>HYPERLINK("https://klasma.github.io/Logging_0380/tillsyn/A 44675-2023 tillsynsbegäran.docx", "A 44675-2023")</f>
        <v/>
      </c>
      <c r="Y68">
        <f>HYPERLINK("https://klasma.github.io/Logging_0380/tillsynsmail/A 44675-2023 tillsynsbegäran mail.docx", "A 44675-2023")</f>
        <v/>
      </c>
      <c r="Z68">
        <f>HYPERLINK("https://klasma.github.io/Logging_0380/fåglar/A 44675-2023 prioriterade fågelarter.docx", "A 44675-2023")</f>
        <v/>
      </c>
    </row>
    <row r="69" ht="15" customHeight="1">
      <c r="A69" t="inlineStr">
        <is>
          <t>A 8865-2022</t>
        </is>
      </c>
      <c r="B69" s="1" t="n">
        <v>44614</v>
      </c>
      <c r="C69" s="1" t="n">
        <v>45880</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45880</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45880</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52849-2021</t>
        </is>
      </c>
      <c r="B72" s="1" t="n">
        <v>44467</v>
      </c>
      <c r="C72" s="1" t="n">
        <v>45880</v>
      </c>
      <c r="D72" t="inlineStr">
        <is>
          <t>UPPSALA LÄN</t>
        </is>
      </c>
      <c r="E72" t="inlineStr">
        <is>
          <t>UPPSALA</t>
        </is>
      </c>
      <c r="F72" t="inlineStr">
        <is>
          <t>Övriga Aktiebolag</t>
        </is>
      </c>
      <c r="G72" t="n">
        <v>3.3</v>
      </c>
      <c r="H72" t="n">
        <v>0</v>
      </c>
      <c r="I72" t="n">
        <v>0</v>
      </c>
      <c r="J72" t="n">
        <v>1</v>
      </c>
      <c r="K72" t="n">
        <v>0</v>
      </c>
      <c r="L72" t="n">
        <v>0</v>
      </c>
      <c r="M72" t="n">
        <v>0</v>
      </c>
      <c r="N72" t="n">
        <v>0</v>
      </c>
      <c r="O72" t="n">
        <v>1</v>
      </c>
      <c r="P72" t="n">
        <v>0</v>
      </c>
      <c r="Q72" t="n">
        <v>1</v>
      </c>
      <c r="R72" s="2" t="inlineStr">
        <is>
          <t>Skogshare</t>
        </is>
      </c>
      <c r="S72">
        <f>HYPERLINK("https://klasma.github.io/Logging_0380/artfynd/A 52849-2021 artfynd.xlsx", "A 52849-2021")</f>
        <v/>
      </c>
      <c r="T72">
        <f>HYPERLINK("https://klasma.github.io/Logging_0380/kartor/A 52849-2021 karta.png", "A 52849-2021")</f>
        <v/>
      </c>
      <c r="V72">
        <f>HYPERLINK("https://klasma.github.io/Logging_0380/klagomål/A 52849-2021 FSC-klagomål.docx", "A 52849-2021")</f>
        <v/>
      </c>
      <c r="W72">
        <f>HYPERLINK("https://klasma.github.io/Logging_0380/klagomålsmail/A 52849-2021 FSC-klagomål mail.docx", "A 52849-2021")</f>
        <v/>
      </c>
      <c r="X72">
        <f>HYPERLINK("https://klasma.github.io/Logging_0380/tillsyn/A 52849-2021 tillsynsbegäran.docx", "A 52849-2021")</f>
        <v/>
      </c>
      <c r="Y72">
        <f>HYPERLINK("https://klasma.github.io/Logging_0380/tillsynsmail/A 52849-2021 tillsynsbegäran mail.docx", "A 52849-2021")</f>
        <v/>
      </c>
    </row>
    <row r="73" ht="15" customHeight="1">
      <c r="A73" t="inlineStr">
        <is>
          <t>A 69711-2021</t>
        </is>
      </c>
      <c r="B73" s="1" t="n">
        <v>44532</v>
      </c>
      <c r="C73" s="1" t="n">
        <v>45880</v>
      </c>
      <c r="D73" t="inlineStr">
        <is>
          <t>UPPSALA LÄN</t>
        </is>
      </c>
      <c r="E73" t="inlineStr">
        <is>
          <t>UPPSALA</t>
        </is>
      </c>
      <c r="G73" t="n">
        <v>10.2</v>
      </c>
      <c r="H73" t="n">
        <v>1</v>
      </c>
      <c r="I73" t="n">
        <v>0</v>
      </c>
      <c r="J73" t="n">
        <v>0</v>
      </c>
      <c r="K73" t="n">
        <v>0</v>
      </c>
      <c r="L73" t="n">
        <v>0</v>
      </c>
      <c r="M73" t="n">
        <v>0</v>
      </c>
      <c r="N73" t="n">
        <v>0</v>
      </c>
      <c r="O73" t="n">
        <v>0</v>
      </c>
      <c r="P73" t="n">
        <v>0</v>
      </c>
      <c r="Q73" t="n">
        <v>1</v>
      </c>
      <c r="R73" s="2" t="inlineStr">
        <is>
          <t>Tjäder</t>
        </is>
      </c>
      <c r="S73">
        <f>HYPERLINK("https://klasma.github.io/Logging_0380/artfynd/A 69711-2021 artfynd.xlsx", "A 69711-2021")</f>
        <v/>
      </c>
      <c r="T73">
        <f>HYPERLINK("https://klasma.github.io/Logging_0380/kartor/A 69711-2021 karta.png", "A 69711-2021")</f>
        <v/>
      </c>
      <c r="V73">
        <f>HYPERLINK("https://klasma.github.io/Logging_0380/klagomål/A 69711-2021 FSC-klagomål.docx", "A 69711-2021")</f>
        <v/>
      </c>
      <c r="W73">
        <f>HYPERLINK("https://klasma.github.io/Logging_0380/klagomålsmail/A 69711-2021 FSC-klagomål mail.docx", "A 69711-2021")</f>
        <v/>
      </c>
      <c r="X73">
        <f>HYPERLINK("https://klasma.github.io/Logging_0380/tillsyn/A 69711-2021 tillsynsbegäran.docx", "A 69711-2021")</f>
        <v/>
      </c>
      <c r="Y73">
        <f>HYPERLINK("https://klasma.github.io/Logging_0380/tillsynsmail/A 69711-2021 tillsynsbegäran mail.docx", "A 69711-2021")</f>
        <v/>
      </c>
      <c r="Z73">
        <f>HYPERLINK("https://klasma.github.io/Logging_0380/fåglar/A 69711-2021 prioriterade fågelarter.docx", "A 69711-2021")</f>
        <v/>
      </c>
    </row>
    <row r="74" ht="15" customHeight="1">
      <c r="A74" t="inlineStr">
        <is>
          <t>A 17484-2025</t>
        </is>
      </c>
      <c r="B74" s="1" t="n">
        <v>45757.49934027778</v>
      </c>
      <c r="C74" s="1" t="n">
        <v>45880</v>
      </c>
      <c r="D74" t="inlineStr">
        <is>
          <t>UPPSALA LÄN</t>
        </is>
      </c>
      <c r="E74" t="inlineStr">
        <is>
          <t>UPPSALA</t>
        </is>
      </c>
      <c r="G74" t="n">
        <v>13.1</v>
      </c>
      <c r="H74" t="n">
        <v>1</v>
      </c>
      <c r="I74" t="n">
        <v>0</v>
      </c>
      <c r="J74" t="n">
        <v>0</v>
      </c>
      <c r="K74" t="n">
        <v>0</v>
      </c>
      <c r="L74" t="n">
        <v>0</v>
      </c>
      <c r="M74" t="n">
        <v>0</v>
      </c>
      <c r="N74" t="n">
        <v>0</v>
      </c>
      <c r="O74" t="n">
        <v>0</v>
      </c>
      <c r="P74" t="n">
        <v>0</v>
      </c>
      <c r="Q74" t="n">
        <v>1</v>
      </c>
      <c r="R74" s="2" t="inlineStr">
        <is>
          <t>Fläcknycklar</t>
        </is>
      </c>
      <c r="S74">
        <f>HYPERLINK("https://klasma.github.io/Logging_0380/artfynd/A 17484-2025 artfynd.xlsx", "A 17484-2025")</f>
        <v/>
      </c>
      <c r="T74">
        <f>HYPERLINK("https://klasma.github.io/Logging_0380/kartor/A 17484-2025 karta.png", "A 17484-2025")</f>
        <v/>
      </c>
      <c r="V74">
        <f>HYPERLINK("https://klasma.github.io/Logging_0380/klagomål/A 17484-2025 FSC-klagomål.docx", "A 17484-2025")</f>
        <v/>
      </c>
      <c r="W74">
        <f>HYPERLINK("https://klasma.github.io/Logging_0380/klagomålsmail/A 17484-2025 FSC-klagomål mail.docx", "A 17484-2025")</f>
        <v/>
      </c>
      <c r="X74">
        <f>HYPERLINK("https://klasma.github.io/Logging_0380/tillsyn/A 17484-2025 tillsynsbegäran.docx", "A 17484-2025")</f>
        <v/>
      </c>
      <c r="Y74">
        <f>HYPERLINK("https://klasma.github.io/Logging_0380/tillsynsmail/A 17484-2025 tillsynsbegäran mail.docx", "A 17484-2025")</f>
        <v/>
      </c>
    </row>
    <row r="75" ht="15" customHeight="1">
      <c r="A75" t="inlineStr">
        <is>
          <t>A 61818-2022</t>
        </is>
      </c>
      <c r="B75" s="1" t="n">
        <v>44917</v>
      </c>
      <c r="C75" s="1" t="n">
        <v>45880</v>
      </c>
      <c r="D75" t="inlineStr">
        <is>
          <t>UPPSALA LÄN</t>
        </is>
      </c>
      <c r="E75" t="inlineStr">
        <is>
          <t>UPPSALA</t>
        </is>
      </c>
      <c r="F75" t="inlineStr">
        <is>
          <t>Holmen skog AB</t>
        </is>
      </c>
      <c r="G75" t="n">
        <v>0.8</v>
      </c>
      <c r="H75" t="n">
        <v>0</v>
      </c>
      <c r="I75" t="n">
        <v>0</v>
      </c>
      <c r="J75" t="n">
        <v>1</v>
      </c>
      <c r="K75" t="n">
        <v>0</v>
      </c>
      <c r="L75" t="n">
        <v>0</v>
      </c>
      <c r="M75" t="n">
        <v>0</v>
      </c>
      <c r="N75" t="n">
        <v>0</v>
      </c>
      <c r="O75" t="n">
        <v>1</v>
      </c>
      <c r="P75" t="n">
        <v>0</v>
      </c>
      <c r="Q75" t="n">
        <v>1</v>
      </c>
      <c r="R75" s="2" t="inlineStr">
        <is>
          <t>Blekticka</t>
        </is>
      </c>
      <c r="S75">
        <f>HYPERLINK("https://klasma.github.io/Logging_0380/artfynd/A 61818-2022 artfynd.xlsx", "A 61818-2022")</f>
        <v/>
      </c>
      <c r="T75">
        <f>HYPERLINK("https://klasma.github.io/Logging_0380/kartor/A 61818-2022 karta.png", "A 61818-2022")</f>
        <v/>
      </c>
      <c r="V75">
        <f>HYPERLINK("https://klasma.github.io/Logging_0380/klagomål/A 61818-2022 FSC-klagomål.docx", "A 61818-2022")</f>
        <v/>
      </c>
      <c r="W75">
        <f>HYPERLINK("https://klasma.github.io/Logging_0380/klagomålsmail/A 61818-2022 FSC-klagomål mail.docx", "A 61818-2022")</f>
        <v/>
      </c>
      <c r="X75">
        <f>HYPERLINK("https://klasma.github.io/Logging_0380/tillsyn/A 61818-2022 tillsynsbegäran.docx", "A 61818-2022")</f>
        <v/>
      </c>
      <c r="Y75">
        <f>HYPERLINK("https://klasma.github.io/Logging_0380/tillsynsmail/A 61818-2022 tillsynsbegäran mail.docx", "A 61818-2022")</f>
        <v/>
      </c>
    </row>
    <row r="76" ht="15" customHeight="1">
      <c r="A76" t="inlineStr">
        <is>
          <t>A 49015-2022</t>
        </is>
      </c>
      <c r="B76" s="1" t="n">
        <v>44855</v>
      </c>
      <c r="C76" s="1" t="n">
        <v>45880</v>
      </c>
      <c r="D76" t="inlineStr">
        <is>
          <t>UPPSALA LÄN</t>
        </is>
      </c>
      <c r="E76" t="inlineStr">
        <is>
          <t>UPPSALA</t>
        </is>
      </c>
      <c r="F76" t="inlineStr">
        <is>
          <t>Kommuner</t>
        </is>
      </c>
      <c r="G76" t="n">
        <v>4.5</v>
      </c>
      <c r="H76" t="n">
        <v>0</v>
      </c>
      <c r="I76" t="n">
        <v>0</v>
      </c>
      <c r="J76" t="n">
        <v>1</v>
      </c>
      <c r="K76" t="n">
        <v>0</v>
      </c>
      <c r="L76" t="n">
        <v>0</v>
      </c>
      <c r="M76" t="n">
        <v>0</v>
      </c>
      <c r="N76" t="n">
        <v>0</v>
      </c>
      <c r="O76" t="n">
        <v>1</v>
      </c>
      <c r="P76" t="n">
        <v>0</v>
      </c>
      <c r="Q76" t="n">
        <v>1</v>
      </c>
      <c r="R76" s="2" t="inlineStr">
        <is>
          <t>Harticka</t>
        </is>
      </c>
      <c r="S76">
        <f>HYPERLINK("https://klasma.github.io/Logging_0380/artfynd/A 49015-2022 artfynd.xlsx", "A 49015-2022")</f>
        <v/>
      </c>
      <c r="T76">
        <f>HYPERLINK("https://klasma.github.io/Logging_0380/kartor/A 49015-2022 karta.png", "A 49015-2022")</f>
        <v/>
      </c>
      <c r="V76">
        <f>HYPERLINK("https://klasma.github.io/Logging_0380/klagomål/A 49015-2022 FSC-klagomål.docx", "A 49015-2022")</f>
        <v/>
      </c>
      <c r="W76">
        <f>HYPERLINK("https://klasma.github.io/Logging_0380/klagomålsmail/A 49015-2022 FSC-klagomål mail.docx", "A 49015-2022")</f>
        <v/>
      </c>
      <c r="X76">
        <f>HYPERLINK("https://klasma.github.io/Logging_0380/tillsyn/A 49015-2022 tillsynsbegäran.docx", "A 49015-2022")</f>
        <v/>
      </c>
      <c r="Y76">
        <f>HYPERLINK("https://klasma.github.io/Logging_0380/tillsynsmail/A 49015-2022 tillsynsbegäran mail.docx", "A 49015-2022")</f>
        <v/>
      </c>
    </row>
    <row r="77" ht="15" customHeight="1">
      <c r="A77" t="inlineStr">
        <is>
          <t>A 29902-2023</t>
        </is>
      </c>
      <c r="B77" s="1" t="n">
        <v>45107</v>
      </c>
      <c r="C77" s="1" t="n">
        <v>45880</v>
      </c>
      <c r="D77" t="inlineStr">
        <is>
          <t>UPPSALA LÄN</t>
        </is>
      </c>
      <c r="E77" t="inlineStr">
        <is>
          <t>UPPSALA</t>
        </is>
      </c>
      <c r="F77" t="inlineStr">
        <is>
          <t>Kyrkan</t>
        </is>
      </c>
      <c r="G77" t="n">
        <v>10.6</v>
      </c>
      <c r="H77" t="n">
        <v>1</v>
      </c>
      <c r="I77" t="n">
        <v>0</v>
      </c>
      <c r="J77" t="n">
        <v>1</v>
      </c>
      <c r="K77" t="n">
        <v>0</v>
      </c>
      <c r="L77" t="n">
        <v>0</v>
      </c>
      <c r="M77" t="n">
        <v>0</v>
      </c>
      <c r="N77" t="n">
        <v>0</v>
      </c>
      <c r="O77" t="n">
        <v>1</v>
      </c>
      <c r="P77" t="n">
        <v>0</v>
      </c>
      <c r="Q77" t="n">
        <v>1</v>
      </c>
      <c r="R77" s="2" t="inlineStr">
        <is>
          <t>Järpe</t>
        </is>
      </c>
      <c r="S77">
        <f>HYPERLINK("https://klasma.github.io/Logging_0380/artfynd/A 29902-2023 artfynd.xlsx", "A 29902-2023")</f>
        <v/>
      </c>
      <c r="T77">
        <f>HYPERLINK("https://klasma.github.io/Logging_0380/kartor/A 29902-2023 karta.png", "A 29902-2023")</f>
        <v/>
      </c>
      <c r="V77">
        <f>HYPERLINK("https://klasma.github.io/Logging_0380/klagomål/A 29902-2023 FSC-klagomål.docx", "A 29902-2023")</f>
        <v/>
      </c>
      <c r="W77">
        <f>HYPERLINK("https://klasma.github.io/Logging_0380/klagomålsmail/A 29902-2023 FSC-klagomål mail.docx", "A 29902-2023")</f>
        <v/>
      </c>
      <c r="X77">
        <f>HYPERLINK("https://klasma.github.io/Logging_0380/tillsyn/A 29902-2023 tillsynsbegäran.docx", "A 29902-2023")</f>
        <v/>
      </c>
      <c r="Y77">
        <f>HYPERLINK("https://klasma.github.io/Logging_0380/tillsynsmail/A 29902-2023 tillsynsbegäran mail.docx", "A 29902-2023")</f>
        <v/>
      </c>
      <c r="Z77">
        <f>HYPERLINK("https://klasma.github.io/Logging_0380/fåglar/A 29902-2023 prioriterade fågelarter.docx", "A 29902-2023")</f>
        <v/>
      </c>
    </row>
    <row r="78" ht="15" customHeight="1">
      <c r="A78" t="inlineStr">
        <is>
          <t>A 18373-2025</t>
        </is>
      </c>
      <c r="B78" s="1" t="n">
        <v>45762.57244212963</v>
      </c>
      <c r="C78" s="1" t="n">
        <v>45880</v>
      </c>
      <c r="D78" t="inlineStr">
        <is>
          <t>UPPSALA LÄN</t>
        </is>
      </c>
      <c r="E78" t="inlineStr">
        <is>
          <t>UPPSALA</t>
        </is>
      </c>
      <c r="G78" t="n">
        <v>9.5</v>
      </c>
      <c r="H78" t="n">
        <v>0</v>
      </c>
      <c r="I78" t="n">
        <v>0</v>
      </c>
      <c r="J78" t="n">
        <v>1</v>
      </c>
      <c r="K78" t="n">
        <v>0</v>
      </c>
      <c r="L78" t="n">
        <v>0</v>
      </c>
      <c r="M78" t="n">
        <v>0</v>
      </c>
      <c r="N78" t="n">
        <v>0</v>
      </c>
      <c r="O78" t="n">
        <v>1</v>
      </c>
      <c r="P78" t="n">
        <v>0</v>
      </c>
      <c r="Q78" t="n">
        <v>1</v>
      </c>
      <c r="R78" s="2" t="inlineStr">
        <is>
          <t>Ullticka</t>
        </is>
      </c>
      <c r="S78">
        <f>HYPERLINK("https://klasma.github.io/Logging_0380/artfynd/A 18373-2025 artfynd.xlsx", "A 18373-2025")</f>
        <v/>
      </c>
      <c r="T78">
        <f>HYPERLINK("https://klasma.github.io/Logging_0380/kartor/A 18373-2025 karta.png", "A 18373-2025")</f>
        <v/>
      </c>
      <c r="V78">
        <f>HYPERLINK("https://klasma.github.io/Logging_0380/klagomål/A 18373-2025 FSC-klagomål.docx", "A 18373-2025")</f>
        <v/>
      </c>
      <c r="W78">
        <f>HYPERLINK("https://klasma.github.io/Logging_0380/klagomålsmail/A 18373-2025 FSC-klagomål mail.docx", "A 18373-2025")</f>
        <v/>
      </c>
      <c r="X78">
        <f>HYPERLINK("https://klasma.github.io/Logging_0380/tillsyn/A 18373-2025 tillsynsbegäran.docx", "A 18373-2025")</f>
        <v/>
      </c>
      <c r="Y78">
        <f>HYPERLINK("https://klasma.github.io/Logging_0380/tillsynsmail/A 18373-2025 tillsynsbegäran mail.docx", "A 18373-2025")</f>
        <v/>
      </c>
    </row>
    <row r="79" ht="15" customHeight="1">
      <c r="A79" t="inlineStr">
        <is>
          <t>A 5750-2023</t>
        </is>
      </c>
      <c r="B79" s="1" t="n">
        <v>44963</v>
      </c>
      <c r="C79" s="1" t="n">
        <v>45880</v>
      </c>
      <c r="D79" t="inlineStr">
        <is>
          <t>UPPSALA LÄN</t>
        </is>
      </c>
      <c r="E79" t="inlineStr">
        <is>
          <t>UPPSALA</t>
        </is>
      </c>
      <c r="G79" t="n">
        <v>13.8</v>
      </c>
      <c r="H79" t="n">
        <v>0</v>
      </c>
      <c r="I79" t="n">
        <v>0</v>
      </c>
      <c r="J79" t="n">
        <v>0</v>
      </c>
      <c r="K79" t="n">
        <v>1</v>
      </c>
      <c r="L79" t="n">
        <v>0</v>
      </c>
      <c r="M79" t="n">
        <v>0</v>
      </c>
      <c r="N79" t="n">
        <v>0</v>
      </c>
      <c r="O79" t="n">
        <v>1</v>
      </c>
      <c r="P79" t="n">
        <v>1</v>
      </c>
      <c r="Q79" t="n">
        <v>1</v>
      </c>
      <c r="R79" s="2" t="inlineStr">
        <is>
          <t>Raggbock</t>
        </is>
      </c>
      <c r="S79">
        <f>HYPERLINK("https://klasma.github.io/Logging_0380/artfynd/A 5750-2023 artfynd.xlsx", "A 5750-2023")</f>
        <v/>
      </c>
      <c r="T79">
        <f>HYPERLINK("https://klasma.github.io/Logging_0380/kartor/A 5750-2023 karta.png", "A 5750-2023")</f>
        <v/>
      </c>
      <c r="V79">
        <f>HYPERLINK("https://klasma.github.io/Logging_0380/klagomål/A 5750-2023 FSC-klagomål.docx", "A 5750-2023")</f>
        <v/>
      </c>
      <c r="W79">
        <f>HYPERLINK("https://klasma.github.io/Logging_0380/klagomålsmail/A 5750-2023 FSC-klagomål mail.docx", "A 5750-2023")</f>
        <v/>
      </c>
      <c r="X79">
        <f>HYPERLINK("https://klasma.github.io/Logging_0380/tillsyn/A 5750-2023 tillsynsbegäran.docx", "A 5750-2023")</f>
        <v/>
      </c>
      <c r="Y79">
        <f>HYPERLINK("https://klasma.github.io/Logging_0380/tillsynsmail/A 5750-2023 tillsynsbegäran mail.docx", "A 5750-2023")</f>
        <v/>
      </c>
    </row>
    <row r="80" ht="15" customHeight="1">
      <c r="A80" t="inlineStr">
        <is>
          <t>A 25729-2024</t>
        </is>
      </c>
      <c r="B80" s="1" t="n">
        <v>45464</v>
      </c>
      <c r="C80" s="1" t="n">
        <v>45880</v>
      </c>
      <c r="D80" t="inlineStr">
        <is>
          <t>UPPSALA LÄN</t>
        </is>
      </c>
      <c r="E80" t="inlineStr">
        <is>
          <t>UPPSALA</t>
        </is>
      </c>
      <c r="G80" t="n">
        <v>22.3</v>
      </c>
      <c r="H80" t="n">
        <v>0</v>
      </c>
      <c r="I80" t="n">
        <v>0</v>
      </c>
      <c r="J80" t="n">
        <v>1</v>
      </c>
      <c r="K80" t="n">
        <v>0</v>
      </c>
      <c r="L80" t="n">
        <v>0</v>
      </c>
      <c r="M80" t="n">
        <v>0</v>
      </c>
      <c r="N80" t="n">
        <v>0</v>
      </c>
      <c r="O80" t="n">
        <v>1</v>
      </c>
      <c r="P80" t="n">
        <v>0</v>
      </c>
      <c r="Q80" t="n">
        <v>1</v>
      </c>
      <c r="R80" s="2" t="inlineStr">
        <is>
          <t>Ullticka</t>
        </is>
      </c>
      <c r="S80">
        <f>HYPERLINK("https://klasma.github.io/Logging_0380/artfynd/A 25729-2024 artfynd.xlsx", "A 25729-2024")</f>
        <v/>
      </c>
      <c r="T80">
        <f>HYPERLINK("https://klasma.github.io/Logging_0380/kartor/A 25729-2024 karta.png", "A 25729-2024")</f>
        <v/>
      </c>
      <c r="V80">
        <f>HYPERLINK("https://klasma.github.io/Logging_0380/klagomål/A 25729-2024 FSC-klagomål.docx", "A 25729-2024")</f>
        <v/>
      </c>
      <c r="W80">
        <f>HYPERLINK("https://klasma.github.io/Logging_0380/klagomålsmail/A 25729-2024 FSC-klagomål mail.docx", "A 25729-2024")</f>
        <v/>
      </c>
      <c r="X80">
        <f>HYPERLINK("https://klasma.github.io/Logging_0380/tillsyn/A 25729-2024 tillsynsbegäran.docx", "A 25729-2024")</f>
        <v/>
      </c>
      <c r="Y80">
        <f>HYPERLINK("https://klasma.github.io/Logging_0380/tillsynsmail/A 25729-2024 tillsynsbegäran mail.docx", "A 25729-2024")</f>
        <v/>
      </c>
    </row>
    <row r="81" ht="15" customHeight="1">
      <c r="A81" t="inlineStr">
        <is>
          <t>A 13093-2024</t>
        </is>
      </c>
      <c r="B81" s="1" t="n">
        <v>45385</v>
      </c>
      <c r="C81" s="1" t="n">
        <v>45880</v>
      </c>
      <c r="D81" t="inlineStr">
        <is>
          <t>UPPSALA LÄN</t>
        </is>
      </c>
      <c r="E81" t="inlineStr">
        <is>
          <t>UPPSALA</t>
        </is>
      </c>
      <c r="G81" t="n">
        <v>1.1</v>
      </c>
      <c r="H81" t="n">
        <v>1</v>
      </c>
      <c r="I81" t="n">
        <v>1</v>
      </c>
      <c r="J81" t="n">
        <v>0</v>
      </c>
      <c r="K81" t="n">
        <v>0</v>
      </c>
      <c r="L81" t="n">
        <v>0</v>
      </c>
      <c r="M81" t="n">
        <v>0</v>
      </c>
      <c r="N81" t="n">
        <v>0</v>
      </c>
      <c r="O81" t="n">
        <v>0</v>
      </c>
      <c r="P81" t="n">
        <v>0</v>
      </c>
      <c r="Q81" t="n">
        <v>1</v>
      </c>
      <c r="R81" s="2" t="inlineStr">
        <is>
          <t>Skogsknipprot</t>
        </is>
      </c>
      <c r="S81">
        <f>HYPERLINK("https://klasma.github.io/Logging_0380/artfynd/A 13093-2024 artfynd.xlsx", "A 13093-2024")</f>
        <v/>
      </c>
      <c r="T81">
        <f>HYPERLINK("https://klasma.github.io/Logging_0380/kartor/A 13093-2024 karta.png", "A 13093-2024")</f>
        <v/>
      </c>
      <c r="V81">
        <f>HYPERLINK("https://klasma.github.io/Logging_0380/klagomål/A 13093-2024 FSC-klagomål.docx", "A 13093-2024")</f>
        <v/>
      </c>
      <c r="W81">
        <f>HYPERLINK("https://klasma.github.io/Logging_0380/klagomålsmail/A 13093-2024 FSC-klagomål mail.docx", "A 13093-2024")</f>
        <v/>
      </c>
      <c r="X81">
        <f>HYPERLINK("https://klasma.github.io/Logging_0380/tillsyn/A 13093-2024 tillsynsbegäran.docx", "A 13093-2024")</f>
        <v/>
      </c>
      <c r="Y81">
        <f>HYPERLINK("https://klasma.github.io/Logging_0380/tillsynsmail/A 13093-2024 tillsynsbegäran mail.docx", "A 13093-2024")</f>
        <v/>
      </c>
    </row>
    <row r="82" ht="15" customHeight="1">
      <c r="A82" t="inlineStr">
        <is>
          <t>A 43192-2020</t>
        </is>
      </c>
      <c r="B82" s="1" t="n">
        <v>44081</v>
      </c>
      <c r="C82" s="1" t="n">
        <v>45880</v>
      </c>
      <c r="D82" t="inlineStr">
        <is>
          <t>UPPSALA LÄN</t>
        </is>
      </c>
      <c r="E82" t="inlineStr">
        <is>
          <t>UPPSALA</t>
        </is>
      </c>
      <c r="G82" t="n">
        <v>16.5</v>
      </c>
      <c r="H82" t="n">
        <v>0</v>
      </c>
      <c r="I82" t="n">
        <v>0</v>
      </c>
      <c r="J82" t="n">
        <v>1</v>
      </c>
      <c r="K82" t="n">
        <v>0</v>
      </c>
      <c r="L82" t="n">
        <v>0</v>
      </c>
      <c r="M82" t="n">
        <v>0</v>
      </c>
      <c r="N82" t="n">
        <v>0</v>
      </c>
      <c r="O82" t="n">
        <v>1</v>
      </c>
      <c r="P82" t="n">
        <v>0</v>
      </c>
      <c r="Q82" t="n">
        <v>1</v>
      </c>
      <c r="R82" s="2" t="inlineStr">
        <is>
          <t>Lunglav</t>
        </is>
      </c>
      <c r="S82">
        <f>HYPERLINK("https://klasma.github.io/Logging_0380/artfynd/A 43192-2020 artfynd.xlsx", "A 43192-2020")</f>
        <v/>
      </c>
      <c r="T82">
        <f>HYPERLINK("https://klasma.github.io/Logging_0380/kartor/A 43192-2020 karta.png", "A 43192-2020")</f>
        <v/>
      </c>
      <c r="V82">
        <f>HYPERLINK("https://klasma.github.io/Logging_0380/klagomål/A 43192-2020 FSC-klagomål.docx", "A 43192-2020")</f>
        <v/>
      </c>
      <c r="W82">
        <f>HYPERLINK("https://klasma.github.io/Logging_0380/klagomålsmail/A 43192-2020 FSC-klagomål mail.docx", "A 43192-2020")</f>
        <v/>
      </c>
      <c r="X82">
        <f>HYPERLINK("https://klasma.github.io/Logging_0380/tillsyn/A 43192-2020 tillsynsbegäran.docx", "A 43192-2020")</f>
        <v/>
      </c>
      <c r="Y82">
        <f>HYPERLINK("https://klasma.github.io/Logging_0380/tillsynsmail/A 43192-2020 tillsynsbegäran mail.docx", "A 43192-2020")</f>
        <v/>
      </c>
    </row>
    <row r="83" ht="15" customHeight="1">
      <c r="A83" t="inlineStr">
        <is>
          <t>A 60055-2022</t>
        </is>
      </c>
      <c r="B83" s="1" t="n">
        <v>44909</v>
      </c>
      <c r="C83" s="1" t="n">
        <v>45880</v>
      </c>
      <c r="D83" t="inlineStr">
        <is>
          <t>UPPSALA LÄN</t>
        </is>
      </c>
      <c r="E83" t="inlineStr">
        <is>
          <t>UPPSALA</t>
        </is>
      </c>
      <c r="G83" t="n">
        <v>11.4</v>
      </c>
      <c r="H83" t="n">
        <v>1</v>
      </c>
      <c r="I83" t="n">
        <v>0</v>
      </c>
      <c r="J83" t="n">
        <v>0</v>
      </c>
      <c r="K83" t="n">
        <v>0</v>
      </c>
      <c r="L83" t="n">
        <v>0</v>
      </c>
      <c r="M83" t="n">
        <v>0</v>
      </c>
      <c r="N83" t="n">
        <v>0</v>
      </c>
      <c r="O83" t="n">
        <v>0</v>
      </c>
      <c r="P83" t="n">
        <v>0</v>
      </c>
      <c r="Q83" t="n">
        <v>1</v>
      </c>
      <c r="R83" s="2" t="inlineStr">
        <is>
          <t>Tjäder</t>
        </is>
      </c>
      <c r="S83">
        <f>HYPERLINK("https://klasma.github.io/Logging_0380/artfynd/A 60055-2022 artfynd.xlsx", "A 60055-2022")</f>
        <v/>
      </c>
      <c r="T83">
        <f>HYPERLINK("https://klasma.github.io/Logging_0380/kartor/A 60055-2022 karta.png", "A 60055-2022")</f>
        <v/>
      </c>
      <c r="V83">
        <f>HYPERLINK("https://klasma.github.io/Logging_0380/klagomål/A 60055-2022 FSC-klagomål.docx", "A 60055-2022")</f>
        <v/>
      </c>
      <c r="W83">
        <f>HYPERLINK("https://klasma.github.io/Logging_0380/klagomålsmail/A 60055-2022 FSC-klagomål mail.docx", "A 60055-2022")</f>
        <v/>
      </c>
      <c r="X83">
        <f>HYPERLINK("https://klasma.github.io/Logging_0380/tillsyn/A 60055-2022 tillsynsbegäran.docx", "A 60055-2022")</f>
        <v/>
      </c>
      <c r="Y83">
        <f>HYPERLINK("https://klasma.github.io/Logging_0380/tillsynsmail/A 60055-2022 tillsynsbegäran mail.docx", "A 60055-2022")</f>
        <v/>
      </c>
      <c r="Z83">
        <f>HYPERLINK("https://klasma.github.io/Logging_0380/fåglar/A 60055-2022 prioriterade fågelarter.docx", "A 60055-2022")</f>
        <v/>
      </c>
    </row>
    <row r="84" ht="15" customHeight="1">
      <c r="A84" t="inlineStr">
        <is>
          <t>A 58050-2021</t>
        </is>
      </c>
      <c r="B84" s="1" t="n">
        <v>44487</v>
      </c>
      <c r="C84" s="1" t="n">
        <v>45880</v>
      </c>
      <c r="D84" t="inlineStr">
        <is>
          <t>UPPSALA LÄN</t>
        </is>
      </c>
      <c r="E84" t="inlineStr">
        <is>
          <t>UPPSALA</t>
        </is>
      </c>
      <c r="G84" t="n">
        <v>4.4</v>
      </c>
      <c r="H84" t="n">
        <v>0</v>
      </c>
      <c r="I84" t="n">
        <v>0</v>
      </c>
      <c r="J84" t="n">
        <v>1</v>
      </c>
      <c r="K84" t="n">
        <v>0</v>
      </c>
      <c r="L84" t="n">
        <v>0</v>
      </c>
      <c r="M84" t="n">
        <v>0</v>
      </c>
      <c r="N84" t="n">
        <v>0</v>
      </c>
      <c r="O84" t="n">
        <v>1</v>
      </c>
      <c r="P84" t="n">
        <v>0</v>
      </c>
      <c r="Q84" t="n">
        <v>1</v>
      </c>
      <c r="R84" s="2" t="inlineStr">
        <is>
          <t>Ullticka</t>
        </is>
      </c>
      <c r="S84">
        <f>HYPERLINK("https://klasma.github.io/Logging_0380/artfynd/A 58050-2021 artfynd.xlsx", "A 58050-2021")</f>
        <v/>
      </c>
      <c r="T84">
        <f>HYPERLINK("https://klasma.github.io/Logging_0380/kartor/A 58050-2021 karta.png", "A 58050-2021")</f>
        <v/>
      </c>
      <c r="V84">
        <f>HYPERLINK("https://klasma.github.io/Logging_0380/klagomål/A 58050-2021 FSC-klagomål.docx", "A 58050-2021")</f>
        <v/>
      </c>
      <c r="W84">
        <f>HYPERLINK("https://klasma.github.io/Logging_0380/klagomålsmail/A 58050-2021 FSC-klagomål mail.docx", "A 58050-2021")</f>
        <v/>
      </c>
      <c r="X84">
        <f>HYPERLINK("https://klasma.github.io/Logging_0380/tillsyn/A 58050-2021 tillsynsbegäran.docx", "A 58050-2021")</f>
        <v/>
      </c>
      <c r="Y84">
        <f>HYPERLINK("https://klasma.github.io/Logging_0380/tillsynsmail/A 58050-2021 tillsynsbegäran mail.docx", "A 58050-2021")</f>
        <v/>
      </c>
    </row>
    <row r="85" ht="15" customHeight="1">
      <c r="A85" t="inlineStr">
        <is>
          <t>A 63172-2023</t>
        </is>
      </c>
      <c r="B85" s="1" t="n">
        <v>45273</v>
      </c>
      <c r="C85" s="1" t="n">
        <v>45880</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5732-2025</t>
        </is>
      </c>
      <c r="B86" s="1" t="n">
        <v>45694.49650462963</v>
      </c>
      <c r="C86" s="1" t="n">
        <v>45880</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21801-2025</t>
        </is>
      </c>
      <c r="B87" s="1" t="n">
        <v>45783</v>
      </c>
      <c r="C87" s="1" t="n">
        <v>45880</v>
      </c>
      <c r="D87" t="inlineStr">
        <is>
          <t>UPPSALA LÄN</t>
        </is>
      </c>
      <c r="E87" t="inlineStr">
        <is>
          <t>UPPSALA</t>
        </is>
      </c>
      <c r="G87" t="n">
        <v>7.9</v>
      </c>
      <c r="H87" t="n">
        <v>1</v>
      </c>
      <c r="I87" t="n">
        <v>0</v>
      </c>
      <c r="J87" t="n">
        <v>0</v>
      </c>
      <c r="K87" t="n">
        <v>0</v>
      </c>
      <c r="L87" t="n">
        <v>0</v>
      </c>
      <c r="M87" t="n">
        <v>0</v>
      </c>
      <c r="N87" t="n">
        <v>0</v>
      </c>
      <c r="O87" t="n">
        <v>0</v>
      </c>
      <c r="P87" t="n">
        <v>0</v>
      </c>
      <c r="Q87" t="n">
        <v>1</v>
      </c>
      <c r="R87" s="2" t="inlineStr">
        <is>
          <t>Mattlummer</t>
        </is>
      </c>
      <c r="S87">
        <f>HYPERLINK("https://klasma.github.io/Logging_0380/artfynd/A 21801-2025 artfynd.xlsx", "A 21801-2025")</f>
        <v/>
      </c>
      <c r="T87">
        <f>HYPERLINK("https://klasma.github.io/Logging_0380/kartor/A 21801-2025 karta.png", "A 21801-2025")</f>
        <v/>
      </c>
      <c r="V87">
        <f>HYPERLINK("https://klasma.github.io/Logging_0380/klagomål/A 21801-2025 FSC-klagomål.docx", "A 21801-2025")</f>
        <v/>
      </c>
      <c r="W87">
        <f>HYPERLINK("https://klasma.github.io/Logging_0380/klagomålsmail/A 21801-2025 FSC-klagomål mail.docx", "A 21801-2025")</f>
        <v/>
      </c>
      <c r="X87">
        <f>HYPERLINK("https://klasma.github.io/Logging_0380/tillsyn/A 21801-2025 tillsynsbegäran.docx", "A 21801-2025")</f>
        <v/>
      </c>
      <c r="Y87">
        <f>HYPERLINK("https://klasma.github.io/Logging_0380/tillsynsmail/A 21801-2025 tillsynsbegäran mail.docx", "A 21801-2025")</f>
        <v/>
      </c>
    </row>
    <row r="88" ht="15" customHeight="1">
      <c r="A88" t="inlineStr">
        <is>
          <t>A 16761-2022</t>
        </is>
      </c>
      <c r="B88" s="1" t="n">
        <v>44673.47858796296</v>
      </c>
      <c r="C88" s="1" t="n">
        <v>45880</v>
      </c>
      <c r="D88" t="inlineStr">
        <is>
          <t>UPPSALA LÄN</t>
        </is>
      </c>
      <c r="E88" t="inlineStr">
        <is>
          <t>UPPSALA</t>
        </is>
      </c>
      <c r="G88" t="n">
        <v>0.6</v>
      </c>
      <c r="H88" t="n">
        <v>1</v>
      </c>
      <c r="I88" t="n">
        <v>0</v>
      </c>
      <c r="J88" t="n">
        <v>0</v>
      </c>
      <c r="K88" t="n">
        <v>0</v>
      </c>
      <c r="L88" t="n">
        <v>0</v>
      </c>
      <c r="M88" t="n">
        <v>0</v>
      </c>
      <c r="N88" t="n">
        <v>0</v>
      </c>
      <c r="O88" t="n">
        <v>0</v>
      </c>
      <c r="P88" t="n">
        <v>0</v>
      </c>
      <c r="Q88" t="n">
        <v>1</v>
      </c>
      <c r="R88" s="2" t="inlineStr">
        <is>
          <t>Trädlärka</t>
        </is>
      </c>
      <c r="S88">
        <f>HYPERLINK("https://klasma.github.io/Logging_0380/artfynd/A 16761-2022 artfynd.xlsx", "A 16761-2022")</f>
        <v/>
      </c>
      <c r="T88">
        <f>HYPERLINK("https://klasma.github.io/Logging_0380/kartor/A 16761-2022 karta.png", "A 16761-2022")</f>
        <v/>
      </c>
      <c r="V88">
        <f>HYPERLINK("https://klasma.github.io/Logging_0380/klagomål/A 16761-2022 FSC-klagomål.docx", "A 16761-2022")</f>
        <v/>
      </c>
      <c r="W88">
        <f>HYPERLINK("https://klasma.github.io/Logging_0380/klagomålsmail/A 16761-2022 FSC-klagomål mail.docx", "A 16761-2022")</f>
        <v/>
      </c>
      <c r="X88">
        <f>HYPERLINK("https://klasma.github.io/Logging_0380/tillsyn/A 16761-2022 tillsynsbegäran.docx", "A 16761-2022")</f>
        <v/>
      </c>
      <c r="Y88">
        <f>HYPERLINK("https://klasma.github.io/Logging_0380/tillsynsmail/A 16761-2022 tillsynsbegäran mail.docx", "A 16761-2022")</f>
        <v/>
      </c>
      <c r="Z88">
        <f>HYPERLINK("https://klasma.github.io/Logging_0380/fåglar/A 16761-2022 prioriterade fågelarter.docx", "A 16761-2022")</f>
        <v/>
      </c>
    </row>
    <row r="89" ht="15" customHeight="1">
      <c r="A89" t="inlineStr">
        <is>
          <t>A 4657-2025</t>
        </is>
      </c>
      <c r="B89" s="1" t="n">
        <v>45687</v>
      </c>
      <c r="C89" s="1" t="n">
        <v>45880</v>
      </c>
      <c r="D89" t="inlineStr">
        <is>
          <t>UPPSALA LÄN</t>
        </is>
      </c>
      <c r="E89" t="inlineStr">
        <is>
          <t>UPPSALA</t>
        </is>
      </c>
      <c r="G89" t="n">
        <v>2.9</v>
      </c>
      <c r="H89" t="n">
        <v>1</v>
      </c>
      <c r="I89" t="n">
        <v>0</v>
      </c>
      <c r="J89" t="n">
        <v>1</v>
      </c>
      <c r="K89" t="n">
        <v>0</v>
      </c>
      <c r="L89" t="n">
        <v>0</v>
      </c>
      <c r="M89" t="n">
        <v>0</v>
      </c>
      <c r="N89" t="n">
        <v>0</v>
      </c>
      <c r="O89" t="n">
        <v>1</v>
      </c>
      <c r="P89" t="n">
        <v>0</v>
      </c>
      <c r="Q89" t="n">
        <v>1</v>
      </c>
      <c r="R89" s="2" t="inlineStr">
        <is>
          <t>Grönsångare</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29906-2023</t>
        </is>
      </c>
      <c r="B90" s="1" t="n">
        <v>45107</v>
      </c>
      <c r="C90" s="1" t="n">
        <v>45880</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45880</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57793-2022</t>
        </is>
      </c>
      <c r="B92" s="1" t="n">
        <v>44897</v>
      </c>
      <c r="C92" s="1" t="n">
        <v>45880</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13363-2022</t>
        </is>
      </c>
      <c r="B93" s="1" t="n">
        <v>44645</v>
      </c>
      <c r="C93" s="1" t="n">
        <v>45880</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25660-2025</t>
        </is>
      </c>
      <c r="B94" s="1" t="n">
        <v>45803.61554398148</v>
      </c>
      <c r="C94" s="1" t="n">
        <v>45880</v>
      </c>
      <c r="D94" t="inlineStr">
        <is>
          <t>UPPSALA LÄN</t>
        </is>
      </c>
      <c r="E94" t="inlineStr">
        <is>
          <t>UPPSALA</t>
        </is>
      </c>
      <c r="F94" t="inlineStr">
        <is>
          <t>Holmen skog AB</t>
        </is>
      </c>
      <c r="G94" t="n">
        <v>4.8</v>
      </c>
      <c r="H94" t="n">
        <v>0</v>
      </c>
      <c r="I94" t="n">
        <v>1</v>
      </c>
      <c r="J94" t="n">
        <v>0</v>
      </c>
      <c r="K94" t="n">
        <v>0</v>
      </c>
      <c r="L94" t="n">
        <v>0</v>
      </c>
      <c r="M94" t="n">
        <v>0</v>
      </c>
      <c r="N94" t="n">
        <v>0</v>
      </c>
      <c r="O94" t="n">
        <v>0</v>
      </c>
      <c r="P94" t="n">
        <v>0</v>
      </c>
      <c r="Q94" t="n">
        <v>1</v>
      </c>
      <c r="R94" s="2" t="inlineStr">
        <is>
          <t>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26135-2025</t>
        </is>
      </c>
      <c r="B95" s="1" t="n">
        <v>45805.41232638889</v>
      </c>
      <c r="C95" s="1" t="n">
        <v>45880</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5009-2023</t>
        </is>
      </c>
      <c r="B96" s="1" t="n">
        <v>44958</v>
      </c>
      <c r="C96" s="1" t="n">
        <v>45880</v>
      </c>
      <c r="D96" t="inlineStr">
        <is>
          <t>UPPSALA LÄN</t>
        </is>
      </c>
      <c r="E96" t="inlineStr">
        <is>
          <t>UPPSALA</t>
        </is>
      </c>
      <c r="G96" t="n">
        <v>4.7</v>
      </c>
      <c r="H96" t="n">
        <v>1</v>
      </c>
      <c r="I96" t="n">
        <v>0</v>
      </c>
      <c r="J96" t="n">
        <v>0</v>
      </c>
      <c r="K96" t="n">
        <v>0</v>
      </c>
      <c r="L96" t="n">
        <v>0</v>
      </c>
      <c r="M96" t="n">
        <v>0</v>
      </c>
      <c r="N96" t="n">
        <v>0</v>
      </c>
      <c r="O96" t="n">
        <v>0</v>
      </c>
      <c r="P96" t="n">
        <v>0</v>
      </c>
      <c r="Q96" t="n">
        <v>1</v>
      </c>
      <c r="R96" s="2" t="inlineStr">
        <is>
          <t>Blåsippa</t>
        </is>
      </c>
      <c r="S96">
        <f>HYPERLINK("https://klasma.github.io/Logging_0380/artfynd/A 5009-2023 artfynd.xlsx", "A 5009-2023")</f>
        <v/>
      </c>
      <c r="T96">
        <f>HYPERLINK("https://klasma.github.io/Logging_0380/kartor/A 5009-2023 karta.png", "A 5009-2023")</f>
        <v/>
      </c>
      <c r="V96">
        <f>HYPERLINK("https://klasma.github.io/Logging_0380/klagomål/A 5009-2023 FSC-klagomål.docx", "A 5009-2023")</f>
        <v/>
      </c>
      <c r="W96">
        <f>HYPERLINK("https://klasma.github.io/Logging_0380/klagomålsmail/A 5009-2023 FSC-klagomål mail.docx", "A 5009-2023")</f>
        <v/>
      </c>
      <c r="X96">
        <f>HYPERLINK("https://klasma.github.io/Logging_0380/tillsyn/A 5009-2023 tillsynsbegäran.docx", "A 5009-2023")</f>
        <v/>
      </c>
      <c r="Y96">
        <f>HYPERLINK("https://klasma.github.io/Logging_0380/tillsynsmail/A 5009-2023 tillsynsbegäran mail.docx", "A 5009-2023")</f>
        <v/>
      </c>
    </row>
    <row r="97" ht="15" customHeight="1">
      <c r="A97" t="inlineStr">
        <is>
          <t>A 9206-2024</t>
        </is>
      </c>
      <c r="B97" s="1" t="n">
        <v>45358</v>
      </c>
      <c r="C97" s="1" t="n">
        <v>45880</v>
      </c>
      <c r="D97" t="inlineStr">
        <is>
          <t>UPPSALA LÄN</t>
        </is>
      </c>
      <c r="E97" t="inlineStr">
        <is>
          <t>UPPSALA</t>
        </is>
      </c>
      <c r="F97" t="inlineStr">
        <is>
          <t>Allmännings- och besparingsskogar</t>
        </is>
      </c>
      <c r="G97" t="n">
        <v>22.2</v>
      </c>
      <c r="H97" t="n">
        <v>1</v>
      </c>
      <c r="I97" t="n">
        <v>0</v>
      </c>
      <c r="J97" t="n">
        <v>0</v>
      </c>
      <c r="K97" t="n">
        <v>1</v>
      </c>
      <c r="L97" t="n">
        <v>0</v>
      </c>
      <c r="M97" t="n">
        <v>0</v>
      </c>
      <c r="N97" t="n">
        <v>0</v>
      </c>
      <c r="O97" t="n">
        <v>1</v>
      </c>
      <c r="P97" t="n">
        <v>1</v>
      </c>
      <c r="Q97" t="n">
        <v>1</v>
      </c>
      <c r="R97" s="2" t="inlineStr">
        <is>
          <t>Knärot</t>
        </is>
      </c>
      <c r="S97">
        <f>HYPERLINK("https://klasma.github.io/Logging_0380/artfynd/A 9206-2024 artfynd.xlsx", "A 9206-2024")</f>
        <v/>
      </c>
      <c r="T97">
        <f>HYPERLINK("https://klasma.github.io/Logging_0380/kartor/A 9206-2024 karta.png", "A 9206-2024")</f>
        <v/>
      </c>
      <c r="U97">
        <f>HYPERLINK("https://klasma.github.io/Logging_0380/knärot/A 9206-2024 karta knärot.png", "A 9206-2024")</f>
        <v/>
      </c>
      <c r="V97">
        <f>HYPERLINK("https://klasma.github.io/Logging_0380/klagomål/A 9206-2024 FSC-klagomål.docx", "A 9206-2024")</f>
        <v/>
      </c>
      <c r="W97">
        <f>HYPERLINK("https://klasma.github.io/Logging_0380/klagomålsmail/A 9206-2024 FSC-klagomål mail.docx", "A 9206-2024")</f>
        <v/>
      </c>
      <c r="X97">
        <f>HYPERLINK("https://klasma.github.io/Logging_0380/tillsyn/A 9206-2024 tillsynsbegäran.docx", "A 9206-2024")</f>
        <v/>
      </c>
      <c r="Y97">
        <f>HYPERLINK("https://klasma.github.io/Logging_0380/tillsynsmail/A 9206-2024 tillsynsbegäran mail.docx", "A 9206-2024")</f>
        <v/>
      </c>
    </row>
    <row r="98" ht="15" customHeight="1">
      <c r="A98" t="inlineStr">
        <is>
          <t>A 27848-2023</t>
        </is>
      </c>
      <c r="B98" s="1" t="n">
        <v>45098</v>
      </c>
      <c r="C98" s="1" t="n">
        <v>45880</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18624-2025</t>
        </is>
      </c>
      <c r="B99" s="1" t="n">
        <v>45763.52524305556</v>
      </c>
      <c r="C99" s="1" t="n">
        <v>45880</v>
      </c>
      <c r="D99" t="inlineStr">
        <is>
          <t>UPPSALA LÄN</t>
        </is>
      </c>
      <c r="E99" t="inlineStr">
        <is>
          <t>UPPSALA</t>
        </is>
      </c>
      <c r="G99" t="n">
        <v>5</v>
      </c>
      <c r="H99" t="n">
        <v>0</v>
      </c>
      <c r="I99" t="n">
        <v>1</v>
      </c>
      <c r="J99" t="n">
        <v>0</v>
      </c>
      <c r="K99" t="n">
        <v>0</v>
      </c>
      <c r="L99" t="n">
        <v>0</v>
      </c>
      <c r="M99" t="n">
        <v>0</v>
      </c>
      <c r="N99" t="n">
        <v>0</v>
      </c>
      <c r="O99" t="n">
        <v>0</v>
      </c>
      <c r="P99" t="n">
        <v>0</v>
      </c>
      <c r="Q99" t="n">
        <v>1</v>
      </c>
      <c r="R99" s="2" t="inlineStr">
        <is>
          <t>Blåmossa</t>
        </is>
      </c>
      <c r="S99">
        <f>HYPERLINK("https://klasma.github.io/Logging_0380/artfynd/A 18624-2025 artfynd.xlsx", "A 18624-2025")</f>
        <v/>
      </c>
      <c r="T99">
        <f>HYPERLINK("https://klasma.github.io/Logging_0380/kartor/A 18624-2025 karta.png", "A 18624-2025")</f>
        <v/>
      </c>
      <c r="V99">
        <f>HYPERLINK("https://klasma.github.io/Logging_0380/klagomål/A 18624-2025 FSC-klagomål.docx", "A 18624-2025")</f>
        <v/>
      </c>
      <c r="W99">
        <f>HYPERLINK("https://klasma.github.io/Logging_0380/klagomålsmail/A 18624-2025 FSC-klagomål mail.docx", "A 18624-2025")</f>
        <v/>
      </c>
      <c r="X99">
        <f>HYPERLINK("https://klasma.github.io/Logging_0380/tillsyn/A 18624-2025 tillsynsbegäran.docx", "A 18624-2025")</f>
        <v/>
      </c>
      <c r="Y99">
        <f>HYPERLINK("https://klasma.github.io/Logging_0380/tillsynsmail/A 18624-2025 tillsynsbegäran mail.docx", "A 18624-2025")</f>
        <v/>
      </c>
    </row>
    <row r="100" ht="15" customHeight="1">
      <c r="A100" t="inlineStr">
        <is>
          <t>A 26923-2025</t>
        </is>
      </c>
      <c r="B100" s="1" t="n">
        <v>45811.38710648148</v>
      </c>
      <c r="C100" s="1" t="n">
        <v>45880</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45880</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45880</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27824-2025</t>
        </is>
      </c>
      <c r="B103" s="1" t="n">
        <v>45817.34614583333</v>
      </c>
      <c r="C103" s="1" t="n">
        <v>45880</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6044-2024</t>
        </is>
      </c>
      <c r="B104" s="1" t="n">
        <v>45336</v>
      </c>
      <c r="C104" s="1" t="n">
        <v>45880</v>
      </c>
      <c r="D104" t="inlineStr">
        <is>
          <t>UPPSALA LÄN</t>
        </is>
      </c>
      <c r="E104" t="inlineStr">
        <is>
          <t>UPPSALA</t>
        </is>
      </c>
      <c r="F104" t="inlineStr">
        <is>
          <t>Holmen skog AB</t>
        </is>
      </c>
      <c r="G104" t="n">
        <v>7.4</v>
      </c>
      <c r="H104" t="n">
        <v>0</v>
      </c>
      <c r="I104" t="n">
        <v>0</v>
      </c>
      <c r="J104" t="n">
        <v>1</v>
      </c>
      <c r="K104" t="n">
        <v>0</v>
      </c>
      <c r="L104" t="n">
        <v>0</v>
      </c>
      <c r="M104" t="n">
        <v>0</v>
      </c>
      <c r="N104" t="n">
        <v>0</v>
      </c>
      <c r="O104" t="n">
        <v>1</v>
      </c>
      <c r="P104" t="n">
        <v>0</v>
      </c>
      <c r="Q104" t="n">
        <v>1</v>
      </c>
      <c r="R104" s="2" t="inlineStr">
        <is>
          <t>Gul dropplav</t>
        </is>
      </c>
      <c r="S104">
        <f>HYPERLINK("https://klasma.github.io/Logging_0380/artfynd/A 6044-2024 artfynd.xlsx", "A 6044-2024")</f>
        <v/>
      </c>
      <c r="T104">
        <f>HYPERLINK("https://klasma.github.io/Logging_0380/kartor/A 6044-2024 karta.png", "A 6044-2024")</f>
        <v/>
      </c>
      <c r="V104">
        <f>HYPERLINK("https://klasma.github.io/Logging_0380/klagomål/A 6044-2024 FSC-klagomål.docx", "A 6044-2024")</f>
        <v/>
      </c>
      <c r="W104">
        <f>HYPERLINK("https://klasma.github.io/Logging_0380/klagomålsmail/A 6044-2024 FSC-klagomål mail.docx", "A 6044-2024")</f>
        <v/>
      </c>
      <c r="X104">
        <f>HYPERLINK("https://klasma.github.io/Logging_0380/tillsyn/A 6044-2024 tillsynsbegäran.docx", "A 6044-2024")</f>
        <v/>
      </c>
      <c r="Y104">
        <f>HYPERLINK("https://klasma.github.io/Logging_0380/tillsynsmail/A 6044-2024 tillsynsbegäran mail.docx", "A 6044-2024")</f>
        <v/>
      </c>
    </row>
    <row r="105" ht="15" customHeight="1">
      <c r="A105" t="inlineStr">
        <is>
          <t>A 28056-2025</t>
        </is>
      </c>
      <c r="B105" s="1" t="n">
        <v>45817</v>
      </c>
      <c r="C105" s="1" t="n">
        <v>45880</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13526-2025</t>
        </is>
      </c>
      <c r="B106" s="1" t="n">
        <v>45736.49902777778</v>
      </c>
      <c r="C106" s="1" t="n">
        <v>45880</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28950-2025</t>
        </is>
      </c>
      <c r="B107" s="1" t="n">
        <v>45820.84516203704</v>
      </c>
      <c r="C107" s="1" t="n">
        <v>45880</v>
      </c>
      <c r="D107" t="inlineStr">
        <is>
          <t>UPPSALA LÄN</t>
        </is>
      </c>
      <c r="E107" t="inlineStr">
        <is>
          <t>UPPSALA</t>
        </is>
      </c>
      <c r="F107" t="inlineStr">
        <is>
          <t>Bergvik skog öst AB</t>
        </is>
      </c>
      <c r="G107" t="n">
        <v>6</v>
      </c>
      <c r="H107" t="n">
        <v>0</v>
      </c>
      <c r="I107" t="n">
        <v>0</v>
      </c>
      <c r="J107" t="n">
        <v>0</v>
      </c>
      <c r="K107" t="n">
        <v>0</v>
      </c>
      <c r="L107" t="n">
        <v>1</v>
      </c>
      <c r="M107" t="n">
        <v>0</v>
      </c>
      <c r="N107" t="n">
        <v>0</v>
      </c>
      <c r="O107" t="n">
        <v>1</v>
      </c>
      <c r="P107" t="n">
        <v>1</v>
      </c>
      <c r="Q107" t="n">
        <v>1</v>
      </c>
      <c r="R107" s="2" t="inlineStr">
        <is>
          <t>Fältgentiana</t>
        </is>
      </c>
      <c r="S107">
        <f>HYPERLINK("https://klasma.github.io/Logging_0380/artfynd/A 28950-2025 artfynd.xlsx", "A 28950-2025")</f>
        <v/>
      </c>
      <c r="T107">
        <f>HYPERLINK("https://klasma.github.io/Logging_0380/kartor/A 28950-2025 karta.png", "A 28950-2025")</f>
        <v/>
      </c>
      <c r="V107">
        <f>HYPERLINK("https://klasma.github.io/Logging_0380/klagomål/A 28950-2025 FSC-klagomål.docx", "A 28950-2025")</f>
        <v/>
      </c>
      <c r="W107">
        <f>HYPERLINK("https://klasma.github.io/Logging_0380/klagomålsmail/A 28950-2025 FSC-klagomål mail.docx", "A 28950-2025")</f>
        <v/>
      </c>
      <c r="X107">
        <f>HYPERLINK("https://klasma.github.io/Logging_0380/tillsyn/A 28950-2025 tillsynsbegäran.docx", "A 28950-2025")</f>
        <v/>
      </c>
      <c r="Y107">
        <f>HYPERLINK("https://klasma.github.io/Logging_0380/tillsynsmail/A 28950-2025 tillsynsbegäran mail.docx", "A 28950-2025")</f>
        <v/>
      </c>
    </row>
    <row r="108" ht="15" customHeight="1">
      <c r="A108" t="inlineStr">
        <is>
          <t>A 37004-2025</t>
        </is>
      </c>
      <c r="B108" s="1" t="n">
        <v>45874.69282407407</v>
      </c>
      <c r="C108" s="1" t="n">
        <v>45880</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36842-2025</t>
        </is>
      </c>
      <c r="B109" s="1" t="n">
        <v>45874</v>
      </c>
      <c r="C109" s="1" t="n">
        <v>45880</v>
      </c>
      <c r="D109" t="inlineStr">
        <is>
          <t>UPPSALA LÄN</t>
        </is>
      </c>
      <c r="E109" t="inlineStr">
        <is>
          <t>UPPSALA</t>
        </is>
      </c>
      <c r="G109" t="n">
        <v>9.9</v>
      </c>
      <c r="H109" t="n">
        <v>0</v>
      </c>
      <c r="I109" t="n">
        <v>1</v>
      </c>
      <c r="J109" t="n">
        <v>0</v>
      </c>
      <c r="K109" t="n">
        <v>0</v>
      </c>
      <c r="L109" t="n">
        <v>0</v>
      </c>
      <c r="M109" t="n">
        <v>0</v>
      </c>
      <c r="N109" t="n">
        <v>0</v>
      </c>
      <c r="O109" t="n">
        <v>0</v>
      </c>
      <c r="P109" t="n">
        <v>0</v>
      </c>
      <c r="Q109" t="n">
        <v>1</v>
      </c>
      <c r="R109" s="2" t="inlineStr">
        <is>
          <t>Vedticka</t>
        </is>
      </c>
      <c r="S109">
        <f>HYPERLINK("https://klasma.github.io/Logging_0380/artfynd/A 36842-2025 artfynd.xlsx", "A 36842-2025")</f>
        <v/>
      </c>
      <c r="T109">
        <f>HYPERLINK("https://klasma.github.io/Logging_0380/kartor/A 36842-2025 karta.png", "A 36842-2025")</f>
        <v/>
      </c>
      <c r="V109">
        <f>HYPERLINK("https://klasma.github.io/Logging_0380/klagomål/A 36842-2025 FSC-klagomål.docx", "A 36842-2025")</f>
        <v/>
      </c>
      <c r="W109">
        <f>HYPERLINK("https://klasma.github.io/Logging_0380/klagomålsmail/A 36842-2025 FSC-klagomål mail.docx", "A 36842-2025")</f>
        <v/>
      </c>
      <c r="X109">
        <f>HYPERLINK("https://klasma.github.io/Logging_0380/tillsyn/A 36842-2025 tillsynsbegäran.docx", "A 36842-2025")</f>
        <v/>
      </c>
      <c r="Y109">
        <f>HYPERLINK("https://klasma.github.io/Logging_0380/tillsynsmail/A 36842-2025 tillsynsbegäran mail.docx", "A 36842-2025")</f>
        <v/>
      </c>
    </row>
    <row r="110" ht="15" customHeight="1">
      <c r="A110" t="inlineStr">
        <is>
          <t>A 61830-2022</t>
        </is>
      </c>
      <c r="B110" s="1" t="n">
        <v>44917.59298611111</v>
      </c>
      <c r="C110" s="1" t="n">
        <v>45880</v>
      </c>
      <c r="D110" t="inlineStr">
        <is>
          <t>UPPSALA LÄN</t>
        </is>
      </c>
      <c r="E110" t="inlineStr">
        <is>
          <t>UPPSALA</t>
        </is>
      </c>
      <c r="F110" t="inlineStr">
        <is>
          <t>Holmen skog AB</t>
        </is>
      </c>
      <c r="G110" t="n">
        <v>1.1</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61830-2022 artfynd.xlsx", "A 61830-2022")</f>
        <v/>
      </c>
      <c r="T110">
        <f>HYPERLINK("https://klasma.github.io/Logging_0380/kartor/A 61830-2022 karta.png", "A 61830-2022")</f>
        <v/>
      </c>
      <c r="V110">
        <f>HYPERLINK("https://klasma.github.io/Logging_0380/klagomål/A 61830-2022 FSC-klagomål.docx", "A 61830-2022")</f>
        <v/>
      </c>
      <c r="W110">
        <f>HYPERLINK("https://klasma.github.io/Logging_0380/klagomålsmail/A 61830-2022 FSC-klagomål mail.docx", "A 61830-2022")</f>
        <v/>
      </c>
      <c r="X110">
        <f>HYPERLINK("https://klasma.github.io/Logging_0380/tillsyn/A 61830-2022 tillsynsbegäran.docx", "A 61830-2022")</f>
        <v/>
      </c>
      <c r="Y110">
        <f>HYPERLINK("https://klasma.github.io/Logging_0380/tillsynsmail/A 61830-2022 tillsynsbegäran mail.docx", "A 61830-2022")</f>
        <v/>
      </c>
    </row>
    <row r="111" ht="15" customHeight="1">
      <c r="A111" t="inlineStr">
        <is>
          <t>A 2729-2024</t>
        </is>
      </c>
      <c r="B111" s="1" t="n">
        <v>45314.55579861111</v>
      </c>
      <c r="C111" s="1" t="n">
        <v>45880</v>
      </c>
      <c r="D111" t="inlineStr">
        <is>
          <t>UPPSALA LÄN</t>
        </is>
      </c>
      <c r="E111" t="inlineStr">
        <is>
          <t>UPPSALA</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HYPERLINK("https://klasma.github.io/Logging_0380/artfynd/A 2729-2024 artfynd.xlsx", "A 2729-2024")</f>
        <v/>
      </c>
      <c r="T111">
        <f>HYPERLINK("https://klasma.github.io/Logging_0380/kartor/A 2729-2024 karta.png", "A 2729-2024")</f>
        <v/>
      </c>
      <c r="V111">
        <f>HYPERLINK("https://klasma.github.io/Logging_0380/klagomål/A 2729-2024 FSC-klagomål.docx", "A 2729-2024")</f>
        <v/>
      </c>
      <c r="W111">
        <f>HYPERLINK("https://klasma.github.io/Logging_0380/klagomålsmail/A 2729-2024 FSC-klagomål mail.docx", "A 2729-2024")</f>
        <v/>
      </c>
      <c r="X111">
        <f>HYPERLINK("https://klasma.github.io/Logging_0380/tillsyn/A 2729-2024 tillsynsbegäran.docx", "A 2729-2024")</f>
        <v/>
      </c>
      <c r="Y111">
        <f>HYPERLINK("https://klasma.github.io/Logging_0380/tillsynsmail/A 2729-2024 tillsynsbegäran mail.docx", "A 2729-2024")</f>
        <v/>
      </c>
    </row>
    <row r="112" ht="15" customHeight="1">
      <c r="A112" t="inlineStr">
        <is>
          <t>A 46634-2022</t>
        </is>
      </c>
      <c r="B112" s="1" t="n">
        <v>44849</v>
      </c>
      <c r="C112" s="1" t="n">
        <v>45880</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45880</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45880</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45880</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45880</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45880</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45880</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45880</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45880</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45880</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45880</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45880</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45880</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45880</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43968-2020</t>
        </is>
      </c>
      <c r="B126" s="1" t="n">
        <v>44083</v>
      </c>
      <c r="C126" s="1" t="n">
        <v>45880</v>
      </c>
      <c r="D126" t="inlineStr">
        <is>
          <t>UPPSALA LÄN</t>
        </is>
      </c>
      <c r="E126" t="inlineStr">
        <is>
          <t>UPPSALA</t>
        </is>
      </c>
      <c r="G126" t="n">
        <v>1.3</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45880</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45880</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45880</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45880</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45880</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45880</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45880</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45880</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45880</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45880</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45880</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45880</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45880</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45880</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45880</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20764-2022</t>
        </is>
      </c>
      <c r="B142" s="1" t="n">
        <v>44700</v>
      </c>
      <c r="C142" s="1" t="n">
        <v>45880</v>
      </c>
      <c r="D142" t="inlineStr">
        <is>
          <t>UPPSALA LÄN</t>
        </is>
      </c>
      <c r="E142" t="inlineStr">
        <is>
          <t>UPPSALA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45880</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45880</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45880</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45880</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45880</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45880</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45880</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45880</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45880</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45880</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45880</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45880</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45880</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45880</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45880</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45880</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45880</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45880</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45880</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45880</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45880</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45880</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45880</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45880</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45880</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37276-2020</t>
        </is>
      </c>
      <c r="B168" s="1" t="n">
        <v>44055</v>
      </c>
      <c r="C168" s="1" t="n">
        <v>45880</v>
      </c>
      <c r="D168" t="inlineStr">
        <is>
          <t>UPPSALA LÄN</t>
        </is>
      </c>
      <c r="E168" t="inlineStr">
        <is>
          <t>UPPSALA</t>
        </is>
      </c>
      <c r="G168" t="n">
        <v>0.5</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45880</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8475-2022</t>
        </is>
      </c>
      <c r="B170" s="1" t="n">
        <v>44610</v>
      </c>
      <c r="C170" s="1" t="n">
        <v>45880</v>
      </c>
      <c r="D170" t="inlineStr">
        <is>
          <t>UPPSALA LÄN</t>
        </is>
      </c>
      <c r="E170" t="inlineStr">
        <is>
          <t>UPPSALA</t>
        </is>
      </c>
      <c r="F170" t="inlineStr">
        <is>
          <t>Allmännings- och besparingsskogar</t>
        </is>
      </c>
      <c r="G170" t="n">
        <v>32.7</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45880</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64858-2021</t>
        </is>
      </c>
      <c r="B172" s="1" t="n">
        <v>44512</v>
      </c>
      <c r="C172" s="1" t="n">
        <v>45880</v>
      </c>
      <c r="D172" t="inlineStr">
        <is>
          <t>UPPSALA LÄN</t>
        </is>
      </c>
      <c r="E172" t="inlineStr">
        <is>
          <t>UPPSALA</t>
        </is>
      </c>
      <c r="G172" t="n">
        <v>1.2</v>
      </c>
      <c r="H172" t="n">
        <v>0</v>
      </c>
      <c r="I172" t="n">
        <v>0</v>
      </c>
      <c r="J172" t="n">
        <v>0</v>
      </c>
      <c r="K172" t="n">
        <v>0</v>
      </c>
      <c r="L172" t="n">
        <v>0</v>
      </c>
      <c r="M172" t="n">
        <v>0</v>
      </c>
      <c r="N172" t="n">
        <v>0</v>
      </c>
      <c r="O172" t="n">
        <v>0</v>
      </c>
      <c r="P172" t="n">
        <v>0</v>
      </c>
      <c r="Q172" t="n">
        <v>0</v>
      </c>
      <c r="R172" s="2" t="inlineStr"/>
    </row>
    <row r="173" ht="15" customHeight="1">
      <c r="A173" t="inlineStr">
        <is>
          <t>A 26972-2022</t>
        </is>
      </c>
      <c r="B173" s="1" t="n">
        <v>44740.68142361111</v>
      </c>
      <c r="C173" s="1" t="n">
        <v>45880</v>
      </c>
      <c r="D173" t="inlineStr">
        <is>
          <t>UPPSALA LÄN</t>
        </is>
      </c>
      <c r="E173" t="inlineStr">
        <is>
          <t>UPPSALA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38892-2022</t>
        </is>
      </c>
      <c r="B174" s="1" t="n">
        <v>44816</v>
      </c>
      <c r="C174" s="1" t="n">
        <v>45880</v>
      </c>
      <c r="D174" t="inlineStr">
        <is>
          <t>UPPSALA LÄN</t>
        </is>
      </c>
      <c r="E174" t="inlineStr">
        <is>
          <t>UPPSALA</t>
        </is>
      </c>
      <c r="G174" t="n">
        <v>1.3</v>
      </c>
      <c r="H174" t="n">
        <v>0</v>
      </c>
      <c r="I174" t="n">
        <v>0</v>
      </c>
      <c r="J174" t="n">
        <v>0</v>
      </c>
      <c r="K174" t="n">
        <v>0</v>
      </c>
      <c r="L174" t="n">
        <v>0</v>
      </c>
      <c r="M174" t="n">
        <v>0</v>
      </c>
      <c r="N174" t="n">
        <v>0</v>
      </c>
      <c r="O174" t="n">
        <v>0</v>
      </c>
      <c r="P174" t="n">
        <v>0</v>
      </c>
      <c r="Q174" t="n">
        <v>0</v>
      </c>
      <c r="R174" s="2" t="inlineStr"/>
    </row>
    <row r="175" ht="15" customHeight="1">
      <c r="A175" t="inlineStr">
        <is>
          <t>A 17262-2021</t>
        </is>
      </c>
      <c r="B175" s="1" t="n">
        <v>44297</v>
      </c>
      <c r="C175" s="1" t="n">
        <v>45880</v>
      </c>
      <c r="D175" t="inlineStr">
        <is>
          <t>UPPSALA LÄN</t>
        </is>
      </c>
      <c r="E175" t="inlineStr">
        <is>
          <t>UPPSALA</t>
        </is>
      </c>
      <c r="F175" t="inlineStr">
        <is>
          <t>Allmännings- och besparingsskogar</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45880</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45880</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45880</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3259-2022</t>
        </is>
      </c>
      <c r="B179" s="1" t="n">
        <v>44583.61555555555</v>
      </c>
      <c r="C179" s="1" t="n">
        <v>45880</v>
      </c>
      <c r="D179" t="inlineStr">
        <is>
          <t>UPPSALA LÄN</t>
        </is>
      </c>
      <c r="E179" t="inlineStr">
        <is>
          <t>UPPSALA</t>
        </is>
      </c>
      <c r="F179" t="inlineStr">
        <is>
          <t>Holmen skog AB</t>
        </is>
      </c>
      <c r="G179" t="n">
        <v>2.4</v>
      </c>
      <c r="H179" t="n">
        <v>0</v>
      </c>
      <c r="I179" t="n">
        <v>0</v>
      </c>
      <c r="J179" t="n">
        <v>0</v>
      </c>
      <c r="K179" t="n">
        <v>0</v>
      </c>
      <c r="L179" t="n">
        <v>0</v>
      </c>
      <c r="M179" t="n">
        <v>0</v>
      </c>
      <c r="N179" t="n">
        <v>0</v>
      </c>
      <c r="O179" t="n">
        <v>0</v>
      </c>
      <c r="P179" t="n">
        <v>0</v>
      </c>
      <c r="Q179" t="n">
        <v>0</v>
      </c>
      <c r="R179" s="2" t="inlineStr"/>
    </row>
    <row r="180" ht="15" customHeight="1">
      <c r="A180" t="inlineStr">
        <is>
          <t>A 2017-2022</t>
        </is>
      </c>
      <c r="B180" s="1" t="n">
        <v>44575</v>
      </c>
      <c r="C180" s="1" t="n">
        <v>45880</v>
      </c>
      <c r="D180" t="inlineStr">
        <is>
          <t>UPPSALA LÄN</t>
        </is>
      </c>
      <c r="E180" t="inlineStr">
        <is>
          <t>UPPSALA</t>
        </is>
      </c>
      <c r="G180" t="n">
        <v>1.1</v>
      </c>
      <c r="H180" t="n">
        <v>0</v>
      </c>
      <c r="I180" t="n">
        <v>0</v>
      </c>
      <c r="J180" t="n">
        <v>0</v>
      </c>
      <c r="K180" t="n">
        <v>0</v>
      </c>
      <c r="L180" t="n">
        <v>0</v>
      </c>
      <c r="M180" t="n">
        <v>0</v>
      </c>
      <c r="N180" t="n">
        <v>0</v>
      </c>
      <c r="O180" t="n">
        <v>0</v>
      </c>
      <c r="P180" t="n">
        <v>0</v>
      </c>
      <c r="Q180" t="n">
        <v>0</v>
      </c>
      <c r="R180" s="2" t="inlineStr"/>
    </row>
    <row r="181" ht="15" customHeight="1">
      <c r="A181" t="inlineStr">
        <is>
          <t>A 13892-2022</t>
        </is>
      </c>
      <c r="B181" s="1" t="n">
        <v>44649</v>
      </c>
      <c r="C181" s="1" t="n">
        <v>45880</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45880</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20265-2022</t>
        </is>
      </c>
      <c r="B183" s="1" t="n">
        <v>44698.67151620371</v>
      </c>
      <c r="C183" s="1" t="n">
        <v>45880</v>
      </c>
      <c r="D183" t="inlineStr">
        <is>
          <t>UPPSALA LÄN</t>
        </is>
      </c>
      <c r="E183" t="inlineStr">
        <is>
          <t>UPPSALA</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45880</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46293-2022</t>
        </is>
      </c>
      <c r="B185" s="1" t="n">
        <v>44847</v>
      </c>
      <c r="C185" s="1" t="n">
        <v>45880</v>
      </c>
      <c r="D185" t="inlineStr">
        <is>
          <t>UPPSALA LÄN</t>
        </is>
      </c>
      <c r="E185" t="inlineStr">
        <is>
          <t>UPPSALA</t>
        </is>
      </c>
      <c r="G185" t="n">
        <v>2</v>
      </c>
      <c r="H185" t="n">
        <v>0</v>
      </c>
      <c r="I185" t="n">
        <v>0</v>
      </c>
      <c r="J185" t="n">
        <v>0</v>
      </c>
      <c r="K185" t="n">
        <v>0</v>
      </c>
      <c r="L185" t="n">
        <v>0</v>
      </c>
      <c r="M185" t="n">
        <v>0</v>
      </c>
      <c r="N185" t="n">
        <v>0</v>
      </c>
      <c r="O185" t="n">
        <v>0</v>
      </c>
      <c r="P185" t="n">
        <v>0</v>
      </c>
      <c r="Q185" t="n">
        <v>0</v>
      </c>
      <c r="R185" s="2" t="inlineStr"/>
    </row>
    <row r="186" ht="15" customHeight="1">
      <c r="A186" t="inlineStr">
        <is>
          <t>A 14022-2021</t>
        </is>
      </c>
      <c r="B186" s="1" t="n">
        <v>44277.65263888889</v>
      </c>
      <c r="C186" s="1" t="n">
        <v>45880</v>
      </c>
      <c r="D186" t="inlineStr">
        <is>
          <t>UPPSALA LÄN</t>
        </is>
      </c>
      <c r="E186" t="inlineStr">
        <is>
          <t>UPPSALA</t>
        </is>
      </c>
      <c r="G186" t="n">
        <v>11.1</v>
      </c>
      <c r="H186" t="n">
        <v>0</v>
      </c>
      <c r="I186" t="n">
        <v>0</v>
      </c>
      <c r="J186" t="n">
        <v>0</v>
      </c>
      <c r="K186" t="n">
        <v>0</v>
      </c>
      <c r="L186" t="n">
        <v>0</v>
      </c>
      <c r="M186" t="n">
        <v>0</v>
      </c>
      <c r="N186" t="n">
        <v>0</v>
      </c>
      <c r="O186" t="n">
        <v>0</v>
      </c>
      <c r="P186" t="n">
        <v>0</v>
      </c>
      <c r="Q186" t="n">
        <v>0</v>
      </c>
      <c r="R186" s="2" t="inlineStr"/>
    </row>
    <row r="187" ht="15" customHeight="1">
      <c r="A187" t="inlineStr">
        <is>
          <t>A 22946-2021</t>
        </is>
      </c>
      <c r="B187" s="1" t="n">
        <v>44328.57100694445</v>
      </c>
      <c r="C187" s="1" t="n">
        <v>45880</v>
      </c>
      <c r="D187" t="inlineStr">
        <is>
          <t>UPPSALA LÄN</t>
        </is>
      </c>
      <c r="E187" t="inlineStr">
        <is>
          <t>UPPSALA</t>
        </is>
      </c>
      <c r="G187" t="n">
        <v>2.3</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45880</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31646-2021</t>
        </is>
      </c>
      <c r="B189" s="1" t="n">
        <v>44369</v>
      </c>
      <c r="C189" s="1" t="n">
        <v>45880</v>
      </c>
      <c r="D189" t="inlineStr">
        <is>
          <t>UPPSALA LÄN</t>
        </is>
      </c>
      <c r="E189" t="inlineStr">
        <is>
          <t>UPPSALA</t>
        </is>
      </c>
      <c r="G189" t="n">
        <v>1.7</v>
      </c>
      <c r="H189" t="n">
        <v>0</v>
      </c>
      <c r="I189" t="n">
        <v>0</v>
      </c>
      <c r="J189" t="n">
        <v>0</v>
      </c>
      <c r="K189" t="n">
        <v>0</v>
      </c>
      <c r="L189" t="n">
        <v>0</v>
      </c>
      <c r="M189" t="n">
        <v>0</v>
      </c>
      <c r="N189" t="n">
        <v>0</v>
      </c>
      <c r="O189" t="n">
        <v>0</v>
      </c>
      <c r="P189" t="n">
        <v>0</v>
      </c>
      <c r="Q189" t="n">
        <v>0</v>
      </c>
      <c r="R189" s="2" t="inlineStr"/>
    </row>
    <row r="190" ht="15" customHeight="1">
      <c r="A190" t="inlineStr">
        <is>
          <t>A 29277-2022</t>
        </is>
      </c>
      <c r="B190" s="1" t="n">
        <v>44750.678125</v>
      </c>
      <c r="C190" s="1" t="n">
        <v>45880</v>
      </c>
      <c r="D190" t="inlineStr">
        <is>
          <t>UPPSALA LÄN</t>
        </is>
      </c>
      <c r="E190" t="inlineStr">
        <is>
          <t>UPPSALA</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18330-2022</t>
        </is>
      </c>
      <c r="B191" s="1" t="n">
        <v>44685.6212037037</v>
      </c>
      <c r="C191" s="1" t="n">
        <v>45880</v>
      </c>
      <c r="D191" t="inlineStr">
        <is>
          <t>UPPSALA LÄN</t>
        </is>
      </c>
      <c r="E191" t="inlineStr">
        <is>
          <t>UPPSALA</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71675-2021</t>
        </is>
      </c>
      <c r="B192" s="1" t="n">
        <v>44543</v>
      </c>
      <c r="C192" s="1" t="n">
        <v>45880</v>
      </c>
      <c r="D192" t="inlineStr">
        <is>
          <t>UPPSALA LÄN</t>
        </is>
      </c>
      <c r="E192" t="inlineStr">
        <is>
          <t>UPPSALA</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51821-2021</t>
        </is>
      </c>
      <c r="B193" s="1" t="n">
        <v>44461</v>
      </c>
      <c r="C193" s="1" t="n">
        <v>45880</v>
      </c>
      <c r="D193" t="inlineStr">
        <is>
          <t>UPPSALA LÄN</t>
        </is>
      </c>
      <c r="E193" t="inlineStr">
        <is>
          <t>UPPSALA</t>
        </is>
      </c>
      <c r="F193" t="inlineStr">
        <is>
          <t>Övriga Aktiebolag</t>
        </is>
      </c>
      <c r="G193" t="n">
        <v>5.3</v>
      </c>
      <c r="H193" t="n">
        <v>0</v>
      </c>
      <c r="I193" t="n">
        <v>0</v>
      </c>
      <c r="J193" t="n">
        <v>0</v>
      </c>
      <c r="K193" t="n">
        <v>0</v>
      </c>
      <c r="L193" t="n">
        <v>0</v>
      </c>
      <c r="M193" t="n">
        <v>0</v>
      </c>
      <c r="N193" t="n">
        <v>0</v>
      </c>
      <c r="O193" t="n">
        <v>0</v>
      </c>
      <c r="P193" t="n">
        <v>0</v>
      </c>
      <c r="Q193" t="n">
        <v>0</v>
      </c>
      <c r="R193" s="2" t="inlineStr"/>
    </row>
    <row r="194" ht="15" customHeight="1">
      <c r="A194" t="inlineStr">
        <is>
          <t>A 50092-2022</t>
        </is>
      </c>
      <c r="B194" s="1" t="n">
        <v>44865</v>
      </c>
      <c r="C194" s="1" t="n">
        <v>45880</v>
      </c>
      <c r="D194" t="inlineStr">
        <is>
          <t>UPPSALA LÄN</t>
        </is>
      </c>
      <c r="E194" t="inlineStr">
        <is>
          <t>UPPSALA</t>
        </is>
      </c>
      <c r="G194" t="n">
        <v>1.1</v>
      </c>
      <c r="H194" t="n">
        <v>0</v>
      </c>
      <c r="I194" t="n">
        <v>0</v>
      </c>
      <c r="J194" t="n">
        <v>0</v>
      </c>
      <c r="K194" t="n">
        <v>0</v>
      </c>
      <c r="L194" t="n">
        <v>0</v>
      </c>
      <c r="M194" t="n">
        <v>0</v>
      </c>
      <c r="N194" t="n">
        <v>0</v>
      </c>
      <c r="O194" t="n">
        <v>0</v>
      </c>
      <c r="P194" t="n">
        <v>0</v>
      </c>
      <c r="Q194" t="n">
        <v>0</v>
      </c>
      <c r="R194" s="2" t="inlineStr"/>
    </row>
    <row r="195" ht="15" customHeight="1">
      <c r="A195" t="inlineStr">
        <is>
          <t>A 34838-2021</t>
        </is>
      </c>
      <c r="B195" s="1" t="n">
        <v>44383</v>
      </c>
      <c r="C195" s="1" t="n">
        <v>45880</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51396-2021</t>
        </is>
      </c>
      <c r="B196" s="1" t="n">
        <v>44461.73350694445</v>
      </c>
      <c r="C196" s="1" t="n">
        <v>45880</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33920-2021</t>
        </is>
      </c>
      <c r="B197" s="1" t="n">
        <v>44378.69857638889</v>
      </c>
      <c r="C197" s="1" t="n">
        <v>45880</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20980-2022</t>
        </is>
      </c>
      <c r="B198" s="1" t="n">
        <v>44702.70721064815</v>
      </c>
      <c r="C198" s="1" t="n">
        <v>45880</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45880</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45880</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46097-2021</t>
        </is>
      </c>
      <c r="B201" s="1" t="n">
        <v>44442.35195601852</v>
      </c>
      <c r="C201" s="1" t="n">
        <v>45880</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46099-2021</t>
        </is>
      </c>
      <c r="B202" s="1" t="n">
        <v>44442</v>
      </c>
      <c r="C202" s="1" t="n">
        <v>45880</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25745-2022</t>
        </is>
      </c>
      <c r="B203" s="1" t="n">
        <v>44733.43420138889</v>
      </c>
      <c r="C203" s="1" t="n">
        <v>45880</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45880</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22021-2022</t>
        </is>
      </c>
      <c r="B205" s="1" t="n">
        <v>44711</v>
      </c>
      <c r="C205" s="1" t="n">
        <v>45880</v>
      </c>
      <c r="D205" t="inlineStr">
        <is>
          <t>UPPSALA LÄN</t>
        </is>
      </c>
      <c r="E205" t="inlineStr">
        <is>
          <t>UPPSALA</t>
        </is>
      </c>
      <c r="F205" t="inlineStr">
        <is>
          <t>Allmännings- och besparingsskogar</t>
        </is>
      </c>
      <c r="G205" t="n">
        <v>2.1</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45880</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42341-2020</t>
        </is>
      </c>
      <c r="B207" s="1" t="n">
        <v>44076</v>
      </c>
      <c r="C207" s="1" t="n">
        <v>45880</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27763-2022</t>
        </is>
      </c>
      <c r="B208" s="1" t="n">
        <v>44743</v>
      </c>
      <c r="C208" s="1" t="n">
        <v>45880</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46647-2020</t>
        </is>
      </c>
      <c r="B209" s="1" t="n">
        <v>44095</v>
      </c>
      <c r="C209" s="1" t="n">
        <v>45880</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45880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45880</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56466-2020</t>
        </is>
      </c>
      <c r="B212" s="1" t="n">
        <v>44134</v>
      </c>
      <c r="C212" s="1" t="n">
        <v>45880</v>
      </c>
      <c r="D212" t="inlineStr">
        <is>
          <t>UPPSALA LÄN</t>
        </is>
      </c>
      <c r="E212" t="inlineStr">
        <is>
          <t>UPPSALA</t>
        </is>
      </c>
      <c r="F212" t="inlineStr">
        <is>
          <t>Övriga Aktiebolag</t>
        </is>
      </c>
      <c r="G212" t="n">
        <v>3.3</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45880</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10411-2022</t>
        </is>
      </c>
      <c r="B214" s="1" t="n">
        <v>44623.4572337963</v>
      </c>
      <c r="C214" s="1" t="n">
        <v>45880</v>
      </c>
      <c r="D214" t="inlineStr">
        <is>
          <t>UPPSALA LÄN</t>
        </is>
      </c>
      <c r="E214" t="inlineStr">
        <is>
          <t>UPPSALA</t>
        </is>
      </c>
      <c r="F214" t="inlineStr">
        <is>
          <t>Övriga Aktiebolag</t>
        </is>
      </c>
      <c r="G214" t="n">
        <v>4.2</v>
      </c>
      <c r="H214" t="n">
        <v>0</v>
      </c>
      <c r="I214" t="n">
        <v>0</v>
      </c>
      <c r="J214" t="n">
        <v>0</v>
      </c>
      <c r="K214" t="n">
        <v>0</v>
      </c>
      <c r="L214" t="n">
        <v>0</v>
      </c>
      <c r="M214" t="n">
        <v>0</v>
      </c>
      <c r="N214" t="n">
        <v>0</v>
      </c>
      <c r="O214" t="n">
        <v>0</v>
      </c>
      <c r="P214" t="n">
        <v>0</v>
      </c>
      <c r="Q214" t="n">
        <v>0</v>
      </c>
      <c r="R214" s="2" t="inlineStr"/>
    </row>
    <row r="215" ht="15" customHeight="1">
      <c r="A215" t="inlineStr">
        <is>
          <t>A 874-2022</t>
        </is>
      </c>
      <c r="B215" s="1" t="n">
        <v>44571.44563657408</v>
      </c>
      <c r="C215" s="1" t="n">
        <v>45880</v>
      </c>
      <c r="D215" t="inlineStr">
        <is>
          <t>UPPSALA LÄN</t>
        </is>
      </c>
      <c r="E215" t="inlineStr">
        <is>
          <t>UPPSALA</t>
        </is>
      </c>
      <c r="G215" t="n">
        <v>7.2</v>
      </c>
      <c r="H215" t="n">
        <v>0</v>
      </c>
      <c r="I215" t="n">
        <v>0</v>
      </c>
      <c r="J215" t="n">
        <v>0</v>
      </c>
      <c r="K215" t="n">
        <v>0</v>
      </c>
      <c r="L215" t="n">
        <v>0</v>
      </c>
      <c r="M215" t="n">
        <v>0</v>
      </c>
      <c r="N215" t="n">
        <v>0</v>
      </c>
      <c r="O215" t="n">
        <v>0</v>
      </c>
      <c r="P215" t="n">
        <v>0</v>
      </c>
      <c r="Q215" t="n">
        <v>0</v>
      </c>
      <c r="R215" s="2" t="inlineStr"/>
    </row>
    <row r="216" ht="15" customHeight="1">
      <c r="A216" t="inlineStr">
        <is>
          <t>A 48786-2020</t>
        </is>
      </c>
      <c r="B216" s="1" t="n">
        <v>44103</v>
      </c>
      <c r="C216" s="1" t="n">
        <v>45880</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56463-2021</t>
        </is>
      </c>
      <c r="B217" s="1" t="n">
        <v>44479</v>
      </c>
      <c r="C217" s="1" t="n">
        <v>45880</v>
      </c>
      <c r="D217" t="inlineStr">
        <is>
          <t>UPPSALA LÄN</t>
        </is>
      </c>
      <c r="E217" t="inlineStr">
        <is>
          <t>UPPSALA</t>
        </is>
      </c>
      <c r="G217" t="n">
        <v>6.4</v>
      </c>
      <c r="H217" t="n">
        <v>0</v>
      </c>
      <c r="I217" t="n">
        <v>0</v>
      </c>
      <c r="J217" t="n">
        <v>0</v>
      </c>
      <c r="K217" t="n">
        <v>0</v>
      </c>
      <c r="L217" t="n">
        <v>0</v>
      </c>
      <c r="M217" t="n">
        <v>0</v>
      </c>
      <c r="N217" t="n">
        <v>0</v>
      </c>
      <c r="O217" t="n">
        <v>0</v>
      </c>
      <c r="P217" t="n">
        <v>0</v>
      </c>
      <c r="Q217" t="n">
        <v>0</v>
      </c>
      <c r="R217" s="2" t="inlineStr"/>
    </row>
    <row r="218" ht="15" customHeight="1">
      <c r="A218" t="inlineStr">
        <is>
          <t>A 43850-2022</t>
        </is>
      </c>
      <c r="B218" s="1" t="n">
        <v>44838.40635416667</v>
      </c>
      <c r="C218" s="1" t="n">
        <v>45880</v>
      </c>
      <c r="D218" t="inlineStr">
        <is>
          <t>UPPSALA LÄN</t>
        </is>
      </c>
      <c r="E218" t="inlineStr">
        <is>
          <t>UPPSALA</t>
        </is>
      </c>
      <c r="G218" t="n">
        <v>0.6</v>
      </c>
      <c r="H218" t="n">
        <v>0</v>
      </c>
      <c r="I218" t="n">
        <v>0</v>
      </c>
      <c r="J218" t="n">
        <v>0</v>
      </c>
      <c r="K218" t="n">
        <v>0</v>
      </c>
      <c r="L218" t="n">
        <v>0</v>
      </c>
      <c r="M218" t="n">
        <v>0</v>
      </c>
      <c r="N218" t="n">
        <v>0</v>
      </c>
      <c r="O218" t="n">
        <v>0</v>
      </c>
      <c r="P218" t="n">
        <v>0</v>
      </c>
      <c r="Q218" t="n">
        <v>0</v>
      </c>
      <c r="R218" s="2" t="inlineStr"/>
    </row>
    <row r="219" ht="15" customHeight="1">
      <c r="A219" t="inlineStr">
        <is>
          <t>A 59500-2021</t>
        </is>
      </c>
      <c r="B219" s="1" t="n">
        <v>44491.54116898148</v>
      </c>
      <c r="C219" s="1" t="n">
        <v>45880</v>
      </c>
      <c r="D219" t="inlineStr">
        <is>
          <t>UPPSALA LÄN</t>
        </is>
      </c>
      <c r="E219" t="inlineStr">
        <is>
          <t>UPPSALA</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16978-2022</t>
        </is>
      </c>
      <c r="B220" s="1" t="n">
        <v>44676</v>
      </c>
      <c r="C220" s="1" t="n">
        <v>45880</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51050-2021</t>
        </is>
      </c>
      <c r="B221" s="1" t="n">
        <v>44459</v>
      </c>
      <c r="C221" s="1" t="n">
        <v>45880</v>
      </c>
      <c r="D221" t="inlineStr">
        <is>
          <t>UPPSALA LÄN</t>
        </is>
      </c>
      <c r="E221" t="inlineStr">
        <is>
          <t>UPPSALA</t>
        </is>
      </c>
      <c r="F221" t="inlineStr">
        <is>
          <t>Övriga Aktiebolag</t>
        </is>
      </c>
      <c r="G221" t="n">
        <v>7.5</v>
      </c>
      <c r="H221" t="n">
        <v>0</v>
      </c>
      <c r="I221" t="n">
        <v>0</v>
      </c>
      <c r="J221" t="n">
        <v>0</v>
      </c>
      <c r="K221" t="n">
        <v>0</v>
      </c>
      <c r="L221" t="n">
        <v>0</v>
      </c>
      <c r="M221" t="n">
        <v>0</v>
      </c>
      <c r="N221" t="n">
        <v>0</v>
      </c>
      <c r="O221" t="n">
        <v>0</v>
      </c>
      <c r="P221" t="n">
        <v>0</v>
      </c>
      <c r="Q221" t="n">
        <v>0</v>
      </c>
      <c r="R221" s="2" t="inlineStr"/>
    </row>
    <row r="222" ht="15" customHeight="1">
      <c r="A222" t="inlineStr">
        <is>
          <t>A 58767-2021</t>
        </is>
      </c>
      <c r="B222" s="1" t="n">
        <v>44489</v>
      </c>
      <c r="C222" s="1" t="n">
        <v>45880</v>
      </c>
      <c r="D222" t="inlineStr">
        <is>
          <t>UPPSALA LÄN</t>
        </is>
      </c>
      <c r="E222" t="inlineStr">
        <is>
          <t>UPPSALA</t>
        </is>
      </c>
      <c r="G222" t="n">
        <v>4.8</v>
      </c>
      <c r="H222" t="n">
        <v>0</v>
      </c>
      <c r="I222" t="n">
        <v>0</v>
      </c>
      <c r="J222" t="n">
        <v>0</v>
      </c>
      <c r="K222" t="n">
        <v>0</v>
      </c>
      <c r="L222" t="n">
        <v>0</v>
      </c>
      <c r="M222" t="n">
        <v>0</v>
      </c>
      <c r="N222" t="n">
        <v>0</v>
      </c>
      <c r="O222" t="n">
        <v>0</v>
      </c>
      <c r="P222" t="n">
        <v>0</v>
      </c>
      <c r="Q222" t="n">
        <v>0</v>
      </c>
      <c r="R222" s="2" t="inlineStr"/>
    </row>
    <row r="223" ht="15" customHeight="1">
      <c r="A223" t="inlineStr">
        <is>
          <t>A 71643-2021</t>
        </is>
      </c>
      <c r="B223" s="1" t="n">
        <v>44543.34697916666</v>
      </c>
      <c r="C223" s="1" t="n">
        <v>45880</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45880</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55823-2021</t>
        </is>
      </c>
      <c r="B225" s="1" t="n">
        <v>44476.61263888889</v>
      </c>
      <c r="C225" s="1" t="n">
        <v>45880</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60032-2021</t>
        </is>
      </c>
      <c r="B226" s="1" t="n">
        <v>44495</v>
      </c>
      <c r="C226" s="1" t="n">
        <v>45880</v>
      </c>
      <c r="D226" t="inlineStr">
        <is>
          <t>UPPSALA LÄN</t>
        </is>
      </c>
      <c r="E226" t="inlineStr">
        <is>
          <t>UPPSALA</t>
        </is>
      </c>
      <c r="G226" t="n">
        <v>1.8</v>
      </c>
      <c r="H226" t="n">
        <v>0</v>
      </c>
      <c r="I226" t="n">
        <v>0</v>
      </c>
      <c r="J226" t="n">
        <v>0</v>
      </c>
      <c r="K226" t="n">
        <v>0</v>
      </c>
      <c r="L226" t="n">
        <v>0</v>
      </c>
      <c r="M226" t="n">
        <v>0</v>
      </c>
      <c r="N226" t="n">
        <v>0</v>
      </c>
      <c r="O226" t="n">
        <v>0</v>
      </c>
      <c r="P226" t="n">
        <v>0</v>
      </c>
      <c r="Q226" t="n">
        <v>0</v>
      </c>
      <c r="R226" s="2" t="inlineStr"/>
    </row>
    <row r="227" ht="15" customHeight="1">
      <c r="A227" t="inlineStr">
        <is>
          <t>A 46079-2022</t>
        </is>
      </c>
      <c r="B227" s="1" t="n">
        <v>44847.35622685185</v>
      </c>
      <c r="C227" s="1" t="n">
        <v>45880</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21394-2022</t>
        </is>
      </c>
      <c r="B228" s="1" t="n">
        <v>44705.84535879629</v>
      </c>
      <c r="C228" s="1" t="n">
        <v>45880</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62504-2020</t>
        </is>
      </c>
      <c r="B229" s="1" t="n">
        <v>44160</v>
      </c>
      <c r="C229" s="1" t="n">
        <v>45880</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58056-2020</t>
        </is>
      </c>
      <c r="B230" s="1" t="n">
        <v>44144</v>
      </c>
      <c r="C230" s="1" t="n">
        <v>45880</v>
      </c>
      <c r="D230" t="inlineStr">
        <is>
          <t>UPPSALA LÄN</t>
        </is>
      </c>
      <c r="E230" t="inlineStr">
        <is>
          <t>UPPSALA</t>
        </is>
      </c>
      <c r="G230" t="n">
        <v>5.5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45880</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12152-2021</t>
        </is>
      </c>
      <c r="B232" s="1" t="n">
        <v>44266.57917824074</v>
      </c>
      <c r="C232" s="1" t="n">
        <v>45880</v>
      </c>
      <c r="D232" t="inlineStr">
        <is>
          <t>UPPSALA LÄN</t>
        </is>
      </c>
      <c r="E232" t="inlineStr">
        <is>
          <t>UPPSALA</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11693-2022</t>
        </is>
      </c>
      <c r="B233" s="1" t="n">
        <v>44634</v>
      </c>
      <c r="C233" s="1" t="n">
        <v>45880</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45880</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66927-2021</t>
        </is>
      </c>
      <c r="B235" s="1" t="n">
        <v>44522.55518518519</v>
      </c>
      <c r="C235" s="1" t="n">
        <v>45880</v>
      </c>
      <c r="D235" t="inlineStr">
        <is>
          <t>UPPSALA LÄN</t>
        </is>
      </c>
      <c r="E235" t="inlineStr">
        <is>
          <t>UPPSALA</t>
        </is>
      </c>
      <c r="G235" t="n">
        <v>2.9</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45880</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55066-2022</t>
        </is>
      </c>
      <c r="B237" s="1" t="n">
        <v>44886.58890046296</v>
      </c>
      <c r="C237" s="1" t="n">
        <v>45880</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34061-2022</t>
        </is>
      </c>
      <c r="B238" s="1" t="n">
        <v>44791.38336805555</v>
      </c>
      <c r="C238" s="1" t="n">
        <v>45880</v>
      </c>
      <c r="D238" t="inlineStr">
        <is>
          <t>UPPSALA LÄN</t>
        </is>
      </c>
      <c r="E238" t="inlineStr">
        <is>
          <t>UPPSALA</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45880</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30580-2022</t>
        </is>
      </c>
      <c r="B240" s="1" t="n">
        <v>44762</v>
      </c>
      <c r="C240" s="1" t="n">
        <v>45880</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35411-2022</t>
        </is>
      </c>
      <c r="B241" s="1" t="n">
        <v>44798</v>
      </c>
      <c r="C241" s="1" t="n">
        <v>45880</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58058-2020</t>
        </is>
      </c>
      <c r="B242" s="1" t="n">
        <v>44144</v>
      </c>
      <c r="C242" s="1" t="n">
        <v>45880</v>
      </c>
      <c r="D242" t="inlineStr">
        <is>
          <t>UPPSALA LÄN</t>
        </is>
      </c>
      <c r="E242" t="inlineStr">
        <is>
          <t>UPPSALA</t>
        </is>
      </c>
      <c r="G242" t="n">
        <v>4.4</v>
      </c>
      <c r="H242" t="n">
        <v>0</v>
      </c>
      <c r="I242" t="n">
        <v>0</v>
      </c>
      <c r="J242" t="n">
        <v>0</v>
      </c>
      <c r="K242" t="n">
        <v>0</v>
      </c>
      <c r="L242" t="n">
        <v>0</v>
      </c>
      <c r="M242" t="n">
        <v>0</v>
      </c>
      <c r="N242" t="n">
        <v>0</v>
      </c>
      <c r="O242" t="n">
        <v>0</v>
      </c>
      <c r="P242" t="n">
        <v>0</v>
      </c>
      <c r="Q242" t="n">
        <v>0</v>
      </c>
      <c r="R242" s="2" t="inlineStr"/>
    </row>
    <row r="243" ht="15" customHeight="1">
      <c r="A243" t="inlineStr">
        <is>
          <t>A 61947-2023</t>
        </is>
      </c>
      <c r="B243" s="1" t="n">
        <v>45266</v>
      </c>
      <c r="C243" s="1" t="n">
        <v>45880</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51661-2022</t>
        </is>
      </c>
      <c r="B244" s="1" t="n">
        <v>44872</v>
      </c>
      <c r="C244" s="1" t="n">
        <v>45880</v>
      </c>
      <c r="D244" t="inlineStr">
        <is>
          <t>UPPSALA LÄN</t>
        </is>
      </c>
      <c r="E244" t="inlineStr">
        <is>
          <t>UPPSALA</t>
        </is>
      </c>
      <c r="G244" t="n">
        <v>8.9</v>
      </c>
      <c r="H244" t="n">
        <v>0</v>
      </c>
      <c r="I244" t="n">
        <v>0</v>
      </c>
      <c r="J244" t="n">
        <v>0</v>
      </c>
      <c r="K244" t="n">
        <v>0</v>
      </c>
      <c r="L244" t="n">
        <v>0</v>
      </c>
      <c r="M244" t="n">
        <v>0</v>
      </c>
      <c r="N244" t="n">
        <v>0</v>
      </c>
      <c r="O244" t="n">
        <v>0</v>
      </c>
      <c r="P244" t="n">
        <v>0</v>
      </c>
      <c r="Q244" t="n">
        <v>0</v>
      </c>
      <c r="R244" s="2" t="inlineStr"/>
    </row>
    <row r="245" ht="15" customHeight="1">
      <c r="A245" t="inlineStr">
        <is>
          <t>A 19139-2023</t>
        </is>
      </c>
      <c r="B245" s="1" t="n">
        <v>45048.55349537037</v>
      </c>
      <c r="C245" s="1" t="n">
        <v>45880</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19513-2023</t>
        </is>
      </c>
      <c r="B246" s="1" t="n">
        <v>45050.49392361111</v>
      </c>
      <c r="C246" s="1" t="n">
        <v>45880</v>
      </c>
      <c r="D246" t="inlineStr">
        <is>
          <t>UPPSALA LÄN</t>
        </is>
      </c>
      <c r="E246" t="inlineStr">
        <is>
          <t>UPPSALA</t>
        </is>
      </c>
      <c r="G246" t="n">
        <v>6.6</v>
      </c>
      <c r="H246" t="n">
        <v>0</v>
      </c>
      <c r="I246" t="n">
        <v>0</v>
      </c>
      <c r="J246" t="n">
        <v>0</v>
      </c>
      <c r="K246" t="n">
        <v>0</v>
      </c>
      <c r="L246" t="n">
        <v>0</v>
      </c>
      <c r="M246" t="n">
        <v>0</v>
      </c>
      <c r="N246" t="n">
        <v>0</v>
      </c>
      <c r="O246" t="n">
        <v>0</v>
      </c>
      <c r="P246" t="n">
        <v>0</v>
      </c>
      <c r="Q246" t="n">
        <v>0</v>
      </c>
      <c r="R246" s="2" t="inlineStr"/>
    </row>
    <row r="247" ht="15" customHeight="1">
      <c r="A247" t="inlineStr">
        <is>
          <t>A 35539-2022</t>
        </is>
      </c>
      <c r="B247" s="1" t="n">
        <v>44799.36359953704</v>
      </c>
      <c r="C247" s="1" t="n">
        <v>45880</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46807-2022</t>
        </is>
      </c>
      <c r="B248" s="1" t="n">
        <v>44848</v>
      </c>
      <c r="C248" s="1" t="n">
        <v>45880</v>
      </c>
      <c r="D248" t="inlineStr">
        <is>
          <t>UPPSALA LÄN</t>
        </is>
      </c>
      <c r="E248" t="inlineStr">
        <is>
          <t>UPPSALA</t>
        </is>
      </c>
      <c r="G248" t="n">
        <v>2</v>
      </c>
      <c r="H248" t="n">
        <v>0</v>
      </c>
      <c r="I248" t="n">
        <v>0</v>
      </c>
      <c r="J248" t="n">
        <v>0</v>
      </c>
      <c r="K248" t="n">
        <v>0</v>
      </c>
      <c r="L248" t="n">
        <v>0</v>
      </c>
      <c r="M248" t="n">
        <v>0</v>
      </c>
      <c r="N248" t="n">
        <v>0</v>
      </c>
      <c r="O248" t="n">
        <v>0</v>
      </c>
      <c r="P248" t="n">
        <v>0</v>
      </c>
      <c r="Q248" t="n">
        <v>0</v>
      </c>
      <c r="R248" s="2" t="inlineStr"/>
    </row>
    <row r="249" ht="15" customHeight="1">
      <c r="A249" t="inlineStr">
        <is>
          <t>A 60814-2023</t>
        </is>
      </c>
      <c r="B249" s="1" t="n">
        <v>45259</v>
      </c>
      <c r="C249" s="1" t="n">
        <v>45880</v>
      </c>
      <c r="D249" t="inlineStr">
        <is>
          <t>UPPSALA LÄN</t>
        </is>
      </c>
      <c r="E249" t="inlineStr">
        <is>
          <t>UPPSALA</t>
        </is>
      </c>
      <c r="G249" t="n">
        <v>5.9</v>
      </c>
      <c r="H249" t="n">
        <v>0</v>
      </c>
      <c r="I249" t="n">
        <v>0</v>
      </c>
      <c r="J249" t="n">
        <v>0</v>
      </c>
      <c r="K249" t="n">
        <v>0</v>
      </c>
      <c r="L249" t="n">
        <v>0</v>
      </c>
      <c r="M249" t="n">
        <v>0</v>
      </c>
      <c r="N249" t="n">
        <v>0</v>
      </c>
      <c r="O249" t="n">
        <v>0</v>
      </c>
      <c r="P249" t="n">
        <v>0</v>
      </c>
      <c r="Q249" t="n">
        <v>0</v>
      </c>
      <c r="R249" s="2" t="inlineStr"/>
    </row>
    <row r="250" ht="15" customHeight="1">
      <c r="A250" t="inlineStr">
        <is>
          <t>A 32553-2024</t>
        </is>
      </c>
      <c r="B250" s="1" t="n">
        <v>45513.51815972223</v>
      </c>
      <c r="C250" s="1" t="n">
        <v>45880</v>
      </c>
      <c r="D250" t="inlineStr">
        <is>
          <t>UPPSALA LÄN</t>
        </is>
      </c>
      <c r="E250" t="inlineStr">
        <is>
          <t>UPPSALA</t>
        </is>
      </c>
      <c r="F250" t="inlineStr">
        <is>
          <t>Bergvik skog öst AB</t>
        </is>
      </c>
      <c r="G250" t="n">
        <v>4.1</v>
      </c>
      <c r="H250" t="n">
        <v>0</v>
      </c>
      <c r="I250" t="n">
        <v>0</v>
      </c>
      <c r="J250" t="n">
        <v>0</v>
      </c>
      <c r="K250" t="n">
        <v>0</v>
      </c>
      <c r="L250" t="n">
        <v>0</v>
      </c>
      <c r="M250" t="n">
        <v>0</v>
      </c>
      <c r="N250" t="n">
        <v>0</v>
      </c>
      <c r="O250" t="n">
        <v>0</v>
      </c>
      <c r="P250" t="n">
        <v>0</v>
      </c>
      <c r="Q250" t="n">
        <v>0</v>
      </c>
      <c r="R250" s="2" t="inlineStr"/>
    </row>
    <row r="251" ht="15" customHeight="1">
      <c r="A251" t="inlineStr">
        <is>
          <t>A 54512-2024</t>
        </is>
      </c>
      <c r="B251" s="1" t="n">
        <v>45617.59006944444</v>
      </c>
      <c r="C251" s="1" t="n">
        <v>45880</v>
      </c>
      <c r="D251" t="inlineStr">
        <is>
          <t>UPPSALA LÄN</t>
        </is>
      </c>
      <c r="E251" t="inlineStr">
        <is>
          <t>UPPSALA</t>
        </is>
      </c>
      <c r="G251" t="n">
        <v>3.2</v>
      </c>
      <c r="H251" t="n">
        <v>0</v>
      </c>
      <c r="I251" t="n">
        <v>0</v>
      </c>
      <c r="J251" t="n">
        <v>0</v>
      </c>
      <c r="K251" t="n">
        <v>0</v>
      </c>
      <c r="L251" t="n">
        <v>0</v>
      </c>
      <c r="M251" t="n">
        <v>0</v>
      </c>
      <c r="N251" t="n">
        <v>0</v>
      </c>
      <c r="O251" t="n">
        <v>0</v>
      </c>
      <c r="P251" t="n">
        <v>0</v>
      </c>
      <c r="Q251" t="n">
        <v>0</v>
      </c>
      <c r="R251" s="2" t="inlineStr"/>
    </row>
    <row r="252" ht="15" customHeight="1">
      <c r="A252" t="inlineStr">
        <is>
          <t>A 43855-2023</t>
        </is>
      </c>
      <c r="B252" s="1" t="n">
        <v>45187.61136574074</v>
      </c>
      <c r="C252" s="1" t="n">
        <v>45880</v>
      </c>
      <c r="D252" t="inlineStr">
        <is>
          <t>UPPSALA LÄN</t>
        </is>
      </c>
      <c r="E252" t="inlineStr">
        <is>
          <t>UPPSALA</t>
        </is>
      </c>
      <c r="F252" t="inlineStr">
        <is>
          <t>Bergvik skog öst AB</t>
        </is>
      </c>
      <c r="G252" t="n">
        <v>2</v>
      </c>
      <c r="H252" t="n">
        <v>0</v>
      </c>
      <c r="I252" t="n">
        <v>0</v>
      </c>
      <c r="J252" t="n">
        <v>0</v>
      </c>
      <c r="K252" t="n">
        <v>0</v>
      </c>
      <c r="L252" t="n">
        <v>0</v>
      </c>
      <c r="M252" t="n">
        <v>0</v>
      </c>
      <c r="N252" t="n">
        <v>0</v>
      </c>
      <c r="O252" t="n">
        <v>0</v>
      </c>
      <c r="P252" t="n">
        <v>0</v>
      </c>
      <c r="Q252" t="n">
        <v>0</v>
      </c>
      <c r="R252" s="2" t="inlineStr"/>
    </row>
    <row r="253" ht="15" customHeight="1">
      <c r="A253" t="inlineStr">
        <is>
          <t>A 19276-2023</t>
        </is>
      </c>
      <c r="B253" s="1" t="n">
        <v>45049</v>
      </c>
      <c r="C253" s="1" t="n">
        <v>45880</v>
      </c>
      <c r="D253" t="inlineStr">
        <is>
          <t>UPPSALA LÄN</t>
        </is>
      </c>
      <c r="E253" t="inlineStr">
        <is>
          <t>UPPSALA</t>
        </is>
      </c>
      <c r="G253" t="n">
        <v>1.8</v>
      </c>
      <c r="H253" t="n">
        <v>0</v>
      </c>
      <c r="I253" t="n">
        <v>0</v>
      </c>
      <c r="J253" t="n">
        <v>0</v>
      </c>
      <c r="K253" t="n">
        <v>0</v>
      </c>
      <c r="L253" t="n">
        <v>0</v>
      </c>
      <c r="M253" t="n">
        <v>0</v>
      </c>
      <c r="N253" t="n">
        <v>0</v>
      </c>
      <c r="O253" t="n">
        <v>0</v>
      </c>
      <c r="P253" t="n">
        <v>0</v>
      </c>
      <c r="Q253" t="n">
        <v>0</v>
      </c>
      <c r="R253" s="2" t="inlineStr"/>
    </row>
    <row r="254" ht="15" customHeight="1">
      <c r="A254" t="inlineStr">
        <is>
          <t>A 74493-2021</t>
        </is>
      </c>
      <c r="B254" s="1" t="n">
        <v>44560</v>
      </c>
      <c r="C254" s="1" t="n">
        <v>45880</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5974-2024</t>
        </is>
      </c>
      <c r="B255" s="1" t="n">
        <v>45336.53908564815</v>
      </c>
      <c r="C255" s="1" t="n">
        <v>45880</v>
      </c>
      <c r="D255" t="inlineStr">
        <is>
          <t>UPPSALA LÄN</t>
        </is>
      </c>
      <c r="E255" t="inlineStr">
        <is>
          <t>UPPSALA</t>
        </is>
      </c>
      <c r="G255" t="n">
        <v>2.2</v>
      </c>
      <c r="H255" t="n">
        <v>0</v>
      </c>
      <c r="I255" t="n">
        <v>0</v>
      </c>
      <c r="J255" t="n">
        <v>0</v>
      </c>
      <c r="K255" t="n">
        <v>0</v>
      </c>
      <c r="L255" t="n">
        <v>0</v>
      </c>
      <c r="M255" t="n">
        <v>0</v>
      </c>
      <c r="N255" t="n">
        <v>0</v>
      </c>
      <c r="O255" t="n">
        <v>0</v>
      </c>
      <c r="P255" t="n">
        <v>0</v>
      </c>
      <c r="Q255" t="n">
        <v>0</v>
      </c>
      <c r="R255" s="2" t="inlineStr"/>
    </row>
    <row r="256" ht="15" customHeight="1">
      <c r="A256" t="inlineStr">
        <is>
          <t>A 53589-2024</t>
        </is>
      </c>
      <c r="B256" s="1" t="n">
        <v>45614.67020833334</v>
      </c>
      <c r="C256" s="1" t="n">
        <v>45880</v>
      </c>
      <c r="D256" t="inlineStr">
        <is>
          <t>UPPSALA LÄN</t>
        </is>
      </c>
      <c r="E256" t="inlineStr">
        <is>
          <t>UPPSALA</t>
        </is>
      </c>
      <c r="G256" t="n">
        <v>4</v>
      </c>
      <c r="H256" t="n">
        <v>0</v>
      </c>
      <c r="I256" t="n">
        <v>0</v>
      </c>
      <c r="J256" t="n">
        <v>0</v>
      </c>
      <c r="K256" t="n">
        <v>0</v>
      </c>
      <c r="L256" t="n">
        <v>0</v>
      </c>
      <c r="M256" t="n">
        <v>0</v>
      </c>
      <c r="N256" t="n">
        <v>0</v>
      </c>
      <c r="O256" t="n">
        <v>0</v>
      </c>
      <c r="P256" t="n">
        <v>0</v>
      </c>
      <c r="Q256" t="n">
        <v>0</v>
      </c>
      <c r="R256" s="2" t="inlineStr"/>
    </row>
    <row r="257" ht="15" customHeight="1">
      <c r="A257" t="inlineStr">
        <is>
          <t>A 51935-2023</t>
        </is>
      </c>
      <c r="B257" s="1" t="n">
        <v>45223</v>
      </c>
      <c r="C257" s="1" t="n">
        <v>45880</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45880</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40507-2021</t>
        </is>
      </c>
      <c r="B259" s="1" t="n">
        <v>44420</v>
      </c>
      <c r="C259" s="1" t="n">
        <v>45880</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11744-2023</t>
        </is>
      </c>
      <c r="B260" s="1" t="n">
        <v>44993</v>
      </c>
      <c r="C260" s="1" t="n">
        <v>45880</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9235-2025</t>
        </is>
      </c>
      <c r="B261" s="1" t="n">
        <v>45714.55368055555</v>
      </c>
      <c r="C261" s="1" t="n">
        <v>45880</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11103-2025</t>
        </is>
      </c>
      <c r="B262" s="1" t="n">
        <v>45723</v>
      </c>
      <c r="C262" s="1" t="n">
        <v>45880</v>
      </c>
      <c r="D262" t="inlineStr">
        <is>
          <t>UPPSALA LÄN</t>
        </is>
      </c>
      <c r="E262" t="inlineStr">
        <is>
          <t>UPPSALA</t>
        </is>
      </c>
      <c r="G262" t="n">
        <v>7.9</v>
      </c>
      <c r="H262" t="n">
        <v>0</v>
      </c>
      <c r="I262" t="n">
        <v>0</v>
      </c>
      <c r="J262" t="n">
        <v>0</v>
      </c>
      <c r="K262" t="n">
        <v>0</v>
      </c>
      <c r="L262" t="n">
        <v>0</v>
      </c>
      <c r="M262" t="n">
        <v>0</v>
      </c>
      <c r="N262" t="n">
        <v>0</v>
      </c>
      <c r="O262" t="n">
        <v>0</v>
      </c>
      <c r="P262" t="n">
        <v>0</v>
      </c>
      <c r="Q262" t="n">
        <v>0</v>
      </c>
      <c r="R262" s="2" t="inlineStr"/>
    </row>
    <row r="263" ht="15" customHeight="1">
      <c r="A263" t="inlineStr">
        <is>
          <t>A 48571-2023</t>
        </is>
      </c>
      <c r="B263" s="1" t="n">
        <v>45208.46130787037</v>
      </c>
      <c r="C263" s="1" t="n">
        <v>45880</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11119-2025</t>
        </is>
      </c>
      <c r="B264" s="1" t="n">
        <v>45723.63290509259</v>
      </c>
      <c r="C264" s="1" t="n">
        <v>45880</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18626-2025</t>
        </is>
      </c>
      <c r="B265" s="1" t="n">
        <v>45763.52995370371</v>
      </c>
      <c r="C265" s="1" t="n">
        <v>45880</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19613-2025</t>
        </is>
      </c>
      <c r="B266" s="1" t="n">
        <v>45770.61341435185</v>
      </c>
      <c r="C266" s="1" t="n">
        <v>45880</v>
      </c>
      <c r="D266" t="inlineStr">
        <is>
          <t>UPPSALA LÄN</t>
        </is>
      </c>
      <c r="E266" t="inlineStr">
        <is>
          <t>UPPSALA</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48588-2022</t>
        </is>
      </c>
      <c r="B267" s="1" t="n">
        <v>44859.36896990741</v>
      </c>
      <c r="C267" s="1" t="n">
        <v>45880</v>
      </c>
      <c r="D267" t="inlineStr">
        <is>
          <t>UPPSALA LÄN</t>
        </is>
      </c>
      <c r="E267" t="inlineStr">
        <is>
          <t>UPPSALA</t>
        </is>
      </c>
      <c r="G267" t="n">
        <v>2</v>
      </c>
      <c r="H267" t="n">
        <v>0</v>
      </c>
      <c r="I267" t="n">
        <v>0</v>
      </c>
      <c r="J267" t="n">
        <v>0</v>
      </c>
      <c r="K267" t="n">
        <v>0</v>
      </c>
      <c r="L267" t="n">
        <v>0</v>
      </c>
      <c r="M267" t="n">
        <v>0</v>
      </c>
      <c r="N267" t="n">
        <v>0</v>
      </c>
      <c r="O267" t="n">
        <v>0</v>
      </c>
      <c r="P267" t="n">
        <v>0</v>
      </c>
      <c r="Q267" t="n">
        <v>0</v>
      </c>
      <c r="R267" s="2" t="inlineStr"/>
    </row>
    <row r="268" ht="15" customHeight="1">
      <c r="A268" t="inlineStr">
        <is>
          <t>A 22996-2021</t>
        </is>
      </c>
      <c r="B268" s="1" t="n">
        <v>44328</v>
      </c>
      <c r="C268" s="1" t="n">
        <v>45880</v>
      </c>
      <c r="D268" t="inlineStr">
        <is>
          <t>UPPSALA LÄN</t>
        </is>
      </c>
      <c r="E268" t="inlineStr">
        <is>
          <t>UPPSALA</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43032-2022</t>
        </is>
      </c>
      <c r="B269" s="1" t="n">
        <v>44832</v>
      </c>
      <c r="C269" s="1" t="n">
        <v>45880</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2695-2025</t>
        </is>
      </c>
      <c r="B270" s="1" t="n">
        <v>45677.39440972222</v>
      </c>
      <c r="C270" s="1" t="n">
        <v>45880</v>
      </c>
      <c r="D270" t="inlineStr">
        <is>
          <t>UPPSALA LÄN</t>
        </is>
      </c>
      <c r="E270" t="inlineStr">
        <is>
          <t>UPPSALA</t>
        </is>
      </c>
      <c r="G270" t="n">
        <v>2.2</v>
      </c>
      <c r="H270" t="n">
        <v>0</v>
      </c>
      <c r="I270" t="n">
        <v>0</v>
      </c>
      <c r="J270" t="n">
        <v>0</v>
      </c>
      <c r="K270" t="n">
        <v>0</v>
      </c>
      <c r="L270" t="n">
        <v>0</v>
      </c>
      <c r="M270" t="n">
        <v>0</v>
      </c>
      <c r="N270" t="n">
        <v>0</v>
      </c>
      <c r="O270" t="n">
        <v>0</v>
      </c>
      <c r="P270" t="n">
        <v>0</v>
      </c>
      <c r="Q270" t="n">
        <v>0</v>
      </c>
      <c r="R270" s="2" t="inlineStr"/>
    </row>
    <row r="271" ht="15" customHeight="1">
      <c r="A271" t="inlineStr">
        <is>
          <t>A 69432-2021</t>
        </is>
      </c>
      <c r="B271" s="1" t="n">
        <v>44531</v>
      </c>
      <c r="C271" s="1" t="n">
        <v>45880</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54715-2022</t>
        </is>
      </c>
      <c r="B272" s="1" t="n">
        <v>44883</v>
      </c>
      <c r="C272" s="1" t="n">
        <v>45880</v>
      </c>
      <c r="D272" t="inlineStr">
        <is>
          <t>UPPSALA LÄN</t>
        </is>
      </c>
      <c r="E272" t="inlineStr">
        <is>
          <t>UPPSALA</t>
        </is>
      </c>
      <c r="F272" t="inlineStr">
        <is>
          <t>Övriga Aktiebolag</t>
        </is>
      </c>
      <c r="G272" t="n">
        <v>9.5</v>
      </c>
      <c r="H272" t="n">
        <v>0</v>
      </c>
      <c r="I272" t="n">
        <v>0</v>
      </c>
      <c r="J272" t="n">
        <v>0</v>
      </c>
      <c r="K272" t="n">
        <v>0</v>
      </c>
      <c r="L272" t="n">
        <v>0</v>
      </c>
      <c r="M272" t="n">
        <v>0</v>
      </c>
      <c r="N272" t="n">
        <v>0</v>
      </c>
      <c r="O272" t="n">
        <v>0</v>
      </c>
      <c r="P272" t="n">
        <v>0</v>
      </c>
      <c r="Q272" t="n">
        <v>0</v>
      </c>
      <c r="R272" s="2" t="inlineStr"/>
    </row>
    <row r="273" ht="15" customHeight="1">
      <c r="A273" t="inlineStr">
        <is>
          <t>A 40325-2023</t>
        </is>
      </c>
      <c r="B273" s="1" t="n">
        <v>45169</v>
      </c>
      <c r="C273" s="1" t="n">
        <v>45880</v>
      </c>
      <c r="D273" t="inlineStr">
        <is>
          <t>UPPSALA LÄN</t>
        </is>
      </c>
      <c r="E273" t="inlineStr">
        <is>
          <t>UPPSALA</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50954-2022</t>
        </is>
      </c>
      <c r="B274" s="1" t="n">
        <v>44866</v>
      </c>
      <c r="C274" s="1" t="n">
        <v>45880</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56872-2023</t>
        </is>
      </c>
      <c r="B275" s="1" t="n">
        <v>45244.52202546296</v>
      </c>
      <c r="C275" s="1" t="n">
        <v>45880</v>
      </c>
      <c r="D275" t="inlineStr">
        <is>
          <t>UPPSALA LÄN</t>
        </is>
      </c>
      <c r="E275" t="inlineStr">
        <is>
          <t>UPPSALA</t>
        </is>
      </c>
      <c r="F275" t="inlineStr">
        <is>
          <t>Holmen skog AB</t>
        </is>
      </c>
      <c r="G275" t="n">
        <v>3.5</v>
      </c>
      <c r="H275" t="n">
        <v>0</v>
      </c>
      <c r="I275" t="n">
        <v>0</v>
      </c>
      <c r="J275" t="n">
        <v>0</v>
      </c>
      <c r="K275" t="n">
        <v>0</v>
      </c>
      <c r="L275" t="n">
        <v>0</v>
      </c>
      <c r="M275" t="n">
        <v>0</v>
      </c>
      <c r="N275" t="n">
        <v>0</v>
      </c>
      <c r="O275" t="n">
        <v>0</v>
      </c>
      <c r="P275" t="n">
        <v>0</v>
      </c>
      <c r="Q275" t="n">
        <v>0</v>
      </c>
      <c r="R275" s="2" t="inlineStr"/>
    </row>
    <row r="276" ht="15" customHeight="1">
      <c r="A276" t="inlineStr">
        <is>
          <t>A 20301-2024</t>
        </is>
      </c>
      <c r="B276" s="1" t="n">
        <v>45435.34778935185</v>
      </c>
      <c r="C276" s="1" t="n">
        <v>45880</v>
      </c>
      <c r="D276" t="inlineStr">
        <is>
          <t>UPPSALA LÄN</t>
        </is>
      </c>
      <c r="E276" t="inlineStr">
        <is>
          <t>UPPSALA</t>
        </is>
      </c>
      <c r="F276" t="inlineStr">
        <is>
          <t>Kyrkan</t>
        </is>
      </c>
      <c r="G276" t="n">
        <v>2.8</v>
      </c>
      <c r="H276" t="n">
        <v>0</v>
      </c>
      <c r="I276" t="n">
        <v>0</v>
      </c>
      <c r="J276" t="n">
        <v>0</v>
      </c>
      <c r="K276" t="n">
        <v>0</v>
      </c>
      <c r="L276" t="n">
        <v>0</v>
      </c>
      <c r="M276" t="n">
        <v>0</v>
      </c>
      <c r="N276" t="n">
        <v>0</v>
      </c>
      <c r="O276" t="n">
        <v>0</v>
      </c>
      <c r="P276" t="n">
        <v>0</v>
      </c>
      <c r="Q276" t="n">
        <v>0</v>
      </c>
      <c r="R276" s="2" t="inlineStr"/>
    </row>
    <row r="277" ht="15" customHeight="1">
      <c r="A277" t="inlineStr">
        <is>
          <t>A 18805-2025</t>
        </is>
      </c>
      <c r="B277" s="1" t="n">
        <v>45763</v>
      </c>
      <c r="C277" s="1" t="n">
        <v>45880</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69691-2021</t>
        </is>
      </c>
      <c r="B278" s="1" t="n">
        <v>44532</v>
      </c>
      <c r="C278" s="1" t="n">
        <v>45880</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39007-2024</t>
        </is>
      </c>
      <c r="B279" s="1" t="n">
        <v>45548.42854166667</v>
      </c>
      <c r="C279" s="1" t="n">
        <v>45880</v>
      </c>
      <c r="D279" t="inlineStr">
        <is>
          <t>UPPSALA LÄN</t>
        </is>
      </c>
      <c r="E279" t="inlineStr">
        <is>
          <t>UPPSALA</t>
        </is>
      </c>
      <c r="G279" t="n">
        <v>3.1</v>
      </c>
      <c r="H279" t="n">
        <v>0</v>
      </c>
      <c r="I279" t="n">
        <v>0</v>
      </c>
      <c r="J279" t="n">
        <v>0</v>
      </c>
      <c r="K279" t="n">
        <v>0</v>
      </c>
      <c r="L279" t="n">
        <v>0</v>
      </c>
      <c r="M279" t="n">
        <v>0</v>
      </c>
      <c r="N279" t="n">
        <v>0</v>
      </c>
      <c r="O279" t="n">
        <v>0</v>
      </c>
      <c r="P279" t="n">
        <v>0</v>
      </c>
      <c r="Q279" t="n">
        <v>0</v>
      </c>
      <c r="R279" s="2" t="inlineStr"/>
    </row>
    <row r="280" ht="15" customHeight="1">
      <c r="A280" t="inlineStr">
        <is>
          <t>A 14400-2025</t>
        </is>
      </c>
      <c r="B280" s="1" t="n">
        <v>45741.45114583334</v>
      </c>
      <c r="C280" s="1" t="n">
        <v>45880</v>
      </c>
      <c r="D280" t="inlineStr">
        <is>
          <t>UPPSALA LÄN</t>
        </is>
      </c>
      <c r="E280" t="inlineStr">
        <is>
          <t>UPPSALA</t>
        </is>
      </c>
      <c r="G280" t="n">
        <v>6.6</v>
      </c>
      <c r="H280" t="n">
        <v>0</v>
      </c>
      <c r="I280" t="n">
        <v>0</v>
      </c>
      <c r="J280" t="n">
        <v>0</v>
      </c>
      <c r="K280" t="n">
        <v>0</v>
      </c>
      <c r="L280" t="n">
        <v>0</v>
      </c>
      <c r="M280" t="n">
        <v>0</v>
      </c>
      <c r="N280" t="n">
        <v>0</v>
      </c>
      <c r="O280" t="n">
        <v>0</v>
      </c>
      <c r="P280" t="n">
        <v>0</v>
      </c>
      <c r="Q280" t="n">
        <v>0</v>
      </c>
      <c r="R280" s="2" t="inlineStr"/>
    </row>
    <row r="281" ht="15" customHeight="1">
      <c r="A281" t="inlineStr">
        <is>
          <t>A 18625-2025</t>
        </is>
      </c>
      <c r="B281" s="1" t="n">
        <v>45763.52744212963</v>
      </c>
      <c r="C281" s="1" t="n">
        <v>45880</v>
      </c>
      <c r="D281" t="inlineStr">
        <is>
          <t>UPPSALA LÄN</t>
        </is>
      </c>
      <c r="E281" t="inlineStr">
        <is>
          <t>UPPSALA</t>
        </is>
      </c>
      <c r="G281" t="n">
        <v>1.8</v>
      </c>
      <c r="H281" t="n">
        <v>0</v>
      </c>
      <c r="I281" t="n">
        <v>0</v>
      </c>
      <c r="J281" t="n">
        <v>0</v>
      </c>
      <c r="K281" t="n">
        <v>0</v>
      </c>
      <c r="L281" t="n">
        <v>0</v>
      </c>
      <c r="M281" t="n">
        <v>0</v>
      </c>
      <c r="N281" t="n">
        <v>0</v>
      </c>
      <c r="O281" t="n">
        <v>0</v>
      </c>
      <c r="P281" t="n">
        <v>0</v>
      </c>
      <c r="Q281" t="n">
        <v>0</v>
      </c>
      <c r="R281" s="2" t="inlineStr"/>
    </row>
    <row r="282" ht="15" customHeight="1">
      <c r="A282" t="inlineStr">
        <is>
          <t>A 69595-2021</t>
        </is>
      </c>
      <c r="B282" s="1" t="n">
        <v>44532</v>
      </c>
      <c r="C282" s="1" t="n">
        <v>45880</v>
      </c>
      <c r="D282" t="inlineStr">
        <is>
          <t>UPPSALA LÄN</t>
        </is>
      </c>
      <c r="E282" t="inlineStr">
        <is>
          <t>UPPSALA</t>
        </is>
      </c>
      <c r="G282" t="n">
        <v>3.9</v>
      </c>
      <c r="H282" t="n">
        <v>0</v>
      </c>
      <c r="I282" t="n">
        <v>0</v>
      </c>
      <c r="J282" t="n">
        <v>0</v>
      </c>
      <c r="K282" t="n">
        <v>0</v>
      </c>
      <c r="L282" t="n">
        <v>0</v>
      </c>
      <c r="M282" t="n">
        <v>0</v>
      </c>
      <c r="N282" t="n">
        <v>0</v>
      </c>
      <c r="O282" t="n">
        <v>0</v>
      </c>
      <c r="P282" t="n">
        <v>0</v>
      </c>
      <c r="Q282" t="n">
        <v>0</v>
      </c>
      <c r="R282" s="2" t="inlineStr"/>
    </row>
    <row r="283" ht="15" customHeight="1">
      <c r="A283" t="inlineStr">
        <is>
          <t>A 46069-2022</t>
        </is>
      </c>
      <c r="B283" s="1" t="n">
        <v>44847</v>
      </c>
      <c r="C283" s="1" t="n">
        <v>45880</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44830-2023</t>
        </is>
      </c>
      <c r="B284" s="1" t="n">
        <v>45190</v>
      </c>
      <c r="C284" s="1" t="n">
        <v>45880</v>
      </c>
      <c r="D284" t="inlineStr">
        <is>
          <t>UPPSALA LÄN</t>
        </is>
      </c>
      <c r="E284" t="inlineStr">
        <is>
          <t>UPPSALA</t>
        </is>
      </c>
      <c r="G284" t="n">
        <v>1.9</v>
      </c>
      <c r="H284" t="n">
        <v>0</v>
      </c>
      <c r="I284" t="n">
        <v>0</v>
      </c>
      <c r="J284" t="n">
        <v>0</v>
      </c>
      <c r="K284" t="n">
        <v>0</v>
      </c>
      <c r="L284" t="n">
        <v>0</v>
      </c>
      <c r="M284" t="n">
        <v>0</v>
      </c>
      <c r="N284" t="n">
        <v>0</v>
      </c>
      <c r="O284" t="n">
        <v>0</v>
      </c>
      <c r="P284" t="n">
        <v>0</v>
      </c>
      <c r="Q284" t="n">
        <v>0</v>
      </c>
      <c r="R284" s="2" t="inlineStr"/>
    </row>
    <row r="285" ht="15" customHeight="1">
      <c r="A285" t="inlineStr">
        <is>
          <t>A 17587-2025</t>
        </is>
      </c>
      <c r="B285" s="1" t="n">
        <v>45757.67611111111</v>
      </c>
      <c r="C285" s="1" t="n">
        <v>45880</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24012-2023</t>
        </is>
      </c>
      <c r="B286" s="1" t="n">
        <v>45078</v>
      </c>
      <c r="C286" s="1" t="n">
        <v>45880</v>
      </c>
      <c r="D286" t="inlineStr">
        <is>
          <t>UPPSALA LÄN</t>
        </is>
      </c>
      <c r="E286" t="inlineStr">
        <is>
          <t>UPPSALA</t>
        </is>
      </c>
      <c r="F286" t="inlineStr">
        <is>
          <t>Kyrkan</t>
        </is>
      </c>
      <c r="G286" t="n">
        <v>1.6</v>
      </c>
      <c r="H286" t="n">
        <v>0</v>
      </c>
      <c r="I286" t="n">
        <v>0</v>
      </c>
      <c r="J286" t="n">
        <v>0</v>
      </c>
      <c r="K286" t="n">
        <v>0</v>
      </c>
      <c r="L286" t="n">
        <v>0</v>
      </c>
      <c r="M286" t="n">
        <v>0</v>
      </c>
      <c r="N286" t="n">
        <v>0</v>
      </c>
      <c r="O286" t="n">
        <v>0</v>
      </c>
      <c r="P286" t="n">
        <v>0</v>
      </c>
      <c r="Q286" t="n">
        <v>0</v>
      </c>
      <c r="R286" s="2" t="inlineStr"/>
    </row>
    <row r="287" ht="15" customHeight="1">
      <c r="A287" t="inlineStr">
        <is>
          <t>A 33797-2021</t>
        </is>
      </c>
      <c r="B287" s="1" t="n">
        <v>44378.56137731481</v>
      </c>
      <c r="C287" s="1" t="n">
        <v>45880</v>
      </c>
      <c r="D287" t="inlineStr">
        <is>
          <t>UPPSALA LÄN</t>
        </is>
      </c>
      <c r="E287" t="inlineStr">
        <is>
          <t>UPPSALA</t>
        </is>
      </c>
      <c r="G287" t="n">
        <v>1</v>
      </c>
      <c r="H287" t="n">
        <v>0</v>
      </c>
      <c r="I287" t="n">
        <v>0</v>
      </c>
      <c r="J287" t="n">
        <v>0</v>
      </c>
      <c r="K287" t="n">
        <v>0</v>
      </c>
      <c r="L287" t="n">
        <v>0</v>
      </c>
      <c r="M287" t="n">
        <v>0</v>
      </c>
      <c r="N287" t="n">
        <v>0</v>
      </c>
      <c r="O287" t="n">
        <v>0</v>
      </c>
      <c r="P287" t="n">
        <v>0</v>
      </c>
      <c r="Q287" t="n">
        <v>0</v>
      </c>
      <c r="R287" s="2" t="inlineStr"/>
    </row>
    <row r="288" ht="15" customHeight="1">
      <c r="A288" t="inlineStr">
        <is>
          <t>A 60444-2023</t>
        </is>
      </c>
      <c r="B288" s="1" t="n">
        <v>45259.52809027778</v>
      </c>
      <c r="C288" s="1" t="n">
        <v>45880</v>
      </c>
      <c r="D288" t="inlineStr">
        <is>
          <t>UPPSALA LÄN</t>
        </is>
      </c>
      <c r="E288" t="inlineStr">
        <is>
          <t>UPPSALA</t>
        </is>
      </c>
      <c r="F288" t="inlineStr">
        <is>
          <t>Bergvik skog öst AB</t>
        </is>
      </c>
      <c r="G288" t="n">
        <v>0.4</v>
      </c>
      <c r="H288" t="n">
        <v>0</v>
      </c>
      <c r="I288" t="n">
        <v>0</v>
      </c>
      <c r="J288" t="n">
        <v>0</v>
      </c>
      <c r="K288" t="n">
        <v>0</v>
      </c>
      <c r="L288" t="n">
        <v>0</v>
      </c>
      <c r="M288" t="n">
        <v>0</v>
      </c>
      <c r="N288" t="n">
        <v>0</v>
      </c>
      <c r="O288" t="n">
        <v>0</v>
      </c>
      <c r="P288" t="n">
        <v>0</v>
      </c>
      <c r="Q288" t="n">
        <v>0</v>
      </c>
      <c r="R288" s="2" t="inlineStr"/>
    </row>
    <row r="289" ht="15" customHeight="1">
      <c r="A289" t="inlineStr">
        <is>
          <t>A 46920-2021</t>
        </is>
      </c>
      <c r="B289" s="1" t="n">
        <v>44446</v>
      </c>
      <c r="C289" s="1" t="n">
        <v>45880</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27068-2023</t>
        </is>
      </c>
      <c r="B290" s="1" t="n">
        <v>45096</v>
      </c>
      <c r="C290" s="1" t="n">
        <v>45880</v>
      </c>
      <c r="D290" t="inlineStr">
        <is>
          <t>UPPSALA LÄN</t>
        </is>
      </c>
      <c r="E290" t="inlineStr">
        <is>
          <t>UPPSALA</t>
        </is>
      </c>
      <c r="G290" t="n">
        <v>0.6</v>
      </c>
      <c r="H290" t="n">
        <v>0</v>
      </c>
      <c r="I290" t="n">
        <v>0</v>
      </c>
      <c r="J290" t="n">
        <v>0</v>
      </c>
      <c r="K290" t="n">
        <v>0</v>
      </c>
      <c r="L290" t="n">
        <v>0</v>
      </c>
      <c r="M290" t="n">
        <v>0</v>
      </c>
      <c r="N290" t="n">
        <v>0</v>
      </c>
      <c r="O290" t="n">
        <v>0</v>
      </c>
      <c r="P290" t="n">
        <v>0</v>
      </c>
      <c r="Q290" t="n">
        <v>0</v>
      </c>
      <c r="R290" s="2" t="inlineStr"/>
    </row>
    <row r="291" ht="15" customHeight="1">
      <c r="A291" t="inlineStr">
        <is>
          <t>A 9426-2023</t>
        </is>
      </c>
      <c r="B291" s="1" t="n">
        <v>44977</v>
      </c>
      <c r="C291" s="1" t="n">
        <v>45880</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5975-2024</t>
        </is>
      </c>
      <c r="B292" s="1" t="n">
        <v>45336.54270833333</v>
      </c>
      <c r="C292" s="1" t="n">
        <v>45880</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53379-2020</t>
        </is>
      </c>
      <c r="B293" s="1" t="n">
        <v>44123</v>
      </c>
      <c r="C293" s="1" t="n">
        <v>45880</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42622-2022</t>
        </is>
      </c>
      <c r="B294" s="1" t="n">
        <v>44831</v>
      </c>
      <c r="C294" s="1" t="n">
        <v>45880</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45880</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57271-2020</t>
        </is>
      </c>
      <c r="B296" s="1" t="n">
        <v>44139</v>
      </c>
      <c r="C296" s="1" t="n">
        <v>45880</v>
      </c>
      <c r="D296" t="inlineStr">
        <is>
          <t>UPPSALA LÄN</t>
        </is>
      </c>
      <c r="E296" t="inlineStr">
        <is>
          <t>UPPSALA</t>
        </is>
      </c>
      <c r="G296" t="n">
        <v>3.8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45880</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45880</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32276-2021</t>
        </is>
      </c>
      <c r="B299" s="1" t="n">
        <v>44371.49178240741</v>
      </c>
      <c r="C299" s="1" t="n">
        <v>45880</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47221-2023</t>
        </is>
      </c>
      <c r="B300" s="1" t="n">
        <v>45202</v>
      </c>
      <c r="C300" s="1" t="n">
        <v>45880</v>
      </c>
      <c r="D300" t="inlineStr">
        <is>
          <t>UPPSALA LÄN</t>
        </is>
      </c>
      <c r="E300" t="inlineStr">
        <is>
          <t>UPPSALA</t>
        </is>
      </c>
      <c r="G300" t="n">
        <v>8.6</v>
      </c>
      <c r="H300" t="n">
        <v>0</v>
      </c>
      <c r="I300" t="n">
        <v>0</v>
      </c>
      <c r="J300" t="n">
        <v>0</v>
      </c>
      <c r="K300" t="n">
        <v>0</v>
      </c>
      <c r="L300" t="n">
        <v>0</v>
      </c>
      <c r="M300" t="n">
        <v>0</v>
      </c>
      <c r="N300" t="n">
        <v>0</v>
      </c>
      <c r="O300" t="n">
        <v>0</v>
      </c>
      <c r="P300" t="n">
        <v>0</v>
      </c>
      <c r="Q300" t="n">
        <v>0</v>
      </c>
      <c r="R300" s="2" t="inlineStr"/>
    </row>
    <row r="301" ht="15" customHeight="1">
      <c r="A301" t="inlineStr">
        <is>
          <t>A 59358-2024</t>
        </is>
      </c>
      <c r="B301" s="1" t="n">
        <v>45638</v>
      </c>
      <c r="C301" s="1" t="n">
        <v>45880</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32428-2023</t>
        </is>
      </c>
      <c r="B302" s="1" t="n">
        <v>45110</v>
      </c>
      <c r="C302" s="1" t="n">
        <v>45880</v>
      </c>
      <c r="D302" t="inlineStr">
        <is>
          <t>UPPSALA LÄN</t>
        </is>
      </c>
      <c r="E302" t="inlineStr">
        <is>
          <t>UPPSALA</t>
        </is>
      </c>
      <c r="G302" t="n">
        <v>3.1</v>
      </c>
      <c r="H302" t="n">
        <v>0</v>
      </c>
      <c r="I302" t="n">
        <v>0</v>
      </c>
      <c r="J302" t="n">
        <v>0</v>
      </c>
      <c r="K302" t="n">
        <v>0</v>
      </c>
      <c r="L302" t="n">
        <v>0</v>
      </c>
      <c r="M302" t="n">
        <v>0</v>
      </c>
      <c r="N302" t="n">
        <v>0</v>
      </c>
      <c r="O302" t="n">
        <v>0</v>
      </c>
      <c r="P302" t="n">
        <v>0</v>
      </c>
      <c r="Q302" t="n">
        <v>0</v>
      </c>
      <c r="R302" s="2" t="inlineStr"/>
    </row>
    <row r="303" ht="15" customHeight="1">
      <c r="A303" t="inlineStr">
        <is>
          <t>A 58023-2022</t>
        </is>
      </c>
      <c r="B303" s="1" t="n">
        <v>44900.54711805555</v>
      </c>
      <c r="C303" s="1" t="n">
        <v>45880</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45878-2024</t>
        </is>
      </c>
      <c r="B304" s="1" t="n">
        <v>45580</v>
      </c>
      <c r="C304" s="1" t="n">
        <v>45880</v>
      </c>
      <c r="D304" t="inlineStr">
        <is>
          <t>UPPSALA LÄN</t>
        </is>
      </c>
      <c r="E304" t="inlineStr">
        <is>
          <t>UPPSALA</t>
        </is>
      </c>
      <c r="G304" t="n">
        <v>2.8</v>
      </c>
      <c r="H304" t="n">
        <v>0</v>
      </c>
      <c r="I304" t="n">
        <v>0</v>
      </c>
      <c r="J304" t="n">
        <v>0</v>
      </c>
      <c r="K304" t="n">
        <v>0</v>
      </c>
      <c r="L304" t="n">
        <v>0</v>
      </c>
      <c r="M304" t="n">
        <v>0</v>
      </c>
      <c r="N304" t="n">
        <v>0</v>
      </c>
      <c r="O304" t="n">
        <v>0</v>
      </c>
      <c r="P304" t="n">
        <v>0</v>
      </c>
      <c r="Q304" t="n">
        <v>0</v>
      </c>
      <c r="R304" s="2" t="inlineStr"/>
    </row>
    <row r="305" ht="15" customHeight="1">
      <c r="A305" t="inlineStr">
        <is>
          <t>A 45489-2023</t>
        </is>
      </c>
      <c r="B305" s="1" t="n">
        <v>45194</v>
      </c>
      <c r="C305" s="1" t="n">
        <v>45880</v>
      </c>
      <c r="D305" t="inlineStr">
        <is>
          <t>UPPSALA LÄN</t>
        </is>
      </c>
      <c r="E305" t="inlineStr">
        <is>
          <t>UPPSALA</t>
        </is>
      </c>
      <c r="F305" t="inlineStr">
        <is>
          <t>Allmännings- och besparingsskogar</t>
        </is>
      </c>
      <c r="G305" t="n">
        <v>15.8</v>
      </c>
      <c r="H305" t="n">
        <v>0</v>
      </c>
      <c r="I305" t="n">
        <v>0</v>
      </c>
      <c r="J305" t="n">
        <v>0</v>
      </c>
      <c r="K305" t="n">
        <v>0</v>
      </c>
      <c r="L305" t="n">
        <v>0</v>
      </c>
      <c r="M305" t="n">
        <v>0</v>
      </c>
      <c r="N305" t="n">
        <v>0</v>
      </c>
      <c r="O305" t="n">
        <v>0</v>
      </c>
      <c r="P305" t="n">
        <v>0</v>
      </c>
      <c r="Q305" t="n">
        <v>0</v>
      </c>
      <c r="R305" s="2" t="inlineStr"/>
    </row>
    <row r="306" ht="15" customHeight="1">
      <c r="A306" t="inlineStr">
        <is>
          <t>A 37162-2021</t>
        </is>
      </c>
      <c r="B306" s="1" t="n">
        <v>44395</v>
      </c>
      <c r="C306" s="1" t="n">
        <v>45880</v>
      </c>
      <c r="D306" t="inlineStr">
        <is>
          <t>UPPSALA LÄN</t>
        </is>
      </c>
      <c r="E306" t="inlineStr">
        <is>
          <t>UPPSALA</t>
        </is>
      </c>
      <c r="G306" t="n">
        <v>3.5</v>
      </c>
      <c r="H306" t="n">
        <v>0</v>
      </c>
      <c r="I306" t="n">
        <v>0</v>
      </c>
      <c r="J306" t="n">
        <v>0</v>
      </c>
      <c r="K306" t="n">
        <v>0</v>
      </c>
      <c r="L306" t="n">
        <v>0</v>
      </c>
      <c r="M306" t="n">
        <v>0</v>
      </c>
      <c r="N306" t="n">
        <v>0</v>
      </c>
      <c r="O306" t="n">
        <v>0</v>
      </c>
      <c r="P306" t="n">
        <v>0</v>
      </c>
      <c r="Q306" t="n">
        <v>0</v>
      </c>
      <c r="R306" s="2" t="inlineStr"/>
    </row>
    <row r="307" ht="15" customHeight="1">
      <c r="A307" t="inlineStr">
        <is>
          <t>A 5374-2023</t>
        </is>
      </c>
      <c r="B307" s="1" t="n">
        <v>44944</v>
      </c>
      <c r="C307" s="1" t="n">
        <v>45880</v>
      </c>
      <c r="D307" t="inlineStr">
        <is>
          <t>UPPSALA LÄN</t>
        </is>
      </c>
      <c r="E307" t="inlineStr">
        <is>
          <t>UPPSALA</t>
        </is>
      </c>
      <c r="G307" t="n">
        <v>3.5</v>
      </c>
      <c r="H307" t="n">
        <v>0</v>
      </c>
      <c r="I307" t="n">
        <v>0</v>
      </c>
      <c r="J307" t="n">
        <v>0</v>
      </c>
      <c r="K307" t="n">
        <v>0</v>
      </c>
      <c r="L307" t="n">
        <v>0</v>
      </c>
      <c r="M307" t="n">
        <v>0</v>
      </c>
      <c r="N307" t="n">
        <v>0</v>
      </c>
      <c r="O307" t="n">
        <v>0</v>
      </c>
      <c r="P307" t="n">
        <v>0</v>
      </c>
      <c r="Q307" t="n">
        <v>0</v>
      </c>
      <c r="R307" s="2" t="inlineStr"/>
    </row>
    <row r="308" ht="15" customHeight="1">
      <c r="A308" t="inlineStr">
        <is>
          <t>A 40503-2024</t>
        </is>
      </c>
      <c r="B308" s="1" t="n">
        <v>45555.5727662037</v>
      </c>
      <c r="C308" s="1" t="n">
        <v>45880</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341-2024</t>
        </is>
      </c>
      <c r="B309" s="1" t="n">
        <v>45295</v>
      </c>
      <c r="C309" s="1" t="n">
        <v>45880</v>
      </c>
      <c r="D309" t="inlineStr">
        <is>
          <t>UPPSALA LÄN</t>
        </is>
      </c>
      <c r="E309" t="inlineStr">
        <is>
          <t>UPPSALA</t>
        </is>
      </c>
      <c r="F309" t="inlineStr">
        <is>
          <t>Allmännings- och besparingsskogar</t>
        </is>
      </c>
      <c r="G309" t="n">
        <v>1.8</v>
      </c>
      <c r="H309" t="n">
        <v>0</v>
      </c>
      <c r="I309" t="n">
        <v>0</v>
      </c>
      <c r="J309" t="n">
        <v>0</v>
      </c>
      <c r="K309" t="n">
        <v>0</v>
      </c>
      <c r="L309" t="n">
        <v>0</v>
      </c>
      <c r="M309" t="n">
        <v>0</v>
      </c>
      <c r="N309" t="n">
        <v>0</v>
      </c>
      <c r="O309" t="n">
        <v>0</v>
      </c>
      <c r="P309" t="n">
        <v>0</v>
      </c>
      <c r="Q309" t="n">
        <v>0</v>
      </c>
      <c r="R309" s="2" t="inlineStr"/>
    </row>
    <row r="310" ht="15" customHeight="1">
      <c r="A310" t="inlineStr">
        <is>
          <t>A 27473-2024</t>
        </is>
      </c>
      <c r="B310" s="1" t="n">
        <v>45474</v>
      </c>
      <c r="C310" s="1" t="n">
        <v>45880</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64353-2020</t>
        </is>
      </c>
      <c r="B311" s="1" t="n">
        <v>44168.55746527778</v>
      </c>
      <c r="C311" s="1" t="n">
        <v>45880</v>
      </c>
      <c r="D311" t="inlineStr">
        <is>
          <t>UPPSALA LÄN</t>
        </is>
      </c>
      <c r="E311" t="inlineStr">
        <is>
          <t>UPPSALA</t>
        </is>
      </c>
      <c r="G311" t="n">
        <v>0.5</v>
      </c>
      <c r="H311" t="n">
        <v>0</v>
      </c>
      <c r="I311" t="n">
        <v>0</v>
      </c>
      <c r="J311" t="n">
        <v>0</v>
      </c>
      <c r="K311" t="n">
        <v>0</v>
      </c>
      <c r="L311" t="n">
        <v>0</v>
      </c>
      <c r="M311" t="n">
        <v>0</v>
      </c>
      <c r="N311" t="n">
        <v>0</v>
      </c>
      <c r="O311" t="n">
        <v>0</v>
      </c>
      <c r="P311" t="n">
        <v>0</v>
      </c>
      <c r="Q311" t="n">
        <v>0</v>
      </c>
      <c r="R311" s="2" t="inlineStr"/>
    </row>
    <row r="312" ht="15" customHeight="1">
      <c r="A312" t="inlineStr">
        <is>
          <t>A 46633-2020</t>
        </is>
      </c>
      <c r="B312" s="1" t="n">
        <v>44095</v>
      </c>
      <c r="C312" s="1" t="n">
        <v>45880</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73531-2021</t>
        </is>
      </c>
      <c r="B313" s="1" t="n">
        <v>44551.76711805556</v>
      </c>
      <c r="C313" s="1" t="n">
        <v>45880</v>
      </c>
      <c r="D313" t="inlineStr">
        <is>
          <t>UPPSALA LÄN</t>
        </is>
      </c>
      <c r="E313" t="inlineStr">
        <is>
          <t>UPPSALA</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53614-2024</t>
        </is>
      </c>
      <c r="B314" s="1" t="n">
        <v>45611</v>
      </c>
      <c r="C314" s="1" t="n">
        <v>45880</v>
      </c>
      <c r="D314" t="inlineStr">
        <is>
          <t>UPPSALA LÄN</t>
        </is>
      </c>
      <c r="E314" t="inlineStr">
        <is>
          <t>UPPSALA</t>
        </is>
      </c>
      <c r="G314" t="n">
        <v>2.1</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45880</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40111-2024</t>
        </is>
      </c>
      <c r="B316" s="1" t="n">
        <v>45554</v>
      </c>
      <c r="C316" s="1" t="n">
        <v>45880</v>
      </c>
      <c r="D316" t="inlineStr">
        <is>
          <t>UPPSALA LÄN</t>
        </is>
      </c>
      <c r="E316" t="inlineStr">
        <is>
          <t>UPPSALA</t>
        </is>
      </c>
      <c r="G316" t="n">
        <v>3.7</v>
      </c>
      <c r="H316" t="n">
        <v>0</v>
      </c>
      <c r="I316" t="n">
        <v>0</v>
      </c>
      <c r="J316" t="n">
        <v>0</v>
      </c>
      <c r="K316" t="n">
        <v>0</v>
      </c>
      <c r="L316" t="n">
        <v>0</v>
      </c>
      <c r="M316" t="n">
        <v>0</v>
      </c>
      <c r="N316" t="n">
        <v>0</v>
      </c>
      <c r="O316" t="n">
        <v>0</v>
      </c>
      <c r="P316" t="n">
        <v>0</v>
      </c>
      <c r="Q316" t="n">
        <v>0</v>
      </c>
      <c r="R316" s="2" t="inlineStr"/>
    </row>
    <row r="317" ht="15" customHeight="1">
      <c r="A317" t="inlineStr">
        <is>
          <t>A 17595-2025</t>
        </is>
      </c>
      <c r="B317" s="1" t="n">
        <v>45757</v>
      </c>
      <c r="C317" s="1" t="n">
        <v>45880</v>
      </c>
      <c r="D317" t="inlineStr">
        <is>
          <t>UPPSALA LÄN</t>
        </is>
      </c>
      <c r="E317" t="inlineStr">
        <is>
          <t>UPPSALA</t>
        </is>
      </c>
      <c r="G317" t="n">
        <v>2.7</v>
      </c>
      <c r="H317" t="n">
        <v>0</v>
      </c>
      <c r="I317" t="n">
        <v>0</v>
      </c>
      <c r="J317" t="n">
        <v>0</v>
      </c>
      <c r="K317" t="n">
        <v>0</v>
      </c>
      <c r="L317" t="n">
        <v>0</v>
      </c>
      <c r="M317" t="n">
        <v>0</v>
      </c>
      <c r="N317" t="n">
        <v>0</v>
      </c>
      <c r="O317" t="n">
        <v>0</v>
      </c>
      <c r="P317" t="n">
        <v>0</v>
      </c>
      <c r="Q317" t="n">
        <v>0</v>
      </c>
      <c r="R317" s="2" t="inlineStr"/>
    </row>
    <row r="318" ht="15" customHeight="1">
      <c r="A318" t="inlineStr">
        <is>
          <t>A 784-2024</t>
        </is>
      </c>
      <c r="B318" s="1" t="n">
        <v>45300.55680555556</v>
      </c>
      <c r="C318" s="1" t="n">
        <v>45880</v>
      </c>
      <c r="D318" t="inlineStr">
        <is>
          <t>UPPSALA LÄN</t>
        </is>
      </c>
      <c r="E318" t="inlineStr">
        <is>
          <t>UPPSALA</t>
        </is>
      </c>
      <c r="G318" t="n">
        <v>6.6</v>
      </c>
      <c r="H318" t="n">
        <v>0</v>
      </c>
      <c r="I318" t="n">
        <v>0</v>
      </c>
      <c r="J318" t="n">
        <v>0</v>
      </c>
      <c r="K318" t="n">
        <v>0</v>
      </c>
      <c r="L318" t="n">
        <v>0</v>
      </c>
      <c r="M318" t="n">
        <v>0</v>
      </c>
      <c r="N318" t="n">
        <v>0</v>
      </c>
      <c r="O318" t="n">
        <v>0</v>
      </c>
      <c r="P318" t="n">
        <v>0</v>
      </c>
      <c r="Q318" t="n">
        <v>0</v>
      </c>
      <c r="R318" s="2" t="inlineStr"/>
    </row>
    <row r="319" ht="15" customHeight="1">
      <c r="A319" t="inlineStr">
        <is>
          <t>A 48153-2024</t>
        </is>
      </c>
      <c r="B319" s="1" t="n">
        <v>45589</v>
      </c>
      <c r="C319" s="1" t="n">
        <v>45880</v>
      </c>
      <c r="D319" t="inlineStr">
        <is>
          <t>UPPSALA LÄN</t>
        </is>
      </c>
      <c r="E319" t="inlineStr">
        <is>
          <t>UPPSALA</t>
        </is>
      </c>
      <c r="G319" t="n">
        <v>3.4</v>
      </c>
      <c r="H319" t="n">
        <v>0</v>
      </c>
      <c r="I319" t="n">
        <v>0</v>
      </c>
      <c r="J319" t="n">
        <v>0</v>
      </c>
      <c r="K319" t="n">
        <v>0</v>
      </c>
      <c r="L319" t="n">
        <v>0</v>
      </c>
      <c r="M319" t="n">
        <v>0</v>
      </c>
      <c r="N319" t="n">
        <v>0</v>
      </c>
      <c r="O319" t="n">
        <v>0</v>
      </c>
      <c r="P319" t="n">
        <v>0</v>
      </c>
      <c r="Q319" t="n">
        <v>0</v>
      </c>
      <c r="R319" s="2" t="inlineStr"/>
    </row>
    <row r="320" ht="15" customHeight="1">
      <c r="A320" t="inlineStr">
        <is>
          <t>A 48154-2024</t>
        </is>
      </c>
      <c r="B320" s="1" t="n">
        <v>45589</v>
      </c>
      <c r="C320" s="1" t="n">
        <v>45880</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8132-2022</t>
        </is>
      </c>
      <c r="B321" s="1" t="n">
        <v>44609.60171296296</v>
      </c>
      <c r="C321" s="1" t="n">
        <v>45880</v>
      </c>
      <c r="D321" t="inlineStr">
        <is>
          <t>UPPSALA LÄN</t>
        </is>
      </c>
      <c r="E321" t="inlineStr">
        <is>
          <t>UPPSALA</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38865-2022</t>
        </is>
      </c>
      <c r="B322" s="1" t="n">
        <v>44816</v>
      </c>
      <c r="C322" s="1" t="n">
        <v>45880</v>
      </c>
      <c r="D322" t="inlineStr">
        <is>
          <t>UPPSALA LÄN</t>
        </is>
      </c>
      <c r="E322" t="inlineStr">
        <is>
          <t>UPPSALA</t>
        </is>
      </c>
      <c r="G322" t="n">
        <v>14.6</v>
      </c>
      <c r="H322" t="n">
        <v>0</v>
      </c>
      <c r="I322" t="n">
        <v>0</v>
      </c>
      <c r="J322" t="n">
        <v>0</v>
      </c>
      <c r="K322" t="n">
        <v>0</v>
      </c>
      <c r="L322" t="n">
        <v>0</v>
      </c>
      <c r="M322" t="n">
        <v>0</v>
      </c>
      <c r="N322" t="n">
        <v>0</v>
      </c>
      <c r="O322" t="n">
        <v>0</v>
      </c>
      <c r="P322" t="n">
        <v>0</v>
      </c>
      <c r="Q322" t="n">
        <v>0</v>
      </c>
      <c r="R322" s="2" t="inlineStr"/>
    </row>
    <row r="323" ht="15" customHeight="1">
      <c r="A323" t="inlineStr">
        <is>
          <t>A 53900-2023</t>
        </is>
      </c>
      <c r="B323" s="1" t="n">
        <v>45231.54601851852</v>
      </c>
      <c r="C323" s="1" t="n">
        <v>45880</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18717-2025</t>
        </is>
      </c>
      <c r="B324" s="1" t="n">
        <v>45763.6503125</v>
      </c>
      <c r="C324" s="1" t="n">
        <v>45880</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3183-2024</t>
        </is>
      </c>
      <c r="B325" s="1" t="n">
        <v>45316</v>
      </c>
      <c r="C325" s="1" t="n">
        <v>45880</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3261-2024</t>
        </is>
      </c>
      <c r="B326" s="1" t="n">
        <v>45317</v>
      </c>
      <c r="C326" s="1" t="n">
        <v>45880</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62471-2021</t>
        </is>
      </c>
      <c r="B327" s="1" t="n">
        <v>44503</v>
      </c>
      <c r="C327" s="1" t="n">
        <v>45880</v>
      </c>
      <c r="D327" t="inlineStr">
        <is>
          <t>UPPSALA LÄN</t>
        </is>
      </c>
      <c r="E327" t="inlineStr">
        <is>
          <t>UPPSALA</t>
        </is>
      </c>
      <c r="G327" t="n">
        <v>2</v>
      </c>
      <c r="H327" t="n">
        <v>0</v>
      </c>
      <c r="I327" t="n">
        <v>0</v>
      </c>
      <c r="J327" t="n">
        <v>0</v>
      </c>
      <c r="K327" t="n">
        <v>0</v>
      </c>
      <c r="L327" t="n">
        <v>0</v>
      </c>
      <c r="M327" t="n">
        <v>0</v>
      </c>
      <c r="N327" t="n">
        <v>0</v>
      </c>
      <c r="O327" t="n">
        <v>0</v>
      </c>
      <c r="P327" t="n">
        <v>0</v>
      </c>
      <c r="Q327" t="n">
        <v>0</v>
      </c>
      <c r="R327" s="2" t="inlineStr"/>
    </row>
    <row r="328" ht="15" customHeight="1">
      <c r="A328" t="inlineStr">
        <is>
          <t>A 10565-2022</t>
        </is>
      </c>
      <c r="B328" s="1" t="n">
        <v>44624.35083333333</v>
      </c>
      <c r="C328" s="1" t="n">
        <v>45880</v>
      </c>
      <c r="D328" t="inlineStr">
        <is>
          <t>UPPSALA LÄN</t>
        </is>
      </c>
      <c r="E328" t="inlineStr">
        <is>
          <t>UPPSALA</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24091-2024</t>
        </is>
      </c>
      <c r="B329" s="1" t="n">
        <v>45456.58491898148</v>
      </c>
      <c r="C329" s="1" t="n">
        <v>45880</v>
      </c>
      <c r="D329" t="inlineStr">
        <is>
          <t>UPPSALA LÄN</t>
        </is>
      </c>
      <c r="E329" t="inlineStr">
        <is>
          <t>UPPSALA</t>
        </is>
      </c>
      <c r="G329" t="n">
        <v>1.8</v>
      </c>
      <c r="H329" t="n">
        <v>0</v>
      </c>
      <c r="I329" t="n">
        <v>0</v>
      </c>
      <c r="J329" t="n">
        <v>0</v>
      </c>
      <c r="K329" t="n">
        <v>0</v>
      </c>
      <c r="L329" t="n">
        <v>0</v>
      </c>
      <c r="M329" t="n">
        <v>0</v>
      </c>
      <c r="N329" t="n">
        <v>0</v>
      </c>
      <c r="O329" t="n">
        <v>0</v>
      </c>
      <c r="P329" t="n">
        <v>0</v>
      </c>
      <c r="Q329" t="n">
        <v>0</v>
      </c>
      <c r="R329" s="2" t="inlineStr"/>
    </row>
    <row r="330" ht="15" customHeight="1">
      <c r="A330" t="inlineStr">
        <is>
          <t>A 57714-2022</t>
        </is>
      </c>
      <c r="B330" s="1" t="n">
        <v>44897</v>
      </c>
      <c r="C330" s="1" t="n">
        <v>45880</v>
      </c>
      <c r="D330" t="inlineStr">
        <is>
          <t>UPPSALA LÄN</t>
        </is>
      </c>
      <c r="E330" t="inlineStr">
        <is>
          <t>UPPSALA</t>
        </is>
      </c>
      <c r="G330" t="n">
        <v>8.9</v>
      </c>
      <c r="H330" t="n">
        <v>0</v>
      </c>
      <c r="I330" t="n">
        <v>0</v>
      </c>
      <c r="J330" t="n">
        <v>0</v>
      </c>
      <c r="K330" t="n">
        <v>0</v>
      </c>
      <c r="L330" t="n">
        <v>0</v>
      </c>
      <c r="M330" t="n">
        <v>0</v>
      </c>
      <c r="N330" t="n">
        <v>0</v>
      </c>
      <c r="O330" t="n">
        <v>0</v>
      </c>
      <c r="P330" t="n">
        <v>0</v>
      </c>
      <c r="Q330" t="n">
        <v>0</v>
      </c>
      <c r="R330" s="2" t="inlineStr"/>
    </row>
    <row r="331" ht="15" customHeight="1">
      <c r="A331" t="inlineStr">
        <is>
          <t>A 60781-2023</t>
        </is>
      </c>
      <c r="B331" s="1" t="n">
        <v>45259</v>
      </c>
      <c r="C331" s="1" t="n">
        <v>45880</v>
      </c>
      <c r="D331" t="inlineStr">
        <is>
          <t>UPPSALA LÄN</t>
        </is>
      </c>
      <c r="E331" t="inlineStr">
        <is>
          <t>UPPSALA</t>
        </is>
      </c>
      <c r="G331" t="n">
        <v>4.1</v>
      </c>
      <c r="H331" t="n">
        <v>0</v>
      </c>
      <c r="I331" t="n">
        <v>0</v>
      </c>
      <c r="J331" t="n">
        <v>0</v>
      </c>
      <c r="K331" t="n">
        <v>0</v>
      </c>
      <c r="L331" t="n">
        <v>0</v>
      </c>
      <c r="M331" t="n">
        <v>0</v>
      </c>
      <c r="N331" t="n">
        <v>0</v>
      </c>
      <c r="O331" t="n">
        <v>0</v>
      </c>
      <c r="P331" t="n">
        <v>0</v>
      </c>
      <c r="Q331" t="n">
        <v>0</v>
      </c>
      <c r="R331" s="2" t="inlineStr"/>
    </row>
    <row r="332" ht="15" customHeight="1">
      <c r="A332" t="inlineStr">
        <is>
          <t>A 60714-2023</t>
        </is>
      </c>
      <c r="B332" s="1" t="n">
        <v>45259</v>
      </c>
      <c r="C332" s="1" t="n">
        <v>45880</v>
      </c>
      <c r="D332" t="inlineStr">
        <is>
          <t>UPPSALA LÄN</t>
        </is>
      </c>
      <c r="E332" t="inlineStr">
        <is>
          <t>UPPSALA</t>
        </is>
      </c>
      <c r="G332" t="n">
        <v>3.3</v>
      </c>
      <c r="H332" t="n">
        <v>0</v>
      </c>
      <c r="I332" t="n">
        <v>0</v>
      </c>
      <c r="J332" t="n">
        <v>0</v>
      </c>
      <c r="K332" t="n">
        <v>0</v>
      </c>
      <c r="L332" t="n">
        <v>0</v>
      </c>
      <c r="M332" t="n">
        <v>0</v>
      </c>
      <c r="N332" t="n">
        <v>0</v>
      </c>
      <c r="O332" t="n">
        <v>0</v>
      </c>
      <c r="P332" t="n">
        <v>0</v>
      </c>
      <c r="Q332" t="n">
        <v>0</v>
      </c>
      <c r="R332" s="2" t="inlineStr"/>
    </row>
    <row r="333" ht="15" customHeight="1">
      <c r="A333" t="inlineStr">
        <is>
          <t>A 2327-2024</t>
        </is>
      </c>
      <c r="B333" s="1" t="n">
        <v>45310.53418981482</v>
      </c>
      <c r="C333" s="1" t="n">
        <v>45880</v>
      </c>
      <c r="D333" t="inlineStr">
        <is>
          <t>UPPSALA LÄN</t>
        </is>
      </c>
      <c r="E333" t="inlineStr">
        <is>
          <t>UPPSALA</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12284-2025</t>
        </is>
      </c>
      <c r="B334" s="1" t="n">
        <v>45729</v>
      </c>
      <c r="C334" s="1" t="n">
        <v>45880</v>
      </c>
      <c r="D334" t="inlineStr">
        <is>
          <t>UPPSALA LÄN</t>
        </is>
      </c>
      <c r="E334" t="inlineStr">
        <is>
          <t>UPPSALA</t>
        </is>
      </c>
      <c r="G334" t="n">
        <v>6.7</v>
      </c>
      <c r="H334" t="n">
        <v>0</v>
      </c>
      <c r="I334" t="n">
        <v>0</v>
      </c>
      <c r="J334" t="n">
        <v>0</v>
      </c>
      <c r="K334" t="n">
        <v>0</v>
      </c>
      <c r="L334" t="n">
        <v>0</v>
      </c>
      <c r="M334" t="n">
        <v>0</v>
      </c>
      <c r="N334" t="n">
        <v>0</v>
      </c>
      <c r="O334" t="n">
        <v>0</v>
      </c>
      <c r="P334" t="n">
        <v>0</v>
      </c>
      <c r="Q334" t="n">
        <v>0</v>
      </c>
      <c r="R334" s="2" t="inlineStr"/>
    </row>
    <row r="335" ht="15" customHeight="1">
      <c r="A335" t="inlineStr">
        <is>
          <t>A 12287-2025</t>
        </is>
      </c>
      <c r="B335" s="1" t="n">
        <v>45729</v>
      </c>
      <c r="C335" s="1" t="n">
        <v>45880</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4461-2024</t>
        </is>
      </c>
      <c r="B336" s="1" t="n">
        <v>45327</v>
      </c>
      <c r="C336" s="1" t="n">
        <v>45880</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14784-2023</t>
        </is>
      </c>
      <c r="B337" s="1" t="n">
        <v>45014</v>
      </c>
      <c r="C337" s="1" t="n">
        <v>45880</v>
      </c>
      <c r="D337" t="inlineStr">
        <is>
          <t>UPPSALA LÄN</t>
        </is>
      </c>
      <c r="E337" t="inlineStr">
        <is>
          <t>UPPSALA</t>
        </is>
      </c>
      <c r="G337" t="n">
        <v>4.7</v>
      </c>
      <c r="H337" t="n">
        <v>0</v>
      </c>
      <c r="I337" t="n">
        <v>0</v>
      </c>
      <c r="J337" t="n">
        <v>0</v>
      </c>
      <c r="K337" t="n">
        <v>0</v>
      </c>
      <c r="L337" t="n">
        <v>0</v>
      </c>
      <c r="M337" t="n">
        <v>0</v>
      </c>
      <c r="N337" t="n">
        <v>0</v>
      </c>
      <c r="O337" t="n">
        <v>0</v>
      </c>
      <c r="P337" t="n">
        <v>0</v>
      </c>
      <c r="Q337" t="n">
        <v>0</v>
      </c>
      <c r="R337" s="2" t="inlineStr"/>
    </row>
    <row r="338" ht="15" customHeight="1">
      <c r="A338" t="inlineStr">
        <is>
          <t>A 51576-2023</t>
        </is>
      </c>
      <c r="B338" s="1" t="n">
        <v>45222</v>
      </c>
      <c r="C338" s="1" t="n">
        <v>45880</v>
      </c>
      <c r="D338" t="inlineStr">
        <is>
          <t>UPPSALA LÄN</t>
        </is>
      </c>
      <c r="E338" t="inlineStr">
        <is>
          <t>UPPSALA</t>
        </is>
      </c>
      <c r="G338" t="n">
        <v>2.2</v>
      </c>
      <c r="H338" t="n">
        <v>0</v>
      </c>
      <c r="I338" t="n">
        <v>0</v>
      </c>
      <c r="J338" t="n">
        <v>0</v>
      </c>
      <c r="K338" t="n">
        <v>0</v>
      </c>
      <c r="L338" t="n">
        <v>0</v>
      </c>
      <c r="M338" t="n">
        <v>0</v>
      </c>
      <c r="N338" t="n">
        <v>0</v>
      </c>
      <c r="O338" t="n">
        <v>0</v>
      </c>
      <c r="P338" t="n">
        <v>0</v>
      </c>
      <c r="Q338" t="n">
        <v>0</v>
      </c>
      <c r="R338" s="2" t="inlineStr"/>
    </row>
    <row r="339" ht="15" customHeight="1">
      <c r="A339" t="inlineStr">
        <is>
          <t>A 4929-2022</t>
        </is>
      </c>
      <c r="B339" s="1" t="n">
        <v>44593</v>
      </c>
      <c r="C339" s="1" t="n">
        <v>45880</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4240-2025</t>
        </is>
      </c>
      <c r="B340" s="1" t="n">
        <v>45685.5778125</v>
      </c>
      <c r="C340" s="1" t="n">
        <v>45880</v>
      </c>
      <c r="D340" t="inlineStr">
        <is>
          <t>UPPSALA LÄN</t>
        </is>
      </c>
      <c r="E340" t="inlineStr">
        <is>
          <t>UPPSALA</t>
        </is>
      </c>
      <c r="G340" t="n">
        <v>1.2</v>
      </c>
      <c r="H340" t="n">
        <v>0</v>
      </c>
      <c r="I340" t="n">
        <v>0</v>
      </c>
      <c r="J340" t="n">
        <v>0</v>
      </c>
      <c r="K340" t="n">
        <v>0</v>
      </c>
      <c r="L340" t="n">
        <v>0</v>
      </c>
      <c r="M340" t="n">
        <v>0</v>
      </c>
      <c r="N340" t="n">
        <v>0</v>
      </c>
      <c r="O340" t="n">
        <v>0</v>
      </c>
      <c r="P340" t="n">
        <v>0</v>
      </c>
      <c r="Q340" t="n">
        <v>0</v>
      </c>
      <c r="R340" s="2" t="inlineStr"/>
    </row>
    <row r="341" ht="15" customHeight="1">
      <c r="A341" t="inlineStr">
        <is>
          <t>A 6012-2025</t>
        </is>
      </c>
      <c r="B341" s="1" t="n">
        <v>45695.59805555556</v>
      </c>
      <c r="C341" s="1" t="n">
        <v>45880</v>
      </c>
      <c r="D341" t="inlineStr">
        <is>
          <t>UPPSALA LÄN</t>
        </is>
      </c>
      <c r="E341" t="inlineStr">
        <is>
          <t>UPPSALA</t>
        </is>
      </c>
      <c r="F341" t="inlineStr">
        <is>
          <t>Övriga Aktiebolag</t>
        </is>
      </c>
      <c r="G341" t="n">
        <v>14.3</v>
      </c>
      <c r="H341" t="n">
        <v>0</v>
      </c>
      <c r="I341" t="n">
        <v>0</v>
      </c>
      <c r="J341" t="n">
        <v>0</v>
      </c>
      <c r="K341" t="n">
        <v>0</v>
      </c>
      <c r="L341" t="n">
        <v>0</v>
      </c>
      <c r="M341" t="n">
        <v>0</v>
      </c>
      <c r="N341" t="n">
        <v>0</v>
      </c>
      <c r="O341" t="n">
        <v>0</v>
      </c>
      <c r="P341" t="n">
        <v>0</v>
      </c>
      <c r="Q341" t="n">
        <v>0</v>
      </c>
      <c r="R341" s="2" t="inlineStr"/>
    </row>
    <row r="342" ht="15" customHeight="1">
      <c r="A342" t="inlineStr">
        <is>
          <t>A 24787-2024</t>
        </is>
      </c>
      <c r="B342" s="1" t="n">
        <v>45460</v>
      </c>
      <c r="C342" s="1" t="n">
        <v>45880</v>
      </c>
      <c r="D342" t="inlineStr">
        <is>
          <t>UPPSALA LÄN</t>
        </is>
      </c>
      <c r="E342" t="inlineStr">
        <is>
          <t>UPPSALA</t>
        </is>
      </c>
      <c r="F342" t="inlineStr">
        <is>
          <t>Övriga Aktiebolag</t>
        </is>
      </c>
      <c r="G342" t="n">
        <v>2</v>
      </c>
      <c r="H342" t="n">
        <v>0</v>
      </c>
      <c r="I342" t="n">
        <v>0</v>
      </c>
      <c r="J342" t="n">
        <v>0</v>
      </c>
      <c r="K342" t="n">
        <v>0</v>
      </c>
      <c r="L342" t="n">
        <v>0</v>
      </c>
      <c r="M342" t="n">
        <v>0</v>
      </c>
      <c r="N342" t="n">
        <v>0</v>
      </c>
      <c r="O342" t="n">
        <v>0</v>
      </c>
      <c r="P342" t="n">
        <v>0</v>
      </c>
      <c r="Q342" t="n">
        <v>0</v>
      </c>
      <c r="R342" s="2" t="inlineStr"/>
    </row>
    <row r="343" ht="15" customHeight="1">
      <c r="A343" t="inlineStr">
        <is>
          <t>A 7388-2024</t>
        </is>
      </c>
      <c r="B343" s="1" t="n">
        <v>45345.56</v>
      </c>
      <c r="C343" s="1" t="n">
        <v>45880</v>
      </c>
      <c r="D343" t="inlineStr">
        <is>
          <t>UPPSALA LÄN</t>
        </is>
      </c>
      <c r="E343" t="inlineStr">
        <is>
          <t>UPPSALA</t>
        </is>
      </c>
      <c r="G343" t="n">
        <v>0.5</v>
      </c>
      <c r="H343" t="n">
        <v>0</v>
      </c>
      <c r="I343" t="n">
        <v>0</v>
      </c>
      <c r="J343" t="n">
        <v>0</v>
      </c>
      <c r="K343" t="n">
        <v>0</v>
      </c>
      <c r="L343" t="n">
        <v>0</v>
      </c>
      <c r="M343" t="n">
        <v>0</v>
      </c>
      <c r="N343" t="n">
        <v>0</v>
      </c>
      <c r="O343" t="n">
        <v>0</v>
      </c>
      <c r="P343" t="n">
        <v>0</v>
      </c>
      <c r="Q343" t="n">
        <v>0</v>
      </c>
      <c r="R343" s="2" t="inlineStr"/>
    </row>
    <row r="344" ht="15" customHeight="1">
      <c r="A344" t="inlineStr">
        <is>
          <t>A 54813-2022</t>
        </is>
      </c>
      <c r="B344" s="1" t="n">
        <v>44883</v>
      </c>
      <c r="C344" s="1" t="n">
        <v>45880</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45880</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1838-2024</t>
        </is>
      </c>
      <c r="B346" s="1" t="n">
        <v>45307</v>
      </c>
      <c r="C346" s="1" t="n">
        <v>45880</v>
      </c>
      <c r="D346" t="inlineStr">
        <is>
          <t>UPPSALA LÄN</t>
        </is>
      </c>
      <c r="E346" t="inlineStr">
        <is>
          <t>UPPSALA</t>
        </is>
      </c>
      <c r="G346" t="n">
        <v>1.8</v>
      </c>
      <c r="H346" t="n">
        <v>0</v>
      </c>
      <c r="I346" t="n">
        <v>0</v>
      </c>
      <c r="J346" t="n">
        <v>0</v>
      </c>
      <c r="K346" t="n">
        <v>0</v>
      </c>
      <c r="L346" t="n">
        <v>0</v>
      </c>
      <c r="M346" t="n">
        <v>0</v>
      </c>
      <c r="N346" t="n">
        <v>0</v>
      </c>
      <c r="O346" t="n">
        <v>0</v>
      </c>
      <c r="P346" t="n">
        <v>0</v>
      </c>
      <c r="Q346" t="n">
        <v>0</v>
      </c>
      <c r="R346" s="2" t="inlineStr"/>
    </row>
    <row r="347" ht="15" customHeight="1">
      <c r="A347" t="inlineStr">
        <is>
          <t>A 29019-2023</t>
        </is>
      </c>
      <c r="B347" s="1" t="n">
        <v>45104.6828125</v>
      </c>
      <c r="C347" s="1" t="n">
        <v>45880</v>
      </c>
      <c r="D347" t="inlineStr">
        <is>
          <t>UPPSALA LÄN</t>
        </is>
      </c>
      <c r="E347" t="inlineStr">
        <is>
          <t>UPPSALA</t>
        </is>
      </c>
      <c r="G347" t="n">
        <v>1.2</v>
      </c>
      <c r="H347" t="n">
        <v>0</v>
      </c>
      <c r="I347" t="n">
        <v>0</v>
      </c>
      <c r="J347" t="n">
        <v>0</v>
      </c>
      <c r="K347" t="n">
        <v>0</v>
      </c>
      <c r="L347" t="n">
        <v>0</v>
      </c>
      <c r="M347" t="n">
        <v>0</v>
      </c>
      <c r="N347" t="n">
        <v>0</v>
      </c>
      <c r="O347" t="n">
        <v>0</v>
      </c>
      <c r="P347" t="n">
        <v>0</v>
      </c>
      <c r="Q347" t="n">
        <v>0</v>
      </c>
      <c r="R347" s="2" t="inlineStr"/>
    </row>
    <row r="348" ht="15" customHeight="1">
      <c r="A348" t="inlineStr">
        <is>
          <t>A 60984-2022</t>
        </is>
      </c>
      <c r="B348" s="1" t="n">
        <v>44914.67600694444</v>
      </c>
      <c r="C348" s="1" t="n">
        <v>45880</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21052-2023</t>
        </is>
      </c>
      <c r="B349" s="1" t="n">
        <v>45061</v>
      </c>
      <c r="C349" s="1" t="n">
        <v>45880</v>
      </c>
      <c r="D349" t="inlineStr">
        <is>
          <t>UPPSALA LÄN</t>
        </is>
      </c>
      <c r="E349" t="inlineStr">
        <is>
          <t>UPPSALA</t>
        </is>
      </c>
      <c r="G349" t="n">
        <v>0.6</v>
      </c>
      <c r="H349" t="n">
        <v>0</v>
      </c>
      <c r="I349" t="n">
        <v>0</v>
      </c>
      <c r="J349" t="n">
        <v>0</v>
      </c>
      <c r="K349" t="n">
        <v>0</v>
      </c>
      <c r="L349" t="n">
        <v>0</v>
      </c>
      <c r="M349" t="n">
        <v>0</v>
      </c>
      <c r="N349" t="n">
        <v>0</v>
      </c>
      <c r="O349" t="n">
        <v>0</v>
      </c>
      <c r="P349" t="n">
        <v>0</v>
      </c>
      <c r="Q349" t="n">
        <v>0</v>
      </c>
      <c r="R349" s="2" t="inlineStr"/>
    </row>
    <row r="350" ht="15" customHeight="1">
      <c r="A350" t="inlineStr">
        <is>
          <t>A 1855-2021</t>
        </is>
      </c>
      <c r="B350" s="1" t="n">
        <v>44210</v>
      </c>
      <c r="C350" s="1" t="n">
        <v>45880</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59996-2024</t>
        </is>
      </c>
      <c r="B351" s="1" t="n">
        <v>45642</v>
      </c>
      <c r="C351" s="1" t="n">
        <v>45880</v>
      </c>
      <c r="D351" t="inlineStr">
        <is>
          <t>UPPSALA LÄN</t>
        </is>
      </c>
      <c r="E351" t="inlineStr">
        <is>
          <t>UPPSALA</t>
        </is>
      </c>
      <c r="F351" t="inlineStr">
        <is>
          <t>Bergvik skog väst AB</t>
        </is>
      </c>
      <c r="G351" t="n">
        <v>14.5</v>
      </c>
      <c r="H351" t="n">
        <v>0</v>
      </c>
      <c r="I351" t="n">
        <v>0</v>
      </c>
      <c r="J351" t="n">
        <v>0</v>
      </c>
      <c r="K351" t="n">
        <v>0</v>
      </c>
      <c r="L351" t="n">
        <v>0</v>
      </c>
      <c r="M351" t="n">
        <v>0</v>
      </c>
      <c r="N351" t="n">
        <v>0</v>
      </c>
      <c r="O351" t="n">
        <v>0</v>
      </c>
      <c r="P351" t="n">
        <v>0</v>
      </c>
      <c r="Q351" t="n">
        <v>0</v>
      </c>
      <c r="R351" s="2" t="inlineStr"/>
    </row>
    <row r="352" ht="15" customHeight="1">
      <c r="A352" t="inlineStr">
        <is>
          <t>A 46743-2024</t>
        </is>
      </c>
      <c r="B352" s="1" t="n">
        <v>45583.47836805556</v>
      </c>
      <c r="C352" s="1" t="n">
        <v>45880</v>
      </c>
      <c r="D352" t="inlineStr">
        <is>
          <t>UPPSALA LÄN</t>
        </is>
      </c>
      <c r="E352" t="inlineStr">
        <is>
          <t>UPPSALA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60701-2022</t>
        </is>
      </c>
      <c r="B353" s="1" t="n">
        <v>44912</v>
      </c>
      <c r="C353" s="1" t="n">
        <v>45880</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33689-2023</t>
        </is>
      </c>
      <c r="B354" s="1" t="n">
        <v>45119</v>
      </c>
      <c r="C354" s="1" t="n">
        <v>45880</v>
      </c>
      <c r="D354" t="inlineStr">
        <is>
          <t>UPPSALA LÄN</t>
        </is>
      </c>
      <c r="E354" t="inlineStr">
        <is>
          <t>UPPSALA</t>
        </is>
      </c>
      <c r="G354" t="n">
        <v>2.2</v>
      </c>
      <c r="H354" t="n">
        <v>0</v>
      </c>
      <c r="I354" t="n">
        <v>0</v>
      </c>
      <c r="J354" t="n">
        <v>0</v>
      </c>
      <c r="K354" t="n">
        <v>0</v>
      </c>
      <c r="L354" t="n">
        <v>0</v>
      </c>
      <c r="M354" t="n">
        <v>0</v>
      </c>
      <c r="N354" t="n">
        <v>0</v>
      </c>
      <c r="O354" t="n">
        <v>0</v>
      </c>
      <c r="P354" t="n">
        <v>0</v>
      </c>
      <c r="Q354" t="n">
        <v>0</v>
      </c>
      <c r="R354" s="2" t="inlineStr"/>
    </row>
    <row r="355" ht="15" customHeight="1">
      <c r="A355" t="inlineStr">
        <is>
          <t>A 6997-2023</t>
        </is>
      </c>
      <c r="B355" s="1" t="n">
        <v>44967.78984953704</v>
      </c>
      <c r="C355" s="1" t="n">
        <v>45880</v>
      </c>
      <c r="D355" t="inlineStr">
        <is>
          <t>UPPSALA LÄN</t>
        </is>
      </c>
      <c r="E355" t="inlineStr">
        <is>
          <t>UPPSALA</t>
        </is>
      </c>
      <c r="G355" t="n">
        <v>3.9</v>
      </c>
      <c r="H355" t="n">
        <v>0</v>
      </c>
      <c r="I355" t="n">
        <v>0</v>
      </c>
      <c r="J355" t="n">
        <v>0</v>
      </c>
      <c r="K355" t="n">
        <v>0</v>
      </c>
      <c r="L355" t="n">
        <v>0</v>
      </c>
      <c r="M355" t="n">
        <v>0</v>
      </c>
      <c r="N355" t="n">
        <v>0</v>
      </c>
      <c r="O355" t="n">
        <v>0</v>
      </c>
      <c r="P355" t="n">
        <v>0</v>
      </c>
      <c r="Q355" t="n">
        <v>0</v>
      </c>
      <c r="R355" s="2" t="inlineStr"/>
    </row>
    <row r="356" ht="15" customHeight="1">
      <c r="A356" t="inlineStr">
        <is>
          <t>A 6602-2023</t>
        </is>
      </c>
      <c r="B356" s="1" t="n">
        <v>44966</v>
      </c>
      <c r="C356" s="1" t="n">
        <v>45880</v>
      </c>
      <c r="D356" t="inlineStr">
        <is>
          <t>UPPSALA LÄN</t>
        </is>
      </c>
      <c r="E356" t="inlineStr">
        <is>
          <t>UPPSALA</t>
        </is>
      </c>
      <c r="F356" t="inlineStr">
        <is>
          <t>Allmännings- och besparingsskogar</t>
        </is>
      </c>
      <c r="G356" t="n">
        <v>20.2</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45880</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23157-2023</t>
        </is>
      </c>
      <c r="B358" s="1" t="n">
        <v>45075.51982638889</v>
      </c>
      <c r="C358" s="1" t="n">
        <v>45880</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7727-2024</t>
        </is>
      </c>
      <c r="B359" s="1" t="n">
        <v>45349</v>
      </c>
      <c r="C359" s="1" t="n">
        <v>45880</v>
      </c>
      <c r="D359" t="inlineStr">
        <is>
          <t>UPPSALA LÄN</t>
        </is>
      </c>
      <c r="E359" t="inlineStr">
        <is>
          <t>UPPSALA</t>
        </is>
      </c>
      <c r="G359" t="n">
        <v>0.7</v>
      </c>
      <c r="H359" t="n">
        <v>0</v>
      </c>
      <c r="I359" t="n">
        <v>0</v>
      </c>
      <c r="J359" t="n">
        <v>0</v>
      </c>
      <c r="K359" t="n">
        <v>0</v>
      </c>
      <c r="L359" t="n">
        <v>0</v>
      </c>
      <c r="M359" t="n">
        <v>0</v>
      </c>
      <c r="N359" t="n">
        <v>0</v>
      </c>
      <c r="O359" t="n">
        <v>0</v>
      </c>
      <c r="P359" t="n">
        <v>0</v>
      </c>
      <c r="Q359" t="n">
        <v>0</v>
      </c>
      <c r="R359" s="2" t="inlineStr"/>
    </row>
    <row r="360" ht="15" customHeight="1">
      <c r="A360" t="inlineStr">
        <is>
          <t>A 61805-2021</t>
        </is>
      </c>
      <c r="B360" s="1" t="n">
        <v>44501.71344907407</v>
      </c>
      <c r="C360" s="1" t="n">
        <v>45880</v>
      </c>
      <c r="D360" t="inlineStr">
        <is>
          <t>UPPSALA LÄN</t>
        </is>
      </c>
      <c r="E360" t="inlineStr">
        <is>
          <t>UPPSALA</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17211-2025</t>
        </is>
      </c>
      <c r="B361" s="1" t="n">
        <v>45756.44024305556</v>
      </c>
      <c r="C361" s="1" t="n">
        <v>45880</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17250-2025</t>
        </is>
      </c>
      <c r="B362" s="1" t="n">
        <v>45756.50738425926</v>
      </c>
      <c r="C362" s="1" t="n">
        <v>45880</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10394-2025</t>
        </is>
      </c>
      <c r="B363" s="1" t="n">
        <v>45720.60410879629</v>
      </c>
      <c r="C363" s="1" t="n">
        <v>45880</v>
      </c>
      <c r="D363" t="inlineStr">
        <is>
          <t>UPPSALA LÄN</t>
        </is>
      </c>
      <c r="E363" t="inlineStr">
        <is>
          <t>UPPSALA</t>
        </is>
      </c>
      <c r="G363" t="n">
        <v>3.4</v>
      </c>
      <c r="H363" t="n">
        <v>0</v>
      </c>
      <c r="I363" t="n">
        <v>0</v>
      </c>
      <c r="J363" t="n">
        <v>0</v>
      </c>
      <c r="K363" t="n">
        <v>0</v>
      </c>
      <c r="L363" t="n">
        <v>0</v>
      </c>
      <c r="M363" t="n">
        <v>0</v>
      </c>
      <c r="N363" t="n">
        <v>0</v>
      </c>
      <c r="O363" t="n">
        <v>0</v>
      </c>
      <c r="P363" t="n">
        <v>0</v>
      </c>
      <c r="Q363" t="n">
        <v>0</v>
      </c>
      <c r="R363" s="2" t="inlineStr"/>
    </row>
    <row r="364" ht="15" customHeight="1">
      <c r="A364" t="inlineStr">
        <is>
          <t>A 6677-2024</t>
        </is>
      </c>
      <c r="B364" s="1" t="n">
        <v>45341</v>
      </c>
      <c r="C364" s="1" t="n">
        <v>45880</v>
      </c>
      <c r="D364" t="inlineStr">
        <is>
          <t>UPPSALA LÄN</t>
        </is>
      </c>
      <c r="E364" t="inlineStr">
        <is>
          <t>UPPSALA</t>
        </is>
      </c>
      <c r="F364" t="inlineStr">
        <is>
          <t>Bergvik skog öst AB</t>
        </is>
      </c>
      <c r="G364" t="n">
        <v>0.5</v>
      </c>
      <c r="H364" t="n">
        <v>0</v>
      </c>
      <c r="I364" t="n">
        <v>0</v>
      </c>
      <c r="J364" t="n">
        <v>0</v>
      </c>
      <c r="K364" t="n">
        <v>0</v>
      </c>
      <c r="L364" t="n">
        <v>0</v>
      </c>
      <c r="M364" t="n">
        <v>0</v>
      </c>
      <c r="N364" t="n">
        <v>0</v>
      </c>
      <c r="O364" t="n">
        <v>0</v>
      </c>
      <c r="P364" t="n">
        <v>0</v>
      </c>
      <c r="Q364" t="n">
        <v>0</v>
      </c>
      <c r="R364" s="2" t="inlineStr"/>
    </row>
    <row r="365" ht="15" customHeight="1">
      <c r="A365" t="inlineStr">
        <is>
          <t>A 6549-2025</t>
        </is>
      </c>
      <c r="B365" s="1" t="n">
        <v>45699</v>
      </c>
      <c r="C365" s="1" t="n">
        <v>45880</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12830-2025</t>
        </is>
      </c>
      <c r="B366" s="1" t="n">
        <v>45733.63099537037</v>
      </c>
      <c r="C366" s="1" t="n">
        <v>45880</v>
      </c>
      <c r="D366" t="inlineStr">
        <is>
          <t>UPPSALA LÄN</t>
        </is>
      </c>
      <c r="E366" t="inlineStr">
        <is>
          <t>UPPSALA</t>
        </is>
      </c>
      <c r="G366" t="n">
        <v>1.5</v>
      </c>
      <c r="H366" t="n">
        <v>0</v>
      </c>
      <c r="I366" t="n">
        <v>0</v>
      </c>
      <c r="J366" t="n">
        <v>0</v>
      </c>
      <c r="K366" t="n">
        <v>0</v>
      </c>
      <c r="L366" t="n">
        <v>0</v>
      </c>
      <c r="M366" t="n">
        <v>0</v>
      </c>
      <c r="N366" t="n">
        <v>0</v>
      </c>
      <c r="O366" t="n">
        <v>0</v>
      </c>
      <c r="P366" t="n">
        <v>0</v>
      </c>
      <c r="Q366" t="n">
        <v>0</v>
      </c>
      <c r="R366" s="2" t="inlineStr"/>
    </row>
    <row r="367" ht="15" customHeight="1">
      <c r="A367" t="inlineStr">
        <is>
          <t>A 18808-2024</t>
        </is>
      </c>
      <c r="B367" s="1" t="n">
        <v>45426.61569444444</v>
      </c>
      <c r="C367" s="1" t="n">
        <v>45880</v>
      </c>
      <c r="D367" t="inlineStr">
        <is>
          <t>UPPSALA LÄN</t>
        </is>
      </c>
      <c r="E367" t="inlineStr">
        <is>
          <t>UPPSALA</t>
        </is>
      </c>
      <c r="G367" t="n">
        <v>11.5</v>
      </c>
      <c r="H367" t="n">
        <v>0</v>
      </c>
      <c r="I367" t="n">
        <v>0</v>
      </c>
      <c r="J367" t="n">
        <v>0</v>
      </c>
      <c r="K367" t="n">
        <v>0</v>
      </c>
      <c r="L367" t="n">
        <v>0</v>
      </c>
      <c r="M367" t="n">
        <v>0</v>
      </c>
      <c r="N367" t="n">
        <v>0</v>
      </c>
      <c r="O367" t="n">
        <v>0</v>
      </c>
      <c r="P367" t="n">
        <v>0</v>
      </c>
      <c r="Q367" t="n">
        <v>0</v>
      </c>
      <c r="R367" s="2" t="inlineStr"/>
    </row>
    <row r="368" ht="15" customHeight="1">
      <c r="A368" t="inlineStr">
        <is>
          <t>A 28782-2024</t>
        </is>
      </c>
      <c r="B368" s="1" t="n">
        <v>45478.60802083334</v>
      </c>
      <c r="C368" s="1" t="n">
        <v>45880</v>
      </c>
      <c r="D368" t="inlineStr">
        <is>
          <t>UPPSALA LÄN</t>
        </is>
      </c>
      <c r="E368" t="inlineStr">
        <is>
          <t>UPPSALA</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9981-2025</t>
        </is>
      </c>
      <c r="B369" s="1" t="n">
        <v>45719.40723379629</v>
      </c>
      <c r="C369" s="1" t="n">
        <v>45880</v>
      </c>
      <c r="D369" t="inlineStr">
        <is>
          <t>UPPSALA LÄN</t>
        </is>
      </c>
      <c r="E369" t="inlineStr">
        <is>
          <t>UPPSALA</t>
        </is>
      </c>
      <c r="F369" t="inlineStr">
        <is>
          <t>Kyrkan</t>
        </is>
      </c>
      <c r="G369" t="n">
        <v>2.9</v>
      </c>
      <c r="H369" t="n">
        <v>0</v>
      </c>
      <c r="I369" t="n">
        <v>0</v>
      </c>
      <c r="J369" t="n">
        <v>0</v>
      </c>
      <c r="K369" t="n">
        <v>0</v>
      </c>
      <c r="L369" t="n">
        <v>0</v>
      </c>
      <c r="M369" t="n">
        <v>0</v>
      </c>
      <c r="N369" t="n">
        <v>0</v>
      </c>
      <c r="O369" t="n">
        <v>0</v>
      </c>
      <c r="P369" t="n">
        <v>0</v>
      </c>
      <c r="Q369" t="n">
        <v>0</v>
      </c>
      <c r="R369" s="2" t="inlineStr"/>
    </row>
    <row r="370" ht="15" customHeight="1">
      <c r="A370" t="inlineStr">
        <is>
          <t>A 60729-2024</t>
        </is>
      </c>
      <c r="B370" s="1" t="n">
        <v>45644</v>
      </c>
      <c r="C370" s="1" t="n">
        <v>45880</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36781-2023</t>
        </is>
      </c>
      <c r="B371" s="1" t="n">
        <v>45154.34931712963</v>
      </c>
      <c r="C371" s="1" t="n">
        <v>45880</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73326-2021</t>
        </is>
      </c>
      <c r="B372" s="1" t="n">
        <v>44548</v>
      </c>
      <c r="C372" s="1" t="n">
        <v>45880</v>
      </c>
      <c r="D372" t="inlineStr">
        <is>
          <t>UPPSALA LÄN</t>
        </is>
      </c>
      <c r="E372" t="inlineStr">
        <is>
          <t>UPPSALA</t>
        </is>
      </c>
      <c r="G372" t="n">
        <v>4</v>
      </c>
      <c r="H372" t="n">
        <v>0</v>
      </c>
      <c r="I372" t="n">
        <v>0</v>
      </c>
      <c r="J372" t="n">
        <v>0</v>
      </c>
      <c r="K372" t="n">
        <v>0</v>
      </c>
      <c r="L372" t="n">
        <v>0</v>
      </c>
      <c r="M372" t="n">
        <v>0</v>
      </c>
      <c r="N372" t="n">
        <v>0</v>
      </c>
      <c r="O372" t="n">
        <v>0</v>
      </c>
      <c r="P372" t="n">
        <v>0</v>
      </c>
      <c r="Q372" t="n">
        <v>0</v>
      </c>
      <c r="R372" s="2" t="inlineStr"/>
    </row>
    <row r="373" ht="15" customHeight="1">
      <c r="A373" t="inlineStr">
        <is>
          <t>A 6630-2024</t>
        </is>
      </c>
      <c r="B373" s="1" t="n">
        <v>45341.63811342593</v>
      </c>
      <c r="C373" s="1" t="n">
        <v>45880</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73044-2021</t>
        </is>
      </c>
      <c r="B374" s="1" t="n">
        <v>44550.37994212963</v>
      </c>
      <c r="C374" s="1" t="n">
        <v>45880</v>
      </c>
      <c r="D374" t="inlineStr">
        <is>
          <t>UPPSALA LÄN</t>
        </is>
      </c>
      <c r="E374" t="inlineStr">
        <is>
          <t>UPPSALA</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6550-2025</t>
        </is>
      </c>
      <c r="B375" s="1" t="n">
        <v>45699.71063657408</v>
      </c>
      <c r="C375" s="1" t="n">
        <v>45880</v>
      </c>
      <c r="D375" t="inlineStr">
        <is>
          <t>UPPSALA LÄN</t>
        </is>
      </c>
      <c r="E375" t="inlineStr">
        <is>
          <t>UPPSALA</t>
        </is>
      </c>
      <c r="G375" t="n">
        <v>2.4</v>
      </c>
      <c r="H375" t="n">
        <v>0</v>
      </c>
      <c r="I375" t="n">
        <v>0</v>
      </c>
      <c r="J375" t="n">
        <v>0</v>
      </c>
      <c r="K375" t="n">
        <v>0</v>
      </c>
      <c r="L375" t="n">
        <v>0</v>
      </c>
      <c r="M375" t="n">
        <v>0</v>
      </c>
      <c r="N375" t="n">
        <v>0</v>
      </c>
      <c r="O375" t="n">
        <v>0</v>
      </c>
      <c r="P375" t="n">
        <v>0</v>
      </c>
      <c r="Q375" t="n">
        <v>0</v>
      </c>
      <c r="R375" s="2" t="inlineStr"/>
    </row>
    <row r="376" ht="15" customHeight="1">
      <c r="A376" t="inlineStr">
        <is>
          <t>A 12282-2025</t>
        </is>
      </c>
      <c r="B376" s="1" t="n">
        <v>45729</v>
      </c>
      <c r="C376" s="1" t="n">
        <v>45880</v>
      </c>
      <c r="D376" t="inlineStr">
        <is>
          <t>UPPSALA LÄN</t>
        </is>
      </c>
      <c r="E376" t="inlineStr">
        <is>
          <t>UPPSALA</t>
        </is>
      </c>
      <c r="G376" t="n">
        <v>3.3</v>
      </c>
      <c r="H376" t="n">
        <v>0</v>
      </c>
      <c r="I376" t="n">
        <v>0</v>
      </c>
      <c r="J376" t="n">
        <v>0</v>
      </c>
      <c r="K376" t="n">
        <v>0</v>
      </c>
      <c r="L376" t="n">
        <v>0</v>
      </c>
      <c r="M376" t="n">
        <v>0</v>
      </c>
      <c r="N376" t="n">
        <v>0</v>
      </c>
      <c r="O376" t="n">
        <v>0</v>
      </c>
      <c r="P376" t="n">
        <v>0</v>
      </c>
      <c r="Q376" t="n">
        <v>0</v>
      </c>
      <c r="R376" s="2" t="inlineStr"/>
    </row>
    <row r="377" ht="15" customHeight="1">
      <c r="A377" t="inlineStr">
        <is>
          <t>A 1032-2023</t>
        </is>
      </c>
      <c r="B377" s="1" t="n">
        <v>44935</v>
      </c>
      <c r="C377" s="1" t="n">
        <v>45880</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14907-2025</t>
        </is>
      </c>
      <c r="B378" s="1" t="n">
        <v>45743.50744212963</v>
      </c>
      <c r="C378" s="1" t="n">
        <v>45880</v>
      </c>
      <c r="D378" t="inlineStr">
        <is>
          <t>UPPSALA LÄN</t>
        </is>
      </c>
      <c r="E378" t="inlineStr">
        <is>
          <t>UPPSALA</t>
        </is>
      </c>
      <c r="G378" t="n">
        <v>7</v>
      </c>
      <c r="H378" t="n">
        <v>0</v>
      </c>
      <c r="I378" t="n">
        <v>0</v>
      </c>
      <c r="J378" t="n">
        <v>0</v>
      </c>
      <c r="K378" t="n">
        <v>0</v>
      </c>
      <c r="L378" t="n">
        <v>0</v>
      </c>
      <c r="M378" t="n">
        <v>0</v>
      </c>
      <c r="N378" t="n">
        <v>0</v>
      </c>
      <c r="O378" t="n">
        <v>0</v>
      </c>
      <c r="P378" t="n">
        <v>0</v>
      </c>
      <c r="Q378" t="n">
        <v>0</v>
      </c>
      <c r="R378" s="2" t="inlineStr"/>
    </row>
    <row r="379" ht="15" customHeight="1">
      <c r="A379" t="inlineStr">
        <is>
          <t>A 9313-2023</t>
        </is>
      </c>
      <c r="B379" s="1" t="n">
        <v>44980</v>
      </c>
      <c r="C379" s="1" t="n">
        <v>45880</v>
      </c>
      <c r="D379" t="inlineStr">
        <is>
          <t>UPPSALA LÄN</t>
        </is>
      </c>
      <c r="E379" t="inlineStr">
        <is>
          <t>UPPSALA</t>
        </is>
      </c>
      <c r="G379" t="n">
        <v>2.6</v>
      </c>
      <c r="H379" t="n">
        <v>0</v>
      </c>
      <c r="I379" t="n">
        <v>0</v>
      </c>
      <c r="J379" t="n">
        <v>0</v>
      </c>
      <c r="K379" t="n">
        <v>0</v>
      </c>
      <c r="L379" t="n">
        <v>0</v>
      </c>
      <c r="M379" t="n">
        <v>0</v>
      </c>
      <c r="N379" t="n">
        <v>0</v>
      </c>
      <c r="O379" t="n">
        <v>0</v>
      </c>
      <c r="P379" t="n">
        <v>0</v>
      </c>
      <c r="Q379" t="n">
        <v>0</v>
      </c>
      <c r="R379" s="2" t="inlineStr"/>
    </row>
    <row r="380" ht="15" customHeight="1">
      <c r="A380" t="inlineStr">
        <is>
          <t>A 53569-2024</t>
        </is>
      </c>
      <c r="B380" s="1" t="n">
        <v>45614.65928240741</v>
      </c>
      <c r="C380" s="1" t="n">
        <v>45880</v>
      </c>
      <c r="D380" t="inlineStr">
        <is>
          <t>UPPSALA LÄN</t>
        </is>
      </c>
      <c r="E380" t="inlineStr">
        <is>
          <t>UPPSALA</t>
        </is>
      </c>
      <c r="G380" t="n">
        <v>2.7</v>
      </c>
      <c r="H380" t="n">
        <v>0</v>
      </c>
      <c r="I380" t="n">
        <v>0</v>
      </c>
      <c r="J380" t="n">
        <v>0</v>
      </c>
      <c r="K380" t="n">
        <v>0</v>
      </c>
      <c r="L380" t="n">
        <v>0</v>
      </c>
      <c r="M380" t="n">
        <v>0</v>
      </c>
      <c r="N380" t="n">
        <v>0</v>
      </c>
      <c r="O380" t="n">
        <v>0</v>
      </c>
      <c r="P380" t="n">
        <v>0</v>
      </c>
      <c r="Q380" t="n">
        <v>0</v>
      </c>
      <c r="R380" s="2" t="inlineStr"/>
    </row>
    <row r="381" ht="15" customHeight="1">
      <c r="A381" t="inlineStr">
        <is>
          <t>A 6199-2024</t>
        </is>
      </c>
      <c r="B381" s="1" t="n">
        <v>45337.58318287037</v>
      </c>
      <c r="C381" s="1" t="n">
        <v>45880</v>
      </c>
      <c r="D381" t="inlineStr">
        <is>
          <t>UPPSALA LÄN</t>
        </is>
      </c>
      <c r="E381" t="inlineStr">
        <is>
          <t>UPPSALA</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41545-2023</t>
        </is>
      </c>
      <c r="B382" s="1" t="n">
        <v>45175.57060185185</v>
      </c>
      <c r="C382" s="1" t="n">
        <v>45880</v>
      </c>
      <c r="D382" t="inlineStr">
        <is>
          <t>UPPSALA LÄN</t>
        </is>
      </c>
      <c r="E382" t="inlineStr">
        <is>
          <t>UPPSALA</t>
        </is>
      </c>
      <c r="G382" t="n">
        <v>6.6</v>
      </c>
      <c r="H382" t="n">
        <v>0</v>
      </c>
      <c r="I382" t="n">
        <v>0</v>
      </c>
      <c r="J382" t="n">
        <v>0</v>
      </c>
      <c r="K382" t="n">
        <v>0</v>
      </c>
      <c r="L382" t="n">
        <v>0</v>
      </c>
      <c r="M382" t="n">
        <v>0</v>
      </c>
      <c r="N382" t="n">
        <v>0</v>
      </c>
      <c r="O382" t="n">
        <v>0</v>
      </c>
      <c r="P382" t="n">
        <v>0</v>
      </c>
      <c r="Q382" t="n">
        <v>0</v>
      </c>
      <c r="R382" s="2" t="inlineStr"/>
    </row>
    <row r="383" ht="15" customHeight="1">
      <c r="A383" t="inlineStr">
        <is>
          <t>A 6006-2025</t>
        </is>
      </c>
      <c r="B383" s="1" t="n">
        <v>45695.59197916667</v>
      </c>
      <c r="C383" s="1" t="n">
        <v>45880</v>
      </c>
      <c r="D383" t="inlineStr">
        <is>
          <t>UPPSALA LÄN</t>
        </is>
      </c>
      <c r="E383" t="inlineStr">
        <is>
          <t>UPPSALA</t>
        </is>
      </c>
      <c r="F383" t="inlineStr">
        <is>
          <t>Övriga Aktiebolag</t>
        </is>
      </c>
      <c r="G383" t="n">
        <v>13.8</v>
      </c>
      <c r="H383" t="n">
        <v>0</v>
      </c>
      <c r="I383" t="n">
        <v>0</v>
      </c>
      <c r="J383" t="n">
        <v>0</v>
      </c>
      <c r="K383" t="n">
        <v>0</v>
      </c>
      <c r="L383" t="n">
        <v>0</v>
      </c>
      <c r="M383" t="n">
        <v>0</v>
      </c>
      <c r="N383" t="n">
        <v>0</v>
      </c>
      <c r="O383" t="n">
        <v>0</v>
      </c>
      <c r="P383" t="n">
        <v>0</v>
      </c>
      <c r="Q383" t="n">
        <v>0</v>
      </c>
      <c r="R383" s="2" t="inlineStr"/>
    </row>
    <row r="384" ht="15" customHeight="1">
      <c r="A384" t="inlineStr">
        <is>
          <t>A 60691-2024</t>
        </is>
      </c>
      <c r="B384" s="1" t="n">
        <v>45644.47723379629</v>
      </c>
      <c r="C384" s="1" t="n">
        <v>45880</v>
      </c>
      <c r="D384" t="inlineStr">
        <is>
          <t>UPPSALA LÄN</t>
        </is>
      </c>
      <c r="E384" t="inlineStr">
        <is>
          <t>UPPSALA</t>
        </is>
      </c>
      <c r="G384" t="n">
        <v>1.4</v>
      </c>
      <c r="H384" t="n">
        <v>0</v>
      </c>
      <c r="I384" t="n">
        <v>0</v>
      </c>
      <c r="J384" t="n">
        <v>0</v>
      </c>
      <c r="K384" t="n">
        <v>0</v>
      </c>
      <c r="L384" t="n">
        <v>0</v>
      </c>
      <c r="M384" t="n">
        <v>0</v>
      </c>
      <c r="N384" t="n">
        <v>0</v>
      </c>
      <c r="O384" t="n">
        <v>0</v>
      </c>
      <c r="P384" t="n">
        <v>0</v>
      </c>
      <c r="Q384" t="n">
        <v>0</v>
      </c>
      <c r="R384" s="2" t="inlineStr"/>
    </row>
    <row r="385" ht="15" customHeight="1">
      <c r="A385" t="inlineStr">
        <is>
          <t>A 3315-2025</t>
        </is>
      </c>
      <c r="B385" s="1" t="n">
        <v>45679</v>
      </c>
      <c r="C385" s="1" t="n">
        <v>45880</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63011-2021</t>
        </is>
      </c>
      <c r="B386" s="1" t="n">
        <v>44504</v>
      </c>
      <c r="C386" s="1" t="n">
        <v>45880</v>
      </c>
      <c r="D386" t="inlineStr">
        <is>
          <t>UPPSALA LÄN</t>
        </is>
      </c>
      <c r="E386" t="inlineStr">
        <is>
          <t>UPPSALA</t>
        </is>
      </c>
      <c r="G386" t="n">
        <v>11.2</v>
      </c>
      <c r="H386" t="n">
        <v>0</v>
      </c>
      <c r="I386" t="n">
        <v>0</v>
      </c>
      <c r="J386" t="n">
        <v>0</v>
      </c>
      <c r="K386" t="n">
        <v>0</v>
      </c>
      <c r="L386" t="n">
        <v>0</v>
      </c>
      <c r="M386" t="n">
        <v>0</v>
      </c>
      <c r="N386" t="n">
        <v>0</v>
      </c>
      <c r="O386" t="n">
        <v>0</v>
      </c>
      <c r="P386" t="n">
        <v>0</v>
      </c>
      <c r="Q386" t="n">
        <v>0</v>
      </c>
      <c r="R386" s="2" t="inlineStr"/>
    </row>
    <row r="387" ht="15" customHeight="1">
      <c r="A387" t="inlineStr">
        <is>
          <t>A 13526-2023</t>
        </is>
      </c>
      <c r="B387" s="1" t="n">
        <v>45006</v>
      </c>
      <c r="C387" s="1" t="n">
        <v>45880</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44315-2021</t>
        </is>
      </c>
      <c r="B388" s="1" t="n">
        <v>44435.38657407407</v>
      </c>
      <c r="C388" s="1" t="n">
        <v>45880</v>
      </c>
      <c r="D388" t="inlineStr">
        <is>
          <t>UPPSALA LÄN</t>
        </is>
      </c>
      <c r="E388" t="inlineStr">
        <is>
          <t>UPPSALA</t>
        </is>
      </c>
      <c r="G388" t="n">
        <v>5.2</v>
      </c>
      <c r="H388" t="n">
        <v>0</v>
      </c>
      <c r="I388" t="n">
        <v>0</v>
      </c>
      <c r="J388" t="n">
        <v>0</v>
      </c>
      <c r="K388" t="n">
        <v>0</v>
      </c>
      <c r="L388" t="n">
        <v>0</v>
      </c>
      <c r="M388" t="n">
        <v>0</v>
      </c>
      <c r="N388" t="n">
        <v>0</v>
      </c>
      <c r="O388" t="n">
        <v>0</v>
      </c>
      <c r="P388" t="n">
        <v>0</v>
      </c>
      <c r="Q388" t="n">
        <v>0</v>
      </c>
      <c r="R388" s="2" t="inlineStr"/>
    </row>
    <row r="389" ht="15" customHeight="1">
      <c r="A389" t="inlineStr">
        <is>
          <t>A 6851-2022</t>
        </is>
      </c>
      <c r="B389" s="1" t="n">
        <v>44602</v>
      </c>
      <c r="C389" s="1" t="n">
        <v>45880</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59521-2023</t>
        </is>
      </c>
      <c r="B390" s="1" t="n">
        <v>45254.49552083333</v>
      </c>
      <c r="C390" s="1" t="n">
        <v>45880</v>
      </c>
      <c r="D390" t="inlineStr">
        <is>
          <t>UPPSALA LÄN</t>
        </is>
      </c>
      <c r="E390" t="inlineStr">
        <is>
          <t>UPPSALA</t>
        </is>
      </c>
      <c r="G390" t="n">
        <v>1.7</v>
      </c>
      <c r="H390" t="n">
        <v>0</v>
      </c>
      <c r="I390" t="n">
        <v>0</v>
      </c>
      <c r="J390" t="n">
        <v>0</v>
      </c>
      <c r="K390" t="n">
        <v>0</v>
      </c>
      <c r="L390" t="n">
        <v>0</v>
      </c>
      <c r="M390" t="n">
        <v>0</v>
      </c>
      <c r="N390" t="n">
        <v>0</v>
      </c>
      <c r="O390" t="n">
        <v>0</v>
      </c>
      <c r="P390" t="n">
        <v>0</v>
      </c>
      <c r="Q390" t="n">
        <v>0</v>
      </c>
      <c r="R390" s="2" t="inlineStr"/>
    </row>
    <row r="391" ht="15" customHeight="1">
      <c r="A391" t="inlineStr">
        <is>
          <t>A 53615-2024</t>
        </is>
      </c>
      <c r="B391" s="1" t="n">
        <v>45611</v>
      </c>
      <c r="C391" s="1" t="n">
        <v>45880</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7226-2024</t>
        </is>
      </c>
      <c r="B392" s="1" t="n">
        <v>45344.64759259259</v>
      </c>
      <c r="C392" s="1" t="n">
        <v>45880</v>
      </c>
      <c r="D392" t="inlineStr">
        <is>
          <t>UPPSALA LÄN</t>
        </is>
      </c>
      <c r="E392" t="inlineStr">
        <is>
          <t>UPPSALA</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1825-2024</t>
        </is>
      </c>
      <c r="B393" s="1" t="n">
        <v>45307</v>
      </c>
      <c r="C393" s="1" t="n">
        <v>45880</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29901-2023</t>
        </is>
      </c>
      <c r="B394" s="1" t="n">
        <v>45107</v>
      </c>
      <c r="C394" s="1" t="n">
        <v>45880</v>
      </c>
      <c r="D394" t="inlineStr">
        <is>
          <t>UPPSALA LÄN</t>
        </is>
      </c>
      <c r="E394" t="inlineStr">
        <is>
          <t>UPPSALA</t>
        </is>
      </c>
      <c r="G394" t="n">
        <v>0.7</v>
      </c>
      <c r="H394" t="n">
        <v>0</v>
      </c>
      <c r="I394" t="n">
        <v>0</v>
      </c>
      <c r="J394" t="n">
        <v>0</v>
      </c>
      <c r="K394" t="n">
        <v>0</v>
      </c>
      <c r="L394" t="n">
        <v>0</v>
      </c>
      <c r="M394" t="n">
        <v>0</v>
      </c>
      <c r="N394" t="n">
        <v>0</v>
      </c>
      <c r="O394" t="n">
        <v>0</v>
      </c>
      <c r="P394" t="n">
        <v>0</v>
      </c>
      <c r="Q394" t="n">
        <v>0</v>
      </c>
      <c r="R394" s="2" t="inlineStr"/>
    </row>
    <row r="395" ht="15" customHeight="1">
      <c r="A395" t="inlineStr">
        <is>
          <t>A 29926-2023</t>
        </is>
      </c>
      <c r="B395" s="1" t="n">
        <v>45107</v>
      </c>
      <c r="C395" s="1" t="n">
        <v>45880</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29927-2023</t>
        </is>
      </c>
      <c r="B396" s="1" t="n">
        <v>45107</v>
      </c>
      <c r="C396" s="1" t="n">
        <v>45880</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53266-2024</t>
        </is>
      </c>
      <c r="B397" s="1" t="n">
        <v>45614</v>
      </c>
      <c r="C397" s="1" t="n">
        <v>45880</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7253-2024</t>
        </is>
      </c>
      <c r="B398" s="1" t="n">
        <v>45344.69567129629</v>
      </c>
      <c r="C398" s="1" t="n">
        <v>45880</v>
      </c>
      <c r="D398" t="inlineStr">
        <is>
          <t>UPPSALA LÄN</t>
        </is>
      </c>
      <c r="E398" t="inlineStr">
        <is>
          <t>UPPSALA</t>
        </is>
      </c>
      <c r="F398" t="inlineStr">
        <is>
          <t>Kyrkan</t>
        </is>
      </c>
      <c r="G398" t="n">
        <v>2.5</v>
      </c>
      <c r="H398" t="n">
        <v>0</v>
      </c>
      <c r="I398" t="n">
        <v>0</v>
      </c>
      <c r="J398" t="n">
        <v>0</v>
      </c>
      <c r="K398" t="n">
        <v>0</v>
      </c>
      <c r="L398" t="n">
        <v>0</v>
      </c>
      <c r="M398" t="n">
        <v>0</v>
      </c>
      <c r="N398" t="n">
        <v>0</v>
      </c>
      <c r="O398" t="n">
        <v>0</v>
      </c>
      <c r="P398" t="n">
        <v>0</v>
      </c>
      <c r="Q398" t="n">
        <v>0</v>
      </c>
      <c r="R398" s="2" t="inlineStr"/>
    </row>
    <row r="399" ht="15" customHeight="1">
      <c r="A399" t="inlineStr">
        <is>
          <t>A 39148-2022</t>
        </is>
      </c>
      <c r="B399" s="1" t="n">
        <v>44816</v>
      </c>
      <c r="C399" s="1" t="n">
        <v>45880</v>
      </c>
      <c r="D399" t="inlineStr">
        <is>
          <t>UPPSALA LÄN</t>
        </is>
      </c>
      <c r="E399" t="inlineStr">
        <is>
          <t>UPPSALA</t>
        </is>
      </c>
      <c r="F399" t="inlineStr">
        <is>
          <t>Övriga statliga verk och myndigheter</t>
        </is>
      </c>
      <c r="G399" t="n">
        <v>1.7</v>
      </c>
      <c r="H399" t="n">
        <v>0</v>
      </c>
      <c r="I399" t="n">
        <v>0</v>
      </c>
      <c r="J399" t="n">
        <v>0</v>
      </c>
      <c r="K399" t="n">
        <v>0</v>
      </c>
      <c r="L399" t="n">
        <v>0</v>
      </c>
      <c r="M399" t="n">
        <v>0</v>
      </c>
      <c r="N399" t="n">
        <v>0</v>
      </c>
      <c r="O399" t="n">
        <v>0</v>
      </c>
      <c r="P399" t="n">
        <v>0</v>
      </c>
      <c r="Q399" t="n">
        <v>0</v>
      </c>
      <c r="R399" s="2" t="inlineStr"/>
    </row>
    <row r="400" ht="15" customHeight="1">
      <c r="A400" t="inlineStr">
        <is>
          <t>A 4412-2024</t>
        </is>
      </c>
      <c r="B400" s="1" t="n">
        <v>45327</v>
      </c>
      <c r="C400" s="1" t="n">
        <v>45880</v>
      </c>
      <c r="D400" t="inlineStr">
        <is>
          <t>UPPSALA LÄN</t>
        </is>
      </c>
      <c r="E400" t="inlineStr">
        <is>
          <t>UPPSALA</t>
        </is>
      </c>
      <c r="G400" t="n">
        <v>5.4</v>
      </c>
      <c r="H400" t="n">
        <v>0</v>
      </c>
      <c r="I400" t="n">
        <v>0</v>
      </c>
      <c r="J400" t="n">
        <v>0</v>
      </c>
      <c r="K400" t="n">
        <v>0</v>
      </c>
      <c r="L400" t="n">
        <v>0</v>
      </c>
      <c r="M400" t="n">
        <v>0</v>
      </c>
      <c r="N400" t="n">
        <v>0</v>
      </c>
      <c r="O400" t="n">
        <v>0</v>
      </c>
      <c r="P400" t="n">
        <v>0</v>
      </c>
      <c r="Q400" t="n">
        <v>0</v>
      </c>
      <c r="R400" s="2" t="inlineStr"/>
    </row>
    <row r="401" ht="15" customHeight="1">
      <c r="A401" t="inlineStr">
        <is>
          <t>A 9398-2023</t>
        </is>
      </c>
      <c r="B401" s="1" t="n">
        <v>44977</v>
      </c>
      <c r="C401" s="1" t="n">
        <v>45880</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34509-2023</t>
        </is>
      </c>
      <c r="B402" s="1" t="n">
        <v>45133</v>
      </c>
      <c r="C402" s="1" t="n">
        <v>45880</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27119-2023</t>
        </is>
      </c>
      <c r="B403" s="1" t="n">
        <v>45096</v>
      </c>
      <c r="C403" s="1" t="n">
        <v>45880</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27903-2023</t>
        </is>
      </c>
      <c r="B404" s="1" t="n">
        <v>45098.62966435185</v>
      </c>
      <c r="C404" s="1" t="n">
        <v>45880</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787-2024</t>
        </is>
      </c>
      <c r="B405" s="1" t="n">
        <v>45300</v>
      </c>
      <c r="C405" s="1" t="n">
        <v>45880</v>
      </c>
      <c r="D405" t="inlineStr">
        <is>
          <t>UPPSALA LÄN</t>
        </is>
      </c>
      <c r="E405" t="inlineStr">
        <is>
          <t>UPPSALA</t>
        </is>
      </c>
      <c r="G405" t="n">
        <v>3</v>
      </c>
      <c r="H405" t="n">
        <v>0</v>
      </c>
      <c r="I405" t="n">
        <v>0</v>
      </c>
      <c r="J405" t="n">
        <v>0</v>
      </c>
      <c r="K405" t="n">
        <v>0</v>
      </c>
      <c r="L405" t="n">
        <v>0</v>
      </c>
      <c r="M405" t="n">
        <v>0</v>
      </c>
      <c r="N405" t="n">
        <v>0</v>
      </c>
      <c r="O405" t="n">
        <v>0</v>
      </c>
      <c r="P405" t="n">
        <v>0</v>
      </c>
      <c r="Q405" t="n">
        <v>0</v>
      </c>
      <c r="R405" s="2" t="inlineStr"/>
    </row>
    <row r="406" ht="15" customHeight="1">
      <c r="A406" t="inlineStr">
        <is>
          <t>A 36478-2023</t>
        </is>
      </c>
      <c r="B406" s="1" t="n">
        <v>45152</v>
      </c>
      <c r="C406" s="1" t="n">
        <v>45880</v>
      </c>
      <c r="D406" t="inlineStr">
        <is>
          <t>UPPSALA LÄN</t>
        </is>
      </c>
      <c r="E406" t="inlineStr">
        <is>
          <t>UPPSALA</t>
        </is>
      </c>
      <c r="F406" t="inlineStr">
        <is>
          <t>Allmännings- och besparingsskogar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1588-2025</t>
        </is>
      </c>
      <c r="B407" s="1" t="n">
        <v>45670</v>
      </c>
      <c r="C407" s="1" t="n">
        <v>45880</v>
      </c>
      <c r="D407" t="inlineStr">
        <is>
          <t>UPPSALA LÄN</t>
        </is>
      </c>
      <c r="E407" t="inlineStr">
        <is>
          <t>UPPSALA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72224-2021</t>
        </is>
      </c>
      <c r="B408" s="1" t="n">
        <v>44544</v>
      </c>
      <c r="C408" s="1" t="n">
        <v>45880</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66686-2021</t>
        </is>
      </c>
      <c r="B409" s="1" t="n">
        <v>44519</v>
      </c>
      <c r="C409" s="1" t="n">
        <v>45880</v>
      </c>
      <c r="D409" t="inlineStr">
        <is>
          <t>UPPSALA LÄN</t>
        </is>
      </c>
      <c r="E409" t="inlineStr">
        <is>
          <t>UPPSALA</t>
        </is>
      </c>
      <c r="G409" t="n">
        <v>6.4</v>
      </c>
      <c r="H409" t="n">
        <v>0</v>
      </c>
      <c r="I409" t="n">
        <v>0</v>
      </c>
      <c r="J409" t="n">
        <v>0</v>
      </c>
      <c r="K409" t="n">
        <v>0</v>
      </c>
      <c r="L409" t="n">
        <v>0</v>
      </c>
      <c r="M409" t="n">
        <v>0</v>
      </c>
      <c r="N409" t="n">
        <v>0</v>
      </c>
      <c r="O409" t="n">
        <v>0</v>
      </c>
      <c r="P409" t="n">
        <v>0</v>
      </c>
      <c r="Q409" t="n">
        <v>0</v>
      </c>
      <c r="R409" s="2" t="inlineStr"/>
    </row>
    <row r="410" ht="15" customHeight="1">
      <c r="A410" t="inlineStr">
        <is>
          <t>A 5899-2024</t>
        </is>
      </c>
      <c r="B410" s="1" t="n">
        <v>45335</v>
      </c>
      <c r="C410" s="1" t="n">
        <v>45880</v>
      </c>
      <c r="D410" t="inlineStr">
        <is>
          <t>UPPSALA LÄN</t>
        </is>
      </c>
      <c r="E410" t="inlineStr">
        <is>
          <t>UPPSALA</t>
        </is>
      </c>
      <c r="F410" t="inlineStr">
        <is>
          <t>Allmännings- och besparingsskogar</t>
        </is>
      </c>
      <c r="G410" t="n">
        <v>3.7</v>
      </c>
      <c r="H410" t="n">
        <v>0</v>
      </c>
      <c r="I410" t="n">
        <v>0</v>
      </c>
      <c r="J410" t="n">
        <v>0</v>
      </c>
      <c r="K410" t="n">
        <v>0</v>
      </c>
      <c r="L410" t="n">
        <v>0</v>
      </c>
      <c r="M410" t="n">
        <v>0</v>
      </c>
      <c r="N410" t="n">
        <v>0</v>
      </c>
      <c r="O410" t="n">
        <v>0</v>
      </c>
      <c r="P410" t="n">
        <v>0</v>
      </c>
      <c r="Q410" t="n">
        <v>0</v>
      </c>
      <c r="R410" s="2" t="inlineStr"/>
    </row>
    <row r="411" ht="15" customHeight="1">
      <c r="A411" t="inlineStr">
        <is>
          <t>A 45-2024</t>
        </is>
      </c>
      <c r="B411" s="1" t="n">
        <v>45293</v>
      </c>
      <c r="C411" s="1" t="n">
        <v>45880</v>
      </c>
      <c r="D411" t="inlineStr">
        <is>
          <t>UPPSALA LÄN</t>
        </is>
      </c>
      <c r="E411" t="inlineStr">
        <is>
          <t>UPPSALA</t>
        </is>
      </c>
      <c r="G411" t="n">
        <v>12.5</v>
      </c>
      <c r="H411" t="n">
        <v>0</v>
      </c>
      <c r="I411" t="n">
        <v>0</v>
      </c>
      <c r="J411" t="n">
        <v>0</v>
      </c>
      <c r="K411" t="n">
        <v>0</v>
      </c>
      <c r="L411" t="n">
        <v>0</v>
      </c>
      <c r="M411" t="n">
        <v>0</v>
      </c>
      <c r="N411" t="n">
        <v>0</v>
      </c>
      <c r="O411" t="n">
        <v>0</v>
      </c>
      <c r="P411" t="n">
        <v>0</v>
      </c>
      <c r="Q411" t="n">
        <v>0</v>
      </c>
      <c r="R411" s="2" t="inlineStr"/>
    </row>
    <row r="412" ht="15" customHeight="1">
      <c r="A412" t="inlineStr">
        <is>
          <t>A 20703-2025</t>
        </is>
      </c>
      <c r="B412" s="1" t="n">
        <v>45776.48275462963</v>
      </c>
      <c r="C412" s="1" t="n">
        <v>45880</v>
      </c>
      <c r="D412" t="inlineStr">
        <is>
          <t>UPPSALA LÄN</t>
        </is>
      </c>
      <c r="E412" t="inlineStr">
        <is>
          <t>UPPSALA</t>
        </is>
      </c>
      <c r="F412" t="inlineStr">
        <is>
          <t>Holmen skog AB</t>
        </is>
      </c>
      <c r="G412" t="n">
        <v>3.5</v>
      </c>
      <c r="H412" t="n">
        <v>0</v>
      </c>
      <c r="I412" t="n">
        <v>0</v>
      </c>
      <c r="J412" t="n">
        <v>0</v>
      </c>
      <c r="K412" t="n">
        <v>0</v>
      </c>
      <c r="L412" t="n">
        <v>0</v>
      </c>
      <c r="M412" t="n">
        <v>0</v>
      </c>
      <c r="N412" t="n">
        <v>0</v>
      </c>
      <c r="O412" t="n">
        <v>0</v>
      </c>
      <c r="P412" t="n">
        <v>0</v>
      </c>
      <c r="Q412" t="n">
        <v>0</v>
      </c>
      <c r="R412" s="2" t="inlineStr"/>
    </row>
    <row r="413" ht="15" customHeight="1">
      <c r="A413" t="inlineStr">
        <is>
          <t>A 20712-2025</t>
        </is>
      </c>
      <c r="B413" s="1" t="n">
        <v>45776</v>
      </c>
      <c r="C413" s="1" t="n">
        <v>45880</v>
      </c>
      <c r="D413" t="inlineStr">
        <is>
          <t>UPPSALA LÄN</t>
        </is>
      </c>
      <c r="E413" t="inlineStr">
        <is>
          <t>UPPSALA</t>
        </is>
      </c>
      <c r="G413" t="n">
        <v>1.5</v>
      </c>
      <c r="H413" t="n">
        <v>0</v>
      </c>
      <c r="I413" t="n">
        <v>0</v>
      </c>
      <c r="J413" t="n">
        <v>0</v>
      </c>
      <c r="K413" t="n">
        <v>0</v>
      </c>
      <c r="L413" t="n">
        <v>0</v>
      </c>
      <c r="M413" t="n">
        <v>0</v>
      </c>
      <c r="N413" t="n">
        <v>0</v>
      </c>
      <c r="O413" t="n">
        <v>0</v>
      </c>
      <c r="P413" t="n">
        <v>0</v>
      </c>
      <c r="Q413" t="n">
        <v>0</v>
      </c>
      <c r="R413" s="2" t="inlineStr"/>
    </row>
    <row r="414" ht="15" customHeight="1">
      <c r="A414" t="inlineStr">
        <is>
          <t>A 55953-2020</t>
        </is>
      </c>
      <c r="B414" s="1" t="n">
        <v>44131</v>
      </c>
      <c r="C414" s="1" t="n">
        <v>45880</v>
      </c>
      <c r="D414" t="inlineStr">
        <is>
          <t>UPPSALA LÄN</t>
        </is>
      </c>
      <c r="E414" t="inlineStr">
        <is>
          <t>UPPSALA</t>
        </is>
      </c>
      <c r="F414" t="inlineStr">
        <is>
          <t>Allmännings- och besparingsskogar</t>
        </is>
      </c>
      <c r="G414" t="n">
        <v>74.40000000000001</v>
      </c>
      <c r="H414" t="n">
        <v>0</v>
      </c>
      <c r="I414" t="n">
        <v>0</v>
      </c>
      <c r="J414" t="n">
        <v>0</v>
      </c>
      <c r="K414" t="n">
        <v>0</v>
      </c>
      <c r="L414" t="n">
        <v>0</v>
      </c>
      <c r="M414" t="n">
        <v>0</v>
      </c>
      <c r="N414" t="n">
        <v>0</v>
      </c>
      <c r="O414" t="n">
        <v>0</v>
      </c>
      <c r="P414" t="n">
        <v>0</v>
      </c>
      <c r="Q414" t="n">
        <v>0</v>
      </c>
      <c r="R414" s="2" t="inlineStr"/>
    </row>
    <row r="415" ht="15" customHeight="1">
      <c r="A415" t="inlineStr">
        <is>
          <t>A 38934-2023</t>
        </is>
      </c>
      <c r="B415" s="1" t="n">
        <v>45163.59913194444</v>
      </c>
      <c r="C415" s="1" t="n">
        <v>45880</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27125-2023</t>
        </is>
      </c>
      <c r="B416" s="1" t="n">
        <v>45096</v>
      </c>
      <c r="C416" s="1" t="n">
        <v>45880</v>
      </c>
      <c r="D416" t="inlineStr">
        <is>
          <t>UPPSALA LÄN</t>
        </is>
      </c>
      <c r="E416" t="inlineStr">
        <is>
          <t>UPPSALA</t>
        </is>
      </c>
      <c r="G416" t="n">
        <v>0.6</v>
      </c>
      <c r="H416" t="n">
        <v>0</v>
      </c>
      <c r="I416" t="n">
        <v>0</v>
      </c>
      <c r="J416" t="n">
        <v>0</v>
      </c>
      <c r="K416" t="n">
        <v>0</v>
      </c>
      <c r="L416" t="n">
        <v>0</v>
      </c>
      <c r="M416" t="n">
        <v>0</v>
      </c>
      <c r="N416" t="n">
        <v>0</v>
      </c>
      <c r="O416" t="n">
        <v>0</v>
      </c>
      <c r="P416" t="n">
        <v>0</v>
      </c>
      <c r="Q416" t="n">
        <v>0</v>
      </c>
      <c r="R416" s="2" t="inlineStr"/>
    </row>
    <row r="417" ht="15" customHeight="1">
      <c r="A417" t="inlineStr">
        <is>
          <t>A 20686-2025</t>
        </is>
      </c>
      <c r="B417" s="1" t="n">
        <v>45776.45263888889</v>
      </c>
      <c r="C417" s="1" t="n">
        <v>45880</v>
      </c>
      <c r="D417" t="inlineStr">
        <is>
          <t>UPPSALA LÄN</t>
        </is>
      </c>
      <c r="E417" t="inlineStr">
        <is>
          <t>UPPSALA</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29815-2023</t>
        </is>
      </c>
      <c r="B418" s="1" t="n">
        <v>45107.55574074074</v>
      </c>
      <c r="C418" s="1" t="n">
        <v>45880</v>
      </c>
      <c r="D418" t="inlineStr">
        <is>
          <t>UPPSALA LÄN</t>
        </is>
      </c>
      <c r="E418" t="inlineStr">
        <is>
          <t>UPPSALA</t>
        </is>
      </c>
      <c r="G418" t="n">
        <v>2.4</v>
      </c>
      <c r="H418" t="n">
        <v>0</v>
      </c>
      <c r="I418" t="n">
        <v>0</v>
      </c>
      <c r="J418" t="n">
        <v>0</v>
      </c>
      <c r="K418" t="n">
        <v>0</v>
      </c>
      <c r="L418" t="n">
        <v>0</v>
      </c>
      <c r="M418" t="n">
        <v>0</v>
      </c>
      <c r="N418" t="n">
        <v>0</v>
      </c>
      <c r="O418" t="n">
        <v>0</v>
      </c>
      <c r="P418" t="n">
        <v>0</v>
      </c>
      <c r="Q418" t="n">
        <v>0</v>
      </c>
      <c r="R418" s="2" t="inlineStr"/>
    </row>
    <row r="419" ht="15" customHeight="1">
      <c r="A419" t="inlineStr">
        <is>
          <t>A 10674-2022</t>
        </is>
      </c>
      <c r="B419" s="1" t="n">
        <v>44624.64538194444</v>
      </c>
      <c r="C419" s="1" t="n">
        <v>45880</v>
      </c>
      <c r="D419" t="inlineStr">
        <is>
          <t>UPPSALA LÄN</t>
        </is>
      </c>
      <c r="E419" t="inlineStr">
        <is>
          <t>UPPSALA</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20797-2025</t>
        </is>
      </c>
      <c r="B420" s="1" t="n">
        <v>45776.6415162037</v>
      </c>
      <c r="C420" s="1" t="n">
        <v>45880</v>
      </c>
      <c r="D420" t="inlineStr">
        <is>
          <t>UPPSALA LÄN</t>
        </is>
      </c>
      <c r="E420" t="inlineStr">
        <is>
          <t>UPPSALA</t>
        </is>
      </c>
      <c r="F420" t="inlineStr">
        <is>
          <t>Kommuner</t>
        </is>
      </c>
      <c r="G420" t="n">
        <v>4.6</v>
      </c>
      <c r="H420" t="n">
        <v>0</v>
      </c>
      <c r="I420" t="n">
        <v>0</v>
      </c>
      <c r="J420" t="n">
        <v>0</v>
      </c>
      <c r="K420" t="n">
        <v>0</v>
      </c>
      <c r="L420" t="n">
        <v>0</v>
      </c>
      <c r="M420" t="n">
        <v>0</v>
      </c>
      <c r="N420" t="n">
        <v>0</v>
      </c>
      <c r="O420" t="n">
        <v>0</v>
      </c>
      <c r="P420" t="n">
        <v>0</v>
      </c>
      <c r="Q420" t="n">
        <v>0</v>
      </c>
      <c r="R420" s="2" t="inlineStr"/>
    </row>
    <row r="421" ht="15" customHeight="1">
      <c r="A421" t="inlineStr">
        <is>
          <t>A 54924-2024</t>
        </is>
      </c>
      <c r="B421" s="1" t="n">
        <v>45618.71140046296</v>
      </c>
      <c r="C421" s="1" t="n">
        <v>45880</v>
      </c>
      <c r="D421" t="inlineStr">
        <is>
          <t>UPPSALA LÄN</t>
        </is>
      </c>
      <c r="E421" t="inlineStr">
        <is>
          <t>UPPSALA</t>
        </is>
      </c>
      <c r="G421" t="n">
        <v>2.4</v>
      </c>
      <c r="H421" t="n">
        <v>0</v>
      </c>
      <c r="I421" t="n">
        <v>0</v>
      </c>
      <c r="J421" t="n">
        <v>0</v>
      </c>
      <c r="K421" t="n">
        <v>0</v>
      </c>
      <c r="L421" t="n">
        <v>0</v>
      </c>
      <c r="M421" t="n">
        <v>0</v>
      </c>
      <c r="N421" t="n">
        <v>0</v>
      </c>
      <c r="O421" t="n">
        <v>0</v>
      </c>
      <c r="P421" t="n">
        <v>0</v>
      </c>
      <c r="Q421" t="n">
        <v>0</v>
      </c>
      <c r="R421" s="2" t="inlineStr"/>
    </row>
    <row r="422" ht="15" customHeight="1">
      <c r="A422" t="inlineStr">
        <is>
          <t>A 12293-2022</t>
        </is>
      </c>
      <c r="B422" s="1" t="n">
        <v>44637.56178240741</v>
      </c>
      <c r="C422" s="1" t="n">
        <v>45880</v>
      </c>
      <c r="D422" t="inlineStr">
        <is>
          <t>UPPSALA LÄN</t>
        </is>
      </c>
      <c r="E422" t="inlineStr">
        <is>
          <t>UPPSALA</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179-2024</t>
        </is>
      </c>
      <c r="B423" s="1" t="n">
        <v>45294.5666550926</v>
      </c>
      <c r="C423" s="1" t="n">
        <v>45880</v>
      </c>
      <c r="D423" t="inlineStr">
        <is>
          <t>UPPSALA LÄN</t>
        </is>
      </c>
      <c r="E423" t="inlineStr">
        <is>
          <t>UPPSALA</t>
        </is>
      </c>
      <c r="F423" t="inlineStr">
        <is>
          <t>Bergvik skog öst AB</t>
        </is>
      </c>
      <c r="G423" t="n">
        <v>12.7</v>
      </c>
      <c r="H423" t="n">
        <v>0</v>
      </c>
      <c r="I423" t="n">
        <v>0</v>
      </c>
      <c r="J423" t="n">
        <v>0</v>
      </c>
      <c r="K423" t="n">
        <v>0</v>
      </c>
      <c r="L423" t="n">
        <v>0</v>
      </c>
      <c r="M423" t="n">
        <v>0</v>
      </c>
      <c r="N423" t="n">
        <v>0</v>
      </c>
      <c r="O423" t="n">
        <v>0</v>
      </c>
      <c r="P423" t="n">
        <v>0</v>
      </c>
      <c r="Q423" t="n">
        <v>0</v>
      </c>
      <c r="R423" s="2" t="inlineStr"/>
    </row>
    <row r="424" ht="15" customHeight="1">
      <c r="A424" t="inlineStr">
        <is>
          <t>A 20888-2025</t>
        </is>
      </c>
      <c r="B424" s="1" t="n">
        <v>45777.37119212963</v>
      </c>
      <c r="C424" s="1" t="n">
        <v>45880</v>
      </c>
      <c r="D424" t="inlineStr">
        <is>
          <t>UPPSALA LÄN</t>
        </is>
      </c>
      <c r="E424" t="inlineStr">
        <is>
          <t>UPPSALA</t>
        </is>
      </c>
      <c r="F424" t="inlineStr">
        <is>
          <t>Övriga statliga verk och myndigheter</t>
        </is>
      </c>
      <c r="G424" t="n">
        <v>5.1</v>
      </c>
      <c r="H424" t="n">
        <v>0</v>
      </c>
      <c r="I424" t="n">
        <v>0</v>
      </c>
      <c r="J424" t="n">
        <v>0</v>
      </c>
      <c r="K424" t="n">
        <v>0</v>
      </c>
      <c r="L424" t="n">
        <v>0</v>
      </c>
      <c r="M424" t="n">
        <v>0</v>
      </c>
      <c r="N424" t="n">
        <v>0</v>
      </c>
      <c r="O424" t="n">
        <v>0</v>
      </c>
      <c r="P424" t="n">
        <v>0</v>
      </c>
      <c r="Q424" t="n">
        <v>0</v>
      </c>
      <c r="R424" s="2" t="inlineStr"/>
    </row>
    <row r="425" ht="15" customHeight="1">
      <c r="A425" t="inlineStr">
        <is>
          <t>A 20874-2025</t>
        </is>
      </c>
      <c r="B425" s="1" t="n">
        <v>45777.34894675926</v>
      </c>
      <c r="C425" s="1" t="n">
        <v>45880</v>
      </c>
      <c r="D425" t="inlineStr">
        <is>
          <t>UPPSALA LÄN</t>
        </is>
      </c>
      <c r="E425" t="inlineStr">
        <is>
          <t>UPPSALA</t>
        </is>
      </c>
      <c r="F425" t="inlineStr">
        <is>
          <t>Övriga Aktiebolag</t>
        </is>
      </c>
      <c r="G425" t="n">
        <v>3.9</v>
      </c>
      <c r="H425" t="n">
        <v>0</v>
      </c>
      <c r="I425" t="n">
        <v>0</v>
      </c>
      <c r="J425" t="n">
        <v>0</v>
      </c>
      <c r="K425" t="n">
        <v>0</v>
      </c>
      <c r="L425" t="n">
        <v>0</v>
      </c>
      <c r="M425" t="n">
        <v>0</v>
      </c>
      <c r="N425" t="n">
        <v>0</v>
      </c>
      <c r="O425" t="n">
        <v>0</v>
      </c>
      <c r="P425" t="n">
        <v>0</v>
      </c>
      <c r="Q425" t="n">
        <v>0</v>
      </c>
      <c r="R425" s="2" t="inlineStr"/>
    </row>
    <row r="426" ht="15" customHeight="1">
      <c r="A426" t="inlineStr">
        <is>
          <t>A 20858-2025</t>
        </is>
      </c>
      <c r="B426" s="1" t="n">
        <v>45777.32731481481</v>
      </c>
      <c r="C426" s="1" t="n">
        <v>45880</v>
      </c>
      <c r="D426" t="inlineStr">
        <is>
          <t>UPPSALA LÄN</t>
        </is>
      </c>
      <c r="E426" t="inlineStr">
        <is>
          <t>UPPSALA</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21033-2025</t>
        </is>
      </c>
      <c r="B427" s="1" t="n">
        <v>45777.52655092593</v>
      </c>
      <c r="C427" s="1" t="n">
        <v>45880</v>
      </c>
      <c r="D427" t="inlineStr">
        <is>
          <t>UPPSALA LÄN</t>
        </is>
      </c>
      <c r="E427" t="inlineStr">
        <is>
          <t>UPPSALA</t>
        </is>
      </c>
      <c r="G427" t="n">
        <v>2.2</v>
      </c>
      <c r="H427" t="n">
        <v>0</v>
      </c>
      <c r="I427" t="n">
        <v>0</v>
      </c>
      <c r="J427" t="n">
        <v>0</v>
      </c>
      <c r="K427" t="n">
        <v>0</v>
      </c>
      <c r="L427" t="n">
        <v>0</v>
      </c>
      <c r="M427" t="n">
        <v>0</v>
      </c>
      <c r="N427" t="n">
        <v>0</v>
      </c>
      <c r="O427" t="n">
        <v>0</v>
      </c>
      <c r="P427" t="n">
        <v>0</v>
      </c>
      <c r="Q427" t="n">
        <v>0</v>
      </c>
      <c r="R427" s="2" t="inlineStr"/>
    </row>
    <row r="428" ht="15" customHeight="1">
      <c r="A428" t="inlineStr">
        <is>
          <t>A 20928-2025</t>
        </is>
      </c>
      <c r="B428" s="1" t="n">
        <v>45777</v>
      </c>
      <c r="C428" s="1" t="n">
        <v>45880</v>
      </c>
      <c r="D428" t="inlineStr">
        <is>
          <t>UPPSALA LÄN</t>
        </is>
      </c>
      <c r="E428" t="inlineStr">
        <is>
          <t>UPPSALA</t>
        </is>
      </c>
      <c r="G428" t="n">
        <v>11.9</v>
      </c>
      <c r="H428" t="n">
        <v>0</v>
      </c>
      <c r="I428" t="n">
        <v>0</v>
      </c>
      <c r="J428" t="n">
        <v>0</v>
      </c>
      <c r="K428" t="n">
        <v>0</v>
      </c>
      <c r="L428" t="n">
        <v>0</v>
      </c>
      <c r="M428" t="n">
        <v>0</v>
      </c>
      <c r="N428" t="n">
        <v>0</v>
      </c>
      <c r="O428" t="n">
        <v>0</v>
      </c>
      <c r="P428" t="n">
        <v>0</v>
      </c>
      <c r="Q428" t="n">
        <v>0</v>
      </c>
      <c r="R428" s="2" t="inlineStr"/>
    </row>
    <row r="429" ht="15" customHeight="1">
      <c r="A429" t="inlineStr">
        <is>
          <t>A 33667-2024</t>
        </is>
      </c>
      <c r="B429" s="1" t="n">
        <v>45520</v>
      </c>
      <c r="C429" s="1" t="n">
        <v>45880</v>
      </c>
      <c r="D429" t="inlineStr">
        <is>
          <t>UPPSALA LÄN</t>
        </is>
      </c>
      <c r="E429" t="inlineStr">
        <is>
          <t>UPPSALA</t>
        </is>
      </c>
      <c r="G429" t="n">
        <v>0.8</v>
      </c>
      <c r="H429" t="n">
        <v>0</v>
      </c>
      <c r="I429" t="n">
        <v>0</v>
      </c>
      <c r="J429" t="n">
        <v>0</v>
      </c>
      <c r="K429" t="n">
        <v>0</v>
      </c>
      <c r="L429" t="n">
        <v>0</v>
      </c>
      <c r="M429" t="n">
        <v>0</v>
      </c>
      <c r="N429" t="n">
        <v>0</v>
      </c>
      <c r="O429" t="n">
        <v>0</v>
      </c>
      <c r="P429" t="n">
        <v>0</v>
      </c>
      <c r="Q429" t="n">
        <v>0</v>
      </c>
      <c r="R429" s="2" t="inlineStr"/>
    </row>
    <row r="430" ht="15" customHeight="1">
      <c r="A430" t="inlineStr">
        <is>
          <t>A 23291-2024</t>
        </is>
      </c>
      <c r="B430" s="1" t="n">
        <v>45453</v>
      </c>
      <c r="C430" s="1" t="n">
        <v>45880</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44847-2024</t>
        </is>
      </c>
      <c r="B431" s="1" t="n">
        <v>45574</v>
      </c>
      <c r="C431" s="1" t="n">
        <v>45880</v>
      </c>
      <c r="D431" t="inlineStr">
        <is>
          <t>UPPSALA LÄN</t>
        </is>
      </c>
      <c r="E431" t="inlineStr">
        <is>
          <t>UPPSALA</t>
        </is>
      </c>
      <c r="G431" t="n">
        <v>6.3</v>
      </c>
      <c r="H431" t="n">
        <v>0</v>
      </c>
      <c r="I431" t="n">
        <v>0</v>
      </c>
      <c r="J431" t="n">
        <v>0</v>
      </c>
      <c r="K431" t="n">
        <v>0</v>
      </c>
      <c r="L431" t="n">
        <v>0</v>
      </c>
      <c r="M431" t="n">
        <v>0</v>
      </c>
      <c r="N431" t="n">
        <v>0</v>
      </c>
      <c r="O431" t="n">
        <v>0</v>
      </c>
      <c r="P431" t="n">
        <v>0</v>
      </c>
      <c r="Q431" t="n">
        <v>0</v>
      </c>
      <c r="R431" s="2" t="inlineStr"/>
    </row>
    <row r="432" ht="15" customHeight="1">
      <c r="A432" t="inlineStr">
        <is>
          <t>A 21281-2025</t>
        </is>
      </c>
      <c r="B432" s="1" t="n">
        <v>45779.6665162037</v>
      </c>
      <c r="C432" s="1" t="n">
        <v>45880</v>
      </c>
      <c r="D432" t="inlineStr">
        <is>
          <t>UPPSALA LÄN</t>
        </is>
      </c>
      <c r="E432" t="inlineStr">
        <is>
          <t>UPPSALA</t>
        </is>
      </c>
      <c r="F432" t="inlineStr">
        <is>
          <t>Övriga Aktiebolag</t>
        </is>
      </c>
      <c r="G432" t="n">
        <v>5.9</v>
      </c>
      <c r="H432" t="n">
        <v>0</v>
      </c>
      <c r="I432" t="n">
        <v>0</v>
      </c>
      <c r="J432" t="n">
        <v>0</v>
      </c>
      <c r="K432" t="n">
        <v>0</v>
      </c>
      <c r="L432" t="n">
        <v>0</v>
      </c>
      <c r="M432" t="n">
        <v>0</v>
      </c>
      <c r="N432" t="n">
        <v>0</v>
      </c>
      <c r="O432" t="n">
        <v>0</v>
      </c>
      <c r="P432" t="n">
        <v>0</v>
      </c>
      <c r="Q432" t="n">
        <v>0</v>
      </c>
      <c r="R432" s="2" t="inlineStr"/>
    </row>
    <row r="433" ht="15" customHeight="1">
      <c r="A433" t="inlineStr">
        <is>
          <t>A 21279-2025</t>
        </is>
      </c>
      <c r="B433" s="1" t="n">
        <v>45779.65787037037</v>
      </c>
      <c r="C433" s="1" t="n">
        <v>45880</v>
      </c>
      <c r="D433" t="inlineStr">
        <is>
          <t>UPPSALA LÄN</t>
        </is>
      </c>
      <c r="E433" t="inlineStr">
        <is>
          <t>UPPSALA</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58070-2020</t>
        </is>
      </c>
      <c r="B434" s="1" t="n">
        <v>44140</v>
      </c>
      <c r="C434" s="1" t="n">
        <v>45880</v>
      </c>
      <c r="D434" t="inlineStr">
        <is>
          <t>UPPSALA LÄN</t>
        </is>
      </c>
      <c r="E434" t="inlineStr">
        <is>
          <t>UPPSALA</t>
        </is>
      </c>
      <c r="G434" t="n">
        <v>4</v>
      </c>
      <c r="H434" t="n">
        <v>0</v>
      </c>
      <c r="I434" t="n">
        <v>0</v>
      </c>
      <c r="J434" t="n">
        <v>0</v>
      </c>
      <c r="K434" t="n">
        <v>0</v>
      </c>
      <c r="L434" t="n">
        <v>0</v>
      </c>
      <c r="M434" t="n">
        <v>0</v>
      </c>
      <c r="N434" t="n">
        <v>0</v>
      </c>
      <c r="O434" t="n">
        <v>0</v>
      </c>
      <c r="P434" t="n">
        <v>0</v>
      </c>
      <c r="Q434" t="n">
        <v>0</v>
      </c>
      <c r="R434" s="2" t="inlineStr"/>
    </row>
    <row r="435" ht="15" customHeight="1">
      <c r="A435" t="inlineStr">
        <is>
          <t>A 34114-2024</t>
        </is>
      </c>
      <c r="B435" s="1" t="n">
        <v>45524</v>
      </c>
      <c r="C435" s="1" t="n">
        <v>45880</v>
      </c>
      <c r="D435" t="inlineStr">
        <is>
          <t>UPPSALA LÄN</t>
        </is>
      </c>
      <c r="E435" t="inlineStr">
        <is>
          <t>UPPSALA</t>
        </is>
      </c>
      <c r="F435" t="inlineStr">
        <is>
          <t>Allmännings- och besparingsskogar</t>
        </is>
      </c>
      <c r="G435" t="n">
        <v>1.3</v>
      </c>
      <c r="H435" t="n">
        <v>0</v>
      </c>
      <c r="I435" t="n">
        <v>0</v>
      </c>
      <c r="J435" t="n">
        <v>0</v>
      </c>
      <c r="K435" t="n">
        <v>0</v>
      </c>
      <c r="L435" t="n">
        <v>0</v>
      </c>
      <c r="M435" t="n">
        <v>0</v>
      </c>
      <c r="N435" t="n">
        <v>0</v>
      </c>
      <c r="O435" t="n">
        <v>0</v>
      </c>
      <c r="P435" t="n">
        <v>0</v>
      </c>
      <c r="Q435" t="n">
        <v>0</v>
      </c>
      <c r="R435" s="2" t="inlineStr"/>
    </row>
    <row r="436" ht="15" customHeight="1">
      <c r="A436" t="inlineStr">
        <is>
          <t>A 49931-2020</t>
        </is>
      </c>
      <c r="B436" s="1" t="n">
        <v>44109</v>
      </c>
      <c r="C436" s="1" t="n">
        <v>45880</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21217-2025</t>
        </is>
      </c>
      <c r="B437" s="1" t="n">
        <v>45779.49085648148</v>
      </c>
      <c r="C437" s="1" t="n">
        <v>45880</v>
      </c>
      <c r="D437" t="inlineStr">
        <is>
          <t>UPPSALA LÄN</t>
        </is>
      </c>
      <c r="E437" t="inlineStr">
        <is>
          <t>UPPSALA</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7611-2023</t>
        </is>
      </c>
      <c r="B438" s="1" t="n">
        <v>44967</v>
      </c>
      <c r="C438" s="1" t="n">
        <v>45880</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60056-2022</t>
        </is>
      </c>
      <c r="B439" s="1" t="n">
        <v>44909</v>
      </c>
      <c r="C439" s="1" t="n">
        <v>45880</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5989-2022</t>
        </is>
      </c>
      <c r="B440" s="1" t="n">
        <v>44599.42277777778</v>
      </c>
      <c r="C440" s="1" t="n">
        <v>45880</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74023-2021</t>
        </is>
      </c>
      <c r="B441" s="1" t="n">
        <v>44553</v>
      </c>
      <c r="C441" s="1" t="n">
        <v>45880</v>
      </c>
      <c r="D441" t="inlineStr">
        <is>
          <t>UPPSALA LÄN</t>
        </is>
      </c>
      <c r="E441" t="inlineStr">
        <is>
          <t>UPPSALA</t>
        </is>
      </c>
      <c r="G441" t="n">
        <v>5.4</v>
      </c>
      <c r="H441" t="n">
        <v>0</v>
      </c>
      <c r="I441" t="n">
        <v>0</v>
      </c>
      <c r="J441" t="n">
        <v>0</v>
      </c>
      <c r="K441" t="n">
        <v>0</v>
      </c>
      <c r="L441" t="n">
        <v>0</v>
      </c>
      <c r="M441" t="n">
        <v>0</v>
      </c>
      <c r="N441" t="n">
        <v>0</v>
      </c>
      <c r="O441" t="n">
        <v>0</v>
      </c>
      <c r="P441" t="n">
        <v>0</v>
      </c>
      <c r="Q441" t="n">
        <v>0</v>
      </c>
      <c r="R441" s="2" t="inlineStr"/>
    </row>
    <row r="442" ht="15" customHeight="1">
      <c r="A442" t="inlineStr">
        <is>
          <t>A 5006-2022</t>
        </is>
      </c>
      <c r="B442" s="1" t="n">
        <v>44593</v>
      </c>
      <c r="C442" s="1" t="n">
        <v>45880</v>
      </c>
      <c r="D442" t="inlineStr">
        <is>
          <t>UPPSALA LÄN</t>
        </is>
      </c>
      <c r="E442" t="inlineStr">
        <is>
          <t>UPPSALA</t>
        </is>
      </c>
      <c r="F442" t="inlineStr">
        <is>
          <t>BillerudKorsnäs AB</t>
        </is>
      </c>
      <c r="G442" t="n">
        <v>1.4</v>
      </c>
      <c r="H442" t="n">
        <v>0</v>
      </c>
      <c r="I442" t="n">
        <v>0</v>
      </c>
      <c r="J442" t="n">
        <v>0</v>
      </c>
      <c r="K442" t="n">
        <v>0</v>
      </c>
      <c r="L442" t="n">
        <v>0</v>
      </c>
      <c r="M442" t="n">
        <v>0</v>
      </c>
      <c r="N442" t="n">
        <v>0</v>
      </c>
      <c r="O442" t="n">
        <v>0</v>
      </c>
      <c r="P442" t="n">
        <v>0</v>
      </c>
      <c r="Q442" t="n">
        <v>0</v>
      </c>
      <c r="R442" s="2" t="inlineStr"/>
    </row>
    <row r="443" ht="15" customHeight="1">
      <c r="A443" t="inlineStr">
        <is>
          <t>A 5007-2022</t>
        </is>
      </c>
      <c r="B443" s="1" t="n">
        <v>44593.61355324074</v>
      </c>
      <c r="C443" s="1" t="n">
        <v>45880</v>
      </c>
      <c r="D443" t="inlineStr">
        <is>
          <t>UPPSALA LÄN</t>
        </is>
      </c>
      <c r="E443" t="inlineStr">
        <is>
          <t>UPPSALA</t>
        </is>
      </c>
      <c r="F443" t="inlineStr">
        <is>
          <t>BillerudKorsnäs AB</t>
        </is>
      </c>
      <c r="G443" t="n">
        <v>3.6</v>
      </c>
      <c r="H443" t="n">
        <v>0</v>
      </c>
      <c r="I443" t="n">
        <v>0</v>
      </c>
      <c r="J443" t="n">
        <v>0</v>
      </c>
      <c r="K443" t="n">
        <v>0</v>
      </c>
      <c r="L443" t="n">
        <v>0</v>
      </c>
      <c r="M443" t="n">
        <v>0</v>
      </c>
      <c r="N443" t="n">
        <v>0</v>
      </c>
      <c r="O443" t="n">
        <v>0</v>
      </c>
      <c r="P443" t="n">
        <v>0</v>
      </c>
      <c r="Q443" t="n">
        <v>0</v>
      </c>
      <c r="R443" s="2" t="inlineStr"/>
    </row>
    <row r="444" ht="15" customHeight="1">
      <c r="A444" t="inlineStr">
        <is>
          <t>A 21748-2025</t>
        </is>
      </c>
      <c r="B444" s="1" t="n">
        <v>45783.61053240741</v>
      </c>
      <c r="C444" s="1" t="n">
        <v>45880</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7276-2024</t>
        </is>
      </c>
      <c r="B445" s="1" t="n">
        <v>45344</v>
      </c>
      <c r="C445" s="1" t="n">
        <v>45880</v>
      </c>
      <c r="D445" t="inlineStr">
        <is>
          <t>UPPSALA LÄN</t>
        </is>
      </c>
      <c r="E445" t="inlineStr">
        <is>
          <t>UPPSALA</t>
        </is>
      </c>
      <c r="F445" t="inlineStr">
        <is>
          <t>Bergvik skog öst AB</t>
        </is>
      </c>
      <c r="G445" t="n">
        <v>0.2</v>
      </c>
      <c r="H445" t="n">
        <v>0</v>
      </c>
      <c r="I445" t="n">
        <v>0</v>
      </c>
      <c r="J445" t="n">
        <v>0</v>
      </c>
      <c r="K445" t="n">
        <v>0</v>
      </c>
      <c r="L445" t="n">
        <v>0</v>
      </c>
      <c r="M445" t="n">
        <v>0</v>
      </c>
      <c r="N445" t="n">
        <v>0</v>
      </c>
      <c r="O445" t="n">
        <v>0</v>
      </c>
      <c r="P445" t="n">
        <v>0</v>
      </c>
      <c r="Q445" t="n">
        <v>0</v>
      </c>
      <c r="R445" s="2" t="inlineStr"/>
    </row>
    <row r="446" ht="15" customHeight="1">
      <c r="A446" t="inlineStr">
        <is>
          <t>A 3040-2023</t>
        </is>
      </c>
      <c r="B446" s="1" t="n">
        <v>44946</v>
      </c>
      <c r="C446" s="1" t="n">
        <v>45880</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18607-2024</t>
        </is>
      </c>
      <c r="B447" s="1" t="n">
        <v>45425.94947916667</v>
      </c>
      <c r="C447" s="1" t="n">
        <v>45880</v>
      </c>
      <c r="D447" t="inlineStr">
        <is>
          <t>UPPSALA LÄN</t>
        </is>
      </c>
      <c r="E447" t="inlineStr">
        <is>
          <t>UPPSALA</t>
        </is>
      </c>
      <c r="G447" t="n">
        <v>4.3</v>
      </c>
      <c r="H447" t="n">
        <v>0</v>
      </c>
      <c r="I447" t="n">
        <v>0</v>
      </c>
      <c r="J447" t="n">
        <v>0</v>
      </c>
      <c r="K447" t="n">
        <v>0</v>
      </c>
      <c r="L447" t="n">
        <v>0</v>
      </c>
      <c r="M447" t="n">
        <v>0</v>
      </c>
      <c r="N447" t="n">
        <v>0</v>
      </c>
      <c r="O447" t="n">
        <v>0</v>
      </c>
      <c r="P447" t="n">
        <v>0</v>
      </c>
      <c r="Q447" t="n">
        <v>0</v>
      </c>
      <c r="R447" s="2" t="inlineStr"/>
    </row>
    <row r="448" ht="15" customHeight="1">
      <c r="A448" t="inlineStr">
        <is>
          <t>A 668-2025</t>
        </is>
      </c>
      <c r="B448" s="1" t="n">
        <v>45664</v>
      </c>
      <c r="C448" s="1" t="n">
        <v>45880</v>
      </c>
      <c r="D448" t="inlineStr">
        <is>
          <t>UPPSALA LÄN</t>
        </is>
      </c>
      <c r="E448" t="inlineStr">
        <is>
          <t>UPPSALA</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21936-2025</t>
        </is>
      </c>
      <c r="B449" s="1" t="n">
        <v>45784.57266203704</v>
      </c>
      <c r="C449" s="1" t="n">
        <v>45880</v>
      </c>
      <c r="D449" t="inlineStr">
        <is>
          <t>UPPSALA LÄN</t>
        </is>
      </c>
      <c r="E449" t="inlineStr">
        <is>
          <t>UPPSALA</t>
        </is>
      </c>
      <c r="F449" t="inlineStr">
        <is>
          <t>Bergvik skog öst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45592-2023</t>
        </is>
      </c>
      <c r="B450" s="1" t="n">
        <v>45194.63479166666</v>
      </c>
      <c r="C450" s="1" t="n">
        <v>45880</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750-2022</t>
        </is>
      </c>
      <c r="B451" s="1" t="n">
        <v>44569.49344907407</v>
      </c>
      <c r="C451" s="1" t="n">
        <v>45880</v>
      </c>
      <c r="D451" t="inlineStr">
        <is>
          <t>UPPSALA LÄN</t>
        </is>
      </c>
      <c r="E451" t="inlineStr">
        <is>
          <t>UPPSALA</t>
        </is>
      </c>
      <c r="F451" t="inlineStr">
        <is>
          <t>Holmen skog AB</t>
        </is>
      </c>
      <c r="G451" t="n">
        <v>6</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45880</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16324-2024</t>
        </is>
      </c>
      <c r="B453" s="1" t="n">
        <v>45407.49721064815</v>
      </c>
      <c r="C453" s="1" t="n">
        <v>45880</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49821-2020</t>
        </is>
      </c>
      <c r="B454" s="1" t="n">
        <v>44106</v>
      </c>
      <c r="C454" s="1" t="n">
        <v>45880</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row>
    <row r="455" ht="15" customHeight="1">
      <c r="A455" t="inlineStr">
        <is>
          <t>A 7899-2022</t>
        </is>
      </c>
      <c r="B455" s="1" t="n">
        <v>44608</v>
      </c>
      <c r="C455" s="1" t="n">
        <v>45880</v>
      </c>
      <c r="D455" t="inlineStr">
        <is>
          <t>UPPSALA LÄN</t>
        </is>
      </c>
      <c r="E455" t="inlineStr">
        <is>
          <t>UPPSALA</t>
        </is>
      </c>
      <c r="F455" t="inlineStr">
        <is>
          <t>Övriga Aktiebolag</t>
        </is>
      </c>
      <c r="G455" t="n">
        <v>7.1</v>
      </c>
      <c r="H455" t="n">
        <v>0</v>
      </c>
      <c r="I455" t="n">
        <v>0</v>
      </c>
      <c r="J455" t="n">
        <v>0</v>
      </c>
      <c r="K455" t="n">
        <v>0</v>
      </c>
      <c r="L455" t="n">
        <v>0</v>
      </c>
      <c r="M455" t="n">
        <v>0</v>
      </c>
      <c r="N455" t="n">
        <v>0</v>
      </c>
      <c r="O455" t="n">
        <v>0</v>
      </c>
      <c r="P455" t="n">
        <v>0</v>
      </c>
      <c r="Q455" t="n">
        <v>0</v>
      </c>
      <c r="R455" s="2" t="inlineStr"/>
    </row>
    <row r="456" ht="15" customHeight="1">
      <c r="A456" t="inlineStr">
        <is>
          <t>A 53384-2024</t>
        </is>
      </c>
      <c r="B456" s="1" t="n">
        <v>45614</v>
      </c>
      <c r="C456" s="1" t="n">
        <v>45880</v>
      </c>
      <c r="D456" t="inlineStr">
        <is>
          <t>UPPSALA LÄN</t>
        </is>
      </c>
      <c r="E456" t="inlineStr">
        <is>
          <t>UPPSALA</t>
        </is>
      </c>
      <c r="G456" t="n">
        <v>3.7</v>
      </c>
      <c r="H456" t="n">
        <v>0</v>
      </c>
      <c r="I456" t="n">
        <v>0</v>
      </c>
      <c r="J456" t="n">
        <v>0</v>
      </c>
      <c r="K456" t="n">
        <v>0</v>
      </c>
      <c r="L456" t="n">
        <v>0</v>
      </c>
      <c r="M456" t="n">
        <v>0</v>
      </c>
      <c r="N456" t="n">
        <v>0</v>
      </c>
      <c r="O456" t="n">
        <v>0</v>
      </c>
      <c r="P456" t="n">
        <v>0</v>
      </c>
      <c r="Q456" t="n">
        <v>0</v>
      </c>
      <c r="R456" s="2" t="inlineStr"/>
    </row>
    <row r="457" ht="15" customHeight="1">
      <c r="A457" t="inlineStr">
        <is>
          <t>A 22018-2025</t>
        </is>
      </c>
      <c r="B457" s="1" t="n">
        <v>45784.80497685185</v>
      </c>
      <c r="C457" s="1" t="n">
        <v>45880</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6989-2022</t>
        </is>
      </c>
      <c r="B458" s="1" t="n">
        <v>44603</v>
      </c>
      <c r="C458" s="1" t="n">
        <v>45880</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47316-2023</t>
        </is>
      </c>
      <c r="B459" s="1" t="n">
        <v>45202.4997337963</v>
      </c>
      <c r="C459" s="1" t="n">
        <v>45880</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38190-2023</t>
        </is>
      </c>
      <c r="B460" s="1" t="n">
        <v>45161</v>
      </c>
      <c r="C460" s="1" t="n">
        <v>45880</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4980-2024</t>
        </is>
      </c>
      <c r="B461" s="1" t="n">
        <v>45329</v>
      </c>
      <c r="C461" s="1" t="n">
        <v>45880</v>
      </c>
      <c r="D461" t="inlineStr">
        <is>
          <t>UPPSALA LÄN</t>
        </is>
      </c>
      <c r="E461" t="inlineStr">
        <is>
          <t>UPPSALA</t>
        </is>
      </c>
      <c r="G461" t="n">
        <v>10.8</v>
      </c>
      <c r="H461" t="n">
        <v>0</v>
      </c>
      <c r="I461" t="n">
        <v>0</v>
      </c>
      <c r="J461" t="n">
        <v>0</v>
      </c>
      <c r="K461" t="n">
        <v>0</v>
      </c>
      <c r="L461" t="n">
        <v>0</v>
      </c>
      <c r="M461" t="n">
        <v>0</v>
      </c>
      <c r="N461" t="n">
        <v>0</v>
      </c>
      <c r="O461" t="n">
        <v>0</v>
      </c>
      <c r="P461" t="n">
        <v>0</v>
      </c>
      <c r="Q461" t="n">
        <v>0</v>
      </c>
      <c r="R461" s="2" t="inlineStr"/>
    </row>
    <row r="462" ht="15" customHeight="1">
      <c r="A462" t="inlineStr">
        <is>
          <t>A 42131-2023</t>
        </is>
      </c>
      <c r="B462" s="1" t="n">
        <v>45177.79766203704</v>
      </c>
      <c r="C462" s="1" t="n">
        <v>45880</v>
      </c>
      <c r="D462" t="inlineStr">
        <is>
          <t>UPPSALA LÄN</t>
        </is>
      </c>
      <c r="E462" t="inlineStr">
        <is>
          <t>UPPSALA</t>
        </is>
      </c>
      <c r="F462" t="inlineStr">
        <is>
          <t>Allmännings- och besparingsskogar</t>
        </is>
      </c>
      <c r="G462" t="n">
        <v>6.3</v>
      </c>
      <c r="H462" t="n">
        <v>0</v>
      </c>
      <c r="I462" t="n">
        <v>0</v>
      </c>
      <c r="J462" t="n">
        <v>0</v>
      </c>
      <c r="K462" t="n">
        <v>0</v>
      </c>
      <c r="L462" t="n">
        <v>0</v>
      </c>
      <c r="M462" t="n">
        <v>0</v>
      </c>
      <c r="N462" t="n">
        <v>0</v>
      </c>
      <c r="O462" t="n">
        <v>0</v>
      </c>
      <c r="P462" t="n">
        <v>0</v>
      </c>
      <c r="Q462" t="n">
        <v>0</v>
      </c>
      <c r="R462" s="2" t="inlineStr"/>
    </row>
    <row r="463" ht="15" customHeight="1">
      <c r="A463" t="inlineStr">
        <is>
          <t>A 40701-2024</t>
        </is>
      </c>
      <c r="B463" s="1" t="n">
        <v>45558.42498842593</v>
      </c>
      <c r="C463" s="1" t="n">
        <v>45880</v>
      </c>
      <c r="D463" t="inlineStr">
        <is>
          <t>UPPSALA LÄN</t>
        </is>
      </c>
      <c r="E463" t="inlineStr">
        <is>
          <t>UPPSALA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42276-2024</t>
        </is>
      </c>
      <c r="B464" s="1" t="n">
        <v>45562</v>
      </c>
      <c r="C464" s="1" t="n">
        <v>45880</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34147-2024</t>
        </is>
      </c>
      <c r="B465" s="1" t="n">
        <v>45524</v>
      </c>
      <c r="C465" s="1" t="n">
        <v>45880</v>
      </c>
      <c r="D465" t="inlineStr">
        <is>
          <t>UPPSALA LÄN</t>
        </is>
      </c>
      <c r="E465" t="inlineStr">
        <is>
          <t>UPPSALA</t>
        </is>
      </c>
      <c r="F465" t="inlineStr">
        <is>
          <t>Allmännings- och besparingsskogar</t>
        </is>
      </c>
      <c r="G465" t="n">
        <v>0.2</v>
      </c>
      <c r="H465" t="n">
        <v>0</v>
      </c>
      <c r="I465" t="n">
        <v>0</v>
      </c>
      <c r="J465" t="n">
        <v>0</v>
      </c>
      <c r="K465" t="n">
        <v>0</v>
      </c>
      <c r="L465" t="n">
        <v>0</v>
      </c>
      <c r="M465" t="n">
        <v>0</v>
      </c>
      <c r="N465" t="n">
        <v>0</v>
      </c>
      <c r="O465" t="n">
        <v>0</v>
      </c>
      <c r="P465" t="n">
        <v>0</v>
      </c>
      <c r="Q465" t="n">
        <v>0</v>
      </c>
      <c r="R465" s="2" t="inlineStr"/>
    </row>
    <row r="466" ht="15" customHeight="1">
      <c r="A466" t="inlineStr">
        <is>
          <t>A 11224-2022</t>
        </is>
      </c>
      <c r="B466" s="1" t="n">
        <v>44629.57741898148</v>
      </c>
      <c r="C466" s="1" t="n">
        <v>45880</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26099-2024</t>
        </is>
      </c>
      <c r="B467" s="1" t="n">
        <v>45468</v>
      </c>
      <c r="C467" s="1" t="n">
        <v>45880</v>
      </c>
      <c r="D467" t="inlineStr">
        <is>
          <t>UPPSALA LÄN</t>
        </is>
      </c>
      <c r="E467" t="inlineStr">
        <is>
          <t>UPPSALA</t>
        </is>
      </c>
      <c r="G467" t="n">
        <v>0.3</v>
      </c>
      <c r="H467" t="n">
        <v>0</v>
      </c>
      <c r="I467" t="n">
        <v>0</v>
      </c>
      <c r="J467" t="n">
        <v>0</v>
      </c>
      <c r="K467" t="n">
        <v>0</v>
      </c>
      <c r="L467" t="n">
        <v>0</v>
      </c>
      <c r="M467" t="n">
        <v>0</v>
      </c>
      <c r="N467" t="n">
        <v>0</v>
      </c>
      <c r="O467" t="n">
        <v>0</v>
      </c>
      <c r="P467" t="n">
        <v>0</v>
      </c>
      <c r="Q467" t="n">
        <v>0</v>
      </c>
      <c r="R467" s="2" t="inlineStr"/>
    </row>
    <row r="468" ht="15" customHeight="1">
      <c r="A468" t="inlineStr">
        <is>
          <t>A 17788-2023</t>
        </is>
      </c>
      <c r="B468" s="1" t="n">
        <v>45037</v>
      </c>
      <c r="C468" s="1" t="n">
        <v>45880</v>
      </c>
      <c r="D468" t="inlineStr">
        <is>
          <t>UPPSALA LÄN</t>
        </is>
      </c>
      <c r="E468" t="inlineStr">
        <is>
          <t>UPPSALA</t>
        </is>
      </c>
      <c r="F468" t="inlineStr">
        <is>
          <t>Övriga Aktiebolag</t>
        </is>
      </c>
      <c r="G468" t="n">
        <v>3.7</v>
      </c>
      <c r="H468" t="n">
        <v>0</v>
      </c>
      <c r="I468" t="n">
        <v>0</v>
      </c>
      <c r="J468" t="n">
        <v>0</v>
      </c>
      <c r="K468" t="n">
        <v>0</v>
      </c>
      <c r="L468" t="n">
        <v>0</v>
      </c>
      <c r="M468" t="n">
        <v>0</v>
      </c>
      <c r="N468" t="n">
        <v>0</v>
      </c>
      <c r="O468" t="n">
        <v>0</v>
      </c>
      <c r="P468" t="n">
        <v>0</v>
      </c>
      <c r="Q468" t="n">
        <v>0</v>
      </c>
      <c r="R468" s="2" t="inlineStr"/>
    </row>
    <row r="469" ht="15" customHeight="1">
      <c r="A469" t="inlineStr">
        <is>
          <t>A 10650-2024</t>
        </is>
      </c>
      <c r="B469" s="1" t="n">
        <v>45368.64787037037</v>
      </c>
      <c r="C469" s="1" t="n">
        <v>45880</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39818-2024</t>
        </is>
      </c>
      <c r="B470" s="1" t="n">
        <v>45552</v>
      </c>
      <c r="C470" s="1" t="n">
        <v>45880</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33941-2023</t>
        </is>
      </c>
      <c r="B471" s="1" t="n">
        <v>45134.57021990741</v>
      </c>
      <c r="C471" s="1" t="n">
        <v>45880</v>
      </c>
      <c r="D471" t="inlineStr">
        <is>
          <t>UPPSALA LÄN</t>
        </is>
      </c>
      <c r="E471" t="inlineStr">
        <is>
          <t>UPPSALA</t>
        </is>
      </c>
      <c r="F471" t="inlineStr">
        <is>
          <t>Holmen skog AB</t>
        </is>
      </c>
      <c r="G471" t="n">
        <v>0.6</v>
      </c>
      <c r="H471" t="n">
        <v>0</v>
      </c>
      <c r="I471" t="n">
        <v>0</v>
      </c>
      <c r="J471" t="n">
        <v>0</v>
      </c>
      <c r="K471" t="n">
        <v>0</v>
      </c>
      <c r="L471" t="n">
        <v>0</v>
      </c>
      <c r="M471" t="n">
        <v>0</v>
      </c>
      <c r="N471" t="n">
        <v>0</v>
      </c>
      <c r="O471" t="n">
        <v>0</v>
      </c>
      <c r="P471" t="n">
        <v>0</v>
      </c>
      <c r="Q471" t="n">
        <v>0</v>
      </c>
      <c r="R471" s="2" t="inlineStr"/>
    </row>
    <row r="472" ht="15" customHeight="1">
      <c r="A472" t="inlineStr">
        <is>
          <t>A 758-2022</t>
        </is>
      </c>
      <c r="B472" s="1" t="n">
        <v>44569.69358796296</v>
      </c>
      <c r="C472" s="1" t="n">
        <v>45880</v>
      </c>
      <c r="D472" t="inlineStr">
        <is>
          <t>UPPSALA LÄN</t>
        </is>
      </c>
      <c r="E472" t="inlineStr">
        <is>
          <t>UPPSALA</t>
        </is>
      </c>
      <c r="F472" t="inlineStr">
        <is>
          <t>Holmen skog AB</t>
        </is>
      </c>
      <c r="G472" t="n">
        <v>5.2</v>
      </c>
      <c r="H472" t="n">
        <v>0</v>
      </c>
      <c r="I472" t="n">
        <v>0</v>
      </c>
      <c r="J472" t="n">
        <v>0</v>
      </c>
      <c r="K472" t="n">
        <v>0</v>
      </c>
      <c r="L472" t="n">
        <v>0</v>
      </c>
      <c r="M472" t="n">
        <v>0</v>
      </c>
      <c r="N472" t="n">
        <v>0</v>
      </c>
      <c r="O472" t="n">
        <v>0</v>
      </c>
      <c r="P472" t="n">
        <v>0</v>
      </c>
      <c r="Q472" t="n">
        <v>0</v>
      </c>
      <c r="R472" s="2" t="inlineStr"/>
    </row>
    <row r="473" ht="15" customHeight="1">
      <c r="A473" t="inlineStr">
        <is>
          <t>A 5663-2023</t>
        </is>
      </c>
      <c r="B473" s="1" t="n">
        <v>44960</v>
      </c>
      <c r="C473" s="1" t="n">
        <v>45880</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5675-2023</t>
        </is>
      </c>
      <c r="B474" s="1" t="n">
        <v>44960.66233796296</v>
      </c>
      <c r="C474" s="1" t="n">
        <v>45880</v>
      </c>
      <c r="D474" t="inlineStr">
        <is>
          <t>UPPSALA LÄN</t>
        </is>
      </c>
      <c r="E474" t="inlineStr">
        <is>
          <t>UPPSALA</t>
        </is>
      </c>
      <c r="G474" t="n">
        <v>1.1</v>
      </c>
      <c r="H474" t="n">
        <v>0</v>
      </c>
      <c r="I474" t="n">
        <v>0</v>
      </c>
      <c r="J474" t="n">
        <v>0</v>
      </c>
      <c r="K474" t="n">
        <v>0</v>
      </c>
      <c r="L474" t="n">
        <v>0</v>
      </c>
      <c r="M474" t="n">
        <v>0</v>
      </c>
      <c r="N474" t="n">
        <v>0</v>
      </c>
      <c r="O474" t="n">
        <v>0</v>
      </c>
      <c r="P474" t="n">
        <v>0</v>
      </c>
      <c r="Q474" t="n">
        <v>0</v>
      </c>
      <c r="R474" s="2" t="inlineStr"/>
    </row>
    <row r="475" ht="15" customHeight="1">
      <c r="A475" t="inlineStr">
        <is>
          <t>A 70031-2021</t>
        </is>
      </c>
      <c r="B475" s="1" t="n">
        <v>44533.46665509259</v>
      </c>
      <c r="C475" s="1" t="n">
        <v>45880</v>
      </c>
      <c r="D475" t="inlineStr">
        <is>
          <t>UPPSALA LÄN</t>
        </is>
      </c>
      <c r="E475" t="inlineStr">
        <is>
          <t>UPPSALA</t>
        </is>
      </c>
      <c r="G475" t="n">
        <v>1.4</v>
      </c>
      <c r="H475" t="n">
        <v>0</v>
      </c>
      <c r="I475" t="n">
        <v>0</v>
      </c>
      <c r="J475" t="n">
        <v>0</v>
      </c>
      <c r="K475" t="n">
        <v>0</v>
      </c>
      <c r="L475" t="n">
        <v>0</v>
      </c>
      <c r="M475" t="n">
        <v>0</v>
      </c>
      <c r="N475" t="n">
        <v>0</v>
      </c>
      <c r="O475" t="n">
        <v>0</v>
      </c>
      <c r="P475" t="n">
        <v>0</v>
      </c>
      <c r="Q475" t="n">
        <v>0</v>
      </c>
      <c r="R475" s="2" t="inlineStr"/>
    </row>
    <row r="476" ht="15" customHeight="1">
      <c r="A476" t="inlineStr">
        <is>
          <t>A 11409-2025</t>
        </is>
      </c>
      <c r="B476" s="1" t="n">
        <v>45726</v>
      </c>
      <c r="C476" s="1" t="n">
        <v>45880</v>
      </c>
      <c r="D476" t="inlineStr">
        <is>
          <t>UPPSALA LÄN</t>
        </is>
      </c>
      <c r="E476" t="inlineStr">
        <is>
          <t>UPPSALA</t>
        </is>
      </c>
      <c r="G476" t="n">
        <v>0.3</v>
      </c>
      <c r="H476" t="n">
        <v>0</v>
      </c>
      <c r="I476" t="n">
        <v>0</v>
      </c>
      <c r="J476" t="n">
        <v>0</v>
      </c>
      <c r="K476" t="n">
        <v>0</v>
      </c>
      <c r="L476" t="n">
        <v>0</v>
      </c>
      <c r="M476" t="n">
        <v>0</v>
      </c>
      <c r="N476" t="n">
        <v>0</v>
      </c>
      <c r="O476" t="n">
        <v>0</v>
      </c>
      <c r="P476" t="n">
        <v>0</v>
      </c>
      <c r="Q476" t="n">
        <v>0</v>
      </c>
      <c r="R476" s="2" t="inlineStr"/>
    </row>
    <row r="477" ht="15" customHeight="1">
      <c r="A477" t="inlineStr">
        <is>
          <t>A 15629-2023</t>
        </is>
      </c>
      <c r="B477" s="1" t="n">
        <v>45021.29524305555</v>
      </c>
      <c r="C477" s="1" t="n">
        <v>45880</v>
      </c>
      <c r="D477" t="inlineStr">
        <is>
          <t>UPPSALA LÄN</t>
        </is>
      </c>
      <c r="E477" t="inlineStr">
        <is>
          <t>UPPSALA</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3973-2025</t>
        </is>
      </c>
      <c r="B478" s="1" t="n">
        <v>45684</v>
      </c>
      <c r="C478" s="1" t="n">
        <v>45880</v>
      </c>
      <c r="D478" t="inlineStr">
        <is>
          <t>UPPSALA LÄN</t>
        </is>
      </c>
      <c r="E478" t="inlineStr">
        <is>
          <t>UPPSALA</t>
        </is>
      </c>
      <c r="G478" t="n">
        <v>8</v>
      </c>
      <c r="H478" t="n">
        <v>0</v>
      </c>
      <c r="I478" t="n">
        <v>0</v>
      </c>
      <c r="J478" t="n">
        <v>0</v>
      </c>
      <c r="K478" t="n">
        <v>0</v>
      </c>
      <c r="L478" t="n">
        <v>0</v>
      </c>
      <c r="M478" t="n">
        <v>0</v>
      </c>
      <c r="N478" t="n">
        <v>0</v>
      </c>
      <c r="O478" t="n">
        <v>0</v>
      </c>
      <c r="P478" t="n">
        <v>0</v>
      </c>
      <c r="Q478" t="n">
        <v>0</v>
      </c>
      <c r="R478" s="2" t="inlineStr"/>
    </row>
    <row r="479" ht="15" customHeight="1">
      <c r="A479" t="inlineStr">
        <is>
          <t>A 32117-2024</t>
        </is>
      </c>
      <c r="B479" s="1" t="n">
        <v>45511</v>
      </c>
      <c r="C479" s="1" t="n">
        <v>45880</v>
      </c>
      <c r="D479" t="inlineStr">
        <is>
          <t>UPPSALA LÄN</t>
        </is>
      </c>
      <c r="E479" t="inlineStr">
        <is>
          <t>UPPSALA</t>
        </is>
      </c>
      <c r="F479" t="inlineStr">
        <is>
          <t>Allmännings- och besparingsskogar</t>
        </is>
      </c>
      <c r="G479" t="n">
        <v>7.4</v>
      </c>
      <c r="H479" t="n">
        <v>0</v>
      </c>
      <c r="I479" t="n">
        <v>0</v>
      </c>
      <c r="J479" t="n">
        <v>0</v>
      </c>
      <c r="K479" t="n">
        <v>0</v>
      </c>
      <c r="L479" t="n">
        <v>0</v>
      </c>
      <c r="M479" t="n">
        <v>0</v>
      </c>
      <c r="N479" t="n">
        <v>0</v>
      </c>
      <c r="O479" t="n">
        <v>0</v>
      </c>
      <c r="P479" t="n">
        <v>0</v>
      </c>
      <c r="Q479" t="n">
        <v>0</v>
      </c>
      <c r="R479" s="2" t="inlineStr"/>
    </row>
    <row r="480" ht="15" customHeight="1">
      <c r="A480" t="inlineStr">
        <is>
          <t>A 46745-2024</t>
        </is>
      </c>
      <c r="B480" s="1" t="n">
        <v>45583</v>
      </c>
      <c r="C480" s="1" t="n">
        <v>45880</v>
      </c>
      <c r="D480" t="inlineStr">
        <is>
          <t>UPPSALA LÄN</t>
        </is>
      </c>
      <c r="E480" t="inlineStr">
        <is>
          <t>UPPSALA</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46748-2024</t>
        </is>
      </c>
      <c r="B481" s="1" t="n">
        <v>45583</v>
      </c>
      <c r="C481" s="1" t="n">
        <v>45880</v>
      </c>
      <c r="D481" t="inlineStr">
        <is>
          <t>UPPSALA LÄN</t>
        </is>
      </c>
      <c r="E481" t="inlineStr">
        <is>
          <t>UPPSALA</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70228-2021</t>
        </is>
      </c>
      <c r="B482" s="1" t="n">
        <v>44535</v>
      </c>
      <c r="C482" s="1" t="n">
        <v>45880</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18675-2024</t>
        </is>
      </c>
      <c r="B483" s="1" t="n">
        <v>45426</v>
      </c>
      <c r="C483" s="1" t="n">
        <v>45880</v>
      </c>
      <c r="D483" t="inlineStr">
        <is>
          <t>UPPSALA LÄN</t>
        </is>
      </c>
      <c r="E483" t="inlineStr">
        <is>
          <t>UPPSALA</t>
        </is>
      </c>
      <c r="G483" t="n">
        <v>8.1</v>
      </c>
      <c r="H483" t="n">
        <v>0</v>
      </c>
      <c r="I483" t="n">
        <v>0</v>
      </c>
      <c r="J483" t="n">
        <v>0</v>
      </c>
      <c r="K483" t="n">
        <v>0</v>
      </c>
      <c r="L483" t="n">
        <v>0</v>
      </c>
      <c r="M483" t="n">
        <v>0</v>
      </c>
      <c r="N483" t="n">
        <v>0</v>
      </c>
      <c r="O483" t="n">
        <v>0</v>
      </c>
      <c r="P483" t="n">
        <v>0</v>
      </c>
      <c r="Q483" t="n">
        <v>0</v>
      </c>
      <c r="R483" s="2" t="inlineStr"/>
    </row>
    <row r="484" ht="15" customHeight="1">
      <c r="A484" t="inlineStr">
        <is>
          <t>A 12221-2022</t>
        </is>
      </c>
      <c r="B484" s="1" t="n">
        <v>44637.35744212963</v>
      </c>
      <c r="C484" s="1" t="n">
        <v>45880</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59570-2023</t>
        </is>
      </c>
      <c r="B485" s="1" t="n">
        <v>45254</v>
      </c>
      <c r="C485" s="1" t="n">
        <v>45880</v>
      </c>
      <c r="D485" t="inlineStr">
        <is>
          <t>UPPSALA LÄN</t>
        </is>
      </c>
      <c r="E485" t="inlineStr">
        <is>
          <t>UPPSALA</t>
        </is>
      </c>
      <c r="G485" t="n">
        <v>6.7</v>
      </c>
      <c r="H485" t="n">
        <v>0</v>
      </c>
      <c r="I485" t="n">
        <v>0</v>
      </c>
      <c r="J485" t="n">
        <v>0</v>
      </c>
      <c r="K485" t="n">
        <v>0</v>
      </c>
      <c r="L485" t="n">
        <v>0</v>
      </c>
      <c r="M485" t="n">
        <v>0</v>
      </c>
      <c r="N485" t="n">
        <v>0</v>
      </c>
      <c r="O485" t="n">
        <v>0</v>
      </c>
      <c r="P485" t="n">
        <v>0</v>
      </c>
      <c r="Q485" t="n">
        <v>0</v>
      </c>
      <c r="R485" s="2" t="inlineStr"/>
    </row>
    <row r="486" ht="15" customHeight="1">
      <c r="A486" t="inlineStr">
        <is>
          <t>A 17481-2023</t>
        </is>
      </c>
      <c r="B486" s="1" t="n">
        <v>45036</v>
      </c>
      <c r="C486" s="1" t="n">
        <v>45880</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56067-2024</t>
        </is>
      </c>
      <c r="B487" s="1" t="n">
        <v>45624</v>
      </c>
      <c r="C487" s="1" t="n">
        <v>45880</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74019-2021</t>
        </is>
      </c>
      <c r="B488" s="1" t="n">
        <v>44553</v>
      </c>
      <c r="C488" s="1" t="n">
        <v>45880</v>
      </c>
      <c r="D488" t="inlineStr">
        <is>
          <t>UPPSALA LÄN</t>
        </is>
      </c>
      <c r="E488" t="inlineStr">
        <is>
          <t>UPPSALA</t>
        </is>
      </c>
      <c r="G488" t="n">
        <v>3</v>
      </c>
      <c r="H488" t="n">
        <v>0</v>
      </c>
      <c r="I488" t="n">
        <v>0</v>
      </c>
      <c r="J488" t="n">
        <v>0</v>
      </c>
      <c r="K488" t="n">
        <v>0</v>
      </c>
      <c r="L488" t="n">
        <v>0</v>
      </c>
      <c r="M488" t="n">
        <v>0</v>
      </c>
      <c r="N488" t="n">
        <v>0</v>
      </c>
      <c r="O488" t="n">
        <v>0</v>
      </c>
      <c r="P488" t="n">
        <v>0</v>
      </c>
      <c r="Q488" t="n">
        <v>0</v>
      </c>
      <c r="R488" s="2" t="inlineStr"/>
    </row>
    <row r="489" ht="15" customHeight="1">
      <c r="A489" t="inlineStr">
        <is>
          <t>A 54742-2020</t>
        </is>
      </c>
      <c r="B489" s="1" t="n">
        <v>44126</v>
      </c>
      <c r="C489" s="1" t="n">
        <v>45880</v>
      </c>
      <c r="D489" t="inlineStr">
        <is>
          <t>UPPSALA LÄN</t>
        </is>
      </c>
      <c r="E489" t="inlineStr">
        <is>
          <t>UPPSALA</t>
        </is>
      </c>
      <c r="G489" t="n">
        <v>3.6</v>
      </c>
      <c r="H489" t="n">
        <v>0</v>
      </c>
      <c r="I489" t="n">
        <v>0</v>
      </c>
      <c r="J489" t="n">
        <v>0</v>
      </c>
      <c r="K489" t="n">
        <v>0</v>
      </c>
      <c r="L489" t="n">
        <v>0</v>
      </c>
      <c r="M489" t="n">
        <v>0</v>
      </c>
      <c r="N489" t="n">
        <v>0</v>
      </c>
      <c r="O489" t="n">
        <v>0</v>
      </c>
      <c r="P489" t="n">
        <v>0</v>
      </c>
      <c r="Q489" t="n">
        <v>0</v>
      </c>
      <c r="R489" s="2" t="inlineStr"/>
    </row>
    <row r="490" ht="15" customHeight="1">
      <c r="A490" t="inlineStr">
        <is>
          <t>A 38493-2023</t>
        </is>
      </c>
      <c r="B490" s="1" t="n">
        <v>45162</v>
      </c>
      <c r="C490" s="1" t="n">
        <v>45880</v>
      </c>
      <c r="D490" t="inlineStr">
        <is>
          <t>UPPSALA LÄN</t>
        </is>
      </c>
      <c r="E490" t="inlineStr">
        <is>
          <t>UPPSALA</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37618-2023</t>
        </is>
      </c>
      <c r="B491" s="1" t="n">
        <v>45159.44694444445</v>
      </c>
      <c r="C491" s="1" t="n">
        <v>45880</v>
      </c>
      <c r="D491" t="inlineStr">
        <is>
          <t>UPPSALA LÄN</t>
        </is>
      </c>
      <c r="E491" t="inlineStr">
        <is>
          <t>UPPSALA</t>
        </is>
      </c>
      <c r="G491" t="n">
        <v>2.6</v>
      </c>
      <c r="H491" t="n">
        <v>0</v>
      </c>
      <c r="I491" t="n">
        <v>0</v>
      </c>
      <c r="J491" t="n">
        <v>0</v>
      </c>
      <c r="K491" t="n">
        <v>0</v>
      </c>
      <c r="L491" t="n">
        <v>0</v>
      </c>
      <c r="M491" t="n">
        <v>0</v>
      </c>
      <c r="N491" t="n">
        <v>0</v>
      </c>
      <c r="O491" t="n">
        <v>0</v>
      </c>
      <c r="P491" t="n">
        <v>0</v>
      </c>
      <c r="Q491" t="n">
        <v>0</v>
      </c>
      <c r="R491" s="2" t="inlineStr"/>
    </row>
    <row r="492" ht="15" customHeight="1">
      <c r="A492" t="inlineStr">
        <is>
          <t>A 53906-2023</t>
        </is>
      </c>
      <c r="B492" s="1" t="n">
        <v>45231</v>
      </c>
      <c r="C492" s="1" t="n">
        <v>45880</v>
      </c>
      <c r="D492" t="inlineStr">
        <is>
          <t>UPPSALA LÄN</t>
        </is>
      </c>
      <c r="E492" t="inlineStr">
        <is>
          <t>UPPSALA</t>
        </is>
      </c>
      <c r="G492" t="n">
        <v>13.2</v>
      </c>
      <c r="H492" t="n">
        <v>0</v>
      </c>
      <c r="I492" t="n">
        <v>0</v>
      </c>
      <c r="J492" t="n">
        <v>0</v>
      </c>
      <c r="K492" t="n">
        <v>0</v>
      </c>
      <c r="L492" t="n">
        <v>0</v>
      </c>
      <c r="M492" t="n">
        <v>0</v>
      </c>
      <c r="N492" t="n">
        <v>0</v>
      </c>
      <c r="O492" t="n">
        <v>0</v>
      </c>
      <c r="P492" t="n">
        <v>0</v>
      </c>
      <c r="Q492" t="n">
        <v>0</v>
      </c>
      <c r="R492" s="2" t="inlineStr"/>
    </row>
    <row r="493" ht="15" customHeight="1">
      <c r="A493" t="inlineStr">
        <is>
          <t>A 1975-2022</t>
        </is>
      </c>
      <c r="B493" s="1" t="n">
        <v>44575</v>
      </c>
      <c r="C493" s="1" t="n">
        <v>45880</v>
      </c>
      <c r="D493" t="inlineStr">
        <is>
          <t>UPPSALA LÄN</t>
        </is>
      </c>
      <c r="E493" t="inlineStr">
        <is>
          <t>UPPSALA</t>
        </is>
      </c>
      <c r="G493" t="n">
        <v>3.9</v>
      </c>
      <c r="H493" t="n">
        <v>0</v>
      </c>
      <c r="I493" t="n">
        <v>0</v>
      </c>
      <c r="J493" t="n">
        <v>0</v>
      </c>
      <c r="K493" t="n">
        <v>0</v>
      </c>
      <c r="L493" t="n">
        <v>0</v>
      </c>
      <c r="M493" t="n">
        <v>0</v>
      </c>
      <c r="N493" t="n">
        <v>0</v>
      </c>
      <c r="O493" t="n">
        <v>0</v>
      </c>
      <c r="P493" t="n">
        <v>0</v>
      </c>
      <c r="Q493" t="n">
        <v>0</v>
      </c>
      <c r="R493" s="2" t="inlineStr"/>
    </row>
    <row r="494" ht="15" customHeight="1">
      <c r="A494" t="inlineStr">
        <is>
          <t>A 35142-2023</t>
        </is>
      </c>
      <c r="B494" s="1" t="n">
        <v>45145</v>
      </c>
      <c r="C494" s="1" t="n">
        <v>45880</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27622-2023</t>
        </is>
      </c>
      <c r="B495" s="1" t="n">
        <v>45097</v>
      </c>
      <c r="C495" s="1" t="n">
        <v>45880</v>
      </c>
      <c r="D495" t="inlineStr">
        <is>
          <t>UPPSALA LÄN</t>
        </is>
      </c>
      <c r="E495" t="inlineStr">
        <is>
          <t>UPPSALA</t>
        </is>
      </c>
      <c r="G495" t="n">
        <v>3.2</v>
      </c>
      <c r="H495" t="n">
        <v>0</v>
      </c>
      <c r="I495" t="n">
        <v>0</v>
      </c>
      <c r="J495" t="n">
        <v>0</v>
      </c>
      <c r="K495" t="n">
        <v>0</v>
      </c>
      <c r="L495" t="n">
        <v>0</v>
      </c>
      <c r="M495" t="n">
        <v>0</v>
      </c>
      <c r="N495" t="n">
        <v>0</v>
      </c>
      <c r="O495" t="n">
        <v>0</v>
      </c>
      <c r="P495" t="n">
        <v>0</v>
      </c>
      <c r="Q495" t="n">
        <v>0</v>
      </c>
      <c r="R495" s="2" t="inlineStr"/>
    </row>
    <row r="496" ht="15" customHeight="1">
      <c r="A496" t="inlineStr">
        <is>
          <t>A 47083-2023</t>
        </is>
      </c>
      <c r="B496" s="1" t="n">
        <v>45201.62318287037</v>
      </c>
      <c r="C496" s="1" t="n">
        <v>45880</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9255-2024</t>
        </is>
      </c>
      <c r="B497" s="1" t="n">
        <v>45358</v>
      </c>
      <c r="C497" s="1" t="n">
        <v>45880</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11339-2025</t>
        </is>
      </c>
      <c r="B498" s="1" t="n">
        <v>45726</v>
      </c>
      <c r="C498" s="1" t="n">
        <v>45880</v>
      </c>
      <c r="D498" t="inlineStr">
        <is>
          <t>UPPSALA LÄN</t>
        </is>
      </c>
      <c r="E498" t="inlineStr">
        <is>
          <t>UPPSALA</t>
        </is>
      </c>
      <c r="G498" t="n">
        <v>13.4</v>
      </c>
      <c r="H498" t="n">
        <v>0</v>
      </c>
      <c r="I498" t="n">
        <v>0</v>
      </c>
      <c r="J498" t="n">
        <v>0</v>
      </c>
      <c r="K498" t="n">
        <v>0</v>
      </c>
      <c r="L498" t="n">
        <v>0</v>
      </c>
      <c r="M498" t="n">
        <v>0</v>
      </c>
      <c r="N498" t="n">
        <v>0</v>
      </c>
      <c r="O498" t="n">
        <v>0</v>
      </c>
      <c r="P498" t="n">
        <v>0</v>
      </c>
      <c r="Q498" t="n">
        <v>0</v>
      </c>
      <c r="R498" s="2" t="inlineStr"/>
    </row>
    <row r="499" ht="15" customHeight="1">
      <c r="A499" t="inlineStr">
        <is>
          <t>A 66983-2021</t>
        </is>
      </c>
      <c r="B499" s="1" t="n">
        <v>44522</v>
      </c>
      <c r="C499" s="1" t="n">
        <v>45880</v>
      </c>
      <c r="D499" t="inlineStr">
        <is>
          <t>UPPSALA LÄN</t>
        </is>
      </c>
      <c r="E499" t="inlineStr">
        <is>
          <t>UPPSALA</t>
        </is>
      </c>
      <c r="G499" t="n">
        <v>2.5</v>
      </c>
      <c r="H499" t="n">
        <v>0</v>
      </c>
      <c r="I499" t="n">
        <v>0</v>
      </c>
      <c r="J499" t="n">
        <v>0</v>
      </c>
      <c r="K499" t="n">
        <v>0</v>
      </c>
      <c r="L499" t="n">
        <v>0</v>
      </c>
      <c r="M499" t="n">
        <v>0</v>
      </c>
      <c r="N499" t="n">
        <v>0</v>
      </c>
      <c r="O499" t="n">
        <v>0</v>
      </c>
      <c r="P499" t="n">
        <v>0</v>
      </c>
      <c r="Q499" t="n">
        <v>0</v>
      </c>
      <c r="R499" s="2" t="inlineStr"/>
    </row>
    <row r="500" ht="15" customHeight="1">
      <c r="A500" t="inlineStr">
        <is>
          <t>A 265-2021</t>
        </is>
      </c>
      <c r="B500" s="1" t="n">
        <v>44200</v>
      </c>
      <c r="C500" s="1" t="n">
        <v>45880</v>
      </c>
      <c r="D500" t="inlineStr">
        <is>
          <t>UPPSALA LÄN</t>
        </is>
      </c>
      <c r="E500" t="inlineStr">
        <is>
          <t>UPPSALA</t>
        </is>
      </c>
      <c r="G500" t="n">
        <v>3.1</v>
      </c>
      <c r="H500" t="n">
        <v>0</v>
      </c>
      <c r="I500" t="n">
        <v>0</v>
      </c>
      <c r="J500" t="n">
        <v>0</v>
      </c>
      <c r="K500" t="n">
        <v>0</v>
      </c>
      <c r="L500" t="n">
        <v>0</v>
      </c>
      <c r="M500" t="n">
        <v>0</v>
      </c>
      <c r="N500" t="n">
        <v>0</v>
      </c>
      <c r="O500" t="n">
        <v>0</v>
      </c>
      <c r="P500" t="n">
        <v>0</v>
      </c>
      <c r="Q500" t="n">
        <v>0</v>
      </c>
      <c r="R500" s="2" t="inlineStr"/>
    </row>
    <row r="501" ht="15" customHeight="1">
      <c r="A501" t="inlineStr">
        <is>
          <t>A 11260-2024</t>
        </is>
      </c>
      <c r="B501" s="1" t="n">
        <v>45371.67368055556</v>
      </c>
      <c r="C501" s="1" t="n">
        <v>45880</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9242-2022</t>
        </is>
      </c>
      <c r="B502" s="1" t="n">
        <v>44616</v>
      </c>
      <c r="C502" s="1" t="n">
        <v>45880</v>
      </c>
      <c r="D502" t="inlineStr">
        <is>
          <t>UPPSALA LÄN</t>
        </is>
      </c>
      <c r="E502" t="inlineStr">
        <is>
          <t>UPPSALA</t>
        </is>
      </c>
      <c r="F502" t="inlineStr">
        <is>
          <t>Övriga Aktiebolag</t>
        </is>
      </c>
      <c r="G502" t="n">
        <v>5.9</v>
      </c>
      <c r="H502" t="n">
        <v>0</v>
      </c>
      <c r="I502" t="n">
        <v>0</v>
      </c>
      <c r="J502" t="n">
        <v>0</v>
      </c>
      <c r="K502" t="n">
        <v>0</v>
      </c>
      <c r="L502" t="n">
        <v>0</v>
      </c>
      <c r="M502" t="n">
        <v>0</v>
      </c>
      <c r="N502" t="n">
        <v>0</v>
      </c>
      <c r="O502" t="n">
        <v>0</v>
      </c>
      <c r="P502" t="n">
        <v>0</v>
      </c>
      <c r="Q502" t="n">
        <v>0</v>
      </c>
      <c r="R502" s="2" t="inlineStr"/>
    </row>
    <row r="503" ht="15" customHeight="1">
      <c r="A503" t="inlineStr">
        <is>
          <t>A 22951-2025</t>
        </is>
      </c>
      <c r="B503" s="1" t="n">
        <v>45790.51040509259</v>
      </c>
      <c r="C503" s="1" t="n">
        <v>45880</v>
      </c>
      <c r="D503" t="inlineStr">
        <is>
          <t>UPPSALA LÄN</t>
        </is>
      </c>
      <c r="E503" t="inlineStr">
        <is>
          <t>UPPSALA</t>
        </is>
      </c>
      <c r="G503" t="n">
        <v>0.9</v>
      </c>
      <c r="H503" t="n">
        <v>0</v>
      </c>
      <c r="I503" t="n">
        <v>0</v>
      </c>
      <c r="J503" t="n">
        <v>0</v>
      </c>
      <c r="K503" t="n">
        <v>0</v>
      </c>
      <c r="L503" t="n">
        <v>0</v>
      </c>
      <c r="M503" t="n">
        <v>0</v>
      </c>
      <c r="N503" t="n">
        <v>0</v>
      </c>
      <c r="O503" t="n">
        <v>0</v>
      </c>
      <c r="P503" t="n">
        <v>0</v>
      </c>
      <c r="Q503" t="n">
        <v>0</v>
      </c>
      <c r="R503" s="2" t="inlineStr"/>
    </row>
    <row r="504" ht="15" customHeight="1">
      <c r="A504" t="inlineStr">
        <is>
          <t>A 42528-2023</t>
        </is>
      </c>
      <c r="B504" s="1" t="n">
        <v>45181.33571759259</v>
      </c>
      <c r="C504" s="1" t="n">
        <v>45880</v>
      </c>
      <c r="D504" t="inlineStr">
        <is>
          <t>UPPSALA LÄN</t>
        </is>
      </c>
      <c r="E504" t="inlineStr">
        <is>
          <t>UPPSALA</t>
        </is>
      </c>
      <c r="G504" t="n">
        <v>1.2</v>
      </c>
      <c r="H504" t="n">
        <v>0</v>
      </c>
      <c r="I504" t="n">
        <v>0</v>
      </c>
      <c r="J504" t="n">
        <v>0</v>
      </c>
      <c r="K504" t="n">
        <v>0</v>
      </c>
      <c r="L504" t="n">
        <v>0</v>
      </c>
      <c r="M504" t="n">
        <v>0</v>
      </c>
      <c r="N504" t="n">
        <v>0</v>
      </c>
      <c r="O504" t="n">
        <v>0</v>
      </c>
      <c r="P504" t="n">
        <v>0</v>
      </c>
      <c r="Q504" t="n">
        <v>0</v>
      </c>
      <c r="R504" s="2" t="inlineStr"/>
    </row>
    <row r="505" ht="15" customHeight="1">
      <c r="A505" t="inlineStr">
        <is>
          <t>A 56679-2022</t>
        </is>
      </c>
      <c r="B505" s="1" t="n">
        <v>44893</v>
      </c>
      <c r="C505" s="1" t="n">
        <v>45880</v>
      </c>
      <c r="D505" t="inlineStr">
        <is>
          <t>UPPSALA LÄN</t>
        </is>
      </c>
      <c r="E505" t="inlineStr">
        <is>
          <t>UPPSALA</t>
        </is>
      </c>
      <c r="G505" t="n">
        <v>1.4</v>
      </c>
      <c r="H505" t="n">
        <v>0</v>
      </c>
      <c r="I505" t="n">
        <v>0</v>
      </c>
      <c r="J505" t="n">
        <v>0</v>
      </c>
      <c r="K505" t="n">
        <v>0</v>
      </c>
      <c r="L505" t="n">
        <v>0</v>
      </c>
      <c r="M505" t="n">
        <v>0</v>
      </c>
      <c r="N505" t="n">
        <v>0</v>
      </c>
      <c r="O505" t="n">
        <v>0</v>
      </c>
      <c r="P505" t="n">
        <v>0</v>
      </c>
      <c r="Q505" t="n">
        <v>0</v>
      </c>
      <c r="R505" s="2" t="inlineStr"/>
    </row>
    <row r="506" ht="15" customHeight="1">
      <c r="A506" t="inlineStr">
        <is>
          <t>A 65659-2021</t>
        </is>
      </c>
      <c r="B506" s="1" t="n">
        <v>44516</v>
      </c>
      <c r="C506" s="1" t="n">
        <v>45880</v>
      </c>
      <c r="D506" t="inlineStr">
        <is>
          <t>UPPSALA LÄN</t>
        </is>
      </c>
      <c r="E506" t="inlineStr">
        <is>
          <t>UPPSALA</t>
        </is>
      </c>
      <c r="G506" t="n">
        <v>2.2</v>
      </c>
      <c r="H506" t="n">
        <v>0</v>
      </c>
      <c r="I506" t="n">
        <v>0</v>
      </c>
      <c r="J506" t="n">
        <v>0</v>
      </c>
      <c r="K506" t="n">
        <v>0</v>
      </c>
      <c r="L506" t="n">
        <v>0</v>
      </c>
      <c r="M506" t="n">
        <v>0</v>
      </c>
      <c r="N506" t="n">
        <v>0</v>
      </c>
      <c r="O506" t="n">
        <v>0</v>
      </c>
      <c r="P506" t="n">
        <v>0</v>
      </c>
      <c r="Q506" t="n">
        <v>0</v>
      </c>
      <c r="R506" s="2" t="inlineStr"/>
    </row>
    <row r="507" ht="15" customHeight="1">
      <c r="A507" t="inlineStr">
        <is>
          <t>A 10827-2024</t>
        </is>
      </c>
      <c r="B507" s="1" t="n">
        <v>45369</v>
      </c>
      <c r="C507" s="1" t="n">
        <v>45880</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row>
    <row r="508" ht="15" customHeight="1">
      <c r="A508" t="inlineStr">
        <is>
          <t>A 61271-2020</t>
        </is>
      </c>
      <c r="B508" s="1" t="n">
        <v>44155</v>
      </c>
      <c r="C508" s="1" t="n">
        <v>45880</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59133-2022</t>
        </is>
      </c>
      <c r="B509" s="1" t="n">
        <v>44904</v>
      </c>
      <c r="C509" s="1" t="n">
        <v>45880</v>
      </c>
      <c r="D509" t="inlineStr">
        <is>
          <t>UPPSALA LÄN</t>
        </is>
      </c>
      <c r="E509" t="inlineStr">
        <is>
          <t>UPPSALA</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26208-2023</t>
        </is>
      </c>
      <c r="B510" s="1" t="n">
        <v>45091</v>
      </c>
      <c r="C510" s="1" t="n">
        <v>45880</v>
      </c>
      <c r="D510" t="inlineStr">
        <is>
          <t>UPPSALA LÄN</t>
        </is>
      </c>
      <c r="E510" t="inlineStr">
        <is>
          <t>UPPSALA</t>
        </is>
      </c>
      <c r="F510" t="inlineStr">
        <is>
          <t>Holmen skog AB</t>
        </is>
      </c>
      <c r="G510" t="n">
        <v>1.9</v>
      </c>
      <c r="H510" t="n">
        <v>0</v>
      </c>
      <c r="I510" t="n">
        <v>0</v>
      </c>
      <c r="J510" t="n">
        <v>0</v>
      </c>
      <c r="K510" t="n">
        <v>0</v>
      </c>
      <c r="L510" t="n">
        <v>0</v>
      </c>
      <c r="M510" t="n">
        <v>0</v>
      </c>
      <c r="N510" t="n">
        <v>0</v>
      </c>
      <c r="O510" t="n">
        <v>0</v>
      </c>
      <c r="P510" t="n">
        <v>0</v>
      </c>
      <c r="Q510" t="n">
        <v>0</v>
      </c>
      <c r="R510" s="2" t="inlineStr"/>
    </row>
    <row r="511" ht="15" customHeight="1">
      <c r="A511" t="inlineStr">
        <is>
          <t>A 22930-2025</t>
        </is>
      </c>
      <c r="B511" s="1" t="n">
        <v>45790.44972222222</v>
      </c>
      <c r="C511" s="1" t="n">
        <v>45880</v>
      </c>
      <c r="D511" t="inlineStr">
        <is>
          <t>UPPSALA LÄN</t>
        </is>
      </c>
      <c r="E511" t="inlineStr">
        <is>
          <t>UPPSALA</t>
        </is>
      </c>
      <c r="G511" t="n">
        <v>7.7</v>
      </c>
      <c r="H511" t="n">
        <v>0</v>
      </c>
      <c r="I511" t="n">
        <v>0</v>
      </c>
      <c r="J511" t="n">
        <v>0</v>
      </c>
      <c r="K511" t="n">
        <v>0</v>
      </c>
      <c r="L511" t="n">
        <v>0</v>
      </c>
      <c r="M511" t="n">
        <v>0</v>
      </c>
      <c r="N511" t="n">
        <v>0</v>
      </c>
      <c r="O511" t="n">
        <v>0</v>
      </c>
      <c r="P511" t="n">
        <v>0</v>
      </c>
      <c r="Q511" t="n">
        <v>0</v>
      </c>
      <c r="R511" s="2" t="inlineStr"/>
    </row>
    <row r="512" ht="15" customHeight="1">
      <c r="A512" t="inlineStr">
        <is>
          <t>A 46751-2024</t>
        </is>
      </c>
      <c r="B512" s="1" t="n">
        <v>45583.48449074074</v>
      </c>
      <c r="C512" s="1" t="n">
        <v>45880</v>
      </c>
      <c r="D512" t="inlineStr">
        <is>
          <t>UPPSALA LÄN</t>
        </is>
      </c>
      <c r="E512" t="inlineStr">
        <is>
          <t>UPPSALA</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15310-2022</t>
        </is>
      </c>
      <c r="B513" s="1" t="n">
        <v>44659</v>
      </c>
      <c r="C513" s="1" t="n">
        <v>45880</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8162-2025</t>
        </is>
      </c>
      <c r="B514" s="1" t="n">
        <v>45707</v>
      </c>
      <c r="C514" s="1" t="n">
        <v>45880</v>
      </c>
      <c r="D514" t="inlineStr">
        <is>
          <t>UPPSALA LÄN</t>
        </is>
      </c>
      <c r="E514" t="inlineStr">
        <is>
          <t>UPPSALA</t>
        </is>
      </c>
      <c r="F514" t="inlineStr">
        <is>
          <t>Övriga Aktiebolag</t>
        </is>
      </c>
      <c r="G514" t="n">
        <v>2.3</v>
      </c>
      <c r="H514" t="n">
        <v>0</v>
      </c>
      <c r="I514" t="n">
        <v>0</v>
      </c>
      <c r="J514" t="n">
        <v>0</v>
      </c>
      <c r="K514" t="n">
        <v>0</v>
      </c>
      <c r="L514" t="n">
        <v>0</v>
      </c>
      <c r="M514" t="n">
        <v>0</v>
      </c>
      <c r="N514" t="n">
        <v>0</v>
      </c>
      <c r="O514" t="n">
        <v>0</v>
      </c>
      <c r="P514" t="n">
        <v>0</v>
      </c>
      <c r="Q514" t="n">
        <v>0</v>
      </c>
      <c r="R514" s="2" t="inlineStr"/>
    </row>
    <row r="515" ht="15" customHeight="1">
      <c r="A515" t="inlineStr">
        <is>
          <t>A 46925-2024</t>
        </is>
      </c>
      <c r="B515" s="1" t="n">
        <v>45584.60038194444</v>
      </c>
      <c r="C515" s="1" t="n">
        <v>45880</v>
      </c>
      <c r="D515" t="inlineStr">
        <is>
          <t>UPPSALA LÄN</t>
        </is>
      </c>
      <c r="E515" t="inlineStr">
        <is>
          <t>UPPSALA</t>
        </is>
      </c>
      <c r="G515" t="n">
        <v>0.7</v>
      </c>
      <c r="H515" t="n">
        <v>0</v>
      </c>
      <c r="I515" t="n">
        <v>0</v>
      </c>
      <c r="J515" t="n">
        <v>0</v>
      </c>
      <c r="K515" t="n">
        <v>0</v>
      </c>
      <c r="L515" t="n">
        <v>0</v>
      </c>
      <c r="M515" t="n">
        <v>0</v>
      </c>
      <c r="N515" t="n">
        <v>0</v>
      </c>
      <c r="O515" t="n">
        <v>0</v>
      </c>
      <c r="P515" t="n">
        <v>0</v>
      </c>
      <c r="Q515" t="n">
        <v>0</v>
      </c>
      <c r="R515" s="2" t="inlineStr"/>
    </row>
    <row r="516" ht="15" customHeight="1">
      <c r="A516" t="inlineStr">
        <is>
          <t>A 42063-2023</t>
        </is>
      </c>
      <c r="B516" s="1" t="n">
        <v>45177.56940972222</v>
      </c>
      <c r="C516" s="1" t="n">
        <v>45880</v>
      </c>
      <c r="D516" t="inlineStr">
        <is>
          <t>UPPSALA LÄN</t>
        </is>
      </c>
      <c r="E516" t="inlineStr">
        <is>
          <t>UPPSALA</t>
        </is>
      </c>
      <c r="G516" t="n">
        <v>5.6</v>
      </c>
      <c r="H516" t="n">
        <v>0</v>
      </c>
      <c r="I516" t="n">
        <v>0</v>
      </c>
      <c r="J516" t="n">
        <v>0</v>
      </c>
      <c r="K516" t="n">
        <v>0</v>
      </c>
      <c r="L516" t="n">
        <v>0</v>
      </c>
      <c r="M516" t="n">
        <v>0</v>
      </c>
      <c r="N516" t="n">
        <v>0</v>
      </c>
      <c r="O516" t="n">
        <v>0</v>
      </c>
      <c r="P516" t="n">
        <v>0</v>
      </c>
      <c r="Q516" t="n">
        <v>0</v>
      </c>
      <c r="R516" s="2" t="inlineStr"/>
    </row>
    <row r="517" ht="15" customHeight="1">
      <c r="A517" t="inlineStr">
        <is>
          <t>A 56564-2024</t>
        </is>
      </c>
      <c r="B517" s="1" t="n">
        <v>45625.58501157408</v>
      </c>
      <c r="C517" s="1" t="n">
        <v>45880</v>
      </c>
      <c r="D517" t="inlineStr">
        <is>
          <t>UPPSALA LÄN</t>
        </is>
      </c>
      <c r="E517" t="inlineStr">
        <is>
          <t>UPPSALA</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22953-2025</t>
        </is>
      </c>
      <c r="B518" s="1" t="n">
        <v>45790.51186342593</v>
      </c>
      <c r="C518" s="1" t="n">
        <v>45880</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13602-2025</t>
        </is>
      </c>
      <c r="B519" s="1" t="n">
        <v>45736.60863425926</v>
      </c>
      <c r="C519" s="1" t="n">
        <v>45880</v>
      </c>
      <c r="D519" t="inlineStr">
        <is>
          <t>UPPSALA LÄN</t>
        </is>
      </c>
      <c r="E519" t="inlineStr">
        <is>
          <t>UPPSALA</t>
        </is>
      </c>
      <c r="F519" t="inlineStr">
        <is>
          <t>Allmännings- och besparingsskogar</t>
        </is>
      </c>
      <c r="G519" t="n">
        <v>9.5</v>
      </c>
      <c r="H519" t="n">
        <v>0</v>
      </c>
      <c r="I519" t="n">
        <v>0</v>
      </c>
      <c r="J519" t="n">
        <v>0</v>
      </c>
      <c r="K519" t="n">
        <v>0</v>
      </c>
      <c r="L519" t="n">
        <v>0</v>
      </c>
      <c r="M519" t="n">
        <v>0</v>
      </c>
      <c r="N519" t="n">
        <v>0</v>
      </c>
      <c r="O519" t="n">
        <v>0</v>
      </c>
      <c r="P519" t="n">
        <v>0</v>
      </c>
      <c r="Q519" t="n">
        <v>0</v>
      </c>
      <c r="R519" s="2" t="inlineStr"/>
    </row>
    <row r="520" ht="15" customHeight="1">
      <c r="A520" t="inlineStr">
        <is>
          <t>A 9201-2024</t>
        </is>
      </c>
      <c r="B520" s="1" t="n">
        <v>45358</v>
      </c>
      <c r="C520" s="1" t="n">
        <v>45880</v>
      </c>
      <c r="D520" t="inlineStr">
        <is>
          <t>UPPSALA LÄN</t>
        </is>
      </c>
      <c r="E520" t="inlineStr">
        <is>
          <t>UPPSALA</t>
        </is>
      </c>
      <c r="F520" t="inlineStr">
        <is>
          <t>Allmännings- och besparingsskogar</t>
        </is>
      </c>
      <c r="G520" t="n">
        <v>6.5</v>
      </c>
      <c r="H520" t="n">
        <v>0</v>
      </c>
      <c r="I520" t="n">
        <v>0</v>
      </c>
      <c r="J520" t="n">
        <v>0</v>
      </c>
      <c r="K520" t="n">
        <v>0</v>
      </c>
      <c r="L520" t="n">
        <v>0</v>
      </c>
      <c r="M520" t="n">
        <v>0</v>
      </c>
      <c r="N520" t="n">
        <v>0</v>
      </c>
      <c r="O520" t="n">
        <v>0</v>
      </c>
      <c r="P520" t="n">
        <v>0</v>
      </c>
      <c r="Q520" t="n">
        <v>0</v>
      </c>
      <c r="R520" s="2" t="inlineStr"/>
    </row>
    <row r="521" ht="15" customHeight="1">
      <c r="A521" t="inlineStr">
        <is>
          <t>A 12507-2024</t>
        </is>
      </c>
      <c r="B521" s="1" t="n">
        <v>45379</v>
      </c>
      <c r="C521" s="1" t="n">
        <v>45880</v>
      </c>
      <c r="D521" t="inlineStr">
        <is>
          <t>UPPSALA LÄN</t>
        </is>
      </c>
      <c r="E521" t="inlineStr">
        <is>
          <t>UPPSALA</t>
        </is>
      </c>
      <c r="G521" t="n">
        <v>4.6</v>
      </c>
      <c r="H521" t="n">
        <v>0</v>
      </c>
      <c r="I521" t="n">
        <v>0</v>
      </c>
      <c r="J521" t="n">
        <v>0</v>
      </c>
      <c r="K521" t="n">
        <v>0</v>
      </c>
      <c r="L521" t="n">
        <v>0</v>
      </c>
      <c r="M521" t="n">
        <v>0</v>
      </c>
      <c r="N521" t="n">
        <v>0</v>
      </c>
      <c r="O521" t="n">
        <v>0</v>
      </c>
      <c r="P521" t="n">
        <v>0</v>
      </c>
      <c r="Q521" t="n">
        <v>0</v>
      </c>
      <c r="R521" s="2" t="inlineStr"/>
    </row>
    <row r="522" ht="15" customHeight="1">
      <c r="A522" t="inlineStr">
        <is>
          <t>A 60702-2022</t>
        </is>
      </c>
      <c r="B522" s="1" t="n">
        <v>44912.29869212963</v>
      </c>
      <c r="C522" s="1" t="n">
        <v>45880</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8933-2022</t>
        </is>
      </c>
      <c r="B523" s="1" t="n">
        <v>44614.69730324074</v>
      </c>
      <c r="C523" s="1" t="n">
        <v>45880</v>
      </c>
      <c r="D523" t="inlineStr">
        <is>
          <t>UPPSALA LÄN</t>
        </is>
      </c>
      <c r="E523" t="inlineStr">
        <is>
          <t>UPPSALA</t>
        </is>
      </c>
      <c r="F523" t="inlineStr">
        <is>
          <t>Holmen skog AB</t>
        </is>
      </c>
      <c r="G523" t="n">
        <v>3.6</v>
      </c>
      <c r="H523" t="n">
        <v>0</v>
      </c>
      <c r="I523" t="n">
        <v>0</v>
      </c>
      <c r="J523" t="n">
        <v>0</v>
      </c>
      <c r="K523" t="n">
        <v>0</v>
      </c>
      <c r="L523" t="n">
        <v>0</v>
      </c>
      <c r="M523" t="n">
        <v>0</v>
      </c>
      <c r="N523" t="n">
        <v>0</v>
      </c>
      <c r="O523" t="n">
        <v>0</v>
      </c>
      <c r="P523" t="n">
        <v>0</v>
      </c>
      <c r="Q523" t="n">
        <v>0</v>
      </c>
      <c r="R523" s="2" t="inlineStr"/>
    </row>
    <row r="524" ht="15" customHeight="1">
      <c r="A524" t="inlineStr">
        <is>
          <t>A 4993-2025</t>
        </is>
      </c>
      <c r="B524" s="1" t="n">
        <v>45691</v>
      </c>
      <c r="C524" s="1" t="n">
        <v>45880</v>
      </c>
      <c r="D524" t="inlineStr">
        <is>
          <t>UPPSALA LÄN</t>
        </is>
      </c>
      <c r="E524" t="inlineStr">
        <is>
          <t>UPPSALA</t>
        </is>
      </c>
      <c r="F524" t="inlineStr">
        <is>
          <t>Kyrkan</t>
        </is>
      </c>
      <c r="G524" t="n">
        <v>6.7</v>
      </c>
      <c r="H524" t="n">
        <v>0</v>
      </c>
      <c r="I524" t="n">
        <v>0</v>
      </c>
      <c r="J524" t="n">
        <v>0</v>
      </c>
      <c r="K524" t="n">
        <v>0</v>
      </c>
      <c r="L524" t="n">
        <v>0</v>
      </c>
      <c r="M524" t="n">
        <v>0</v>
      </c>
      <c r="N524" t="n">
        <v>0</v>
      </c>
      <c r="O524" t="n">
        <v>0</v>
      </c>
      <c r="P524" t="n">
        <v>0</v>
      </c>
      <c r="Q524" t="n">
        <v>0</v>
      </c>
      <c r="R524" s="2" t="inlineStr"/>
    </row>
    <row r="525" ht="15" customHeight="1">
      <c r="A525" t="inlineStr">
        <is>
          <t>A 21859-2024</t>
        </is>
      </c>
      <c r="B525" s="1" t="n">
        <v>45443</v>
      </c>
      <c r="C525" s="1" t="n">
        <v>45880</v>
      </c>
      <c r="D525" t="inlineStr">
        <is>
          <t>UPPSALA LÄN</t>
        </is>
      </c>
      <c r="E525" t="inlineStr">
        <is>
          <t>UPPSALA</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6930-2023</t>
        </is>
      </c>
      <c r="B526" s="1" t="n">
        <v>44967.55960648148</v>
      </c>
      <c r="C526" s="1" t="n">
        <v>45880</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33939-2024</t>
        </is>
      </c>
      <c r="B527" s="1" t="n">
        <v>45523</v>
      </c>
      <c r="C527" s="1" t="n">
        <v>45880</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18781-2025</t>
        </is>
      </c>
      <c r="B528" s="1" t="n">
        <v>45763</v>
      </c>
      <c r="C528" s="1" t="n">
        <v>45880</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10612-2025</t>
        </is>
      </c>
      <c r="B529" s="1" t="n">
        <v>45721.60894675926</v>
      </c>
      <c r="C529" s="1" t="n">
        <v>45880</v>
      </c>
      <c r="D529" t="inlineStr">
        <is>
          <t>UPPSALA LÄN</t>
        </is>
      </c>
      <c r="E529" t="inlineStr">
        <is>
          <t>UPPSALA</t>
        </is>
      </c>
      <c r="G529" t="n">
        <v>3.5</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45880</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60735-2024</t>
        </is>
      </c>
      <c r="B531" s="1" t="n">
        <v>45644</v>
      </c>
      <c r="C531" s="1" t="n">
        <v>45880</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37626-2023</t>
        </is>
      </c>
      <c r="B532" s="1" t="n">
        <v>45159.45748842593</v>
      </c>
      <c r="C532" s="1" t="n">
        <v>45880</v>
      </c>
      <c r="D532" t="inlineStr">
        <is>
          <t>UPPSALA LÄN</t>
        </is>
      </c>
      <c r="E532" t="inlineStr">
        <is>
          <t>UPPSALA</t>
        </is>
      </c>
      <c r="G532" t="n">
        <v>0.6</v>
      </c>
      <c r="H532" t="n">
        <v>0</v>
      </c>
      <c r="I532" t="n">
        <v>0</v>
      </c>
      <c r="J532" t="n">
        <v>0</v>
      </c>
      <c r="K532" t="n">
        <v>0</v>
      </c>
      <c r="L532" t="n">
        <v>0</v>
      </c>
      <c r="M532" t="n">
        <v>0</v>
      </c>
      <c r="N532" t="n">
        <v>0</v>
      </c>
      <c r="O532" t="n">
        <v>0</v>
      </c>
      <c r="P532" t="n">
        <v>0</v>
      </c>
      <c r="Q532" t="n">
        <v>0</v>
      </c>
      <c r="R532" s="2" t="inlineStr"/>
    </row>
    <row r="533" ht="15" customHeight="1">
      <c r="A533" t="inlineStr">
        <is>
          <t>A 60445-2024</t>
        </is>
      </c>
      <c r="B533" s="1" t="n">
        <v>45643</v>
      </c>
      <c r="C533" s="1" t="n">
        <v>45880</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17232-2022</t>
        </is>
      </c>
      <c r="B534" s="1" t="n">
        <v>44678.3315625</v>
      </c>
      <c r="C534" s="1" t="n">
        <v>45880</v>
      </c>
      <c r="D534" t="inlineStr">
        <is>
          <t>UPPSALA LÄN</t>
        </is>
      </c>
      <c r="E534" t="inlineStr">
        <is>
          <t>UPPSALA</t>
        </is>
      </c>
      <c r="F534" t="inlineStr">
        <is>
          <t>Övriga Aktiebolag</t>
        </is>
      </c>
      <c r="G534" t="n">
        <v>7.4</v>
      </c>
      <c r="H534" t="n">
        <v>0</v>
      </c>
      <c r="I534" t="n">
        <v>0</v>
      </c>
      <c r="J534" t="n">
        <v>0</v>
      </c>
      <c r="K534" t="n">
        <v>0</v>
      </c>
      <c r="L534" t="n">
        <v>0</v>
      </c>
      <c r="M534" t="n">
        <v>0</v>
      </c>
      <c r="N534" t="n">
        <v>0</v>
      </c>
      <c r="O534" t="n">
        <v>0</v>
      </c>
      <c r="P534" t="n">
        <v>0</v>
      </c>
      <c r="Q534" t="n">
        <v>0</v>
      </c>
      <c r="R534" s="2" t="inlineStr"/>
    </row>
    <row r="535" ht="15" customHeight="1">
      <c r="A535" t="inlineStr">
        <is>
          <t>A 8404-2022</t>
        </is>
      </c>
      <c r="B535" s="1" t="n">
        <v>44610</v>
      </c>
      <c r="C535" s="1" t="n">
        <v>45880</v>
      </c>
      <c r="D535" t="inlineStr">
        <is>
          <t>UPPSALA LÄN</t>
        </is>
      </c>
      <c r="E535" t="inlineStr">
        <is>
          <t>UPPSALA</t>
        </is>
      </c>
      <c r="F535" t="inlineStr">
        <is>
          <t>Allmännings- och besparingsskogar</t>
        </is>
      </c>
      <c r="G535" t="n">
        <v>5.4</v>
      </c>
      <c r="H535" t="n">
        <v>0</v>
      </c>
      <c r="I535" t="n">
        <v>0</v>
      </c>
      <c r="J535" t="n">
        <v>0</v>
      </c>
      <c r="K535" t="n">
        <v>0</v>
      </c>
      <c r="L535" t="n">
        <v>0</v>
      </c>
      <c r="M535" t="n">
        <v>0</v>
      </c>
      <c r="N535" t="n">
        <v>0</v>
      </c>
      <c r="O535" t="n">
        <v>0</v>
      </c>
      <c r="P535" t="n">
        <v>0</v>
      </c>
      <c r="Q535" t="n">
        <v>0</v>
      </c>
      <c r="R535" s="2" t="inlineStr"/>
    </row>
    <row r="536" ht="15" customHeight="1">
      <c r="A536" t="inlineStr">
        <is>
          <t>A 53921-2024</t>
        </is>
      </c>
      <c r="B536" s="1" t="n">
        <v>45615</v>
      </c>
      <c r="C536" s="1" t="n">
        <v>45880</v>
      </c>
      <c r="D536" t="inlineStr">
        <is>
          <t>UPPSALA LÄN</t>
        </is>
      </c>
      <c r="E536" t="inlineStr">
        <is>
          <t>UPPSALA</t>
        </is>
      </c>
      <c r="G536" t="n">
        <v>8.1</v>
      </c>
      <c r="H536" t="n">
        <v>0</v>
      </c>
      <c r="I536" t="n">
        <v>0</v>
      </c>
      <c r="J536" t="n">
        <v>0</v>
      </c>
      <c r="K536" t="n">
        <v>0</v>
      </c>
      <c r="L536" t="n">
        <v>0</v>
      </c>
      <c r="M536" t="n">
        <v>0</v>
      </c>
      <c r="N536" t="n">
        <v>0</v>
      </c>
      <c r="O536" t="n">
        <v>0</v>
      </c>
      <c r="P536" t="n">
        <v>0</v>
      </c>
      <c r="Q536" t="n">
        <v>0</v>
      </c>
      <c r="R536" s="2" t="inlineStr"/>
    </row>
    <row r="537" ht="15" customHeight="1">
      <c r="A537" t="inlineStr">
        <is>
          <t>A 59562-2024</t>
        </is>
      </c>
      <c r="B537" s="1" t="n">
        <v>45638</v>
      </c>
      <c r="C537" s="1" t="n">
        <v>45880</v>
      </c>
      <c r="D537" t="inlineStr">
        <is>
          <t>UPPSALA LÄN</t>
        </is>
      </c>
      <c r="E537" t="inlineStr">
        <is>
          <t>UPPSALA</t>
        </is>
      </c>
      <c r="G537" t="n">
        <v>1.1</v>
      </c>
      <c r="H537" t="n">
        <v>0</v>
      </c>
      <c r="I537" t="n">
        <v>0</v>
      </c>
      <c r="J537" t="n">
        <v>0</v>
      </c>
      <c r="K537" t="n">
        <v>0</v>
      </c>
      <c r="L537" t="n">
        <v>0</v>
      </c>
      <c r="M537" t="n">
        <v>0</v>
      </c>
      <c r="N537" t="n">
        <v>0</v>
      </c>
      <c r="O537" t="n">
        <v>0</v>
      </c>
      <c r="P537" t="n">
        <v>0</v>
      </c>
      <c r="Q537" t="n">
        <v>0</v>
      </c>
      <c r="R537" s="2" t="inlineStr"/>
    </row>
    <row r="538" ht="15" customHeight="1">
      <c r="A538" t="inlineStr">
        <is>
          <t>A 47287-2023</t>
        </is>
      </c>
      <c r="B538" s="1" t="n">
        <v>45202</v>
      </c>
      <c r="C538" s="1" t="n">
        <v>45880</v>
      </c>
      <c r="D538" t="inlineStr">
        <is>
          <t>UPPSALA LÄN</t>
        </is>
      </c>
      <c r="E538" t="inlineStr">
        <is>
          <t>UPPSALA</t>
        </is>
      </c>
      <c r="F538" t="inlineStr">
        <is>
          <t>Holmen skog AB</t>
        </is>
      </c>
      <c r="G538" t="n">
        <v>0.4</v>
      </c>
      <c r="H538" t="n">
        <v>0</v>
      </c>
      <c r="I538" t="n">
        <v>0</v>
      </c>
      <c r="J538" t="n">
        <v>0</v>
      </c>
      <c r="K538" t="n">
        <v>0</v>
      </c>
      <c r="L538" t="n">
        <v>0</v>
      </c>
      <c r="M538" t="n">
        <v>0</v>
      </c>
      <c r="N538" t="n">
        <v>0</v>
      </c>
      <c r="O538" t="n">
        <v>0</v>
      </c>
      <c r="P538" t="n">
        <v>0</v>
      </c>
      <c r="Q538" t="n">
        <v>0</v>
      </c>
      <c r="R538" s="2" t="inlineStr"/>
    </row>
    <row r="539" ht="15" customHeight="1">
      <c r="A539" t="inlineStr">
        <is>
          <t>A 60698-2024</t>
        </is>
      </c>
      <c r="B539" s="1" t="n">
        <v>45644</v>
      </c>
      <c r="C539" s="1" t="n">
        <v>45880</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44115-2023</t>
        </is>
      </c>
      <c r="B540" s="1" t="n">
        <v>45188</v>
      </c>
      <c r="C540" s="1" t="n">
        <v>45880</v>
      </c>
      <c r="D540" t="inlineStr">
        <is>
          <t>UPPSALA LÄN</t>
        </is>
      </c>
      <c r="E540" t="inlineStr">
        <is>
          <t>UPPSALA</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34520-2024</t>
        </is>
      </c>
      <c r="B541" s="1" t="n">
        <v>45525</v>
      </c>
      <c r="C541" s="1" t="n">
        <v>45880</v>
      </c>
      <c r="D541" t="inlineStr">
        <is>
          <t>UPPSALA LÄN</t>
        </is>
      </c>
      <c r="E541" t="inlineStr">
        <is>
          <t>UPPSALA</t>
        </is>
      </c>
      <c r="G541" t="n">
        <v>2.5</v>
      </c>
      <c r="H541" t="n">
        <v>0</v>
      </c>
      <c r="I541" t="n">
        <v>0</v>
      </c>
      <c r="J541" t="n">
        <v>0</v>
      </c>
      <c r="K541" t="n">
        <v>0</v>
      </c>
      <c r="L541" t="n">
        <v>0</v>
      </c>
      <c r="M541" t="n">
        <v>0</v>
      </c>
      <c r="N541" t="n">
        <v>0</v>
      </c>
      <c r="O541" t="n">
        <v>0</v>
      </c>
      <c r="P541" t="n">
        <v>0</v>
      </c>
      <c r="Q541" t="n">
        <v>0</v>
      </c>
      <c r="R541" s="2" t="inlineStr"/>
    </row>
    <row r="542" ht="15" customHeight="1">
      <c r="A542" t="inlineStr">
        <is>
          <t>A 42772-2022</t>
        </is>
      </c>
      <c r="B542" s="1" t="n">
        <v>44832.49594907407</v>
      </c>
      <c r="C542" s="1" t="n">
        <v>45880</v>
      </c>
      <c r="D542" t="inlineStr">
        <is>
          <t>UPPSALA LÄN</t>
        </is>
      </c>
      <c r="E542" t="inlineStr">
        <is>
          <t>UPPSALA</t>
        </is>
      </c>
      <c r="G542" t="n">
        <v>17.7</v>
      </c>
      <c r="H542" t="n">
        <v>0</v>
      </c>
      <c r="I542" t="n">
        <v>0</v>
      </c>
      <c r="J542" t="n">
        <v>0</v>
      </c>
      <c r="K542" t="n">
        <v>0</v>
      </c>
      <c r="L542" t="n">
        <v>0</v>
      </c>
      <c r="M542" t="n">
        <v>0</v>
      </c>
      <c r="N542" t="n">
        <v>0</v>
      </c>
      <c r="O542" t="n">
        <v>0</v>
      </c>
      <c r="P542" t="n">
        <v>0</v>
      </c>
      <c r="Q542" t="n">
        <v>0</v>
      </c>
      <c r="R542" s="2" t="inlineStr"/>
    </row>
    <row r="543" ht="15" customHeight="1">
      <c r="A543" t="inlineStr">
        <is>
          <t>A 5876-2024</t>
        </is>
      </c>
      <c r="B543" s="1" t="n">
        <v>45335.66331018518</v>
      </c>
      <c r="C543" s="1" t="n">
        <v>45880</v>
      </c>
      <c r="D543" t="inlineStr">
        <is>
          <t>UPPSALA LÄN</t>
        </is>
      </c>
      <c r="E543" t="inlineStr">
        <is>
          <t>UPPSALA</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10477-2024</t>
        </is>
      </c>
      <c r="B544" s="1" t="n">
        <v>45366.42888888889</v>
      </c>
      <c r="C544" s="1" t="n">
        <v>45880</v>
      </c>
      <c r="D544" t="inlineStr">
        <is>
          <t>UPPSALA LÄN</t>
        </is>
      </c>
      <c r="E544" t="inlineStr">
        <is>
          <t>UPPSALA</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45885-2023</t>
        </is>
      </c>
      <c r="B545" s="1" t="n">
        <v>45195.64807870371</v>
      </c>
      <c r="C545" s="1" t="n">
        <v>45880</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6363-2024</t>
        </is>
      </c>
      <c r="B546" s="1" t="n">
        <v>45338.49412037037</v>
      </c>
      <c r="C546" s="1" t="n">
        <v>45880</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32252-2025</t>
        </is>
      </c>
      <c r="B547" s="1" t="n">
        <v>45835.62752314815</v>
      </c>
      <c r="C547" s="1" t="n">
        <v>45880</v>
      </c>
      <c r="D547" t="inlineStr">
        <is>
          <t>UPPSALA LÄN</t>
        </is>
      </c>
      <c r="E547" t="inlineStr">
        <is>
          <t>UPPSALA</t>
        </is>
      </c>
      <c r="F547" t="inlineStr">
        <is>
          <t>Kyrkan</t>
        </is>
      </c>
      <c r="G547" t="n">
        <v>3.8</v>
      </c>
      <c r="H547" t="n">
        <v>0</v>
      </c>
      <c r="I547" t="n">
        <v>0</v>
      </c>
      <c r="J547" t="n">
        <v>0</v>
      </c>
      <c r="K547" t="n">
        <v>0</v>
      </c>
      <c r="L547" t="n">
        <v>0</v>
      </c>
      <c r="M547" t="n">
        <v>0</v>
      </c>
      <c r="N547" t="n">
        <v>0</v>
      </c>
      <c r="O547" t="n">
        <v>0</v>
      </c>
      <c r="P547" t="n">
        <v>0</v>
      </c>
      <c r="Q547" t="n">
        <v>0</v>
      </c>
      <c r="R547" s="2" t="inlineStr"/>
    </row>
    <row r="548" ht="15" customHeight="1">
      <c r="A548" t="inlineStr">
        <is>
          <t>A 32475-2025</t>
        </is>
      </c>
      <c r="B548" s="1" t="n">
        <v>45838.42870370371</v>
      </c>
      <c r="C548" s="1" t="n">
        <v>45880</v>
      </c>
      <c r="D548" t="inlineStr">
        <is>
          <t>UPPSALA LÄN</t>
        </is>
      </c>
      <c r="E548" t="inlineStr">
        <is>
          <t>UPPSALA</t>
        </is>
      </c>
      <c r="G548" t="n">
        <v>3</v>
      </c>
      <c r="H548" t="n">
        <v>0</v>
      </c>
      <c r="I548" t="n">
        <v>0</v>
      </c>
      <c r="J548" t="n">
        <v>0</v>
      </c>
      <c r="K548" t="n">
        <v>0</v>
      </c>
      <c r="L548" t="n">
        <v>0</v>
      </c>
      <c r="M548" t="n">
        <v>0</v>
      </c>
      <c r="N548" t="n">
        <v>0</v>
      </c>
      <c r="O548" t="n">
        <v>0</v>
      </c>
      <c r="P548" t="n">
        <v>0</v>
      </c>
      <c r="Q548" t="n">
        <v>0</v>
      </c>
      <c r="R548" s="2" t="inlineStr"/>
    </row>
    <row r="549" ht="15" customHeight="1">
      <c r="A549" t="inlineStr">
        <is>
          <t>A 32484-2025</t>
        </is>
      </c>
      <c r="B549" s="1" t="n">
        <v>45838.43577546296</v>
      </c>
      <c r="C549" s="1" t="n">
        <v>45880</v>
      </c>
      <c r="D549" t="inlineStr">
        <is>
          <t>UPPSALA LÄN</t>
        </is>
      </c>
      <c r="E549" t="inlineStr">
        <is>
          <t>UPPSALA</t>
        </is>
      </c>
      <c r="G549" t="n">
        <v>1.2</v>
      </c>
      <c r="H549" t="n">
        <v>0</v>
      </c>
      <c r="I549" t="n">
        <v>0</v>
      </c>
      <c r="J549" t="n">
        <v>0</v>
      </c>
      <c r="K549" t="n">
        <v>0</v>
      </c>
      <c r="L549" t="n">
        <v>0</v>
      </c>
      <c r="M549" t="n">
        <v>0</v>
      </c>
      <c r="N549" t="n">
        <v>0</v>
      </c>
      <c r="O549" t="n">
        <v>0</v>
      </c>
      <c r="P549" t="n">
        <v>0</v>
      </c>
      <c r="Q549" t="n">
        <v>0</v>
      </c>
      <c r="R549" s="2" t="inlineStr"/>
    </row>
    <row r="550" ht="15" customHeight="1">
      <c r="A550" t="inlineStr">
        <is>
          <t>A 59098-2024</t>
        </is>
      </c>
      <c r="B550" s="1" t="n">
        <v>45636</v>
      </c>
      <c r="C550" s="1" t="n">
        <v>45880</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14026-2021</t>
        </is>
      </c>
      <c r="B551" s="1" t="n">
        <v>44277.65650462963</v>
      </c>
      <c r="C551" s="1" t="n">
        <v>45880</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32479-2025</t>
        </is>
      </c>
      <c r="B552" s="1" t="n">
        <v>45838.43185185185</v>
      </c>
      <c r="C552" s="1" t="n">
        <v>45880</v>
      </c>
      <c r="D552" t="inlineStr">
        <is>
          <t>UPPSALA LÄN</t>
        </is>
      </c>
      <c r="E552" t="inlineStr">
        <is>
          <t>UPPSALA</t>
        </is>
      </c>
      <c r="G552" t="n">
        <v>0.9</v>
      </c>
      <c r="H552" t="n">
        <v>0</v>
      </c>
      <c r="I552" t="n">
        <v>0</v>
      </c>
      <c r="J552" t="n">
        <v>0</v>
      </c>
      <c r="K552" t="n">
        <v>0</v>
      </c>
      <c r="L552" t="n">
        <v>0</v>
      </c>
      <c r="M552" t="n">
        <v>0</v>
      </c>
      <c r="N552" t="n">
        <v>0</v>
      </c>
      <c r="O552" t="n">
        <v>0</v>
      </c>
      <c r="P552" t="n">
        <v>0</v>
      </c>
      <c r="Q552" t="n">
        <v>0</v>
      </c>
      <c r="R552" s="2" t="inlineStr"/>
    </row>
    <row r="553" ht="15" customHeight="1">
      <c r="A553" t="inlineStr">
        <is>
          <t>A 10490-2025</t>
        </is>
      </c>
      <c r="B553" s="1" t="n">
        <v>45721.35173611111</v>
      </c>
      <c r="C553" s="1" t="n">
        <v>45880</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35906-2023</t>
        </is>
      </c>
      <c r="B554" s="1" t="n">
        <v>45148</v>
      </c>
      <c r="C554" s="1" t="n">
        <v>45880</v>
      </c>
      <c r="D554" t="inlineStr">
        <is>
          <t>UPPSALA LÄN</t>
        </is>
      </c>
      <c r="E554" t="inlineStr">
        <is>
          <t>UPPSALA</t>
        </is>
      </c>
      <c r="G554" t="n">
        <v>1.7</v>
      </c>
      <c r="H554" t="n">
        <v>0</v>
      </c>
      <c r="I554" t="n">
        <v>0</v>
      </c>
      <c r="J554" t="n">
        <v>0</v>
      </c>
      <c r="K554" t="n">
        <v>0</v>
      </c>
      <c r="L554" t="n">
        <v>0</v>
      </c>
      <c r="M554" t="n">
        <v>0</v>
      </c>
      <c r="N554" t="n">
        <v>0</v>
      </c>
      <c r="O554" t="n">
        <v>0</v>
      </c>
      <c r="P554" t="n">
        <v>0</v>
      </c>
      <c r="Q554" t="n">
        <v>0</v>
      </c>
      <c r="R554" s="2" t="inlineStr"/>
    </row>
    <row r="555" ht="15" customHeight="1">
      <c r="A555" t="inlineStr">
        <is>
          <t>A 35914-2023</t>
        </is>
      </c>
      <c r="B555" s="1" t="n">
        <v>45148</v>
      </c>
      <c r="C555" s="1" t="n">
        <v>45880</v>
      </c>
      <c r="D555" t="inlineStr">
        <is>
          <t>UPPSALA LÄN</t>
        </is>
      </c>
      <c r="E555" t="inlineStr">
        <is>
          <t>UPPSALA</t>
        </is>
      </c>
      <c r="G555" t="n">
        <v>1.7</v>
      </c>
      <c r="H555" t="n">
        <v>0</v>
      </c>
      <c r="I555" t="n">
        <v>0</v>
      </c>
      <c r="J555" t="n">
        <v>0</v>
      </c>
      <c r="K555" t="n">
        <v>0</v>
      </c>
      <c r="L555" t="n">
        <v>0</v>
      </c>
      <c r="M555" t="n">
        <v>0</v>
      </c>
      <c r="N555" t="n">
        <v>0</v>
      </c>
      <c r="O555" t="n">
        <v>0</v>
      </c>
      <c r="P555" t="n">
        <v>0</v>
      </c>
      <c r="Q555" t="n">
        <v>0</v>
      </c>
      <c r="R555" s="2" t="inlineStr"/>
    </row>
    <row r="556" ht="15" customHeight="1">
      <c r="A556" t="inlineStr">
        <is>
          <t>A 35916-2023</t>
        </is>
      </c>
      <c r="B556" s="1" t="n">
        <v>45148</v>
      </c>
      <c r="C556" s="1" t="n">
        <v>45880</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64855-2021</t>
        </is>
      </c>
      <c r="B557" s="1" t="n">
        <v>44512</v>
      </c>
      <c r="C557" s="1" t="n">
        <v>45880</v>
      </c>
      <c r="D557" t="inlineStr">
        <is>
          <t>UPPSALA LÄN</t>
        </is>
      </c>
      <c r="E557" t="inlineStr">
        <is>
          <t>UPPSALA</t>
        </is>
      </c>
      <c r="G557" t="n">
        <v>3.1</v>
      </c>
      <c r="H557" t="n">
        <v>0</v>
      </c>
      <c r="I557" t="n">
        <v>0</v>
      </c>
      <c r="J557" t="n">
        <v>0</v>
      </c>
      <c r="K557" t="n">
        <v>0</v>
      </c>
      <c r="L557" t="n">
        <v>0</v>
      </c>
      <c r="M557" t="n">
        <v>0</v>
      </c>
      <c r="N557" t="n">
        <v>0</v>
      </c>
      <c r="O557" t="n">
        <v>0</v>
      </c>
      <c r="P557" t="n">
        <v>0</v>
      </c>
      <c r="Q557" t="n">
        <v>0</v>
      </c>
      <c r="R557" s="2" t="inlineStr"/>
    </row>
    <row r="558" ht="15" customHeight="1">
      <c r="A558" t="inlineStr">
        <is>
          <t>A 4312-2022</t>
        </is>
      </c>
      <c r="B558" s="1" t="n">
        <v>44588</v>
      </c>
      <c r="C558" s="1" t="n">
        <v>45880</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62352-2020</t>
        </is>
      </c>
      <c r="B559" s="1" t="n">
        <v>44159</v>
      </c>
      <c r="C559" s="1" t="n">
        <v>45880</v>
      </c>
      <c r="D559" t="inlineStr">
        <is>
          <t>UPPSALA LÄN</t>
        </is>
      </c>
      <c r="E559" t="inlineStr">
        <is>
          <t>UPPSALA</t>
        </is>
      </c>
      <c r="F559" t="inlineStr">
        <is>
          <t>Allmännings- och besparingsskogar</t>
        </is>
      </c>
      <c r="G559" t="n">
        <v>12.9</v>
      </c>
      <c r="H559" t="n">
        <v>0</v>
      </c>
      <c r="I559" t="n">
        <v>0</v>
      </c>
      <c r="J559" t="n">
        <v>0</v>
      </c>
      <c r="K559" t="n">
        <v>0</v>
      </c>
      <c r="L559" t="n">
        <v>0</v>
      </c>
      <c r="M559" t="n">
        <v>0</v>
      </c>
      <c r="N559" t="n">
        <v>0</v>
      </c>
      <c r="O559" t="n">
        <v>0</v>
      </c>
      <c r="P559" t="n">
        <v>0</v>
      </c>
      <c r="Q559" t="n">
        <v>0</v>
      </c>
      <c r="R559" s="2" t="inlineStr"/>
    </row>
    <row r="560" ht="15" customHeight="1">
      <c r="A560" t="inlineStr">
        <is>
          <t>A 30319-2024</t>
        </is>
      </c>
      <c r="B560" s="1" t="n">
        <v>45490</v>
      </c>
      <c r="C560" s="1" t="n">
        <v>45880</v>
      </c>
      <c r="D560" t="inlineStr">
        <is>
          <t>UPPSALA LÄN</t>
        </is>
      </c>
      <c r="E560" t="inlineStr">
        <is>
          <t>UPPSALA</t>
        </is>
      </c>
      <c r="G560" t="n">
        <v>2.3</v>
      </c>
      <c r="H560" t="n">
        <v>0</v>
      </c>
      <c r="I560" t="n">
        <v>0</v>
      </c>
      <c r="J560" t="n">
        <v>0</v>
      </c>
      <c r="K560" t="n">
        <v>0</v>
      </c>
      <c r="L560" t="n">
        <v>0</v>
      </c>
      <c r="M560" t="n">
        <v>0</v>
      </c>
      <c r="N560" t="n">
        <v>0</v>
      </c>
      <c r="O560" t="n">
        <v>0</v>
      </c>
      <c r="P560" t="n">
        <v>0</v>
      </c>
      <c r="Q560" t="n">
        <v>0</v>
      </c>
      <c r="R560" s="2" t="inlineStr"/>
    </row>
    <row r="561" ht="15" customHeight="1">
      <c r="A561" t="inlineStr">
        <is>
          <t>A 4065-2024</t>
        </is>
      </c>
      <c r="B561" s="1" t="n">
        <v>45323.55914351852</v>
      </c>
      <c r="C561" s="1" t="n">
        <v>45880</v>
      </c>
      <c r="D561" t="inlineStr">
        <is>
          <t>UPPSALA LÄN</t>
        </is>
      </c>
      <c r="E561" t="inlineStr">
        <is>
          <t>UPPSALA</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13644-2024</t>
        </is>
      </c>
      <c r="B562" s="1" t="n">
        <v>45390</v>
      </c>
      <c r="C562" s="1" t="n">
        <v>45880</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9592-2022</t>
        </is>
      </c>
      <c r="B563" s="1" t="n">
        <v>44617.48311342593</v>
      </c>
      <c r="C563" s="1" t="n">
        <v>45880</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45662-2023</t>
        </is>
      </c>
      <c r="B564" s="1" t="n">
        <v>45194</v>
      </c>
      <c r="C564" s="1" t="n">
        <v>45880</v>
      </c>
      <c r="D564" t="inlineStr">
        <is>
          <t>UPPSALA LÄN</t>
        </is>
      </c>
      <c r="E564" t="inlineStr">
        <is>
          <t>UPPSALA</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8494-2021</t>
        </is>
      </c>
      <c r="B565" s="1" t="n">
        <v>44245</v>
      </c>
      <c r="C565" s="1" t="n">
        <v>45880</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8473-2023</t>
        </is>
      </c>
      <c r="B566" s="1" t="n">
        <v>44977</v>
      </c>
      <c r="C566" s="1" t="n">
        <v>45880</v>
      </c>
      <c r="D566" t="inlineStr">
        <is>
          <t>UPPSALA LÄN</t>
        </is>
      </c>
      <c r="E566" t="inlineStr">
        <is>
          <t>UPPSALA</t>
        </is>
      </c>
      <c r="F566" t="inlineStr">
        <is>
          <t>Holmen skog AB</t>
        </is>
      </c>
      <c r="G566" t="n">
        <v>3.6</v>
      </c>
      <c r="H566" t="n">
        <v>0</v>
      </c>
      <c r="I566" t="n">
        <v>0</v>
      </c>
      <c r="J566" t="n">
        <v>0</v>
      </c>
      <c r="K566" t="n">
        <v>0</v>
      </c>
      <c r="L566" t="n">
        <v>0</v>
      </c>
      <c r="M566" t="n">
        <v>0</v>
      </c>
      <c r="N566" t="n">
        <v>0</v>
      </c>
      <c r="O566" t="n">
        <v>0</v>
      </c>
      <c r="P566" t="n">
        <v>0</v>
      </c>
      <c r="Q566" t="n">
        <v>0</v>
      </c>
      <c r="R566" s="2" t="inlineStr"/>
    </row>
    <row r="567" ht="15" customHeight="1">
      <c r="A567" t="inlineStr">
        <is>
          <t>A 50463-2024</t>
        </is>
      </c>
      <c r="B567" s="1" t="n">
        <v>45601</v>
      </c>
      <c r="C567" s="1" t="n">
        <v>45880</v>
      </c>
      <c r="D567" t="inlineStr">
        <is>
          <t>UPPSALA LÄN</t>
        </is>
      </c>
      <c r="E567" t="inlineStr">
        <is>
          <t>UPPSALA</t>
        </is>
      </c>
      <c r="F567" t="inlineStr">
        <is>
          <t>Allmännings- och besparingsskogar</t>
        </is>
      </c>
      <c r="G567" t="n">
        <v>12.6</v>
      </c>
      <c r="H567" t="n">
        <v>0</v>
      </c>
      <c r="I567" t="n">
        <v>0</v>
      </c>
      <c r="J567" t="n">
        <v>0</v>
      </c>
      <c r="K567" t="n">
        <v>0</v>
      </c>
      <c r="L567" t="n">
        <v>0</v>
      </c>
      <c r="M567" t="n">
        <v>0</v>
      </c>
      <c r="N567" t="n">
        <v>0</v>
      </c>
      <c r="O567" t="n">
        <v>0</v>
      </c>
      <c r="P567" t="n">
        <v>0</v>
      </c>
      <c r="Q567" t="n">
        <v>0</v>
      </c>
      <c r="R567" s="2" t="inlineStr"/>
    </row>
    <row r="568" ht="15" customHeight="1">
      <c r="A568" t="inlineStr">
        <is>
          <t>A 22431-2024</t>
        </is>
      </c>
      <c r="B568" s="1" t="n">
        <v>45446.78256944445</v>
      </c>
      <c r="C568" s="1" t="n">
        <v>45880</v>
      </c>
      <c r="D568" t="inlineStr">
        <is>
          <t>UPPSALA LÄN</t>
        </is>
      </c>
      <c r="E568" t="inlineStr">
        <is>
          <t>UPPSALA</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20903-2024</t>
        </is>
      </c>
      <c r="B569" s="1" t="n">
        <v>45439</v>
      </c>
      <c r="C569" s="1" t="n">
        <v>45880</v>
      </c>
      <c r="D569" t="inlineStr">
        <is>
          <t>UPPSALA LÄN</t>
        </is>
      </c>
      <c r="E569" t="inlineStr">
        <is>
          <t>UPPSALA</t>
        </is>
      </c>
      <c r="F569" t="inlineStr">
        <is>
          <t>Holmen skog AB</t>
        </is>
      </c>
      <c r="G569" t="n">
        <v>2.7</v>
      </c>
      <c r="H569" t="n">
        <v>0</v>
      </c>
      <c r="I569" t="n">
        <v>0</v>
      </c>
      <c r="J569" t="n">
        <v>0</v>
      </c>
      <c r="K569" t="n">
        <v>0</v>
      </c>
      <c r="L569" t="n">
        <v>0</v>
      </c>
      <c r="M569" t="n">
        <v>0</v>
      </c>
      <c r="N569" t="n">
        <v>0</v>
      </c>
      <c r="O569" t="n">
        <v>0</v>
      </c>
      <c r="P569" t="n">
        <v>0</v>
      </c>
      <c r="Q569" t="n">
        <v>0</v>
      </c>
      <c r="R569" s="2" t="inlineStr"/>
    </row>
    <row r="570" ht="15" customHeight="1">
      <c r="A570" t="inlineStr">
        <is>
          <t>A 5189-2022</t>
        </is>
      </c>
      <c r="B570" s="1" t="n">
        <v>44594</v>
      </c>
      <c r="C570" s="1" t="n">
        <v>45880</v>
      </c>
      <c r="D570" t="inlineStr">
        <is>
          <t>UPPSALA LÄN</t>
        </is>
      </c>
      <c r="E570" t="inlineStr">
        <is>
          <t>UPPSALA</t>
        </is>
      </c>
      <c r="G570" t="n">
        <v>5.9</v>
      </c>
      <c r="H570" t="n">
        <v>0</v>
      </c>
      <c r="I570" t="n">
        <v>0</v>
      </c>
      <c r="J570" t="n">
        <v>0</v>
      </c>
      <c r="K570" t="n">
        <v>0</v>
      </c>
      <c r="L570" t="n">
        <v>0</v>
      </c>
      <c r="M570" t="n">
        <v>0</v>
      </c>
      <c r="N570" t="n">
        <v>0</v>
      </c>
      <c r="O570" t="n">
        <v>0</v>
      </c>
      <c r="P570" t="n">
        <v>0</v>
      </c>
      <c r="Q570" t="n">
        <v>0</v>
      </c>
      <c r="R570" s="2" t="inlineStr"/>
    </row>
    <row r="571" ht="15" customHeight="1">
      <c r="A571" t="inlineStr">
        <is>
          <t>A 59547-2024</t>
        </is>
      </c>
      <c r="B571" s="1" t="n">
        <v>45638</v>
      </c>
      <c r="C571" s="1" t="n">
        <v>45880</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19539-2024</t>
        </is>
      </c>
      <c r="B572" s="1" t="n">
        <v>45429</v>
      </c>
      <c r="C572" s="1" t="n">
        <v>45880</v>
      </c>
      <c r="D572" t="inlineStr">
        <is>
          <t>UPPSALA LÄN</t>
        </is>
      </c>
      <c r="E572" t="inlineStr">
        <is>
          <t>UPPSALA</t>
        </is>
      </c>
      <c r="G572" t="n">
        <v>1.9</v>
      </c>
      <c r="H572" t="n">
        <v>0</v>
      </c>
      <c r="I572" t="n">
        <v>0</v>
      </c>
      <c r="J572" t="n">
        <v>0</v>
      </c>
      <c r="K572" t="n">
        <v>0</v>
      </c>
      <c r="L572" t="n">
        <v>0</v>
      </c>
      <c r="M572" t="n">
        <v>0</v>
      </c>
      <c r="N572" t="n">
        <v>0</v>
      </c>
      <c r="O572" t="n">
        <v>0</v>
      </c>
      <c r="P572" t="n">
        <v>0</v>
      </c>
      <c r="Q572" t="n">
        <v>0</v>
      </c>
      <c r="R572" s="2" t="inlineStr"/>
    </row>
    <row r="573" ht="15" customHeight="1">
      <c r="A573" t="inlineStr">
        <is>
          <t>A 19345-2025</t>
        </is>
      </c>
      <c r="B573" s="1" t="n">
        <v>45769.6009375</v>
      </c>
      <c r="C573" s="1" t="n">
        <v>45880</v>
      </c>
      <c r="D573" t="inlineStr">
        <is>
          <t>UPPSALA LÄN</t>
        </is>
      </c>
      <c r="E573" t="inlineStr">
        <is>
          <t>UPPSALA</t>
        </is>
      </c>
      <c r="G573" t="n">
        <v>1.8</v>
      </c>
      <c r="H573" t="n">
        <v>0</v>
      </c>
      <c r="I573" t="n">
        <v>0</v>
      </c>
      <c r="J573" t="n">
        <v>0</v>
      </c>
      <c r="K573" t="n">
        <v>0</v>
      </c>
      <c r="L573" t="n">
        <v>0</v>
      </c>
      <c r="M573" t="n">
        <v>0</v>
      </c>
      <c r="N573" t="n">
        <v>0</v>
      </c>
      <c r="O573" t="n">
        <v>0</v>
      </c>
      <c r="P573" t="n">
        <v>0</v>
      </c>
      <c r="Q573" t="n">
        <v>0</v>
      </c>
      <c r="R573" s="2" t="inlineStr"/>
    </row>
    <row r="574" ht="15" customHeight="1">
      <c r="A574" t="inlineStr">
        <is>
          <t>A 6290-2025</t>
        </is>
      </c>
      <c r="B574" s="1" t="n">
        <v>45698.65606481482</v>
      </c>
      <c r="C574" s="1" t="n">
        <v>45880</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6970-2025</t>
        </is>
      </c>
      <c r="B575" s="1" t="n">
        <v>45693</v>
      </c>
      <c r="C575" s="1" t="n">
        <v>45880</v>
      </c>
      <c r="D575" t="inlineStr">
        <is>
          <t>UPPSALA LÄN</t>
        </is>
      </c>
      <c r="E575" t="inlineStr">
        <is>
          <t>UPPSALA</t>
        </is>
      </c>
      <c r="G575" t="n">
        <v>1.7</v>
      </c>
      <c r="H575" t="n">
        <v>0</v>
      </c>
      <c r="I575" t="n">
        <v>0</v>
      </c>
      <c r="J575" t="n">
        <v>0</v>
      </c>
      <c r="K575" t="n">
        <v>0</v>
      </c>
      <c r="L575" t="n">
        <v>0</v>
      </c>
      <c r="M575" t="n">
        <v>0</v>
      </c>
      <c r="N575" t="n">
        <v>0</v>
      </c>
      <c r="O575" t="n">
        <v>0</v>
      </c>
      <c r="P575" t="n">
        <v>0</v>
      </c>
      <c r="Q575" t="n">
        <v>0</v>
      </c>
      <c r="R575" s="2" t="inlineStr"/>
    </row>
    <row r="576" ht="15" customHeight="1">
      <c r="A576" t="inlineStr">
        <is>
          <t>A 11201-2024</t>
        </is>
      </c>
      <c r="B576" s="1" t="n">
        <v>45371</v>
      </c>
      <c r="C576" s="1" t="n">
        <v>45880</v>
      </c>
      <c r="D576" t="inlineStr">
        <is>
          <t>UPPSALA LÄN</t>
        </is>
      </c>
      <c r="E576" t="inlineStr">
        <is>
          <t>UPPSALA</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2790-2025</t>
        </is>
      </c>
      <c r="B577" s="1" t="n">
        <v>45677</v>
      </c>
      <c r="C577" s="1" t="n">
        <v>45880</v>
      </c>
      <c r="D577" t="inlineStr">
        <is>
          <t>UPPSALA LÄN</t>
        </is>
      </c>
      <c r="E577" t="inlineStr">
        <is>
          <t>UPPSALA</t>
        </is>
      </c>
      <c r="G577" t="n">
        <v>0.8</v>
      </c>
      <c r="H577" t="n">
        <v>0</v>
      </c>
      <c r="I577" t="n">
        <v>0</v>
      </c>
      <c r="J577" t="n">
        <v>0</v>
      </c>
      <c r="K577" t="n">
        <v>0</v>
      </c>
      <c r="L577" t="n">
        <v>0</v>
      </c>
      <c r="M577" t="n">
        <v>0</v>
      </c>
      <c r="N577" t="n">
        <v>0</v>
      </c>
      <c r="O577" t="n">
        <v>0</v>
      </c>
      <c r="P577" t="n">
        <v>0</v>
      </c>
      <c r="Q577" t="n">
        <v>0</v>
      </c>
      <c r="R577" s="2" t="inlineStr"/>
    </row>
    <row r="578" ht="15" customHeight="1">
      <c r="A578" t="inlineStr">
        <is>
          <t>A 44815-2023</t>
        </is>
      </c>
      <c r="B578" s="1" t="n">
        <v>45190</v>
      </c>
      <c r="C578" s="1" t="n">
        <v>45880</v>
      </c>
      <c r="D578" t="inlineStr">
        <is>
          <t>UPPSALA LÄN</t>
        </is>
      </c>
      <c r="E578" t="inlineStr">
        <is>
          <t>UPPSALA</t>
        </is>
      </c>
      <c r="G578" t="n">
        <v>2.3</v>
      </c>
      <c r="H578" t="n">
        <v>0</v>
      </c>
      <c r="I578" t="n">
        <v>0</v>
      </c>
      <c r="J578" t="n">
        <v>0</v>
      </c>
      <c r="K578" t="n">
        <v>0</v>
      </c>
      <c r="L578" t="n">
        <v>0</v>
      </c>
      <c r="M578" t="n">
        <v>0</v>
      </c>
      <c r="N578" t="n">
        <v>0</v>
      </c>
      <c r="O578" t="n">
        <v>0</v>
      </c>
      <c r="P578" t="n">
        <v>0</v>
      </c>
      <c r="Q578" t="n">
        <v>0</v>
      </c>
      <c r="R578" s="2" t="inlineStr"/>
    </row>
    <row r="579" ht="15" customHeight="1">
      <c r="A579" t="inlineStr">
        <is>
          <t>A 18677-2024</t>
        </is>
      </c>
      <c r="B579" s="1" t="n">
        <v>45426</v>
      </c>
      <c r="C579" s="1" t="n">
        <v>45880</v>
      </c>
      <c r="D579" t="inlineStr">
        <is>
          <t>UPPSALA LÄN</t>
        </is>
      </c>
      <c r="E579" t="inlineStr">
        <is>
          <t>UPPSALA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11162-2022</t>
        </is>
      </c>
      <c r="B580" s="1" t="n">
        <v>44629.42423611111</v>
      </c>
      <c r="C580" s="1" t="n">
        <v>45880</v>
      </c>
      <c r="D580" t="inlineStr">
        <is>
          <t>UPPSALA LÄN</t>
        </is>
      </c>
      <c r="E580" t="inlineStr">
        <is>
          <t>UPPSALA</t>
        </is>
      </c>
      <c r="G580" t="n">
        <v>1.5</v>
      </c>
      <c r="H580" t="n">
        <v>0</v>
      </c>
      <c r="I580" t="n">
        <v>0</v>
      </c>
      <c r="J580" t="n">
        <v>0</v>
      </c>
      <c r="K580" t="n">
        <v>0</v>
      </c>
      <c r="L580" t="n">
        <v>0</v>
      </c>
      <c r="M580" t="n">
        <v>0</v>
      </c>
      <c r="N580" t="n">
        <v>0</v>
      </c>
      <c r="O580" t="n">
        <v>0</v>
      </c>
      <c r="P580" t="n">
        <v>0</v>
      </c>
      <c r="Q580" t="n">
        <v>0</v>
      </c>
      <c r="R580" s="2" t="inlineStr"/>
    </row>
    <row r="581" ht="15" customHeight="1">
      <c r="A581" t="inlineStr">
        <is>
          <t>A 11739-2023</t>
        </is>
      </c>
      <c r="B581" s="1" t="n">
        <v>44993</v>
      </c>
      <c r="C581" s="1" t="n">
        <v>45880</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24284-2025</t>
        </is>
      </c>
      <c r="B582" s="1" t="n">
        <v>45797.45900462963</v>
      </c>
      <c r="C582" s="1" t="n">
        <v>45880</v>
      </c>
      <c r="D582" t="inlineStr">
        <is>
          <t>UPPSALA LÄN</t>
        </is>
      </c>
      <c r="E582" t="inlineStr">
        <is>
          <t>UPPSALA</t>
        </is>
      </c>
      <c r="F582" t="inlineStr">
        <is>
          <t>Holmen skog AB</t>
        </is>
      </c>
      <c r="G582" t="n">
        <v>12.7</v>
      </c>
      <c r="H582" t="n">
        <v>0</v>
      </c>
      <c r="I582" t="n">
        <v>0</v>
      </c>
      <c r="J582" t="n">
        <v>0</v>
      </c>
      <c r="K582" t="n">
        <v>0</v>
      </c>
      <c r="L582" t="n">
        <v>0</v>
      </c>
      <c r="M582" t="n">
        <v>0</v>
      </c>
      <c r="N582" t="n">
        <v>0</v>
      </c>
      <c r="O582" t="n">
        <v>0</v>
      </c>
      <c r="P582" t="n">
        <v>0</v>
      </c>
      <c r="Q582" t="n">
        <v>0</v>
      </c>
      <c r="R582" s="2" t="inlineStr"/>
    </row>
    <row r="583" ht="15" customHeight="1">
      <c r="A583" t="inlineStr">
        <is>
          <t>A 8132-2024</t>
        </is>
      </c>
      <c r="B583" s="1" t="n">
        <v>45351.54596064815</v>
      </c>
      <c r="C583" s="1" t="n">
        <v>45880</v>
      </c>
      <c r="D583" t="inlineStr">
        <is>
          <t>UPPSALA LÄN</t>
        </is>
      </c>
      <c r="E583" t="inlineStr">
        <is>
          <t>UPPSALA</t>
        </is>
      </c>
      <c r="F583" t="inlineStr">
        <is>
          <t>Övriga Aktiebolag</t>
        </is>
      </c>
      <c r="G583" t="n">
        <v>0.7</v>
      </c>
      <c r="H583" t="n">
        <v>0</v>
      </c>
      <c r="I583" t="n">
        <v>0</v>
      </c>
      <c r="J583" t="n">
        <v>0</v>
      </c>
      <c r="K583" t="n">
        <v>0</v>
      </c>
      <c r="L583" t="n">
        <v>0</v>
      </c>
      <c r="M583" t="n">
        <v>0</v>
      </c>
      <c r="N583" t="n">
        <v>0</v>
      </c>
      <c r="O583" t="n">
        <v>0</v>
      </c>
      <c r="P583" t="n">
        <v>0</v>
      </c>
      <c r="Q583" t="n">
        <v>0</v>
      </c>
      <c r="R583" s="2" t="inlineStr"/>
    </row>
    <row r="584" ht="15" customHeight="1">
      <c r="A584" t="inlineStr">
        <is>
          <t>A 25776-2022</t>
        </is>
      </c>
      <c r="B584" s="1" t="n">
        <v>44733</v>
      </c>
      <c r="C584" s="1" t="n">
        <v>45880</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4014-2025</t>
        </is>
      </c>
      <c r="B585" s="1" t="n">
        <v>45684</v>
      </c>
      <c r="C585" s="1" t="n">
        <v>45880</v>
      </c>
      <c r="D585" t="inlineStr">
        <is>
          <t>UPPSALA LÄN</t>
        </is>
      </c>
      <c r="E585" t="inlineStr">
        <is>
          <t>UPPSALA</t>
        </is>
      </c>
      <c r="G585" t="n">
        <v>2.8</v>
      </c>
      <c r="H585" t="n">
        <v>0</v>
      </c>
      <c r="I585" t="n">
        <v>0</v>
      </c>
      <c r="J585" t="n">
        <v>0</v>
      </c>
      <c r="K585" t="n">
        <v>0</v>
      </c>
      <c r="L585" t="n">
        <v>0</v>
      </c>
      <c r="M585" t="n">
        <v>0</v>
      </c>
      <c r="N585" t="n">
        <v>0</v>
      </c>
      <c r="O585" t="n">
        <v>0</v>
      </c>
      <c r="P585" t="n">
        <v>0</v>
      </c>
      <c r="Q585" t="n">
        <v>0</v>
      </c>
      <c r="R585" s="2" t="inlineStr"/>
    </row>
    <row r="586" ht="15" customHeight="1">
      <c r="A586" t="inlineStr">
        <is>
          <t>A 20087-2023</t>
        </is>
      </c>
      <c r="B586" s="1" t="n">
        <v>45054.9271875</v>
      </c>
      <c r="C586" s="1" t="n">
        <v>45880</v>
      </c>
      <c r="D586" t="inlineStr">
        <is>
          <t>UPPSALA LÄN</t>
        </is>
      </c>
      <c r="E586" t="inlineStr">
        <is>
          <t>UPPSALA</t>
        </is>
      </c>
      <c r="G586" t="n">
        <v>1</v>
      </c>
      <c r="H586" t="n">
        <v>0</v>
      </c>
      <c r="I586" t="n">
        <v>0</v>
      </c>
      <c r="J586" t="n">
        <v>0</v>
      </c>
      <c r="K586" t="n">
        <v>0</v>
      </c>
      <c r="L586" t="n">
        <v>0</v>
      </c>
      <c r="M586" t="n">
        <v>0</v>
      </c>
      <c r="N586" t="n">
        <v>0</v>
      </c>
      <c r="O586" t="n">
        <v>0</v>
      </c>
      <c r="P586" t="n">
        <v>0</v>
      </c>
      <c r="Q586" t="n">
        <v>0</v>
      </c>
      <c r="R586" s="2" t="inlineStr"/>
    </row>
    <row r="587" ht="15" customHeight="1">
      <c r="A587" t="inlineStr">
        <is>
          <t>A 11568-2023</t>
        </is>
      </c>
      <c r="B587" s="1" t="n">
        <v>44994</v>
      </c>
      <c r="C587" s="1" t="n">
        <v>45880</v>
      </c>
      <c r="D587" t="inlineStr">
        <is>
          <t>UPPSALA LÄN</t>
        </is>
      </c>
      <c r="E587" t="inlineStr">
        <is>
          <t>UPPSALA</t>
        </is>
      </c>
      <c r="G587" t="n">
        <v>0.8</v>
      </c>
      <c r="H587" t="n">
        <v>0</v>
      </c>
      <c r="I587" t="n">
        <v>0</v>
      </c>
      <c r="J587" t="n">
        <v>0</v>
      </c>
      <c r="K587" t="n">
        <v>0</v>
      </c>
      <c r="L587" t="n">
        <v>0</v>
      </c>
      <c r="M587" t="n">
        <v>0</v>
      </c>
      <c r="N587" t="n">
        <v>0</v>
      </c>
      <c r="O587" t="n">
        <v>0</v>
      </c>
      <c r="P587" t="n">
        <v>0</v>
      </c>
      <c r="Q587" t="n">
        <v>0</v>
      </c>
      <c r="R587" s="2" t="inlineStr"/>
    </row>
    <row r="588" ht="15" customHeight="1">
      <c r="A588" t="inlineStr">
        <is>
          <t>A 24525-2025</t>
        </is>
      </c>
      <c r="B588" s="1" t="n">
        <v>45798.42252314815</v>
      </c>
      <c r="C588" s="1" t="n">
        <v>45880</v>
      </c>
      <c r="D588" t="inlineStr">
        <is>
          <t>UPPSALA LÄN</t>
        </is>
      </c>
      <c r="E588" t="inlineStr">
        <is>
          <t>UPPSALA</t>
        </is>
      </c>
      <c r="G588" t="n">
        <v>3.2</v>
      </c>
      <c r="H588" t="n">
        <v>0</v>
      </c>
      <c r="I588" t="n">
        <v>0</v>
      </c>
      <c r="J588" t="n">
        <v>0</v>
      </c>
      <c r="K588" t="n">
        <v>0</v>
      </c>
      <c r="L588" t="n">
        <v>0</v>
      </c>
      <c r="M588" t="n">
        <v>0</v>
      </c>
      <c r="N588" t="n">
        <v>0</v>
      </c>
      <c r="O588" t="n">
        <v>0</v>
      </c>
      <c r="P588" t="n">
        <v>0</v>
      </c>
      <c r="Q588" t="n">
        <v>0</v>
      </c>
      <c r="R588" s="2" t="inlineStr"/>
    </row>
    <row r="589" ht="15" customHeight="1">
      <c r="A589" t="inlineStr">
        <is>
          <t>A 61463-2024</t>
        </is>
      </c>
      <c r="B589" s="1" t="n">
        <v>45646.50211805556</v>
      </c>
      <c r="C589" s="1" t="n">
        <v>45880</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16126-2022</t>
        </is>
      </c>
      <c r="B590" s="1" t="n">
        <v>44665</v>
      </c>
      <c r="C590" s="1" t="n">
        <v>45880</v>
      </c>
      <c r="D590" t="inlineStr">
        <is>
          <t>UPPSALA LÄN</t>
        </is>
      </c>
      <c r="E590" t="inlineStr">
        <is>
          <t>UPPSALA</t>
        </is>
      </c>
      <c r="F590" t="inlineStr">
        <is>
          <t>Bergvik skog öst AB</t>
        </is>
      </c>
      <c r="G590" t="n">
        <v>4.4</v>
      </c>
      <c r="H590" t="n">
        <v>0</v>
      </c>
      <c r="I590" t="n">
        <v>0</v>
      </c>
      <c r="J590" t="n">
        <v>0</v>
      </c>
      <c r="K590" t="n">
        <v>0</v>
      </c>
      <c r="L590" t="n">
        <v>0</v>
      </c>
      <c r="M590" t="n">
        <v>0</v>
      </c>
      <c r="N590" t="n">
        <v>0</v>
      </c>
      <c r="O590" t="n">
        <v>0</v>
      </c>
      <c r="P590" t="n">
        <v>0</v>
      </c>
      <c r="Q590" t="n">
        <v>0</v>
      </c>
      <c r="R590" s="2" t="inlineStr"/>
    </row>
    <row r="591" ht="15" customHeight="1">
      <c r="A591" t="inlineStr">
        <is>
          <t>A 40872-2023</t>
        </is>
      </c>
      <c r="B591" s="1" t="n">
        <v>45173</v>
      </c>
      <c r="C591" s="1" t="n">
        <v>45880</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24521-2025</t>
        </is>
      </c>
      <c r="B592" s="1" t="n">
        <v>45798.41734953703</v>
      </c>
      <c r="C592" s="1" t="n">
        <v>45880</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21935-2023</t>
        </is>
      </c>
      <c r="B593" s="1" t="n">
        <v>45068.58563657408</v>
      </c>
      <c r="C593" s="1" t="n">
        <v>45880</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33272-2025</t>
        </is>
      </c>
      <c r="B594" s="1" t="n">
        <v>45840.68518518518</v>
      </c>
      <c r="C594" s="1" t="n">
        <v>45880</v>
      </c>
      <c r="D594" t="inlineStr">
        <is>
          <t>UPPSALA LÄN</t>
        </is>
      </c>
      <c r="E594" t="inlineStr">
        <is>
          <t>UPPSALA</t>
        </is>
      </c>
      <c r="G594" t="n">
        <v>4.7</v>
      </c>
      <c r="H594" t="n">
        <v>0</v>
      </c>
      <c r="I594" t="n">
        <v>0</v>
      </c>
      <c r="J594" t="n">
        <v>0</v>
      </c>
      <c r="K594" t="n">
        <v>0</v>
      </c>
      <c r="L594" t="n">
        <v>0</v>
      </c>
      <c r="M594" t="n">
        <v>0</v>
      </c>
      <c r="N594" t="n">
        <v>0</v>
      </c>
      <c r="O594" t="n">
        <v>0</v>
      </c>
      <c r="P594" t="n">
        <v>0</v>
      </c>
      <c r="Q594" t="n">
        <v>0</v>
      </c>
      <c r="R594" s="2" t="inlineStr"/>
    </row>
    <row r="595" ht="15" customHeight="1">
      <c r="A595" t="inlineStr">
        <is>
          <t>A 18668-2024</t>
        </is>
      </c>
      <c r="B595" s="1" t="n">
        <v>45426.34148148148</v>
      </c>
      <c r="C595" s="1" t="n">
        <v>45880</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5309-2022</t>
        </is>
      </c>
      <c r="B596" s="1" t="n">
        <v>44594</v>
      </c>
      <c r="C596" s="1" t="n">
        <v>45880</v>
      </c>
      <c r="D596" t="inlineStr">
        <is>
          <t>UPPSALA LÄN</t>
        </is>
      </c>
      <c r="E596" t="inlineStr">
        <is>
          <t>UPPSALA</t>
        </is>
      </c>
      <c r="G596" t="n">
        <v>4.8</v>
      </c>
      <c r="H596" t="n">
        <v>0</v>
      </c>
      <c r="I596" t="n">
        <v>0</v>
      </c>
      <c r="J596" t="n">
        <v>0</v>
      </c>
      <c r="K596" t="n">
        <v>0</v>
      </c>
      <c r="L596" t="n">
        <v>0</v>
      </c>
      <c r="M596" t="n">
        <v>0</v>
      </c>
      <c r="N596" t="n">
        <v>0</v>
      </c>
      <c r="O596" t="n">
        <v>0</v>
      </c>
      <c r="P596" t="n">
        <v>0</v>
      </c>
      <c r="Q596" t="n">
        <v>0</v>
      </c>
      <c r="R596" s="2" t="inlineStr"/>
    </row>
    <row r="597" ht="15" customHeight="1">
      <c r="A597" t="inlineStr">
        <is>
          <t>A 24268-2025</t>
        </is>
      </c>
      <c r="B597" s="1" t="n">
        <v>45797.42777777778</v>
      </c>
      <c r="C597" s="1" t="n">
        <v>45880</v>
      </c>
      <c r="D597" t="inlineStr">
        <is>
          <t>UPPSALA LÄN</t>
        </is>
      </c>
      <c r="E597" t="inlineStr">
        <is>
          <t>UPPSALA</t>
        </is>
      </c>
      <c r="G597" t="n">
        <v>2.5</v>
      </c>
      <c r="H597" t="n">
        <v>0</v>
      </c>
      <c r="I597" t="n">
        <v>0</v>
      </c>
      <c r="J597" t="n">
        <v>0</v>
      </c>
      <c r="K597" t="n">
        <v>0</v>
      </c>
      <c r="L597" t="n">
        <v>0</v>
      </c>
      <c r="M597" t="n">
        <v>0</v>
      </c>
      <c r="N597" t="n">
        <v>0</v>
      </c>
      <c r="O597" t="n">
        <v>0</v>
      </c>
      <c r="P597" t="n">
        <v>0</v>
      </c>
      <c r="Q597" t="n">
        <v>0</v>
      </c>
      <c r="R597" s="2" t="inlineStr"/>
    </row>
    <row r="598" ht="15" customHeight="1">
      <c r="A598" t="inlineStr">
        <is>
          <t>A 45575-2023</t>
        </is>
      </c>
      <c r="B598" s="1" t="n">
        <v>45194.60876157408</v>
      </c>
      <c r="C598" s="1" t="n">
        <v>45880</v>
      </c>
      <c r="D598" t="inlineStr">
        <is>
          <t>UPPSALA LÄN</t>
        </is>
      </c>
      <c r="E598" t="inlineStr">
        <is>
          <t>UPPSALA</t>
        </is>
      </c>
      <c r="F598" t="inlineStr">
        <is>
          <t>Bergvik skog öst AB</t>
        </is>
      </c>
      <c r="G598" t="n">
        <v>2.2</v>
      </c>
      <c r="H598" t="n">
        <v>0</v>
      </c>
      <c r="I598" t="n">
        <v>0</v>
      </c>
      <c r="J598" t="n">
        <v>0</v>
      </c>
      <c r="K598" t="n">
        <v>0</v>
      </c>
      <c r="L598" t="n">
        <v>0</v>
      </c>
      <c r="M598" t="n">
        <v>0</v>
      </c>
      <c r="N598" t="n">
        <v>0</v>
      </c>
      <c r="O598" t="n">
        <v>0</v>
      </c>
      <c r="P598" t="n">
        <v>0</v>
      </c>
      <c r="Q598" t="n">
        <v>0</v>
      </c>
      <c r="R598" s="2" t="inlineStr"/>
    </row>
    <row r="599" ht="15" customHeight="1">
      <c r="A599" t="inlineStr">
        <is>
          <t>A 39865-2022</t>
        </is>
      </c>
      <c r="B599" s="1" t="n">
        <v>44819.62</v>
      </c>
      <c r="C599" s="1" t="n">
        <v>45880</v>
      </c>
      <c r="D599" t="inlineStr">
        <is>
          <t>UPPSALA LÄN</t>
        </is>
      </c>
      <c r="E599" t="inlineStr">
        <is>
          <t>UPPSALA</t>
        </is>
      </c>
      <c r="G599" t="n">
        <v>2.5</v>
      </c>
      <c r="H599" t="n">
        <v>0</v>
      </c>
      <c r="I599" t="n">
        <v>0</v>
      </c>
      <c r="J599" t="n">
        <v>0</v>
      </c>
      <c r="K599" t="n">
        <v>0</v>
      </c>
      <c r="L599" t="n">
        <v>0</v>
      </c>
      <c r="M599" t="n">
        <v>0</v>
      </c>
      <c r="N599" t="n">
        <v>0</v>
      </c>
      <c r="O599" t="n">
        <v>0</v>
      </c>
      <c r="P599" t="n">
        <v>0</v>
      </c>
      <c r="Q599" t="n">
        <v>0</v>
      </c>
      <c r="R599" s="2" t="inlineStr"/>
    </row>
    <row r="600" ht="15" customHeight="1">
      <c r="A600" t="inlineStr">
        <is>
          <t>A 24909-2025</t>
        </is>
      </c>
      <c r="B600" s="1" t="n">
        <v>45799.53348379629</v>
      </c>
      <c r="C600" s="1" t="n">
        <v>45880</v>
      </c>
      <c r="D600" t="inlineStr">
        <is>
          <t>UPPSALA LÄN</t>
        </is>
      </c>
      <c r="E600" t="inlineStr">
        <is>
          <t>UPPSALA</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6988-2025</t>
        </is>
      </c>
      <c r="B601" s="1" t="n">
        <v>45693</v>
      </c>
      <c r="C601" s="1" t="n">
        <v>45880</v>
      </c>
      <c r="D601" t="inlineStr">
        <is>
          <t>UPPSALA LÄN</t>
        </is>
      </c>
      <c r="E601" t="inlineStr">
        <is>
          <t>UPPSALA</t>
        </is>
      </c>
      <c r="G601" t="n">
        <v>1.7</v>
      </c>
      <c r="H601" t="n">
        <v>0</v>
      </c>
      <c r="I601" t="n">
        <v>0</v>
      </c>
      <c r="J601" t="n">
        <v>0</v>
      </c>
      <c r="K601" t="n">
        <v>0</v>
      </c>
      <c r="L601" t="n">
        <v>0</v>
      </c>
      <c r="M601" t="n">
        <v>0</v>
      </c>
      <c r="N601" t="n">
        <v>0</v>
      </c>
      <c r="O601" t="n">
        <v>0</v>
      </c>
      <c r="P601" t="n">
        <v>0</v>
      </c>
      <c r="Q601" t="n">
        <v>0</v>
      </c>
      <c r="R601" s="2" t="inlineStr"/>
    </row>
    <row r="602" ht="15" customHeight="1">
      <c r="A602" t="inlineStr">
        <is>
          <t>A 33964-2025</t>
        </is>
      </c>
      <c r="B602" s="1" t="n">
        <v>45842.74049768518</v>
      </c>
      <c r="C602" s="1" t="n">
        <v>45880</v>
      </c>
      <c r="D602" t="inlineStr">
        <is>
          <t>UPPSALA LÄN</t>
        </is>
      </c>
      <c r="E602" t="inlineStr">
        <is>
          <t>UPPSALA</t>
        </is>
      </c>
      <c r="G602" t="n">
        <v>2.7</v>
      </c>
      <c r="H602" t="n">
        <v>0</v>
      </c>
      <c r="I602" t="n">
        <v>0</v>
      </c>
      <c r="J602" t="n">
        <v>0</v>
      </c>
      <c r="K602" t="n">
        <v>0</v>
      </c>
      <c r="L602" t="n">
        <v>0</v>
      </c>
      <c r="M602" t="n">
        <v>0</v>
      </c>
      <c r="N602" t="n">
        <v>0</v>
      </c>
      <c r="O602" t="n">
        <v>0</v>
      </c>
      <c r="P602" t="n">
        <v>0</v>
      </c>
      <c r="Q602" t="n">
        <v>0</v>
      </c>
      <c r="R602" s="2" t="inlineStr"/>
    </row>
    <row r="603" ht="15" customHeight="1">
      <c r="A603" t="inlineStr">
        <is>
          <t>A 32923-2025</t>
        </is>
      </c>
      <c r="B603" s="1" t="n">
        <v>45839</v>
      </c>
      <c r="C603" s="1" t="n">
        <v>45880</v>
      </c>
      <c r="D603" t="inlineStr">
        <is>
          <t>UPPSALA LÄN</t>
        </is>
      </c>
      <c r="E603" t="inlineStr">
        <is>
          <t>UPPSALA</t>
        </is>
      </c>
      <c r="G603" t="n">
        <v>5.1</v>
      </c>
      <c r="H603" t="n">
        <v>0</v>
      </c>
      <c r="I603" t="n">
        <v>0</v>
      </c>
      <c r="J603" t="n">
        <v>0</v>
      </c>
      <c r="K603" t="n">
        <v>0</v>
      </c>
      <c r="L603" t="n">
        <v>0</v>
      </c>
      <c r="M603" t="n">
        <v>0</v>
      </c>
      <c r="N603" t="n">
        <v>0</v>
      </c>
      <c r="O603" t="n">
        <v>0</v>
      </c>
      <c r="P603" t="n">
        <v>0</v>
      </c>
      <c r="Q603" t="n">
        <v>0</v>
      </c>
      <c r="R603" s="2" t="inlineStr"/>
    </row>
    <row r="604" ht="15" customHeight="1">
      <c r="A604" t="inlineStr">
        <is>
          <t>A 20206-2023</t>
        </is>
      </c>
      <c r="B604" s="1" t="n">
        <v>45055</v>
      </c>
      <c r="C604" s="1" t="n">
        <v>45880</v>
      </c>
      <c r="D604" t="inlineStr">
        <is>
          <t>UPPSALA LÄN</t>
        </is>
      </c>
      <c r="E604" t="inlineStr">
        <is>
          <t>UPPSALA</t>
        </is>
      </c>
      <c r="G604" t="n">
        <v>5.7</v>
      </c>
      <c r="H604" t="n">
        <v>0</v>
      </c>
      <c r="I604" t="n">
        <v>0</v>
      </c>
      <c r="J604" t="n">
        <v>0</v>
      </c>
      <c r="K604" t="n">
        <v>0</v>
      </c>
      <c r="L604" t="n">
        <v>0</v>
      </c>
      <c r="M604" t="n">
        <v>0</v>
      </c>
      <c r="N604" t="n">
        <v>0</v>
      </c>
      <c r="O604" t="n">
        <v>0</v>
      </c>
      <c r="P604" t="n">
        <v>0</v>
      </c>
      <c r="Q604" t="n">
        <v>0</v>
      </c>
      <c r="R604" s="2" t="inlineStr"/>
    </row>
    <row r="605" ht="15" customHeight="1">
      <c r="A605" t="inlineStr">
        <is>
          <t>A 43029-2023</t>
        </is>
      </c>
      <c r="B605" s="1" t="n">
        <v>45182</v>
      </c>
      <c r="C605" s="1" t="n">
        <v>45880</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43031-2023</t>
        </is>
      </c>
      <c r="B606" s="1" t="n">
        <v>45182</v>
      </c>
      <c r="C606" s="1" t="n">
        <v>45880</v>
      </c>
      <c r="D606" t="inlineStr">
        <is>
          <t>UPPSALA LÄN</t>
        </is>
      </c>
      <c r="E606" t="inlineStr">
        <is>
          <t>UPPSALA</t>
        </is>
      </c>
      <c r="G606" t="n">
        <v>2.3</v>
      </c>
      <c r="H606" t="n">
        <v>0</v>
      </c>
      <c r="I606" t="n">
        <v>0</v>
      </c>
      <c r="J606" t="n">
        <v>0</v>
      </c>
      <c r="K606" t="n">
        <v>0</v>
      </c>
      <c r="L606" t="n">
        <v>0</v>
      </c>
      <c r="M606" t="n">
        <v>0</v>
      </c>
      <c r="N606" t="n">
        <v>0</v>
      </c>
      <c r="O606" t="n">
        <v>0</v>
      </c>
      <c r="P606" t="n">
        <v>0</v>
      </c>
      <c r="Q606" t="n">
        <v>0</v>
      </c>
      <c r="R606" s="2" t="inlineStr"/>
    </row>
    <row r="607" ht="15" customHeight="1">
      <c r="A607" t="inlineStr">
        <is>
          <t>A 9914-2024</t>
        </is>
      </c>
      <c r="B607" s="1" t="n">
        <v>45363.54878472222</v>
      </c>
      <c r="C607" s="1" t="n">
        <v>45880</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14652-2025</t>
        </is>
      </c>
      <c r="B608" s="1" t="n">
        <v>45742.49414351852</v>
      </c>
      <c r="C608" s="1" t="n">
        <v>45880</v>
      </c>
      <c r="D608" t="inlineStr">
        <is>
          <t>UPPSALA LÄN</t>
        </is>
      </c>
      <c r="E608" t="inlineStr">
        <is>
          <t>UPPSALA</t>
        </is>
      </c>
      <c r="G608" t="n">
        <v>10.6</v>
      </c>
      <c r="H608" t="n">
        <v>0</v>
      </c>
      <c r="I608" t="n">
        <v>0</v>
      </c>
      <c r="J608" t="n">
        <v>0</v>
      </c>
      <c r="K608" t="n">
        <v>0</v>
      </c>
      <c r="L608" t="n">
        <v>0</v>
      </c>
      <c r="M608" t="n">
        <v>0</v>
      </c>
      <c r="N608" t="n">
        <v>0</v>
      </c>
      <c r="O608" t="n">
        <v>0</v>
      </c>
      <c r="P608" t="n">
        <v>0</v>
      </c>
      <c r="Q608" t="n">
        <v>0</v>
      </c>
      <c r="R608" s="2" t="inlineStr"/>
    </row>
    <row r="609" ht="15" customHeight="1">
      <c r="A609" t="inlineStr">
        <is>
          <t>A 33571-2025</t>
        </is>
      </c>
      <c r="B609" s="1" t="n">
        <v>45841.5847337963</v>
      </c>
      <c r="C609" s="1" t="n">
        <v>45880</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26762-2023</t>
        </is>
      </c>
      <c r="B610" s="1" t="n">
        <v>45093.46706018518</v>
      </c>
      <c r="C610" s="1" t="n">
        <v>45880</v>
      </c>
      <c r="D610" t="inlineStr">
        <is>
          <t>UPPSALA LÄN</t>
        </is>
      </c>
      <c r="E610" t="inlineStr">
        <is>
          <t>UPPSALA</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6999-2023</t>
        </is>
      </c>
      <c r="B611" s="1" t="n">
        <v>44967.80034722222</v>
      </c>
      <c r="C611" s="1" t="n">
        <v>45880</v>
      </c>
      <c r="D611" t="inlineStr">
        <is>
          <t>UPPSALA LÄN</t>
        </is>
      </c>
      <c r="E611" t="inlineStr">
        <is>
          <t>UPPSALA</t>
        </is>
      </c>
      <c r="G611" t="n">
        <v>1</v>
      </c>
      <c r="H611" t="n">
        <v>0</v>
      </c>
      <c r="I611" t="n">
        <v>0</v>
      </c>
      <c r="J611" t="n">
        <v>0</v>
      </c>
      <c r="K611" t="n">
        <v>0</v>
      </c>
      <c r="L611" t="n">
        <v>0</v>
      </c>
      <c r="M611" t="n">
        <v>0</v>
      </c>
      <c r="N611" t="n">
        <v>0</v>
      </c>
      <c r="O611" t="n">
        <v>0</v>
      </c>
      <c r="P611" t="n">
        <v>0</v>
      </c>
      <c r="Q611" t="n">
        <v>0</v>
      </c>
      <c r="R611" s="2" t="inlineStr"/>
    </row>
    <row r="612" ht="15" customHeight="1">
      <c r="A612" t="inlineStr">
        <is>
          <t>A 7002-2023</t>
        </is>
      </c>
      <c r="B612" s="1" t="n">
        <v>44967</v>
      </c>
      <c r="C612" s="1" t="n">
        <v>45880</v>
      </c>
      <c r="D612" t="inlineStr">
        <is>
          <t>UPPSALA LÄN</t>
        </is>
      </c>
      <c r="E612" t="inlineStr">
        <is>
          <t>UPPSALA</t>
        </is>
      </c>
      <c r="G612" t="n">
        <v>5</v>
      </c>
      <c r="H612" t="n">
        <v>0</v>
      </c>
      <c r="I612" t="n">
        <v>0</v>
      </c>
      <c r="J612" t="n">
        <v>0</v>
      </c>
      <c r="K612" t="n">
        <v>0</v>
      </c>
      <c r="L612" t="n">
        <v>0</v>
      </c>
      <c r="M612" t="n">
        <v>0</v>
      </c>
      <c r="N612" t="n">
        <v>0</v>
      </c>
      <c r="O612" t="n">
        <v>0</v>
      </c>
      <c r="P612" t="n">
        <v>0</v>
      </c>
      <c r="Q612" t="n">
        <v>0</v>
      </c>
      <c r="R612" s="2" t="inlineStr"/>
    </row>
    <row r="613" ht="15" customHeight="1">
      <c r="A613" t="inlineStr">
        <is>
          <t>A 55220-2020</t>
        </is>
      </c>
      <c r="B613" s="1" t="n">
        <v>44130</v>
      </c>
      <c r="C613" s="1" t="n">
        <v>45880</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24912-2025</t>
        </is>
      </c>
      <c r="B614" s="1" t="n">
        <v>45799.53803240741</v>
      </c>
      <c r="C614" s="1" t="n">
        <v>45880</v>
      </c>
      <c r="D614" t="inlineStr">
        <is>
          <t>UPPSALA LÄN</t>
        </is>
      </c>
      <c r="E614" t="inlineStr">
        <is>
          <t>UPPSALA</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24916-2025</t>
        </is>
      </c>
      <c r="B615" s="1" t="n">
        <v>45799.5421875</v>
      </c>
      <c r="C615" s="1" t="n">
        <v>45880</v>
      </c>
      <c r="D615" t="inlineStr">
        <is>
          <t>UPPSALA LÄN</t>
        </is>
      </c>
      <c r="E615" t="inlineStr">
        <is>
          <t>UPPSALA</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24961-2025</t>
        </is>
      </c>
      <c r="B616" s="1" t="n">
        <v>45799.57714120371</v>
      </c>
      <c r="C616" s="1" t="n">
        <v>45880</v>
      </c>
      <c r="D616" t="inlineStr">
        <is>
          <t>UPPSALA LÄN</t>
        </is>
      </c>
      <c r="E616" t="inlineStr">
        <is>
          <t>UPPSALA</t>
        </is>
      </c>
      <c r="G616" t="n">
        <v>0.7</v>
      </c>
      <c r="H616" t="n">
        <v>0</v>
      </c>
      <c r="I616" t="n">
        <v>0</v>
      </c>
      <c r="J616" t="n">
        <v>0</v>
      </c>
      <c r="K616" t="n">
        <v>0</v>
      </c>
      <c r="L616" t="n">
        <v>0</v>
      </c>
      <c r="M616" t="n">
        <v>0</v>
      </c>
      <c r="N616" t="n">
        <v>0</v>
      </c>
      <c r="O616" t="n">
        <v>0</v>
      </c>
      <c r="P616" t="n">
        <v>0</v>
      </c>
      <c r="Q616" t="n">
        <v>0</v>
      </c>
      <c r="R616" s="2" t="inlineStr"/>
    </row>
    <row r="617" ht="15" customHeight="1">
      <c r="A617" t="inlineStr">
        <is>
          <t>A 25025-2025</t>
        </is>
      </c>
      <c r="B617" s="1" t="n">
        <v>45799.64877314815</v>
      </c>
      <c r="C617" s="1" t="n">
        <v>45880</v>
      </c>
      <c r="D617" t="inlineStr">
        <is>
          <t>UPPSALA LÄN</t>
        </is>
      </c>
      <c r="E617" t="inlineStr">
        <is>
          <t>UPPSALA</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25055-2025</t>
        </is>
      </c>
      <c r="B618" s="1" t="n">
        <v>45799.67806712963</v>
      </c>
      <c r="C618" s="1" t="n">
        <v>45880</v>
      </c>
      <c r="D618" t="inlineStr">
        <is>
          <t>UPPSALA LÄN</t>
        </is>
      </c>
      <c r="E618" t="inlineStr">
        <is>
          <t>UPPSALA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16434-2024</t>
        </is>
      </c>
      <c r="B619" s="1" t="n">
        <v>45407.69575231482</v>
      </c>
      <c r="C619" s="1" t="n">
        <v>45880</v>
      </c>
      <c r="D619" t="inlineStr">
        <is>
          <t>UPPSALA LÄN</t>
        </is>
      </c>
      <c r="E619" t="inlineStr">
        <is>
          <t>UPPSALA</t>
        </is>
      </c>
      <c r="G619" t="n">
        <v>1.7</v>
      </c>
      <c r="H619" t="n">
        <v>0</v>
      </c>
      <c r="I619" t="n">
        <v>0</v>
      </c>
      <c r="J619" t="n">
        <v>0</v>
      </c>
      <c r="K619" t="n">
        <v>0</v>
      </c>
      <c r="L619" t="n">
        <v>0</v>
      </c>
      <c r="M619" t="n">
        <v>0</v>
      </c>
      <c r="N619" t="n">
        <v>0</v>
      </c>
      <c r="O619" t="n">
        <v>0</v>
      </c>
      <c r="P619" t="n">
        <v>0</v>
      </c>
      <c r="Q619" t="n">
        <v>0</v>
      </c>
      <c r="R619" s="2" t="inlineStr"/>
    </row>
    <row r="620" ht="15" customHeight="1">
      <c r="A620" t="inlineStr">
        <is>
          <t>A 44080-2023</t>
        </is>
      </c>
      <c r="B620" s="1" t="n">
        <v>45188.42052083334</v>
      </c>
      <c r="C620" s="1" t="n">
        <v>45880</v>
      </c>
      <c r="D620" t="inlineStr">
        <is>
          <t>UPPSALA LÄN</t>
        </is>
      </c>
      <c r="E620" t="inlineStr">
        <is>
          <t>UPPSALA</t>
        </is>
      </c>
      <c r="G620" t="n">
        <v>13.3</v>
      </c>
      <c r="H620" t="n">
        <v>0</v>
      </c>
      <c r="I620" t="n">
        <v>0</v>
      </c>
      <c r="J620" t="n">
        <v>0</v>
      </c>
      <c r="K620" t="n">
        <v>0</v>
      </c>
      <c r="L620" t="n">
        <v>0</v>
      </c>
      <c r="M620" t="n">
        <v>0</v>
      </c>
      <c r="N620" t="n">
        <v>0</v>
      </c>
      <c r="O620" t="n">
        <v>0</v>
      </c>
      <c r="P620" t="n">
        <v>0</v>
      </c>
      <c r="Q620" t="n">
        <v>0</v>
      </c>
      <c r="R620" s="2" t="inlineStr"/>
    </row>
    <row r="621" ht="15" customHeight="1">
      <c r="A621" t="inlineStr">
        <is>
          <t>A 367-2023</t>
        </is>
      </c>
      <c r="B621" s="1" t="n">
        <v>44929</v>
      </c>
      <c r="C621" s="1" t="n">
        <v>45880</v>
      </c>
      <c r="D621" t="inlineStr">
        <is>
          <t>UPPSALA LÄN</t>
        </is>
      </c>
      <c r="E621" t="inlineStr">
        <is>
          <t>UPPSALA</t>
        </is>
      </c>
      <c r="G621" t="n">
        <v>2.4</v>
      </c>
      <c r="H621" t="n">
        <v>0</v>
      </c>
      <c r="I621" t="n">
        <v>0</v>
      </c>
      <c r="J621" t="n">
        <v>0</v>
      </c>
      <c r="K621" t="n">
        <v>0</v>
      </c>
      <c r="L621" t="n">
        <v>0</v>
      </c>
      <c r="M621" t="n">
        <v>0</v>
      </c>
      <c r="N621" t="n">
        <v>0</v>
      </c>
      <c r="O621" t="n">
        <v>0</v>
      </c>
      <c r="P621" t="n">
        <v>0</v>
      </c>
      <c r="Q621" t="n">
        <v>0</v>
      </c>
      <c r="R621" s="2" t="inlineStr"/>
    </row>
    <row r="622" ht="15" customHeight="1">
      <c r="A622" t="inlineStr">
        <is>
          <t>A 12828-2025</t>
        </is>
      </c>
      <c r="B622" s="1" t="n">
        <v>45733.62903935185</v>
      </c>
      <c r="C622" s="1" t="n">
        <v>45880</v>
      </c>
      <c r="D622" t="inlineStr">
        <is>
          <t>UPPSALA LÄN</t>
        </is>
      </c>
      <c r="E622" t="inlineStr">
        <is>
          <t>UPPSALA</t>
        </is>
      </c>
      <c r="G622" t="n">
        <v>5.3</v>
      </c>
      <c r="H622" t="n">
        <v>0</v>
      </c>
      <c r="I622" t="n">
        <v>0</v>
      </c>
      <c r="J622" t="n">
        <v>0</v>
      </c>
      <c r="K622" t="n">
        <v>0</v>
      </c>
      <c r="L622" t="n">
        <v>0</v>
      </c>
      <c r="M622" t="n">
        <v>0</v>
      </c>
      <c r="N622" t="n">
        <v>0</v>
      </c>
      <c r="O622" t="n">
        <v>0</v>
      </c>
      <c r="P622" t="n">
        <v>0</v>
      </c>
      <c r="Q622" t="n">
        <v>0</v>
      </c>
      <c r="R622" s="2" t="inlineStr"/>
    </row>
    <row r="623" ht="15" customHeight="1">
      <c r="A623" t="inlineStr">
        <is>
          <t>A 53963-2023</t>
        </is>
      </c>
      <c r="B623" s="1" t="n">
        <v>45231.62840277778</v>
      </c>
      <c r="C623" s="1" t="n">
        <v>45880</v>
      </c>
      <c r="D623" t="inlineStr">
        <is>
          <t>UPPSALA LÄN</t>
        </is>
      </c>
      <c r="E623" t="inlineStr">
        <is>
          <t>UPPSALA</t>
        </is>
      </c>
      <c r="G623" t="n">
        <v>1.9</v>
      </c>
      <c r="H623" t="n">
        <v>0</v>
      </c>
      <c r="I623" t="n">
        <v>0</v>
      </c>
      <c r="J623" t="n">
        <v>0</v>
      </c>
      <c r="K623" t="n">
        <v>0</v>
      </c>
      <c r="L623" t="n">
        <v>0</v>
      </c>
      <c r="M623" t="n">
        <v>0</v>
      </c>
      <c r="N623" t="n">
        <v>0</v>
      </c>
      <c r="O623" t="n">
        <v>0</v>
      </c>
      <c r="P623" t="n">
        <v>0</v>
      </c>
      <c r="Q623" t="n">
        <v>0</v>
      </c>
      <c r="R623" s="2" t="inlineStr"/>
    </row>
    <row r="624" ht="15" customHeight="1">
      <c r="A624" t="inlineStr">
        <is>
          <t>A 25056-2025</t>
        </is>
      </c>
      <c r="B624" s="1" t="n">
        <v>45799.68190972223</v>
      </c>
      <c r="C624" s="1" t="n">
        <v>45880</v>
      </c>
      <c r="D624" t="inlineStr">
        <is>
          <t>UPPSALA LÄN</t>
        </is>
      </c>
      <c r="E624" t="inlineStr">
        <is>
          <t>UPPSALA</t>
        </is>
      </c>
      <c r="F624" t="inlineStr">
        <is>
          <t>Bergvik skog öst AB</t>
        </is>
      </c>
      <c r="G624" t="n">
        <v>20.9</v>
      </c>
      <c r="H624" t="n">
        <v>0</v>
      </c>
      <c r="I624" t="n">
        <v>0</v>
      </c>
      <c r="J624" t="n">
        <v>0</v>
      </c>
      <c r="K624" t="n">
        <v>0</v>
      </c>
      <c r="L624" t="n">
        <v>0</v>
      </c>
      <c r="M624" t="n">
        <v>0</v>
      </c>
      <c r="N624" t="n">
        <v>0</v>
      </c>
      <c r="O624" t="n">
        <v>0</v>
      </c>
      <c r="P624" t="n">
        <v>0</v>
      </c>
      <c r="Q624" t="n">
        <v>0</v>
      </c>
      <c r="R624" s="2" t="inlineStr"/>
    </row>
    <row r="625" ht="15" customHeight="1">
      <c r="A625" t="inlineStr">
        <is>
          <t>A 25052-2025</t>
        </is>
      </c>
      <c r="B625" s="1" t="n">
        <v>45799.675</v>
      </c>
      <c r="C625" s="1" t="n">
        <v>45880</v>
      </c>
      <c r="D625" t="inlineStr">
        <is>
          <t>UPPSALA LÄN</t>
        </is>
      </c>
      <c r="E625" t="inlineStr">
        <is>
          <t>UPPSALA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24913-2025</t>
        </is>
      </c>
      <c r="B626" s="1" t="n">
        <v>45799.53947916667</v>
      </c>
      <c r="C626" s="1" t="n">
        <v>45880</v>
      </c>
      <c r="D626" t="inlineStr">
        <is>
          <t>UPPSALA LÄN</t>
        </is>
      </c>
      <c r="E626" t="inlineStr">
        <is>
          <t>UPPSALA</t>
        </is>
      </c>
      <c r="F626" t="inlineStr">
        <is>
          <t>Sveaskog</t>
        </is>
      </c>
      <c r="G626" t="n">
        <v>4.9</v>
      </c>
      <c r="H626" t="n">
        <v>0</v>
      </c>
      <c r="I626" t="n">
        <v>0</v>
      </c>
      <c r="J626" t="n">
        <v>0</v>
      </c>
      <c r="K626" t="n">
        <v>0</v>
      </c>
      <c r="L626" t="n">
        <v>0</v>
      </c>
      <c r="M626" t="n">
        <v>0</v>
      </c>
      <c r="N626" t="n">
        <v>0</v>
      </c>
      <c r="O626" t="n">
        <v>0</v>
      </c>
      <c r="P626" t="n">
        <v>0</v>
      </c>
      <c r="Q626" t="n">
        <v>0</v>
      </c>
      <c r="R626" s="2" t="inlineStr"/>
    </row>
    <row r="627" ht="15" customHeight="1">
      <c r="A627" t="inlineStr">
        <is>
          <t>A 24915-2025</t>
        </is>
      </c>
      <c r="B627" s="1" t="n">
        <v>45799.54104166666</v>
      </c>
      <c r="C627" s="1" t="n">
        <v>45880</v>
      </c>
      <c r="D627" t="inlineStr">
        <is>
          <t>UPPSALA LÄN</t>
        </is>
      </c>
      <c r="E627" t="inlineStr">
        <is>
          <t>UPPSALA</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12414-2025</t>
        </is>
      </c>
      <c r="B628" s="1" t="n">
        <v>45730.43966435185</v>
      </c>
      <c r="C628" s="1" t="n">
        <v>45880</v>
      </c>
      <c r="D628" t="inlineStr">
        <is>
          <t>UPPSALA LÄN</t>
        </is>
      </c>
      <c r="E628" t="inlineStr">
        <is>
          <t>UPPSALA</t>
        </is>
      </c>
      <c r="F628" t="inlineStr">
        <is>
          <t>Övriga statliga verk och myndigheter</t>
        </is>
      </c>
      <c r="G628" t="n">
        <v>6.8</v>
      </c>
      <c r="H628" t="n">
        <v>0</v>
      </c>
      <c r="I628" t="n">
        <v>0</v>
      </c>
      <c r="J628" t="n">
        <v>0</v>
      </c>
      <c r="K628" t="n">
        <v>0</v>
      </c>
      <c r="L628" t="n">
        <v>0</v>
      </c>
      <c r="M628" t="n">
        <v>0</v>
      </c>
      <c r="N628" t="n">
        <v>0</v>
      </c>
      <c r="O628" t="n">
        <v>0</v>
      </c>
      <c r="P628" t="n">
        <v>0</v>
      </c>
      <c r="Q628" t="n">
        <v>0</v>
      </c>
      <c r="R628" s="2" t="inlineStr"/>
    </row>
    <row r="629" ht="15" customHeight="1">
      <c r="A629" t="inlineStr">
        <is>
          <t>A 32928-2025</t>
        </is>
      </c>
      <c r="B629" s="1" t="n">
        <v>45839</v>
      </c>
      <c r="C629" s="1" t="n">
        <v>45880</v>
      </c>
      <c r="D629" t="inlineStr">
        <is>
          <t>UPPSALA LÄN</t>
        </is>
      </c>
      <c r="E629" t="inlineStr">
        <is>
          <t>UPPSALA</t>
        </is>
      </c>
      <c r="G629" t="n">
        <v>0.8</v>
      </c>
      <c r="H629" t="n">
        <v>0</v>
      </c>
      <c r="I629" t="n">
        <v>0</v>
      </c>
      <c r="J629" t="n">
        <v>0</v>
      </c>
      <c r="K629" t="n">
        <v>0</v>
      </c>
      <c r="L629" t="n">
        <v>0</v>
      </c>
      <c r="M629" t="n">
        <v>0</v>
      </c>
      <c r="N629" t="n">
        <v>0</v>
      </c>
      <c r="O629" t="n">
        <v>0</v>
      </c>
      <c r="P629" t="n">
        <v>0</v>
      </c>
      <c r="Q629" t="n">
        <v>0</v>
      </c>
      <c r="R629" s="2" t="inlineStr"/>
    </row>
    <row r="630" ht="15" customHeight="1">
      <c r="A630" t="inlineStr">
        <is>
          <t>A 2897-2025</t>
        </is>
      </c>
      <c r="B630" s="1" t="n">
        <v>45677</v>
      </c>
      <c r="C630" s="1" t="n">
        <v>45880</v>
      </c>
      <c r="D630" t="inlineStr">
        <is>
          <t>UPPSALA LÄN</t>
        </is>
      </c>
      <c r="E630" t="inlineStr">
        <is>
          <t>UPPSALA</t>
        </is>
      </c>
      <c r="G630" t="n">
        <v>2.7</v>
      </c>
      <c r="H630" t="n">
        <v>0</v>
      </c>
      <c r="I630" t="n">
        <v>0</v>
      </c>
      <c r="J630" t="n">
        <v>0</v>
      </c>
      <c r="K630" t="n">
        <v>0</v>
      </c>
      <c r="L630" t="n">
        <v>0</v>
      </c>
      <c r="M630" t="n">
        <v>0</v>
      </c>
      <c r="N630" t="n">
        <v>0</v>
      </c>
      <c r="O630" t="n">
        <v>0</v>
      </c>
      <c r="P630" t="n">
        <v>0</v>
      </c>
      <c r="Q630" t="n">
        <v>0</v>
      </c>
      <c r="R630" s="2" t="inlineStr"/>
    </row>
    <row r="631" ht="15" customHeight="1">
      <c r="A631" t="inlineStr">
        <is>
          <t>A 33708-2025</t>
        </is>
      </c>
      <c r="B631" s="1" t="n">
        <v>45841.81555555556</v>
      </c>
      <c r="C631" s="1" t="n">
        <v>45880</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53365-2024</t>
        </is>
      </c>
      <c r="B632" s="1" t="n">
        <v>45614</v>
      </c>
      <c r="C632" s="1" t="n">
        <v>45880</v>
      </c>
      <c r="D632" t="inlineStr">
        <is>
          <t>UPPSALA LÄN</t>
        </is>
      </c>
      <c r="E632" t="inlineStr">
        <is>
          <t>UPPSALA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33261-2025</t>
        </is>
      </c>
      <c r="B633" s="1" t="n">
        <v>45840</v>
      </c>
      <c r="C633" s="1" t="n">
        <v>45880</v>
      </c>
      <c r="D633" t="inlineStr">
        <is>
          <t>UPPSALA LÄN</t>
        </is>
      </c>
      <c r="E633" t="inlineStr">
        <is>
          <t>UPPSALA</t>
        </is>
      </c>
      <c r="G633" t="n">
        <v>3.4</v>
      </c>
      <c r="H633" t="n">
        <v>0</v>
      </c>
      <c r="I633" t="n">
        <v>0</v>
      </c>
      <c r="J633" t="n">
        <v>0</v>
      </c>
      <c r="K633" t="n">
        <v>0</v>
      </c>
      <c r="L633" t="n">
        <v>0</v>
      </c>
      <c r="M633" t="n">
        <v>0</v>
      </c>
      <c r="N633" t="n">
        <v>0</v>
      </c>
      <c r="O633" t="n">
        <v>0</v>
      </c>
      <c r="P633" t="n">
        <v>0</v>
      </c>
      <c r="Q633" t="n">
        <v>0</v>
      </c>
      <c r="R633" s="2" t="inlineStr"/>
    </row>
    <row r="634" ht="15" customHeight="1">
      <c r="A634" t="inlineStr">
        <is>
          <t>A 13742-2025</t>
        </is>
      </c>
      <c r="B634" s="1" t="n">
        <v>45737.40503472222</v>
      </c>
      <c r="C634" s="1" t="n">
        <v>45880</v>
      </c>
      <c r="D634" t="inlineStr">
        <is>
          <t>UPPSALA LÄN</t>
        </is>
      </c>
      <c r="E634" t="inlineStr">
        <is>
          <t>UPPSALA</t>
        </is>
      </c>
      <c r="G634" t="n">
        <v>5.1</v>
      </c>
      <c r="H634" t="n">
        <v>0</v>
      </c>
      <c r="I634" t="n">
        <v>0</v>
      </c>
      <c r="J634" t="n">
        <v>0</v>
      </c>
      <c r="K634" t="n">
        <v>0</v>
      </c>
      <c r="L634" t="n">
        <v>0</v>
      </c>
      <c r="M634" t="n">
        <v>0</v>
      </c>
      <c r="N634" t="n">
        <v>0</v>
      </c>
      <c r="O634" t="n">
        <v>0</v>
      </c>
      <c r="P634" t="n">
        <v>0</v>
      </c>
      <c r="Q634" t="n">
        <v>0</v>
      </c>
      <c r="R634" s="2" t="inlineStr"/>
    </row>
    <row r="635" ht="15" customHeight="1">
      <c r="A635" t="inlineStr">
        <is>
          <t>A 25026-2025</t>
        </is>
      </c>
      <c r="B635" s="1" t="n">
        <v>45799.65021990741</v>
      </c>
      <c r="C635" s="1" t="n">
        <v>45880</v>
      </c>
      <c r="D635" t="inlineStr">
        <is>
          <t>UPPSALA LÄN</t>
        </is>
      </c>
      <c r="E635" t="inlineStr">
        <is>
          <t>UPPSALA</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25030-2025</t>
        </is>
      </c>
      <c r="B636" s="1" t="n">
        <v>45799.6527199074</v>
      </c>
      <c r="C636" s="1" t="n">
        <v>45880</v>
      </c>
      <c r="D636" t="inlineStr">
        <is>
          <t>UPPSALA LÄN</t>
        </is>
      </c>
      <c r="E636" t="inlineStr">
        <is>
          <t>UPPSALA</t>
        </is>
      </c>
      <c r="F636" t="inlineStr">
        <is>
          <t>Sveaskog</t>
        </is>
      </c>
      <c r="G636" t="n">
        <v>6</v>
      </c>
      <c r="H636" t="n">
        <v>0</v>
      </c>
      <c r="I636" t="n">
        <v>0</v>
      </c>
      <c r="J636" t="n">
        <v>0</v>
      </c>
      <c r="K636" t="n">
        <v>0</v>
      </c>
      <c r="L636" t="n">
        <v>0</v>
      </c>
      <c r="M636" t="n">
        <v>0</v>
      </c>
      <c r="N636" t="n">
        <v>0</v>
      </c>
      <c r="O636" t="n">
        <v>0</v>
      </c>
      <c r="P636" t="n">
        <v>0</v>
      </c>
      <c r="Q636" t="n">
        <v>0</v>
      </c>
      <c r="R636" s="2" t="inlineStr"/>
    </row>
    <row r="637" ht="15" customHeight="1">
      <c r="A637" t="inlineStr">
        <is>
          <t>A 6059-2025</t>
        </is>
      </c>
      <c r="B637" s="1" t="n">
        <v>45695.8391550926</v>
      </c>
      <c r="C637" s="1" t="n">
        <v>45880</v>
      </c>
      <c r="D637" t="inlineStr">
        <is>
          <t>UPPSALA LÄN</t>
        </is>
      </c>
      <c r="E637" t="inlineStr">
        <is>
          <t>UPPSALA</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6060-2025</t>
        </is>
      </c>
      <c r="B638" s="1" t="n">
        <v>45695.84078703704</v>
      </c>
      <c r="C638" s="1" t="n">
        <v>45880</v>
      </c>
      <c r="D638" t="inlineStr">
        <is>
          <t>UPPSALA LÄN</t>
        </is>
      </c>
      <c r="E638" t="inlineStr">
        <is>
          <t>UPPSALA</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24794-2025</t>
        </is>
      </c>
      <c r="B639" s="1" t="n">
        <v>45799.43496527777</v>
      </c>
      <c r="C639" s="1" t="n">
        <v>45880</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25280-2023</t>
        </is>
      </c>
      <c r="B640" s="1" t="n">
        <v>45086.7037037037</v>
      </c>
      <c r="C640" s="1" t="n">
        <v>45880</v>
      </c>
      <c r="D640" t="inlineStr">
        <is>
          <t>UPPSALA LÄN</t>
        </is>
      </c>
      <c r="E640" t="inlineStr">
        <is>
          <t>UPPSALA</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46796-2024</t>
        </is>
      </c>
      <c r="B641" s="1" t="n">
        <v>45583</v>
      </c>
      <c r="C641" s="1" t="n">
        <v>45880</v>
      </c>
      <c r="D641" t="inlineStr">
        <is>
          <t>UPPSALA LÄN</t>
        </is>
      </c>
      <c r="E641" t="inlineStr">
        <is>
          <t>UPPSALA</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1617-2021</t>
        </is>
      </c>
      <c r="B642" s="1" t="n">
        <v>44209</v>
      </c>
      <c r="C642" s="1" t="n">
        <v>45880</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15264-2025</t>
        </is>
      </c>
      <c r="B643" s="1" t="n">
        <v>45744</v>
      </c>
      <c r="C643" s="1" t="n">
        <v>45880</v>
      </c>
      <c r="D643" t="inlineStr">
        <is>
          <t>UPPSALA LÄN</t>
        </is>
      </c>
      <c r="E643" t="inlineStr">
        <is>
          <t>UPPSALA</t>
        </is>
      </c>
      <c r="G643" t="n">
        <v>3.5</v>
      </c>
      <c r="H643" t="n">
        <v>0</v>
      </c>
      <c r="I643" t="n">
        <v>0</v>
      </c>
      <c r="J643" t="n">
        <v>0</v>
      </c>
      <c r="K643" t="n">
        <v>0</v>
      </c>
      <c r="L643" t="n">
        <v>0</v>
      </c>
      <c r="M643" t="n">
        <v>0</v>
      </c>
      <c r="N643" t="n">
        <v>0</v>
      </c>
      <c r="O643" t="n">
        <v>0</v>
      </c>
      <c r="P643" t="n">
        <v>0</v>
      </c>
      <c r="Q643" t="n">
        <v>0</v>
      </c>
      <c r="R643" s="2" t="inlineStr"/>
    </row>
    <row r="644" ht="15" customHeight="1">
      <c r="A644" t="inlineStr">
        <is>
          <t>A 6628-2024</t>
        </is>
      </c>
      <c r="B644" s="1" t="n">
        <v>45341</v>
      </c>
      <c r="C644" s="1" t="n">
        <v>45880</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52197-2024</t>
        </is>
      </c>
      <c r="B645" s="1" t="n">
        <v>45608</v>
      </c>
      <c r="C645" s="1" t="n">
        <v>45880</v>
      </c>
      <c r="D645" t="inlineStr">
        <is>
          <t>UPPSALA LÄN</t>
        </is>
      </c>
      <c r="E645" t="inlineStr">
        <is>
          <t>UPPSALA</t>
        </is>
      </c>
      <c r="G645" t="n">
        <v>1.3</v>
      </c>
      <c r="H645" t="n">
        <v>0</v>
      </c>
      <c r="I645" t="n">
        <v>0</v>
      </c>
      <c r="J645" t="n">
        <v>0</v>
      </c>
      <c r="K645" t="n">
        <v>0</v>
      </c>
      <c r="L645" t="n">
        <v>0</v>
      </c>
      <c r="M645" t="n">
        <v>0</v>
      </c>
      <c r="N645" t="n">
        <v>0</v>
      </c>
      <c r="O645" t="n">
        <v>0</v>
      </c>
      <c r="P645" t="n">
        <v>0</v>
      </c>
      <c r="Q645" t="n">
        <v>0</v>
      </c>
      <c r="R645" s="2" t="inlineStr"/>
    </row>
    <row r="646" ht="15" customHeight="1">
      <c r="A646" t="inlineStr">
        <is>
          <t>A 18443-2023</t>
        </is>
      </c>
      <c r="B646" s="1" t="n">
        <v>45042</v>
      </c>
      <c r="C646" s="1" t="n">
        <v>45880</v>
      </c>
      <c r="D646" t="inlineStr">
        <is>
          <t>UPPSALA LÄN</t>
        </is>
      </c>
      <c r="E646" t="inlineStr">
        <is>
          <t>UPPSALA</t>
        </is>
      </c>
      <c r="G646" t="n">
        <v>0.4</v>
      </c>
      <c r="H646" t="n">
        <v>0</v>
      </c>
      <c r="I646" t="n">
        <v>0</v>
      </c>
      <c r="J646" t="n">
        <v>0</v>
      </c>
      <c r="K646" t="n">
        <v>0</v>
      </c>
      <c r="L646" t="n">
        <v>0</v>
      </c>
      <c r="M646" t="n">
        <v>0</v>
      </c>
      <c r="N646" t="n">
        <v>0</v>
      </c>
      <c r="O646" t="n">
        <v>0</v>
      </c>
      <c r="P646" t="n">
        <v>0</v>
      </c>
      <c r="Q646" t="n">
        <v>0</v>
      </c>
      <c r="R646" s="2" t="inlineStr"/>
    </row>
    <row r="647" ht="15" customHeight="1">
      <c r="A647" t="inlineStr">
        <is>
          <t>A 8090-2022</t>
        </is>
      </c>
      <c r="B647" s="1" t="n">
        <v>44608</v>
      </c>
      <c r="C647" s="1" t="n">
        <v>45880</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60047-2022</t>
        </is>
      </c>
      <c r="B648" s="1" t="n">
        <v>44909.51885416666</v>
      </c>
      <c r="C648" s="1" t="n">
        <v>45880</v>
      </c>
      <c r="D648" t="inlineStr">
        <is>
          <t>UPPSALA LÄN</t>
        </is>
      </c>
      <c r="E648" t="inlineStr">
        <is>
          <t>UPPSALA</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25513-2025</t>
        </is>
      </c>
      <c r="B649" s="1" t="n">
        <v>45803.36384259259</v>
      </c>
      <c r="C649" s="1" t="n">
        <v>45880</v>
      </c>
      <c r="D649" t="inlineStr">
        <is>
          <t>UPPSALA LÄN</t>
        </is>
      </c>
      <c r="E649" t="inlineStr">
        <is>
          <t>UPPSALA</t>
        </is>
      </c>
      <c r="F649" t="inlineStr">
        <is>
          <t>Bergvik skog öst AB</t>
        </is>
      </c>
      <c r="G649" t="n">
        <v>8.9</v>
      </c>
      <c r="H649" t="n">
        <v>0</v>
      </c>
      <c r="I649" t="n">
        <v>0</v>
      </c>
      <c r="J649" t="n">
        <v>0</v>
      </c>
      <c r="K649" t="n">
        <v>0</v>
      </c>
      <c r="L649" t="n">
        <v>0</v>
      </c>
      <c r="M649" t="n">
        <v>0</v>
      </c>
      <c r="N649" t="n">
        <v>0</v>
      </c>
      <c r="O649" t="n">
        <v>0</v>
      </c>
      <c r="P649" t="n">
        <v>0</v>
      </c>
      <c r="Q649" t="n">
        <v>0</v>
      </c>
      <c r="R649" s="2" t="inlineStr"/>
    </row>
    <row r="650" ht="15" customHeight="1">
      <c r="A650" t="inlineStr">
        <is>
          <t>A 50535-2024</t>
        </is>
      </c>
      <c r="B650" s="1" t="n">
        <v>45600</v>
      </c>
      <c r="C650" s="1" t="n">
        <v>45880</v>
      </c>
      <c r="D650" t="inlineStr">
        <is>
          <t>UPPSALA LÄN</t>
        </is>
      </c>
      <c r="E650" t="inlineStr">
        <is>
          <t>UPPSALA</t>
        </is>
      </c>
      <c r="F650" t="inlineStr">
        <is>
          <t>Övriga statliga verk och myndigheter</t>
        </is>
      </c>
      <c r="G650" t="n">
        <v>3.2</v>
      </c>
      <c r="H650" t="n">
        <v>0</v>
      </c>
      <c r="I650" t="n">
        <v>0</v>
      </c>
      <c r="J650" t="n">
        <v>0</v>
      </c>
      <c r="K650" t="n">
        <v>0</v>
      </c>
      <c r="L650" t="n">
        <v>0</v>
      </c>
      <c r="M650" t="n">
        <v>0</v>
      </c>
      <c r="N650" t="n">
        <v>0</v>
      </c>
      <c r="O650" t="n">
        <v>0</v>
      </c>
      <c r="P650" t="n">
        <v>0</v>
      </c>
      <c r="Q650" t="n">
        <v>0</v>
      </c>
      <c r="R650" s="2" t="inlineStr"/>
    </row>
    <row r="651" ht="15" customHeight="1">
      <c r="A651" t="inlineStr">
        <is>
          <t>A 29799-2023</t>
        </is>
      </c>
      <c r="B651" s="1" t="n">
        <v>45107.53688657407</v>
      </c>
      <c r="C651" s="1" t="n">
        <v>45880</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24098-2024</t>
        </is>
      </c>
      <c r="B652" s="1" t="n">
        <v>45456.59535879629</v>
      </c>
      <c r="C652" s="1" t="n">
        <v>45880</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7376-2025</t>
        </is>
      </c>
      <c r="B653" s="1" t="n">
        <v>45705.2953125</v>
      </c>
      <c r="C653" s="1" t="n">
        <v>45880</v>
      </c>
      <c r="D653" t="inlineStr">
        <is>
          <t>UPPSALA LÄN</t>
        </is>
      </c>
      <c r="E653" t="inlineStr">
        <is>
          <t>UPPSALA</t>
        </is>
      </c>
      <c r="F653" t="inlineStr">
        <is>
          <t>Bergvik skog väst AB</t>
        </is>
      </c>
      <c r="G653" t="n">
        <v>7.4</v>
      </c>
      <c r="H653" t="n">
        <v>0</v>
      </c>
      <c r="I653" t="n">
        <v>0</v>
      </c>
      <c r="J653" t="n">
        <v>0</v>
      </c>
      <c r="K653" t="n">
        <v>0</v>
      </c>
      <c r="L653" t="n">
        <v>0</v>
      </c>
      <c r="M653" t="n">
        <v>0</v>
      </c>
      <c r="N653" t="n">
        <v>0</v>
      </c>
      <c r="O653" t="n">
        <v>0</v>
      </c>
      <c r="P653" t="n">
        <v>0</v>
      </c>
      <c r="Q653" t="n">
        <v>0</v>
      </c>
      <c r="R653" s="2" t="inlineStr"/>
    </row>
    <row r="654" ht="15" customHeight="1">
      <c r="A654" t="inlineStr">
        <is>
          <t>A 34132-2025</t>
        </is>
      </c>
      <c r="B654" s="1" t="n">
        <v>45845.53202546296</v>
      </c>
      <c r="C654" s="1" t="n">
        <v>45880</v>
      </c>
      <c r="D654" t="inlineStr">
        <is>
          <t>UPPSALA LÄN</t>
        </is>
      </c>
      <c r="E654" t="inlineStr">
        <is>
          <t>UPPSALA</t>
        </is>
      </c>
      <c r="G654" t="n">
        <v>0.9</v>
      </c>
      <c r="H654" t="n">
        <v>0</v>
      </c>
      <c r="I654" t="n">
        <v>0</v>
      </c>
      <c r="J654" t="n">
        <v>0</v>
      </c>
      <c r="K654" t="n">
        <v>0</v>
      </c>
      <c r="L654" t="n">
        <v>0</v>
      </c>
      <c r="M654" t="n">
        <v>0</v>
      </c>
      <c r="N654" t="n">
        <v>0</v>
      </c>
      <c r="O654" t="n">
        <v>0</v>
      </c>
      <c r="P654" t="n">
        <v>0</v>
      </c>
      <c r="Q654" t="n">
        <v>0</v>
      </c>
      <c r="R654" s="2" t="inlineStr"/>
    </row>
    <row r="655" ht="15" customHeight="1">
      <c r="A655" t="inlineStr">
        <is>
          <t>A 20418-2025</t>
        </is>
      </c>
      <c r="B655" s="1" t="n">
        <v>45775.46377314815</v>
      </c>
      <c r="C655" s="1" t="n">
        <v>45880</v>
      </c>
      <c r="D655" t="inlineStr">
        <is>
          <t>UPPSALA LÄN</t>
        </is>
      </c>
      <c r="E655" t="inlineStr">
        <is>
          <t>UPPSALA</t>
        </is>
      </c>
      <c r="F655" t="inlineStr">
        <is>
          <t>Allmännings- och besparingsskogar</t>
        </is>
      </c>
      <c r="G655" t="n">
        <v>5.2</v>
      </c>
      <c r="H655" t="n">
        <v>0</v>
      </c>
      <c r="I655" t="n">
        <v>0</v>
      </c>
      <c r="J655" t="n">
        <v>0</v>
      </c>
      <c r="K655" t="n">
        <v>0</v>
      </c>
      <c r="L655" t="n">
        <v>0</v>
      </c>
      <c r="M655" t="n">
        <v>0</v>
      </c>
      <c r="N655" t="n">
        <v>0</v>
      </c>
      <c r="O655" t="n">
        <v>0</v>
      </c>
      <c r="P655" t="n">
        <v>0</v>
      </c>
      <c r="Q655" t="n">
        <v>0</v>
      </c>
      <c r="R655" s="2" t="inlineStr"/>
    </row>
    <row r="656" ht="15" customHeight="1">
      <c r="A656" t="inlineStr">
        <is>
          <t>A 25674-2025</t>
        </is>
      </c>
      <c r="B656" s="1" t="n">
        <v>45803.63395833333</v>
      </c>
      <c r="C656" s="1" t="n">
        <v>45880</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50395-2023</t>
        </is>
      </c>
      <c r="B657" s="1" t="n">
        <v>45216</v>
      </c>
      <c r="C657" s="1" t="n">
        <v>45880</v>
      </c>
      <c r="D657" t="inlineStr">
        <is>
          <t>UPPSALA LÄN</t>
        </is>
      </c>
      <c r="E657" t="inlineStr">
        <is>
          <t>UPPSALA</t>
        </is>
      </c>
      <c r="G657" t="n">
        <v>2.3</v>
      </c>
      <c r="H657" t="n">
        <v>0</v>
      </c>
      <c r="I657" t="n">
        <v>0</v>
      </c>
      <c r="J657" t="n">
        <v>0</v>
      </c>
      <c r="K657" t="n">
        <v>0</v>
      </c>
      <c r="L657" t="n">
        <v>0</v>
      </c>
      <c r="M657" t="n">
        <v>0</v>
      </c>
      <c r="N657" t="n">
        <v>0</v>
      </c>
      <c r="O657" t="n">
        <v>0</v>
      </c>
      <c r="P657" t="n">
        <v>0</v>
      </c>
      <c r="Q657" t="n">
        <v>0</v>
      </c>
      <c r="R657" s="2" t="inlineStr"/>
    </row>
    <row r="658" ht="15" customHeight="1">
      <c r="A658" t="inlineStr">
        <is>
          <t>A 50473-2023</t>
        </is>
      </c>
      <c r="B658" s="1" t="n">
        <v>45216</v>
      </c>
      <c r="C658" s="1" t="n">
        <v>45880</v>
      </c>
      <c r="D658" t="inlineStr">
        <is>
          <t>UPPSALA LÄN</t>
        </is>
      </c>
      <c r="E658" t="inlineStr">
        <is>
          <t>UPPSALA</t>
        </is>
      </c>
      <c r="F658" t="inlineStr">
        <is>
          <t>Allmännings- och besparingsskogar</t>
        </is>
      </c>
      <c r="G658" t="n">
        <v>7.6</v>
      </c>
      <c r="H658" t="n">
        <v>0</v>
      </c>
      <c r="I658" t="n">
        <v>0</v>
      </c>
      <c r="J658" t="n">
        <v>0</v>
      </c>
      <c r="K658" t="n">
        <v>0</v>
      </c>
      <c r="L658" t="n">
        <v>0</v>
      </c>
      <c r="M658" t="n">
        <v>0</v>
      </c>
      <c r="N658" t="n">
        <v>0</v>
      </c>
      <c r="O658" t="n">
        <v>0</v>
      </c>
      <c r="P658" t="n">
        <v>0</v>
      </c>
      <c r="Q658" t="n">
        <v>0</v>
      </c>
      <c r="R658" s="2" t="inlineStr"/>
    </row>
    <row r="659" ht="15" customHeight="1">
      <c r="A659" t="inlineStr">
        <is>
          <t>A 41002-2023</t>
        </is>
      </c>
      <c r="B659" s="1" t="n">
        <v>45173</v>
      </c>
      <c r="C659" s="1" t="n">
        <v>45880</v>
      </c>
      <c r="D659" t="inlineStr">
        <is>
          <t>UPPSALA LÄN</t>
        </is>
      </c>
      <c r="E659" t="inlineStr">
        <is>
          <t>UPPSALA</t>
        </is>
      </c>
      <c r="G659" t="n">
        <v>6.2</v>
      </c>
      <c r="H659" t="n">
        <v>0</v>
      </c>
      <c r="I659" t="n">
        <v>0</v>
      </c>
      <c r="J659" t="n">
        <v>0</v>
      </c>
      <c r="K659" t="n">
        <v>0</v>
      </c>
      <c r="L659" t="n">
        <v>0</v>
      </c>
      <c r="M659" t="n">
        <v>0</v>
      </c>
      <c r="N659" t="n">
        <v>0</v>
      </c>
      <c r="O659" t="n">
        <v>0</v>
      </c>
      <c r="P659" t="n">
        <v>0</v>
      </c>
      <c r="Q659" t="n">
        <v>0</v>
      </c>
      <c r="R659" s="2" t="inlineStr"/>
    </row>
    <row r="660" ht="15" customHeight="1">
      <c r="A660" t="inlineStr">
        <is>
          <t>A 56084-2024</t>
        </is>
      </c>
      <c r="B660" s="1" t="n">
        <v>45624</v>
      </c>
      <c r="C660" s="1" t="n">
        <v>45880</v>
      </c>
      <c r="D660" t="inlineStr">
        <is>
          <t>UPPSALA LÄN</t>
        </is>
      </c>
      <c r="E660" t="inlineStr">
        <is>
          <t>UPPSALA</t>
        </is>
      </c>
      <c r="G660" t="n">
        <v>3.8</v>
      </c>
      <c r="H660" t="n">
        <v>0</v>
      </c>
      <c r="I660" t="n">
        <v>0</v>
      </c>
      <c r="J660" t="n">
        <v>0</v>
      </c>
      <c r="K660" t="n">
        <v>0</v>
      </c>
      <c r="L660" t="n">
        <v>0</v>
      </c>
      <c r="M660" t="n">
        <v>0</v>
      </c>
      <c r="N660" t="n">
        <v>0</v>
      </c>
      <c r="O660" t="n">
        <v>0</v>
      </c>
      <c r="P660" t="n">
        <v>0</v>
      </c>
      <c r="Q660" t="n">
        <v>0</v>
      </c>
      <c r="R660" s="2" t="inlineStr"/>
    </row>
    <row r="661" ht="15" customHeight="1">
      <c r="A661" t="inlineStr">
        <is>
          <t>A 18330-2025</t>
        </is>
      </c>
      <c r="B661" s="1" t="n">
        <v>45762.49243055555</v>
      </c>
      <c r="C661" s="1" t="n">
        <v>45880</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5725-2025</t>
        </is>
      </c>
      <c r="B662" s="1" t="n">
        <v>45694</v>
      </c>
      <c r="C662" s="1" t="n">
        <v>45880</v>
      </c>
      <c r="D662" t="inlineStr">
        <is>
          <t>UPPSALA LÄN</t>
        </is>
      </c>
      <c r="E662" t="inlineStr">
        <is>
          <t>UPPSALA</t>
        </is>
      </c>
      <c r="G662" t="n">
        <v>1.3</v>
      </c>
      <c r="H662" t="n">
        <v>0</v>
      </c>
      <c r="I662" t="n">
        <v>0</v>
      </c>
      <c r="J662" t="n">
        <v>0</v>
      </c>
      <c r="K662" t="n">
        <v>0</v>
      </c>
      <c r="L662" t="n">
        <v>0</v>
      </c>
      <c r="M662" t="n">
        <v>0</v>
      </c>
      <c r="N662" t="n">
        <v>0</v>
      </c>
      <c r="O662" t="n">
        <v>0</v>
      </c>
      <c r="P662" t="n">
        <v>0</v>
      </c>
      <c r="Q662" t="n">
        <v>0</v>
      </c>
      <c r="R662" s="2" t="inlineStr"/>
    </row>
    <row r="663" ht="15" customHeight="1">
      <c r="A663" t="inlineStr">
        <is>
          <t>A 26130-2025</t>
        </is>
      </c>
      <c r="B663" s="1" t="n">
        <v>45805.4094675926</v>
      </c>
      <c r="C663" s="1" t="n">
        <v>45880</v>
      </c>
      <c r="D663" t="inlineStr">
        <is>
          <t>UPPSALA LÄN</t>
        </is>
      </c>
      <c r="E663" t="inlineStr">
        <is>
          <t>UPPSALA</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26131-2025</t>
        </is>
      </c>
      <c r="B664" s="1" t="n">
        <v>45805.41010416667</v>
      </c>
      <c r="C664" s="1" t="n">
        <v>45880</v>
      </c>
      <c r="D664" t="inlineStr">
        <is>
          <t>UPPSALA LÄN</t>
        </is>
      </c>
      <c r="E664" t="inlineStr">
        <is>
          <t>UPPSALA</t>
        </is>
      </c>
      <c r="F664" t="inlineStr">
        <is>
          <t>Bergvik skog öst AB</t>
        </is>
      </c>
      <c r="G664" t="n">
        <v>3.8</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45880</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12209-2025</t>
        </is>
      </c>
      <c r="B666" s="1" t="n">
        <v>45729</v>
      </c>
      <c r="C666" s="1" t="n">
        <v>45880</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12211-2025</t>
        </is>
      </c>
      <c r="B667" s="1" t="n">
        <v>45729</v>
      </c>
      <c r="C667" s="1" t="n">
        <v>45880</v>
      </c>
      <c r="D667" t="inlineStr">
        <is>
          <t>UPPSALA LÄN</t>
        </is>
      </c>
      <c r="E667" t="inlineStr">
        <is>
          <t>UPPSALA</t>
        </is>
      </c>
      <c r="G667" t="n">
        <v>3.6</v>
      </c>
      <c r="H667" t="n">
        <v>0</v>
      </c>
      <c r="I667" t="n">
        <v>0</v>
      </c>
      <c r="J667" t="n">
        <v>0</v>
      </c>
      <c r="K667" t="n">
        <v>0</v>
      </c>
      <c r="L667" t="n">
        <v>0</v>
      </c>
      <c r="M667" t="n">
        <v>0</v>
      </c>
      <c r="N667" t="n">
        <v>0</v>
      </c>
      <c r="O667" t="n">
        <v>0</v>
      </c>
      <c r="P667" t="n">
        <v>0</v>
      </c>
      <c r="Q667" t="n">
        <v>0</v>
      </c>
      <c r="R667" s="2" t="inlineStr"/>
    </row>
    <row r="668" ht="15" customHeight="1">
      <c r="A668" t="inlineStr">
        <is>
          <t>A 48564-2023</t>
        </is>
      </c>
      <c r="B668" s="1" t="n">
        <v>45208.4350462963</v>
      </c>
      <c r="C668" s="1" t="n">
        <v>45880</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7501-2025</t>
        </is>
      </c>
      <c r="B669" s="1" t="n">
        <v>45705</v>
      </c>
      <c r="C669" s="1" t="n">
        <v>45880</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26139-2025</t>
        </is>
      </c>
      <c r="B670" s="1" t="n">
        <v>45805.41813657407</v>
      </c>
      <c r="C670" s="1" t="n">
        <v>45880</v>
      </c>
      <c r="D670" t="inlineStr">
        <is>
          <t>UPPSALA LÄN</t>
        </is>
      </c>
      <c r="E670" t="inlineStr">
        <is>
          <t>UPPSALA</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25462-2023</t>
        </is>
      </c>
      <c r="B671" s="1" t="n">
        <v>45089</v>
      </c>
      <c r="C671" s="1" t="n">
        <v>45880</v>
      </c>
      <c r="D671" t="inlineStr">
        <is>
          <t>UPPSALA LÄN</t>
        </is>
      </c>
      <c r="E671" t="inlineStr">
        <is>
          <t>UPPSALA</t>
        </is>
      </c>
      <c r="G671" t="n">
        <v>1.3</v>
      </c>
      <c r="H671" t="n">
        <v>0</v>
      </c>
      <c r="I671" t="n">
        <v>0</v>
      </c>
      <c r="J671" t="n">
        <v>0</v>
      </c>
      <c r="K671" t="n">
        <v>0</v>
      </c>
      <c r="L671" t="n">
        <v>0</v>
      </c>
      <c r="M671" t="n">
        <v>0</v>
      </c>
      <c r="N671" t="n">
        <v>0</v>
      </c>
      <c r="O671" t="n">
        <v>0</v>
      </c>
      <c r="P671" t="n">
        <v>0</v>
      </c>
      <c r="Q671" t="n">
        <v>0</v>
      </c>
      <c r="R671" s="2" t="inlineStr"/>
    </row>
    <row r="672" ht="15" customHeight="1">
      <c r="A672" t="inlineStr">
        <is>
          <t>A 42273-2023</t>
        </is>
      </c>
      <c r="B672" s="1" t="n">
        <v>45180.40255787037</v>
      </c>
      <c r="C672" s="1" t="n">
        <v>45880</v>
      </c>
      <c r="D672" t="inlineStr">
        <is>
          <t>UPPSALA LÄN</t>
        </is>
      </c>
      <c r="E672" t="inlineStr">
        <is>
          <t>UPPSALA</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44614.59027777778</v>
      </c>
      <c r="C673" s="1" t="n">
        <v>45880</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33622-2024</t>
        </is>
      </c>
      <c r="B674" s="1" t="n">
        <v>45520</v>
      </c>
      <c r="C674" s="1" t="n">
        <v>45880</v>
      </c>
      <c r="D674" t="inlineStr">
        <is>
          <t>UPPSALA LÄN</t>
        </is>
      </c>
      <c r="E674" t="inlineStr">
        <is>
          <t>UPPSALA</t>
        </is>
      </c>
      <c r="G674" t="n">
        <v>1</v>
      </c>
      <c r="H674" t="n">
        <v>0</v>
      </c>
      <c r="I674" t="n">
        <v>0</v>
      </c>
      <c r="J674" t="n">
        <v>0</v>
      </c>
      <c r="K674" t="n">
        <v>0</v>
      </c>
      <c r="L674" t="n">
        <v>0</v>
      </c>
      <c r="M674" t="n">
        <v>0</v>
      </c>
      <c r="N674" t="n">
        <v>0</v>
      </c>
      <c r="O674" t="n">
        <v>0</v>
      </c>
      <c r="P674" t="n">
        <v>0</v>
      </c>
      <c r="Q674" t="n">
        <v>0</v>
      </c>
      <c r="R674" s="2" t="inlineStr"/>
    </row>
    <row r="675" ht="15" customHeight="1">
      <c r="A675" t="inlineStr">
        <is>
          <t>A 17562-2022</t>
        </is>
      </c>
      <c r="B675" s="1" t="n">
        <v>44679.68706018518</v>
      </c>
      <c r="C675" s="1" t="n">
        <v>45880</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36123-2023</t>
        </is>
      </c>
      <c r="B676" s="1" t="n">
        <v>45149.56928240741</v>
      </c>
      <c r="C676" s="1" t="n">
        <v>45880</v>
      </c>
      <c r="D676" t="inlineStr">
        <is>
          <t>UPPSALA LÄN</t>
        </is>
      </c>
      <c r="E676" t="inlineStr">
        <is>
          <t>UPPSALA</t>
        </is>
      </c>
      <c r="F676" t="inlineStr">
        <is>
          <t>Allmännings- och besparingsskogar</t>
        </is>
      </c>
      <c r="G676" t="n">
        <v>4.2</v>
      </c>
      <c r="H676" t="n">
        <v>0</v>
      </c>
      <c r="I676" t="n">
        <v>0</v>
      </c>
      <c r="J676" t="n">
        <v>0</v>
      </c>
      <c r="K676" t="n">
        <v>0</v>
      </c>
      <c r="L676" t="n">
        <v>0</v>
      </c>
      <c r="M676" t="n">
        <v>0</v>
      </c>
      <c r="N676" t="n">
        <v>0</v>
      </c>
      <c r="O676" t="n">
        <v>0</v>
      </c>
      <c r="P676" t="n">
        <v>0</v>
      </c>
      <c r="Q676" t="n">
        <v>0</v>
      </c>
      <c r="R676" s="2" t="inlineStr"/>
    </row>
    <row r="677" ht="15" customHeight="1">
      <c r="A677" t="inlineStr">
        <is>
          <t>A 26155-2025</t>
        </is>
      </c>
      <c r="B677" s="1" t="n">
        <v>45805.43402777778</v>
      </c>
      <c r="C677" s="1" t="n">
        <v>45880</v>
      </c>
      <c r="D677" t="inlineStr">
        <is>
          <t>UPPSALA LÄN</t>
        </is>
      </c>
      <c r="E677" t="inlineStr">
        <is>
          <t>UPPSALA</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26141-2025</t>
        </is>
      </c>
      <c r="B678" s="1" t="n">
        <v>45805.4255787037</v>
      </c>
      <c r="C678" s="1" t="n">
        <v>45880</v>
      </c>
      <c r="D678" t="inlineStr">
        <is>
          <t>UPPSALA LÄN</t>
        </is>
      </c>
      <c r="E678" t="inlineStr">
        <is>
          <t>UPPSALA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42543-2023</t>
        </is>
      </c>
      <c r="B679" s="1" t="n">
        <v>45181.36815972222</v>
      </c>
      <c r="C679" s="1" t="n">
        <v>45880</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32127-2024</t>
        </is>
      </c>
      <c r="B680" s="1" t="n">
        <v>45511</v>
      </c>
      <c r="C680" s="1" t="n">
        <v>45880</v>
      </c>
      <c r="D680" t="inlineStr">
        <is>
          <t>UPPSALA LÄN</t>
        </is>
      </c>
      <c r="E680" t="inlineStr">
        <is>
          <t>UPPSALA</t>
        </is>
      </c>
      <c r="G680" t="n">
        <v>3.7</v>
      </c>
      <c r="H680" t="n">
        <v>0</v>
      </c>
      <c r="I680" t="n">
        <v>0</v>
      </c>
      <c r="J680" t="n">
        <v>0</v>
      </c>
      <c r="K680" t="n">
        <v>0</v>
      </c>
      <c r="L680" t="n">
        <v>0</v>
      </c>
      <c r="M680" t="n">
        <v>0</v>
      </c>
      <c r="N680" t="n">
        <v>0</v>
      </c>
      <c r="O680" t="n">
        <v>0</v>
      </c>
      <c r="P680" t="n">
        <v>0</v>
      </c>
      <c r="Q680" t="n">
        <v>0</v>
      </c>
      <c r="R680" s="2" t="inlineStr"/>
    </row>
    <row r="681" ht="15" customHeight="1">
      <c r="A681" t="inlineStr">
        <is>
          <t>A 34893-2025</t>
        </is>
      </c>
      <c r="B681" s="1" t="n">
        <v>45849.49259259259</v>
      </c>
      <c r="C681" s="1" t="n">
        <v>45880</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17558-2022</t>
        </is>
      </c>
      <c r="B682" s="1" t="n">
        <v>44679.66694444444</v>
      </c>
      <c r="C682" s="1" t="n">
        <v>45880</v>
      </c>
      <c r="D682" t="inlineStr">
        <is>
          <t>UPPSALA LÄN</t>
        </is>
      </c>
      <c r="E682" t="inlineStr">
        <is>
          <t>UPPSALA</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4875-2021</t>
        </is>
      </c>
      <c r="B683" s="1" t="n">
        <v>44223</v>
      </c>
      <c r="C683" s="1" t="n">
        <v>45880</v>
      </c>
      <c r="D683" t="inlineStr">
        <is>
          <t>UPPSALA LÄN</t>
        </is>
      </c>
      <c r="E683" t="inlineStr">
        <is>
          <t>UPPSALA</t>
        </is>
      </c>
      <c r="G683" t="n">
        <v>0.4</v>
      </c>
      <c r="H683" t="n">
        <v>0</v>
      </c>
      <c r="I683" t="n">
        <v>0</v>
      </c>
      <c r="J683" t="n">
        <v>0</v>
      </c>
      <c r="K683" t="n">
        <v>0</v>
      </c>
      <c r="L683" t="n">
        <v>0</v>
      </c>
      <c r="M683" t="n">
        <v>0</v>
      </c>
      <c r="N683" t="n">
        <v>0</v>
      </c>
      <c r="O683" t="n">
        <v>0</v>
      </c>
      <c r="P683" t="n">
        <v>0</v>
      </c>
      <c r="Q683" t="n">
        <v>0</v>
      </c>
      <c r="R683" s="2" t="inlineStr"/>
    </row>
    <row r="684" ht="15" customHeight="1">
      <c r="A684" t="inlineStr">
        <is>
          <t>A 27442-2024</t>
        </is>
      </c>
      <c r="B684" s="1" t="n">
        <v>45474.41729166666</v>
      </c>
      <c r="C684" s="1" t="n">
        <v>45880</v>
      </c>
      <c r="D684" t="inlineStr">
        <is>
          <t>UPPSALA LÄN</t>
        </is>
      </c>
      <c r="E684" t="inlineStr">
        <is>
          <t>UPPSALA</t>
        </is>
      </c>
      <c r="F684" t="inlineStr">
        <is>
          <t>Holmen skog AB</t>
        </is>
      </c>
      <c r="G684" t="n">
        <v>2.6</v>
      </c>
      <c r="H684" t="n">
        <v>0</v>
      </c>
      <c r="I684" t="n">
        <v>0</v>
      </c>
      <c r="J684" t="n">
        <v>0</v>
      </c>
      <c r="K684" t="n">
        <v>0</v>
      </c>
      <c r="L684" t="n">
        <v>0</v>
      </c>
      <c r="M684" t="n">
        <v>0</v>
      </c>
      <c r="N684" t="n">
        <v>0</v>
      </c>
      <c r="O684" t="n">
        <v>0</v>
      </c>
      <c r="P684" t="n">
        <v>0</v>
      </c>
      <c r="Q684" t="n">
        <v>0</v>
      </c>
      <c r="R684" s="2" t="inlineStr"/>
    </row>
    <row r="685" ht="15" customHeight="1">
      <c r="A685" t="inlineStr">
        <is>
          <t>A 43795-2023</t>
        </is>
      </c>
      <c r="B685" s="1" t="n">
        <v>45182</v>
      </c>
      <c r="C685" s="1" t="n">
        <v>45880</v>
      </c>
      <c r="D685" t="inlineStr">
        <is>
          <t>UPPSALA LÄN</t>
        </is>
      </c>
      <c r="E685" t="inlineStr">
        <is>
          <t>UPPSALA</t>
        </is>
      </c>
      <c r="G685" t="n">
        <v>4.7</v>
      </c>
      <c r="H685" t="n">
        <v>0</v>
      </c>
      <c r="I685" t="n">
        <v>0</v>
      </c>
      <c r="J685" t="n">
        <v>0</v>
      </c>
      <c r="K685" t="n">
        <v>0</v>
      </c>
      <c r="L685" t="n">
        <v>0</v>
      </c>
      <c r="M685" t="n">
        <v>0</v>
      </c>
      <c r="N685" t="n">
        <v>0</v>
      </c>
      <c r="O685" t="n">
        <v>0</v>
      </c>
      <c r="P685" t="n">
        <v>0</v>
      </c>
      <c r="Q685" t="n">
        <v>0</v>
      </c>
      <c r="R685" s="2" t="inlineStr"/>
    </row>
    <row r="686" ht="15" customHeight="1">
      <c r="A686" t="inlineStr">
        <is>
          <t>A 43818-2023</t>
        </is>
      </c>
      <c r="B686" s="1" t="n">
        <v>45182</v>
      </c>
      <c r="C686" s="1" t="n">
        <v>45880</v>
      </c>
      <c r="D686" t="inlineStr">
        <is>
          <t>UPPSALA LÄN</t>
        </is>
      </c>
      <c r="E686" t="inlineStr">
        <is>
          <t>UPPSALA</t>
        </is>
      </c>
      <c r="G686" t="n">
        <v>10.8</v>
      </c>
      <c r="H686" t="n">
        <v>0</v>
      </c>
      <c r="I686" t="n">
        <v>0</v>
      </c>
      <c r="J686" t="n">
        <v>0</v>
      </c>
      <c r="K686" t="n">
        <v>0</v>
      </c>
      <c r="L686" t="n">
        <v>0</v>
      </c>
      <c r="M686" t="n">
        <v>0</v>
      </c>
      <c r="N686" t="n">
        <v>0</v>
      </c>
      <c r="O686" t="n">
        <v>0</v>
      </c>
      <c r="P686" t="n">
        <v>0</v>
      </c>
      <c r="Q686" t="n">
        <v>0</v>
      </c>
      <c r="R686" s="2" t="inlineStr"/>
    </row>
    <row r="687" ht="15" customHeight="1">
      <c r="A687" t="inlineStr">
        <is>
          <t>A 35016-2025</t>
        </is>
      </c>
      <c r="B687" s="1" t="n">
        <v>45851.62179398148</v>
      </c>
      <c r="C687" s="1" t="n">
        <v>45880</v>
      </c>
      <c r="D687" t="inlineStr">
        <is>
          <t>UPPSALA LÄN</t>
        </is>
      </c>
      <c r="E687" t="inlineStr">
        <is>
          <t>UPPSALA</t>
        </is>
      </c>
      <c r="F687" t="inlineStr">
        <is>
          <t>Bergvik skog öst AB</t>
        </is>
      </c>
      <c r="G687" t="n">
        <v>7</v>
      </c>
      <c r="H687" t="n">
        <v>0</v>
      </c>
      <c r="I687" t="n">
        <v>0</v>
      </c>
      <c r="J687" t="n">
        <v>0</v>
      </c>
      <c r="K687" t="n">
        <v>0</v>
      </c>
      <c r="L687" t="n">
        <v>0</v>
      </c>
      <c r="M687" t="n">
        <v>0</v>
      </c>
      <c r="N687" t="n">
        <v>0</v>
      </c>
      <c r="O687" t="n">
        <v>0</v>
      </c>
      <c r="P687" t="n">
        <v>0</v>
      </c>
      <c r="Q687" t="n">
        <v>0</v>
      </c>
      <c r="R687" s="2" t="inlineStr"/>
    </row>
    <row r="688" ht="15" customHeight="1">
      <c r="A688" t="inlineStr">
        <is>
          <t>A 26697-2025</t>
        </is>
      </c>
      <c r="B688" s="1" t="n">
        <v>45810.44339120371</v>
      </c>
      <c r="C688" s="1" t="n">
        <v>45880</v>
      </c>
      <c r="D688" t="inlineStr">
        <is>
          <t>UPPSALA LÄN</t>
        </is>
      </c>
      <c r="E688" t="inlineStr">
        <is>
          <t>UPPSALA</t>
        </is>
      </c>
      <c r="F688" t="inlineStr">
        <is>
          <t>Bergvik skog öst AB</t>
        </is>
      </c>
      <c r="G688" t="n">
        <v>2.8</v>
      </c>
      <c r="H688" t="n">
        <v>0</v>
      </c>
      <c r="I688" t="n">
        <v>0</v>
      </c>
      <c r="J688" t="n">
        <v>0</v>
      </c>
      <c r="K688" t="n">
        <v>0</v>
      </c>
      <c r="L688" t="n">
        <v>0</v>
      </c>
      <c r="M688" t="n">
        <v>0</v>
      </c>
      <c r="N688" t="n">
        <v>0</v>
      </c>
      <c r="O688" t="n">
        <v>0</v>
      </c>
      <c r="P688" t="n">
        <v>0</v>
      </c>
      <c r="Q688" t="n">
        <v>0</v>
      </c>
      <c r="R688" s="2" t="inlineStr"/>
    </row>
    <row r="689" ht="15" customHeight="1">
      <c r="A689" t="inlineStr">
        <is>
          <t>A 26739-2025</t>
        </is>
      </c>
      <c r="B689" s="1" t="n">
        <v>45809</v>
      </c>
      <c r="C689" s="1" t="n">
        <v>45880</v>
      </c>
      <c r="D689" t="inlineStr">
        <is>
          <t>UPPSALA LÄN</t>
        </is>
      </c>
      <c r="E689" t="inlineStr">
        <is>
          <t>UPPSALA</t>
        </is>
      </c>
      <c r="F689" t="inlineStr">
        <is>
          <t>Övriga Aktiebolag</t>
        </is>
      </c>
      <c r="G689" t="n">
        <v>3.6</v>
      </c>
      <c r="H689" t="n">
        <v>0</v>
      </c>
      <c r="I689" t="n">
        <v>0</v>
      </c>
      <c r="J689" t="n">
        <v>0</v>
      </c>
      <c r="K689" t="n">
        <v>0</v>
      </c>
      <c r="L689" t="n">
        <v>0</v>
      </c>
      <c r="M689" t="n">
        <v>0</v>
      </c>
      <c r="N689" t="n">
        <v>0</v>
      </c>
      <c r="O689" t="n">
        <v>0</v>
      </c>
      <c r="P689" t="n">
        <v>0</v>
      </c>
      <c r="Q689" t="n">
        <v>0</v>
      </c>
      <c r="R689" s="2" t="inlineStr"/>
    </row>
    <row r="690" ht="15" customHeight="1">
      <c r="A690" t="inlineStr">
        <is>
          <t>A 35056-2025</t>
        </is>
      </c>
      <c r="B690" s="1" t="n">
        <v>45852.39642361111</v>
      </c>
      <c r="C690" s="1" t="n">
        <v>45880</v>
      </c>
      <c r="D690" t="inlineStr">
        <is>
          <t>UPPSALA LÄN</t>
        </is>
      </c>
      <c r="E690" t="inlineStr">
        <is>
          <t>UPPSALA</t>
        </is>
      </c>
      <c r="G690" t="n">
        <v>2.6</v>
      </c>
      <c r="H690" t="n">
        <v>0</v>
      </c>
      <c r="I690" t="n">
        <v>0</v>
      </c>
      <c r="J690" t="n">
        <v>0</v>
      </c>
      <c r="K690" t="n">
        <v>0</v>
      </c>
      <c r="L690" t="n">
        <v>0</v>
      </c>
      <c r="M690" t="n">
        <v>0</v>
      </c>
      <c r="N690" t="n">
        <v>0</v>
      </c>
      <c r="O690" t="n">
        <v>0</v>
      </c>
      <c r="P690" t="n">
        <v>0</v>
      </c>
      <c r="Q690" t="n">
        <v>0</v>
      </c>
      <c r="R690" s="2" t="inlineStr"/>
    </row>
    <row r="691" ht="15" customHeight="1">
      <c r="A691" t="inlineStr">
        <is>
          <t>A 41422-2023</t>
        </is>
      </c>
      <c r="B691" s="1" t="n">
        <v>45175</v>
      </c>
      <c r="C691" s="1" t="n">
        <v>45880</v>
      </c>
      <c r="D691" t="inlineStr">
        <is>
          <t>UPPSALA LÄN</t>
        </is>
      </c>
      <c r="E691" t="inlineStr">
        <is>
          <t>UPPSALA</t>
        </is>
      </c>
      <c r="F691" t="inlineStr">
        <is>
          <t>Kyrkan</t>
        </is>
      </c>
      <c r="G691" t="n">
        <v>5.2</v>
      </c>
      <c r="H691" t="n">
        <v>0</v>
      </c>
      <c r="I691" t="n">
        <v>0</v>
      </c>
      <c r="J691" t="n">
        <v>0</v>
      </c>
      <c r="K691" t="n">
        <v>0</v>
      </c>
      <c r="L691" t="n">
        <v>0</v>
      </c>
      <c r="M691" t="n">
        <v>0</v>
      </c>
      <c r="N691" t="n">
        <v>0</v>
      </c>
      <c r="O691" t="n">
        <v>0</v>
      </c>
      <c r="P691" t="n">
        <v>0</v>
      </c>
      <c r="Q691" t="n">
        <v>0</v>
      </c>
      <c r="R691" s="2" t="inlineStr"/>
    </row>
    <row r="692" ht="15" customHeight="1">
      <c r="A692" t="inlineStr">
        <is>
          <t>A 35015-2025</t>
        </is>
      </c>
      <c r="B692" s="1" t="n">
        <v>45851.62018518519</v>
      </c>
      <c r="C692" s="1" t="n">
        <v>45880</v>
      </c>
      <c r="D692" t="inlineStr">
        <is>
          <t>UPPSALA LÄN</t>
        </is>
      </c>
      <c r="E692" t="inlineStr">
        <is>
          <t>UPPSALA</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60820-2024</t>
        </is>
      </c>
      <c r="B693" s="1" t="n">
        <v>45644.62677083333</v>
      </c>
      <c r="C693" s="1" t="n">
        <v>45880</v>
      </c>
      <c r="D693" t="inlineStr">
        <is>
          <t>UPPSALA LÄN</t>
        </is>
      </c>
      <c r="E693" t="inlineStr">
        <is>
          <t>UPPSALA</t>
        </is>
      </c>
      <c r="G693" t="n">
        <v>1.2</v>
      </c>
      <c r="H693" t="n">
        <v>0</v>
      </c>
      <c r="I693" t="n">
        <v>0</v>
      </c>
      <c r="J693" t="n">
        <v>0</v>
      </c>
      <c r="K693" t="n">
        <v>0</v>
      </c>
      <c r="L693" t="n">
        <v>0</v>
      </c>
      <c r="M693" t="n">
        <v>0</v>
      </c>
      <c r="N693" t="n">
        <v>0</v>
      </c>
      <c r="O693" t="n">
        <v>0</v>
      </c>
      <c r="P693" t="n">
        <v>0</v>
      </c>
      <c r="Q693" t="n">
        <v>0</v>
      </c>
      <c r="R693" s="2" t="inlineStr"/>
    </row>
    <row r="694" ht="15" customHeight="1">
      <c r="A694" t="inlineStr">
        <is>
          <t>A 49996-2023</t>
        </is>
      </c>
      <c r="B694" s="1" t="n">
        <v>45215.44233796297</v>
      </c>
      <c r="C694" s="1" t="n">
        <v>45880</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35014-2025</t>
        </is>
      </c>
      <c r="B695" s="1" t="n">
        <v>45851.60097222222</v>
      </c>
      <c r="C695" s="1" t="n">
        <v>45880</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35053-2025</t>
        </is>
      </c>
      <c r="B696" s="1" t="n">
        <v>45852.36871527778</v>
      </c>
      <c r="C696" s="1" t="n">
        <v>45880</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60003-2024</t>
        </is>
      </c>
      <c r="B697" s="1" t="n">
        <v>45642</v>
      </c>
      <c r="C697" s="1" t="n">
        <v>45880</v>
      </c>
      <c r="D697" t="inlineStr">
        <is>
          <t>UPPSALA LÄN</t>
        </is>
      </c>
      <c r="E697" t="inlineStr">
        <is>
          <t>UPPSALA</t>
        </is>
      </c>
      <c r="F697" t="inlineStr">
        <is>
          <t>Bergvik skog väst AB</t>
        </is>
      </c>
      <c r="G697" t="n">
        <v>14.5</v>
      </c>
      <c r="H697" t="n">
        <v>0</v>
      </c>
      <c r="I697" t="n">
        <v>0</v>
      </c>
      <c r="J697" t="n">
        <v>0</v>
      </c>
      <c r="K697" t="n">
        <v>0</v>
      </c>
      <c r="L697" t="n">
        <v>0</v>
      </c>
      <c r="M697" t="n">
        <v>0</v>
      </c>
      <c r="N697" t="n">
        <v>0</v>
      </c>
      <c r="O697" t="n">
        <v>0</v>
      </c>
      <c r="P697" t="n">
        <v>0</v>
      </c>
      <c r="Q697" t="n">
        <v>0</v>
      </c>
      <c r="R697" s="2" t="inlineStr"/>
    </row>
    <row r="698" ht="15" customHeight="1">
      <c r="A698" t="inlineStr">
        <is>
          <t>A 6541-2025</t>
        </is>
      </c>
      <c r="B698" s="1" t="n">
        <v>45699</v>
      </c>
      <c r="C698" s="1" t="n">
        <v>45880</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36479-2023</t>
        </is>
      </c>
      <c r="B699" s="1" t="n">
        <v>45152</v>
      </c>
      <c r="C699" s="1" t="n">
        <v>45880</v>
      </c>
      <c r="D699" t="inlineStr">
        <is>
          <t>UPPSALA LÄN</t>
        </is>
      </c>
      <c r="E699" t="inlineStr">
        <is>
          <t>UPPSALA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5729-2025</t>
        </is>
      </c>
      <c r="B700" s="1" t="n">
        <v>45694.49037037037</v>
      </c>
      <c r="C700" s="1" t="n">
        <v>45880</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6058-2025</t>
        </is>
      </c>
      <c r="B701" s="1" t="n">
        <v>45695.83655092592</v>
      </c>
      <c r="C701" s="1" t="n">
        <v>45880</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8164-2025</t>
        </is>
      </c>
      <c r="B702" s="1" t="n">
        <v>45707</v>
      </c>
      <c r="C702" s="1" t="n">
        <v>45880</v>
      </c>
      <c r="D702" t="inlineStr">
        <is>
          <t>UPPSALA LÄN</t>
        </is>
      </c>
      <c r="E702" t="inlineStr">
        <is>
          <t>UPPSALA</t>
        </is>
      </c>
      <c r="F702" t="inlineStr">
        <is>
          <t>Övriga Aktiebolag</t>
        </is>
      </c>
      <c r="G702" t="n">
        <v>12.2</v>
      </c>
      <c r="H702" t="n">
        <v>0</v>
      </c>
      <c r="I702" t="n">
        <v>0</v>
      </c>
      <c r="J702" t="n">
        <v>0</v>
      </c>
      <c r="K702" t="n">
        <v>0</v>
      </c>
      <c r="L702" t="n">
        <v>0</v>
      </c>
      <c r="M702" t="n">
        <v>0</v>
      </c>
      <c r="N702" t="n">
        <v>0</v>
      </c>
      <c r="O702" t="n">
        <v>0</v>
      </c>
      <c r="P702" t="n">
        <v>0</v>
      </c>
      <c r="Q702" t="n">
        <v>0</v>
      </c>
      <c r="R702" s="2" t="inlineStr"/>
    </row>
    <row r="703" ht="15" customHeight="1">
      <c r="A703" t="inlineStr">
        <is>
          <t>A 60954-2024</t>
        </is>
      </c>
      <c r="B703" s="1" t="n">
        <v>45645</v>
      </c>
      <c r="C703" s="1" t="n">
        <v>45880</v>
      </c>
      <c r="D703" t="inlineStr">
        <is>
          <t>UPPSALA LÄN</t>
        </is>
      </c>
      <c r="E703" t="inlineStr">
        <is>
          <t>UPPSALA</t>
        </is>
      </c>
      <c r="F703" t="inlineStr">
        <is>
          <t>Kommuner</t>
        </is>
      </c>
      <c r="G703" t="n">
        <v>1</v>
      </c>
      <c r="H703" t="n">
        <v>0</v>
      </c>
      <c r="I703" t="n">
        <v>0</v>
      </c>
      <c r="J703" t="n">
        <v>0</v>
      </c>
      <c r="K703" t="n">
        <v>0</v>
      </c>
      <c r="L703" t="n">
        <v>0</v>
      </c>
      <c r="M703" t="n">
        <v>0</v>
      </c>
      <c r="N703" t="n">
        <v>0</v>
      </c>
      <c r="O703" t="n">
        <v>0</v>
      </c>
      <c r="P703" t="n">
        <v>0</v>
      </c>
      <c r="Q703" t="n">
        <v>0</v>
      </c>
      <c r="R703" s="2" t="inlineStr"/>
    </row>
    <row r="704" ht="15" customHeight="1">
      <c r="A704" t="inlineStr">
        <is>
          <t>A 20497-2022</t>
        </is>
      </c>
      <c r="B704" s="1" t="n">
        <v>44699</v>
      </c>
      <c r="C704" s="1" t="n">
        <v>45880</v>
      </c>
      <c r="D704" t="inlineStr">
        <is>
          <t>UPPSALA LÄN</t>
        </is>
      </c>
      <c r="E704" t="inlineStr">
        <is>
          <t>UPPSALA</t>
        </is>
      </c>
      <c r="F704" t="inlineStr">
        <is>
          <t>Övriga statliga verk och myndigheter</t>
        </is>
      </c>
      <c r="G704" t="n">
        <v>1</v>
      </c>
      <c r="H704" t="n">
        <v>0</v>
      </c>
      <c r="I704" t="n">
        <v>0</v>
      </c>
      <c r="J704" t="n">
        <v>0</v>
      </c>
      <c r="K704" t="n">
        <v>0</v>
      </c>
      <c r="L704" t="n">
        <v>0</v>
      </c>
      <c r="M704" t="n">
        <v>0</v>
      </c>
      <c r="N704" t="n">
        <v>0</v>
      </c>
      <c r="O704" t="n">
        <v>0</v>
      </c>
      <c r="P704" t="n">
        <v>0</v>
      </c>
      <c r="Q704" t="n">
        <v>0</v>
      </c>
      <c r="R704" s="2" t="inlineStr"/>
    </row>
    <row r="705" ht="15" customHeight="1">
      <c r="A705" t="inlineStr">
        <is>
          <t>A 31157-2023</t>
        </is>
      </c>
      <c r="B705" s="1" t="n">
        <v>45113</v>
      </c>
      <c r="C705" s="1" t="n">
        <v>45880</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31161-2023</t>
        </is>
      </c>
      <c r="B706" s="1" t="n">
        <v>45113.80170138889</v>
      </c>
      <c r="C706" s="1" t="n">
        <v>45880</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26738-2025</t>
        </is>
      </c>
      <c r="B707" s="1" t="n">
        <v>45809</v>
      </c>
      <c r="C707" s="1" t="n">
        <v>45880</v>
      </c>
      <c r="D707" t="inlineStr">
        <is>
          <t>UPPSALA LÄN</t>
        </is>
      </c>
      <c r="E707" t="inlineStr">
        <is>
          <t>UPPSALA</t>
        </is>
      </c>
      <c r="F707" t="inlineStr">
        <is>
          <t>Övriga Aktiebolag</t>
        </is>
      </c>
      <c r="G707" t="n">
        <v>2.2</v>
      </c>
      <c r="H707" t="n">
        <v>0</v>
      </c>
      <c r="I707" t="n">
        <v>0</v>
      </c>
      <c r="J707" t="n">
        <v>0</v>
      </c>
      <c r="K707" t="n">
        <v>0</v>
      </c>
      <c r="L707" t="n">
        <v>0</v>
      </c>
      <c r="M707" t="n">
        <v>0</v>
      </c>
      <c r="N707" t="n">
        <v>0</v>
      </c>
      <c r="O707" t="n">
        <v>0</v>
      </c>
      <c r="P707" t="n">
        <v>0</v>
      </c>
      <c r="Q707" t="n">
        <v>0</v>
      </c>
      <c r="R707" s="2" t="inlineStr"/>
    </row>
    <row r="708" ht="15" customHeight="1">
      <c r="A708" t="inlineStr">
        <is>
          <t>A 32711-2025</t>
        </is>
      </c>
      <c r="B708" s="1" t="n">
        <v>45839</v>
      </c>
      <c r="C708" s="1" t="n">
        <v>45880</v>
      </c>
      <c r="D708" t="inlineStr">
        <is>
          <t>UPPSALA LÄN</t>
        </is>
      </c>
      <c r="E708" t="inlineStr">
        <is>
          <t>UPPSALA</t>
        </is>
      </c>
      <c r="G708" t="n">
        <v>0.8</v>
      </c>
      <c r="H708" t="n">
        <v>0</v>
      </c>
      <c r="I708" t="n">
        <v>0</v>
      </c>
      <c r="J708" t="n">
        <v>0</v>
      </c>
      <c r="K708" t="n">
        <v>0</v>
      </c>
      <c r="L708" t="n">
        <v>0</v>
      </c>
      <c r="M708" t="n">
        <v>0</v>
      </c>
      <c r="N708" t="n">
        <v>0</v>
      </c>
      <c r="O708" t="n">
        <v>0</v>
      </c>
      <c r="P708" t="n">
        <v>0</v>
      </c>
      <c r="Q708" t="n">
        <v>0</v>
      </c>
      <c r="R708" s="2" t="inlineStr"/>
      <c r="U708">
        <f>HYPERLINK("https://klasma.github.io/Logging_0380/knärot/A 32711-2025 karta knärot.png", "A 32711-2025")</f>
        <v/>
      </c>
      <c r="V708">
        <f>HYPERLINK("https://klasma.github.io/Logging_0380/klagomål/A 32711-2025 FSC-klagomål.docx", "A 32711-2025")</f>
        <v/>
      </c>
      <c r="W708">
        <f>HYPERLINK("https://klasma.github.io/Logging_0380/klagomålsmail/A 32711-2025 FSC-klagomål mail.docx", "A 32711-2025")</f>
        <v/>
      </c>
      <c r="X708">
        <f>HYPERLINK("https://klasma.github.io/Logging_0380/tillsyn/A 32711-2025 tillsynsbegäran.docx", "A 32711-2025")</f>
        <v/>
      </c>
      <c r="Y708">
        <f>HYPERLINK("https://klasma.github.io/Logging_0380/tillsynsmail/A 32711-2025 tillsynsbegäran mail.docx", "A 32711-2025")</f>
        <v/>
      </c>
    </row>
    <row r="709" ht="15" customHeight="1">
      <c r="A709" t="inlineStr">
        <is>
          <t>A 26740-2025</t>
        </is>
      </c>
      <c r="B709" s="1" t="n">
        <v>45809</v>
      </c>
      <c r="C709" s="1" t="n">
        <v>45880</v>
      </c>
      <c r="D709" t="inlineStr">
        <is>
          <t>UPPSALA LÄN</t>
        </is>
      </c>
      <c r="E709" t="inlineStr">
        <is>
          <t>UPPSALA</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17593-2025</t>
        </is>
      </c>
      <c r="B710" s="1" t="n">
        <v>45757.6997337963</v>
      </c>
      <c r="C710" s="1" t="n">
        <v>45880</v>
      </c>
      <c r="D710" t="inlineStr">
        <is>
          <t>UPPSALA LÄN</t>
        </is>
      </c>
      <c r="E710" t="inlineStr">
        <is>
          <t>UPPSALA</t>
        </is>
      </c>
      <c r="G710" t="n">
        <v>3.6</v>
      </c>
      <c r="H710" t="n">
        <v>0</v>
      </c>
      <c r="I710" t="n">
        <v>0</v>
      </c>
      <c r="J710" t="n">
        <v>0</v>
      </c>
      <c r="K710" t="n">
        <v>0</v>
      </c>
      <c r="L710" t="n">
        <v>0</v>
      </c>
      <c r="M710" t="n">
        <v>0</v>
      </c>
      <c r="N710" t="n">
        <v>0</v>
      </c>
      <c r="O710" t="n">
        <v>0</v>
      </c>
      <c r="P710" t="n">
        <v>0</v>
      </c>
      <c r="Q710" t="n">
        <v>0</v>
      </c>
      <c r="R710" s="2" t="inlineStr"/>
    </row>
    <row r="711" ht="15" customHeight="1">
      <c r="A711" t="inlineStr">
        <is>
          <t>A 17596-2025</t>
        </is>
      </c>
      <c r="B711" s="1" t="n">
        <v>45757</v>
      </c>
      <c r="C711" s="1" t="n">
        <v>45880</v>
      </c>
      <c r="D711" t="inlineStr">
        <is>
          <t>UPPSALA LÄN</t>
        </is>
      </c>
      <c r="E711" t="inlineStr">
        <is>
          <t>UPPSALA</t>
        </is>
      </c>
      <c r="G711" t="n">
        <v>4.8</v>
      </c>
      <c r="H711" t="n">
        <v>0</v>
      </c>
      <c r="I711" t="n">
        <v>0</v>
      </c>
      <c r="J711" t="n">
        <v>0</v>
      </c>
      <c r="K711" t="n">
        <v>0</v>
      </c>
      <c r="L711" t="n">
        <v>0</v>
      </c>
      <c r="M711" t="n">
        <v>0</v>
      </c>
      <c r="N711" t="n">
        <v>0</v>
      </c>
      <c r="O711" t="n">
        <v>0</v>
      </c>
      <c r="P711" t="n">
        <v>0</v>
      </c>
      <c r="Q711" t="n">
        <v>0</v>
      </c>
      <c r="R711" s="2" t="inlineStr"/>
    </row>
    <row r="712" ht="15" customHeight="1">
      <c r="A712" t="inlineStr">
        <is>
          <t>A 57871-2024</t>
        </is>
      </c>
      <c r="B712" s="1" t="n">
        <v>45631.44464120371</v>
      </c>
      <c r="C712" s="1" t="n">
        <v>45880</v>
      </c>
      <c r="D712" t="inlineStr">
        <is>
          <t>UPPSALA LÄN</t>
        </is>
      </c>
      <c r="E712" t="inlineStr">
        <is>
          <t>UPPSALA</t>
        </is>
      </c>
      <c r="G712" t="n">
        <v>2.9</v>
      </c>
      <c r="H712" t="n">
        <v>0</v>
      </c>
      <c r="I712" t="n">
        <v>0</v>
      </c>
      <c r="J712" t="n">
        <v>0</v>
      </c>
      <c r="K712" t="n">
        <v>0</v>
      </c>
      <c r="L712" t="n">
        <v>0</v>
      </c>
      <c r="M712" t="n">
        <v>0</v>
      </c>
      <c r="N712" t="n">
        <v>0</v>
      </c>
      <c r="O712" t="n">
        <v>0</v>
      </c>
      <c r="P712" t="n">
        <v>0</v>
      </c>
      <c r="Q712" t="n">
        <v>0</v>
      </c>
      <c r="R712" s="2" t="inlineStr"/>
    </row>
    <row r="713" ht="15" customHeight="1">
      <c r="A713" t="inlineStr">
        <is>
          <t>A 23494-2024</t>
        </is>
      </c>
      <c r="B713" s="1" t="n">
        <v>45453.69339120371</v>
      </c>
      <c r="C713" s="1" t="n">
        <v>45880</v>
      </c>
      <c r="D713" t="inlineStr">
        <is>
          <t>UPPSALA LÄN</t>
        </is>
      </c>
      <c r="E713" t="inlineStr">
        <is>
          <t>UPPSALA</t>
        </is>
      </c>
      <c r="F713" t="inlineStr">
        <is>
          <t>Kyrkan</t>
        </is>
      </c>
      <c r="G713" t="n">
        <v>0.8</v>
      </c>
      <c r="H713" t="n">
        <v>0</v>
      </c>
      <c r="I713" t="n">
        <v>0</v>
      </c>
      <c r="J713" t="n">
        <v>0</v>
      </c>
      <c r="K713" t="n">
        <v>0</v>
      </c>
      <c r="L713" t="n">
        <v>0</v>
      </c>
      <c r="M713" t="n">
        <v>0</v>
      </c>
      <c r="N713" t="n">
        <v>0</v>
      </c>
      <c r="O713" t="n">
        <v>0</v>
      </c>
      <c r="P713" t="n">
        <v>0</v>
      </c>
      <c r="Q713" t="n">
        <v>0</v>
      </c>
      <c r="R713" s="2" t="inlineStr"/>
    </row>
    <row r="714" ht="15" customHeight="1">
      <c r="A714" t="inlineStr">
        <is>
          <t>A 35155-2025</t>
        </is>
      </c>
      <c r="B714" s="1" t="n">
        <v>45852.68978009259</v>
      </c>
      <c r="C714" s="1" t="n">
        <v>45880</v>
      </c>
      <c r="D714" t="inlineStr">
        <is>
          <t>UPPSALA LÄN</t>
        </is>
      </c>
      <c r="E714" t="inlineStr">
        <is>
          <t>UPPSALA</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26696-2025</t>
        </is>
      </c>
      <c r="B715" s="1" t="n">
        <v>45810.44299768518</v>
      </c>
      <c r="C715" s="1" t="n">
        <v>45880</v>
      </c>
      <c r="D715" t="inlineStr">
        <is>
          <t>UPPSALA LÄN</t>
        </is>
      </c>
      <c r="E715" t="inlineStr">
        <is>
          <t>UPPSALA</t>
        </is>
      </c>
      <c r="F715" t="inlineStr">
        <is>
          <t>Bergvik skog öst AB</t>
        </is>
      </c>
      <c r="G715" t="n">
        <v>7.1</v>
      </c>
      <c r="H715" t="n">
        <v>0</v>
      </c>
      <c r="I715" t="n">
        <v>0</v>
      </c>
      <c r="J715" t="n">
        <v>0</v>
      </c>
      <c r="K715" t="n">
        <v>0</v>
      </c>
      <c r="L715" t="n">
        <v>0</v>
      </c>
      <c r="M715" t="n">
        <v>0</v>
      </c>
      <c r="N715" t="n">
        <v>0</v>
      </c>
      <c r="O715" t="n">
        <v>0</v>
      </c>
      <c r="P715" t="n">
        <v>0</v>
      </c>
      <c r="Q715" t="n">
        <v>0</v>
      </c>
      <c r="R715" s="2" t="inlineStr"/>
    </row>
    <row r="716" ht="15" customHeight="1">
      <c r="A716" t="inlineStr">
        <is>
          <t>A 3955-2021</t>
        </is>
      </c>
      <c r="B716" s="1" t="n">
        <v>44222</v>
      </c>
      <c r="C716" s="1" t="n">
        <v>45880</v>
      </c>
      <c r="D716" t="inlineStr">
        <is>
          <t>UPPSALA LÄN</t>
        </is>
      </c>
      <c r="E716" t="inlineStr">
        <is>
          <t>UPPSALA</t>
        </is>
      </c>
      <c r="G716" t="n">
        <v>2.3</v>
      </c>
      <c r="H716" t="n">
        <v>0</v>
      </c>
      <c r="I716" t="n">
        <v>0</v>
      </c>
      <c r="J716" t="n">
        <v>0</v>
      </c>
      <c r="K716" t="n">
        <v>0</v>
      </c>
      <c r="L716" t="n">
        <v>0</v>
      </c>
      <c r="M716" t="n">
        <v>0</v>
      </c>
      <c r="N716" t="n">
        <v>0</v>
      </c>
      <c r="O716" t="n">
        <v>0</v>
      </c>
      <c r="P716" t="n">
        <v>0</v>
      </c>
      <c r="Q716" t="n">
        <v>0</v>
      </c>
      <c r="R716" s="2" t="inlineStr"/>
    </row>
    <row r="717" ht="15" customHeight="1">
      <c r="A717" t="inlineStr">
        <is>
          <t>A 35167-2025</t>
        </is>
      </c>
      <c r="B717" s="1" t="n">
        <v>45852.72965277778</v>
      </c>
      <c r="C717" s="1" t="n">
        <v>45880</v>
      </c>
      <c r="D717" t="inlineStr">
        <is>
          <t>UPPSALA LÄN</t>
        </is>
      </c>
      <c r="E717" t="inlineStr">
        <is>
          <t>UPPSALA</t>
        </is>
      </c>
      <c r="F717" t="inlineStr">
        <is>
          <t>Holmen skog AB</t>
        </is>
      </c>
      <c r="G717" t="n">
        <v>10</v>
      </c>
      <c r="H717" t="n">
        <v>0</v>
      </c>
      <c r="I717" t="n">
        <v>0</v>
      </c>
      <c r="J717" t="n">
        <v>0</v>
      </c>
      <c r="K717" t="n">
        <v>0</v>
      </c>
      <c r="L717" t="n">
        <v>0</v>
      </c>
      <c r="M717" t="n">
        <v>0</v>
      </c>
      <c r="N717" t="n">
        <v>0</v>
      </c>
      <c r="O717" t="n">
        <v>0</v>
      </c>
      <c r="P717" t="n">
        <v>0</v>
      </c>
      <c r="Q717" t="n">
        <v>0</v>
      </c>
      <c r="R717" s="2" t="inlineStr"/>
    </row>
    <row r="718" ht="15" customHeight="1">
      <c r="A718" t="inlineStr">
        <is>
          <t>A 26713-2025</t>
        </is>
      </c>
      <c r="B718" s="1" t="n">
        <v>45809</v>
      </c>
      <c r="C718" s="1" t="n">
        <v>45880</v>
      </c>
      <c r="D718" t="inlineStr">
        <is>
          <t>UPPSALA LÄN</t>
        </is>
      </c>
      <c r="E718" t="inlineStr">
        <is>
          <t>UPPSALA</t>
        </is>
      </c>
      <c r="G718" t="n">
        <v>3.8</v>
      </c>
      <c r="H718" t="n">
        <v>0</v>
      </c>
      <c r="I718" t="n">
        <v>0</v>
      </c>
      <c r="J718" t="n">
        <v>0</v>
      </c>
      <c r="K718" t="n">
        <v>0</v>
      </c>
      <c r="L718" t="n">
        <v>0</v>
      </c>
      <c r="M718" t="n">
        <v>0</v>
      </c>
      <c r="N718" t="n">
        <v>0</v>
      </c>
      <c r="O718" t="n">
        <v>0</v>
      </c>
      <c r="P718" t="n">
        <v>0</v>
      </c>
      <c r="Q718" t="n">
        <v>0</v>
      </c>
      <c r="R718" s="2" t="inlineStr"/>
    </row>
    <row r="719" ht="15" customHeight="1">
      <c r="A719" t="inlineStr">
        <is>
          <t>A 52503-2023</t>
        </is>
      </c>
      <c r="B719" s="1" t="n">
        <v>45225.46480324074</v>
      </c>
      <c r="C719" s="1" t="n">
        <v>45880</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33562-2023</t>
        </is>
      </c>
      <c r="B720" s="1" t="n">
        <v>45131</v>
      </c>
      <c r="C720" s="1" t="n">
        <v>45880</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35150-2025</t>
        </is>
      </c>
      <c r="B721" s="1" t="n">
        <v>45852</v>
      </c>
      <c r="C721" s="1" t="n">
        <v>45880</v>
      </c>
      <c r="D721" t="inlineStr">
        <is>
          <t>UPPSALA LÄN</t>
        </is>
      </c>
      <c r="E721" t="inlineStr">
        <is>
          <t>UPPSALA</t>
        </is>
      </c>
      <c r="F721" t="inlineStr">
        <is>
          <t>Holmen skog AB</t>
        </is>
      </c>
      <c r="G721" t="n">
        <v>0.6</v>
      </c>
      <c r="H721" t="n">
        <v>0</v>
      </c>
      <c r="I721" t="n">
        <v>0</v>
      </c>
      <c r="J721" t="n">
        <v>0</v>
      </c>
      <c r="K721" t="n">
        <v>0</v>
      </c>
      <c r="L721" t="n">
        <v>0</v>
      </c>
      <c r="M721" t="n">
        <v>0</v>
      </c>
      <c r="N721" t="n">
        <v>0</v>
      </c>
      <c r="O721" t="n">
        <v>0</v>
      </c>
      <c r="P721" t="n">
        <v>0</v>
      </c>
      <c r="Q721" t="n">
        <v>0</v>
      </c>
      <c r="R721" s="2" t="inlineStr"/>
    </row>
    <row r="722" ht="15" customHeight="1">
      <c r="A722" t="inlineStr">
        <is>
          <t>A 35260-2025</t>
        </is>
      </c>
      <c r="B722" s="1" t="n">
        <v>45853.76976851852</v>
      </c>
      <c r="C722" s="1" t="n">
        <v>45880</v>
      </c>
      <c r="D722" t="inlineStr">
        <is>
          <t>UPPSALA LÄN</t>
        </is>
      </c>
      <c r="E722" t="inlineStr">
        <is>
          <t>UPPSALA</t>
        </is>
      </c>
      <c r="G722" t="n">
        <v>7.3</v>
      </c>
      <c r="H722" t="n">
        <v>0</v>
      </c>
      <c r="I722" t="n">
        <v>0</v>
      </c>
      <c r="J722" t="n">
        <v>0</v>
      </c>
      <c r="K722" t="n">
        <v>0</v>
      </c>
      <c r="L722" t="n">
        <v>0</v>
      </c>
      <c r="M722" t="n">
        <v>0</v>
      </c>
      <c r="N722" t="n">
        <v>0</v>
      </c>
      <c r="O722" t="n">
        <v>0</v>
      </c>
      <c r="P722" t="n">
        <v>0</v>
      </c>
      <c r="Q722" t="n">
        <v>0</v>
      </c>
      <c r="R722" s="2" t="inlineStr"/>
    </row>
    <row r="723" ht="15" customHeight="1">
      <c r="A723" t="inlineStr">
        <is>
          <t>A 35305-2025</t>
        </is>
      </c>
      <c r="B723" s="1" t="n">
        <v>45854.44017361111</v>
      </c>
      <c r="C723" s="1" t="n">
        <v>45880</v>
      </c>
      <c r="D723" t="inlineStr">
        <is>
          <t>UPPSALA LÄN</t>
        </is>
      </c>
      <c r="E723" t="inlineStr">
        <is>
          <t>UPPSALA</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27265-2025</t>
        </is>
      </c>
      <c r="B724" s="1" t="n">
        <v>45812.48032407407</v>
      </c>
      <c r="C724" s="1" t="n">
        <v>45880</v>
      </c>
      <c r="D724" t="inlineStr">
        <is>
          <t>UPPSALA LÄN</t>
        </is>
      </c>
      <c r="E724" t="inlineStr">
        <is>
          <t>UPPSALA</t>
        </is>
      </c>
      <c r="G724" t="n">
        <v>0.5</v>
      </c>
      <c r="H724" t="n">
        <v>0</v>
      </c>
      <c r="I724" t="n">
        <v>0</v>
      </c>
      <c r="J724" t="n">
        <v>0</v>
      </c>
      <c r="K724" t="n">
        <v>0</v>
      </c>
      <c r="L724" t="n">
        <v>0</v>
      </c>
      <c r="M724" t="n">
        <v>0</v>
      </c>
      <c r="N724" t="n">
        <v>0</v>
      </c>
      <c r="O724" t="n">
        <v>0</v>
      </c>
      <c r="P724" t="n">
        <v>0</v>
      </c>
      <c r="Q724" t="n">
        <v>0</v>
      </c>
      <c r="R724" s="2" t="inlineStr"/>
    </row>
    <row r="725" ht="15" customHeight="1">
      <c r="A725" t="inlineStr">
        <is>
          <t>A 60447-2023</t>
        </is>
      </c>
      <c r="B725" s="1" t="n">
        <v>45259</v>
      </c>
      <c r="C725" s="1" t="n">
        <v>45880</v>
      </c>
      <c r="D725" t="inlineStr">
        <is>
          <t>UPPSALA LÄN</t>
        </is>
      </c>
      <c r="E725" t="inlineStr">
        <is>
          <t>UPPSALA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6971-2025</t>
        </is>
      </c>
      <c r="B726" s="1" t="n">
        <v>45693</v>
      </c>
      <c r="C726" s="1" t="n">
        <v>45880</v>
      </c>
      <c r="D726" t="inlineStr">
        <is>
          <t>UPPSALA LÄN</t>
        </is>
      </c>
      <c r="E726" t="inlineStr">
        <is>
          <t>UPPSALA</t>
        </is>
      </c>
      <c r="G726" t="n">
        <v>1.7</v>
      </c>
      <c r="H726" t="n">
        <v>0</v>
      </c>
      <c r="I726" t="n">
        <v>0</v>
      </c>
      <c r="J726" t="n">
        <v>0</v>
      </c>
      <c r="K726" t="n">
        <v>0</v>
      </c>
      <c r="L726" t="n">
        <v>0</v>
      </c>
      <c r="M726" t="n">
        <v>0</v>
      </c>
      <c r="N726" t="n">
        <v>0</v>
      </c>
      <c r="O726" t="n">
        <v>0</v>
      </c>
      <c r="P726" t="n">
        <v>0</v>
      </c>
      <c r="Q726" t="n">
        <v>0</v>
      </c>
      <c r="R726" s="2" t="inlineStr"/>
    </row>
    <row r="727" ht="15" customHeight="1">
      <c r="A727" t="inlineStr">
        <is>
          <t>A 26709-2025</t>
        </is>
      </c>
      <c r="B727" s="1" t="n">
        <v>45810.45960648148</v>
      </c>
      <c r="C727" s="1" t="n">
        <v>45880</v>
      </c>
      <c r="D727" t="inlineStr">
        <is>
          <t>UPPSALA LÄN</t>
        </is>
      </c>
      <c r="E727" t="inlineStr">
        <is>
          <t>UPPSALA</t>
        </is>
      </c>
      <c r="F727" t="inlineStr">
        <is>
          <t>Kyrkan</t>
        </is>
      </c>
      <c r="G727" t="n">
        <v>6.7</v>
      </c>
      <c r="H727" t="n">
        <v>0</v>
      </c>
      <c r="I727" t="n">
        <v>0</v>
      </c>
      <c r="J727" t="n">
        <v>0</v>
      </c>
      <c r="K727" t="n">
        <v>0</v>
      </c>
      <c r="L727" t="n">
        <v>0</v>
      </c>
      <c r="M727" t="n">
        <v>0</v>
      </c>
      <c r="N727" t="n">
        <v>0</v>
      </c>
      <c r="O727" t="n">
        <v>0</v>
      </c>
      <c r="P727" t="n">
        <v>0</v>
      </c>
      <c r="Q727" t="n">
        <v>0</v>
      </c>
      <c r="R727" s="2" t="inlineStr"/>
    </row>
    <row r="728" ht="15" customHeight="1">
      <c r="A728" t="inlineStr">
        <is>
          <t>A 9982-2025</t>
        </is>
      </c>
      <c r="B728" s="1" t="n">
        <v>45719.4094212963</v>
      </c>
      <c r="C728" s="1" t="n">
        <v>45880</v>
      </c>
      <c r="D728" t="inlineStr">
        <is>
          <t>UPPSALA LÄN</t>
        </is>
      </c>
      <c r="E728" t="inlineStr">
        <is>
          <t>UPPSALA</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54783-2023</t>
        </is>
      </c>
      <c r="B729" s="1" t="n">
        <v>45236.47697916667</v>
      </c>
      <c r="C729" s="1" t="n">
        <v>45880</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9995-2025</t>
        </is>
      </c>
      <c r="B730" s="1" t="n">
        <v>45719.43872685185</v>
      </c>
      <c r="C730" s="1" t="n">
        <v>45880</v>
      </c>
      <c r="D730" t="inlineStr">
        <is>
          <t>UPPSALA LÄN</t>
        </is>
      </c>
      <c r="E730" t="inlineStr">
        <is>
          <t>UPPSALA</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13128-2022</t>
        </is>
      </c>
      <c r="B731" s="1" t="n">
        <v>44644.37548611111</v>
      </c>
      <c r="C731" s="1" t="n">
        <v>45880</v>
      </c>
      <c r="D731" t="inlineStr">
        <is>
          <t>UPPSALA LÄN</t>
        </is>
      </c>
      <c r="E731" t="inlineStr">
        <is>
          <t>UPPSALA</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45880</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45880</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35509-2025</t>
        </is>
      </c>
      <c r="B734" s="1" t="n">
        <v>45856.34959490741</v>
      </c>
      <c r="C734" s="1" t="n">
        <v>45880</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54808-2023</t>
        </is>
      </c>
      <c r="B735" s="1" t="n">
        <v>45236</v>
      </c>
      <c r="C735" s="1" t="n">
        <v>45880</v>
      </c>
      <c r="D735" t="inlineStr">
        <is>
          <t>UPPSALA LÄN</t>
        </is>
      </c>
      <c r="E735" t="inlineStr">
        <is>
          <t>UPPSALA</t>
        </is>
      </c>
      <c r="G735" t="n">
        <v>4.1</v>
      </c>
      <c r="H735" t="n">
        <v>0</v>
      </c>
      <c r="I735" t="n">
        <v>0</v>
      </c>
      <c r="J735" t="n">
        <v>0</v>
      </c>
      <c r="K735" t="n">
        <v>0</v>
      </c>
      <c r="L735" t="n">
        <v>0</v>
      </c>
      <c r="M735" t="n">
        <v>0</v>
      </c>
      <c r="N735" t="n">
        <v>0</v>
      </c>
      <c r="O735" t="n">
        <v>0</v>
      </c>
      <c r="P735" t="n">
        <v>0</v>
      </c>
      <c r="Q735" t="n">
        <v>0</v>
      </c>
      <c r="R735" s="2" t="inlineStr"/>
    </row>
    <row r="736" ht="15" customHeight="1">
      <c r="A736" t="inlineStr">
        <is>
          <t>A 10489-2025</t>
        </is>
      </c>
      <c r="B736" s="1" t="n">
        <v>45721.34715277778</v>
      </c>
      <c r="C736" s="1" t="n">
        <v>45880</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27917-2025</t>
        </is>
      </c>
      <c r="B737" s="1" t="n">
        <v>45814</v>
      </c>
      <c r="C737" s="1" t="n">
        <v>45880</v>
      </c>
      <c r="D737" t="inlineStr">
        <is>
          <t>UPPSALA LÄN</t>
        </is>
      </c>
      <c r="E737" t="inlineStr">
        <is>
          <t>UPPSALA</t>
        </is>
      </c>
      <c r="G737" t="n">
        <v>4</v>
      </c>
      <c r="H737" t="n">
        <v>0</v>
      </c>
      <c r="I737" t="n">
        <v>0</v>
      </c>
      <c r="J737" t="n">
        <v>0</v>
      </c>
      <c r="K737" t="n">
        <v>0</v>
      </c>
      <c r="L737" t="n">
        <v>0</v>
      </c>
      <c r="M737" t="n">
        <v>0</v>
      </c>
      <c r="N737" t="n">
        <v>0</v>
      </c>
      <c r="O737" t="n">
        <v>0</v>
      </c>
      <c r="P737" t="n">
        <v>0</v>
      </c>
      <c r="Q737" t="n">
        <v>0</v>
      </c>
      <c r="R737" s="2" t="inlineStr"/>
    </row>
    <row r="738" ht="15" customHeight="1">
      <c r="A738" t="inlineStr">
        <is>
          <t>A 27706-2025</t>
        </is>
      </c>
      <c r="B738" s="1" t="n">
        <v>45813</v>
      </c>
      <c r="C738" s="1" t="n">
        <v>45880</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37763-2021</t>
        </is>
      </c>
      <c r="B739" s="1" t="n">
        <v>44400.6750925926</v>
      </c>
      <c r="C739" s="1" t="n">
        <v>45880</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27538-2025</t>
        </is>
      </c>
      <c r="B740" s="1" t="n">
        <v>45813.46034722222</v>
      </c>
      <c r="C740" s="1" t="n">
        <v>45880</v>
      </c>
      <c r="D740" t="inlineStr">
        <is>
          <t>UPPSALA LÄN</t>
        </is>
      </c>
      <c r="E740" t="inlineStr">
        <is>
          <t>UPPSALA</t>
        </is>
      </c>
      <c r="G740" t="n">
        <v>3.1</v>
      </c>
      <c r="H740" t="n">
        <v>0</v>
      </c>
      <c r="I740" t="n">
        <v>0</v>
      </c>
      <c r="J740" t="n">
        <v>0</v>
      </c>
      <c r="K740" t="n">
        <v>0</v>
      </c>
      <c r="L740" t="n">
        <v>0</v>
      </c>
      <c r="M740" t="n">
        <v>0</v>
      </c>
      <c r="N740" t="n">
        <v>0</v>
      </c>
      <c r="O740" t="n">
        <v>0</v>
      </c>
      <c r="P740" t="n">
        <v>0</v>
      </c>
      <c r="Q740" t="n">
        <v>0</v>
      </c>
      <c r="R740" s="2" t="inlineStr"/>
    </row>
    <row r="741" ht="15" customHeight="1">
      <c r="A741" t="inlineStr">
        <is>
          <t>A 37820-2021</t>
        </is>
      </c>
      <c r="B741" s="1" t="n">
        <v>44403.3119212963</v>
      </c>
      <c r="C741" s="1" t="n">
        <v>45880</v>
      </c>
      <c r="D741" t="inlineStr">
        <is>
          <t>UPPSALA LÄN</t>
        </is>
      </c>
      <c r="E741" t="inlineStr">
        <is>
          <t>UPPSALA</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35504-2025</t>
        </is>
      </c>
      <c r="B742" s="1" t="n">
        <v>45856.34034722222</v>
      </c>
      <c r="C742" s="1" t="n">
        <v>45880</v>
      </c>
      <c r="D742" t="inlineStr">
        <is>
          <t>UPPSALA LÄN</t>
        </is>
      </c>
      <c r="E742" t="inlineStr">
        <is>
          <t>UPPSALA</t>
        </is>
      </c>
      <c r="F742" t="inlineStr">
        <is>
          <t>Bergvik skog öst AB</t>
        </is>
      </c>
      <c r="G742" t="n">
        <v>6.7</v>
      </c>
      <c r="H742" t="n">
        <v>0</v>
      </c>
      <c r="I742" t="n">
        <v>0</v>
      </c>
      <c r="J742" t="n">
        <v>0</v>
      </c>
      <c r="K742" t="n">
        <v>0</v>
      </c>
      <c r="L742" t="n">
        <v>0</v>
      </c>
      <c r="M742" t="n">
        <v>0</v>
      </c>
      <c r="N742" t="n">
        <v>0</v>
      </c>
      <c r="O742" t="n">
        <v>0</v>
      </c>
      <c r="P742" t="n">
        <v>0</v>
      </c>
      <c r="Q742" t="n">
        <v>0</v>
      </c>
      <c r="R742" s="2" t="inlineStr"/>
    </row>
    <row r="743" ht="15" customHeight="1">
      <c r="A743" t="inlineStr">
        <is>
          <t>A 35505-2025</t>
        </is>
      </c>
      <c r="B743" s="1" t="n">
        <v>45856.34231481481</v>
      </c>
      <c r="C743" s="1" t="n">
        <v>45880</v>
      </c>
      <c r="D743" t="inlineStr">
        <is>
          <t>UPPSALA LÄN</t>
        </is>
      </c>
      <c r="E743" t="inlineStr">
        <is>
          <t>UPPSALA</t>
        </is>
      </c>
      <c r="F743" t="inlineStr">
        <is>
          <t>Bergvik skog öst AB</t>
        </is>
      </c>
      <c r="G743" t="n">
        <v>7.9</v>
      </c>
      <c r="H743" t="n">
        <v>0</v>
      </c>
      <c r="I743" t="n">
        <v>0</v>
      </c>
      <c r="J743" t="n">
        <v>0</v>
      </c>
      <c r="K743" t="n">
        <v>0</v>
      </c>
      <c r="L743" t="n">
        <v>0</v>
      </c>
      <c r="M743" t="n">
        <v>0</v>
      </c>
      <c r="N743" t="n">
        <v>0</v>
      </c>
      <c r="O743" t="n">
        <v>0</v>
      </c>
      <c r="P743" t="n">
        <v>0</v>
      </c>
      <c r="Q743" t="n">
        <v>0</v>
      </c>
      <c r="R743" s="2" t="inlineStr"/>
    </row>
    <row r="744" ht="15" customHeight="1">
      <c r="A744" t="inlineStr">
        <is>
          <t>A 35510-2025</t>
        </is>
      </c>
      <c r="B744" s="1" t="n">
        <v>45856.36153935185</v>
      </c>
      <c r="C744" s="1" t="n">
        <v>45880</v>
      </c>
      <c r="D744" t="inlineStr">
        <is>
          <t>UPPSALA LÄN</t>
        </is>
      </c>
      <c r="E744" t="inlineStr">
        <is>
          <t>UPPSALA</t>
        </is>
      </c>
      <c r="F744" t="inlineStr">
        <is>
          <t>Bergvik skog öst AB</t>
        </is>
      </c>
      <c r="G744" t="n">
        <v>0.3</v>
      </c>
      <c r="H744" t="n">
        <v>0</v>
      </c>
      <c r="I744" t="n">
        <v>0</v>
      </c>
      <c r="J744" t="n">
        <v>0</v>
      </c>
      <c r="K744" t="n">
        <v>0</v>
      </c>
      <c r="L744" t="n">
        <v>0</v>
      </c>
      <c r="M744" t="n">
        <v>0</v>
      </c>
      <c r="N744" t="n">
        <v>0</v>
      </c>
      <c r="O744" t="n">
        <v>0</v>
      </c>
      <c r="P744" t="n">
        <v>0</v>
      </c>
      <c r="Q744" t="n">
        <v>0</v>
      </c>
      <c r="R744" s="2" t="inlineStr"/>
    </row>
    <row r="745" ht="15" customHeight="1">
      <c r="A745" t="inlineStr">
        <is>
          <t>A 9984-2025</t>
        </is>
      </c>
      <c r="B745" s="1" t="n">
        <v>45719.42197916667</v>
      </c>
      <c r="C745" s="1" t="n">
        <v>45880</v>
      </c>
      <c r="D745" t="inlineStr">
        <is>
          <t>UPPSALA LÄN</t>
        </is>
      </c>
      <c r="E745" t="inlineStr">
        <is>
          <t>UPPSALA</t>
        </is>
      </c>
      <c r="F745" t="inlineStr">
        <is>
          <t>Kyrkan</t>
        </is>
      </c>
      <c r="G745" t="n">
        <v>2</v>
      </c>
      <c r="H745" t="n">
        <v>0</v>
      </c>
      <c r="I745" t="n">
        <v>0</v>
      </c>
      <c r="J745" t="n">
        <v>0</v>
      </c>
      <c r="K745" t="n">
        <v>0</v>
      </c>
      <c r="L745" t="n">
        <v>0</v>
      </c>
      <c r="M745" t="n">
        <v>0</v>
      </c>
      <c r="N745" t="n">
        <v>0</v>
      </c>
      <c r="O745" t="n">
        <v>0</v>
      </c>
      <c r="P745" t="n">
        <v>0</v>
      </c>
      <c r="Q745" t="n">
        <v>0</v>
      </c>
      <c r="R745" s="2" t="inlineStr"/>
    </row>
    <row r="746" ht="15" customHeight="1">
      <c r="A746" t="inlineStr">
        <is>
          <t>A 9991-2025</t>
        </is>
      </c>
      <c r="B746" s="1" t="n">
        <v>45719.43646990741</v>
      </c>
      <c r="C746" s="1" t="n">
        <v>45880</v>
      </c>
      <c r="D746" t="inlineStr">
        <is>
          <t>UPPSALA LÄN</t>
        </is>
      </c>
      <c r="E746" t="inlineStr">
        <is>
          <t>UPPSALA</t>
        </is>
      </c>
      <c r="F746" t="inlineStr">
        <is>
          <t>Kyrkan</t>
        </is>
      </c>
      <c r="G746" t="n">
        <v>6.1</v>
      </c>
      <c r="H746" t="n">
        <v>0</v>
      </c>
      <c r="I746" t="n">
        <v>0</v>
      </c>
      <c r="J746" t="n">
        <v>0</v>
      </c>
      <c r="K746" t="n">
        <v>0</v>
      </c>
      <c r="L746" t="n">
        <v>0</v>
      </c>
      <c r="M746" t="n">
        <v>0</v>
      </c>
      <c r="N746" t="n">
        <v>0</v>
      </c>
      <c r="O746" t="n">
        <v>0</v>
      </c>
      <c r="P746" t="n">
        <v>0</v>
      </c>
      <c r="Q746" t="n">
        <v>0</v>
      </c>
      <c r="R746" s="2" t="inlineStr"/>
    </row>
    <row r="747" ht="15" customHeight="1">
      <c r="A747" t="inlineStr">
        <is>
          <t>A 28275-2025</t>
        </is>
      </c>
      <c r="B747" s="1" t="n">
        <v>45818.57910879629</v>
      </c>
      <c r="C747" s="1" t="n">
        <v>45880</v>
      </c>
      <c r="D747" t="inlineStr">
        <is>
          <t>UPPSALA LÄN</t>
        </is>
      </c>
      <c r="E747" t="inlineStr">
        <is>
          <t>UPPSALA</t>
        </is>
      </c>
      <c r="F747" t="inlineStr">
        <is>
          <t>Holmen skog AB</t>
        </is>
      </c>
      <c r="G747" t="n">
        <v>6.5</v>
      </c>
      <c r="H747" t="n">
        <v>0</v>
      </c>
      <c r="I747" t="n">
        <v>0</v>
      </c>
      <c r="J747" t="n">
        <v>0</v>
      </c>
      <c r="K747" t="n">
        <v>0</v>
      </c>
      <c r="L747" t="n">
        <v>0</v>
      </c>
      <c r="M747" t="n">
        <v>0</v>
      </c>
      <c r="N747" t="n">
        <v>0</v>
      </c>
      <c r="O747" t="n">
        <v>0</v>
      </c>
      <c r="P747" t="n">
        <v>0</v>
      </c>
      <c r="Q747" t="n">
        <v>0</v>
      </c>
      <c r="R747" s="2" t="inlineStr"/>
    </row>
    <row r="748" ht="15" customHeight="1">
      <c r="A748" t="inlineStr">
        <is>
          <t>A 35542-2022</t>
        </is>
      </c>
      <c r="B748" s="1" t="n">
        <v>44799.36695601852</v>
      </c>
      <c r="C748" s="1" t="n">
        <v>45880</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59585-2023</t>
        </is>
      </c>
      <c r="B749" s="1" t="n">
        <v>45254</v>
      </c>
      <c r="C749" s="1" t="n">
        <v>45880</v>
      </c>
      <c r="D749" t="inlineStr">
        <is>
          <t>UPPSALA LÄN</t>
        </is>
      </c>
      <c r="E749" t="inlineStr">
        <is>
          <t>UPPSALA</t>
        </is>
      </c>
      <c r="G749" t="n">
        <v>4.4</v>
      </c>
      <c r="H749" t="n">
        <v>0</v>
      </c>
      <c r="I749" t="n">
        <v>0</v>
      </c>
      <c r="J749" t="n">
        <v>0</v>
      </c>
      <c r="K749" t="n">
        <v>0</v>
      </c>
      <c r="L749" t="n">
        <v>0</v>
      </c>
      <c r="M749" t="n">
        <v>0</v>
      </c>
      <c r="N749" t="n">
        <v>0</v>
      </c>
      <c r="O749" t="n">
        <v>0</v>
      </c>
      <c r="P749" t="n">
        <v>0</v>
      </c>
      <c r="Q749" t="n">
        <v>0</v>
      </c>
      <c r="R749" s="2" t="inlineStr"/>
    </row>
    <row r="750" ht="15" customHeight="1">
      <c r="A750" t="inlineStr">
        <is>
          <t>A 3813-2024</t>
        </is>
      </c>
      <c r="B750" s="1" t="n">
        <v>45321</v>
      </c>
      <c r="C750" s="1" t="n">
        <v>45880</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9295-2023</t>
        </is>
      </c>
      <c r="B751" s="1" t="n">
        <v>44980</v>
      </c>
      <c r="C751" s="1" t="n">
        <v>45880</v>
      </c>
      <c r="D751" t="inlineStr">
        <is>
          <t>UPPSALA LÄN</t>
        </is>
      </c>
      <c r="E751" t="inlineStr">
        <is>
          <t>UPPSALA</t>
        </is>
      </c>
      <c r="G751" t="n">
        <v>2.1</v>
      </c>
      <c r="H751" t="n">
        <v>0</v>
      </c>
      <c r="I751" t="n">
        <v>0</v>
      </c>
      <c r="J751" t="n">
        <v>0</v>
      </c>
      <c r="K751" t="n">
        <v>0</v>
      </c>
      <c r="L751" t="n">
        <v>0</v>
      </c>
      <c r="M751" t="n">
        <v>0</v>
      </c>
      <c r="N751" t="n">
        <v>0</v>
      </c>
      <c r="O751" t="n">
        <v>0</v>
      </c>
      <c r="P751" t="n">
        <v>0</v>
      </c>
      <c r="Q751" t="n">
        <v>0</v>
      </c>
      <c r="R751" s="2" t="inlineStr"/>
    </row>
    <row r="752" ht="15" customHeight="1">
      <c r="A752" t="inlineStr">
        <is>
          <t>A 28121-2025</t>
        </is>
      </c>
      <c r="B752" s="1" t="n">
        <v>45817</v>
      </c>
      <c r="C752" s="1" t="n">
        <v>45880</v>
      </c>
      <c r="D752" t="inlineStr">
        <is>
          <t>UPPSALA LÄN</t>
        </is>
      </c>
      <c r="E752" t="inlineStr">
        <is>
          <t>UPPSALA</t>
        </is>
      </c>
      <c r="G752" t="n">
        <v>5.6</v>
      </c>
      <c r="H752" t="n">
        <v>0</v>
      </c>
      <c r="I752" t="n">
        <v>0</v>
      </c>
      <c r="J752" t="n">
        <v>0</v>
      </c>
      <c r="K752" t="n">
        <v>0</v>
      </c>
      <c r="L752" t="n">
        <v>0</v>
      </c>
      <c r="M752" t="n">
        <v>0</v>
      </c>
      <c r="N752" t="n">
        <v>0</v>
      </c>
      <c r="O752" t="n">
        <v>0</v>
      </c>
      <c r="P752" t="n">
        <v>0</v>
      </c>
      <c r="Q752" t="n">
        <v>0</v>
      </c>
      <c r="R752" s="2" t="inlineStr"/>
    </row>
    <row r="753" ht="15" customHeight="1">
      <c r="A753" t="inlineStr">
        <is>
          <t>A 3260-2024</t>
        </is>
      </c>
      <c r="B753" s="1" t="n">
        <v>45317</v>
      </c>
      <c r="C753" s="1" t="n">
        <v>45880</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9611-2024</t>
        </is>
      </c>
      <c r="B754" s="1" t="n">
        <v>45361.57299768519</v>
      </c>
      <c r="C754" s="1" t="n">
        <v>45880</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28871-2025</t>
        </is>
      </c>
      <c r="B755" s="1" t="n">
        <v>45820</v>
      </c>
      <c r="C755" s="1" t="n">
        <v>45880</v>
      </c>
      <c r="D755" t="inlineStr">
        <is>
          <t>UPPSALA LÄN</t>
        </is>
      </c>
      <c r="E755" t="inlineStr">
        <is>
          <t>UPPSALA</t>
        </is>
      </c>
      <c r="G755" t="n">
        <v>6.5</v>
      </c>
      <c r="H755" t="n">
        <v>0</v>
      </c>
      <c r="I755" t="n">
        <v>0</v>
      </c>
      <c r="J755" t="n">
        <v>0</v>
      </c>
      <c r="K755" t="n">
        <v>0</v>
      </c>
      <c r="L755" t="n">
        <v>0</v>
      </c>
      <c r="M755" t="n">
        <v>0</v>
      </c>
      <c r="N755" t="n">
        <v>0</v>
      </c>
      <c r="O755" t="n">
        <v>0</v>
      </c>
      <c r="P755" t="n">
        <v>0</v>
      </c>
      <c r="Q755" t="n">
        <v>0</v>
      </c>
      <c r="R755" s="2" t="inlineStr"/>
    </row>
    <row r="756" ht="15" customHeight="1">
      <c r="A756" t="inlineStr">
        <is>
          <t>A 28878-2025</t>
        </is>
      </c>
      <c r="B756" s="1" t="n">
        <v>45820</v>
      </c>
      <c r="C756" s="1" t="n">
        <v>45880</v>
      </c>
      <c r="D756" t="inlineStr">
        <is>
          <t>UPPSALA LÄN</t>
        </is>
      </c>
      <c r="E756" t="inlineStr">
        <is>
          <t>UPPSALA</t>
        </is>
      </c>
      <c r="G756" t="n">
        <v>5.5</v>
      </c>
      <c r="H756" t="n">
        <v>0</v>
      </c>
      <c r="I756" t="n">
        <v>0</v>
      </c>
      <c r="J756" t="n">
        <v>0</v>
      </c>
      <c r="K756" t="n">
        <v>0</v>
      </c>
      <c r="L756" t="n">
        <v>0</v>
      </c>
      <c r="M756" t="n">
        <v>0</v>
      </c>
      <c r="N756" t="n">
        <v>0</v>
      </c>
      <c r="O756" t="n">
        <v>0</v>
      </c>
      <c r="P756" t="n">
        <v>0</v>
      </c>
      <c r="Q756" t="n">
        <v>0</v>
      </c>
      <c r="R756" s="2" t="inlineStr"/>
    </row>
    <row r="757" ht="15" customHeight="1">
      <c r="A757" t="inlineStr">
        <is>
          <t>A 63307-2021</t>
        </is>
      </c>
      <c r="B757" s="1" t="n">
        <v>44508.44033564815</v>
      </c>
      <c r="C757" s="1" t="n">
        <v>45880</v>
      </c>
      <c r="D757" t="inlineStr">
        <is>
          <t>UPPSALA LÄN</t>
        </is>
      </c>
      <c r="E757" t="inlineStr">
        <is>
          <t>UPPSALA</t>
        </is>
      </c>
      <c r="F757" t="inlineStr">
        <is>
          <t>Bergvik skog öst AB</t>
        </is>
      </c>
      <c r="G757" t="n">
        <v>2.8</v>
      </c>
      <c r="H757" t="n">
        <v>0</v>
      </c>
      <c r="I757" t="n">
        <v>0</v>
      </c>
      <c r="J757" t="n">
        <v>0</v>
      </c>
      <c r="K757" t="n">
        <v>0</v>
      </c>
      <c r="L757" t="n">
        <v>0</v>
      </c>
      <c r="M757" t="n">
        <v>0</v>
      </c>
      <c r="N757" t="n">
        <v>0</v>
      </c>
      <c r="O757" t="n">
        <v>0</v>
      </c>
      <c r="P757" t="n">
        <v>0</v>
      </c>
      <c r="Q757" t="n">
        <v>0</v>
      </c>
      <c r="R757" s="2" t="inlineStr"/>
    </row>
    <row r="758" ht="15" customHeight="1">
      <c r="A758" t="inlineStr">
        <is>
          <t>A 27922-2025</t>
        </is>
      </c>
      <c r="B758" s="1" t="n">
        <v>45817</v>
      </c>
      <c r="C758" s="1" t="n">
        <v>45880</v>
      </c>
      <c r="D758" t="inlineStr">
        <is>
          <t>UPPSALA LÄN</t>
        </is>
      </c>
      <c r="E758" t="inlineStr">
        <is>
          <t>UPPSALA</t>
        </is>
      </c>
      <c r="F758" t="inlineStr">
        <is>
          <t>Övriga Aktiebolag</t>
        </is>
      </c>
      <c r="G758" t="n">
        <v>0.1</v>
      </c>
      <c r="H758" t="n">
        <v>0</v>
      </c>
      <c r="I758" t="n">
        <v>0</v>
      </c>
      <c r="J758" t="n">
        <v>0</v>
      </c>
      <c r="K758" t="n">
        <v>0</v>
      </c>
      <c r="L758" t="n">
        <v>0</v>
      </c>
      <c r="M758" t="n">
        <v>0</v>
      </c>
      <c r="N758" t="n">
        <v>0</v>
      </c>
      <c r="O758" t="n">
        <v>0</v>
      </c>
      <c r="P758" t="n">
        <v>0</v>
      </c>
      <c r="Q758" t="n">
        <v>0</v>
      </c>
      <c r="R758" s="2" t="inlineStr"/>
    </row>
    <row r="759" ht="15" customHeight="1">
      <c r="A759" t="inlineStr">
        <is>
          <t>A 66690-2021</t>
        </is>
      </c>
      <c r="B759" s="1" t="n">
        <v>44519.64902777778</v>
      </c>
      <c r="C759" s="1" t="n">
        <v>45880</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39107-2023</t>
        </is>
      </c>
      <c r="B760" s="1" t="n">
        <v>45164.82913194445</v>
      </c>
      <c r="C760" s="1" t="n">
        <v>45880</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21657-2024</t>
        </is>
      </c>
      <c r="B761" s="1" t="n">
        <v>45442</v>
      </c>
      <c r="C761" s="1" t="n">
        <v>45880</v>
      </c>
      <c r="D761" t="inlineStr">
        <is>
          <t>UPPSALA LÄN</t>
        </is>
      </c>
      <c r="E761" t="inlineStr">
        <is>
          <t>UPPSALA</t>
        </is>
      </c>
      <c r="G761" t="n">
        <v>5.7</v>
      </c>
      <c r="H761" t="n">
        <v>0</v>
      </c>
      <c r="I761" t="n">
        <v>0</v>
      </c>
      <c r="J761" t="n">
        <v>0</v>
      </c>
      <c r="K761" t="n">
        <v>0</v>
      </c>
      <c r="L761" t="n">
        <v>0</v>
      </c>
      <c r="M761" t="n">
        <v>0</v>
      </c>
      <c r="N761" t="n">
        <v>0</v>
      </c>
      <c r="O761" t="n">
        <v>0</v>
      </c>
      <c r="P761" t="n">
        <v>0</v>
      </c>
      <c r="Q761" t="n">
        <v>0</v>
      </c>
      <c r="R761" s="2" t="inlineStr"/>
    </row>
    <row r="762" ht="15" customHeight="1">
      <c r="A762" t="inlineStr">
        <is>
          <t>A 8109-2024</t>
        </is>
      </c>
      <c r="B762" s="1" t="n">
        <v>45351.48662037037</v>
      </c>
      <c r="C762" s="1" t="n">
        <v>45880</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554-2023</t>
        </is>
      </c>
      <c r="B763" s="1" t="n">
        <v>44930</v>
      </c>
      <c r="C763" s="1" t="n">
        <v>45880</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28876-2025</t>
        </is>
      </c>
      <c r="B764" s="1" t="n">
        <v>45820</v>
      </c>
      <c r="C764" s="1" t="n">
        <v>45880</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62044-2024</t>
        </is>
      </c>
      <c r="B765" s="1" t="n">
        <v>45656</v>
      </c>
      <c r="C765" s="1" t="n">
        <v>45880</v>
      </c>
      <c r="D765" t="inlineStr">
        <is>
          <t>UPPSALA LÄN</t>
        </is>
      </c>
      <c r="E765" t="inlineStr">
        <is>
          <t>UPPSALA</t>
        </is>
      </c>
      <c r="F765" t="inlineStr">
        <is>
          <t>Övriga statliga verk och myndigheter</t>
        </is>
      </c>
      <c r="G765" t="n">
        <v>11.6</v>
      </c>
      <c r="H765" t="n">
        <v>0</v>
      </c>
      <c r="I765" t="n">
        <v>0</v>
      </c>
      <c r="J765" t="n">
        <v>0</v>
      </c>
      <c r="K765" t="n">
        <v>0</v>
      </c>
      <c r="L765" t="n">
        <v>0</v>
      </c>
      <c r="M765" t="n">
        <v>0</v>
      </c>
      <c r="N765" t="n">
        <v>0</v>
      </c>
      <c r="O765" t="n">
        <v>0</v>
      </c>
      <c r="P765" t="n">
        <v>0</v>
      </c>
      <c r="Q765" t="n">
        <v>0</v>
      </c>
      <c r="R765" s="2" t="inlineStr"/>
    </row>
    <row r="766" ht="15" customHeight="1">
      <c r="A766" t="inlineStr">
        <is>
          <t>A 2357-2024</t>
        </is>
      </c>
      <c r="B766" s="1" t="n">
        <v>45310</v>
      </c>
      <c r="C766" s="1" t="n">
        <v>45880</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35978-2025</t>
        </is>
      </c>
      <c r="B767" s="1" t="n">
        <v>45863.44648148148</v>
      </c>
      <c r="C767" s="1" t="n">
        <v>45880</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44781-2021</t>
        </is>
      </c>
      <c r="B768" s="1" t="n">
        <v>44438</v>
      </c>
      <c r="C768" s="1" t="n">
        <v>45880</v>
      </c>
      <c r="D768" t="inlineStr">
        <is>
          <t>UPPSALA LÄN</t>
        </is>
      </c>
      <c r="E768" t="inlineStr">
        <is>
          <t>UPPSALA</t>
        </is>
      </c>
      <c r="F768" t="inlineStr">
        <is>
          <t>Sveaskog</t>
        </is>
      </c>
      <c r="G768" t="n">
        <v>0.1</v>
      </c>
      <c r="H768" t="n">
        <v>0</v>
      </c>
      <c r="I768" t="n">
        <v>0</v>
      </c>
      <c r="J768" t="n">
        <v>0</v>
      </c>
      <c r="K768" t="n">
        <v>0</v>
      </c>
      <c r="L768" t="n">
        <v>0</v>
      </c>
      <c r="M768" t="n">
        <v>0</v>
      </c>
      <c r="N768" t="n">
        <v>0</v>
      </c>
      <c r="O768" t="n">
        <v>0</v>
      </c>
      <c r="P768" t="n">
        <v>0</v>
      </c>
      <c r="Q768" t="n">
        <v>0</v>
      </c>
      <c r="R768" s="2" t="inlineStr"/>
    </row>
    <row r="769" ht="15" customHeight="1">
      <c r="A769" t="inlineStr">
        <is>
          <t>A 27912-2023</t>
        </is>
      </c>
      <c r="B769" s="1" t="n">
        <v>45098.63572916666</v>
      </c>
      <c r="C769" s="1" t="n">
        <v>45880</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29047-2025</t>
        </is>
      </c>
      <c r="B770" s="1" t="n">
        <v>45821.45905092593</v>
      </c>
      <c r="C770" s="1" t="n">
        <v>45880</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29287-2025</t>
        </is>
      </c>
      <c r="B771" s="1" t="n">
        <v>45824.43798611111</v>
      </c>
      <c r="C771" s="1" t="n">
        <v>45880</v>
      </c>
      <c r="D771" t="inlineStr">
        <is>
          <t>UPPSALA LÄN</t>
        </is>
      </c>
      <c r="E771" t="inlineStr">
        <is>
          <t>UPPSALA</t>
        </is>
      </c>
      <c r="F771" t="inlineStr">
        <is>
          <t>Kyrkan</t>
        </is>
      </c>
      <c r="G771" t="n">
        <v>5.2</v>
      </c>
      <c r="H771" t="n">
        <v>0</v>
      </c>
      <c r="I771" t="n">
        <v>0</v>
      </c>
      <c r="J771" t="n">
        <v>0</v>
      </c>
      <c r="K771" t="n">
        <v>0</v>
      </c>
      <c r="L771" t="n">
        <v>0</v>
      </c>
      <c r="M771" t="n">
        <v>0</v>
      </c>
      <c r="N771" t="n">
        <v>0</v>
      </c>
      <c r="O771" t="n">
        <v>0</v>
      </c>
      <c r="P771" t="n">
        <v>0</v>
      </c>
      <c r="Q771" t="n">
        <v>0</v>
      </c>
      <c r="R771" s="2" t="inlineStr"/>
    </row>
    <row r="772" ht="15" customHeight="1">
      <c r="A772" t="inlineStr">
        <is>
          <t>A 29030-2025</t>
        </is>
      </c>
      <c r="B772" s="1" t="n">
        <v>45821.44101851852</v>
      </c>
      <c r="C772" s="1" t="n">
        <v>45880</v>
      </c>
      <c r="D772" t="inlineStr">
        <is>
          <t>UPPSALA LÄN</t>
        </is>
      </c>
      <c r="E772" t="inlineStr">
        <is>
          <t>UPPSALA</t>
        </is>
      </c>
      <c r="G772" t="n">
        <v>3.9</v>
      </c>
      <c r="H772" t="n">
        <v>0</v>
      </c>
      <c r="I772" t="n">
        <v>0</v>
      </c>
      <c r="J772" t="n">
        <v>0</v>
      </c>
      <c r="K772" t="n">
        <v>0</v>
      </c>
      <c r="L772" t="n">
        <v>0</v>
      </c>
      <c r="M772" t="n">
        <v>0</v>
      </c>
      <c r="N772" t="n">
        <v>0</v>
      </c>
      <c r="O772" t="n">
        <v>0</v>
      </c>
      <c r="P772" t="n">
        <v>0</v>
      </c>
      <c r="Q772" t="n">
        <v>0</v>
      </c>
      <c r="R772" s="2" t="inlineStr"/>
    </row>
    <row r="773" ht="15" customHeight="1">
      <c r="A773" t="inlineStr">
        <is>
          <t>A 35984-2025</t>
        </is>
      </c>
      <c r="B773" s="1" t="n">
        <v>45863.45355324074</v>
      </c>
      <c r="C773" s="1" t="n">
        <v>45880</v>
      </c>
      <c r="D773" t="inlineStr">
        <is>
          <t>UPPSALA LÄN</t>
        </is>
      </c>
      <c r="E773" t="inlineStr">
        <is>
          <t>UPPSALA</t>
        </is>
      </c>
      <c r="G773" t="n">
        <v>6.1</v>
      </c>
      <c r="H773" t="n">
        <v>0</v>
      </c>
      <c r="I773" t="n">
        <v>0</v>
      </c>
      <c r="J773" t="n">
        <v>0</v>
      </c>
      <c r="K773" t="n">
        <v>0</v>
      </c>
      <c r="L773" t="n">
        <v>0</v>
      </c>
      <c r="M773" t="n">
        <v>0</v>
      </c>
      <c r="N773" t="n">
        <v>0</v>
      </c>
      <c r="O773" t="n">
        <v>0</v>
      </c>
      <c r="P773" t="n">
        <v>0</v>
      </c>
      <c r="Q773" t="n">
        <v>0</v>
      </c>
      <c r="R773" s="2" t="inlineStr"/>
    </row>
    <row r="774" ht="15" customHeight="1">
      <c r="A774" t="inlineStr">
        <is>
          <t>A 5764-2025</t>
        </is>
      </c>
      <c r="B774" s="1" t="n">
        <v>45694</v>
      </c>
      <c r="C774" s="1" t="n">
        <v>45880</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40100-2022</t>
        </is>
      </c>
      <c r="B775" s="1" t="n">
        <v>44820.47935185185</v>
      </c>
      <c r="C775" s="1" t="n">
        <v>45880</v>
      </c>
      <c r="D775" t="inlineStr">
        <is>
          <t>UPPSALA LÄN</t>
        </is>
      </c>
      <c r="E775" t="inlineStr">
        <is>
          <t>UPPSALA</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26323-2023</t>
        </is>
      </c>
      <c r="B776" s="1" t="n">
        <v>45091.69766203704</v>
      </c>
      <c r="C776" s="1" t="n">
        <v>45880</v>
      </c>
      <c r="D776" t="inlineStr">
        <is>
          <t>UPPSALA LÄN</t>
        </is>
      </c>
      <c r="E776" t="inlineStr">
        <is>
          <t>UPPSALA</t>
        </is>
      </c>
      <c r="G776" t="n">
        <v>3.1</v>
      </c>
      <c r="H776" t="n">
        <v>0</v>
      </c>
      <c r="I776" t="n">
        <v>0</v>
      </c>
      <c r="J776" t="n">
        <v>0</v>
      </c>
      <c r="K776" t="n">
        <v>0</v>
      </c>
      <c r="L776" t="n">
        <v>0</v>
      </c>
      <c r="M776" t="n">
        <v>0</v>
      </c>
      <c r="N776" t="n">
        <v>0</v>
      </c>
      <c r="O776" t="n">
        <v>0</v>
      </c>
      <c r="P776" t="n">
        <v>0</v>
      </c>
      <c r="Q776" t="n">
        <v>0</v>
      </c>
      <c r="R776" s="2" t="inlineStr"/>
    </row>
    <row r="777" ht="15" customHeight="1">
      <c r="A777" t="inlineStr">
        <is>
          <t>A 16288-2025</t>
        </is>
      </c>
      <c r="B777" s="1" t="n">
        <v>45751.32001157408</v>
      </c>
      <c r="C777" s="1" t="n">
        <v>45880</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21727-2023</t>
        </is>
      </c>
      <c r="B778" s="1" t="n">
        <v>45065.43013888889</v>
      </c>
      <c r="C778" s="1" t="n">
        <v>45880</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59116-2024</t>
        </is>
      </c>
      <c r="B779" s="1" t="n">
        <v>45637</v>
      </c>
      <c r="C779" s="1" t="n">
        <v>45880</v>
      </c>
      <c r="D779" t="inlineStr">
        <is>
          <t>UPPSALA LÄN</t>
        </is>
      </c>
      <c r="E779" t="inlineStr">
        <is>
          <t>UPPSALA</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69698-2021</t>
        </is>
      </c>
      <c r="B780" s="1" t="n">
        <v>44532</v>
      </c>
      <c r="C780" s="1" t="n">
        <v>45880</v>
      </c>
      <c r="D780" t="inlineStr">
        <is>
          <t>UPPSALA LÄN</t>
        </is>
      </c>
      <c r="E780" t="inlineStr">
        <is>
          <t>UPPSALA</t>
        </is>
      </c>
      <c r="G780" t="n">
        <v>0.7</v>
      </c>
      <c r="H780" t="n">
        <v>0</v>
      </c>
      <c r="I780" t="n">
        <v>0</v>
      </c>
      <c r="J780" t="n">
        <v>0</v>
      </c>
      <c r="K780" t="n">
        <v>0</v>
      </c>
      <c r="L780" t="n">
        <v>0</v>
      </c>
      <c r="M780" t="n">
        <v>0</v>
      </c>
      <c r="N780" t="n">
        <v>0</v>
      </c>
      <c r="O780" t="n">
        <v>0</v>
      </c>
      <c r="P780" t="n">
        <v>0</v>
      </c>
      <c r="Q780" t="n">
        <v>0</v>
      </c>
      <c r="R780" s="2" t="inlineStr"/>
    </row>
    <row r="781" ht="15" customHeight="1">
      <c r="A781" t="inlineStr">
        <is>
          <t>A 5068-2025</t>
        </is>
      </c>
      <c r="B781" s="1" t="n">
        <v>45691</v>
      </c>
      <c r="C781" s="1" t="n">
        <v>45880</v>
      </c>
      <c r="D781" t="inlineStr">
        <is>
          <t>UPPSALA LÄN</t>
        </is>
      </c>
      <c r="E781" t="inlineStr">
        <is>
          <t>UPPSALA</t>
        </is>
      </c>
      <c r="G781" t="n">
        <v>5.9</v>
      </c>
      <c r="H781" t="n">
        <v>0</v>
      </c>
      <c r="I781" t="n">
        <v>0</v>
      </c>
      <c r="J781" t="n">
        <v>0</v>
      </c>
      <c r="K781" t="n">
        <v>0</v>
      </c>
      <c r="L781" t="n">
        <v>0</v>
      </c>
      <c r="M781" t="n">
        <v>0</v>
      </c>
      <c r="N781" t="n">
        <v>0</v>
      </c>
      <c r="O781" t="n">
        <v>0</v>
      </c>
      <c r="P781" t="n">
        <v>0</v>
      </c>
      <c r="Q781" t="n">
        <v>0</v>
      </c>
      <c r="R781" s="2" t="inlineStr"/>
    </row>
    <row r="782" ht="15" customHeight="1">
      <c r="A782" t="inlineStr">
        <is>
          <t>A 29627-2025</t>
        </is>
      </c>
      <c r="B782" s="1" t="n">
        <v>45825.44482638889</v>
      </c>
      <c r="C782" s="1" t="n">
        <v>45880</v>
      </c>
      <c r="D782" t="inlineStr">
        <is>
          <t>UPPSALA LÄN</t>
        </is>
      </c>
      <c r="E782" t="inlineStr">
        <is>
          <t>UPPSALA</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36253-2025</t>
        </is>
      </c>
      <c r="B783" s="1" t="n">
        <v>45867.58056712963</v>
      </c>
      <c r="C783" s="1" t="n">
        <v>45880</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29664-2025</t>
        </is>
      </c>
      <c r="B784" s="1" t="n">
        <v>45825.49060185185</v>
      </c>
      <c r="C784" s="1" t="n">
        <v>45880</v>
      </c>
      <c r="D784" t="inlineStr">
        <is>
          <t>UPPSALA LÄN</t>
        </is>
      </c>
      <c r="E784" t="inlineStr">
        <is>
          <t>UPPSALA</t>
        </is>
      </c>
      <c r="F784" t="inlineStr">
        <is>
          <t>Holmen skog AB</t>
        </is>
      </c>
      <c r="G784" t="n">
        <v>16.8</v>
      </c>
      <c r="H784" t="n">
        <v>0</v>
      </c>
      <c r="I784" t="n">
        <v>0</v>
      </c>
      <c r="J784" t="n">
        <v>0</v>
      </c>
      <c r="K784" t="n">
        <v>0</v>
      </c>
      <c r="L784" t="n">
        <v>0</v>
      </c>
      <c r="M784" t="n">
        <v>0</v>
      </c>
      <c r="N784" t="n">
        <v>0</v>
      </c>
      <c r="O784" t="n">
        <v>0</v>
      </c>
      <c r="P784" t="n">
        <v>0</v>
      </c>
      <c r="Q784" t="n">
        <v>0</v>
      </c>
      <c r="R784" s="2" t="inlineStr"/>
    </row>
    <row r="785" ht="15" customHeight="1">
      <c r="A785" t="inlineStr">
        <is>
          <t>A 15937-2025</t>
        </is>
      </c>
      <c r="B785" s="1" t="n">
        <v>45749.4737962963</v>
      </c>
      <c r="C785" s="1" t="n">
        <v>45880</v>
      </c>
      <c r="D785" t="inlineStr">
        <is>
          <t>UPPSALA LÄN</t>
        </is>
      </c>
      <c r="E785" t="inlineStr">
        <is>
          <t>UPPSALA</t>
        </is>
      </c>
      <c r="G785" t="n">
        <v>7.6</v>
      </c>
      <c r="H785" t="n">
        <v>0</v>
      </c>
      <c r="I785" t="n">
        <v>0</v>
      </c>
      <c r="J785" t="n">
        <v>0</v>
      </c>
      <c r="K785" t="n">
        <v>0</v>
      </c>
      <c r="L785" t="n">
        <v>0</v>
      </c>
      <c r="M785" t="n">
        <v>0</v>
      </c>
      <c r="N785" t="n">
        <v>0</v>
      </c>
      <c r="O785" t="n">
        <v>0</v>
      </c>
      <c r="P785" t="n">
        <v>0</v>
      </c>
      <c r="Q785" t="n">
        <v>0</v>
      </c>
      <c r="R785" s="2" t="inlineStr"/>
    </row>
    <row r="786" ht="15" customHeight="1">
      <c r="A786" t="inlineStr">
        <is>
          <t>A 30429-2025</t>
        </is>
      </c>
      <c r="B786" s="1" t="n">
        <v>45827.62096064815</v>
      </c>
      <c r="C786" s="1" t="n">
        <v>45880</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35148-2025</t>
        </is>
      </c>
      <c r="B787" s="1" t="n">
        <v>45852.67366898148</v>
      </c>
      <c r="C787" s="1" t="n">
        <v>45880</v>
      </c>
      <c r="D787" t="inlineStr">
        <is>
          <t>UPPSALA LÄN</t>
        </is>
      </c>
      <c r="E787" t="inlineStr">
        <is>
          <t>UPPSALA</t>
        </is>
      </c>
      <c r="F787" t="inlineStr">
        <is>
          <t>Holmen skog AB</t>
        </is>
      </c>
      <c r="G787" t="n">
        <v>2.2</v>
      </c>
      <c r="H787" t="n">
        <v>0</v>
      </c>
      <c r="I787" t="n">
        <v>0</v>
      </c>
      <c r="J787" t="n">
        <v>0</v>
      </c>
      <c r="K787" t="n">
        <v>0</v>
      </c>
      <c r="L787" t="n">
        <v>0</v>
      </c>
      <c r="M787" t="n">
        <v>0</v>
      </c>
      <c r="N787" t="n">
        <v>0</v>
      </c>
      <c r="O787" t="n">
        <v>0</v>
      </c>
      <c r="P787" t="n">
        <v>0</v>
      </c>
      <c r="Q787" t="n">
        <v>0</v>
      </c>
      <c r="R787" s="2" t="inlineStr"/>
    </row>
    <row r="788" ht="15" customHeight="1">
      <c r="A788" t="inlineStr">
        <is>
          <t>A 30437-2025</t>
        </is>
      </c>
      <c r="B788" s="1" t="n">
        <v>45827.64092592592</v>
      </c>
      <c r="C788" s="1" t="n">
        <v>45880</v>
      </c>
      <c r="D788" t="inlineStr">
        <is>
          <t>UPPSALA LÄN</t>
        </is>
      </c>
      <c r="E788" t="inlineStr">
        <is>
          <t>UPPSALA</t>
        </is>
      </c>
      <c r="G788" t="n">
        <v>3.6</v>
      </c>
      <c r="H788" t="n">
        <v>0</v>
      </c>
      <c r="I788" t="n">
        <v>0</v>
      </c>
      <c r="J788" t="n">
        <v>0</v>
      </c>
      <c r="K788" t="n">
        <v>0</v>
      </c>
      <c r="L788" t="n">
        <v>0</v>
      </c>
      <c r="M788" t="n">
        <v>0</v>
      </c>
      <c r="N788" t="n">
        <v>0</v>
      </c>
      <c r="O788" t="n">
        <v>0</v>
      </c>
      <c r="P788" t="n">
        <v>0</v>
      </c>
      <c r="Q788" t="n">
        <v>0</v>
      </c>
      <c r="R788" s="2" t="inlineStr"/>
    </row>
    <row r="789" ht="15" customHeight="1">
      <c r="A789" t="inlineStr">
        <is>
          <t>A 28958-2025</t>
        </is>
      </c>
      <c r="B789" s="1" t="n">
        <v>45821.31292824074</v>
      </c>
      <c r="C789" s="1" t="n">
        <v>45880</v>
      </c>
      <c r="D789" t="inlineStr">
        <is>
          <t>UPPSALA LÄN</t>
        </is>
      </c>
      <c r="E789" t="inlineStr">
        <is>
          <t>UPPSALA</t>
        </is>
      </c>
      <c r="G789" t="n">
        <v>4.6</v>
      </c>
      <c r="H789" t="n">
        <v>0</v>
      </c>
      <c r="I789" t="n">
        <v>0</v>
      </c>
      <c r="J789" t="n">
        <v>0</v>
      </c>
      <c r="K789" t="n">
        <v>0</v>
      </c>
      <c r="L789" t="n">
        <v>0</v>
      </c>
      <c r="M789" t="n">
        <v>0</v>
      </c>
      <c r="N789" t="n">
        <v>0</v>
      </c>
      <c r="O789" t="n">
        <v>0</v>
      </c>
      <c r="P789" t="n">
        <v>0</v>
      </c>
      <c r="Q789" t="n">
        <v>0</v>
      </c>
      <c r="R789" s="2" t="inlineStr"/>
    </row>
    <row r="790" ht="15" customHeight="1">
      <c r="A790" t="inlineStr">
        <is>
          <t>A 5204-2025</t>
        </is>
      </c>
      <c r="B790" s="1" t="n">
        <v>45691</v>
      </c>
      <c r="C790" s="1" t="n">
        <v>45880</v>
      </c>
      <c r="D790" t="inlineStr">
        <is>
          <t>UPPSALA LÄN</t>
        </is>
      </c>
      <c r="E790" t="inlineStr">
        <is>
          <t>UPPSALA</t>
        </is>
      </c>
      <c r="G790" t="n">
        <v>3.7</v>
      </c>
      <c r="H790" t="n">
        <v>0</v>
      </c>
      <c r="I790" t="n">
        <v>0</v>
      </c>
      <c r="J790" t="n">
        <v>0</v>
      </c>
      <c r="K790" t="n">
        <v>0</v>
      </c>
      <c r="L790" t="n">
        <v>0</v>
      </c>
      <c r="M790" t="n">
        <v>0</v>
      </c>
      <c r="N790" t="n">
        <v>0</v>
      </c>
      <c r="O790" t="n">
        <v>0</v>
      </c>
      <c r="P790" t="n">
        <v>0</v>
      </c>
      <c r="Q790" t="n">
        <v>0</v>
      </c>
      <c r="R790" s="2" t="inlineStr"/>
    </row>
    <row r="791" ht="15" customHeight="1">
      <c r="A791" t="inlineStr">
        <is>
          <t>A 9993-2025</t>
        </is>
      </c>
      <c r="B791" s="1" t="n">
        <v>45719.43755787037</v>
      </c>
      <c r="C791" s="1" t="n">
        <v>45880</v>
      </c>
      <c r="D791" t="inlineStr">
        <is>
          <t>UPPSALA LÄN</t>
        </is>
      </c>
      <c r="E791" t="inlineStr">
        <is>
          <t>UPPSALA</t>
        </is>
      </c>
      <c r="F791" t="inlineStr">
        <is>
          <t>Kyrkan</t>
        </is>
      </c>
      <c r="G791" t="n">
        <v>6.1</v>
      </c>
      <c r="H791" t="n">
        <v>0</v>
      </c>
      <c r="I791" t="n">
        <v>0</v>
      </c>
      <c r="J791" t="n">
        <v>0</v>
      </c>
      <c r="K791" t="n">
        <v>0</v>
      </c>
      <c r="L791" t="n">
        <v>0</v>
      </c>
      <c r="M791" t="n">
        <v>0</v>
      </c>
      <c r="N791" t="n">
        <v>0</v>
      </c>
      <c r="O791" t="n">
        <v>0</v>
      </c>
      <c r="P791" t="n">
        <v>0</v>
      </c>
      <c r="Q791" t="n">
        <v>0</v>
      </c>
      <c r="R791" s="2" t="inlineStr"/>
    </row>
    <row r="792" ht="15" customHeight="1">
      <c r="A792" t="inlineStr">
        <is>
          <t>A 20102-2023</t>
        </is>
      </c>
      <c r="B792" s="1" t="n">
        <v>45054.95675925926</v>
      </c>
      <c r="C792" s="1" t="n">
        <v>45880</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20248-2025</t>
        </is>
      </c>
      <c r="B793" s="1" t="n">
        <v>45772.77188657408</v>
      </c>
      <c r="C793" s="1" t="n">
        <v>45880</v>
      </c>
      <c r="D793" t="inlineStr">
        <is>
          <t>UPPSALA LÄN</t>
        </is>
      </c>
      <c r="E793" t="inlineStr">
        <is>
          <t>UPPSALA</t>
        </is>
      </c>
      <c r="G793" t="n">
        <v>7.7</v>
      </c>
      <c r="H793" t="n">
        <v>0</v>
      </c>
      <c r="I793" t="n">
        <v>0</v>
      </c>
      <c r="J793" t="n">
        <v>0</v>
      </c>
      <c r="K793" t="n">
        <v>0</v>
      </c>
      <c r="L793" t="n">
        <v>0</v>
      </c>
      <c r="M793" t="n">
        <v>0</v>
      </c>
      <c r="N793" t="n">
        <v>0</v>
      </c>
      <c r="O793" t="n">
        <v>0</v>
      </c>
      <c r="P793" t="n">
        <v>0</v>
      </c>
      <c r="Q793" t="n">
        <v>0</v>
      </c>
      <c r="R793" s="2" t="inlineStr"/>
    </row>
    <row r="794" ht="15" customHeight="1">
      <c r="A794" t="inlineStr">
        <is>
          <t>A 30282-2025</t>
        </is>
      </c>
      <c r="B794" s="1" t="n">
        <v>45827.46288194445</v>
      </c>
      <c r="C794" s="1" t="n">
        <v>45880</v>
      </c>
      <c r="D794" t="inlineStr">
        <is>
          <t>UPPSALA LÄN</t>
        </is>
      </c>
      <c r="E794" t="inlineStr">
        <is>
          <t>UPPSALA</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37010-2025</t>
        </is>
      </c>
      <c r="B795" s="1" t="n">
        <v>45874.705</v>
      </c>
      <c r="C795" s="1" t="n">
        <v>45880</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30583-2025</t>
        </is>
      </c>
      <c r="B796" s="1" t="n">
        <v>45831.42365740741</v>
      </c>
      <c r="C796" s="1" t="n">
        <v>45880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30585-2025</t>
        </is>
      </c>
      <c r="B797" s="1" t="n">
        <v>45831.42616898148</v>
      </c>
      <c r="C797" s="1" t="n">
        <v>45880</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30839-2025</t>
        </is>
      </c>
      <c r="B798" s="1" t="n">
        <v>45831.73</v>
      </c>
      <c r="C798" s="1" t="n">
        <v>45880</v>
      </c>
      <c r="D798" t="inlineStr">
        <is>
          <t>UPPSALA LÄN</t>
        </is>
      </c>
      <c r="E798" t="inlineStr">
        <is>
          <t>UPPSALA</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19017-2023</t>
        </is>
      </c>
      <c r="B799" s="1" t="n">
        <v>45047.31793981481</v>
      </c>
      <c r="C799" s="1" t="n">
        <v>45880</v>
      </c>
      <c r="D799" t="inlineStr">
        <is>
          <t>UPPSALA LÄN</t>
        </is>
      </c>
      <c r="E799" t="inlineStr">
        <is>
          <t>UPPSALA</t>
        </is>
      </c>
      <c r="G799" t="n">
        <v>0.6</v>
      </c>
      <c r="H799" t="n">
        <v>0</v>
      </c>
      <c r="I799" t="n">
        <v>0</v>
      </c>
      <c r="J799" t="n">
        <v>0</v>
      </c>
      <c r="K799" t="n">
        <v>0</v>
      </c>
      <c r="L799" t="n">
        <v>0</v>
      </c>
      <c r="M799" t="n">
        <v>0</v>
      </c>
      <c r="N799" t="n">
        <v>0</v>
      </c>
      <c r="O799" t="n">
        <v>0</v>
      </c>
      <c r="P799" t="n">
        <v>0</v>
      </c>
      <c r="Q799" t="n">
        <v>0</v>
      </c>
      <c r="R799" s="2" t="inlineStr"/>
    </row>
    <row r="800" ht="15" customHeight="1">
      <c r="A800" t="inlineStr">
        <is>
          <t>A 55862-2022</t>
        </is>
      </c>
      <c r="B800" s="1" t="n">
        <v>44888</v>
      </c>
      <c r="C800" s="1" t="n">
        <v>45880</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13502-2025</t>
        </is>
      </c>
      <c r="B801" s="1" t="n">
        <v>45736.45847222222</v>
      </c>
      <c r="C801" s="1" t="n">
        <v>45880</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5605-2025</t>
        </is>
      </c>
      <c r="B802" s="1" t="n">
        <v>45693</v>
      </c>
      <c r="C802" s="1" t="n">
        <v>45880</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1020-2021</t>
        </is>
      </c>
      <c r="B803" s="1" t="n">
        <v>44207</v>
      </c>
      <c r="C803" s="1" t="n">
        <v>45880</v>
      </c>
      <c r="D803" t="inlineStr">
        <is>
          <t>UPPSALA LÄN</t>
        </is>
      </c>
      <c r="E803" t="inlineStr">
        <is>
          <t>UPPSALA</t>
        </is>
      </c>
      <c r="F803" t="inlineStr">
        <is>
          <t>Holmen skog AB</t>
        </is>
      </c>
      <c r="G803" t="n">
        <v>1</v>
      </c>
      <c r="H803" t="n">
        <v>0</v>
      </c>
      <c r="I803" t="n">
        <v>0</v>
      </c>
      <c r="J803" t="n">
        <v>0</v>
      </c>
      <c r="K803" t="n">
        <v>0</v>
      </c>
      <c r="L803" t="n">
        <v>0</v>
      </c>
      <c r="M803" t="n">
        <v>0</v>
      </c>
      <c r="N803" t="n">
        <v>0</v>
      </c>
      <c r="O803" t="n">
        <v>0</v>
      </c>
      <c r="P803" t="n">
        <v>0</v>
      </c>
      <c r="Q803" t="n">
        <v>0</v>
      </c>
      <c r="R803" s="2" t="inlineStr"/>
    </row>
    <row r="804" ht="15" customHeight="1">
      <c r="A804" t="inlineStr">
        <is>
          <t>A 33191-2023</t>
        </is>
      </c>
      <c r="B804" s="1" t="n">
        <v>45127</v>
      </c>
      <c r="C804" s="1" t="n">
        <v>45880</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34265-2021</t>
        </is>
      </c>
      <c r="B805" s="1" t="n">
        <v>44379.5745949074</v>
      </c>
      <c r="C805" s="1" t="n">
        <v>45880</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30616-2025</t>
        </is>
      </c>
      <c r="B806" s="1" t="n">
        <v>45831.46731481481</v>
      </c>
      <c r="C806" s="1" t="n">
        <v>45880</v>
      </c>
      <c r="D806" t="inlineStr">
        <is>
          <t>UPPSALA LÄN</t>
        </is>
      </c>
      <c r="E806" t="inlineStr">
        <is>
          <t>UPPSALA</t>
        </is>
      </c>
      <c r="G806" t="n">
        <v>2.1</v>
      </c>
      <c r="H806" t="n">
        <v>0</v>
      </c>
      <c r="I806" t="n">
        <v>0</v>
      </c>
      <c r="J806" t="n">
        <v>0</v>
      </c>
      <c r="K806" t="n">
        <v>0</v>
      </c>
      <c r="L806" t="n">
        <v>0</v>
      </c>
      <c r="M806" t="n">
        <v>0</v>
      </c>
      <c r="N806" t="n">
        <v>0</v>
      </c>
      <c r="O806" t="n">
        <v>0</v>
      </c>
      <c r="P806" t="n">
        <v>0</v>
      </c>
      <c r="Q806" t="n">
        <v>0</v>
      </c>
      <c r="R806" s="2" t="inlineStr"/>
    </row>
    <row r="807" ht="15" customHeight="1">
      <c r="A807" t="inlineStr">
        <is>
          <t>A 33332-2022</t>
        </is>
      </c>
      <c r="B807" s="1" t="n">
        <v>44788</v>
      </c>
      <c r="C807" s="1" t="n">
        <v>45880</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18054-2025</t>
        </is>
      </c>
      <c r="B808" s="1" t="n">
        <v>45761.47540509259</v>
      </c>
      <c r="C808" s="1" t="n">
        <v>45880</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18058-2025</t>
        </is>
      </c>
      <c r="B809" s="1" t="n">
        <v>45761.47748842592</v>
      </c>
      <c r="C809" s="1" t="n">
        <v>45880</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30898-2025</t>
        </is>
      </c>
      <c r="B810" s="1" t="n">
        <v>45832.35590277778</v>
      </c>
      <c r="C810" s="1" t="n">
        <v>45880</v>
      </c>
      <c r="D810" t="inlineStr">
        <is>
          <t>UPPSALA LÄN</t>
        </is>
      </c>
      <c r="E810" t="inlineStr">
        <is>
          <t>UPPSALA</t>
        </is>
      </c>
      <c r="F810" t="inlineStr">
        <is>
          <t>Kyrkan</t>
        </is>
      </c>
      <c r="G810" t="n">
        <v>2.8</v>
      </c>
      <c r="H810" t="n">
        <v>0</v>
      </c>
      <c r="I810" t="n">
        <v>0</v>
      </c>
      <c r="J810" t="n">
        <v>0</v>
      </c>
      <c r="K810" t="n">
        <v>0</v>
      </c>
      <c r="L810" t="n">
        <v>0</v>
      </c>
      <c r="M810" t="n">
        <v>0</v>
      </c>
      <c r="N810" t="n">
        <v>0</v>
      </c>
      <c r="O810" t="n">
        <v>0</v>
      </c>
      <c r="P810" t="n">
        <v>0</v>
      </c>
      <c r="Q810" t="n">
        <v>0</v>
      </c>
      <c r="R810" s="2" t="inlineStr"/>
    </row>
    <row r="811" ht="15" customHeight="1">
      <c r="A811" t="inlineStr">
        <is>
          <t>A 30567-2025</t>
        </is>
      </c>
      <c r="B811" s="1" t="n">
        <v>45831.40671296296</v>
      </c>
      <c r="C811" s="1" t="n">
        <v>45880</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844-2025</t>
        </is>
      </c>
      <c r="B812" s="1" t="n">
        <v>45665</v>
      </c>
      <c r="C812" s="1" t="n">
        <v>45880</v>
      </c>
      <c r="D812" t="inlineStr">
        <is>
          <t>UPPSALA LÄN</t>
        </is>
      </c>
      <c r="E812" t="inlineStr">
        <is>
          <t>UPPSALA</t>
        </is>
      </c>
      <c r="G812" t="n">
        <v>2.6</v>
      </c>
      <c r="H812" t="n">
        <v>0</v>
      </c>
      <c r="I812" t="n">
        <v>0</v>
      </c>
      <c r="J812" t="n">
        <v>0</v>
      </c>
      <c r="K812" t="n">
        <v>0</v>
      </c>
      <c r="L812" t="n">
        <v>0</v>
      </c>
      <c r="M812" t="n">
        <v>0</v>
      </c>
      <c r="N812" t="n">
        <v>0</v>
      </c>
      <c r="O812" t="n">
        <v>0</v>
      </c>
      <c r="P812" t="n">
        <v>0</v>
      </c>
      <c r="Q812" t="n">
        <v>0</v>
      </c>
      <c r="R812" s="2" t="inlineStr"/>
    </row>
    <row r="813" ht="15" customHeight="1">
      <c r="A813" t="inlineStr">
        <is>
          <t>A 30897-2025</t>
        </is>
      </c>
      <c r="B813" s="1" t="n">
        <v>45832.35545138889</v>
      </c>
      <c r="C813" s="1" t="n">
        <v>45880</v>
      </c>
      <c r="D813" t="inlineStr">
        <is>
          <t>UPPSALA LÄN</t>
        </is>
      </c>
      <c r="E813" t="inlineStr">
        <is>
          <t>UPPSALA</t>
        </is>
      </c>
      <c r="F813" t="inlineStr">
        <is>
          <t>Kyrkan</t>
        </is>
      </c>
      <c r="G813" t="n">
        <v>2.8</v>
      </c>
      <c r="H813" t="n">
        <v>0</v>
      </c>
      <c r="I813" t="n">
        <v>0</v>
      </c>
      <c r="J813" t="n">
        <v>0</v>
      </c>
      <c r="K813" t="n">
        <v>0</v>
      </c>
      <c r="L813" t="n">
        <v>0</v>
      </c>
      <c r="M813" t="n">
        <v>0</v>
      </c>
      <c r="N813" t="n">
        <v>0</v>
      </c>
      <c r="O813" t="n">
        <v>0</v>
      </c>
      <c r="P813" t="n">
        <v>0</v>
      </c>
      <c r="Q813" t="n">
        <v>0</v>
      </c>
      <c r="R813" s="2" t="inlineStr"/>
    </row>
    <row r="814" ht="15" customHeight="1">
      <c r="A814" t="inlineStr">
        <is>
          <t>A 6973-2025</t>
        </is>
      </c>
      <c r="B814" s="1" t="n">
        <v>45693</v>
      </c>
      <c r="C814" s="1" t="n">
        <v>45880</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30838-2025</t>
        </is>
      </c>
      <c r="B815" s="1" t="n">
        <v>45831.72686342592</v>
      </c>
      <c r="C815" s="1" t="n">
        <v>45880</v>
      </c>
      <c r="D815" t="inlineStr">
        <is>
          <t>UPPSALA LÄN</t>
        </is>
      </c>
      <c r="E815" t="inlineStr">
        <is>
          <t>UPPSALA</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39608-2022</t>
        </is>
      </c>
      <c r="B816" s="1" t="n">
        <v>44817</v>
      </c>
      <c r="C816" s="1" t="n">
        <v>45880</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50267-2023</t>
        </is>
      </c>
      <c r="B817" s="1" t="n">
        <v>45216.39040509259</v>
      </c>
      <c r="C817" s="1" t="n">
        <v>45880</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36913-2025</t>
        </is>
      </c>
      <c r="B818" s="1" t="n">
        <v>45874</v>
      </c>
      <c r="C818" s="1" t="n">
        <v>45880</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37351-2025</t>
        </is>
      </c>
      <c r="B819" s="1" t="n">
        <v>45876</v>
      </c>
      <c r="C819" s="1" t="n">
        <v>45880</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37352-2025</t>
        </is>
      </c>
      <c r="B820" s="1" t="n">
        <v>45876</v>
      </c>
      <c r="C820" s="1" t="n">
        <v>45880</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28825-2024</t>
        </is>
      </c>
      <c r="B821" s="1" t="n">
        <v>45478</v>
      </c>
      <c r="C821" s="1" t="n">
        <v>45880</v>
      </c>
      <c r="D821" t="inlineStr">
        <is>
          <t>UPPSALA LÄN</t>
        </is>
      </c>
      <c r="E821" t="inlineStr">
        <is>
          <t>UPPSALA</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50037-2024</t>
        </is>
      </c>
      <c r="B822" s="1" t="n">
        <v>45599</v>
      </c>
      <c r="C822" s="1" t="n">
        <v>45880</v>
      </c>
      <c r="D822" t="inlineStr">
        <is>
          <t>UPPSALA LÄN</t>
        </is>
      </c>
      <c r="E822" t="inlineStr">
        <is>
          <t>UPPSALA</t>
        </is>
      </c>
      <c r="G822" t="n">
        <v>13.7</v>
      </c>
      <c r="H822" t="n">
        <v>0</v>
      </c>
      <c r="I822" t="n">
        <v>0</v>
      </c>
      <c r="J822" t="n">
        <v>0</v>
      </c>
      <c r="K822" t="n">
        <v>0</v>
      </c>
      <c r="L822" t="n">
        <v>0</v>
      </c>
      <c r="M822" t="n">
        <v>0</v>
      </c>
      <c r="N822" t="n">
        <v>0</v>
      </c>
      <c r="O822" t="n">
        <v>0</v>
      </c>
      <c r="P822" t="n">
        <v>0</v>
      </c>
      <c r="Q822" t="n">
        <v>0</v>
      </c>
      <c r="R822" s="2" t="inlineStr"/>
    </row>
    <row r="823" ht="15" customHeight="1">
      <c r="A823" t="inlineStr">
        <is>
          <t>A 60167-2024</t>
        </is>
      </c>
      <c r="B823" s="1" t="n">
        <v>45642.63524305556</v>
      </c>
      <c r="C823" s="1" t="n">
        <v>45880</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61574-2024</t>
        </is>
      </c>
      <c r="B824" s="1" t="n">
        <v>45646.61892361111</v>
      </c>
      <c r="C824" s="1" t="n">
        <v>45880</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9820-2023</t>
        </is>
      </c>
      <c r="B825" s="1" t="n">
        <v>44984.69216435185</v>
      </c>
      <c r="C825" s="1" t="n">
        <v>45880</v>
      </c>
      <c r="D825" t="inlineStr">
        <is>
          <t>UPPSALA LÄN</t>
        </is>
      </c>
      <c r="E825" t="inlineStr">
        <is>
          <t>UPPSALA</t>
        </is>
      </c>
      <c r="F825" t="inlineStr">
        <is>
          <t>Kyrkan</t>
        </is>
      </c>
      <c r="G825" t="n">
        <v>2</v>
      </c>
      <c r="H825" t="n">
        <v>0</v>
      </c>
      <c r="I825" t="n">
        <v>0</v>
      </c>
      <c r="J825" t="n">
        <v>0</v>
      </c>
      <c r="K825" t="n">
        <v>0</v>
      </c>
      <c r="L825" t="n">
        <v>0</v>
      </c>
      <c r="M825" t="n">
        <v>0</v>
      </c>
      <c r="N825" t="n">
        <v>0</v>
      </c>
      <c r="O825" t="n">
        <v>0</v>
      </c>
      <c r="P825" t="n">
        <v>0</v>
      </c>
      <c r="Q825" t="n">
        <v>0</v>
      </c>
      <c r="R825" s="2" t="inlineStr"/>
    </row>
    <row r="826" ht="15" customHeight="1">
      <c r="A826" t="inlineStr">
        <is>
          <t>A 34243-2021</t>
        </is>
      </c>
      <c r="B826" s="1" t="n">
        <v>44379.56163194445</v>
      </c>
      <c r="C826" s="1" t="n">
        <v>45880</v>
      </c>
      <c r="D826" t="inlineStr">
        <is>
          <t>UPPSALA LÄN</t>
        </is>
      </c>
      <c r="E826" t="inlineStr">
        <is>
          <t>UPPSALA</t>
        </is>
      </c>
      <c r="G826" t="n">
        <v>1.9</v>
      </c>
      <c r="H826" t="n">
        <v>0</v>
      </c>
      <c r="I826" t="n">
        <v>0</v>
      </c>
      <c r="J826" t="n">
        <v>0</v>
      </c>
      <c r="K826" t="n">
        <v>0</v>
      </c>
      <c r="L826" t="n">
        <v>0</v>
      </c>
      <c r="M826" t="n">
        <v>0</v>
      </c>
      <c r="N826" t="n">
        <v>0</v>
      </c>
      <c r="O826" t="n">
        <v>0</v>
      </c>
      <c r="P826" t="n">
        <v>0</v>
      </c>
      <c r="Q826" t="n">
        <v>0</v>
      </c>
      <c r="R826" s="2" t="inlineStr"/>
    </row>
    <row r="827" ht="15" customHeight="1">
      <c r="A827" t="inlineStr">
        <is>
          <t>A 13799-2024</t>
        </is>
      </c>
      <c r="B827" s="1" t="n">
        <v>45391.37361111111</v>
      </c>
      <c r="C827" s="1" t="n">
        <v>45880</v>
      </c>
      <c r="D827" t="inlineStr">
        <is>
          <t>UPPSALA LÄN</t>
        </is>
      </c>
      <c r="E827" t="inlineStr">
        <is>
          <t>UPPSALA</t>
        </is>
      </c>
      <c r="G827" t="n">
        <v>1.9</v>
      </c>
      <c r="H827" t="n">
        <v>0</v>
      </c>
      <c r="I827" t="n">
        <v>0</v>
      </c>
      <c r="J827" t="n">
        <v>0</v>
      </c>
      <c r="K827" t="n">
        <v>0</v>
      </c>
      <c r="L827" t="n">
        <v>0</v>
      </c>
      <c r="M827" t="n">
        <v>0</v>
      </c>
      <c r="N827" t="n">
        <v>0</v>
      </c>
      <c r="O827" t="n">
        <v>0</v>
      </c>
      <c r="P827" t="n">
        <v>0</v>
      </c>
      <c r="Q827" t="n">
        <v>0</v>
      </c>
      <c r="R827" s="2" t="inlineStr"/>
    </row>
    <row r="828" ht="15" customHeight="1">
      <c r="A828" t="inlineStr">
        <is>
          <t>A 3287-2025</t>
        </is>
      </c>
      <c r="B828" s="1" t="n">
        <v>45679</v>
      </c>
      <c r="C828" s="1" t="n">
        <v>45880</v>
      </c>
      <c r="D828" t="inlineStr">
        <is>
          <t>UPPSALA LÄN</t>
        </is>
      </c>
      <c r="E828" t="inlineStr">
        <is>
          <t>UPPSALA</t>
        </is>
      </c>
      <c r="F828" t="inlineStr">
        <is>
          <t>Kyrkan</t>
        </is>
      </c>
      <c r="G828" t="n">
        <v>6.7</v>
      </c>
      <c r="H828" t="n">
        <v>0</v>
      </c>
      <c r="I828" t="n">
        <v>0</v>
      </c>
      <c r="J828" t="n">
        <v>0</v>
      </c>
      <c r="K828" t="n">
        <v>0</v>
      </c>
      <c r="L828" t="n">
        <v>0</v>
      </c>
      <c r="M828" t="n">
        <v>0</v>
      </c>
      <c r="N828" t="n">
        <v>0</v>
      </c>
      <c r="O828" t="n">
        <v>0</v>
      </c>
      <c r="P828" t="n">
        <v>0</v>
      </c>
      <c r="Q828" t="n">
        <v>0</v>
      </c>
      <c r="R828" s="2" t="inlineStr"/>
    </row>
    <row r="829" ht="15" customHeight="1">
      <c r="A829" t="inlineStr">
        <is>
          <t>A 39272-2020</t>
        </is>
      </c>
      <c r="B829" s="1" t="n">
        <v>44063</v>
      </c>
      <c r="C829" s="1" t="n">
        <v>45880</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33816-2024</t>
        </is>
      </c>
      <c r="B830" s="1" t="n">
        <v>45520</v>
      </c>
      <c r="C830" s="1" t="n">
        <v>45880</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2927-2022</t>
        </is>
      </c>
      <c r="B831" s="1" t="n">
        <v>44581.60254629629</v>
      </c>
      <c r="C831" s="1" t="n">
        <v>45880</v>
      </c>
      <c r="D831" t="inlineStr">
        <is>
          <t>UPPSALA LÄN</t>
        </is>
      </c>
      <c r="E831" t="inlineStr">
        <is>
          <t>UPPSALA</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733-2022</t>
        </is>
      </c>
      <c r="B832" s="1" t="n">
        <v>44568.67040509259</v>
      </c>
      <c r="C832" s="1" t="n">
        <v>45880</v>
      </c>
      <c r="D832" t="inlineStr">
        <is>
          <t>UPPSALA LÄN</t>
        </is>
      </c>
      <c r="E832" t="inlineStr">
        <is>
          <t>UPPSALA</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53346-2020</t>
        </is>
      </c>
      <c r="B833" s="1" t="n">
        <v>44123</v>
      </c>
      <c r="C833" s="1" t="n">
        <v>45880</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59719-2022</t>
        </is>
      </c>
      <c r="B834" s="1" t="n">
        <v>44908.425625</v>
      </c>
      <c r="C834" s="1" t="n">
        <v>45880</v>
      </c>
      <c r="D834" t="inlineStr">
        <is>
          <t>UPPSALA LÄN</t>
        </is>
      </c>
      <c r="E834" t="inlineStr">
        <is>
          <t>UPPSALA</t>
        </is>
      </c>
      <c r="G834" t="n">
        <v>3.6</v>
      </c>
      <c r="H834" t="n">
        <v>0</v>
      </c>
      <c r="I834" t="n">
        <v>0</v>
      </c>
      <c r="J834" t="n">
        <v>0</v>
      </c>
      <c r="K834" t="n">
        <v>0</v>
      </c>
      <c r="L834" t="n">
        <v>0</v>
      </c>
      <c r="M834" t="n">
        <v>0</v>
      </c>
      <c r="N834" t="n">
        <v>0</v>
      </c>
      <c r="O834" t="n">
        <v>0</v>
      </c>
      <c r="P834" t="n">
        <v>0</v>
      </c>
      <c r="Q834" t="n">
        <v>0</v>
      </c>
      <c r="R834" s="2" t="inlineStr"/>
    </row>
    <row r="835" ht="15" customHeight="1">
      <c r="A835" t="inlineStr">
        <is>
          <t>A 29145-2021</t>
        </is>
      </c>
      <c r="B835" s="1" t="n">
        <v>44358.63490740741</v>
      </c>
      <c r="C835" s="1" t="n">
        <v>45880</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3353-2023</t>
        </is>
      </c>
      <c r="B836" s="1" t="n">
        <v>44949.4708912037</v>
      </c>
      <c r="C836" s="1" t="n">
        <v>45880</v>
      </c>
      <c r="D836" t="inlineStr">
        <is>
          <t>UPPSALA LÄN</t>
        </is>
      </c>
      <c r="E836" t="inlineStr">
        <is>
          <t>UPPSALA</t>
        </is>
      </c>
      <c r="G836" t="n">
        <v>3</v>
      </c>
      <c r="H836" t="n">
        <v>0</v>
      </c>
      <c r="I836" t="n">
        <v>0</v>
      </c>
      <c r="J836" t="n">
        <v>0</v>
      </c>
      <c r="K836" t="n">
        <v>0</v>
      </c>
      <c r="L836" t="n">
        <v>0</v>
      </c>
      <c r="M836" t="n">
        <v>0</v>
      </c>
      <c r="N836" t="n">
        <v>0</v>
      </c>
      <c r="O836" t="n">
        <v>0</v>
      </c>
      <c r="P836" t="n">
        <v>0</v>
      </c>
      <c r="Q836" t="n">
        <v>0</v>
      </c>
      <c r="R836" s="2" t="inlineStr"/>
    </row>
    <row r="837" ht="15" customHeight="1">
      <c r="A837" t="inlineStr">
        <is>
          <t>A 37819-2021</t>
        </is>
      </c>
      <c r="B837" s="1" t="n">
        <v>44403.29719907408</v>
      </c>
      <c r="C837" s="1" t="n">
        <v>45880</v>
      </c>
      <c r="D837" t="inlineStr">
        <is>
          <t>UPPSALA LÄN</t>
        </is>
      </c>
      <c r="E837" t="inlineStr">
        <is>
          <t>UPPSALA</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3086-2023</t>
        </is>
      </c>
      <c r="B838" s="1" t="n">
        <v>44946.43564814814</v>
      </c>
      <c r="C838" s="1" t="n">
        <v>45880</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16811-2023</t>
        </is>
      </c>
      <c r="B839" s="1" t="n">
        <v>45033</v>
      </c>
      <c r="C839" s="1" t="n">
        <v>45880</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69436-2021</t>
        </is>
      </c>
      <c r="B840" s="1" t="n">
        <v>44531</v>
      </c>
      <c r="C840" s="1" t="n">
        <v>45880</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49409-2020</t>
        </is>
      </c>
      <c r="B841" s="1" t="n">
        <v>44105</v>
      </c>
      <c r="C841" s="1" t="n">
        <v>45880</v>
      </c>
      <c r="D841" t="inlineStr">
        <is>
          <t>UPPSALA LÄN</t>
        </is>
      </c>
      <c r="E841" t="inlineStr">
        <is>
          <t>UPPSALA</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1573-2021</t>
        </is>
      </c>
      <c r="B842" s="1" t="n">
        <v>44209</v>
      </c>
      <c r="C842" s="1" t="n">
        <v>45880</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13420-2021</t>
        </is>
      </c>
      <c r="B843" s="1" t="n">
        <v>44273</v>
      </c>
      <c r="C843" s="1" t="n">
        <v>45880</v>
      </c>
      <c r="D843" t="inlineStr">
        <is>
          <t>UPPSALA LÄN</t>
        </is>
      </c>
      <c r="E843" t="inlineStr">
        <is>
          <t>UPPSALA</t>
        </is>
      </c>
      <c r="G843" t="n">
        <v>1.9</v>
      </c>
      <c r="H843" t="n">
        <v>0</v>
      </c>
      <c r="I843" t="n">
        <v>0</v>
      </c>
      <c r="J843" t="n">
        <v>0</v>
      </c>
      <c r="K843" t="n">
        <v>0</v>
      </c>
      <c r="L843" t="n">
        <v>0</v>
      </c>
      <c r="M843" t="n">
        <v>0</v>
      </c>
      <c r="N843" t="n">
        <v>0</v>
      </c>
      <c r="O843" t="n">
        <v>0</v>
      </c>
      <c r="P843" t="n">
        <v>0</v>
      </c>
      <c r="Q843" t="n">
        <v>0</v>
      </c>
      <c r="R843" s="2" t="inlineStr"/>
    </row>
    <row r="844" ht="15" customHeight="1">
      <c r="A844" t="inlineStr">
        <is>
          <t>A 5669-2023</t>
        </is>
      </c>
      <c r="B844" s="1" t="n">
        <v>44960.65061342593</v>
      </c>
      <c r="C844" s="1" t="n">
        <v>45880</v>
      </c>
      <c r="D844" t="inlineStr">
        <is>
          <t>UPPSALA LÄN</t>
        </is>
      </c>
      <c r="E844" t="inlineStr">
        <is>
          <t>UPPSALA</t>
        </is>
      </c>
      <c r="G844" t="n">
        <v>1.4</v>
      </c>
      <c r="H844" t="n">
        <v>0</v>
      </c>
      <c r="I844" t="n">
        <v>0</v>
      </c>
      <c r="J844" t="n">
        <v>0</v>
      </c>
      <c r="K844" t="n">
        <v>0</v>
      </c>
      <c r="L844" t="n">
        <v>0</v>
      </c>
      <c r="M844" t="n">
        <v>0</v>
      </c>
      <c r="N844" t="n">
        <v>0</v>
      </c>
      <c r="O844" t="n">
        <v>0</v>
      </c>
      <c r="P844" t="n">
        <v>0</v>
      </c>
      <c r="Q844" t="n">
        <v>0</v>
      </c>
      <c r="R844" s="2" t="inlineStr"/>
    </row>
    <row r="845" ht="15" customHeight="1">
      <c r="A845" t="inlineStr">
        <is>
          <t>A 5678-2023</t>
        </is>
      </c>
      <c r="B845" s="1" t="n">
        <v>44960</v>
      </c>
      <c r="C845" s="1" t="n">
        <v>45880</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5028-2022</t>
        </is>
      </c>
      <c r="B846" s="1" t="n">
        <v>44593.64863425926</v>
      </c>
      <c r="C846" s="1" t="n">
        <v>45880</v>
      </c>
      <c r="D846" t="inlineStr">
        <is>
          <t>UPPSALA LÄN</t>
        </is>
      </c>
      <c r="E846" t="inlineStr">
        <is>
          <t>UPPSALA</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179-2023</t>
        </is>
      </c>
      <c r="B847" s="1" t="n">
        <v>44928</v>
      </c>
      <c r="C847" s="1" t="n">
        <v>45880</v>
      </c>
      <c r="D847" t="inlineStr">
        <is>
          <t>UPPSALA LÄN</t>
        </is>
      </c>
      <c r="E847" t="inlineStr">
        <is>
          <t>UPPSALA</t>
        </is>
      </c>
      <c r="F847" t="inlineStr">
        <is>
          <t>Kommuner</t>
        </is>
      </c>
      <c r="G847" t="n">
        <v>1.4</v>
      </c>
      <c r="H847" t="n">
        <v>0</v>
      </c>
      <c r="I847" t="n">
        <v>0</v>
      </c>
      <c r="J847" t="n">
        <v>0</v>
      </c>
      <c r="K847" t="n">
        <v>0</v>
      </c>
      <c r="L847" t="n">
        <v>0</v>
      </c>
      <c r="M847" t="n">
        <v>0</v>
      </c>
      <c r="N847" t="n">
        <v>0</v>
      </c>
      <c r="O847" t="n">
        <v>0</v>
      </c>
      <c r="P847" t="n">
        <v>0</v>
      </c>
      <c r="Q847" t="n">
        <v>0</v>
      </c>
      <c r="R847" s="2" t="inlineStr"/>
    </row>
    <row r="848" ht="15" customHeight="1">
      <c r="A848" t="inlineStr">
        <is>
          <t>A 39812-2024</t>
        </is>
      </c>
      <c r="B848" s="1" t="n">
        <v>45552</v>
      </c>
      <c r="C848" s="1" t="n">
        <v>45880</v>
      </c>
      <c r="D848" t="inlineStr">
        <is>
          <t>UPPSALA LÄN</t>
        </is>
      </c>
      <c r="E848" t="inlineStr">
        <is>
          <t>UPPSALA</t>
        </is>
      </c>
      <c r="G848" t="n">
        <v>7.9</v>
      </c>
      <c r="H848" t="n">
        <v>0</v>
      </c>
      <c r="I848" t="n">
        <v>0</v>
      </c>
      <c r="J848" t="n">
        <v>0</v>
      </c>
      <c r="K848" t="n">
        <v>0</v>
      </c>
      <c r="L848" t="n">
        <v>0</v>
      </c>
      <c r="M848" t="n">
        <v>0</v>
      </c>
      <c r="N848" t="n">
        <v>0</v>
      </c>
      <c r="O848" t="n">
        <v>0</v>
      </c>
      <c r="P848" t="n">
        <v>0</v>
      </c>
      <c r="Q848" t="n">
        <v>0</v>
      </c>
      <c r="R848" s="2" t="inlineStr"/>
    </row>
    <row r="849" ht="15" customHeight="1">
      <c r="A849" t="inlineStr">
        <is>
          <t>A 32688-2023</t>
        </is>
      </c>
      <c r="B849" s="1" t="n">
        <v>45121</v>
      </c>
      <c r="C849" s="1" t="n">
        <v>45880</v>
      </c>
      <c r="D849" t="inlineStr">
        <is>
          <t>UPPSALA LÄN</t>
        </is>
      </c>
      <c r="E849" t="inlineStr">
        <is>
          <t>UPPSALA</t>
        </is>
      </c>
      <c r="F849" t="inlineStr">
        <is>
          <t>Holmen skog AB</t>
        </is>
      </c>
      <c r="G849" t="n">
        <v>4.3</v>
      </c>
      <c r="H849" t="n">
        <v>0</v>
      </c>
      <c r="I849" t="n">
        <v>0</v>
      </c>
      <c r="J849" t="n">
        <v>0</v>
      </c>
      <c r="K849" t="n">
        <v>0</v>
      </c>
      <c r="L849" t="n">
        <v>0</v>
      </c>
      <c r="M849" t="n">
        <v>0</v>
      </c>
      <c r="N849" t="n">
        <v>0</v>
      </c>
      <c r="O849" t="n">
        <v>0</v>
      </c>
      <c r="P849" t="n">
        <v>0</v>
      </c>
      <c r="Q849" t="n">
        <v>0</v>
      </c>
      <c r="R849" s="2" t="inlineStr"/>
    </row>
    <row r="850" ht="15" customHeight="1">
      <c r="A850" t="inlineStr">
        <is>
          <t>A 39795-2022</t>
        </is>
      </c>
      <c r="B850" s="1" t="n">
        <v>44819.50233796296</v>
      </c>
      <c r="C850" s="1" t="n">
        <v>45880</v>
      </c>
      <c r="D850" t="inlineStr">
        <is>
          <t>UPPSALA LÄN</t>
        </is>
      </c>
      <c r="E850" t="inlineStr">
        <is>
          <t>UPPSALA</t>
        </is>
      </c>
      <c r="F850" t="inlineStr">
        <is>
          <t>Övriga Aktiebolag</t>
        </is>
      </c>
      <c r="G850" t="n">
        <v>3.5</v>
      </c>
      <c r="H850" t="n">
        <v>0</v>
      </c>
      <c r="I850" t="n">
        <v>0</v>
      </c>
      <c r="J850" t="n">
        <v>0</v>
      </c>
      <c r="K850" t="n">
        <v>0</v>
      </c>
      <c r="L850" t="n">
        <v>0</v>
      </c>
      <c r="M850" t="n">
        <v>0</v>
      </c>
      <c r="N850" t="n">
        <v>0</v>
      </c>
      <c r="O850" t="n">
        <v>0</v>
      </c>
      <c r="P850" t="n">
        <v>0</v>
      </c>
      <c r="Q850" t="n">
        <v>0</v>
      </c>
      <c r="R850" s="2" t="inlineStr"/>
    </row>
    <row r="851" ht="15" customHeight="1">
      <c r="A851" t="inlineStr">
        <is>
          <t>A 9206-2022</t>
        </is>
      </c>
      <c r="B851" s="1" t="n">
        <v>44616</v>
      </c>
      <c r="C851" s="1" t="n">
        <v>45880</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55021-2022</t>
        </is>
      </c>
      <c r="B852" s="1" t="n">
        <v>44886</v>
      </c>
      <c r="C852" s="1" t="n">
        <v>45880</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74495-2021</t>
        </is>
      </c>
      <c r="B853" s="1" t="n">
        <v>44560</v>
      </c>
      <c r="C853" s="1" t="n">
        <v>45880</v>
      </c>
      <c r="D853" t="inlineStr">
        <is>
          <t>UPPSALA LÄN</t>
        </is>
      </c>
      <c r="E853" t="inlineStr">
        <is>
          <t>UPPSALA</t>
        </is>
      </c>
      <c r="G853" t="n">
        <v>1.9</v>
      </c>
      <c r="H853" t="n">
        <v>0</v>
      </c>
      <c r="I853" t="n">
        <v>0</v>
      </c>
      <c r="J853" t="n">
        <v>0</v>
      </c>
      <c r="K853" t="n">
        <v>0</v>
      </c>
      <c r="L853" t="n">
        <v>0</v>
      </c>
      <c r="M853" t="n">
        <v>0</v>
      </c>
      <c r="N853" t="n">
        <v>0</v>
      </c>
      <c r="O853" t="n">
        <v>0</v>
      </c>
      <c r="P853" t="n">
        <v>0</v>
      </c>
      <c r="Q853" t="n">
        <v>0</v>
      </c>
      <c r="R853" s="2" t="inlineStr"/>
    </row>
    <row r="854" ht="15" customHeight="1">
      <c r="A854" t="inlineStr">
        <is>
          <t>A 6408-2022</t>
        </is>
      </c>
      <c r="B854" s="1" t="n">
        <v>44600</v>
      </c>
      <c r="C854" s="1" t="n">
        <v>45880</v>
      </c>
      <c r="D854" t="inlineStr">
        <is>
          <t>UPPSALA LÄN</t>
        </is>
      </c>
      <c r="E854" t="inlineStr">
        <is>
          <t>UPPSALA</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10383-2022</t>
        </is>
      </c>
      <c r="B855" s="1" t="n">
        <v>44623.41775462963</v>
      </c>
      <c r="C855" s="1" t="n">
        <v>45880</v>
      </c>
      <c r="D855" t="inlineStr">
        <is>
          <t>UPPSALA LÄN</t>
        </is>
      </c>
      <c r="E855" t="inlineStr">
        <is>
          <t>UPPSALA</t>
        </is>
      </c>
      <c r="F855" t="inlineStr">
        <is>
          <t>Övriga Aktiebolag</t>
        </is>
      </c>
      <c r="G855" t="n">
        <v>2.8</v>
      </c>
      <c r="H855" t="n">
        <v>0</v>
      </c>
      <c r="I855" t="n">
        <v>0</v>
      </c>
      <c r="J855" t="n">
        <v>0</v>
      </c>
      <c r="K855" t="n">
        <v>0</v>
      </c>
      <c r="L855" t="n">
        <v>0</v>
      </c>
      <c r="M855" t="n">
        <v>0</v>
      </c>
      <c r="N855" t="n">
        <v>0</v>
      </c>
      <c r="O855" t="n">
        <v>0</v>
      </c>
      <c r="P855" t="n">
        <v>0</v>
      </c>
      <c r="Q855" t="n">
        <v>0</v>
      </c>
      <c r="R855" s="2" t="inlineStr"/>
    </row>
    <row r="856" ht="15" customHeight="1">
      <c r="A856" t="inlineStr">
        <is>
          <t>A 10456-2022</t>
        </is>
      </c>
      <c r="B856" s="1" t="n">
        <v>44623.5571875</v>
      </c>
      <c r="C856" s="1" t="n">
        <v>45880</v>
      </c>
      <c r="D856" t="inlineStr">
        <is>
          <t>UPPSALA LÄN</t>
        </is>
      </c>
      <c r="E856" t="inlineStr">
        <is>
          <t>UPPSALA</t>
        </is>
      </c>
      <c r="F856" t="inlineStr">
        <is>
          <t>Övriga Aktiebolag</t>
        </is>
      </c>
      <c r="G856" t="n">
        <v>12.6</v>
      </c>
      <c r="H856" t="n">
        <v>0</v>
      </c>
      <c r="I856" t="n">
        <v>0</v>
      </c>
      <c r="J856" t="n">
        <v>0</v>
      </c>
      <c r="K856" t="n">
        <v>0</v>
      </c>
      <c r="L856" t="n">
        <v>0</v>
      </c>
      <c r="M856" t="n">
        <v>0</v>
      </c>
      <c r="N856" t="n">
        <v>0</v>
      </c>
      <c r="O856" t="n">
        <v>0</v>
      </c>
      <c r="P856" t="n">
        <v>0</v>
      </c>
      <c r="Q856" t="n">
        <v>0</v>
      </c>
      <c r="R856" s="2" t="inlineStr"/>
    </row>
    <row r="857" ht="15" customHeight="1">
      <c r="A857" t="inlineStr">
        <is>
          <t>A 39548-2023</t>
        </is>
      </c>
      <c r="B857" s="1" t="n">
        <v>45167.3721412037</v>
      </c>
      <c r="C857" s="1" t="n">
        <v>45880</v>
      </c>
      <c r="D857" t="inlineStr">
        <is>
          <t>UPPSALA LÄN</t>
        </is>
      </c>
      <c r="E857" t="inlineStr">
        <is>
          <t>UPPSALA</t>
        </is>
      </c>
      <c r="G857" t="n">
        <v>3.4</v>
      </c>
      <c r="H857" t="n">
        <v>0</v>
      </c>
      <c r="I857" t="n">
        <v>0</v>
      </c>
      <c r="J857" t="n">
        <v>0</v>
      </c>
      <c r="K857" t="n">
        <v>0</v>
      </c>
      <c r="L857" t="n">
        <v>0</v>
      </c>
      <c r="M857" t="n">
        <v>0</v>
      </c>
      <c r="N857" t="n">
        <v>0</v>
      </c>
      <c r="O857" t="n">
        <v>0</v>
      </c>
      <c r="P857" t="n">
        <v>0</v>
      </c>
      <c r="Q857" t="n">
        <v>0</v>
      </c>
      <c r="R857" s="2" t="inlineStr"/>
    </row>
    <row r="858" ht="15" customHeight="1">
      <c r="A858" t="inlineStr">
        <is>
          <t>A 6422-2023</t>
        </is>
      </c>
      <c r="B858" s="1" t="n">
        <v>44965</v>
      </c>
      <c r="C858" s="1" t="n">
        <v>45880</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6423-2023</t>
        </is>
      </c>
      <c r="B859" s="1" t="n">
        <v>44965</v>
      </c>
      <c r="C859" s="1" t="n">
        <v>45880</v>
      </c>
      <c r="D859" t="inlineStr">
        <is>
          <t>UPPSALA LÄN</t>
        </is>
      </c>
      <c r="E859" t="inlineStr">
        <is>
          <t>UPPSALA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1994-2024</t>
        </is>
      </c>
      <c r="B860" s="1" t="n">
        <v>45308.63298611111</v>
      </c>
      <c r="C860" s="1" t="n">
        <v>45880</v>
      </c>
      <c r="D860" t="inlineStr">
        <is>
          <t>UPPSALA LÄN</t>
        </is>
      </c>
      <c r="E860" t="inlineStr">
        <is>
          <t>UPPSALA</t>
        </is>
      </c>
      <c r="G860" t="n">
        <v>1.6</v>
      </c>
      <c r="H860" t="n">
        <v>0</v>
      </c>
      <c r="I860" t="n">
        <v>0</v>
      </c>
      <c r="J860" t="n">
        <v>0</v>
      </c>
      <c r="K860" t="n">
        <v>0</v>
      </c>
      <c r="L860" t="n">
        <v>0</v>
      </c>
      <c r="M860" t="n">
        <v>0</v>
      </c>
      <c r="N860" t="n">
        <v>0</v>
      </c>
      <c r="O860" t="n">
        <v>0</v>
      </c>
      <c r="P860" t="n">
        <v>0</v>
      </c>
      <c r="Q860" t="n">
        <v>0</v>
      </c>
      <c r="R860" s="2" t="inlineStr"/>
    </row>
    <row r="861" ht="15" customHeight="1">
      <c r="A861" t="inlineStr">
        <is>
          <t>A 49682-2023</t>
        </is>
      </c>
      <c r="B861" s="1" t="n">
        <v>45212.34997685185</v>
      </c>
      <c r="C861" s="1" t="n">
        <v>45880</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55073-2022</t>
        </is>
      </c>
      <c r="B862" s="1" t="n">
        <v>44886.5928125</v>
      </c>
      <c r="C862" s="1" t="n">
        <v>45880</v>
      </c>
      <c r="D862" t="inlineStr">
        <is>
          <t>UPPSALA LÄN</t>
        </is>
      </c>
      <c r="E862" t="inlineStr">
        <is>
          <t>UPPSALA</t>
        </is>
      </c>
      <c r="G862" t="n">
        <v>1</v>
      </c>
      <c r="H862" t="n">
        <v>0</v>
      </c>
      <c r="I862" t="n">
        <v>0</v>
      </c>
      <c r="J862" t="n">
        <v>0</v>
      </c>
      <c r="K862" t="n">
        <v>0</v>
      </c>
      <c r="L862" t="n">
        <v>0</v>
      </c>
      <c r="M862" t="n">
        <v>0</v>
      </c>
      <c r="N862" t="n">
        <v>0</v>
      </c>
      <c r="O862" t="n">
        <v>0</v>
      </c>
      <c r="P862" t="n">
        <v>0</v>
      </c>
      <c r="Q862" t="n">
        <v>0</v>
      </c>
      <c r="R862" s="2" t="inlineStr"/>
    </row>
    <row r="863" ht="15" customHeight="1">
      <c r="A863" t="inlineStr">
        <is>
          <t>A 43-2024</t>
        </is>
      </c>
      <c r="B863" s="1" t="n">
        <v>45293</v>
      </c>
      <c r="C863" s="1" t="n">
        <v>45880</v>
      </c>
      <c r="D863" t="inlineStr">
        <is>
          <t>UPPSALA LÄN</t>
        </is>
      </c>
      <c r="E863" t="inlineStr">
        <is>
          <t>UPPSALA</t>
        </is>
      </c>
      <c r="G863" t="n">
        <v>2.8</v>
      </c>
      <c r="H863" t="n">
        <v>0</v>
      </c>
      <c r="I863" t="n">
        <v>0</v>
      </c>
      <c r="J863" t="n">
        <v>0</v>
      </c>
      <c r="K863" t="n">
        <v>0</v>
      </c>
      <c r="L863" t="n">
        <v>0</v>
      </c>
      <c r="M863" t="n">
        <v>0</v>
      </c>
      <c r="N863" t="n">
        <v>0</v>
      </c>
      <c r="O863" t="n">
        <v>0</v>
      </c>
      <c r="P863" t="n">
        <v>0</v>
      </c>
      <c r="Q863" t="n">
        <v>0</v>
      </c>
      <c r="R863" s="2" t="inlineStr"/>
    </row>
    <row r="864" ht="15" customHeight="1">
      <c r="A864" t="inlineStr">
        <is>
          <t>A 42681-2023</t>
        </is>
      </c>
      <c r="B864" s="1" t="n">
        <v>45181.58055555556</v>
      </c>
      <c r="C864" s="1" t="n">
        <v>45880</v>
      </c>
      <c r="D864" t="inlineStr">
        <is>
          <t>UPPSALA LÄN</t>
        </is>
      </c>
      <c r="E864" t="inlineStr">
        <is>
          <t>UPPSALA</t>
        </is>
      </c>
      <c r="F864" t="inlineStr">
        <is>
          <t>Bergvik skog öst AB</t>
        </is>
      </c>
      <c r="G864" t="n">
        <v>3.1</v>
      </c>
      <c r="H864" t="n">
        <v>0</v>
      </c>
      <c r="I864" t="n">
        <v>0</v>
      </c>
      <c r="J864" t="n">
        <v>0</v>
      </c>
      <c r="K864" t="n">
        <v>0</v>
      </c>
      <c r="L864" t="n">
        <v>0</v>
      </c>
      <c r="M864" t="n">
        <v>0</v>
      </c>
      <c r="N864" t="n">
        <v>0</v>
      </c>
      <c r="O864" t="n">
        <v>0</v>
      </c>
      <c r="P864" t="n">
        <v>0</v>
      </c>
      <c r="Q864" t="n">
        <v>0</v>
      </c>
      <c r="R864" s="2" t="inlineStr"/>
    </row>
    <row r="865" ht="15" customHeight="1">
      <c r="A865" t="inlineStr">
        <is>
          <t>A 1592-2025</t>
        </is>
      </c>
      <c r="B865" s="1" t="n">
        <v>45670</v>
      </c>
      <c r="C865" s="1" t="n">
        <v>45880</v>
      </c>
      <c r="D865" t="inlineStr">
        <is>
          <t>UPPSALA LÄN</t>
        </is>
      </c>
      <c r="E865" t="inlineStr">
        <is>
          <t>UPPSALA</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45880</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53893-2023</t>
        </is>
      </c>
      <c r="B867" s="1" t="n">
        <v>45231</v>
      </c>
      <c r="C867" s="1" t="n">
        <v>45880</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6679-2024</t>
        </is>
      </c>
      <c r="B868" s="1" t="n">
        <v>45341</v>
      </c>
      <c r="C868" s="1" t="n">
        <v>45880</v>
      </c>
      <c r="D868" t="inlineStr">
        <is>
          <t>UPPSALA LÄN</t>
        </is>
      </c>
      <c r="E868" t="inlineStr">
        <is>
          <t>UPPSALA</t>
        </is>
      </c>
      <c r="F868" t="inlineStr">
        <is>
          <t>Bergvik skog öst AB</t>
        </is>
      </c>
      <c r="G868" t="n">
        <v>0.4</v>
      </c>
      <c r="H868" t="n">
        <v>0</v>
      </c>
      <c r="I868" t="n">
        <v>0</v>
      </c>
      <c r="J868" t="n">
        <v>0</v>
      </c>
      <c r="K868" t="n">
        <v>0</v>
      </c>
      <c r="L868" t="n">
        <v>0</v>
      </c>
      <c r="M868" t="n">
        <v>0</v>
      </c>
      <c r="N868" t="n">
        <v>0</v>
      </c>
      <c r="O868" t="n">
        <v>0</v>
      </c>
      <c r="P868" t="n">
        <v>0</v>
      </c>
      <c r="Q868" t="n">
        <v>0</v>
      </c>
      <c r="R868" s="2" t="inlineStr"/>
    </row>
    <row r="869" ht="15" customHeight="1">
      <c r="A869" t="inlineStr">
        <is>
          <t>A 49050-2024</t>
        </is>
      </c>
      <c r="B869" s="1" t="n">
        <v>45594</v>
      </c>
      <c r="C869" s="1" t="n">
        <v>45880</v>
      </c>
      <c r="D869" t="inlineStr">
        <is>
          <t>UPPSALA LÄN</t>
        </is>
      </c>
      <c r="E869" t="inlineStr">
        <is>
          <t>UPPSALA</t>
        </is>
      </c>
      <c r="F869" t="inlineStr">
        <is>
          <t>Övriga statliga verk och myndigheter</t>
        </is>
      </c>
      <c r="G869" t="n">
        <v>3.9</v>
      </c>
      <c r="H869" t="n">
        <v>0</v>
      </c>
      <c r="I869" t="n">
        <v>0</v>
      </c>
      <c r="J869" t="n">
        <v>0</v>
      </c>
      <c r="K869" t="n">
        <v>0</v>
      </c>
      <c r="L869" t="n">
        <v>0</v>
      </c>
      <c r="M869" t="n">
        <v>0</v>
      </c>
      <c r="N869" t="n">
        <v>0</v>
      </c>
      <c r="O869" t="n">
        <v>0</v>
      </c>
      <c r="P869" t="n">
        <v>0</v>
      </c>
      <c r="Q869" t="n">
        <v>0</v>
      </c>
      <c r="R869" s="2" t="inlineStr"/>
    </row>
    <row r="870" ht="15" customHeight="1">
      <c r="A870" t="inlineStr">
        <is>
          <t>A 781-2024</t>
        </is>
      </c>
      <c r="B870" s="1" t="n">
        <v>45300.55028935185</v>
      </c>
      <c r="C870" s="1" t="n">
        <v>45880</v>
      </c>
      <c r="D870" t="inlineStr">
        <is>
          <t>UPPSALA LÄN</t>
        </is>
      </c>
      <c r="E870" t="inlineStr">
        <is>
          <t>UPPSALA</t>
        </is>
      </c>
      <c r="G870" t="n">
        <v>6.3</v>
      </c>
      <c r="H870" t="n">
        <v>0</v>
      </c>
      <c r="I870" t="n">
        <v>0</v>
      </c>
      <c r="J870" t="n">
        <v>0</v>
      </c>
      <c r="K870" t="n">
        <v>0</v>
      </c>
      <c r="L870" t="n">
        <v>0</v>
      </c>
      <c r="M870" t="n">
        <v>0</v>
      </c>
      <c r="N870" t="n">
        <v>0</v>
      </c>
      <c r="O870" t="n">
        <v>0</v>
      </c>
      <c r="P870" t="n">
        <v>0</v>
      </c>
      <c r="Q870" t="n">
        <v>0</v>
      </c>
      <c r="R870" s="2" t="inlineStr"/>
    </row>
    <row r="871" ht="15" customHeight="1">
      <c r="A871" t="inlineStr">
        <is>
          <t>A 27599-2023</t>
        </is>
      </c>
      <c r="B871" s="1" t="n">
        <v>45097</v>
      </c>
      <c r="C871" s="1" t="n">
        <v>45880</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7058-2023</t>
        </is>
      </c>
      <c r="B872" s="1" t="n">
        <v>44969</v>
      </c>
      <c r="C872" s="1" t="n">
        <v>45880</v>
      </c>
      <c r="D872" t="inlineStr">
        <is>
          <t>UPPSALA LÄN</t>
        </is>
      </c>
      <c r="E872" t="inlineStr">
        <is>
          <t>UPPSALA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45880</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50669-2024</t>
        </is>
      </c>
      <c r="B874" s="1" t="n">
        <v>45601</v>
      </c>
      <c r="C874" s="1" t="n">
        <v>45880</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36782-2023</t>
        </is>
      </c>
      <c r="B875" s="1" t="n">
        <v>45154.35092592592</v>
      </c>
      <c r="C875" s="1" t="n">
        <v>45880</v>
      </c>
      <c r="D875" t="inlineStr">
        <is>
          <t>UPPSALA LÄN</t>
        </is>
      </c>
      <c r="E875" t="inlineStr">
        <is>
          <t>UPPSALA</t>
        </is>
      </c>
      <c r="G875" t="n">
        <v>0.9</v>
      </c>
      <c r="H875" t="n">
        <v>0</v>
      </c>
      <c r="I875" t="n">
        <v>0</v>
      </c>
      <c r="J875" t="n">
        <v>0</v>
      </c>
      <c r="K875" t="n">
        <v>0</v>
      </c>
      <c r="L875" t="n">
        <v>0</v>
      </c>
      <c r="M875" t="n">
        <v>0</v>
      </c>
      <c r="N875" t="n">
        <v>0</v>
      </c>
      <c r="O875" t="n">
        <v>0</v>
      </c>
      <c r="P875" t="n">
        <v>0</v>
      </c>
      <c r="Q875" t="n">
        <v>0</v>
      </c>
      <c r="R875" s="2" t="inlineStr"/>
    </row>
    <row r="876" ht="15" customHeight="1">
      <c r="A876" t="inlineStr">
        <is>
          <t>A 14337-2022</t>
        </is>
      </c>
      <c r="B876" s="1" t="n">
        <v>44652</v>
      </c>
      <c r="C876" s="1" t="n">
        <v>45880</v>
      </c>
      <c r="D876" t="inlineStr">
        <is>
          <t>UPPSALA LÄN</t>
        </is>
      </c>
      <c r="E876" t="inlineStr">
        <is>
          <t>UPPSALA</t>
        </is>
      </c>
      <c r="G876" t="n">
        <v>1.5</v>
      </c>
      <c r="H876" t="n">
        <v>0</v>
      </c>
      <c r="I876" t="n">
        <v>0</v>
      </c>
      <c r="J876" t="n">
        <v>0</v>
      </c>
      <c r="K876" t="n">
        <v>0</v>
      </c>
      <c r="L876" t="n">
        <v>0</v>
      </c>
      <c r="M876" t="n">
        <v>0</v>
      </c>
      <c r="N876" t="n">
        <v>0</v>
      </c>
      <c r="O876" t="n">
        <v>0</v>
      </c>
      <c r="P876" t="n">
        <v>0</v>
      </c>
      <c r="Q876" t="n">
        <v>0</v>
      </c>
      <c r="R876" s="2" t="inlineStr"/>
    </row>
    <row r="877" ht="15" customHeight="1">
      <c r="A877" t="inlineStr">
        <is>
          <t>A 2980-2025</t>
        </is>
      </c>
      <c r="B877" s="1" t="n">
        <v>45678</v>
      </c>
      <c r="C877" s="1" t="n">
        <v>45880</v>
      </c>
      <c r="D877" t="inlineStr">
        <is>
          <t>UPPSALA LÄN</t>
        </is>
      </c>
      <c r="E877" t="inlineStr">
        <is>
          <t>UPPSALA</t>
        </is>
      </c>
      <c r="G877" t="n">
        <v>5</v>
      </c>
      <c r="H877" t="n">
        <v>0</v>
      </c>
      <c r="I877" t="n">
        <v>0</v>
      </c>
      <c r="J877" t="n">
        <v>0</v>
      </c>
      <c r="K877" t="n">
        <v>0</v>
      </c>
      <c r="L877" t="n">
        <v>0</v>
      </c>
      <c r="M877" t="n">
        <v>0</v>
      </c>
      <c r="N877" t="n">
        <v>0</v>
      </c>
      <c r="O877" t="n">
        <v>0</v>
      </c>
      <c r="P877" t="n">
        <v>0</v>
      </c>
      <c r="Q877" t="n">
        <v>0</v>
      </c>
      <c r="R877" s="2" t="inlineStr"/>
    </row>
    <row r="878" ht="15" customHeight="1">
      <c r="A878" t="inlineStr">
        <is>
          <t>A 17448-2022</t>
        </is>
      </c>
      <c r="B878" s="1" t="n">
        <v>44679</v>
      </c>
      <c r="C878" s="1" t="n">
        <v>45880</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62054-2024</t>
        </is>
      </c>
      <c r="B879" s="1" t="n">
        <v>45656</v>
      </c>
      <c r="C879" s="1" t="n">
        <v>45880</v>
      </c>
      <c r="D879" t="inlineStr">
        <is>
          <t>UPPSALA LÄN</t>
        </is>
      </c>
      <c r="E879" t="inlineStr">
        <is>
          <t>UPPSALA</t>
        </is>
      </c>
      <c r="F879" t="inlineStr">
        <is>
          <t>Övriga statliga verk och myndigheter</t>
        </is>
      </c>
      <c r="G879" t="n">
        <v>29.3</v>
      </c>
      <c r="H879" t="n">
        <v>0</v>
      </c>
      <c r="I879" t="n">
        <v>0</v>
      </c>
      <c r="J879" t="n">
        <v>0</v>
      </c>
      <c r="K879" t="n">
        <v>0</v>
      </c>
      <c r="L879" t="n">
        <v>0</v>
      </c>
      <c r="M879" t="n">
        <v>0</v>
      </c>
      <c r="N879" t="n">
        <v>0</v>
      </c>
      <c r="O879" t="n">
        <v>0</v>
      </c>
      <c r="P879" t="n">
        <v>0</v>
      </c>
      <c r="Q879" t="n">
        <v>0</v>
      </c>
      <c r="R879" s="2" t="inlineStr"/>
    </row>
    <row r="880" ht="15" customHeight="1">
      <c r="A880" t="inlineStr">
        <is>
          <t>A 5722-2025</t>
        </is>
      </c>
      <c r="B880" s="1" t="n">
        <v>45694</v>
      </c>
      <c r="C880" s="1" t="n">
        <v>45880</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37316-2022</t>
        </is>
      </c>
      <c r="B881" s="1" t="n">
        <v>44806</v>
      </c>
      <c r="C881" s="1" t="n">
        <v>45880</v>
      </c>
      <c r="D881" t="inlineStr">
        <is>
          <t>UPPSALA LÄN</t>
        </is>
      </c>
      <c r="E881" t="inlineStr">
        <is>
          <t>UPPSALA</t>
        </is>
      </c>
      <c r="G881" t="n">
        <v>10.6</v>
      </c>
      <c r="H881" t="n">
        <v>0</v>
      </c>
      <c r="I881" t="n">
        <v>0</v>
      </c>
      <c r="J881" t="n">
        <v>0</v>
      </c>
      <c r="K881" t="n">
        <v>0</v>
      </c>
      <c r="L881" t="n">
        <v>0</v>
      </c>
      <c r="M881" t="n">
        <v>0</v>
      </c>
      <c r="N881" t="n">
        <v>0</v>
      </c>
      <c r="O881" t="n">
        <v>0</v>
      </c>
      <c r="P881" t="n">
        <v>0</v>
      </c>
      <c r="Q881" t="n">
        <v>0</v>
      </c>
      <c r="R881" s="2" t="inlineStr"/>
    </row>
    <row r="882" ht="15" customHeight="1">
      <c r="A882" t="inlineStr">
        <is>
          <t>A 19380-2023</t>
        </is>
      </c>
      <c r="B882" s="1" t="n">
        <v>45049.66025462963</v>
      </c>
      <c r="C882" s="1" t="n">
        <v>45880</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3314-2025</t>
        </is>
      </c>
      <c r="B883" s="1" t="n">
        <v>45679</v>
      </c>
      <c r="C883" s="1" t="n">
        <v>45880</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1731-2022</t>
        </is>
      </c>
      <c r="B884" s="1" t="n">
        <v>44574</v>
      </c>
      <c r="C884" s="1" t="n">
        <v>45880</v>
      </c>
      <c r="D884" t="inlineStr">
        <is>
          <t>UPPSALA LÄN</t>
        </is>
      </c>
      <c r="E884" t="inlineStr">
        <is>
          <t>UPPSALA</t>
        </is>
      </c>
      <c r="G884" t="n">
        <v>10.1</v>
      </c>
      <c r="H884" t="n">
        <v>0</v>
      </c>
      <c r="I884" t="n">
        <v>0</v>
      </c>
      <c r="J884" t="n">
        <v>0</v>
      </c>
      <c r="K884" t="n">
        <v>0</v>
      </c>
      <c r="L884" t="n">
        <v>0</v>
      </c>
      <c r="M884" t="n">
        <v>0</v>
      </c>
      <c r="N884" t="n">
        <v>0</v>
      </c>
      <c r="O884" t="n">
        <v>0</v>
      </c>
      <c r="P884" t="n">
        <v>0</v>
      </c>
      <c r="Q884" t="n">
        <v>0</v>
      </c>
      <c r="R884" s="2" t="inlineStr"/>
    </row>
    <row r="885" ht="15" customHeight="1">
      <c r="A885" t="inlineStr">
        <is>
          <t>A 13343-2022</t>
        </is>
      </c>
      <c r="B885" s="1" t="n">
        <v>44645.39157407408</v>
      </c>
      <c r="C885" s="1" t="n">
        <v>45880</v>
      </c>
      <c r="D885" t="inlineStr">
        <is>
          <t>UPPSALA LÄN</t>
        </is>
      </c>
      <c r="E885" t="inlineStr">
        <is>
          <t>UPPSALA</t>
        </is>
      </c>
      <c r="F885" t="inlineStr">
        <is>
          <t>Övriga Aktiebolag</t>
        </is>
      </c>
      <c r="G885" t="n">
        <v>1.9</v>
      </c>
      <c r="H885" t="n">
        <v>0</v>
      </c>
      <c r="I885" t="n">
        <v>0</v>
      </c>
      <c r="J885" t="n">
        <v>0</v>
      </c>
      <c r="K885" t="n">
        <v>0</v>
      </c>
      <c r="L885" t="n">
        <v>0</v>
      </c>
      <c r="M885" t="n">
        <v>0</v>
      </c>
      <c r="N885" t="n">
        <v>0</v>
      </c>
      <c r="O885" t="n">
        <v>0</v>
      </c>
      <c r="P885" t="n">
        <v>0</v>
      </c>
      <c r="Q885" t="n">
        <v>0</v>
      </c>
      <c r="R885" s="2" t="inlineStr"/>
    </row>
    <row r="886" ht="15" customHeight="1">
      <c r="A886" t="inlineStr">
        <is>
          <t>A 60925-2021</t>
        </is>
      </c>
      <c r="B886" s="1" t="n">
        <v>44497.4666087963</v>
      </c>
      <c r="C886" s="1" t="n">
        <v>45880</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36392-2023</t>
        </is>
      </c>
      <c r="B887" s="1" t="n">
        <v>45152</v>
      </c>
      <c r="C887" s="1" t="n">
        <v>45880</v>
      </c>
      <c r="D887" t="inlineStr">
        <is>
          <t>UPPSALA LÄN</t>
        </is>
      </c>
      <c r="E887" t="inlineStr">
        <is>
          <t>UPPSALA</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6155-2023</t>
        </is>
      </c>
      <c r="B888" s="1" t="n">
        <v>44964.65261574074</v>
      </c>
      <c r="C888" s="1" t="n">
        <v>45880</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6009-2022</t>
        </is>
      </c>
      <c r="B889" s="1" t="n">
        <v>44599.44832175926</v>
      </c>
      <c r="C889" s="1" t="n">
        <v>45880</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29082-2024</t>
        </is>
      </c>
      <c r="B890" s="1" t="n">
        <v>45481.83684027778</v>
      </c>
      <c r="C890" s="1" t="n">
        <v>45880</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59549-2024</t>
        </is>
      </c>
      <c r="B891" s="1" t="n">
        <v>45638</v>
      </c>
      <c r="C891" s="1" t="n">
        <v>45880</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12606-2023</t>
        </is>
      </c>
      <c r="B892" s="1" t="n">
        <v>45000.44666666666</v>
      </c>
      <c r="C892" s="1" t="n">
        <v>45880</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18410-2025</t>
        </is>
      </c>
      <c r="B893" s="1" t="n">
        <v>45762.61341435185</v>
      </c>
      <c r="C893" s="1" t="n">
        <v>45880</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8931-2025</t>
        </is>
      </c>
      <c r="B894" s="1" t="n">
        <v>45713.44519675926</v>
      </c>
      <c r="C894" s="1" t="n">
        <v>45880</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4503-2024</t>
        </is>
      </c>
      <c r="B895" s="1" t="n">
        <v>45327.61831018519</v>
      </c>
      <c r="C895" s="1" t="n">
        <v>45880</v>
      </c>
      <c r="D895" t="inlineStr">
        <is>
          <t>UPPSALA LÄN</t>
        </is>
      </c>
      <c r="E895" t="inlineStr">
        <is>
          <t>UPPSALA</t>
        </is>
      </c>
      <c r="G895" t="n">
        <v>1.9</v>
      </c>
      <c r="H895" t="n">
        <v>0</v>
      </c>
      <c r="I895" t="n">
        <v>0</v>
      </c>
      <c r="J895" t="n">
        <v>0</v>
      </c>
      <c r="K895" t="n">
        <v>0</v>
      </c>
      <c r="L895" t="n">
        <v>0</v>
      </c>
      <c r="M895" t="n">
        <v>0</v>
      </c>
      <c r="N895" t="n">
        <v>0</v>
      </c>
      <c r="O895" t="n">
        <v>0</v>
      </c>
      <c r="P895" t="n">
        <v>0</v>
      </c>
      <c r="Q895" t="n">
        <v>0</v>
      </c>
      <c r="R895" s="2" t="inlineStr"/>
    </row>
    <row r="896" ht="15" customHeight="1">
      <c r="A896" t="inlineStr">
        <is>
          <t>A 8672-2024</t>
        </is>
      </c>
      <c r="B896" s="1" t="n">
        <v>45352</v>
      </c>
      <c r="C896" s="1" t="n">
        <v>45880</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c r="A897" t="inlineStr">
        <is>
          <t>A 5362-2023</t>
        </is>
      </c>
      <c r="B897" s="1" t="n">
        <v>44944</v>
      </c>
      <c r="C897" s="1" t="n">
        <v>45880</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2025-08-11T08:28:12Z</dcterms:created>
  <dcterms:modified xmlns:dcterms="http://purl.org/dc/terms/" xmlns:xsi="http://www.w3.org/2001/XMLSchema-instance" xsi:type="dcterms:W3CDTF">2025-08-11T08:28:13Z</dcterms:modified>
</cp:coreProperties>
</file>