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45710</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45710</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45710</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45710</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45710</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45710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45710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45710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45710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45710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45710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45710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45710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45710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45710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45710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45710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45710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45710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45710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45710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45710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45710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45710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45710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45710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45710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45710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45710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45710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45710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45710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45710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45710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45710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45710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45710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45710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45710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45710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45710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45710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45710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45710</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45710</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45710</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45710</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45710</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45710</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45710</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45710</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45710</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45710</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45710</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45710</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45710</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45710</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45710</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45710</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45710</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45710</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45710</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45710</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45710</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45710</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45710</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45710</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45710</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45710</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45710</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45710</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45710</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45710</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45710</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45710</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45710</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45710</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45710</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45710</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45710</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45710</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45710</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45710</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45710</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45710</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45710</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45710</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45710</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45710</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5755-2025</t>
        </is>
      </c>
      <c r="B115" s="1" t="n">
        <v>45694</v>
      </c>
      <c r="C115" s="1" t="n">
        <v>45710</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5703-2025</t>
        </is>
      </c>
      <c r="B116" s="1" t="n">
        <v>45694</v>
      </c>
      <c r="C116" s="1" t="n">
        <v>45710</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21862-2019</t>
        </is>
      </c>
      <c r="B117" s="1" t="n">
        <v>43583</v>
      </c>
      <c r="C117" s="1" t="n">
        <v>45710</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45710</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45710</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45710</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45710</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45710</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45710</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45710</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45710</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45710</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45710</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45710</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45710</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45710</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45710</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45710</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45710</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45710</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45710</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45710</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45710</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45710</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45710</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45710</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45710</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45710</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45710</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45710</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45710</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45710</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45710</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45710</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45710</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45710</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45710</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45710</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45710</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45710</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45710</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45710</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45710</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29902-2023</t>
        </is>
      </c>
      <c r="B158" s="1" t="n">
        <v>45107</v>
      </c>
      <c r="C158" s="1" t="n">
        <v>45710</v>
      </c>
      <c r="D158" t="inlineStr">
        <is>
          <t>UPPSALA LÄN</t>
        </is>
      </c>
      <c r="E158" t="inlineStr">
        <is>
          <t>UPPSALA</t>
        </is>
      </c>
      <c r="F158" t="inlineStr">
        <is>
          <t>Kyrkan</t>
        </is>
      </c>
      <c r="G158" t="n">
        <v>10.6</v>
      </c>
      <c r="H158" t="n">
        <v>1</v>
      </c>
      <c r="I158" t="n">
        <v>0</v>
      </c>
      <c r="J158" t="n">
        <v>1</v>
      </c>
      <c r="K158" t="n">
        <v>0</v>
      </c>
      <c r="L158" t="n">
        <v>0</v>
      </c>
      <c r="M158" t="n">
        <v>0</v>
      </c>
      <c r="N158" t="n">
        <v>0</v>
      </c>
      <c r="O158" t="n">
        <v>1</v>
      </c>
      <c r="P158" t="n">
        <v>0</v>
      </c>
      <c r="Q158" t="n">
        <v>1</v>
      </c>
      <c r="R158" s="2" t="inlineStr">
        <is>
          <t>Järpe</t>
        </is>
      </c>
      <c r="S158">
        <f>HYPERLINK("https://klasma.github.io/Logging_0380/artfynd/A 29902-2023 artfynd.xlsx", "A 29902-2023")</f>
        <v/>
      </c>
      <c r="T158">
        <f>HYPERLINK("https://klasma.github.io/Logging_0380/kartor/A 29902-2023 karta.png", "A 29902-2023")</f>
        <v/>
      </c>
      <c r="V158">
        <f>HYPERLINK("https://klasma.github.io/Logging_0380/klagomål/A 29902-2023 FSC-klagomål.docx", "A 29902-2023")</f>
        <v/>
      </c>
      <c r="W158">
        <f>HYPERLINK("https://klasma.github.io/Logging_0380/klagomålsmail/A 29902-2023 FSC-klagomål mail.docx", "A 29902-2023")</f>
        <v/>
      </c>
      <c r="X158">
        <f>HYPERLINK("https://klasma.github.io/Logging_0380/tillsyn/A 29902-2023 tillsynsbegäran.docx", "A 29902-2023")</f>
        <v/>
      </c>
      <c r="Y158">
        <f>HYPERLINK("https://klasma.github.io/Logging_0380/tillsynsmail/A 29902-2023 tillsynsbegäran mail.docx", "A 29902-2023")</f>
        <v/>
      </c>
      <c r="Z158">
        <f>HYPERLINK("https://klasma.github.io/Logging_0380/fåglar/A 29902-2023 prioriterade fågelarter.docx", "A 29902-2023")</f>
        <v/>
      </c>
    </row>
    <row r="159" ht="15" customHeight="1">
      <c r="A159" t="inlineStr">
        <is>
          <t>A 29906-2023</t>
        </is>
      </c>
      <c r="B159" s="1" t="n">
        <v>45107</v>
      </c>
      <c r="C159" s="1" t="n">
        <v>45710</v>
      </c>
      <c r="D159" t="inlineStr">
        <is>
          <t>UPPSALA LÄN</t>
        </is>
      </c>
      <c r="E159" t="inlineStr">
        <is>
          <t>UPPSALA</t>
        </is>
      </c>
      <c r="F159" t="inlineStr">
        <is>
          <t>Kyrkan</t>
        </is>
      </c>
      <c r="G159" t="n">
        <v>0.5</v>
      </c>
      <c r="H159" t="n">
        <v>0</v>
      </c>
      <c r="I159" t="n">
        <v>1</v>
      </c>
      <c r="J159" t="n">
        <v>0</v>
      </c>
      <c r="K159" t="n">
        <v>0</v>
      </c>
      <c r="L159" t="n">
        <v>0</v>
      </c>
      <c r="M159" t="n">
        <v>0</v>
      </c>
      <c r="N159" t="n">
        <v>0</v>
      </c>
      <c r="O159" t="n">
        <v>0</v>
      </c>
      <c r="P159" t="n">
        <v>0</v>
      </c>
      <c r="Q159" t="n">
        <v>1</v>
      </c>
      <c r="R159" s="2" t="inlineStr">
        <is>
          <t>Sotriska</t>
        </is>
      </c>
      <c r="S159">
        <f>HYPERLINK("https://klasma.github.io/Logging_0380/artfynd/A 29906-2023 artfynd.xlsx", "A 29906-2023")</f>
        <v/>
      </c>
      <c r="T159">
        <f>HYPERLINK("https://klasma.github.io/Logging_0380/kartor/A 29906-2023 karta.png", "A 29906-2023")</f>
        <v/>
      </c>
      <c r="V159">
        <f>HYPERLINK("https://klasma.github.io/Logging_0380/klagomål/A 29906-2023 FSC-klagomål.docx", "A 29906-2023")</f>
        <v/>
      </c>
      <c r="W159">
        <f>HYPERLINK("https://klasma.github.io/Logging_0380/klagomålsmail/A 29906-2023 FSC-klagomål mail.docx", "A 29906-2023")</f>
        <v/>
      </c>
      <c r="X159">
        <f>HYPERLINK("https://klasma.github.io/Logging_0380/tillsyn/A 29906-2023 tillsynsbegäran.docx", "A 29906-2023")</f>
        <v/>
      </c>
      <c r="Y159">
        <f>HYPERLINK("https://klasma.github.io/Logging_0380/tillsynsmail/A 29906-2023 tillsynsbegäran mail.docx", "A 29906-2023")</f>
        <v/>
      </c>
    </row>
    <row r="160" ht="15" customHeight="1">
      <c r="A160" t="inlineStr">
        <is>
          <t>A 32668-2023</t>
        </is>
      </c>
      <c r="B160" s="1" t="n">
        <v>45121</v>
      </c>
      <c r="C160" s="1" t="n">
        <v>45710</v>
      </c>
      <c r="D160" t="inlineStr">
        <is>
          <t>UPPSALA LÄN</t>
        </is>
      </c>
      <c r="E160" t="inlineStr">
        <is>
          <t>UPPSALA</t>
        </is>
      </c>
      <c r="F160" t="inlineStr">
        <is>
          <t>Holmen skog AB</t>
        </is>
      </c>
      <c r="G160" t="n">
        <v>6.3</v>
      </c>
      <c r="H160" t="n">
        <v>1</v>
      </c>
      <c r="I160" t="n">
        <v>0</v>
      </c>
      <c r="J160" t="n">
        <v>0</v>
      </c>
      <c r="K160" t="n">
        <v>0</v>
      </c>
      <c r="L160" t="n">
        <v>0</v>
      </c>
      <c r="M160" t="n">
        <v>0</v>
      </c>
      <c r="N160" t="n">
        <v>0</v>
      </c>
      <c r="O160" t="n">
        <v>0</v>
      </c>
      <c r="P160" t="n">
        <v>0</v>
      </c>
      <c r="Q160" t="n">
        <v>1</v>
      </c>
      <c r="R160" s="2" t="inlineStr">
        <is>
          <t>Blåsippa</t>
        </is>
      </c>
      <c r="S160">
        <f>HYPERLINK("https://klasma.github.io/Logging_0380/artfynd/A 32668-2023 artfynd.xlsx", "A 32668-2023")</f>
        <v/>
      </c>
      <c r="T160">
        <f>HYPERLINK("https://klasma.github.io/Logging_0380/kartor/A 32668-2023 karta.png", "A 32668-2023")</f>
        <v/>
      </c>
      <c r="V160">
        <f>HYPERLINK("https://klasma.github.io/Logging_0380/klagomål/A 32668-2023 FSC-klagomål.docx", "A 32668-2023")</f>
        <v/>
      </c>
      <c r="W160">
        <f>HYPERLINK("https://klasma.github.io/Logging_0380/klagomålsmail/A 32668-2023 FSC-klagomål mail.docx", "A 32668-2023")</f>
        <v/>
      </c>
      <c r="X160">
        <f>HYPERLINK("https://klasma.github.io/Logging_0380/tillsyn/A 32668-2023 tillsynsbegäran.docx", "A 32668-2023")</f>
        <v/>
      </c>
      <c r="Y160">
        <f>HYPERLINK("https://klasma.github.io/Logging_0380/tillsynsmail/A 32668-2023 tillsynsbegäran mail.docx", "A 32668-2023")</f>
        <v/>
      </c>
    </row>
    <row r="161" ht="15" customHeight="1">
      <c r="A161" t="inlineStr">
        <is>
          <t>A 32755-2023</t>
        </is>
      </c>
      <c r="B161" s="1" t="n">
        <v>45123</v>
      </c>
      <c r="C161" s="1" t="n">
        <v>45710</v>
      </c>
      <c r="D161" t="inlineStr">
        <is>
          <t>UPPSALA LÄN</t>
        </is>
      </c>
      <c r="E161" t="inlineStr">
        <is>
          <t>UPPSALA</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HYPERLINK("https://klasma.github.io/Logging_0380/artfynd/A 32755-2023 artfynd.xlsx", "A 32755-2023")</f>
        <v/>
      </c>
      <c r="T161">
        <f>HYPERLINK("https://klasma.github.io/Logging_0380/kartor/A 32755-2023 karta.png", "A 32755-2023")</f>
        <v/>
      </c>
      <c r="V161">
        <f>HYPERLINK("https://klasma.github.io/Logging_0380/klagomål/A 32755-2023 FSC-klagomål.docx", "A 32755-2023")</f>
        <v/>
      </c>
      <c r="W161">
        <f>HYPERLINK("https://klasma.github.io/Logging_0380/klagomålsmail/A 32755-2023 FSC-klagomål mail.docx", "A 32755-2023")</f>
        <v/>
      </c>
      <c r="X161">
        <f>HYPERLINK("https://klasma.github.io/Logging_0380/tillsyn/A 32755-2023 tillsynsbegäran.docx", "A 32755-2023")</f>
        <v/>
      </c>
      <c r="Y161">
        <f>HYPERLINK("https://klasma.github.io/Logging_0380/tillsynsmail/A 32755-2023 tillsynsbegäran mail.docx", "A 32755-2023")</f>
        <v/>
      </c>
      <c r="Z161">
        <f>HYPERLINK("https://klasma.github.io/Logging_0380/fåglar/A 32755-2023 prioriterade fågelarter.docx", "A 32755-2023")</f>
        <v/>
      </c>
    </row>
    <row r="162" ht="15" customHeight="1">
      <c r="A162" t="inlineStr">
        <is>
          <t>A 34732-2023</t>
        </is>
      </c>
      <c r="B162" s="1" t="n">
        <v>45139</v>
      </c>
      <c r="C162" s="1" t="n">
        <v>45710</v>
      </c>
      <c r="D162" t="inlineStr">
        <is>
          <t>UPPSALA LÄN</t>
        </is>
      </c>
      <c r="E162" t="inlineStr">
        <is>
          <t>UPPSALA</t>
        </is>
      </c>
      <c r="G162" t="n">
        <v>8.1</v>
      </c>
      <c r="H162" t="n">
        <v>1</v>
      </c>
      <c r="I162" t="n">
        <v>1</v>
      </c>
      <c r="J162" t="n">
        <v>0</v>
      </c>
      <c r="K162" t="n">
        <v>0</v>
      </c>
      <c r="L162" t="n">
        <v>0</v>
      </c>
      <c r="M162" t="n">
        <v>0</v>
      </c>
      <c r="N162" t="n">
        <v>0</v>
      </c>
      <c r="O162" t="n">
        <v>0</v>
      </c>
      <c r="P162" t="n">
        <v>0</v>
      </c>
      <c r="Q162" t="n">
        <v>1</v>
      </c>
      <c r="R162" s="2" t="inlineStr">
        <is>
          <t>Grön sköldmossa</t>
        </is>
      </c>
      <c r="S162">
        <f>HYPERLINK("https://klasma.github.io/Logging_0380/artfynd/A 34732-2023 artfynd.xlsx", "A 34732-2023")</f>
        <v/>
      </c>
      <c r="T162">
        <f>HYPERLINK("https://klasma.github.io/Logging_0380/kartor/A 34732-2023 karta.png", "A 34732-2023")</f>
        <v/>
      </c>
      <c r="V162">
        <f>HYPERLINK("https://klasma.github.io/Logging_0380/klagomål/A 34732-2023 FSC-klagomål.docx", "A 34732-2023")</f>
        <v/>
      </c>
      <c r="W162">
        <f>HYPERLINK("https://klasma.github.io/Logging_0380/klagomålsmail/A 34732-2023 FSC-klagomål mail.docx", "A 34732-2023")</f>
        <v/>
      </c>
      <c r="X162">
        <f>HYPERLINK("https://klasma.github.io/Logging_0380/tillsyn/A 34732-2023 tillsynsbegäran.docx", "A 34732-2023")</f>
        <v/>
      </c>
      <c r="Y162">
        <f>HYPERLINK("https://klasma.github.io/Logging_0380/tillsynsmail/A 34732-2023 tillsynsbegäran mail.docx", "A 34732-2023")</f>
        <v/>
      </c>
    </row>
    <row r="163" ht="15" customHeight="1">
      <c r="A163" t="inlineStr">
        <is>
          <t>A 39741-2023</t>
        </is>
      </c>
      <c r="B163" s="1" t="n">
        <v>45167</v>
      </c>
      <c r="C163" s="1" t="n">
        <v>45710</v>
      </c>
      <c r="D163" t="inlineStr">
        <is>
          <t>UPPSALA LÄN</t>
        </is>
      </c>
      <c r="E163" t="inlineStr">
        <is>
          <t>UPPSALA</t>
        </is>
      </c>
      <c r="G163" t="n">
        <v>5.6</v>
      </c>
      <c r="H163" t="n">
        <v>1</v>
      </c>
      <c r="I163" t="n">
        <v>0</v>
      </c>
      <c r="J163" t="n">
        <v>1</v>
      </c>
      <c r="K163" t="n">
        <v>0</v>
      </c>
      <c r="L163" t="n">
        <v>0</v>
      </c>
      <c r="M163" t="n">
        <v>0</v>
      </c>
      <c r="N163" t="n">
        <v>0</v>
      </c>
      <c r="O163" t="n">
        <v>1</v>
      </c>
      <c r="P163" t="n">
        <v>0</v>
      </c>
      <c r="Q163" t="n">
        <v>1</v>
      </c>
      <c r="R163" s="2" t="inlineStr">
        <is>
          <t>Entita</t>
        </is>
      </c>
      <c r="S163">
        <f>HYPERLINK("https://klasma.github.io/Logging_0380/artfynd/A 39741-2023 artfynd.xlsx", "A 39741-2023")</f>
        <v/>
      </c>
      <c r="T163">
        <f>HYPERLINK("https://klasma.github.io/Logging_0380/kartor/A 39741-2023 karta.png", "A 39741-2023")</f>
        <v/>
      </c>
      <c r="V163">
        <f>HYPERLINK("https://klasma.github.io/Logging_0380/klagomål/A 39741-2023 FSC-klagomål.docx", "A 39741-2023")</f>
        <v/>
      </c>
      <c r="W163">
        <f>HYPERLINK("https://klasma.github.io/Logging_0380/klagomålsmail/A 39741-2023 FSC-klagomål mail.docx", "A 39741-2023")</f>
        <v/>
      </c>
      <c r="X163">
        <f>HYPERLINK("https://klasma.github.io/Logging_0380/tillsyn/A 39741-2023 tillsynsbegäran.docx", "A 39741-2023")</f>
        <v/>
      </c>
      <c r="Y163">
        <f>HYPERLINK("https://klasma.github.io/Logging_0380/tillsynsmail/A 39741-2023 tillsynsbegäran mail.docx", "A 39741-2023")</f>
        <v/>
      </c>
      <c r="Z163">
        <f>HYPERLINK("https://klasma.github.io/Logging_0380/fåglar/A 39741-2023 prioriterade fågelarter.docx", "A 39741-2023")</f>
        <v/>
      </c>
    </row>
    <row r="164" ht="15" customHeight="1">
      <c r="A164" t="inlineStr">
        <is>
          <t>A 51540-2023</t>
        </is>
      </c>
      <c r="B164" s="1" t="n">
        <v>45222</v>
      </c>
      <c r="C164" s="1" t="n">
        <v>45710</v>
      </c>
      <c r="D164" t="inlineStr">
        <is>
          <t>UPPSALA LÄN</t>
        </is>
      </c>
      <c r="E164" t="inlineStr">
        <is>
          <t>UPPSALA</t>
        </is>
      </c>
      <c r="G164" t="n">
        <v>6.4</v>
      </c>
      <c r="H164" t="n">
        <v>0</v>
      </c>
      <c r="I164" t="n">
        <v>0</v>
      </c>
      <c r="J164" t="n">
        <v>1</v>
      </c>
      <c r="K164" t="n">
        <v>0</v>
      </c>
      <c r="L164" t="n">
        <v>0</v>
      </c>
      <c r="M164" t="n">
        <v>0</v>
      </c>
      <c r="N164" t="n">
        <v>0</v>
      </c>
      <c r="O164" t="n">
        <v>1</v>
      </c>
      <c r="P164" t="n">
        <v>0</v>
      </c>
      <c r="Q164" t="n">
        <v>1</v>
      </c>
      <c r="R164" s="2" t="inlineStr">
        <is>
          <t>Svedjenäva</t>
        </is>
      </c>
      <c r="S164">
        <f>HYPERLINK("https://klasma.github.io/Logging_0380/artfynd/A 51540-2023 artfynd.xlsx", "A 51540-2023")</f>
        <v/>
      </c>
      <c r="T164">
        <f>HYPERLINK("https://klasma.github.io/Logging_0380/kartor/A 51540-2023 karta.png", "A 51540-2023")</f>
        <v/>
      </c>
      <c r="V164">
        <f>HYPERLINK("https://klasma.github.io/Logging_0380/klagomål/A 51540-2023 FSC-klagomål.docx", "A 51540-2023")</f>
        <v/>
      </c>
      <c r="W164">
        <f>HYPERLINK("https://klasma.github.io/Logging_0380/klagomålsmail/A 51540-2023 FSC-klagomål mail.docx", "A 51540-2023")</f>
        <v/>
      </c>
      <c r="X164">
        <f>HYPERLINK("https://klasma.github.io/Logging_0380/tillsyn/A 51540-2023 tillsynsbegäran.docx", "A 51540-2023")</f>
        <v/>
      </c>
      <c r="Y164">
        <f>HYPERLINK("https://klasma.github.io/Logging_0380/tillsynsmail/A 51540-2023 tillsynsbegäran mail.docx", "A 51540-2023")</f>
        <v/>
      </c>
    </row>
    <row r="165" ht="15" customHeight="1">
      <c r="A165" t="inlineStr">
        <is>
          <t>A 57332-2023</t>
        </is>
      </c>
      <c r="B165" s="1" t="n">
        <v>45245</v>
      </c>
      <c r="C165" s="1" t="n">
        <v>45710</v>
      </c>
      <c r="D165" t="inlineStr">
        <is>
          <t>UPPSALA LÄN</t>
        </is>
      </c>
      <c r="E165" t="inlineStr">
        <is>
          <t>UPPSALA</t>
        </is>
      </c>
      <c r="F165" t="inlineStr">
        <is>
          <t>Allmännings- och besparingsskogar</t>
        </is>
      </c>
      <c r="G165" t="n">
        <v>11.4</v>
      </c>
      <c r="H165" t="n">
        <v>1</v>
      </c>
      <c r="I165" t="n">
        <v>0</v>
      </c>
      <c r="J165" t="n">
        <v>0</v>
      </c>
      <c r="K165" t="n">
        <v>1</v>
      </c>
      <c r="L165" t="n">
        <v>0</v>
      </c>
      <c r="M165" t="n">
        <v>0</v>
      </c>
      <c r="N165" t="n">
        <v>0</v>
      </c>
      <c r="O165" t="n">
        <v>1</v>
      </c>
      <c r="P165" t="n">
        <v>1</v>
      </c>
      <c r="Q165" t="n">
        <v>1</v>
      </c>
      <c r="R165" s="2" t="inlineStr">
        <is>
          <t>Knärot</t>
        </is>
      </c>
      <c r="S165">
        <f>HYPERLINK("https://klasma.github.io/Logging_0380/artfynd/A 57332-2023 artfynd.xlsx", "A 57332-2023")</f>
        <v/>
      </c>
      <c r="T165">
        <f>HYPERLINK("https://klasma.github.io/Logging_0380/kartor/A 57332-2023 karta.png", "A 57332-2023")</f>
        <v/>
      </c>
      <c r="U165">
        <f>HYPERLINK("https://klasma.github.io/Logging_0380/knärot/A 57332-2023 karta knärot.png", "A 57332-2023")</f>
        <v/>
      </c>
      <c r="V165">
        <f>HYPERLINK("https://klasma.github.io/Logging_0380/klagomål/A 57332-2023 FSC-klagomål.docx", "A 57332-2023")</f>
        <v/>
      </c>
      <c r="W165">
        <f>HYPERLINK("https://klasma.github.io/Logging_0380/klagomålsmail/A 57332-2023 FSC-klagomål mail.docx", "A 57332-2023")</f>
        <v/>
      </c>
      <c r="X165">
        <f>HYPERLINK("https://klasma.github.io/Logging_0380/tillsyn/A 57332-2023 tillsynsbegäran.docx", "A 57332-2023")</f>
        <v/>
      </c>
      <c r="Y165">
        <f>HYPERLINK("https://klasma.github.io/Logging_0380/tillsynsmail/A 57332-2023 tillsynsbegäran mail.docx", "A 57332-2023")</f>
        <v/>
      </c>
    </row>
    <row r="166" ht="15" customHeight="1">
      <c r="A166" t="inlineStr">
        <is>
          <t>A 61068-2023</t>
        </is>
      </c>
      <c r="B166" s="1" t="n">
        <v>45259</v>
      </c>
      <c r="C166" s="1" t="n">
        <v>45710</v>
      </c>
      <c r="D166" t="inlineStr">
        <is>
          <t>UPPSALA LÄN</t>
        </is>
      </c>
      <c r="E166" t="inlineStr">
        <is>
          <t>UPPSALA</t>
        </is>
      </c>
      <c r="F166" t="inlineStr">
        <is>
          <t>Övriga Aktiebolag</t>
        </is>
      </c>
      <c r="G166" t="n">
        <v>8.800000000000001</v>
      </c>
      <c r="H166" t="n">
        <v>1</v>
      </c>
      <c r="I166" t="n">
        <v>0</v>
      </c>
      <c r="J166" t="n">
        <v>0</v>
      </c>
      <c r="K166" t="n">
        <v>1</v>
      </c>
      <c r="L166" t="n">
        <v>0</v>
      </c>
      <c r="M166" t="n">
        <v>0</v>
      </c>
      <c r="N166" t="n">
        <v>0</v>
      </c>
      <c r="O166" t="n">
        <v>1</v>
      </c>
      <c r="P166" t="n">
        <v>1</v>
      </c>
      <c r="Q166" t="n">
        <v>1</v>
      </c>
      <c r="R166" s="2" t="inlineStr">
        <is>
          <t>Knärot</t>
        </is>
      </c>
      <c r="S166">
        <f>HYPERLINK("https://klasma.github.io/Logging_0380/artfynd/A 61068-2023 artfynd.xlsx", "A 61068-2023")</f>
        <v/>
      </c>
      <c r="T166">
        <f>HYPERLINK("https://klasma.github.io/Logging_0380/kartor/A 61068-2023 karta.png", "A 61068-2023")</f>
        <v/>
      </c>
      <c r="U166">
        <f>HYPERLINK("https://klasma.github.io/Logging_0380/knärot/A 61068-2023 karta knärot.png", "A 61068-2023")</f>
        <v/>
      </c>
      <c r="V166">
        <f>HYPERLINK("https://klasma.github.io/Logging_0380/klagomål/A 61068-2023 FSC-klagomål.docx", "A 61068-2023")</f>
        <v/>
      </c>
      <c r="W166">
        <f>HYPERLINK("https://klasma.github.io/Logging_0380/klagomålsmail/A 61068-2023 FSC-klagomål mail.docx", "A 61068-2023")</f>
        <v/>
      </c>
      <c r="X166">
        <f>HYPERLINK("https://klasma.github.io/Logging_0380/tillsyn/A 61068-2023 tillsynsbegäran.docx", "A 61068-2023")</f>
        <v/>
      </c>
      <c r="Y166">
        <f>HYPERLINK("https://klasma.github.io/Logging_0380/tillsynsmail/A 61068-2023 tillsynsbegäran mail.docx", "A 61068-2023")</f>
        <v/>
      </c>
    </row>
    <row r="167" ht="15" customHeight="1">
      <c r="A167" t="inlineStr">
        <is>
          <t>A 61066-2023</t>
        </is>
      </c>
      <c r="B167" s="1" t="n">
        <v>45259</v>
      </c>
      <c r="C167" s="1" t="n">
        <v>45710</v>
      </c>
      <c r="D167" t="inlineStr">
        <is>
          <t>UPPSALA LÄN</t>
        </is>
      </c>
      <c r="E167" t="inlineStr">
        <is>
          <t>UPPSALA</t>
        </is>
      </c>
      <c r="F167" t="inlineStr">
        <is>
          <t>Övriga Aktiebolag</t>
        </is>
      </c>
      <c r="G167" t="n">
        <v>4.7</v>
      </c>
      <c r="H167" t="n">
        <v>0</v>
      </c>
      <c r="I167" t="n">
        <v>0</v>
      </c>
      <c r="J167" t="n">
        <v>1</v>
      </c>
      <c r="K167" t="n">
        <v>0</v>
      </c>
      <c r="L167" t="n">
        <v>0</v>
      </c>
      <c r="M167" t="n">
        <v>0</v>
      </c>
      <c r="N167" t="n">
        <v>0</v>
      </c>
      <c r="O167" t="n">
        <v>1</v>
      </c>
      <c r="P167" t="n">
        <v>0</v>
      </c>
      <c r="Q167" t="n">
        <v>1</v>
      </c>
      <c r="R167" s="2" t="inlineStr">
        <is>
          <t>Igelkott</t>
        </is>
      </c>
      <c r="S167">
        <f>HYPERLINK("https://klasma.github.io/Logging_0380/artfynd/A 61066-2023 artfynd.xlsx", "A 61066-2023")</f>
        <v/>
      </c>
      <c r="T167">
        <f>HYPERLINK("https://klasma.github.io/Logging_0380/kartor/A 61066-2023 karta.png", "A 61066-2023")</f>
        <v/>
      </c>
      <c r="V167">
        <f>HYPERLINK("https://klasma.github.io/Logging_0380/klagomål/A 61066-2023 FSC-klagomål.docx", "A 61066-2023")</f>
        <v/>
      </c>
      <c r="W167">
        <f>HYPERLINK("https://klasma.github.io/Logging_0380/klagomålsmail/A 61066-2023 FSC-klagomål mail.docx", "A 61066-2023")</f>
        <v/>
      </c>
      <c r="X167">
        <f>HYPERLINK("https://klasma.github.io/Logging_0380/tillsyn/A 61066-2023 tillsynsbegäran.docx", "A 61066-2023")</f>
        <v/>
      </c>
      <c r="Y167">
        <f>HYPERLINK("https://klasma.github.io/Logging_0380/tillsynsmail/A 61066-2023 tillsynsbegäran mail.docx", "A 61066-2023")</f>
        <v/>
      </c>
    </row>
    <row r="168" ht="15" customHeight="1">
      <c r="A168" t="inlineStr">
        <is>
          <t>A 63172-2023</t>
        </is>
      </c>
      <c r="B168" s="1" t="n">
        <v>45273</v>
      </c>
      <c r="C168" s="1" t="n">
        <v>45710</v>
      </c>
      <c r="D168" t="inlineStr">
        <is>
          <t>UPPSALA LÄN</t>
        </is>
      </c>
      <c r="E168" t="inlineStr">
        <is>
          <t>UPPSALA</t>
        </is>
      </c>
      <c r="G168" t="n">
        <v>1.8</v>
      </c>
      <c r="H168" t="n">
        <v>0</v>
      </c>
      <c r="I168" t="n">
        <v>1</v>
      </c>
      <c r="J168" t="n">
        <v>0</v>
      </c>
      <c r="K168" t="n">
        <v>0</v>
      </c>
      <c r="L168" t="n">
        <v>0</v>
      </c>
      <c r="M168" t="n">
        <v>0</v>
      </c>
      <c r="N168" t="n">
        <v>0</v>
      </c>
      <c r="O168" t="n">
        <v>0</v>
      </c>
      <c r="P168" t="n">
        <v>0</v>
      </c>
      <c r="Q168" t="n">
        <v>1</v>
      </c>
      <c r="R168" s="2" t="inlineStr">
        <is>
          <t>Ögonpyrola</t>
        </is>
      </c>
      <c r="S168">
        <f>HYPERLINK("https://klasma.github.io/Logging_0380/artfynd/A 63172-2023 artfynd.xlsx", "A 63172-2023")</f>
        <v/>
      </c>
      <c r="T168">
        <f>HYPERLINK("https://klasma.github.io/Logging_0380/kartor/A 63172-2023 karta.png", "A 63172-2023")</f>
        <v/>
      </c>
      <c r="V168">
        <f>HYPERLINK("https://klasma.github.io/Logging_0380/klagomål/A 63172-2023 FSC-klagomål.docx", "A 63172-2023")</f>
        <v/>
      </c>
      <c r="W168">
        <f>HYPERLINK("https://klasma.github.io/Logging_0380/klagomålsmail/A 63172-2023 FSC-klagomål mail.docx", "A 63172-2023")</f>
        <v/>
      </c>
      <c r="X168">
        <f>HYPERLINK("https://klasma.github.io/Logging_0380/tillsyn/A 63172-2023 tillsynsbegäran.docx", "A 63172-2023")</f>
        <v/>
      </c>
      <c r="Y168">
        <f>HYPERLINK("https://klasma.github.io/Logging_0380/tillsynsmail/A 63172-2023 tillsynsbegäran mail.docx", "A 63172-2023")</f>
        <v/>
      </c>
    </row>
    <row r="169" ht="15" customHeight="1">
      <c r="A169" t="inlineStr">
        <is>
          <t>A 584-2024</t>
        </is>
      </c>
      <c r="B169" s="1" t="n">
        <v>45299</v>
      </c>
      <c r="C169" s="1" t="n">
        <v>45710</v>
      </c>
      <c r="D169" t="inlineStr">
        <is>
          <t>UPPSALA LÄN</t>
        </is>
      </c>
      <c r="E169" t="inlineStr">
        <is>
          <t>UPPSALA</t>
        </is>
      </c>
      <c r="G169" t="n">
        <v>0.8</v>
      </c>
      <c r="H169" t="n">
        <v>1</v>
      </c>
      <c r="I169" t="n">
        <v>0</v>
      </c>
      <c r="J169" t="n">
        <v>0</v>
      </c>
      <c r="K169" t="n">
        <v>1</v>
      </c>
      <c r="L169" t="n">
        <v>0</v>
      </c>
      <c r="M169" t="n">
        <v>0</v>
      </c>
      <c r="N169" t="n">
        <v>0</v>
      </c>
      <c r="O169" t="n">
        <v>1</v>
      </c>
      <c r="P169" t="n">
        <v>1</v>
      </c>
      <c r="Q169" t="n">
        <v>1</v>
      </c>
      <c r="R169" s="2" t="inlineStr">
        <is>
          <t>Väddnätfjäril</t>
        </is>
      </c>
      <c r="S169">
        <f>HYPERLINK("https://klasma.github.io/Logging_0380/artfynd/A 584-2024 artfynd.xlsx", "A 584-2024")</f>
        <v/>
      </c>
      <c r="T169">
        <f>HYPERLINK("https://klasma.github.io/Logging_0380/kartor/A 584-2024 karta.png", "A 584-2024")</f>
        <v/>
      </c>
      <c r="V169">
        <f>HYPERLINK("https://klasma.github.io/Logging_0380/klagomål/A 584-2024 FSC-klagomål.docx", "A 584-2024")</f>
        <v/>
      </c>
      <c r="W169">
        <f>HYPERLINK("https://klasma.github.io/Logging_0380/klagomålsmail/A 584-2024 FSC-klagomål mail.docx", "A 584-2024")</f>
        <v/>
      </c>
      <c r="X169">
        <f>HYPERLINK("https://klasma.github.io/Logging_0380/tillsyn/A 584-2024 tillsynsbegäran.docx", "A 584-2024")</f>
        <v/>
      </c>
      <c r="Y169">
        <f>HYPERLINK("https://klasma.github.io/Logging_0380/tillsynsmail/A 584-2024 tillsynsbegäran mail.docx", "A 584-2024")</f>
        <v/>
      </c>
    </row>
    <row r="170" ht="15" customHeight="1">
      <c r="A170" t="inlineStr">
        <is>
          <t>A 2729-2024</t>
        </is>
      </c>
      <c r="B170" s="1" t="n">
        <v>45314</v>
      </c>
      <c r="C170" s="1" t="n">
        <v>45710</v>
      </c>
      <c r="D170" t="inlineStr">
        <is>
          <t>UPPSALA LÄN</t>
        </is>
      </c>
      <c r="E170" t="inlineStr">
        <is>
          <t>UPPSALA</t>
        </is>
      </c>
      <c r="G170" t="n">
        <v>3.3</v>
      </c>
      <c r="H170" t="n">
        <v>1</v>
      </c>
      <c r="I170" t="n">
        <v>0</v>
      </c>
      <c r="J170" t="n">
        <v>0</v>
      </c>
      <c r="K170" t="n">
        <v>0</v>
      </c>
      <c r="L170" t="n">
        <v>0</v>
      </c>
      <c r="M170" t="n">
        <v>0</v>
      </c>
      <c r="N170" t="n">
        <v>0</v>
      </c>
      <c r="O170" t="n">
        <v>0</v>
      </c>
      <c r="P170" t="n">
        <v>0</v>
      </c>
      <c r="Q170" t="n">
        <v>1</v>
      </c>
      <c r="R170" s="2" t="inlineStr">
        <is>
          <t>Revlummer</t>
        </is>
      </c>
      <c r="S170">
        <f>HYPERLINK("https://klasma.github.io/Logging_0380/artfynd/A 2729-2024 artfynd.xlsx", "A 2729-2024")</f>
        <v/>
      </c>
      <c r="T170">
        <f>HYPERLINK("https://klasma.github.io/Logging_0380/kartor/A 2729-2024 karta.png", "A 2729-2024")</f>
        <v/>
      </c>
      <c r="V170">
        <f>HYPERLINK("https://klasma.github.io/Logging_0380/klagomål/A 2729-2024 FSC-klagomål.docx", "A 2729-2024")</f>
        <v/>
      </c>
      <c r="W170">
        <f>HYPERLINK("https://klasma.github.io/Logging_0380/klagomålsmail/A 2729-2024 FSC-klagomål mail.docx", "A 2729-2024")</f>
        <v/>
      </c>
      <c r="X170">
        <f>HYPERLINK("https://klasma.github.io/Logging_0380/tillsyn/A 2729-2024 tillsynsbegäran.docx", "A 2729-2024")</f>
        <v/>
      </c>
      <c r="Y170">
        <f>HYPERLINK("https://klasma.github.io/Logging_0380/tillsynsmail/A 2729-2024 tillsynsbegäran mail.docx", "A 2729-2024")</f>
        <v/>
      </c>
    </row>
    <row r="171" ht="15" customHeight="1">
      <c r="A171" t="inlineStr">
        <is>
          <t>A 5972-2024</t>
        </is>
      </c>
      <c r="B171" s="1" t="n">
        <v>45336</v>
      </c>
      <c r="C171" s="1" t="n">
        <v>45710</v>
      </c>
      <c r="D171" t="inlineStr">
        <is>
          <t>UPPSALA LÄN</t>
        </is>
      </c>
      <c r="E171" t="inlineStr">
        <is>
          <t>UPPSALA</t>
        </is>
      </c>
      <c r="G171" t="n">
        <v>1.6</v>
      </c>
      <c r="H171" t="n">
        <v>1</v>
      </c>
      <c r="I171" t="n">
        <v>0</v>
      </c>
      <c r="J171" t="n">
        <v>0</v>
      </c>
      <c r="K171" t="n">
        <v>0</v>
      </c>
      <c r="L171" t="n">
        <v>0</v>
      </c>
      <c r="M171" t="n">
        <v>0</v>
      </c>
      <c r="N171" t="n">
        <v>0</v>
      </c>
      <c r="O171" t="n">
        <v>0</v>
      </c>
      <c r="P171" t="n">
        <v>0</v>
      </c>
      <c r="Q171" t="n">
        <v>1</v>
      </c>
      <c r="R171" s="2" t="inlineStr">
        <is>
          <t>Sparvuggla</t>
        </is>
      </c>
      <c r="S171">
        <f>HYPERLINK("https://klasma.github.io/Logging_0380/artfynd/A 5972-2024 artfynd.xlsx", "A 5972-2024")</f>
        <v/>
      </c>
      <c r="T171">
        <f>HYPERLINK("https://klasma.github.io/Logging_0380/kartor/A 5972-2024 karta.png", "A 5972-2024")</f>
        <v/>
      </c>
      <c r="V171">
        <f>HYPERLINK("https://klasma.github.io/Logging_0380/klagomål/A 5972-2024 FSC-klagomål.docx", "A 5972-2024")</f>
        <v/>
      </c>
      <c r="W171">
        <f>HYPERLINK("https://klasma.github.io/Logging_0380/klagomålsmail/A 5972-2024 FSC-klagomål mail.docx", "A 5972-2024")</f>
        <v/>
      </c>
      <c r="X171">
        <f>HYPERLINK("https://klasma.github.io/Logging_0380/tillsyn/A 5972-2024 tillsynsbegäran.docx", "A 5972-2024")</f>
        <v/>
      </c>
      <c r="Y171">
        <f>HYPERLINK("https://klasma.github.io/Logging_0380/tillsynsmail/A 5972-2024 tillsynsbegäran mail.docx", "A 5972-2024")</f>
        <v/>
      </c>
      <c r="Z171">
        <f>HYPERLINK("https://klasma.github.io/Logging_0380/fåglar/A 5972-2024 prioriterade fågelarter.docx", "A 5972-2024")</f>
        <v/>
      </c>
    </row>
    <row r="172" ht="15" customHeight="1">
      <c r="A172" t="inlineStr">
        <is>
          <t>A 6044-2024</t>
        </is>
      </c>
      <c r="B172" s="1" t="n">
        <v>45336</v>
      </c>
      <c r="C172" s="1" t="n">
        <v>45710</v>
      </c>
      <c r="D172" t="inlineStr">
        <is>
          <t>UPPSALA LÄN</t>
        </is>
      </c>
      <c r="E172" t="inlineStr">
        <is>
          <t>UPPSALA</t>
        </is>
      </c>
      <c r="F172" t="inlineStr">
        <is>
          <t>Holmen skog AB</t>
        </is>
      </c>
      <c r="G172" t="n">
        <v>7.4</v>
      </c>
      <c r="H172" t="n">
        <v>0</v>
      </c>
      <c r="I172" t="n">
        <v>0</v>
      </c>
      <c r="J172" t="n">
        <v>1</v>
      </c>
      <c r="K172" t="n">
        <v>0</v>
      </c>
      <c r="L172" t="n">
        <v>0</v>
      </c>
      <c r="M172" t="n">
        <v>0</v>
      </c>
      <c r="N172" t="n">
        <v>0</v>
      </c>
      <c r="O172" t="n">
        <v>1</v>
      </c>
      <c r="P172" t="n">
        <v>0</v>
      </c>
      <c r="Q172" t="n">
        <v>1</v>
      </c>
      <c r="R172" s="2" t="inlineStr">
        <is>
          <t>Gul dropplav</t>
        </is>
      </c>
      <c r="S172">
        <f>HYPERLINK("https://klasma.github.io/Logging_0380/artfynd/A 6044-2024 artfynd.xlsx", "A 6044-2024")</f>
        <v/>
      </c>
      <c r="T172">
        <f>HYPERLINK("https://klasma.github.io/Logging_0380/kartor/A 6044-2024 karta.png", "A 6044-2024")</f>
        <v/>
      </c>
      <c r="V172">
        <f>HYPERLINK("https://klasma.github.io/Logging_0380/klagomål/A 6044-2024 FSC-klagomål.docx", "A 6044-2024")</f>
        <v/>
      </c>
      <c r="W172">
        <f>HYPERLINK("https://klasma.github.io/Logging_0380/klagomålsmail/A 6044-2024 FSC-klagomål mail.docx", "A 6044-2024")</f>
        <v/>
      </c>
      <c r="X172">
        <f>HYPERLINK("https://klasma.github.io/Logging_0380/tillsyn/A 6044-2024 tillsynsbegäran.docx", "A 6044-2024")</f>
        <v/>
      </c>
      <c r="Y172">
        <f>HYPERLINK("https://klasma.github.io/Logging_0380/tillsynsmail/A 6044-2024 tillsynsbegäran mail.docx", "A 6044-2024")</f>
        <v/>
      </c>
    </row>
    <row r="173" ht="15" customHeight="1">
      <c r="A173" t="inlineStr">
        <is>
          <t>A 7395-2024</t>
        </is>
      </c>
      <c r="B173" s="1" t="n">
        <v>45345</v>
      </c>
      <c r="C173" s="1" t="n">
        <v>45710</v>
      </c>
      <c r="D173" t="inlineStr">
        <is>
          <t>UPPSALA LÄN</t>
        </is>
      </c>
      <c r="E173" t="inlineStr">
        <is>
          <t>UPPSALA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HYPERLINK("https://klasma.github.io/Logging_0380/artfynd/A 7395-2024 artfynd.xlsx", "A 7395-2024")</f>
        <v/>
      </c>
      <c r="T173">
        <f>HYPERLINK("https://klasma.github.io/Logging_0380/kartor/A 7395-2024 karta.png", "A 7395-2024")</f>
        <v/>
      </c>
      <c r="U173">
        <f>HYPERLINK("https://klasma.github.io/Logging_0380/knärot/A 7395-2024 karta knärot.png", "A 7395-2024")</f>
        <v/>
      </c>
      <c r="V173">
        <f>HYPERLINK("https://klasma.github.io/Logging_0380/klagomål/A 7395-2024 FSC-klagomål.docx", "A 7395-2024")</f>
        <v/>
      </c>
      <c r="W173">
        <f>HYPERLINK("https://klasma.github.io/Logging_0380/klagomålsmail/A 7395-2024 FSC-klagomål mail.docx", "A 7395-2024")</f>
        <v/>
      </c>
      <c r="X173">
        <f>HYPERLINK("https://klasma.github.io/Logging_0380/tillsyn/A 7395-2024 tillsynsbegäran.docx", "A 7395-2024")</f>
        <v/>
      </c>
      <c r="Y173">
        <f>HYPERLINK("https://klasma.github.io/Logging_0380/tillsynsmail/A 7395-2024 tillsynsbegäran mail.docx", "A 7395-2024")</f>
        <v/>
      </c>
    </row>
    <row r="174" ht="15" customHeight="1">
      <c r="A174" t="inlineStr">
        <is>
          <t>A 7397-2024</t>
        </is>
      </c>
      <c r="B174" s="1" t="n">
        <v>45345</v>
      </c>
      <c r="C174" s="1" t="n">
        <v>45710</v>
      </c>
      <c r="D174" t="inlineStr">
        <is>
          <t>UPPSALA LÄN</t>
        </is>
      </c>
      <c r="E174" t="inlineStr">
        <is>
          <t>UPPSALA</t>
        </is>
      </c>
      <c r="G174" t="n">
        <v>3.4</v>
      </c>
      <c r="H174" t="n">
        <v>0</v>
      </c>
      <c r="I174" t="n">
        <v>1</v>
      </c>
      <c r="J174" t="n">
        <v>0</v>
      </c>
      <c r="K174" t="n">
        <v>0</v>
      </c>
      <c r="L174" t="n">
        <v>0</v>
      </c>
      <c r="M174" t="n">
        <v>0</v>
      </c>
      <c r="N174" t="n">
        <v>0</v>
      </c>
      <c r="O174" t="n">
        <v>0</v>
      </c>
      <c r="P174" t="n">
        <v>0</v>
      </c>
      <c r="Q174" t="n">
        <v>1</v>
      </c>
      <c r="R174" s="2" t="inlineStr">
        <is>
          <t>Svavelriska</t>
        </is>
      </c>
      <c r="S174">
        <f>HYPERLINK("https://klasma.github.io/Logging_0380/artfynd/A 7397-2024 artfynd.xlsx", "A 7397-2024")</f>
        <v/>
      </c>
      <c r="T174">
        <f>HYPERLINK("https://klasma.github.io/Logging_0380/kartor/A 7397-2024 karta.png", "A 7397-2024")</f>
        <v/>
      </c>
      <c r="U174">
        <f>HYPERLINK("https://klasma.github.io/Logging_0380/knärot/A 7397-2024 karta knärot.png", "A 7397-2024")</f>
        <v/>
      </c>
      <c r="V174">
        <f>HYPERLINK("https://klasma.github.io/Logging_0380/klagomål/A 7397-2024 FSC-klagomål.docx", "A 7397-2024")</f>
        <v/>
      </c>
      <c r="W174">
        <f>HYPERLINK("https://klasma.github.io/Logging_0380/klagomålsmail/A 7397-2024 FSC-klagomål mail.docx", "A 7397-2024")</f>
        <v/>
      </c>
      <c r="X174">
        <f>HYPERLINK("https://klasma.github.io/Logging_0380/tillsyn/A 7397-2024 tillsynsbegäran.docx", "A 7397-2024")</f>
        <v/>
      </c>
      <c r="Y174">
        <f>HYPERLINK("https://klasma.github.io/Logging_0380/tillsynsmail/A 7397-2024 tillsynsbegäran mail.docx", "A 7397-2024")</f>
        <v/>
      </c>
    </row>
    <row r="175" ht="15" customHeight="1">
      <c r="A175" t="inlineStr">
        <is>
          <t>A 8398-2024</t>
        </is>
      </c>
      <c r="B175" s="1" t="n">
        <v>45352</v>
      </c>
      <c r="C175" s="1" t="n">
        <v>45710</v>
      </c>
      <c r="D175" t="inlineStr">
        <is>
          <t>UPPSALA LÄN</t>
        </is>
      </c>
      <c r="E175" t="inlineStr">
        <is>
          <t>UPPSALA</t>
        </is>
      </c>
      <c r="G175" t="n">
        <v>6.2</v>
      </c>
      <c r="H175" t="n">
        <v>1</v>
      </c>
      <c r="I175" t="n">
        <v>0</v>
      </c>
      <c r="J175" t="n">
        <v>0</v>
      </c>
      <c r="K175" t="n">
        <v>0</v>
      </c>
      <c r="L175" t="n">
        <v>0</v>
      </c>
      <c r="M175" t="n">
        <v>0</v>
      </c>
      <c r="N175" t="n">
        <v>0</v>
      </c>
      <c r="O175" t="n">
        <v>0</v>
      </c>
      <c r="P175" t="n">
        <v>0</v>
      </c>
      <c r="Q175" t="n">
        <v>1</v>
      </c>
      <c r="R175" s="2" t="inlineStr">
        <is>
          <t>Tjäder</t>
        </is>
      </c>
      <c r="S175">
        <f>HYPERLINK("https://klasma.github.io/Logging_0380/artfynd/A 8398-2024 artfynd.xlsx", "A 8398-2024")</f>
        <v/>
      </c>
      <c r="T175">
        <f>HYPERLINK("https://klasma.github.io/Logging_0380/kartor/A 8398-2024 karta.png", "A 8398-2024")</f>
        <v/>
      </c>
      <c r="V175">
        <f>HYPERLINK("https://klasma.github.io/Logging_0380/klagomål/A 8398-2024 FSC-klagomål.docx", "A 8398-2024")</f>
        <v/>
      </c>
      <c r="W175">
        <f>HYPERLINK("https://klasma.github.io/Logging_0380/klagomålsmail/A 8398-2024 FSC-klagomål mail.docx", "A 8398-2024")</f>
        <v/>
      </c>
      <c r="X175">
        <f>HYPERLINK("https://klasma.github.io/Logging_0380/tillsyn/A 8398-2024 tillsynsbegäran.docx", "A 8398-2024")</f>
        <v/>
      </c>
      <c r="Y175">
        <f>HYPERLINK("https://klasma.github.io/Logging_0380/tillsynsmail/A 8398-2024 tillsynsbegäran mail.docx", "A 8398-2024")</f>
        <v/>
      </c>
      <c r="Z175">
        <f>HYPERLINK("https://klasma.github.io/Logging_0380/fåglar/A 8398-2024 prioriterade fågelarter.docx", "A 8398-2024")</f>
        <v/>
      </c>
    </row>
    <row r="176" ht="15" customHeight="1">
      <c r="A176" t="inlineStr">
        <is>
          <t>A 9206-2024</t>
        </is>
      </c>
      <c r="B176" s="1" t="n">
        <v>45358</v>
      </c>
      <c r="C176" s="1" t="n">
        <v>45710</v>
      </c>
      <c r="D176" t="inlineStr">
        <is>
          <t>UPPSALA LÄN</t>
        </is>
      </c>
      <c r="E176" t="inlineStr">
        <is>
          <t>UPPSALA</t>
        </is>
      </c>
      <c r="F176" t="inlineStr">
        <is>
          <t>Allmännings- och besparingsskogar</t>
        </is>
      </c>
      <c r="G176" t="n">
        <v>22.2</v>
      </c>
      <c r="H176" t="n">
        <v>1</v>
      </c>
      <c r="I176" t="n">
        <v>0</v>
      </c>
      <c r="J176" t="n">
        <v>0</v>
      </c>
      <c r="K176" t="n">
        <v>1</v>
      </c>
      <c r="L176" t="n">
        <v>0</v>
      </c>
      <c r="M176" t="n">
        <v>0</v>
      </c>
      <c r="N176" t="n">
        <v>0</v>
      </c>
      <c r="O176" t="n">
        <v>1</v>
      </c>
      <c r="P176" t="n">
        <v>1</v>
      </c>
      <c r="Q176" t="n">
        <v>1</v>
      </c>
      <c r="R176" s="2" t="inlineStr">
        <is>
          <t>Knärot</t>
        </is>
      </c>
      <c r="S176">
        <f>HYPERLINK("https://klasma.github.io/Logging_0380/artfynd/A 9206-2024 artfynd.xlsx", "A 9206-2024")</f>
        <v/>
      </c>
      <c r="T176">
        <f>HYPERLINK("https://klasma.github.io/Logging_0380/kartor/A 9206-2024 karta.png", "A 9206-2024")</f>
        <v/>
      </c>
      <c r="U176">
        <f>HYPERLINK("https://klasma.github.io/Logging_0380/knärot/A 9206-2024 karta knärot.png", "A 9206-2024")</f>
        <v/>
      </c>
      <c r="V176">
        <f>HYPERLINK("https://klasma.github.io/Logging_0380/klagomål/A 9206-2024 FSC-klagomål.docx", "A 9206-2024")</f>
        <v/>
      </c>
      <c r="W176">
        <f>HYPERLINK("https://klasma.github.io/Logging_0380/klagomålsmail/A 9206-2024 FSC-klagomål mail.docx", "A 9206-2024")</f>
        <v/>
      </c>
      <c r="X176">
        <f>HYPERLINK("https://klasma.github.io/Logging_0380/tillsyn/A 9206-2024 tillsynsbegäran.docx", "A 9206-2024")</f>
        <v/>
      </c>
      <c r="Y176">
        <f>HYPERLINK("https://klasma.github.io/Logging_0380/tillsynsmail/A 9206-2024 tillsynsbegäran mail.docx", "A 9206-2024")</f>
        <v/>
      </c>
    </row>
    <row r="177" ht="15" customHeight="1">
      <c r="A177" t="inlineStr">
        <is>
          <t>A 13093-2024</t>
        </is>
      </c>
      <c r="B177" s="1" t="n">
        <v>45385</v>
      </c>
      <c r="C177" s="1" t="n">
        <v>45710</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13661-2024</t>
        </is>
      </c>
      <c r="B178" s="1" t="n">
        <v>45390</v>
      </c>
      <c r="C178" s="1" t="n">
        <v>45710</v>
      </c>
      <c r="D178" t="inlineStr">
        <is>
          <t>UPPSALA LÄN</t>
        </is>
      </c>
      <c r="E178" t="inlineStr">
        <is>
          <t>UPPSALA</t>
        </is>
      </c>
      <c r="F178" t="inlineStr">
        <is>
          <t>Holmen skog AB</t>
        </is>
      </c>
      <c r="G178" t="n">
        <v>3.7</v>
      </c>
      <c r="H178" t="n">
        <v>0</v>
      </c>
      <c r="I178" t="n">
        <v>0</v>
      </c>
      <c r="J178" t="n">
        <v>1</v>
      </c>
      <c r="K178" t="n">
        <v>0</v>
      </c>
      <c r="L178" t="n">
        <v>0</v>
      </c>
      <c r="M178" t="n">
        <v>0</v>
      </c>
      <c r="N178" t="n">
        <v>0</v>
      </c>
      <c r="O178" t="n">
        <v>1</v>
      </c>
      <c r="P178" t="n">
        <v>0</v>
      </c>
      <c r="Q178" t="n">
        <v>1</v>
      </c>
      <c r="R178" s="2" t="inlineStr">
        <is>
          <t>Skogsklocka</t>
        </is>
      </c>
      <c r="S178">
        <f>HYPERLINK("https://klasma.github.io/Logging_0380/artfynd/A 13661-2024 artfynd.xlsx", "A 13661-2024")</f>
        <v/>
      </c>
      <c r="T178">
        <f>HYPERLINK("https://klasma.github.io/Logging_0380/kartor/A 13661-2024 karta.png", "A 13661-2024")</f>
        <v/>
      </c>
      <c r="V178">
        <f>HYPERLINK("https://klasma.github.io/Logging_0380/klagomål/A 13661-2024 FSC-klagomål.docx", "A 13661-2024")</f>
        <v/>
      </c>
      <c r="W178">
        <f>HYPERLINK("https://klasma.github.io/Logging_0380/klagomålsmail/A 13661-2024 FSC-klagomål mail.docx", "A 13661-2024")</f>
        <v/>
      </c>
      <c r="X178">
        <f>HYPERLINK("https://klasma.github.io/Logging_0380/tillsyn/A 13661-2024 tillsynsbegäran.docx", "A 13661-2024")</f>
        <v/>
      </c>
      <c r="Y178">
        <f>HYPERLINK("https://klasma.github.io/Logging_0380/tillsynsmail/A 13661-2024 tillsynsbegäran mail.docx", "A 13661-2024")</f>
        <v/>
      </c>
    </row>
    <row r="179" ht="15" customHeight="1">
      <c r="A179" t="inlineStr">
        <is>
          <t>A 18348-2024</t>
        </is>
      </c>
      <c r="B179" s="1" t="n">
        <v>45422</v>
      </c>
      <c r="C179" s="1" t="n">
        <v>45710</v>
      </c>
      <c r="D179" t="inlineStr">
        <is>
          <t>UPPSALA LÄN</t>
        </is>
      </c>
      <c r="E179" t="inlineStr">
        <is>
          <t>UPPSALA</t>
        </is>
      </c>
      <c r="F179" t="inlineStr">
        <is>
          <t>Holmen skog AB</t>
        </is>
      </c>
      <c r="G179" t="n">
        <v>2.8</v>
      </c>
      <c r="H179" t="n">
        <v>0</v>
      </c>
      <c r="I179" t="n">
        <v>0</v>
      </c>
      <c r="J179" t="n">
        <v>1</v>
      </c>
      <c r="K179" t="n">
        <v>0</v>
      </c>
      <c r="L179" t="n">
        <v>0</v>
      </c>
      <c r="M179" t="n">
        <v>0</v>
      </c>
      <c r="N179" t="n">
        <v>0</v>
      </c>
      <c r="O179" t="n">
        <v>1</v>
      </c>
      <c r="P179" t="n">
        <v>0</v>
      </c>
      <c r="Q179" t="n">
        <v>1</v>
      </c>
      <c r="R179" s="2" t="inlineStr">
        <is>
          <t>Granticka</t>
        </is>
      </c>
      <c r="S179">
        <f>HYPERLINK("https://klasma.github.io/Logging_0380/artfynd/A 18348-2024 artfynd.xlsx", "A 18348-2024")</f>
        <v/>
      </c>
      <c r="T179">
        <f>HYPERLINK("https://klasma.github.io/Logging_0380/kartor/A 18348-2024 karta.png", "A 18348-2024")</f>
        <v/>
      </c>
      <c r="V179">
        <f>HYPERLINK("https://klasma.github.io/Logging_0380/klagomål/A 18348-2024 FSC-klagomål.docx", "A 18348-2024")</f>
        <v/>
      </c>
      <c r="W179">
        <f>HYPERLINK("https://klasma.github.io/Logging_0380/klagomålsmail/A 18348-2024 FSC-klagomål mail.docx", "A 18348-2024")</f>
        <v/>
      </c>
      <c r="X179">
        <f>HYPERLINK("https://klasma.github.io/Logging_0380/tillsyn/A 18348-2024 tillsynsbegäran.docx", "A 18348-2024")</f>
        <v/>
      </c>
      <c r="Y179">
        <f>HYPERLINK("https://klasma.github.io/Logging_0380/tillsynsmail/A 18348-2024 tillsynsbegäran mail.docx", "A 18348-2024")</f>
        <v/>
      </c>
    </row>
    <row r="180" ht="15" customHeight="1">
      <c r="A180" t="inlineStr">
        <is>
          <t>A 18509-2024</t>
        </is>
      </c>
      <c r="B180" s="1" t="n">
        <v>45425</v>
      </c>
      <c r="C180" s="1" t="n">
        <v>45710</v>
      </c>
      <c r="D180" t="inlineStr">
        <is>
          <t>UPPSALA LÄN</t>
        </is>
      </c>
      <c r="E180" t="inlineStr">
        <is>
          <t>UPPSALA</t>
        </is>
      </c>
      <c r="G180" t="n">
        <v>4</v>
      </c>
      <c r="H180" t="n">
        <v>0</v>
      </c>
      <c r="I180" t="n">
        <v>1</v>
      </c>
      <c r="J180" t="n">
        <v>0</v>
      </c>
      <c r="K180" t="n">
        <v>0</v>
      </c>
      <c r="L180" t="n">
        <v>0</v>
      </c>
      <c r="M180" t="n">
        <v>0</v>
      </c>
      <c r="N180" t="n">
        <v>0</v>
      </c>
      <c r="O180" t="n">
        <v>0</v>
      </c>
      <c r="P180" t="n">
        <v>0</v>
      </c>
      <c r="Q180" t="n">
        <v>1</v>
      </c>
      <c r="R180" s="2" t="inlineStr">
        <is>
          <t>Fällmossa</t>
        </is>
      </c>
      <c r="S180">
        <f>HYPERLINK("https://klasma.github.io/Logging_0380/artfynd/A 18509-2024 artfynd.xlsx", "A 18509-2024")</f>
        <v/>
      </c>
      <c r="T180">
        <f>HYPERLINK("https://klasma.github.io/Logging_0380/kartor/A 18509-2024 karta.png", "A 18509-2024")</f>
        <v/>
      </c>
      <c r="V180">
        <f>HYPERLINK("https://klasma.github.io/Logging_0380/klagomål/A 18509-2024 FSC-klagomål.docx", "A 18509-2024")</f>
        <v/>
      </c>
      <c r="W180">
        <f>HYPERLINK("https://klasma.github.io/Logging_0380/klagomålsmail/A 18509-2024 FSC-klagomål mail.docx", "A 18509-2024")</f>
        <v/>
      </c>
      <c r="X180">
        <f>HYPERLINK("https://klasma.github.io/Logging_0380/tillsyn/A 18509-2024 tillsynsbegäran.docx", "A 18509-2024")</f>
        <v/>
      </c>
      <c r="Y180">
        <f>HYPERLINK("https://klasma.github.io/Logging_0380/tillsynsmail/A 18509-2024 tillsynsbegäran mail.docx", "A 18509-2024")</f>
        <v/>
      </c>
    </row>
    <row r="181" ht="15" customHeight="1">
      <c r="A181" t="inlineStr">
        <is>
          <t>A 21671-2024</t>
        </is>
      </c>
      <c r="B181" s="1" t="n">
        <v>45442</v>
      </c>
      <c r="C181" s="1" t="n">
        <v>45710</v>
      </c>
      <c r="D181" t="inlineStr">
        <is>
          <t>UPPSALA LÄN</t>
        </is>
      </c>
      <c r="E181" t="inlineStr">
        <is>
          <t>UPPSALA</t>
        </is>
      </c>
      <c r="G181" t="n">
        <v>3.7</v>
      </c>
      <c r="H181" t="n">
        <v>1</v>
      </c>
      <c r="I181" t="n">
        <v>0</v>
      </c>
      <c r="J181" t="n">
        <v>0</v>
      </c>
      <c r="K181" t="n">
        <v>1</v>
      </c>
      <c r="L181" t="n">
        <v>0</v>
      </c>
      <c r="M181" t="n">
        <v>0</v>
      </c>
      <c r="N181" t="n">
        <v>0</v>
      </c>
      <c r="O181" t="n">
        <v>1</v>
      </c>
      <c r="P181" t="n">
        <v>1</v>
      </c>
      <c r="Q181" t="n">
        <v>1</v>
      </c>
      <c r="R181" s="2" t="inlineStr">
        <is>
          <t>Knärot</t>
        </is>
      </c>
      <c r="S181">
        <f>HYPERLINK("https://klasma.github.io/Logging_0380/artfynd/A 21671-2024 artfynd.xlsx", "A 21671-2024")</f>
        <v/>
      </c>
      <c r="T181">
        <f>HYPERLINK("https://klasma.github.io/Logging_0380/kartor/A 21671-2024 karta.png", "A 21671-2024")</f>
        <v/>
      </c>
      <c r="U181">
        <f>HYPERLINK("https://klasma.github.io/Logging_0380/knärot/A 21671-2024 karta knärot.png", "A 21671-2024")</f>
        <v/>
      </c>
      <c r="V181">
        <f>HYPERLINK("https://klasma.github.io/Logging_0380/klagomål/A 21671-2024 FSC-klagomål.docx", "A 21671-2024")</f>
        <v/>
      </c>
      <c r="W181">
        <f>HYPERLINK("https://klasma.github.io/Logging_0380/klagomålsmail/A 21671-2024 FSC-klagomål mail.docx", "A 21671-2024")</f>
        <v/>
      </c>
      <c r="X181">
        <f>HYPERLINK("https://klasma.github.io/Logging_0380/tillsyn/A 21671-2024 tillsynsbegäran.docx", "A 21671-2024")</f>
        <v/>
      </c>
      <c r="Y181">
        <f>HYPERLINK("https://klasma.github.io/Logging_0380/tillsynsmail/A 21671-2024 tillsynsbegäran mail.docx", "A 21671-2024")</f>
        <v/>
      </c>
    </row>
    <row r="182" ht="15" customHeight="1">
      <c r="A182" t="inlineStr">
        <is>
          <t>A 23321-2024</t>
        </is>
      </c>
      <c r="B182" s="1" t="n">
        <v>45453</v>
      </c>
      <c r="C182" s="1" t="n">
        <v>45710</v>
      </c>
      <c r="D182" t="inlineStr">
        <is>
          <t>UPPSALA LÄN</t>
        </is>
      </c>
      <c r="E182" t="inlineStr">
        <is>
          <t>UPPSALA</t>
        </is>
      </c>
      <c r="G182" t="n">
        <v>11.8</v>
      </c>
      <c r="H182" t="n">
        <v>1</v>
      </c>
      <c r="I182" t="n">
        <v>0</v>
      </c>
      <c r="J182" t="n">
        <v>1</v>
      </c>
      <c r="K182" t="n">
        <v>0</v>
      </c>
      <c r="L182" t="n">
        <v>0</v>
      </c>
      <c r="M182" t="n">
        <v>0</v>
      </c>
      <c r="N182" t="n">
        <v>0</v>
      </c>
      <c r="O182" t="n">
        <v>1</v>
      </c>
      <c r="P182" t="n">
        <v>0</v>
      </c>
      <c r="Q182" t="n">
        <v>1</v>
      </c>
      <c r="R182" s="2" t="inlineStr">
        <is>
          <t>Talltita</t>
        </is>
      </c>
      <c r="S182">
        <f>HYPERLINK("https://klasma.github.io/Logging_0380/artfynd/A 23321-2024 artfynd.xlsx", "A 23321-2024")</f>
        <v/>
      </c>
      <c r="T182">
        <f>HYPERLINK("https://klasma.github.io/Logging_0380/kartor/A 23321-2024 karta.png", "A 23321-2024")</f>
        <v/>
      </c>
      <c r="U182">
        <f>HYPERLINK("https://klasma.github.io/Logging_0380/knärot/A 23321-2024 karta knärot.png", "A 23321-2024")</f>
        <v/>
      </c>
      <c r="V182">
        <f>HYPERLINK("https://klasma.github.io/Logging_0380/klagomål/A 23321-2024 FSC-klagomål.docx", "A 23321-2024")</f>
        <v/>
      </c>
      <c r="W182">
        <f>HYPERLINK("https://klasma.github.io/Logging_0380/klagomålsmail/A 23321-2024 FSC-klagomål mail.docx", "A 23321-2024")</f>
        <v/>
      </c>
      <c r="X182">
        <f>HYPERLINK("https://klasma.github.io/Logging_0380/tillsyn/A 23321-2024 tillsynsbegäran.docx", "A 23321-2024")</f>
        <v/>
      </c>
      <c r="Y182">
        <f>HYPERLINK("https://klasma.github.io/Logging_0380/tillsynsmail/A 23321-2024 tillsynsbegäran mail.docx", "A 23321-2024")</f>
        <v/>
      </c>
      <c r="Z182">
        <f>HYPERLINK("https://klasma.github.io/Logging_0380/fåglar/A 23321-2024 prioriterade fågelarter.docx", "A 23321-2024")</f>
        <v/>
      </c>
    </row>
    <row r="183" ht="15" customHeight="1">
      <c r="A183" t="inlineStr">
        <is>
          <t>A 25482-2024</t>
        </is>
      </c>
      <c r="B183" s="1" t="n">
        <v>45463</v>
      </c>
      <c r="C183" s="1" t="n">
        <v>45710</v>
      </c>
      <c r="D183" t="inlineStr">
        <is>
          <t>UPPSALA LÄN</t>
        </is>
      </c>
      <c r="E183" t="inlineStr">
        <is>
          <t>UPPSALA</t>
        </is>
      </c>
      <c r="F183" t="inlineStr">
        <is>
          <t>Övriga Aktiebolag</t>
        </is>
      </c>
      <c r="G183" t="n">
        <v>1</v>
      </c>
      <c r="H183" t="n">
        <v>0</v>
      </c>
      <c r="I183" t="n">
        <v>1</v>
      </c>
      <c r="J183" t="n">
        <v>0</v>
      </c>
      <c r="K183" t="n">
        <v>0</v>
      </c>
      <c r="L183" t="n">
        <v>0</v>
      </c>
      <c r="M183" t="n">
        <v>0</v>
      </c>
      <c r="N183" t="n">
        <v>0</v>
      </c>
      <c r="O183" t="n">
        <v>0</v>
      </c>
      <c r="P183" t="n">
        <v>0</v>
      </c>
      <c r="Q183" t="n">
        <v>1</v>
      </c>
      <c r="R183" s="2" t="inlineStr">
        <is>
          <t>Stor aspticka</t>
        </is>
      </c>
      <c r="S183">
        <f>HYPERLINK("https://klasma.github.io/Logging_0380/artfynd/A 25482-2024 artfynd.xlsx", "A 25482-2024")</f>
        <v/>
      </c>
      <c r="T183">
        <f>HYPERLINK("https://klasma.github.io/Logging_0380/kartor/A 25482-2024 karta.png", "A 25482-2024")</f>
        <v/>
      </c>
      <c r="V183">
        <f>HYPERLINK("https://klasma.github.io/Logging_0380/klagomål/A 25482-2024 FSC-klagomål.docx", "A 25482-2024")</f>
        <v/>
      </c>
      <c r="W183">
        <f>HYPERLINK("https://klasma.github.io/Logging_0380/klagomålsmail/A 25482-2024 FSC-klagomål mail.docx", "A 25482-2024")</f>
        <v/>
      </c>
      <c r="X183">
        <f>HYPERLINK("https://klasma.github.io/Logging_0380/tillsyn/A 25482-2024 tillsynsbegäran.docx", "A 25482-2024")</f>
        <v/>
      </c>
      <c r="Y183">
        <f>HYPERLINK("https://klasma.github.io/Logging_0380/tillsynsmail/A 25482-2024 tillsynsbegäran mail.docx", "A 25482-2024")</f>
        <v/>
      </c>
    </row>
    <row r="184" ht="15" customHeight="1">
      <c r="A184" t="inlineStr">
        <is>
          <t>A 25729-2024</t>
        </is>
      </c>
      <c r="B184" s="1" t="n">
        <v>45464</v>
      </c>
      <c r="C184" s="1" t="n">
        <v>45710</v>
      </c>
      <c r="D184" t="inlineStr">
        <is>
          <t>UPPSALA LÄN</t>
        </is>
      </c>
      <c r="E184" t="inlineStr">
        <is>
          <t>UPPSALA</t>
        </is>
      </c>
      <c r="G184" t="n">
        <v>22.3</v>
      </c>
      <c r="H184" t="n">
        <v>0</v>
      </c>
      <c r="I184" t="n">
        <v>0</v>
      </c>
      <c r="J184" t="n">
        <v>1</v>
      </c>
      <c r="K184" t="n">
        <v>0</v>
      </c>
      <c r="L184" t="n">
        <v>0</v>
      </c>
      <c r="M184" t="n">
        <v>0</v>
      </c>
      <c r="N184" t="n">
        <v>0</v>
      </c>
      <c r="O184" t="n">
        <v>1</v>
      </c>
      <c r="P184" t="n">
        <v>0</v>
      </c>
      <c r="Q184" t="n">
        <v>1</v>
      </c>
      <c r="R184" s="2" t="inlineStr">
        <is>
          <t>Ullticka</t>
        </is>
      </c>
      <c r="S184">
        <f>HYPERLINK("https://klasma.github.io/Logging_0380/artfynd/A 25729-2024 artfynd.xlsx", "A 25729-2024")</f>
        <v/>
      </c>
      <c r="T184">
        <f>HYPERLINK("https://klasma.github.io/Logging_0380/kartor/A 25729-2024 karta.png", "A 25729-2024")</f>
        <v/>
      </c>
      <c r="V184">
        <f>HYPERLINK("https://klasma.github.io/Logging_0380/klagomål/A 25729-2024 FSC-klagomål.docx", "A 25729-2024")</f>
        <v/>
      </c>
      <c r="W184">
        <f>HYPERLINK("https://klasma.github.io/Logging_0380/klagomålsmail/A 25729-2024 FSC-klagomål mail.docx", "A 25729-2024")</f>
        <v/>
      </c>
      <c r="X184">
        <f>HYPERLINK("https://klasma.github.io/Logging_0380/tillsyn/A 25729-2024 tillsynsbegäran.docx", "A 25729-2024")</f>
        <v/>
      </c>
      <c r="Y184">
        <f>HYPERLINK("https://klasma.github.io/Logging_0380/tillsynsmail/A 25729-2024 tillsynsbegäran mail.docx", "A 25729-2024")</f>
        <v/>
      </c>
    </row>
    <row r="185" ht="15" customHeight="1">
      <c r="A185" t="inlineStr">
        <is>
          <t>A 29139-2024</t>
        </is>
      </c>
      <c r="B185" s="1" t="n">
        <v>45482</v>
      </c>
      <c r="C185" s="1" t="n">
        <v>45710</v>
      </c>
      <c r="D185" t="inlineStr">
        <is>
          <t>UPPSALA LÄN</t>
        </is>
      </c>
      <c r="E185" t="inlineStr">
        <is>
          <t>UPPSALA</t>
        </is>
      </c>
      <c r="F185" t="inlineStr">
        <is>
          <t>Allmännings- och besparingsskogar</t>
        </is>
      </c>
      <c r="G185" t="n">
        <v>26.4</v>
      </c>
      <c r="H185" t="n">
        <v>0</v>
      </c>
      <c r="I185" t="n">
        <v>0</v>
      </c>
      <c r="J185" t="n">
        <v>1</v>
      </c>
      <c r="K185" t="n">
        <v>0</v>
      </c>
      <c r="L185" t="n">
        <v>0</v>
      </c>
      <c r="M185" t="n">
        <v>0</v>
      </c>
      <c r="N185" t="n">
        <v>0</v>
      </c>
      <c r="O185" t="n">
        <v>1</v>
      </c>
      <c r="P185" t="n">
        <v>0</v>
      </c>
      <c r="Q185" t="n">
        <v>1</v>
      </c>
      <c r="R185" s="2" t="inlineStr">
        <is>
          <t>Granskugglöpare</t>
        </is>
      </c>
      <c r="S185">
        <f>HYPERLINK("https://klasma.github.io/Logging_0380/artfynd/A 29139-2024 artfynd.xlsx", "A 29139-2024")</f>
        <v/>
      </c>
      <c r="T185">
        <f>HYPERLINK("https://klasma.github.io/Logging_0380/kartor/A 29139-2024 karta.png", "A 29139-2024")</f>
        <v/>
      </c>
      <c r="V185">
        <f>HYPERLINK("https://klasma.github.io/Logging_0380/klagomål/A 29139-2024 FSC-klagomål.docx", "A 29139-2024")</f>
        <v/>
      </c>
      <c r="W185">
        <f>HYPERLINK("https://klasma.github.io/Logging_0380/klagomålsmail/A 29139-2024 FSC-klagomål mail.docx", "A 29139-2024")</f>
        <v/>
      </c>
      <c r="X185">
        <f>HYPERLINK("https://klasma.github.io/Logging_0380/tillsyn/A 29139-2024 tillsynsbegäran.docx", "A 29139-2024")</f>
        <v/>
      </c>
      <c r="Y185">
        <f>HYPERLINK("https://klasma.github.io/Logging_0380/tillsynsmail/A 29139-2024 tillsynsbegäran mail.docx", "A 29139-2024")</f>
        <v/>
      </c>
    </row>
    <row r="186" ht="15" customHeight="1">
      <c r="A186" t="inlineStr">
        <is>
          <t>A 34159-2024</t>
        </is>
      </c>
      <c r="B186" s="1" t="n">
        <v>45524</v>
      </c>
      <c r="C186" s="1" t="n">
        <v>45710</v>
      </c>
      <c r="D186" t="inlineStr">
        <is>
          <t>UPPSALA LÄN</t>
        </is>
      </c>
      <c r="E186" t="inlineStr">
        <is>
          <t>UPPSALA</t>
        </is>
      </c>
      <c r="G186" t="n">
        <v>3.7</v>
      </c>
      <c r="H186" t="n">
        <v>0</v>
      </c>
      <c r="I186" t="n">
        <v>1</v>
      </c>
      <c r="J186" t="n">
        <v>0</v>
      </c>
      <c r="K186" t="n">
        <v>0</v>
      </c>
      <c r="L186" t="n">
        <v>0</v>
      </c>
      <c r="M186" t="n">
        <v>0</v>
      </c>
      <c r="N186" t="n">
        <v>0</v>
      </c>
      <c r="O186" t="n">
        <v>0</v>
      </c>
      <c r="P186" t="n">
        <v>0</v>
      </c>
      <c r="Q186" t="n">
        <v>1</v>
      </c>
      <c r="R186" s="2" t="inlineStr">
        <is>
          <t>Granbarkgnagare</t>
        </is>
      </c>
      <c r="S186">
        <f>HYPERLINK("https://klasma.github.io/Logging_0380/artfynd/A 34159-2024 artfynd.xlsx", "A 34159-2024")</f>
        <v/>
      </c>
      <c r="T186">
        <f>HYPERLINK("https://klasma.github.io/Logging_0380/kartor/A 34159-2024 karta.png", "A 34159-2024")</f>
        <v/>
      </c>
      <c r="V186">
        <f>HYPERLINK("https://klasma.github.io/Logging_0380/klagomål/A 34159-2024 FSC-klagomål.docx", "A 34159-2024")</f>
        <v/>
      </c>
      <c r="W186">
        <f>HYPERLINK("https://klasma.github.io/Logging_0380/klagomålsmail/A 34159-2024 FSC-klagomål mail.docx", "A 34159-2024")</f>
        <v/>
      </c>
      <c r="X186">
        <f>HYPERLINK("https://klasma.github.io/Logging_0380/tillsyn/A 34159-2024 tillsynsbegäran.docx", "A 34159-2024")</f>
        <v/>
      </c>
      <c r="Y186">
        <f>HYPERLINK("https://klasma.github.io/Logging_0380/tillsynsmail/A 34159-2024 tillsynsbegäran mail.docx", "A 34159-2024")</f>
        <v/>
      </c>
    </row>
    <row r="187" ht="15" customHeight="1">
      <c r="A187" t="inlineStr">
        <is>
          <t>A 37563-2024</t>
        </is>
      </c>
      <c r="B187" s="1" t="n">
        <v>45541</v>
      </c>
      <c r="C187" s="1" t="n">
        <v>45710</v>
      </c>
      <c r="D187" t="inlineStr">
        <is>
          <t>UPPSALA LÄN</t>
        </is>
      </c>
      <c r="E187" t="inlineStr">
        <is>
          <t>UPPSALA</t>
        </is>
      </c>
      <c r="F187" t="inlineStr">
        <is>
          <t>Övriga Aktiebolag</t>
        </is>
      </c>
      <c r="G187" t="n">
        <v>6.1</v>
      </c>
      <c r="H187" t="n">
        <v>0</v>
      </c>
      <c r="I187" t="n">
        <v>0</v>
      </c>
      <c r="J187" t="n">
        <v>1</v>
      </c>
      <c r="K187" t="n">
        <v>0</v>
      </c>
      <c r="L187" t="n">
        <v>0</v>
      </c>
      <c r="M187" t="n">
        <v>0</v>
      </c>
      <c r="N187" t="n">
        <v>0</v>
      </c>
      <c r="O187" t="n">
        <v>1</v>
      </c>
      <c r="P187" t="n">
        <v>0</v>
      </c>
      <c r="Q187" t="n">
        <v>1</v>
      </c>
      <c r="R187" s="2" t="inlineStr">
        <is>
          <t>Skogshare</t>
        </is>
      </c>
      <c r="S187">
        <f>HYPERLINK("https://klasma.github.io/Logging_0380/artfynd/A 37563-2024 artfynd.xlsx", "A 37563-2024")</f>
        <v/>
      </c>
      <c r="T187">
        <f>HYPERLINK("https://klasma.github.io/Logging_0380/kartor/A 37563-2024 karta.png", "A 37563-2024")</f>
        <v/>
      </c>
      <c r="V187">
        <f>HYPERLINK("https://klasma.github.io/Logging_0380/klagomål/A 37563-2024 FSC-klagomål.docx", "A 37563-2024")</f>
        <v/>
      </c>
      <c r="W187">
        <f>HYPERLINK("https://klasma.github.io/Logging_0380/klagomålsmail/A 37563-2024 FSC-klagomål mail.docx", "A 37563-2024")</f>
        <v/>
      </c>
      <c r="X187">
        <f>HYPERLINK("https://klasma.github.io/Logging_0380/tillsyn/A 37563-2024 tillsynsbegäran.docx", "A 37563-2024")</f>
        <v/>
      </c>
      <c r="Y187">
        <f>HYPERLINK("https://klasma.github.io/Logging_0380/tillsynsmail/A 37563-2024 tillsynsbegäran mail.docx", "A 37563-2024")</f>
        <v/>
      </c>
    </row>
    <row r="188" ht="15" customHeight="1">
      <c r="A188" t="inlineStr">
        <is>
          <t>A 42787-2024</t>
        </is>
      </c>
      <c r="B188" s="1" t="n">
        <v>45566</v>
      </c>
      <c r="C188" s="1" t="n">
        <v>45710</v>
      </c>
      <c r="D188" t="inlineStr">
        <is>
          <t>UPPSALA LÄN</t>
        </is>
      </c>
      <c r="E188" t="inlineStr">
        <is>
          <t>UPPSALA</t>
        </is>
      </c>
      <c r="G188" t="n">
        <v>3.2</v>
      </c>
      <c r="H188" t="n">
        <v>1</v>
      </c>
      <c r="I188" t="n">
        <v>0</v>
      </c>
      <c r="J188" t="n">
        <v>0</v>
      </c>
      <c r="K188" t="n">
        <v>0</v>
      </c>
      <c r="L188" t="n">
        <v>0</v>
      </c>
      <c r="M188" t="n">
        <v>0</v>
      </c>
      <c r="N188" t="n">
        <v>0</v>
      </c>
      <c r="O188" t="n">
        <v>0</v>
      </c>
      <c r="P188" t="n">
        <v>0</v>
      </c>
      <c r="Q188" t="n">
        <v>1</v>
      </c>
      <c r="R188" s="2" t="inlineStr">
        <is>
          <t>Mattlummer</t>
        </is>
      </c>
      <c r="S188">
        <f>HYPERLINK("https://klasma.github.io/Logging_0380/artfynd/A 42787-2024 artfynd.xlsx", "A 42787-2024")</f>
        <v/>
      </c>
      <c r="T188">
        <f>HYPERLINK("https://klasma.github.io/Logging_0380/kartor/A 42787-2024 karta.png", "A 42787-2024")</f>
        <v/>
      </c>
      <c r="V188">
        <f>HYPERLINK("https://klasma.github.io/Logging_0380/klagomål/A 42787-2024 FSC-klagomål.docx", "A 42787-2024")</f>
        <v/>
      </c>
      <c r="W188">
        <f>HYPERLINK("https://klasma.github.io/Logging_0380/klagomålsmail/A 42787-2024 FSC-klagomål mail.docx", "A 42787-2024")</f>
        <v/>
      </c>
      <c r="X188">
        <f>HYPERLINK("https://klasma.github.io/Logging_0380/tillsyn/A 42787-2024 tillsynsbegäran.docx", "A 42787-2024")</f>
        <v/>
      </c>
      <c r="Y188">
        <f>HYPERLINK("https://klasma.github.io/Logging_0380/tillsynsmail/A 42787-2024 tillsynsbegäran mail.docx", "A 42787-2024")</f>
        <v/>
      </c>
    </row>
    <row r="189" ht="15" customHeight="1">
      <c r="A189" t="inlineStr">
        <is>
          <t>A 54144-2024</t>
        </is>
      </c>
      <c r="B189" s="1" t="n">
        <v>45616</v>
      </c>
      <c r="C189" s="1" t="n">
        <v>45710</v>
      </c>
      <c r="D189" t="inlineStr">
        <is>
          <t>UPPSALA LÄN</t>
        </is>
      </c>
      <c r="E189" t="inlineStr">
        <is>
          <t>UPPSALA</t>
        </is>
      </c>
      <c r="G189" t="n">
        <v>3.2</v>
      </c>
      <c r="H189" t="n">
        <v>0</v>
      </c>
      <c r="I189" t="n">
        <v>1</v>
      </c>
      <c r="J189" t="n">
        <v>0</v>
      </c>
      <c r="K189" t="n">
        <v>0</v>
      </c>
      <c r="L189" t="n">
        <v>0</v>
      </c>
      <c r="M189" t="n">
        <v>0</v>
      </c>
      <c r="N189" t="n">
        <v>0</v>
      </c>
      <c r="O189" t="n">
        <v>0</v>
      </c>
      <c r="P189" t="n">
        <v>0</v>
      </c>
      <c r="Q189" t="n">
        <v>1</v>
      </c>
      <c r="R189" s="2" t="inlineStr">
        <is>
          <t>Svavelriska</t>
        </is>
      </c>
      <c r="S189">
        <f>HYPERLINK("https://klasma.github.io/Logging_0380/artfynd/A 54144-2024 artfynd.xlsx", "A 54144-2024")</f>
        <v/>
      </c>
      <c r="T189">
        <f>HYPERLINK("https://klasma.github.io/Logging_0380/kartor/A 54144-2024 karta.png", "A 54144-2024")</f>
        <v/>
      </c>
      <c r="V189">
        <f>HYPERLINK("https://klasma.github.io/Logging_0380/klagomål/A 54144-2024 FSC-klagomål.docx", "A 54144-2024")</f>
        <v/>
      </c>
      <c r="W189">
        <f>HYPERLINK("https://klasma.github.io/Logging_0380/klagomålsmail/A 54144-2024 FSC-klagomål mail.docx", "A 54144-2024")</f>
        <v/>
      </c>
      <c r="X189">
        <f>HYPERLINK("https://klasma.github.io/Logging_0380/tillsyn/A 54144-2024 tillsynsbegäran.docx", "A 54144-2024")</f>
        <v/>
      </c>
      <c r="Y189">
        <f>HYPERLINK("https://klasma.github.io/Logging_0380/tillsynsmail/A 54144-2024 tillsynsbegäran mail.docx", "A 54144-2024")</f>
        <v/>
      </c>
    </row>
    <row r="190" ht="15" customHeight="1">
      <c r="A190" t="inlineStr">
        <is>
          <t>A 59588-2024</t>
        </is>
      </c>
      <c r="B190" s="1" t="n">
        <v>45638</v>
      </c>
      <c r="C190" s="1" t="n">
        <v>45710</v>
      </c>
      <c r="D190" t="inlineStr">
        <is>
          <t>UPPSALA LÄN</t>
        </is>
      </c>
      <c r="E190" t="inlineStr">
        <is>
          <t>UPPSALA</t>
        </is>
      </c>
      <c r="G190" t="n">
        <v>3.4</v>
      </c>
      <c r="H190" t="n">
        <v>1</v>
      </c>
      <c r="I190" t="n">
        <v>0</v>
      </c>
      <c r="J190" t="n">
        <v>0</v>
      </c>
      <c r="K190" t="n">
        <v>1</v>
      </c>
      <c r="L190" t="n">
        <v>0</v>
      </c>
      <c r="M190" t="n">
        <v>0</v>
      </c>
      <c r="N190" t="n">
        <v>0</v>
      </c>
      <c r="O190" t="n">
        <v>1</v>
      </c>
      <c r="P190" t="n">
        <v>1</v>
      </c>
      <c r="Q190" t="n">
        <v>1</v>
      </c>
      <c r="R190" s="2" t="inlineStr">
        <is>
          <t>Knärot</t>
        </is>
      </c>
      <c r="S190">
        <f>HYPERLINK("https://klasma.github.io/Logging_0380/artfynd/A 59588-2024 artfynd.xlsx", "A 59588-2024")</f>
        <v/>
      </c>
      <c r="T190">
        <f>HYPERLINK("https://klasma.github.io/Logging_0380/kartor/A 59588-2024 karta.png", "A 59588-2024")</f>
        <v/>
      </c>
      <c r="U190">
        <f>HYPERLINK("https://klasma.github.io/Logging_0380/knärot/A 59588-2024 karta knärot.png", "A 59588-2024")</f>
        <v/>
      </c>
      <c r="V190">
        <f>HYPERLINK("https://klasma.github.io/Logging_0380/klagomål/A 59588-2024 FSC-klagomål.docx", "A 59588-2024")</f>
        <v/>
      </c>
      <c r="W190">
        <f>HYPERLINK("https://klasma.github.io/Logging_0380/klagomålsmail/A 59588-2024 FSC-klagomål mail.docx", "A 59588-2024")</f>
        <v/>
      </c>
      <c r="X190">
        <f>HYPERLINK("https://klasma.github.io/Logging_0380/tillsyn/A 59588-2024 tillsynsbegäran.docx", "A 59588-2024")</f>
        <v/>
      </c>
      <c r="Y190">
        <f>HYPERLINK("https://klasma.github.io/Logging_0380/tillsynsmail/A 59588-2024 tillsynsbegäran mail.docx", "A 59588-2024")</f>
        <v/>
      </c>
    </row>
    <row r="191" ht="15" customHeight="1">
      <c r="A191" t="inlineStr">
        <is>
          <t>A 3304-2025</t>
        </is>
      </c>
      <c r="B191" s="1" t="n">
        <v>45679</v>
      </c>
      <c r="C191" s="1" t="n">
        <v>45710</v>
      </c>
      <c r="D191" t="inlineStr">
        <is>
          <t>UPPSALA LÄN</t>
        </is>
      </c>
      <c r="E191" t="inlineStr">
        <is>
          <t>UPPSALA</t>
        </is>
      </c>
      <c r="F191" t="inlineStr">
        <is>
          <t>Övriga statliga verk och myndigheter</t>
        </is>
      </c>
      <c r="G191" t="n">
        <v>3.8</v>
      </c>
      <c r="H191" t="n">
        <v>1</v>
      </c>
      <c r="I191" t="n">
        <v>0</v>
      </c>
      <c r="J191" t="n">
        <v>0</v>
      </c>
      <c r="K191" t="n">
        <v>0</v>
      </c>
      <c r="L191" t="n">
        <v>0</v>
      </c>
      <c r="M191" t="n">
        <v>0</v>
      </c>
      <c r="N191" t="n">
        <v>0</v>
      </c>
      <c r="O191" t="n">
        <v>0</v>
      </c>
      <c r="P191" t="n">
        <v>0</v>
      </c>
      <c r="Q191" t="n">
        <v>1</v>
      </c>
      <c r="R191" s="2" t="inlineStr">
        <is>
          <t>Blåsippa</t>
        </is>
      </c>
      <c r="S191">
        <f>HYPERLINK("https://klasma.github.io/Logging_0380/artfynd/A 3304-2025 artfynd.xlsx", "A 3304-2025")</f>
        <v/>
      </c>
      <c r="T191">
        <f>HYPERLINK("https://klasma.github.io/Logging_0380/kartor/A 3304-2025 karta.png", "A 3304-2025")</f>
        <v/>
      </c>
      <c r="V191">
        <f>HYPERLINK("https://klasma.github.io/Logging_0380/klagomål/A 3304-2025 FSC-klagomål.docx", "A 3304-2025")</f>
        <v/>
      </c>
      <c r="W191">
        <f>HYPERLINK("https://klasma.github.io/Logging_0380/klagomålsmail/A 3304-2025 FSC-klagomål mail.docx", "A 3304-2025")</f>
        <v/>
      </c>
      <c r="X191">
        <f>HYPERLINK("https://klasma.github.io/Logging_0380/tillsyn/A 3304-2025 tillsynsbegäran.docx", "A 3304-2025")</f>
        <v/>
      </c>
      <c r="Y191">
        <f>HYPERLINK("https://klasma.github.io/Logging_0380/tillsynsmail/A 3304-2025 tillsynsbegäran mail.docx", "A 3304-2025")</f>
        <v/>
      </c>
    </row>
    <row r="192" ht="15" customHeight="1">
      <c r="A192" t="inlineStr">
        <is>
          <t>A 4657-2025</t>
        </is>
      </c>
      <c r="B192" s="1" t="n">
        <v>45687</v>
      </c>
      <c r="C192" s="1" t="n">
        <v>45710</v>
      </c>
      <c r="D192" t="inlineStr">
        <is>
          <t>UPPSALA LÄN</t>
        </is>
      </c>
      <c r="E192" t="inlineStr">
        <is>
          <t>UPPSALA</t>
        </is>
      </c>
      <c r="G192" t="n">
        <v>2.9</v>
      </c>
      <c r="H192" t="n">
        <v>1</v>
      </c>
      <c r="I192" t="n">
        <v>0</v>
      </c>
      <c r="J192" t="n">
        <v>1</v>
      </c>
      <c r="K192" t="n">
        <v>0</v>
      </c>
      <c r="L192" t="n">
        <v>0</v>
      </c>
      <c r="M192" t="n">
        <v>0</v>
      </c>
      <c r="N192" t="n">
        <v>0</v>
      </c>
      <c r="O192" t="n">
        <v>1</v>
      </c>
      <c r="P192" t="n">
        <v>0</v>
      </c>
      <c r="Q192" t="n">
        <v>1</v>
      </c>
      <c r="R192" s="2" t="inlineStr">
        <is>
          <t>Grönsångare</t>
        </is>
      </c>
      <c r="S192">
        <f>HYPERLINK("https://klasma.github.io/Logging_0380/artfynd/A 4657-2025 artfynd.xlsx", "A 4657-2025")</f>
        <v/>
      </c>
      <c r="T192">
        <f>HYPERLINK("https://klasma.github.io/Logging_0380/kartor/A 4657-2025 karta.png", "A 4657-2025")</f>
        <v/>
      </c>
      <c r="V192">
        <f>HYPERLINK("https://klasma.github.io/Logging_0380/klagomål/A 4657-2025 FSC-klagomål.docx", "A 4657-2025")</f>
        <v/>
      </c>
      <c r="W192">
        <f>HYPERLINK("https://klasma.github.io/Logging_0380/klagomålsmail/A 4657-2025 FSC-klagomål mail.docx", "A 4657-2025")</f>
        <v/>
      </c>
      <c r="X192">
        <f>HYPERLINK("https://klasma.github.io/Logging_0380/tillsyn/A 4657-2025 tillsynsbegäran.docx", "A 4657-2025")</f>
        <v/>
      </c>
      <c r="Y192">
        <f>HYPERLINK("https://klasma.github.io/Logging_0380/tillsynsmail/A 4657-2025 tillsynsbegäran mail.docx", "A 4657-2025")</f>
        <v/>
      </c>
      <c r="Z192">
        <f>HYPERLINK("https://klasma.github.io/Logging_0380/fåglar/A 4657-2025 prioriterade fågelarter.docx", "A 4657-2025")</f>
        <v/>
      </c>
    </row>
    <row r="193" ht="15" customHeight="1">
      <c r="A193" t="inlineStr">
        <is>
          <t>A 5619-2025</t>
        </is>
      </c>
      <c r="B193" s="1" t="n">
        <v>45693</v>
      </c>
      <c r="C193" s="1" t="n">
        <v>45710</v>
      </c>
      <c r="D193" t="inlineStr">
        <is>
          <t>UPPSALA LÄN</t>
        </is>
      </c>
      <c r="E193" t="inlineStr">
        <is>
          <t>UPPSALA</t>
        </is>
      </c>
      <c r="G193" t="n">
        <v>6.8</v>
      </c>
      <c r="H193" t="n">
        <v>1</v>
      </c>
      <c r="I193" t="n">
        <v>0</v>
      </c>
      <c r="J193" t="n">
        <v>1</v>
      </c>
      <c r="K193" t="n">
        <v>0</v>
      </c>
      <c r="L193" t="n">
        <v>0</v>
      </c>
      <c r="M193" t="n">
        <v>0</v>
      </c>
      <c r="N193" t="n">
        <v>0</v>
      </c>
      <c r="O193" t="n">
        <v>1</v>
      </c>
      <c r="P193" t="n">
        <v>0</v>
      </c>
      <c r="Q193" t="n">
        <v>1</v>
      </c>
      <c r="R193" s="2" t="inlineStr">
        <is>
          <t>Spillkråka</t>
        </is>
      </c>
      <c r="S193">
        <f>HYPERLINK("https://klasma.github.io/Logging_0380/artfynd/A 5619-2025 artfynd.xlsx", "A 5619-2025")</f>
        <v/>
      </c>
      <c r="T193">
        <f>HYPERLINK("https://klasma.github.io/Logging_0380/kartor/A 5619-2025 karta.png", "A 5619-2025")</f>
        <v/>
      </c>
      <c r="V193">
        <f>HYPERLINK("https://klasma.github.io/Logging_0380/klagomål/A 5619-2025 FSC-klagomål.docx", "A 5619-2025")</f>
        <v/>
      </c>
      <c r="W193">
        <f>HYPERLINK("https://klasma.github.io/Logging_0380/klagomålsmail/A 5619-2025 FSC-klagomål mail.docx", "A 5619-2025")</f>
        <v/>
      </c>
      <c r="X193">
        <f>HYPERLINK("https://klasma.github.io/Logging_0380/tillsyn/A 5619-2025 tillsynsbegäran.docx", "A 5619-2025")</f>
        <v/>
      </c>
      <c r="Y193">
        <f>HYPERLINK("https://klasma.github.io/Logging_0380/tillsynsmail/A 5619-2025 tillsynsbegäran mail.docx", "A 5619-2025")</f>
        <v/>
      </c>
      <c r="Z193">
        <f>HYPERLINK("https://klasma.github.io/Logging_0380/fåglar/A 5619-2025 prioriterade fågelarter.docx", "A 5619-2025")</f>
        <v/>
      </c>
    </row>
    <row r="194" ht="15" customHeight="1">
      <c r="A194" t="inlineStr">
        <is>
          <t>A 5732-2025</t>
        </is>
      </c>
      <c r="B194" s="1" t="n">
        <v>45694</v>
      </c>
      <c r="C194" s="1" t="n">
        <v>45710</v>
      </c>
      <c r="D194" t="inlineStr">
        <is>
          <t>UPPSALA LÄN</t>
        </is>
      </c>
      <c r="E194" t="inlineStr">
        <is>
          <t>UPPSALA</t>
        </is>
      </c>
      <c r="G194" t="n">
        <v>1.9</v>
      </c>
      <c r="H194" t="n">
        <v>0</v>
      </c>
      <c r="I194" t="n">
        <v>1</v>
      </c>
      <c r="J194" t="n">
        <v>0</v>
      </c>
      <c r="K194" t="n">
        <v>0</v>
      </c>
      <c r="L194" t="n">
        <v>0</v>
      </c>
      <c r="M194" t="n">
        <v>0</v>
      </c>
      <c r="N194" t="n">
        <v>0</v>
      </c>
      <c r="O194" t="n">
        <v>0</v>
      </c>
      <c r="P194" t="n">
        <v>0</v>
      </c>
      <c r="Q194" t="n">
        <v>1</v>
      </c>
      <c r="R194" s="2" t="inlineStr">
        <is>
          <t>Fällmossa</t>
        </is>
      </c>
      <c r="S194">
        <f>HYPERLINK("https://klasma.github.io/Logging_0380/artfynd/A 5732-2025 artfynd.xlsx", "A 5732-2025")</f>
        <v/>
      </c>
      <c r="T194">
        <f>HYPERLINK("https://klasma.github.io/Logging_0380/kartor/A 5732-2025 karta.png", "A 5732-2025")</f>
        <v/>
      </c>
      <c r="V194">
        <f>HYPERLINK("https://klasma.github.io/Logging_0380/klagomål/A 5732-2025 FSC-klagomål.docx", "A 5732-2025")</f>
        <v/>
      </c>
      <c r="W194">
        <f>HYPERLINK("https://klasma.github.io/Logging_0380/klagomålsmail/A 5732-2025 FSC-klagomål mail.docx", "A 5732-2025")</f>
        <v/>
      </c>
      <c r="X194">
        <f>HYPERLINK("https://klasma.github.io/Logging_0380/tillsyn/A 5732-2025 tillsynsbegäran.docx", "A 5732-2025")</f>
        <v/>
      </c>
      <c r="Y194">
        <f>HYPERLINK("https://klasma.github.io/Logging_0380/tillsynsmail/A 5732-2025 tillsynsbegäran mail.docx", "A 5732-2025")</f>
        <v/>
      </c>
    </row>
    <row r="195" ht="15" customHeight="1">
      <c r="A195" t="inlineStr">
        <is>
          <t>A 17828-2019</t>
        </is>
      </c>
      <c r="B195" s="1" t="n">
        <v>43556</v>
      </c>
      <c r="C195" s="1" t="n">
        <v>45710</v>
      </c>
      <c r="D195" t="inlineStr">
        <is>
          <t>UPPSALA LÄN</t>
        </is>
      </c>
      <c r="E195" t="inlineStr">
        <is>
          <t>UPPSALA</t>
        </is>
      </c>
      <c r="G195" t="n">
        <v>2.8</v>
      </c>
      <c r="H195" t="n">
        <v>0</v>
      </c>
      <c r="I195" t="n">
        <v>0</v>
      </c>
      <c r="J195" t="n">
        <v>0</v>
      </c>
      <c r="K195" t="n">
        <v>0</v>
      </c>
      <c r="L195" t="n">
        <v>0</v>
      </c>
      <c r="M195" t="n">
        <v>0</v>
      </c>
      <c r="N195" t="n">
        <v>0</v>
      </c>
      <c r="O195" t="n">
        <v>0</v>
      </c>
      <c r="P195" t="n">
        <v>0</v>
      </c>
      <c r="Q195" t="n">
        <v>0</v>
      </c>
      <c r="R195" s="2" t="inlineStr"/>
    </row>
    <row r="196" ht="15" customHeight="1">
      <c r="A196" t="inlineStr">
        <is>
          <t>A 18446-2019</t>
        </is>
      </c>
      <c r="B196" s="1" t="n">
        <v>43559</v>
      </c>
      <c r="C196" s="1" t="n">
        <v>45710</v>
      </c>
      <c r="D196" t="inlineStr">
        <is>
          <t>UPPSALA LÄN</t>
        </is>
      </c>
      <c r="E196" t="inlineStr">
        <is>
          <t>UPPSALA</t>
        </is>
      </c>
      <c r="G196" t="n">
        <v>9.1</v>
      </c>
      <c r="H196" t="n">
        <v>0</v>
      </c>
      <c r="I196" t="n">
        <v>0</v>
      </c>
      <c r="J196" t="n">
        <v>0</v>
      </c>
      <c r="K196" t="n">
        <v>0</v>
      </c>
      <c r="L196" t="n">
        <v>0</v>
      </c>
      <c r="M196" t="n">
        <v>0</v>
      </c>
      <c r="N196" t="n">
        <v>0</v>
      </c>
      <c r="O196" t="n">
        <v>0</v>
      </c>
      <c r="P196" t="n">
        <v>0</v>
      </c>
      <c r="Q196" t="n">
        <v>0</v>
      </c>
      <c r="R196" s="2" t="inlineStr"/>
    </row>
    <row r="197" ht="15" customHeight="1">
      <c r="A197" t="inlineStr">
        <is>
          <t>A 18554-2019</t>
        </is>
      </c>
      <c r="B197" s="1" t="n">
        <v>43559</v>
      </c>
      <c r="C197" s="1" t="n">
        <v>45710</v>
      </c>
      <c r="D197" t="inlineStr">
        <is>
          <t>UPPSALA LÄN</t>
        </is>
      </c>
      <c r="E197" t="inlineStr">
        <is>
          <t>UPPSALA</t>
        </is>
      </c>
      <c r="G197" t="n">
        <v>5.6</v>
      </c>
      <c r="H197" t="n">
        <v>0</v>
      </c>
      <c r="I197" t="n">
        <v>0</v>
      </c>
      <c r="J197" t="n">
        <v>0</v>
      </c>
      <c r="K197" t="n">
        <v>0</v>
      </c>
      <c r="L197" t="n">
        <v>0</v>
      </c>
      <c r="M197" t="n">
        <v>0</v>
      </c>
      <c r="N197" t="n">
        <v>0</v>
      </c>
      <c r="O197" t="n">
        <v>0</v>
      </c>
      <c r="P197" t="n">
        <v>0</v>
      </c>
      <c r="Q197" t="n">
        <v>0</v>
      </c>
      <c r="R197" s="2" t="inlineStr"/>
    </row>
    <row r="198" ht="15" customHeight="1">
      <c r="A198" t="inlineStr">
        <is>
          <t>A 18810-2019</t>
        </is>
      </c>
      <c r="B198" s="1" t="n">
        <v>43560</v>
      </c>
      <c r="C198" s="1" t="n">
        <v>45710</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20011-2019</t>
        </is>
      </c>
      <c r="B199" s="1" t="n">
        <v>43570</v>
      </c>
      <c r="C199" s="1" t="n">
        <v>45710</v>
      </c>
      <c r="D199" t="inlineStr">
        <is>
          <t>UPPSALA LÄN</t>
        </is>
      </c>
      <c r="E199" t="inlineStr">
        <is>
          <t>UPPSALA</t>
        </is>
      </c>
      <c r="G199" t="n">
        <v>6.3</v>
      </c>
      <c r="H199" t="n">
        <v>0</v>
      </c>
      <c r="I199" t="n">
        <v>0</v>
      </c>
      <c r="J199" t="n">
        <v>0</v>
      </c>
      <c r="K199" t="n">
        <v>0</v>
      </c>
      <c r="L199" t="n">
        <v>0</v>
      </c>
      <c r="M199" t="n">
        <v>0</v>
      </c>
      <c r="N199" t="n">
        <v>0</v>
      </c>
      <c r="O199" t="n">
        <v>0</v>
      </c>
      <c r="P199" t="n">
        <v>0</v>
      </c>
      <c r="Q199" t="n">
        <v>0</v>
      </c>
      <c r="R199" s="2" t="inlineStr"/>
    </row>
    <row r="200" ht="15" customHeight="1">
      <c r="A200" t="inlineStr">
        <is>
          <t>A 21087-2019</t>
        </is>
      </c>
      <c r="B200" s="1" t="n">
        <v>43578</v>
      </c>
      <c r="C200" s="1" t="n">
        <v>45710</v>
      </c>
      <c r="D200" t="inlineStr">
        <is>
          <t>UPPSALA LÄN</t>
        </is>
      </c>
      <c r="E200" t="inlineStr">
        <is>
          <t>UPPSALA</t>
        </is>
      </c>
      <c r="G200" t="n">
        <v>1.8</v>
      </c>
      <c r="H200" t="n">
        <v>0</v>
      </c>
      <c r="I200" t="n">
        <v>0</v>
      </c>
      <c r="J200" t="n">
        <v>0</v>
      </c>
      <c r="K200" t="n">
        <v>0</v>
      </c>
      <c r="L200" t="n">
        <v>0</v>
      </c>
      <c r="M200" t="n">
        <v>0</v>
      </c>
      <c r="N200" t="n">
        <v>0</v>
      </c>
      <c r="O200" t="n">
        <v>0</v>
      </c>
      <c r="P200" t="n">
        <v>0</v>
      </c>
      <c r="Q200" t="n">
        <v>0</v>
      </c>
      <c r="R200" s="2" t="inlineStr"/>
    </row>
    <row r="201" ht="15" customHeight="1">
      <c r="A201" t="inlineStr">
        <is>
          <t>A 21082-2019</t>
        </is>
      </c>
      <c r="B201" s="1" t="n">
        <v>43578</v>
      </c>
      <c r="C201" s="1" t="n">
        <v>45710</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22153-2019</t>
        </is>
      </c>
      <c r="B202" s="1" t="n">
        <v>43585</v>
      </c>
      <c r="C202" s="1" t="n">
        <v>45710</v>
      </c>
      <c r="D202" t="inlineStr">
        <is>
          <t>UPPSALA LÄN</t>
        </is>
      </c>
      <c r="E202" t="inlineStr">
        <is>
          <t>UPPSALA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23042-2019</t>
        </is>
      </c>
      <c r="B203" s="1" t="n">
        <v>43591</v>
      </c>
      <c r="C203" s="1" t="n">
        <v>45710</v>
      </c>
      <c r="D203" t="inlineStr">
        <is>
          <t>UPPSALA LÄN</t>
        </is>
      </c>
      <c r="E203" t="inlineStr">
        <is>
          <t>UPPSALA</t>
        </is>
      </c>
      <c r="G203" t="n">
        <v>2.7</v>
      </c>
      <c r="H203" t="n">
        <v>0</v>
      </c>
      <c r="I203" t="n">
        <v>0</v>
      </c>
      <c r="J203" t="n">
        <v>0</v>
      </c>
      <c r="K203" t="n">
        <v>0</v>
      </c>
      <c r="L203" t="n">
        <v>0</v>
      </c>
      <c r="M203" t="n">
        <v>0</v>
      </c>
      <c r="N203" t="n">
        <v>0</v>
      </c>
      <c r="O203" t="n">
        <v>0</v>
      </c>
      <c r="P203" t="n">
        <v>0</v>
      </c>
      <c r="Q203" t="n">
        <v>0</v>
      </c>
      <c r="R203" s="2" t="inlineStr"/>
    </row>
    <row r="204" ht="15" customHeight="1">
      <c r="A204" t="inlineStr">
        <is>
          <t>A 23262-2019</t>
        </is>
      </c>
      <c r="B204" s="1" t="n">
        <v>43592</v>
      </c>
      <c r="C204" s="1" t="n">
        <v>45710</v>
      </c>
      <c r="D204" t="inlineStr">
        <is>
          <t>UPPSALA LÄN</t>
        </is>
      </c>
      <c r="E204" t="inlineStr">
        <is>
          <t>UPPSALA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24998-2019</t>
        </is>
      </c>
      <c r="B205" s="1" t="n">
        <v>43600</v>
      </c>
      <c r="C205" s="1" t="n">
        <v>45710</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25164-2019</t>
        </is>
      </c>
      <c r="B206" s="1" t="n">
        <v>43605</v>
      </c>
      <c r="C206" s="1" t="n">
        <v>45710</v>
      </c>
      <c r="D206" t="inlineStr">
        <is>
          <t>UPPSALA LÄN</t>
        </is>
      </c>
      <c r="E206" t="inlineStr">
        <is>
          <t>UPPSALA</t>
        </is>
      </c>
      <c r="G206" t="n">
        <v>1.6</v>
      </c>
      <c r="H206" t="n">
        <v>0</v>
      </c>
      <c r="I206" t="n">
        <v>0</v>
      </c>
      <c r="J206" t="n">
        <v>0</v>
      </c>
      <c r="K206" t="n">
        <v>0</v>
      </c>
      <c r="L206" t="n">
        <v>0</v>
      </c>
      <c r="M206" t="n">
        <v>0</v>
      </c>
      <c r="N206" t="n">
        <v>0</v>
      </c>
      <c r="O206" t="n">
        <v>0</v>
      </c>
      <c r="P206" t="n">
        <v>0</v>
      </c>
      <c r="Q206" t="n">
        <v>0</v>
      </c>
      <c r="R206" s="2" t="inlineStr"/>
    </row>
    <row r="207" ht="15" customHeight="1">
      <c r="A207" t="inlineStr">
        <is>
          <t>A 25157-2019</t>
        </is>
      </c>
      <c r="B207" s="1" t="n">
        <v>43605</v>
      </c>
      <c r="C207" s="1" t="n">
        <v>45710</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25667-2019</t>
        </is>
      </c>
      <c r="B208" s="1" t="n">
        <v>43607</v>
      </c>
      <c r="C208" s="1" t="n">
        <v>45710</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29105-2019</t>
        </is>
      </c>
      <c r="B209" s="1" t="n">
        <v>43628</v>
      </c>
      <c r="C209" s="1" t="n">
        <v>45710</v>
      </c>
      <c r="D209" t="inlineStr">
        <is>
          <t>UPPSALA LÄN</t>
        </is>
      </c>
      <c r="E209" t="inlineStr">
        <is>
          <t>UPPSALA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29183-2019</t>
        </is>
      </c>
      <c r="B210" s="1" t="n">
        <v>43628</v>
      </c>
      <c r="C210" s="1" t="n">
        <v>45710</v>
      </c>
      <c r="D210" t="inlineStr">
        <is>
          <t>UPPSALA LÄN</t>
        </is>
      </c>
      <c r="E210" t="inlineStr">
        <is>
          <t>UPPSALA</t>
        </is>
      </c>
      <c r="F210" t="inlineStr">
        <is>
          <t>Allmännings- och besparingsskogar</t>
        </is>
      </c>
      <c r="G210" t="n">
        <v>6.3</v>
      </c>
      <c r="H210" t="n">
        <v>0</v>
      </c>
      <c r="I210" t="n">
        <v>0</v>
      </c>
      <c r="J210" t="n">
        <v>0</v>
      </c>
      <c r="K210" t="n">
        <v>0</v>
      </c>
      <c r="L210" t="n">
        <v>0</v>
      </c>
      <c r="M210" t="n">
        <v>0</v>
      </c>
      <c r="N210" t="n">
        <v>0</v>
      </c>
      <c r="O210" t="n">
        <v>0</v>
      </c>
      <c r="P210" t="n">
        <v>0</v>
      </c>
      <c r="Q210" t="n">
        <v>0</v>
      </c>
      <c r="R210" s="2" t="inlineStr"/>
    </row>
    <row r="211" ht="15" customHeight="1">
      <c r="A211" t="inlineStr">
        <is>
          <t>A 29081-2019</t>
        </is>
      </c>
      <c r="B211" s="1" t="n">
        <v>43628</v>
      </c>
      <c r="C211" s="1" t="n">
        <v>45710</v>
      </c>
      <c r="D211" t="inlineStr">
        <is>
          <t>UPPSALA LÄN</t>
        </is>
      </c>
      <c r="E211" t="inlineStr">
        <is>
          <t>UPPSALA</t>
        </is>
      </c>
      <c r="G211" t="n">
        <v>8.4</v>
      </c>
      <c r="H211" t="n">
        <v>0</v>
      </c>
      <c r="I211" t="n">
        <v>0</v>
      </c>
      <c r="J211" t="n">
        <v>0</v>
      </c>
      <c r="K211" t="n">
        <v>0</v>
      </c>
      <c r="L211" t="n">
        <v>0</v>
      </c>
      <c r="M211" t="n">
        <v>0</v>
      </c>
      <c r="N211" t="n">
        <v>0</v>
      </c>
      <c r="O211" t="n">
        <v>0</v>
      </c>
      <c r="P211" t="n">
        <v>0</v>
      </c>
      <c r="Q211" t="n">
        <v>0</v>
      </c>
      <c r="R211" s="2" t="inlineStr"/>
    </row>
    <row r="212" ht="15" customHeight="1">
      <c r="A212" t="inlineStr">
        <is>
          <t>A 29719-2019</t>
        </is>
      </c>
      <c r="B212" s="1" t="n">
        <v>43630</v>
      </c>
      <c r="C212" s="1" t="n">
        <v>45710</v>
      </c>
      <c r="D212" t="inlineStr">
        <is>
          <t>UPPSALA LÄN</t>
        </is>
      </c>
      <c r="E212" t="inlineStr">
        <is>
          <t>UPPSALA</t>
        </is>
      </c>
      <c r="G212" t="n">
        <v>1.4</v>
      </c>
      <c r="H212" t="n">
        <v>0</v>
      </c>
      <c r="I212" t="n">
        <v>0</v>
      </c>
      <c r="J212" t="n">
        <v>0</v>
      </c>
      <c r="K212" t="n">
        <v>0</v>
      </c>
      <c r="L212" t="n">
        <v>0</v>
      </c>
      <c r="M212" t="n">
        <v>0</v>
      </c>
      <c r="N212" t="n">
        <v>0</v>
      </c>
      <c r="O212" t="n">
        <v>0</v>
      </c>
      <c r="P212" t="n">
        <v>0</v>
      </c>
      <c r="Q212" t="n">
        <v>0</v>
      </c>
      <c r="R212" s="2" t="inlineStr"/>
    </row>
    <row r="213" ht="15" customHeight="1">
      <c r="A213" t="inlineStr">
        <is>
          <t>A 29713-2019</t>
        </is>
      </c>
      <c r="B213" s="1" t="n">
        <v>43630</v>
      </c>
      <c r="C213" s="1" t="n">
        <v>45710</v>
      </c>
      <c r="D213" t="inlineStr">
        <is>
          <t>UPPSALA LÄN</t>
        </is>
      </c>
      <c r="E213" t="inlineStr">
        <is>
          <t>UPPSALA</t>
        </is>
      </c>
      <c r="G213" t="n">
        <v>1</v>
      </c>
      <c r="H213" t="n">
        <v>0</v>
      </c>
      <c r="I213" t="n">
        <v>0</v>
      </c>
      <c r="J213" t="n">
        <v>0</v>
      </c>
      <c r="K213" t="n">
        <v>0</v>
      </c>
      <c r="L213" t="n">
        <v>0</v>
      </c>
      <c r="M213" t="n">
        <v>0</v>
      </c>
      <c r="N213" t="n">
        <v>0</v>
      </c>
      <c r="O213" t="n">
        <v>0</v>
      </c>
      <c r="P213" t="n">
        <v>0</v>
      </c>
      <c r="Q213" t="n">
        <v>0</v>
      </c>
      <c r="R213" s="2" t="inlineStr"/>
    </row>
    <row r="214" ht="15" customHeight="1">
      <c r="A214" t="inlineStr">
        <is>
          <t>A 32558-2019</t>
        </is>
      </c>
      <c r="B214" s="1" t="n">
        <v>43647</v>
      </c>
      <c r="C214" s="1" t="n">
        <v>45710</v>
      </c>
      <c r="D214" t="inlineStr">
        <is>
          <t>UPPSALA LÄN</t>
        </is>
      </c>
      <c r="E214" t="inlineStr">
        <is>
          <t>UPPSALA</t>
        </is>
      </c>
      <c r="G214" t="n">
        <v>4.2</v>
      </c>
      <c r="H214" t="n">
        <v>0</v>
      </c>
      <c r="I214" t="n">
        <v>0</v>
      </c>
      <c r="J214" t="n">
        <v>0</v>
      </c>
      <c r="K214" t="n">
        <v>0</v>
      </c>
      <c r="L214" t="n">
        <v>0</v>
      </c>
      <c r="M214" t="n">
        <v>0</v>
      </c>
      <c r="N214" t="n">
        <v>0</v>
      </c>
      <c r="O214" t="n">
        <v>0</v>
      </c>
      <c r="P214" t="n">
        <v>0</v>
      </c>
      <c r="Q214" t="n">
        <v>0</v>
      </c>
      <c r="R214" s="2" t="inlineStr"/>
    </row>
    <row r="215" ht="15" customHeight="1">
      <c r="A215" t="inlineStr">
        <is>
          <t>A 34560-2019</t>
        </is>
      </c>
      <c r="B215" s="1" t="n">
        <v>43647</v>
      </c>
      <c r="C215" s="1" t="n">
        <v>45710</v>
      </c>
      <c r="D215" t="inlineStr">
        <is>
          <t>UPPSALA LÄN</t>
        </is>
      </c>
      <c r="E215" t="inlineStr">
        <is>
          <t>UPPSALA</t>
        </is>
      </c>
      <c r="G215" t="n">
        <v>8.6</v>
      </c>
      <c r="H215" t="n">
        <v>0</v>
      </c>
      <c r="I215" t="n">
        <v>0</v>
      </c>
      <c r="J215" t="n">
        <v>0</v>
      </c>
      <c r="K215" t="n">
        <v>0</v>
      </c>
      <c r="L215" t="n">
        <v>0</v>
      </c>
      <c r="M215" t="n">
        <v>0</v>
      </c>
      <c r="N215" t="n">
        <v>0</v>
      </c>
      <c r="O215" t="n">
        <v>0</v>
      </c>
      <c r="P215" t="n">
        <v>0</v>
      </c>
      <c r="Q215" t="n">
        <v>0</v>
      </c>
      <c r="R215" s="2" t="inlineStr"/>
    </row>
    <row r="216" ht="15" customHeight="1">
      <c r="A216" t="inlineStr">
        <is>
          <t>A 32830-2019</t>
        </is>
      </c>
      <c r="B216" s="1" t="n">
        <v>43648</v>
      </c>
      <c r="C216" s="1" t="n">
        <v>45710</v>
      </c>
      <c r="D216" t="inlineStr">
        <is>
          <t>UPPSALA LÄN</t>
        </is>
      </c>
      <c r="E216" t="inlineStr">
        <is>
          <t>UPPSALA</t>
        </is>
      </c>
      <c r="G216" t="n">
        <v>13.6</v>
      </c>
      <c r="H216" t="n">
        <v>0</v>
      </c>
      <c r="I216" t="n">
        <v>0</v>
      </c>
      <c r="J216" t="n">
        <v>0</v>
      </c>
      <c r="K216" t="n">
        <v>0</v>
      </c>
      <c r="L216" t="n">
        <v>0</v>
      </c>
      <c r="M216" t="n">
        <v>0</v>
      </c>
      <c r="N216" t="n">
        <v>0</v>
      </c>
      <c r="O216" t="n">
        <v>0</v>
      </c>
      <c r="P216" t="n">
        <v>0</v>
      </c>
      <c r="Q216" t="n">
        <v>0</v>
      </c>
      <c r="R216" s="2" t="inlineStr"/>
    </row>
    <row r="217" ht="15" customHeight="1">
      <c r="A217" t="inlineStr">
        <is>
          <t>A 33602-2019</t>
        </is>
      </c>
      <c r="B217" s="1" t="n">
        <v>43651</v>
      </c>
      <c r="C217" s="1" t="n">
        <v>45710</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33614-2019</t>
        </is>
      </c>
      <c r="B218" s="1" t="n">
        <v>43651</v>
      </c>
      <c r="C218" s="1" t="n">
        <v>45710</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33615-2019</t>
        </is>
      </c>
      <c r="B219" s="1" t="n">
        <v>43651</v>
      </c>
      <c r="C219" s="1" t="n">
        <v>45710</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33596-2019</t>
        </is>
      </c>
      <c r="B220" s="1" t="n">
        <v>43651</v>
      </c>
      <c r="C220" s="1" t="n">
        <v>45710</v>
      </c>
      <c r="D220" t="inlineStr">
        <is>
          <t>UPPSALA LÄN</t>
        </is>
      </c>
      <c r="E220" t="inlineStr">
        <is>
          <t>UPPSALA</t>
        </is>
      </c>
      <c r="G220" t="n">
        <v>1.3</v>
      </c>
      <c r="H220" t="n">
        <v>0</v>
      </c>
      <c r="I220" t="n">
        <v>0</v>
      </c>
      <c r="J220" t="n">
        <v>0</v>
      </c>
      <c r="K220" t="n">
        <v>0</v>
      </c>
      <c r="L220" t="n">
        <v>0</v>
      </c>
      <c r="M220" t="n">
        <v>0</v>
      </c>
      <c r="N220" t="n">
        <v>0</v>
      </c>
      <c r="O220" t="n">
        <v>0</v>
      </c>
      <c r="P220" t="n">
        <v>0</v>
      </c>
      <c r="Q220" t="n">
        <v>0</v>
      </c>
      <c r="R220" s="2" t="inlineStr"/>
    </row>
    <row r="221" ht="15" customHeight="1">
      <c r="A221" t="inlineStr">
        <is>
          <t>A 34007-2019</t>
        </is>
      </c>
      <c r="B221" s="1" t="n">
        <v>43654</v>
      </c>
      <c r="C221" s="1" t="n">
        <v>45710</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34063-2019</t>
        </is>
      </c>
      <c r="B222" s="1" t="n">
        <v>43654</v>
      </c>
      <c r="C222" s="1" t="n">
        <v>45710</v>
      </c>
      <c r="D222" t="inlineStr">
        <is>
          <t>UPPSALA LÄN</t>
        </is>
      </c>
      <c r="E222" t="inlineStr">
        <is>
          <t>UPPSALA</t>
        </is>
      </c>
      <c r="G222" t="n">
        <v>1.5</v>
      </c>
      <c r="H222" t="n">
        <v>0</v>
      </c>
      <c r="I222" t="n">
        <v>0</v>
      </c>
      <c r="J222" t="n">
        <v>0</v>
      </c>
      <c r="K222" t="n">
        <v>0</v>
      </c>
      <c r="L222" t="n">
        <v>0</v>
      </c>
      <c r="M222" t="n">
        <v>0</v>
      </c>
      <c r="N222" t="n">
        <v>0</v>
      </c>
      <c r="O222" t="n">
        <v>0</v>
      </c>
      <c r="P222" t="n">
        <v>0</v>
      </c>
      <c r="Q222" t="n">
        <v>0</v>
      </c>
      <c r="R222" s="2" t="inlineStr"/>
    </row>
    <row r="223" ht="15" customHeight="1">
      <c r="A223" t="inlineStr">
        <is>
          <t>A 34331-2019</t>
        </is>
      </c>
      <c r="B223" s="1" t="n">
        <v>43656</v>
      </c>
      <c r="C223" s="1" t="n">
        <v>45710</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36345-2019</t>
        </is>
      </c>
      <c r="B224" s="1" t="n">
        <v>43661</v>
      </c>
      <c r="C224" s="1" t="n">
        <v>45710</v>
      </c>
      <c r="D224" t="inlineStr">
        <is>
          <t>UPPSALA LÄN</t>
        </is>
      </c>
      <c r="E224" t="inlineStr">
        <is>
          <t>UPPSALA</t>
        </is>
      </c>
      <c r="G224" t="n">
        <v>5.3</v>
      </c>
      <c r="H224" t="n">
        <v>0</v>
      </c>
      <c r="I224" t="n">
        <v>0</v>
      </c>
      <c r="J224" t="n">
        <v>0</v>
      </c>
      <c r="K224" t="n">
        <v>0</v>
      </c>
      <c r="L224" t="n">
        <v>0</v>
      </c>
      <c r="M224" t="n">
        <v>0</v>
      </c>
      <c r="N224" t="n">
        <v>0</v>
      </c>
      <c r="O224" t="n">
        <v>0</v>
      </c>
      <c r="P224" t="n">
        <v>0</v>
      </c>
      <c r="Q224" t="n">
        <v>0</v>
      </c>
      <c r="R224" s="2" t="inlineStr"/>
    </row>
    <row r="225" ht="15" customHeight="1">
      <c r="A225" t="inlineStr">
        <is>
          <t>A 36394-2019</t>
        </is>
      </c>
      <c r="B225" s="1" t="n">
        <v>43663</v>
      </c>
      <c r="C225" s="1" t="n">
        <v>45710</v>
      </c>
      <c r="D225" t="inlineStr">
        <is>
          <t>UPPSALA LÄN</t>
        </is>
      </c>
      <c r="E225" t="inlineStr">
        <is>
          <t>UPPSALA</t>
        </is>
      </c>
      <c r="G225" t="n">
        <v>2.4</v>
      </c>
      <c r="H225" t="n">
        <v>0</v>
      </c>
      <c r="I225" t="n">
        <v>0</v>
      </c>
      <c r="J225" t="n">
        <v>0</v>
      </c>
      <c r="K225" t="n">
        <v>0</v>
      </c>
      <c r="L225" t="n">
        <v>0</v>
      </c>
      <c r="M225" t="n">
        <v>0</v>
      </c>
      <c r="N225" t="n">
        <v>0</v>
      </c>
      <c r="O225" t="n">
        <v>0</v>
      </c>
      <c r="P225" t="n">
        <v>0</v>
      </c>
      <c r="Q225" t="n">
        <v>0</v>
      </c>
      <c r="R225" s="2" t="inlineStr"/>
    </row>
    <row r="226" ht="15" customHeight="1">
      <c r="A226" t="inlineStr">
        <is>
          <t>A 37234-2019</t>
        </is>
      </c>
      <c r="B226" s="1" t="n">
        <v>43677</v>
      </c>
      <c r="C226" s="1" t="n">
        <v>45710</v>
      </c>
      <c r="D226" t="inlineStr">
        <is>
          <t>UPPSALA LÄN</t>
        </is>
      </c>
      <c r="E226" t="inlineStr">
        <is>
          <t>UPPSALA</t>
        </is>
      </c>
      <c r="G226" t="n">
        <v>3.2</v>
      </c>
      <c r="H226" t="n">
        <v>0</v>
      </c>
      <c r="I226" t="n">
        <v>0</v>
      </c>
      <c r="J226" t="n">
        <v>0</v>
      </c>
      <c r="K226" t="n">
        <v>0</v>
      </c>
      <c r="L226" t="n">
        <v>0</v>
      </c>
      <c r="M226" t="n">
        <v>0</v>
      </c>
      <c r="N226" t="n">
        <v>0</v>
      </c>
      <c r="O226" t="n">
        <v>0</v>
      </c>
      <c r="P226" t="n">
        <v>0</v>
      </c>
      <c r="Q226" t="n">
        <v>0</v>
      </c>
      <c r="R226" s="2" t="inlineStr"/>
    </row>
    <row r="227" ht="15" customHeight="1">
      <c r="A227" t="inlineStr">
        <is>
          <t>A 37711-2019</t>
        </is>
      </c>
      <c r="B227" s="1" t="n">
        <v>43682</v>
      </c>
      <c r="C227" s="1" t="n">
        <v>45710</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38684-2019</t>
        </is>
      </c>
      <c r="B228" s="1" t="n">
        <v>43686</v>
      </c>
      <c r="C228" s="1" t="n">
        <v>45710</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40151-2019</t>
        </is>
      </c>
      <c r="B229" s="1" t="n">
        <v>43693</v>
      </c>
      <c r="C229" s="1" t="n">
        <v>45710</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41609-2019</t>
        </is>
      </c>
      <c r="B230" s="1" t="n">
        <v>43696</v>
      </c>
      <c r="C230" s="1" t="n">
        <v>45710</v>
      </c>
      <c r="D230" t="inlineStr">
        <is>
          <t>UPPSALA LÄN</t>
        </is>
      </c>
      <c r="E230" t="inlineStr">
        <is>
          <t>UPPSALA</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41653-2019</t>
        </is>
      </c>
      <c r="B231" s="1" t="n">
        <v>43696</v>
      </c>
      <c r="C231" s="1" t="n">
        <v>45710</v>
      </c>
      <c r="D231" t="inlineStr">
        <is>
          <t>UPPSALA LÄN</t>
        </is>
      </c>
      <c r="E231" t="inlineStr">
        <is>
          <t>UPPSALA</t>
        </is>
      </c>
      <c r="G231" t="n">
        <v>5.2</v>
      </c>
      <c r="H231" t="n">
        <v>0</v>
      </c>
      <c r="I231" t="n">
        <v>0</v>
      </c>
      <c r="J231" t="n">
        <v>0</v>
      </c>
      <c r="K231" t="n">
        <v>0</v>
      </c>
      <c r="L231" t="n">
        <v>0</v>
      </c>
      <c r="M231" t="n">
        <v>0</v>
      </c>
      <c r="N231" t="n">
        <v>0</v>
      </c>
      <c r="O231" t="n">
        <v>0</v>
      </c>
      <c r="P231" t="n">
        <v>0</v>
      </c>
      <c r="Q231" t="n">
        <v>0</v>
      </c>
      <c r="R231" s="2" t="inlineStr"/>
    </row>
    <row r="232" ht="15" customHeight="1">
      <c r="A232" t="inlineStr">
        <is>
          <t>A 41524-2019</t>
        </is>
      </c>
      <c r="B232" s="1" t="n">
        <v>43699</v>
      </c>
      <c r="C232" s="1" t="n">
        <v>45710</v>
      </c>
      <c r="D232" t="inlineStr">
        <is>
          <t>UPPSALA LÄN</t>
        </is>
      </c>
      <c r="E232" t="inlineStr">
        <is>
          <t>UPPSALA</t>
        </is>
      </c>
      <c r="G232" t="n">
        <v>2.4</v>
      </c>
      <c r="H232" t="n">
        <v>0</v>
      </c>
      <c r="I232" t="n">
        <v>0</v>
      </c>
      <c r="J232" t="n">
        <v>0</v>
      </c>
      <c r="K232" t="n">
        <v>0</v>
      </c>
      <c r="L232" t="n">
        <v>0</v>
      </c>
      <c r="M232" t="n">
        <v>0</v>
      </c>
      <c r="N232" t="n">
        <v>0</v>
      </c>
      <c r="O232" t="n">
        <v>0</v>
      </c>
      <c r="P232" t="n">
        <v>0</v>
      </c>
      <c r="Q232" t="n">
        <v>0</v>
      </c>
      <c r="R232" s="2" t="inlineStr"/>
    </row>
    <row r="233" ht="15" customHeight="1">
      <c r="A233" t="inlineStr">
        <is>
          <t>A 41535-2019</t>
        </is>
      </c>
      <c r="B233" s="1" t="n">
        <v>43699</v>
      </c>
      <c r="C233" s="1" t="n">
        <v>45710</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41695-2019</t>
        </is>
      </c>
      <c r="B234" s="1" t="n">
        <v>43699</v>
      </c>
      <c r="C234" s="1" t="n">
        <v>45710</v>
      </c>
      <c r="D234" t="inlineStr">
        <is>
          <t>UPPSALA LÄN</t>
        </is>
      </c>
      <c r="E234" t="inlineStr">
        <is>
          <t>UPPSALA</t>
        </is>
      </c>
      <c r="G234" t="n">
        <v>3.1</v>
      </c>
      <c r="H234" t="n">
        <v>0</v>
      </c>
      <c r="I234" t="n">
        <v>0</v>
      </c>
      <c r="J234" t="n">
        <v>0</v>
      </c>
      <c r="K234" t="n">
        <v>0</v>
      </c>
      <c r="L234" t="n">
        <v>0</v>
      </c>
      <c r="M234" t="n">
        <v>0</v>
      </c>
      <c r="N234" t="n">
        <v>0</v>
      </c>
      <c r="O234" t="n">
        <v>0</v>
      </c>
      <c r="P234" t="n">
        <v>0</v>
      </c>
      <c r="Q234" t="n">
        <v>0</v>
      </c>
      <c r="R234" s="2" t="inlineStr"/>
    </row>
    <row r="235" ht="15" customHeight="1">
      <c r="A235" t="inlineStr">
        <is>
          <t>A 42111-2019</t>
        </is>
      </c>
      <c r="B235" s="1" t="n">
        <v>43703</v>
      </c>
      <c r="C235" s="1" t="n">
        <v>45710</v>
      </c>
      <c r="D235" t="inlineStr">
        <is>
          <t>UPPSALA LÄN</t>
        </is>
      </c>
      <c r="E235" t="inlineStr">
        <is>
          <t>UPPSALA</t>
        </is>
      </c>
      <c r="G235" t="n">
        <v>2.7</v>
      </c>
      <c r="H235" t="n">
        <v>0</v>
      </c>
      <c r="I235" t="n">
        <v>0</v>
      </c>
      <c r="J235" t="n">
        <v>0</v>
      </c>
      <c r="K235" t="n">
        <v>0</v>
      </c>
      <c r="L235" t="n">
        <v>0</v>
      </c>
      <c r="M235" t="n">
        <v>0</v>
      </c>
      <c r="N235" t="n">
        <v>0</v>
      </c>
      <c r="O235" t="n">
        <v>0</v>
      </c>
      <c r="P235" t="n">
        <v>0</v>
      </c>
      <c r="Q235" t="n">
        <v>0</v>
      </c>
      <c r="R235" s="2" t="inlineStr"/>
    </row>
    <row r="236" ht="15" customHeight="1">
      <c r="A236" t="inlineStr">
        <is>
          <t>A 42986-2019</t>
        </is>
      </c>
      <c r="B236" s="1" t="n">
        <v>43705</v>
      </c>
      <c r="C236" s="1" t="n">
        <v>45710</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43222-2019</t>
        </is>
      </c>
      <c r="B237" s="1" t="n">
        <v>43706</v>
      </c>
      <c r="C237" s="1" t="n">
        <v>45710</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43410-2019</t>
        </is>
      </c>
      <c r="B238" s="1" t="n">
        <v>43706</v>
      </c>
      <c r="C238" s="1" t="n">
        <v>45710</v>
      </c>
      <c r="D238" t="inlineStr">
        <is>
          <t>UPPSALA LÄN</t>
        </is>
      </c>
      <c r="E238" t="inlineStr">
        <is>
          <t>UPPSALA</t>
        </is>
      </c>
      <c r="F238" t="inlineStr">
        <is>
          <t>Övriga statliga verk och myndigheter</t>
        </is>
      </c>
      <c r="G238" t="n">
        <v>8.6</v>
      </c>
      <c r="H238" t="n">
        <v>0</v>
      </c>
      <c r="I238" t="n">
        <v>0</v>
      </c>
      <c r="J238" t="n">
        <v>0</v>
      </c>
      <c r="K238" t="n">
        <v>0</v>
      </c>
      <c r="L238" t="n">
        <v>0</v>
      </c>
      <c r="M238" t="n">
        <v>0</v>
      </c>
      <c r="N238" t="n">
        <v>0</v>
      </c>
      <c r="O238" t="n">
        <v>0</v>
      </c>
      <c r="P238" t="n">
        <v>0</v>
      </c>
      <c r="Q238" t="n">
        <v>0</v>
      </c>
      <c r="R238" s="2" t="inlineStr"/>
    </row>
    <row r="239" ht="15" customHeight="1">
      <c r="A239" t="inlineStr">
        <is>
          <t>A 43715-2019</t>
        </is>
      </c>
      <c r="B239" s="1" t="n">
        <v>43706</v>
      </c>
      <c r="C239" s="1" t="n">
        <v>45710</v>
      </c>
      <c r="D239" t="inlineStr">
        <is>
          <t>UPPSALA LÄN</t>
        </is>
      </c>
      <c r="E239" t="inlineStr">
        <is>
          <t>UPPSALA</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43224-2019</t>
        </is>
      </c>
      <c r="B240" s="1" t="n">
        <v>43706</v>
      </c>
      <c r="C240" s="1" t="n">
        <v>45710</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43435-2019</t>
        </is>
      </c>
      <c r="B241" s="1" t="n">
        <v>43706</v>
      </c>
      <c r="C241" s="1" t="n">
        <v>45710</v>
      </c>
      <c r="D241" t="inlineStr">
        <is>
          <t>UPPSALA LÄN</t>
        </is>
      </c>
      <c r="E241" t="inlineStr">
        <is>
          <t>UPPSALA</t>
        </is>
      </c>
      <c r="G241" t="n">
        <v>5.4</v>
      </c>
      <c r="H241" t="n">
        <v>0</v>
      </c>
      <c r="I241" t="n">
        <v>0</v>
      </c>
      <c r="J241" t="n">
        <v>0</v>
      </c>
      <c r="K241" t="n">
        <v>0</v>
      </c>
      <c r="L241" t="n">
        <v>0</v>
      </c>
      <c r="M241" t="n">
        <v>0</v>
      </c>
      <c r="N241" t="n">
        <v>0</v>
      </c>
      <c r="O241" t="n">
        <v>0</v>
      </c>
      <c r="P241" t="n">
        <v>0</v>
      </c>
      <c r="Q241" t="n">
        <v>0</v>
      </c>
      <c r="R241" s="2" t="inlineStr"/>
    </row>
    <row r="242" ht="15" customHeight="1">
      <c r="A242" t="inlineStr">
        <is>
          <t>A 43722-2019</t>
        </is>
      </c>
      <c r="B242" s="1" t="n">
        <v>43706</v>
      </c>
      <c r="C242" s="1" t="n">
        <v>45710</v>
      </c>
      <c r="D242" t="inlineStr">
        <is>
          <t>UPPSALA LÄN</t>
        </is>
      </c>
      <c r="E242" t="inlineStr">
        <is>
          <t>UPPSALA</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43704-2019</t>
        </is>
      </c>
      <c r="B243" s="1" t="n">
        <v>43707</v>
      </c>
      <c r="C243" s="1" t="n">
        <v>45710</v>
      </c>
      <c r="D243" t="inlineStr">
        <is>
          <t>UPPSALA LÄN</t>
        </is>
      </c>
      <c r="E243" t="inlineStr">
        <is>
          <t>UPPSALA</t>
        </is>
      </c>
      <c r="F243" t="inlineStr">
        <is>
          <t>Bergvik skog öst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43725-2019</t>
        </is>
      </c>
      <c r="B244" s="1" t="n">
        <v>43707</v>
      </c>
      <c r="C244" s="1" t="n">
        <v>45710</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44109-2019</t>
        </is>
      </c>
      <c r="B245" s="1" t="n">
        <v>43707</v>
      </c>
      <c r="C245" s="1" t="n">
        <v>45710</v>
      </c>
      <c r="D245" t="inlineStr">
        <is>
          <t>UPPSALA LÄN</t>
        </is>
      </c>
      <c r="E245" t="inlineStr">
        <is>
          <t>UPPSALA</t>
        </is>
      </c>
      <c r="F245" t="inlineStr">
        <is>
          <t>Allmännings- och besparingsskogar</t>
        </is>
      </c>
      <c r="G245" t="n">
        <v>81.3</v>
      </c>
      <c r="H245" t="n">
        <v>0</v>
      </c>
      <c r="I245" t="n">
        <v>0</v>
      </c>
      <c r="J245" t="n">
        <v>0</v>
      </c>
      <c r="K245" t="n">
        <v>0</v>
      </c>
      <c r="L245" t="n">
        <v>0</v>
      </c>
      <c r="M245" t="n">
        <v>0</v>
      </c>
      <c r="N245" t="n">
        <v>0</v>
      </c>
      <c r="O245" t="n">
        <v>0</v>
      </c>
      <c r="P245" t="n">
        <v>0</v>
      </c>
      <c r="Q245" t="n">
        <v>0</v>
      </c>
      <c r="R245" s="2" t="inlineStr"/>
    </row>
    <row r="246" ht="15" customHeight="1">
      <c r="A246" t="inlineStr">
        <is>
          <t>A 43713-2019</t>
        </is>
      </c>
      <c r="B246" s="1" t="n">
        <v>43707</v>
      </c>
      <c r="C246" s="1" t="n">
        <v>45710</v>
      </c>
      <c r="D246" t="inlineStr">
        <is>
          <t>UPPSALA LÄN</t>
        </is>
      </c>
      <c r="E246" t="inlineStr">
        <is>
          <t>UPPSALA</t>
        </is>
      </c>
      <c r="F246" t="inlineStr">
        <is>
          <t>Bergvik skog öst AB</t>
        </is>
      </c>
      <c r="G246" t="n">
        <v>7.9</v>
      </c>
      <c r="H246" t="n">
        <v>0</v>
      </c>
      <c r="I246" t="n">
        <v>0</v>
      </c>
      <c r="J246" t="n">
        <v>0</v>
      </c>
      <c r="K246" t="n">
        <v>0</v>
      </c>
      <c r="L246" t="n">
        <v>0</v>
      </c>
      <c r="M246" t="n">
        <v>0</v>
      </c>
      <c r="N246" t="n">
        <v>0</v>
      </c>
      <c r="O246" t="n">
        <v>0</v>
      </c>
      <c r="P246" t="n">
        <v>0</v>
      </c>
      <c r="Q246" t="n">
        <v>0</v>
      </c>
      <c r="R246" s="2" t="inlineStr"/>
    </row>
    <row r="247" ht="15" customHeight="1">
      <c r="A247" t="inlineStr">
        <is>
          <t>A 43853-2019</t>
        </is>
      </c>
      <c r="B247" s="1" t="n">
        <v>43707</v>
      </c>
      <c r="C247" s="1" t="n">
        <v>45710</v>
      </c>
      <c r="D247" t="inlineStr">
        <is>
          <t>UPPSALA LÄN</t>
        </is>
      </c>
      <c r="E247" t="inlineStr">
        <is>
          <t>UPPSALA</t>
        </is>
      </c>
      <c r="F247" t="inlineStr">
        <is>
          <t>Övriga statliga verk och myndigheter</t>
        </is>
      </c>
      <c r="G247" t="n">
        <v>1.8</v>
      </c>
      <c r="H247" t="n">
        <v>0</v>
      </c>
      <c r="I247" t="n">
        <v>0</v>
      </c>
      <c r="J247" t="n">
        <v>0</v>
      </c>
      <c r="K247" t="n">
        <v>0</v>
      </c>
      <c r="L247" t="n">
        <v>0</v>
      </c>
      <c r="M247" t="n">
        <v>0</v>
      </c>
      <c r="N247" t="n">
        <v>0</v>
      </c>
      <c r="O247" t="n">
        <v>0</v>
      </c>
      <c r="P247" t="n">
        <v>0</v>
      </c>
      <c r="Q247" t="n">
        <v>0</v>
      </c>
      <c r="R247" s="2" t="inlineStr"/>
    </row>
    <row r="248" ht="15" customHeight="1">
      <c r="A248" t="inlineStr">
        <is>
          <t>A 44141-2019</t>
        </is>
      </c>
      <c r="B248" s="1" t="n">
        <v>43710</v>
      </c>
      <c r="C248" s="1" t="n">
        <v>45710</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44701-2019</t>
        </is>
      </c>
      <c r="B249" s="1" t="n">
        <v>43712</v>
      </c>
      <c r="C249" s="1" t="n">
        <v>45710</v>
      </c>
      <c r="D249" t="inlineStr">
        <is>
          <t>UPPSALA LÄN</t>
        </is>
      </c>
      <c r="E249" t="inlineStr">
        <is>
          <t>UPPSALA</t>
        </is>
      </c>
      <c r="G249" t="n">
        <v>3.4</v>
      </c>
      <c r="H249" t="n">
        <v>0</v>
      </c>
      <c r="I249" t="n">
        <v>0</v>
      </c>
      <c r="J249" t="n">
        <v>0</v>
      </c>
      <c r="K249" t="n">
        <v>0</v>
      </c>
      <c r="L249" t="n">
        <v>0</v>
      </c>
      <c r="M249" t="n">
        <v>0</v>
      </c>
      <c r="N249" t="n">
        <v>0</v>
      </c>
      <c r="O249" t="n">
        <v>0</v>
      </c>
      <c r="P249" t="n">
        <v>0</v>
      </c>
      <c r="Q249" t="n">
        <v>0</v>
      </c>
      <c r="R249" s="2" t="inlineStr"/>
    </row>
    <row r="250" ht="15" customHeight="1">
      <c r="A250" t="inlineStr">
        <is>
          <t>A 44687-2019</t>
        </is>
      </c>
      <c r="B250" s="1" t="n">
        <v>43712</v>
      </c>
      <c r="C250" s="1" t="n">
        <v>45710</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45010-2019</t>
        </is>
      </c>
      <c r="B251" s="1" t="n">
        <v>43713</v>
      </c>
      <c r="C251" s="1" t="n">
        <v>45710</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45574-2019</t>
        </is>
      </c>
      <c r="B252" s="1" t="n">
        <v>43716</v>
      </c>
      <c r="C252" s="1" t="n">
        <v>45710</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46311-2019</t>
        </is>
      </c>
      <c r="B253" s="1" t="n">
        <v>43718</v>
      </c>
      <c r="C253" s="1" t="n">
        <v>45710</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46307-2019</t>
        </is>
      </c>
      <c r="B254" s="1" t="n">
        <v>43718</v>
      </c>
      <c r="C254" s="1" t="n">
        <v>45710</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46151-2019</t>
        </is>
      </c>
      <c r="B255" s="1" t="n">
        <v>43718</v>
      </c>
      <c r="C255" s="1" t="n">
        <v>45710</v>
      </c>
      <c r="D255" t="inlineStr">
        <is>
          <t>UPPSALA LÄN</t>
        </is>
      </c>
      <c r="E255" t="inlineStr">
        <is>
          <t>UPPSALA</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46157-2019</t>
        </is>
      </c>
      <c r="B256" s="1" t="n">
        <v>43718</v>
      </c>
      <c r="C256" s="1" t="n">
        <v>45710</v>
      </c>
      <c r="D256" t="inlineStr">
        <is>
          <t>UPPSALA LÄN</t>
        </is>
      </c>
      <c r="E256" t="inlineStr">
        <is>
          <t>UPPSALA</t>
        </is>
      </c>
      <c r="F256" t="inlineStr">
        <is>
          <t>Övriga Aktiebolag</t>
        </is>
      </c>
      <c r="G256" t="n">
        <v>4.5</v>
      </c>
      <c r="H256" t="n">
        <v>0</v>
      </c>
      <c r="I256" t="n">
        <v>0</v>
      </c>
      <c r="J256" t="n">
        <v>0</v>
      </c>
      <c r="K256" t="n">
        <v>0</v>
      </c>
      <c r="L256" t="n">
        <v>0</v>
      </c>
      <c r="M256" t="n">
        <v>0</v>
      </c>
      <c r="N256" t="n">
        <v>0</v>
      </c>
      <c r="O256" t="n">
        <v>0</v>
      </c>
      <c r="P256" t="n">
        <v>0</v>
      </c>
      <c r="Q256" t="n">
        <v>0</v>
      </c>
      <c r="R256" s="2" t="inlineStr"/>
    </row>
    <row r="257" ht="15" customHeight="1">
      <c r="A257" t="inlineStr">
        <is>
          <t>A 46310-2019</t>
        </is>
      </c>
      <c r="B257" s="1" t="n">
        <v>43718</v>
      </c>
      <c r="C257" s="1" t="n">
        <v>45710</v>
      </c>
      <c r="D257" t="inlineStr">
        <is>
          <t>UPPSALA LÄN</t>
        </is>
      </c>
      <c r="E257" t="inlineStr">
        <is>
          <t>UPPSALA</t>
        </is>
      </c>
      <c r="G257" t="n">
        <v>7</v>
      </c>
      <c r="H257" t="n">
        <v>0</v>
      </c>
      <c r="I257" t="n">
        <v>0</v>
      </c>
      <c r="J257" t="n">
        <v>0</v>
      </c>
      <c r="K257" t="n">
        <v>0</v>
      </c>
      <c r="L257" t="n">
        <v>0</v>
      </c>
      <c r="M257" t="n">
        <v>0</v>
      </c>
      <c r="N257" t="n">
        <v>0</v>
      </c>
      <c r="O257" t="n">
        <v>0</v>
      </c>
      <c r="P257" t="n">
        <v>0</v>
      </c>
      <c r="Q257" t="n">
        <v>0</v>
      </c>
      <c r="R257" s="2" t="inlineStr"/>
    </row>
    <row r="258" ht="15" customHeight="1">
      <c r="A258" t="inlineStr">
        <is>
          <t>A 46147-2019</t>
        </is>
      </c>
      <c r="B258" s="1" t="n">
        <v>43718</v>
      </c>
      <c r="C258" s="1" t="n">
        <v>45710</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46877-2019</t>
        </is>
      </c>
      <c r="B259" s="1" t="n">
        <v>43720</v>
      </c>
      <c r="C259" s="1" t="n">
        <v>45710</v>
      </c>
      <c r="D259" t="inlineStr">
        <is>
          <t>UPPSALA LÄN</t>
        </is>
      </c>
      <c r="E259" t="inlineStr">
        <is>
          <t>UPPSALA</t>
        </is>
      </c>
      <c r="G259" t="n">
        <v>1.9</v>
      </c>
      <c r="H259" t="n">
        <v>0</v>
      </c>
      <c r="I259" t="n">
        <v>0</v>
      </c>
      <c r="J259" t="n">
        <v>0</v>
      </c>
      <c r="K259" t="n">
        <v>0</v>
      </c>
      <c r="L259" t="n">
        <v>0</v>
      </c>
      <c r="M259" t="n">
        <v>0</v>
      </c>
      <c r="N259" t="n">
        <v>0</v>
      </c>
      <c r="O259" t="n">
        <v>0</v>
      </c>
      <c r="P259" t="n">
        <v>0</v>
      </c>
      <c r="Q259" t="n">
        <v>0</v>
      </c>
      <c r="R259" s="2" t="inlineStr"/>
    </row>
    <row r="260" ht="15" customHeight="1">
      <c r="A260" t="inlineStr">
        <is>
          <t>A 46896-2019</t>
        </is>
      </c>
      <c r="B260" s="1" t="n">
        <v>43720</v>
      </c>
      <c r="C260" s="1" t="n">
        <v>45710</v>
      </c>
      <c r="D260" t="inlineStr">
        <is>
          <t>UPPSALA LÄN</t>
        </is>
      </c>
      <c r="E260" t="inlineStr">
        <is>
          <t>UPPSALA</t>
        </is>
      </c>
      <c r="G260" t="n">
        <v>0.8</v>
      </c>
      <c r="H260" t="n">
        <v>0</v>
      </c>
      <c r="I260" t="n">
        <v>0</v>
      </c>
      <c r="J260" t="n">
        <v>0</v>
      </c>
      <c r="K260" t="n">
        <v>0</v>
      </c>
      <c r="L260" t="n">
        <v>0</v>
      </c>
      <c r="M260" t="n">
        <v>0</v>
      </c>
      <c r="N260" t="n">
        <v>0</v>
      </c>
      <c r="O260" t="n">
        <v>0</v>
      </c>
      <c r="P260" t="n">
        <v>0</v>
      </c>
      <c r="Q260" t="n">
        <v>0</v>
      </c>
      <c r="R260" s="2" t="inlineStr"/>
    </row>
    <row r="261" ht="15" customHeight="1">
      <c r="A261" t="inlineStr">
        <is>
          <t>A 48485-2019</t>
        </is>
      </c>
      <c r="B261" s="1" t="n">
        <v>43727</v>
      </c>
      <c r="C261" s="1" t="n">
        <v>45710</v>
      </c>
      <c r="D261" t="inlineStr">
        <is>
          <t>UPPSALA LÄN</t>
        </is>
      </c>
      <c r="E261" t="inlineStr">
        <is>
          <t>UPPSALA</t>
        </is>
      </c>
      <c r="G261" t="n">
        <v>3</v>
      </c>
      <c r="H261" t="n">
        <v>0</v>
      </c>
      <c r="I261" t="n">
        <v>0</v>
      </c>
      <c r="J261" t="n">
        <v>0</v>
      </c>
      <c r="K261" t="n">
        <v>0</v>
      </c>
      <c r="L261" t="n">
        <v>0</v>
      </c>
      <c r="M261" t="n">
        <v>0</v>
      </c>
      <c r="N261" t="n">
        <v>0</v>
      </c>
      <c r="O261" t="n">
        <v>0</v>
      </c>
      <c r="P261" t="n">
        <v>0</v>
      </c>
      <c r="Q261" t="n">
        <v>0</v>
      </c>
      <c r="R261" s="2" t="inlineStr"/>
    </row>
    <row r="262" ht="15" customHeight="1">
      <c r="A262" t="inlineStr">
        <is>
          <t>A 49567-2019</t>
        </is>
      </c>
      <c r="B262" s="1" t="n">
        <v>43730</v>
      </c>
      <c r="C262" s="1" t="n">
        <v>45710</v>
      </c>
      <c r="D262" t="inlineStr">
        <is>
          <t>UPPSALA LÄN</t>
        </is>
      </c>
      <c r="E262" t="inlineStr">
        <is>
          <t>UPPSALA</t>
        </is>
      </c>
      <c r="G262" t="n">
        <v>6</v>
      </c>
      <c r="H262" t="n">
        <v>0</v>
      </c>
      <c r="I262" t="n">
        <v>0</v>
      </c>
      <c r="J262" t="n">
        <v>0</v>
      </c>
      <c r="K262" t="n">
        <v>0</v>
      </c>
      <c r="L262" t="n">
        <v>0</v>
      </c>
      <c r="M262" t="n">
        <v>0</v>
      </c>
      <c r="N262" t="n">
        <v>0</v>
      </c>
      <c r="O262" t="n">
        <v>0</v>
      </c>
      <c r="P262" t="n">
        <v>0</v>
      </c>
      <c r="Q262" t="n">
        <v>0</v>
      </c>
      <c r="R262" s="2" t="inlineStr"/>
    </row>
    <row r="263" ht="15" customHeight="1">
      <c r="A263" t="inlineStr">
        <is>
          <t>A 50180-2019</t>
        </is>
      </c>
      <c r="B263" s="1" t="n">
        <v>43733</v>
      </c>
      <c r="C263" s="1" t="n">
        <v>45710</v>
      </c>
      <c r="D263" t="inlineStr">
        <is>
          <t>UPPSALA LÄN</t>
        </is>
      </c>
      <c r="E263" t="inlineStr">
        <is>
          <t>UPPSALA</t>
        </is>
      </c>
      <c r="F263" t="inlineStr">
        <is>
          <t>Allmännings- och besparingsskogar</t>
        </is>
      </c>
      <c r="G263" t="n">
        <v>3.7</v>
      </c>
      <c r="H263" t="n">
        <v>0</v>
      </c>
      <c r="I263" t="n">
        <v>0</v>
      </c>
      <c r="J263" t="n">
        <v>0</v>
      </c>
      <c r="K263" t="n">
        <v>0</v>
      </c>
      <c r="L263" t="n">
        <v>0</v>
      </c>
      <c r="M263" t="n">
        <v>0</v>
      </c>
      <c r="N263" t="n">
        <v>0</v>
      </c>
      <c r="O263" t="n">
        <v>0</v>
      </c>
      <c r="P263" t="n">
        <v>0</v>
      </c>
      <c r="Q263" t="n">
        <v>0</v>
      </c>
      <c r="R263" s="2" t="inlineStr"/>
    </row>
    <row r="264" ht="15" customHeight="1">
      <c r="A264" t="inlineStr">
        <is>
          <t>A 50387-2019</t>
        </is>
      </c>
      <c r="B264" s="1" t="n">
        <v>43735</v>
      </c>
      <c r="C264" s="1" t="n">
        <v>45710</v>
      </c>
      <c r="D264" t="inlineStr">
        <is>
          <t>UPPSALA LÄN</t>
        </is>
      </c>
      <c r="E264" t="inlineStr">
        <is>
          <t>UPPSALA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50415-2019</t>
        </is>
      </c>
      <c r="B265" s="1" t="n">
        <v>43735</v>
      </c>
      <c r="C265" s="1" t="n">
        <v>45710</v>
      </c>
      <c r="D265" t="inlineStr">
        <is>
          <t>UPPSALA LÄN</t>
        </is>
      </c>
      <c r="E265" t="inlineStr">
        <is>
          <t>UPPSALA</t>
        </is>
      </c>
      <c r="F265" t="inlineStr">
        <is>
          <t>Kyrkan</t>
        </is>
      </c>
      <c r="G265" t="n">
        <v>13.6</v>
      </c>
      <c r="H265" t="n">
        <v>0</v>
      </c>
      <c r="I265" t="n">
        <v>0</v>
      </c>
      <c r="J265" t="n">
        <v>0</v>
      </c>
      <c r="K265" t="n">
        <v>0</v>
      </c>
      <c r="L265" t="n">
        <v>0</v>
      </c>
      <c r="M265" t="n">
        <v>0</v>
      </c>
      <c r="N265" t="n">
        <v>0</v>
      </c>
      <c r="O265" t="n">
        <v>0</v>
      </c>
      <c r="P265" t="n">
        <v>0</v>
      </c>
      <c r="Q265" t="n">
        <v>0</v>
      </c>
      <c r="R265" s="2" t="inlineStr"/>
    </row>
    <row r="266" ht="15" customHeight="1">
      <c r="A266" t="inlineStr">
        <is>
          <t>A 50616-2019</t>
        </is>
      </c>
      <c r="B266" s="1" t="n">
        <v>43736</v>
      </c>
      <c r="C266" s="1" t="n">
        <v>45710</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52386-2019</t>
        </is>
      </c>
      <c r="B267" s="1" t="n">
        <v>43745</v>
      </c>
      <c r="C267" s="1" t="n">
        <v>45710</v>
      </c>
      <c r="D267" t="inlineStr">
        <is>
          <t>UPPSALA LÄN</t>
        </is>
      </c>
      <c r="E267" t="inlineStr">
        <is>
          <t>UPPSALA</t>
        </is>
      </c>
      <c r="G267" t="n">
        <v>15.7</v>
      </c>
      <c r="H267" t="n">
        <v>0</v>
      </c>
      <c r="I267" t="n">
        <v>0</v>
      </c>
      <c r="J267" t="n">
        <v>0</v>
      </c>
      <c r="K267" t="n">
        <v>0</v>
      </c>
      <c r="L267" t="n">
        <v>0</v>
      </c>
      <c r="M267" t="n">
        <v>0</v>
      </c>
      <c r="N267" t="n">
        <v>0</v>
      </c>
      <c r="O267" t="n">
        <v>0</v>
      </c>
      <c r="P267" t="n">
        <v>0</v>
      </c>
      <c r="Q267" t="n">
        <v>0</v>
      </c>
      <c r="R267" s="2" t="inlineStr"/>
    </row>
    <row r="268" ht="15" customHeight="1">
      <c r="A268" t="inlineStr">
        <is>
          <t>A 52419-2019</t>
        </is>
      </c>
      <c r="B268" s="1" t="n">
        <v>43745</v>
      </c>
      <c r="C268" s="1" t="n">
        <v>45710</v>
      </c>
      <c r="D268" t="inlineStr">
        <is>
          <t>UPPSALA LÄN</t>
        </is>
      </c>
      <c r="E268" t="inlineStr">
        <is>
          <t>UPPSALA</t>
        </is>
      </c>
      <c r="F268" t="inlineStr">
        <is>
          <t>Allmännings- och besparingsskogar</t>
        </is>
      </c>
      <c r="G268" t="n">
        <v>5.3</v>
      </c>
      <c r="H268" t="n">
        <v>0</v>
      </c>
      <c r="I268" t="n">
        <v>0</v>
      </c>
      <c r="J268" t="n">
        <v>0</v>
      </c>
      <c r="K268" t="n">
        <v>0</v>
      </c>
      <c r="L268" t="n">
        <v>0</v>
      </c>
      <c r="M268" t="n">
        <v>0</v>
      </c>
      <c r="N268" t="n">
        <v>0</v>
      </c>
      <c r="O268" t="n">
        <v>0</v>
      </c>
      <c r="P268" t="n">
        <v>0</v>
      </c>
      <c r="Q268" t="n">
        <v>0</v>
      </c>
      <c r="R268" s="2" t="inlineStr"/>
    </row>
    <row r="269" ht="15" customHeight="1">
      <c r="A269" t="inlineStr">
        <is>
          <t>A 52950-2019</t>
        </is>
      </c>
      <c r="B269" s="1" t="n">
        <v>43747</v>
      </c>
      <c r="C269" s="1" t="n">
        <v>45710</v>
      </c>
      <c r="D269" t="inlineStr">
        <is>
          <t>UPPSALA LÄN</t>
        </is>
      </c>
      <c r="E269" t="inlineStr">
        <is>
          <t>UPPSALA</t>
        </is>
      </c>
      <c r="G269" t="n">
        <v>0.2</v>
      </c>
      <c r="H269" t="n">
        <v>0</v>
      </c>
      <c r="I269" t="n">
        <v>0</v>
      </c>
      <c r="J269" t="n">
        <v>0</v>
      </c>
      <c r="K269" t="n">
        <v>0</v>
      </c>
      <c r="L269" t="n">
        <v>0</v>
      </c>
      <c r="M269" t="n">
        <v>0</v>
      </c>
      <c r="N269" t="n">
        <v>0</v>
      </c>
      <c r="O269" t="n">
        <v>0</v>
      </c>
      <c r="P269" t="n">
        <v>0</v>
      </c>
      <c r="Q269" t="n">
        <v>0</v>
      </c>
      <c r="R269" s="2" t="inlineStr"/>
    </row>
    <row r="270" ht="15" customHeight="1">
      <c r="A270" t="inlineStr">
        <is>
          <t>A 53303-2019</t>
        </is>
      </c>
      <c r="B270" s="1" t="n">
        <v>43747</v>
      </c>
      <c r="C270" s="1" t="n">
        <v>45710</v>
      </c>
      <c r="D270" t="inlineStr">
        <is>
          <t>UPPSALA LÄN</t>
        </is>
      </c>
      <c r="E270" t="inlineStr">
        <is>
          <t>UPPSALA</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53316-2019</t>
        </is>
      </c>
      <c r="B271" s="1" t="n">
        <v>43748</v>
      </c>
      <c r="C271" s="1" t="n">
        <v>45710</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54757-2019</t>
        </is>
      </c>
      <c r="B272" s="1" t="n">
        <v>43755</v>
      </c>
      <c r="C272" s="1" t="n">
        <v>45710</v>
      </c>
      <c r="D272" t="inlineStr">
        <is>
          <t>UPPSALA LÄN</t>
        </is>
      </c>
      <c r="E272" t="inlineStr">
        <is>
          <t>UPPSALA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56041-2019</t>
        </is>
      </c>
      <c r="B273" s="1" t="n">
        <v>43759</v>
      </c>
      <c r="C273" s="1" t="n">
        <v>45710</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56634-2019</t>
        </is>
      </c>
      <c r="B274" s="1" t="n">
        <v>43763</v>
      </c>
      <c r="C274" s="1" t="n">
        <v>45710</v>
      </c>
      <c r="D274" t="inlineStr">
        <is>
          <t>UPPSALA LÄN</t>
        </is>
      </c>
      <c r="E274" t="inlineStr">
        <is>
          <t>UPPSALA</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58445-2019</t>
        </is>
      </c>
      <c r="B275" s="1" t="n">
        <v>43773</v>
      </c>
      <c r="C275" s="1" t="n">
        <v>45710</v>
      </c>
      <c r="D275" t="inlineStr">
        <is>
          <t>UPPSALA LÄN</t>
        </is>
      </c>
      <c r="E275" t="inlineStr">
        <is>
          <t>UPPSALA</t>
        </is>
      </c>
      <c r="G275" t="n">
        <v>5</v>
      </c>
      <c r="H275" t="n">
        <v>0</v>
      </c>
      <c r="I275" t="n">
        <v>0</v>
      </c>
      <c r="J275" t="n">
        <v>0</v>
      </c>
      <c r="K275" t="n">
        <v>0</v>
      </c>
      <c r="L275" t="n">
        <v>0</v>
      </c>
      <c r="M275" t="n">
        <v>0</v>
      </c>
      <c r="N275" t="n">
        <v>0</v>
      </c>
      <c r="O275" t="n">
        <v>0</v>
      </c>
      <c r="P275" t="n">
        <v>0</v>
      </c>
      <c r="Q275" t="n">
        <v>0</v>
      </c>
      <c r="R275" s="2" t="inlineStr"/>
    </row>
    <row r="276" ht="15" customHeight="1">
      <c r="A276" t="inlineStr">
        <is>
          <t>A 58527-2019</t>
        </is>
      </c>
      <c r="B276" s="1" t="n">
        <v>43773</v>
      </c>
      <c r="C276" s="1" t="n">
        <v>45710</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58903-2019</t>
        </is>
      </c>
      <c r="B277" s="1" t="n">
        <v>43773</v>
      </c>
      <c r="C277" s="1" t="n">
        <v>45710</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60011-2019</t>
        </is>
      </c>
      <c r="B278" s="1" t="n">
        <v>43777</v>
      </c>
      <c r="C278" s="1" t="n">
        <v>45710</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60159-2019</t>
        </is>
      </c>
      <c r="B279" s="1" t="n">
        <v>43777</v>
      </c>
      <c r="C279" s="1" t="n">
        <v>45710</v>
      </c>
      <c r="D279" t="inlineStr">
        <is>
          <t>UPPSALA LÄN</t>
        </is>
      </c>
      <c r="E279" t="inlineStr">
        <is>
          <t>UPPSALA</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60163-2019</t>
        </is>
      </c>
      <c r="B280" s="1" t="n">
        <v>43780</v>
      </c>
      <c r="C280" s="1" t="n">
        <v>45710</v>
      </c>
      <c r="D280" t="inlineStr">
        <is>
          <t>UPPSALA LÄN</t>
        </is>
      </c>
      <c r="E280" t="inlineStr">
        <is>
          <t>UPPSALA</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60579-2019</t>
        </is>
      </c>
      <c r="B281" s="1" t="n">
        <v>43780</v>
      </c>
      <c r="C281" s="1" t="n">
        <v>45710</v>
      </c>
      <c r="D281" t="inlineStr">
        <is>
          <t>UPPSALA LÄN</t>
        </is>
      </c>
      <c r="E281" t="inlineStr">
        <is>
          <t>UPPSALA</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62308-2019</t>
        </is>
      </c>
      <c r="B282" s="1" t="n">
        <v>43782</v>
      </c>
      <c r="C282" s="1" t="n">
        <v>45710</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61667-2019</t>
        </is>
      </c>
      <c r="B283" s="1" t="n">
        <v>43784</v>
      </c>
      <c r="C283" s="1" t="n">
        <v>45710</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63145-2019</t>
        </is>
      </c>
      <c r="B284" s="1" t="n">
        <v>43791</v>
      </c>
      <c r="C284" s="1" t="n">
        <v>45710</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63091-2019</t>
        </is>
      </c>
      <c r="B285" s="1" t="n">
        <v>43791</v>
      </c>
      <c r="C285" s="1" t="n">
        <v>45710</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63099-2019</t>
        </is>
      </c>
      <c r="B286" s="1" t="n">
        <v>43791</v>
      </c>
      <c r="C286" s="1" t="n">
        <v>45710</v>
      </c>
      <c r="D286" t="inlineStr">
        <is>
          <t>UPPSALA LÄN</t>
        </is>
      </c>
      <c r="E286" t="inlineStr">
        <is>
          <t>UPPSALA</t>
        </is>
      </c>
      <c r="G286" t="n">
        <v>4.4</v>
      </c>
      <c r="H286" t="n">
        <v>0</v>
      </c>
      <c r="I286" t="n">
        <v>0</v>
      </c>
      <c r="J286" t="n">
        <v>0</v>
      </c>
      <c r="K286" t="n">
        <v>0</v>
      </c>
      <c r="L286" t="n">
        <v>0</v>
      </c>
      <c r="M286" t="n">
        <v>0</v>
      </c>
      <c r="N286" t="n">
        <v>0</v>
      </c>
      <c r="O286" t="n">
        <v>0</v>
      </c>
      <c r="P286" t="n">
        <v>0</v>
      </c>
      <c r="Q286" t="n">
        <v>0</v>
      </c>
      <c r="R286" s="2" t="inlineStr"/>
    </row>
    <row r="287" ht="15" customHeight="1">
      <c r="A287" t="inlineStr">
        <is>
          <t>A 63118-2019</t>
        </is>
      </c>
      <c r="B287" s="1" t="n">
        <v>43791</v>
      </c>
      <c r="C287" s="1" t="n">
        <v>45710</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63589-2019</t>
        </is>
      </c>
      <c r="B288" s="1" t="n">
        <v>43795</v>
      </c>
      <c r="C288" s="1" t="n">
        <v>45710</v>
      </c>
      <c r="D288" t="inlineStr">
        <is>
          <t>UPPSALA LÄN</t>
        </is>
      </c>
      <c r="E288" t="inlineStr">
        <is>
          <t>UPPSALA</t>
        </is>
      </c>
      <c r="G288" t="n">
        <v>3.8</v>
      </c>
      <c r="H288" t="n">
        <v>0</v>
      </c>
      <c r="I288" t="n">
        <v>0</v>
      </c>
      <c r="J288" t="n">
        <v>0</v>
      </c>
      <c r="K288" t="n">
        <v>0</v>
      </c>
      <c r="L288" t="n">
        <v>0</v>
      </c>
      <c r="M288" t="n">
        <v>0</v>
      </c>
      <c r="N288" t="n">
        <v>0</v>
      </c>
      <c r="O288" t="n">
        <v>0</v>
      </c>
      <c r="P288" t="n">
        <v>0</v>
      </c>
      <c r="Q288" t="n">
        <v>0</v>
      </c>
      <c r="R288" s="2" t="inlineStr"/>
    </row>
    <row r="289" ht="15" customHeight="1">
      <c r="A289" t="inlineStr">
        <is>
          <t>A 63757-2019</t>
        </is>
      </c>
      <c r="B289" s="1" t="n">
        <v>43795</v>
      </c>
      <c r="C289" s="1" t="n">
        <v>45710</v>
      </c>
      <c r="D289" t="inlineStr">
        <is>
          <t>UPPSALA LÄN</t>
        </is>
      </c>
      <c r="E289" t="inlineStr">
        <is>
          <t>UPPSALA</t>
        </is>
      </c>
      <c r="G289" t="n">
        <v>6.9</v>
      </c>
      <c r="H289" t="n">
        <v>0</v>
      </c>
      <c r="I289" t="n">
        <v>0</v>
      </c>
      <c r="J289" t="n">
        <v>0</v>
      </c>
      <c r="K289" t="n">
        <v>0</v>
      </c>
      <c r="L289" t="n">
        <v>0</v>
      </c>
      <c r="M289" t="n">
        <v>0</v>
      </c>
      <c r="N289" t="n">
        <v>0</v>
      </c>
      <c r="O289" t="n">
        <v>0</v>
      </c>
      <c r="P289" t="n">
        <v>0</v>
      </c>
      <c r="Q289" t="n">
        <v>0</v>
      </c>
      <c r="R289" s="2" t="inlineStr"/>
    </row>
    <row r="290" ht="15" customHeight="1">
      <c r="A290" t="inlineStr">
        <is>
          <t>A 63756-2019</t>
        </is>
      </c>
      <c r="B290" s="1" t="n">
        <v>43795</v>
      </c>
      <c r="C290" s="1" t="n">
        <v>45710</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64836-2019</t>
        </is>
      </c>
      <c r="B291" s="1" t="n">
        <v>43801</v>
      </c>
      <c r="C291" s="1" t="n">
        <v>45710</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64834-2019</t>
        </is>
      </c>
      <c r="B292" s="1" t="n">
        <v>43801</v>
      </c>
      <c r="C292" s="1" t="n">
        <v>45710</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65527-2019</t>
        </is>
      </c>
      <c r="B293" s="1" t="n">
        <v>43803</v>
      </c>
      <c r="C293" s="1" t="n">
        <v>45710</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65668-2019</t>
        </is>
      </c>
      <c r="B294" s="1" t="n">
        <v>43804</v>
      </c>
      <c r="C294" s="1" t="n">
        <v>45710</v>
      </c>
      <c r="D294" t="inlineStr">
        <is>
          <t>UPPSALA LÄN</t>
        </is>
      </c>
      <c r="E294" t="inlineStr">
        <is>
          <t>UPPSALA</t>
        </is>
      </c>
      <c r="G294" t="n">
        <v>7.6</v>
      </c>
      <c r="H294" t="n">
        <v>0</v>
      </c>
      <c r="I294" t="n">
        <v>0</v>
      </c>
      <c r="J294" t="n">
        <v>0</v>
      </c>
      <c r="K294" t="n">
        <v>0</v>
      </c>
      <c r="L294" t="n">
        <v>0</v>
      </c>
      <c r="M294" t="n">
        <v>0</v>
      </c>
      <c r="N294" t="n">
        <v>0</v>
      </c>
      <c r="O294" t="n">
        <v>0</v>
      </c>
      <c r="P294" t="n">
        <v>0</v>
      </c>
      <c r="Q294" t="n">
        <v>0</v>
      </c>
      <c r="R294" s="2" t="inlineStr"/>
    </row>
    <row r="295" ht="15" customHeight="1">
      <c r="A295" t="inlineStr">
        <is>
          <t>A 66167-2019</t>
        </is>
      </c>
      <c r="B295" s="1" t="n">
        <v>43808</v>
      </c>
      <c r="C295" s="1" t="n">
        <v>45710</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66270-2019</t>
        </is>
      </c>
      <c r="B296" s="1" t="n">
        <v>43808</v>
      </c>
      <c r="C296" s="1" t="n">
        <v>45710</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67108-2019</t>
        </is>
      </c>
      <c r="B297" s="1" t="n">
        <v>43811</v>
      </c>
      <c r="C297" s="1" t="n">
        <v>45710</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67281-2019</t>
        </is>
      </c>
      <c r="B298" s="1" t="n">
        <v>43812</v>
      </c>
      <c r="C298" s="1" t="n">
        <v>45710</v>
      </c>
      <c r="D298" t="inlineStr">
        <is>
          <t>UPPSALA LÄN</t>
        </is>
      </c>
      <c r="E298" t="inlineStr">
        <is>
          <t>UPPSALA</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67508-2019</t>
        </is>
      </c>
      <c r="B299" s="1" t="n">
        <v>43814</v>
      </c>
      <c r="C299" s="1" t="n">
        <v>45710</v>
      </c>
      <c r="D299" t="inlineStr">
        <is>
          <t>UPPSALA LÄN</t>
        </is>
      </c>
      <c r="E299" t="inlineStr">
        <is>
          <t>UPPSALA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67504-2019</t>
        </is>
      </c>
      <c r="B300" s="1" t="n">
        <v>43814</v>
      </c>
      <c r="C300" s="1" t="n">
        <v>45710</v>
      </c>
      <c r="D300" t="inlineStr">
        <is>
          <t>UPPSALA LÄN</t>
        </is>
      </c>
      <c r="E300" t="inlineStr">
        <is>
          <t>UPPSALA</t>
        </is>
      </c>
      <c r="F300" t="inlineStr">
        <is>
          <t>Allmännings- och besparingsskogar</t>
        </is>
      </c>
      <c r="G300" t="n">
        <v>21.9</v>
      </c>
      <c r="H300" t="n">
        <v>0</v>
      </c>
      <c r="I300" t="n">
        <v>0</v>
      </c>
      <c r="J300" t="n">
        <v>0</v>
      </c>
      <c r="K300" t="n">
        <v>0</v>
      </c>
      <c r="L300" t="n">
        <v>0</v>
      </c>
      <c r="M300" t="n">
        <v>0</v>
      </c>
      <c r="N300" t="n">
        <v>0</v>
      </c>
      <c r="O300" t="n">
        <v>0</v>
      </c>
      <c r="P300" t="n">
        <v>0</v>
      </c>
      <c r="Q300" t="n">
        <v>0</v>
      </c>
      <c r="R300" s="2" t="inlineStr"/>
    </row>
    <row r="301" ht="15" customHeight="1">
      <c r="A301" t="inlineStr">
        <is>
          <t>A 67720-2019</t>
        </is>
      </c>
      <c r="B301" s="1" t="n">
        <v>43815</v>
      </c>
      <c r="C301" s="1" t="n">
        <v>45710</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67592-2019</t>
        </is>
      </c>
      <c r="B302" s="1" t="n">
        <v>43815</v>
      </c>
      <c r="C302" s="1" t="n">
        <v>45710</v>
      </c>
      <c r="D302" t="inlineStr">
        <is>
          <t>UPPSALA LÄN</t>
        </is>
      </c>
      <c r="E302" t="inlineStr">
        <is>
          <t>UPPSALA</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68264-2019</t>
        </is>
      </c>
      <c r="B303" s="1" t="n">
        <v>43817</v>
      </c>
      <c r="C303" s="1" t="n">
        <v>45710</v>
      </c>
      <c r="D303" t="inlineStr">
        <is>
          <t>UPPSALA LÄN</t>
        </is>
      </c>
      <c r="E303" t="inlineStr">
        <is>
          <t>UPPSALA</t>
        </is>
      </c>
      <c r="G303" t="n">
        <v>2.9</v>
      </c>
      <c r="H303" t="n">
        <v>0</v>
      </c>
      <c r="I303" t="n">
        <v>0</v>
      </c>
      <c r="J303" t="n">
        <v>0</v>
      </c>
      <c r="K303" t="n">
        <v>0</v>
      </c>
      <c r="L303" t="n">
        <v>0</v>
      </c>
      <c r="M303" t="n">
        <v>0</v>
      </c>
      <c r="N303" t="n">
        <v>0</v>
      </c>
      <c r="O303" t="n">
        <v>0</v>
      </c>
      <c r="P303" t="n">
        <v>0</v>
      </c>
      <c r="Q303" t="n">
        <v>0</v>
      </c>
      <c r="R303" s="2" t="inlineStr"/>
    </row>
    <row r="304" ht="15" customHeight="1">
      <c r="A304" t="inlineStr">
        <is>
          <t>A 68265-2019</t>
        </is>
      </c>
      <c r="B304" s="1" t="n">
        <v>43817</v>
      </c>
      <c r="C304" s="1" t="n">
        <v>45710</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68317-2019</t>
        </is>
      </c>
      <c r="B305" s="1" t="n">
        <v>43818</v>
      </c>
      <c r="C305" s="1" t="n">
        <v>45710</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68316-2019</t>
        </is>
      </c>
      <c r="B306" s="1" t="n">
        <v>43818</v>
      </c>
      <c r="C306" s="1" t="n">
        <v>45710</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68908-2019</t>
        </is>
      </c>
      <c r="B307" s="1" t="n">
        <v>43822</v>
      </c>
      <c r="C307" s="1" t="n">
        <v>45710</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529-2020</t>
        </is>
      </c>
      <c r="B308" s="1" t="n">
        <v>43837</v>
      </c>
      <c r="C308" s="1" t="n">
        <v>45710</v>
      </c>
      <c r="D308" t="inlineStr">
        <is>
          <t>UPPSALA LÄN</t>
        </is>
      </c>
      <c r="E308" t="inlineStr">
        <is>
          <t>UPPSALA</t>
        </is>
      </c>
      <c r="G308" t="n">
        <v>1.6</v>
      </c>
      <c r="H308" t="n">
        <v>0</v>
      </c>
      <c r="I308" t="n">
        <v>0</v>
      </c>
      <c r="J308" t="n">
        <v>0</v>
      </c>
      <c r="K308" t="n">
        <v>0</v>
      </c>
      <c r="L308" t="n">
        <v>0</v>
      </c>
      <c r="M308" t="n">
        <v>0</v>
      </c>
      <c r="N308" t="n">
        <v>0</v>
      </c>
      <c r="O308" t="n">
        <v>0</v>
      </c>
      <c r="P308" t="n">
        <v>0</v>
      </c>
      <c r="Q308" t="n">
        <v>0</v>
      </c>
      <c r="R308" s="2" t="inlineStr"/>
    </row>
    <row r="309" ht="15" customHeight="1">
      <c r="A309" t="inlineStr">
        <is>
          <t>A 1891-2020</t>
        </is>
      </c>
      <c r="B309" s="1" t="n">
        <v>43837</v>
      </c>
      <c r="C309" s="1" t="n">
        <v>45710</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701-2020</t>
        </is>
      </c>
      <c r="B310" s="1" t="n">
        <v>43838</v>
      </c>
      <c r="C310" s="1" t="n">
        <v>45710</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1171-2020</t>
        </is>
      </c>
      <c r="B311" s="1" t="n">
        <v>43840</v>
      </c>
      <c r="C311" s="1" t="n">
        <v>45710</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1688-2020</t>
        </is>
      </c>
      <c r="B312" s="1" t="n">
        <v>43844</v>
      </c>
      <c r="C312" s="1" t="n">
        <v>45710</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2162-2020</t>
        </is>
      </c>
      <c r="B313" s="1" t="n">
        <v>43846</v>
      </c>
      <c r="C313" s="1" t="n">
        <v>45710</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2895-2020</t>
        </is>
      </c>
      <c r="B314" s="1" t="n">
        <v>43850</v>
      </c>
      <c r="C314" s="1" t="n">
        <v>45710</v>
      </c>
      <c r="D314" t="inlineStr">
        <is>
          <t>UPPSALA LÄN</t>
        </is>
      </c>
      <c r="E314" t="inlineStr">
        <is>
          <t>UPPSALA</t>
        </is>
      </c>
      <c r="G314" t="n">
        <v>3.8</v>
      </c>
      <c r="H314" t="n">
        <v>0</v>
      </c>
      <c r="I314" t="n">
        <v>0</v>
      </c>
      <c r="J314" t="n">
        <v>0</v>
      </c>
      <c r="K314" t="n">
        <v>0</v>
      </c>
      <c r="L314" t="n">
        <v>0</v>
      </c>
      <c r="M314" t="n">
        <v>0</v>
      </c>
      <c r="N314" t="n">
        <v>0</v>
      </c>
      <c r="O314" t="n">
        <v>0</v>
      </c>
      <c r="P314" t="n">
        <v>0</v>
      </c>
      <c r="Q314" t="n">
        <v>0</v>
      </c>
      <c r="R314" s="2" t="inlineStr"/>
    </row>
    <row r="315" ht="15" customHeight="1">
      <c r="A315" t="inlineStr">
        <is>
          <t>A 3693-2020</t>
        </is>
      </c>
      <c r="B315" s="1" t="n">
        <v>43853</v>
      </c>
      <c r="C315" s="1" t="n">
        <v>45710</v>
      </c>
      <c r="D315" t="inlineStr">
        <is>
          <t>UPPSALA LÄN</t>
        </is>
      </c>
      <c r="E315" t="inlineStr">
        <is>
          <t>UPPSALA</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3516-2020</t>
        </is>
      </c>
      <c r="B316" s="1" t="n">
        <v>43853</v>
      </c>
      <c r="C316" s="1" t="n">
        <v>45710</v>
      </c>
      <c r="D316" t="inlineStr">
        <is>
          <t>UPPSALA LÄN</t>
        </is>
      </c>
      <c r="E316" t="inlineStr">
        <is>
          <t>UPPSALA</t>
        </is>
      </c>
      <c r="G316" t="n">
        <v>9.4</v>
      </c>
      <c r="H316" t="n">
        <v>0</v>
      </c>
      <c r="I316" t="n">
        <v>0</v>
      </c>
      <c r="J316" t="n">
        <v>0</v>
      </c>
      <c r="K316" t="n">
        <v>0</v>
      </c>
      <c r="L316" t="n">
        <v>0</v>
      </c>
      <c r="M316" t="n">
        <v>0</v>
      </c>
      <c r="N316" t="n">
        <v>0</v>
      </c>
      <c r="O316" t="n">
        <v>0</v>
      </c>
      <c r="P316" t="n">
        <v>0</v>
      </c>
      <c r="Q316" t="n">
        <v>0</v>
      </c>
      <c r="R316" s="2" t="inlineStr"/>
    </row>
    <row r="317" ht="15" customHeight="1">
      <c r="A317" t="inlineStr">
        <is>
          <t>A 6313-2020</t>
        </is>
      </c>
      <c r="B317" s="1" t="n">
        <v>43866</v>
      </c>
      <c r="C317" s="1" t="n">
        <v>45710</v>
      </c>
      <c r="D317" t="inlineStr">
        <is>
          <t>UPPSALA LÄN</t>
        </is>
      </c>
      <c r="E317" t="inlineStr">
        <is>
          <t>UPPSALA</t>
        </is>
      </c>
      <c r="F317" t="inlineStr">
        <is>
          <t>Övriga statliga verk och myndigheter</t>
        </is>
      </c>
      <c r="G317" t="n">
        <v>3.4</v>
      </c>
      <c r="H317" t="n">
        <v>0</v>
      </c>
      <c r="I317" t="n">
        <v>0</v>
      </c>
      <c r="J317" t="n">
        <v>0</v>
      </c>
      <c r="K317" t="n">
        <v>0</v>
      </c>
      <c r="L317" t="n">
        <v>0</v>
      </c>
      <c r="M317" t="n">
        <v>0</v>
      </c>
      <c r="N317" t="n">
        <v>0</v>
      </c>
      <c r="O317" t="n">
        <v>0</v>
      </c>
      <c r="P317" t="n">
        <v>0</v>
      </c>
      <c r="Q317" t="n">
        <v>0</v>
      </c>
      <c r="R317" s="2" t="inlineStr"/>
    </row>
    <row r="318" ht="15" customHeight="1">
      <c r="A318" t="inlineStr">
        <is>
          <t>A 6315-2020</t>
        </is>
      </c>
      <c r="B318" s="1" t="n">
        <v>43866</v>
      </c>
      <c r="C318" s="1" t="n">
        <v>45710</v>
      </c>
      <c r="D318" t="inlineStr">
        <is>
          <t>UPPSALA LÄN</t>
        </is>
      </c>
      <c r="E318" t="inlineStr">
        <is>
          <t>UPPSALA</t>
        </is>
      </c>
      <c r="F318" t="inlineStr">
        <is>
          <t>Övriga statliga verk och myndigheter</t>
        </is>
      </c>
      <c r="G318" t="n">
        <v>1.9</v>
      </c>
      <c r="H318" t="n">
        <v>0</v>
      </c>
      <c r="I318" t="n">
        <v>0</v>
      </c>
      <c r="J318" t="n">
        <v>0</v>
      </c>
      <c r="K318" t="n">
        <v>0</v>
      </c>
      <c r="L318" t="n">
        <v>0</v>
      </c>
      <c r="M318" t="n">
        <v>0</v>
      </c>
      <c r="N318" t="n">
        <v>0</v>
      </c>
      <c r="O318" t="n">
        <v>0</v>
      </c>
      <c r="P318" t="n">
        <v>0</v>
      </c>
      <c r="Q318" t="n">
        <v>0</v>
      </c>
      <c r="R318" s="2" t="inlineStr"/>
    </row>
    <row r="319" ht="15" customHeight="1">
      <c r="A319" t="inlineStr">
        <is>
          <t>A 6655-2020</t>
        </is>
      </c>
      <c r="B319" s="1" t="n">
        <v>43867</v>
      </c>
      <c r="C319" s="1" t="n">
        <v>45710</v>
      </c>
      <c r="D319" t="inlineStr">
        <is>
          <t>UPPSALA LÄN</t>
        </is>
      </c>
      <c r="E319" t="inlineStr">
        <is>
          <t>UPPSALA</t>
        </is>
      </c>
      <c r="G319" t="n">
        <v>7.3</v>
      </c>
      <c r="H319" t="n">
        <v>0</v>
      </c>
      <c r="I319" t="n">
        <v>0</v>
      </c>
      <c r="J319" t="n">
        <v>0</v>
      </c>
      <c r="K319" t="n">
        <v>0</v>
      </c>
      <c r="L319" t="n">
        <v>0</v>
      </c>
      <c r="M319" t="n">
        <v>0</v>
      </c>
      <c r="N319" t="n">
        <v>0</v>
      </c>
      <c r="O319" t="n">
        <v>0</v>
      </c>
      <c r="P319" t="n">
        <v>0</v>
      </c>
      <c r="Q319" t="n">
        <v>0</v>
      </c>
      <c r="R319" s="2" t="inlineStr"/>
    </row>
    <row r="320" ht="15" customHeight="1">
      <c r="A320" t="inlineStr">
        <is>
          <t>A 8261-2020</t>
        </is>
      </c>
      <c r="B320" s="1" t="n">
        <v>43874</v>
      </c>
      <c r="C320" s="1" t="n">
        <v>45710</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8646-2020</t>
        </is>
      </c>
      <c r="B321" s="1" t="n">
        <v>43878</v>
      </c>
      <c r="C321" s="1" t="n">
        <v>45710</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8902-2020</t>
        </is>
      </c>
      <c r="B322" s="1" t="n">
        <v>43878</v>
      </c>
      <c r="C322" s="1" t="n">
        <v>45710</v>
      </c>
      <c r="D322" t="inlineStr">
        <is>
          <t>UPPSALA LÄN</t>
        </is>
      </c>
      <c r="E322" t="inlineStr">
        <is>
          <t>UPPSALA</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9011-2020</t>
        </is>
      </c>
      <c r="B323" s="1" t="n">
        <v>43879</v>
      </c>
      <c r="C323" s="1" t="n">
        <v>45710</v>
      </c>
      <c r="D323" t="inlineStr">
        <is>
          <t>UPPSALA LÄN</t>
        </is>
      </c>
      <c r="E323" t="inlineStr">
        <is>
          <t>UPPSALA</t>
        </is>
      </c>
      <c r="F323" t="inlineStr">
        <is>
          <t>Övriga statliga verk och myndigheter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9084-2020</t>
        </is>
      </c>
      <c r="B324" s="1" t="n">
        <v>43879</v>
      </c>
      <c r="C324" s="1" t="n">
        <v>45710</v>
      </c>
      <c r="D324" t="inlineStr">
        <is>
          <t>UPPSALA LÄN</t>
        </is>
      </c>
      <c r="E324" t="inlineStr">
        <is>
          <t>UPPSALA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9257-2020</t>
        </is>
      </c>
      <c r="B325" s="1" t="n">
        <v>43879</v>
      </c>
      <c r="C325" s="1" t="n">
        <v>45710</v>
      </c>
      <c r="D325" t="inlineStr">
        <is>
          <t>UPPSALA LÄN</t>
        </is>
      </c>
      <c r="E325" t="inlineStr">
        <is>
          <t>UPPSALA</t>
        </is>
      </c>
      <c r="F325" t="inlineStr">
        <is>
          <t>Bergvik skog öst AB</t>
        </is>
      </c>
      <c r="G325" t="n">
        <v>5.8</v>
      </c>
      <c r="H325" t="n">
        <v>0</v>
      </c>
      <c r="I325" t="n">
        <v>0</v>
      </c>
      <c r="J325" t="n">
        <v>0</v>
      </c>
      <c r="K325" t="n">
        <v>0</v>
      </c>
      <c r="L325" t="n">
        <v>0</v>
      </c>
      <c r="M325" t="n">
        <v>0</v>
      </c>
      <c r="N325" t="n">
        <v>0</v>
      </c>
      <c r="O325" t="n">
        <v>0</v>
      </c>
      <c r="P325" t="n">
        <v>0</v>
      </c>
      <c r="Q325" t="n">
        <v>0</v>
      </c>
      <c r="R325" s="2" t="inlineStr"/>
    </row>
    <row r="326" ht="15" customHeight="1">
      <c r="A326" t="inlineStr">
        <is>
          <t>A 9658-2020</t>
        </is>
      </c>
      <c r="B326" s="1" t="n">
        <v>43881</v>
      </c>
      <c r="C326" s="1" t="n">
        <v>45710</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10003-2020</t>
        </is>
      </c>
      <c r="B327" s="1" t="n">
        <v>43882</v>
      </c>
      <c r="C327" s="1" t="n">
        <v>45710</v>
      </c>
      <c r="D327" t="inlineStr">
        <is>
          <t>UPPSALA LÄN</t>
        </is>
      </c>
      <c r="E327" t="inlineStr">
        <is>
          <t>UPPSALA</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9949-2020</t>
        </is>
      </c>
      <c r="B328" s="1" t="n">
        <v>43882</v>
      </c>
      <c r="C328" s="1" t="n">
        <v>45710</v>
      </c>
      <c r="D328" t="inlineStr">
        <is>
          <t>UPPSALA LÄN</t>
        </is>
      </c>
      <c r="E328" t="inlineStr">
        <is>
          <t>UPPSALA</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10033-2020</t>
        </is>
      </c>
      <c r="B329" s="1" t="n">
        <v>43882</v>
      </c>
      <c r="C329" s="1" t="n">
        <v>45710</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10478-2020</t>
        </is>
      </c>
      <c r="B330" s="1" t="n">
        <v>43886</v>
      </c>
      <c r="C330" s="1" t="n">
        <v>45710</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11540-2020</t>
        </is>
      </c>
      <c r="B331" s="1" t="n">
        <v>43887</v>
      </c>
      <c r="C331" s="1" t="n">
        <v>45710</v>
      </c>
      <c r="D331" t="inlineStr">
        <is>
          <t>UPPSALA LÄN</t>
        </is>
      </c>
      <c r="E331" t="inlineStr">
        <is>
          <t>UPPSALA</t>
        </is>
      </c>
      <c r="G331" t="n">
        <v>2.1</v>
      </c>
      <c r="H331" t="n">
        <v>0</v>
      </c>
      <c r="I331" t="n">
        <v>0</v>
      </c>
      <c r="J331" t="n">
        <v>0</v>
      </c>
      <c r="K331" t="n">
        <v>0</v>
      </c>
      <c r="L331" t="n">
        <v>0</v>
      </c>
      <c r="M331" t="n">
        <v>0</v>
      </c>
      <c r="N331" t="n">
        <v>0</v>
      </c>
      <c r="O331" t="n">
        <v>0</v>
      </c>
      <c r="P331" t="n">
        <v>0</v>
      </c>
      <c r="Q331" t="n">
        <v>0</v>
      </c>
      <c r="R331" s="2" t="inlineStr"/>
    </row>
    <row r="332" ht="15" customHeight="1">
      <c r="A332" t="inlineStr">
        <is>
          <t>A 11174-2020</t>
        </is>
      </c>
      <c r="B332" s="1" t="n">
        <v>43891</v>
      </c>
      <c r="C332" s="1" t="n">
        <v>45710</v>
      </c>
      <c r="D332" t="inlineStr">
        <is>
          <t>UPPSALA LÄN</t>
        </is>
      </c>
      <c r="E332" t="inlineStr">
        <is>
          <t>UPPSALA</t>
        </is>
      </c>
      <c r="F332" t="inlineStr">
        <is>
          <t>Övriga statliga verk och myndigheter</t>
        </is>
      </c>
      <c r="G332" t="n">
        <v>2.8</v>
      </c>
      <c r="H332" t="n">
        <v>0</v>
      </c>
      <c r="I332" t="n">
        <v>0</v>
      </c>
      <c r="J332" t="n">
        <v>0</v>
      </c>
      <c r="K332" t="n">
        <v>0</v>
      </c>
      <c r="L332" t="n">
        <v>0</v>
      </c>
      <c r="M332" t="n">
        <v>0</v>
      </c>
      <c r="N332" t="n">
        <v>0</v>
      </c>
      <c r="O332" t="n">
        <v>0</v>
      </c>
      <c r="P332" t="n">
        <v>0</v>
      </c>
      <c r="Q332" t="n">
        <v>0</v>
      </c>
      <c r="R332" s="2" t="inlineStr"/>
    </row>
    <row r="333" ht="15" customHeight="1">
      <c r="A333" t="inlineStr">
        <is>
          <t>A 12626-2020</t>
        </is>
      </c>
      <c r="B333" s="1" t="n">
        <v>43892</v>
      </c>
      <c r="C333" s="1" t="n">
        <v>45710</v>
      </c>
      <c r="D333" t="inlineStr">
        <is>
          <t>UPPSALA LÄN</t>
        </is>
      </c>
      <c r="E333" t="inlineStr">
        <is>
          <t>UPPSALA</t>
        </is>
      </c>
      <c r="G333" t="n">
        <v>11.4</v>
      </c>
      <c r="H333" t="n">
        <v>0</v>
      </c>
      <c r="I333" t="n">
        <v>0</v>
      </c>
      <c r="J333" t="n">
        <v>0</v>
      </c>
      <c r="K333" t="n">
        <v>0</v>
      </c>
      <c r="L333" t="n">
        <v>0</v>
      </c>
      <c r="M333" t="n">
        <v>0</v>
      </c>
      <c r="N333" t="n">
        <v>0</v>
      </c>
      <c r="O333" t="n">
        <v>0</v>
      </c>
      <c r="P333" t="n">
        <v>0</v>
      </c>
      <c r="Q333" t="n">
        <v>0</v>
      </c>
      <c r="R333" s="2" t="inlineStr"/>
    </row>
    <row r="334" ht="15" customHeight="1">
      <c r="A334" t="inlineStr">
        <is>
          <t>A 11336-2020</t>
        </is>
      </c>
      <c r="B334" s="1" t="n">
        <v>43892</v>
      </c>
      <c r="C334" s="1" t="n">
        <v>45710</v>
      </c>
      <c r="D334" t="inlineStr">
        <is>
          <t>UPPSALA LÄN</t>
        </is>
      </c>
      <c r="E334" t="inlineStr">
        <is>
          <t>UPPSALA</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11320-2020</t>
        </is>
      </c>
      <c r="B335" s="1" t="n">
        <v>43892</v>
      </c>
      <c r="C335" s="1" t="n">
        <v>45710</v>
      </c>
      <c r="D335" t="inlineStr">
        <is>
          <t>UPPSALA LÄN</t>
        </is>
      </c>
      <c r="E335" t="inlineStr">
        <is>
          <t>UPPSALA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12028-2020</t>
        </is>
      </c>
      <c r="B336" s="1" t="n">
        <v>43894</v>
      </c>
      <c r="C336" s="1" t="n">
        <v>45710</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12055-2020</t>
        </is>
      </c>
      <c r="B337" s="1" t="n">
        <v>43894</v>
      </c>
      <c r="C337" s="1" t="n">
        <v>45710</v>
      </c>
      <c r="D337" t="inlineStr">
        <is>
          <t>UPPSALA LÄN</t>
        </is>
      </c>
      <c r="E337" t="inlineStr">
        <is>
          <t>UPPSALA</t>
        </is>
      </c>
      <c r="G337" t="n">
        <v>6.2</v>
      </c>
      <c r="H337" t="n">
        <v>0</v>
      </c>
      <c r="I337" t="n">
        <v>0</v>
      </c>
      <c r="J337" t="n">
        <v>0</v>
      </c>
      <c r="K337" t="n">
        <v>0</v>
      </c>
      <c r="L337" t="n">
        <v>0</v>
      </c>
      <c r="M337" t="n">
        <v>0</v>
      </c>
      <c r="N337" t="n">
        <v>0</v>
      </c>
      <c r="O337" t="n">
        <v>0</v>
      </c>
      <c r="P337" t="n">
        <v>0</v>
      </c>
      <c r="Q337" t="n">
        <v>0</v>
      </c>
      <c r="R337" s="2" t="inlineStr"/>
    </row>
    <row r="338" ht="15" customHeight="1">
      <c r="A338" t="inlineStr">
        <is>
          <t>A 12848-2020</t>
        </is>
      </c>
      <c r="B338" s="1" t="n">
        <v>43899</v>
      </c>
      <c r="C338" s="1" t="n">
        <v>45710</v>
      </c>
      <c r="D338" t="inlineStr">
        <is>
          <t>UPPSALA LÄN</t>
        </is>
      </c>
      <c r="E338" t="inlineStr">
        <is>
          <t>UPPSALA</t>
        </is>
      </c>
      <c r="G338" t="n">
        <v>10.3</v>
      </c>
      <c r="H338" t="n">
        <v>0</v>
      </c>
      <c r="I338" t="n">
        <v>0</v>
      </c>
      <c r="J338" t="n">
        <v>0</v>
      </c>
      <c r="K338" t="n">
        <v>0</v>
      </c>
      <c r="L338" t="n">
        <v>0</v>
      </c>
      <c r="M338" t="n">
        <v>0</v>
      </c>
      <c r="N338" t="n">
        <v>0</v>
      </c>
      <c r="O338" t="n">
        <v>0</v>
      </c>
      <c r="P338" t="n">
        <v>0</v>
      </c>
      <c r="Q338" t="n">
        <v>0</v>
      </c>
      <c r="R338" s="2" t="inlineStr"/>
    </row>
    <row r="339" ht="15" customHeight="1">
      <c r="A339" t="inlineStr">
        <is>
          <t>A 12781-2020</t>
        </is>
      </c>
      <c r="B339" s="1" t="n">
        <v>43899</v>
      </c>
      <c r="C339" s="1" t="n">
        <v>45710</v>
      </c>
      <c r="D339" t="inlineStr">
        <is>
          <t>UPPSALA LÄN</t>
        </is>
      </c>
      <c r="E339" t="inlineStr">
        <is>
          <t>UPPSALA</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13636-2020</t>
        </is>
      </c>
      <c r="B340" s="1" t="n">
        <v>43903</v>
      </c>
      <c r="C340" s="1" t="n">
        <v>45710</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14469-2020</t>
        </is>
      </c>
      <c r="B341" s="1" t="n">
        <v>43908</v>
      </c>
      <c r="C341" s="1" t="n">
        <v>45710</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14423-2020</t>
        </is>
      </c>
      <c r="B342" s="1" t="n">
        <v>43908</v>
      </c>
      <c r="C342" s="1" t="n">
        <v>45710</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14472-2020</t>
        </is>
      </c>
      <c r="B343" s="1" t="n">
        <v>43908</v>
      </c>
      <c r="C343" s="1" t="n">
        <v>45710</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14427-2020</t>
        </is>
      </c>
      <c r="B344" s="1" t="n">
        <v>43908</v>
      </c>
      <c r="C344" s="1" t="n">
        <v>45710</v>
      </c>
      <c r="D344" t="inlineStr">
        <is>
          <t>UPPSALA LÄN</t>
        </is>
      </c>
      <c r="E344" t="inlineStr">
        <is>
          <t>UPPSALA</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15344-2020</t>
        </is>
      </c>
      <c r="B345" s="1" t="n">
        <v>43913</v>
      </c>
      <c r="C345" s="1" t="n">
        <v>45710</v>
      </c>
      <c r="D345" t="inlineStr">
        <is>
          <t>UPPSALA LÄN</t>
        </is>
      </c>
      <c r="E345" t="inlineStr">
        <is>
          <t>UPPSALA</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18106-2020</t>
        </is>
      </c>
      <c r="B346" s="1" t="n">
        <v>43927</v>
      </c>
      <c r="C346" s="1" t="n">
        <v>45710</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18114-2020</t>
        </is>
      </c>
      <c r="B347" s="1" t="n">
        <v>43927</v>
      </c>
      <c r="C347" s="1" t="n">
        <v>45710</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18469-2020</t>
        </is>
      </c>
      <c r="B348" s="1" t="n">
        <v>43929</v>
      </c>
      <c r="C348" s="1" t="n">
        <v>45710</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19210-2020</t>
        </is>
      </c>
      <c r="B349" s="1" t="n">
        <v>43937</v>
      </c>
      <c r="C349" s="1" t="n">
        <v>45710</v>
      </c>
      <c r="D349" t="inlineStr">
        <is>
          <t>UPPSALA LÄN</t>
        </is>
      </c>
      <c r="E349" t="inlineStr">
        <is>
          <t>UPPSALA</t>
        </is>
      </c>
      <c r="G349" t="n">
        <v>3.7</v>
      </c>
      <c r="H349" t="n">
        <v>0</v>
      </c>
      <c r="I349" t="n">
        <v>0</v>
      </c>
      <c r="J349" t="n">
        <v>0</v>
      </c>
      <c r="K349" t="n">
        <v>0</v>
      </c>
      <c r="L349" t="n">
        <v>0</v>
      </c>
      <c r="M349" t="n">
        <v>0</v>
      </c>
      <c r="N349" t="n">
        <v>0</v>
      </c>
      <c r="O349" t="n">
        <v>0</v>
      </c>
      <c r="P349" t="n">
        <v>0</v>
      </c>
      <c r="Q349" t="n">
        <v>0</v>
      </c>
      <c r="R349" s="2" t="inlineStr"/>
    </row>
    <row r="350" ht="15" customHeight="1">
      <c r="A350" t="inlineStr">
        <is>
          <t>A 20218-2020</t>
        </is>
      </c>
      <c r="B350" s="1" t="n">
        <v>43944</v>
      </c>
      <c r="C350" s="1" t="n">
        <v>45710</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20506-2020</t>
        </is>
      </c>
      <c r="B351" s="1" t="n">
        <v>43948</v>
      </c>
      <c r="C351" s="1" t="n">
        <v>45710</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20490-2020</t>
        </is>
      </c>
      <c r="B352" s="1" t="n">
        <v>43948</v>
      </c>
      <c r="C352" s="1" t="n">
        <v>45710</v>
      </c>
      <c r="D352" t="inlineStr">
        <is>
          <t>UPPSALA LÄN</t>
        </is>
      </c>
      <c r="E352" t="inlineStr">
        <is>
          <t>UPPSALA</t>
        </is>
      </c>
      <c r="G352" t="n">
        <v>2.8</v>
      </c>
      <c r="H352" t="n">
        <v>0</v>
      </c>
      <c r="I352" t="n">
        <v>0</v>
      </c>
      <c r="J352" t="n">
        <v>0</v>
      </c>
      <c r="K352" t="n">
        <v>0</v>
      </c>
      <c r="L352" t="n">
        <v>0</v>
      </c>
      <c r="M352" t="n">
        <v>0</v>
      </c>
      <c r="N352" t="n">
        <v>0</v>
      </c>
      <c r="O352" t="n">
        <v>0</v>
      </c>
      <c r="P352" t="n">
        <v>0</v>
      </c>
      <c r="Q352" t="n">
        <v>0</v>
      </c>
      <c r="R352" s="2" t="inlineStr"/>
    </row>
    <row r="353" ht="15" customHeight="1">
      <c r="A353" t="inlineStr">
        <is>
          <t>A 20960-2020</t>
        </is>
      </c>
      <c r="B353" s="1" t="n">
        <v>43950</v>
      </c>
      <c r="C353" s="1" t="n">
        <v>45710</v>
      </c>
      <c r="D353" t="inlineStr">
        <is>
          <t>UPPSALA LÄN</t>
        </is>
      </c>
      <c r="E353" t="inlineStr">
        <is>
          <t>UPPSALA</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24300-2020</t>
        </is>
      </c>
      <c r="B354" s="1" t="n">
        <v>43973</v>
      </c>
      <c r="C354" s="1" t="n">
        <v>45710</v>
      </c>
      <c r="D354" t="inlineStr">
        <is>
          <t>UPPSALA LÄN</t>
        </is>
      </c>
      <c r="E354" t="inlineStr">
        <is>
          <t>UPPSALA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24287-2020</t>
        </is>
      </c>
      <c r="B355" s="1" t="n">
        <v>43976</v>
      </c>
      <c r="C355" s="1" t="n">
        <v>45710</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25798-2020</t>
        </is>
      </c>
      <c r="B356" s="1" t="n">
        <v>43984</v>
      </c>
      <c r="C356" s="1" t="n">
        <v>45710</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26488-2020</t>
        </is>
      </c>
      <c r="B357" s="1" t="n">
        <v>43987</v>
      </c>
      <c r="C357" s="1" t="n">
        <v>45710</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26492-2020</t>
        </is>
      </c>
      <c r="B358" s="1" t="n">
        <v>43987</v>
      </c>
      <c r="C358" s="1" t="n">
        <v>45710</v>
      </c>
      <c r="D358" t="inlineStr">
        <is>
          <t>UPPSALA LÄN</t>
        </is>
      </c>
      <c r="E358" t="inlineStr">
        <is>
          <t>UPPSALA</t>
        </is>
      </c>
      <c r="G358" t="n">
        <v>9.5</v>
      </c>
      <c r="H358" t="n">
        <v>0</v>
      </c>
      <c r="I358" t="n">
        <v>0</v>
      </c>
      <c r="J358" t="n">
        <v>0</v>
      </c>
      <c r="K358" t="n">
        <v>0</v>
      </c>
      <c r="L358" t="n">
        <v>0</v>
      </c>
      <c r="M358" t="n">
        <v>0</v>
      </c>
      <c r="N358" t="n">
        <v>0</v>
      </c>
      <c r="O358" t="n">
        <v>0</v>
      </c>
      <c r="P358" t="n">
        <v>0</v>
      </c>
      <c r="Q358" t="n">
        <v>0</v>
      </c>
      <c r="R358" s="2" t="inlineStr"/>
    </row>
    <row r="359" ht="15" customHeight="1">
      <c r="A359" t="inlineStr">
        <is>
          <t>A 26856-2020</t>
        </is>
      </c>
      <c r="B359" s="1" t="n">
        <v>43990</v>
      </c>
      <c r="C359" s="1" t="n">
        <v>45710</v>
      </c>
      <c r="D359" t="inlineStr">
        <is>
          <t>UPPSALA LÄN</t>
        </is>
      </c>
      <c r="E359" t="inlineStr">
        <is>
          <t>UPPSALA</t>
        </is>
      </c>
      <c r="G359" t="n">
        <v>1.5</v>
      </c>
      <c r="H359" t="n">
        <v>0</v>
      </c>
      <c r="I359" t="n">
        <v>0</v>
      </c>
      <c r="J359" t="n">
        <v>0</v>
      </c>
      <c r="K359" t="n">
        <v>0</v>
      </c>
      <c r="L359" t="n">
        <v>0</v>
      </c>
      <c r="M359" t="n">
        <v>0</v>
      </c>
      <c r="N359" t="n">
        <v>0</v>
      </c>
      <c r="O359" t="n">
        <v>0</v>
      </c>
      <c r="P359" t="n">
        <v>0</v>
      </c>
      <c r="Q359" t="n">
        <v>0</v>
      </c>
      <c r="R359" s="2" t="inlineStr"/>
    </row>
    <row r="360" ht="15" customHeight="1">
      <c r="A360" t="inlineStr">
        <is>
          <t>A 28565-2020</t>
        </is>
      </c>
      <c r="B360" s="1" t="n">
        <v>43999</v>
      </c>
      <c r="C360" s="1" t="n">
        <v>45710</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28514-2020</t>
        </is>
      </c>
      <c r="B361" s="1" t="n">
        <v>43999</v>
      </c>
      <c r="C361" s="1" t="n">
        <v>45710</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28993-2020</t>
        </is>
      </c>
      <c r="B362" s="1" t="n">
        <v>44000</v>
      </c>
      <c r="C362" s="1" t="n">
        <v>45710</v>
      </c>
      <c r="D362" t="inlineStr">
        <is>
          <t>UPPSALA LÄN</t>
        </is>
      </c>
      <c r="E362" t="inlineStr">
        <is>
          <t>UPPSALA</t>
        </is>
      </c>
      <c r="G362" t="n">
        <v>2.4</v>
      </c>
      <c r="H362" t="n">
        <v>0</v>
      </c>
      <c r="I362" t="n">
        <v>0</v>
      </c>
      <c r="J362" t="n">
        <v>0</v>
      </c>
      <c r="K362" t="n">
        <v>0</v>
      </c>
      <c r="L362" t="n">
        <v>0</v>
      </c>
      <c r="M362" t="n">
        <v>0</v>
      </c>
      <c r="N362" t="n">
        <v>0</v>
      </c>
      <c r="O362" t="n">
        <v>0</v>
      </c>
      <c r="P362" t="n">
        <v>0</v>
      </c>
      <c r="Q362" t="n">
        <v>0</v>
      </c>
      <c r="R362" s="2" t="inlineStr"/>
    </row>
    <row r="363" ht="15" customHeight="1">
      <c r="A363" t="inlineStr">
        <is>
          <t>A 29034-2020</t>
        </is>
      </c>
      <c r="B363" s="1" t="n">
        <v>44000</v>
      </c>
      <c r="C363" s="1" t="n">
        <v>45710</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30196-2020</t>
        </is>
      </c>
      <c r="B364" s="1" t="n">
        <v>44007</v>
      </c>
      <c r="C364" s="1" t="n">
        <v>45710</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30208-2020</t>
        </is>
      </c>
      <c r="B365" s="1" t="n">
        <v>44007</v>
      </c>
      <c r="C365" s="1" t="n">
        <v>45710</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31219-2020</t>
        </is>
      </c>
      <c r="B366" s="1" t="n">
        <v>44012</v>
      </c>
      <c r="C366" s="1" t="n">
        <v>45710</v>
      </c>
      <c r="D366" t="inlineStr">
        <is>
          <t>UPPSALA LÄN</t>
        </is>
      </c>
      <c r="E366" t="inlineStr">
        <is>
          <t>UPPSALA</t>
        </is>
      </c>
      <c r="F366" t="inlineStr">
        <is>
          <t>Bergvik skog öst AB</t>
        </is>
      </c>
      <c r="G366" t="n">
        <v>7.4</v>
      </c>
      <c r="H366" t="n">
        <v>0</v>
      </c>
      <c r="I366" t="n">
        <v>0</v>
      </c>
      <c r="J366" t="n">
        <v>0</v>
      </c>
      <c r="K366" t="n">
        <v>0</v>
      </c>
      <c r="L366" t="n">
        <v>0</v>
      </c>
      <c r="M366" t="n">
        <v>0</v>
      </c>
      <c r="N366" t="n">
        <v>0</v>
      </c>
      <c r="O366" t="n">
        <v>0</v>
      </c>
      <c r="P366" t="n">
        <v>0</v>
      </c>
      <c r="Q366" t="n">
        <v>0</v>
      </c>
      <c r="R366" s="2" t="inlineStr"/>
    </row>
    <row r="367" ht="15" customHeight="1">
      <c r="A367" t="inlineStr">
        <is>
          <t>A 31430-2020</t>
        </is>
      </c>
      <c r="B367" s="1" t="n">
        <v>44013</v>
      </c>
      <c r="C367" s="1" t="n">
        <v>45710</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31932-2020</t>
        </is>
      </c>
      <c r="B368" s="1" t="n">
        <v>44014</v>
      </c>
      <c r="C368" s="1" t="n">
        <v>45710</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32235-2020</t>
        </is>
      </c>
      <c r="B369" s="1" t="n">
        <v>44015</v>
      </c>
      <c r="C369" s="1" t="n">
        <v>45710</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32340-2020</t>
        </is>
      </c>
      <c r="B370" s="1" t="n">
        <v>44016</v>
      </c>
      <c r="C370" s="1" t="n">
        <v>45710</v>
      </c>
      <c r="D370" t="inlineStr">
        <is>
          <t>UPPSALA LÄN</t>
        </is>
      </c>
      <c r="E370" t="inlineStr">
        <is>
          <t>UPPSALA</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32608-2020</t>
        </is>
      </c>
      <c r="B371" s="1" t="n">
        <v>44019</v>
      </c>
      <c r="C371" s="1" t="n">
        <v>45710</v>
      </c>
      <c r="D371" t="inlineStr">
        <is>
          <t>UPPSALA LÄN</t>
        </is>
      </c>
      <c r="E371" t="inlineStr">
        <is>
          <t>UPPSALA</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33658-2020</t>
        </is>
      </c>
      <c r="B372" s="1" t="n">
        <v>44026</v>
      </c>
      <c r="C372" s="1" t="n">
        <v>45710</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34205-2020</t>
        </is>
      </c>
      <c r="B373" s="1" t="n">
        <v>44029</v>
      </c>
      <c r="C373" s="1" t="n">
        <v>45710</v>
      </c>
      <c r="D373" t="inlineStr">
        <is>
          <t>UPPSALA LÄN</t>
        </is>
      </c>
      <c r="E373" t="inlineStr">
        <is>
          <t>UPPSALA</t>
        </is>
      </c>
      <c r="G373" t="n">
        <v>0.8</v>
      </c>
      <c r="H373" t="n">
        <v>0</v>
      </c>
      <c r="I373" t="n">
        <v>0</v>
      </c>
      <c r="J373" t="n">
        <v>0</v>
      </c>
      <c r="K373" t="n">
        <v>0</v>
      </c>
      <c r="L373" t="n">
        <v>0</v>
      </c>
      <c r="M373" t="n">
        <v>0</v>
      </c>
      <c r="N373" t="n">
        <v>0</v>
      </c>
      <c r="O373" t="n">
        <v>0</v>
      </c>
      <c r="P373" t="n">
        <v>0</v>
      </c>
      <c r="Q373" t="n">
        <v>0</v>
      </c>
      <c r="R373" s="2" t="inlineStr"/>
    </row>
    <row r="374" ht="15" customHeight="1">
      <c r="A374" t="inlineStr">
        <is>
          <t>A 34565-2020</t>
        </is>
      </c>
      <c r="B374" s="1" t="n">
        <v>44033</v>
      </c>
      <c r="C374" s="1" t="n">
        <v>45710</v>
      </c>
      <c r="D374" t="inlineStr">
        <is>
          <t>UPPSALA LÄN</t>
        </is>
      </c>
      <c r="E374" t="inlineStr">
        <is>
          <t>UPPSALA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34753-2020</t>
        </is>
      </c>
      <c r="B375" s="1" t="n">
        <v>44035</v>
      </c>
      <c r="C375" s="1" t="n">
        <v>45710</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34749-2020</t>
        </is>
      </c>
      <c r="B376" s="1" t="n">
        <v>44035</v>
      </c>
      <c r="C376" s="1" t="n">
        <v>45710</v>
      </c>
      <c r="D376" t="inlineStr">
        <is>
          <t>UPPSALA LÄN</t>
        </is>
      </c>
      <c r="E376" t="inlineStr">
        <is>
          <t>UPPSALA</t>
        </is>
      </c>
      <c r="G376" t="n">
        <v>5.5</v>
      </c>
      <c r="H376" t="n">
        <v>0</v>
      </c>
      <c r="I376" t="n">
        <v>0</v>
      </c>
      <c r="J376" t="n">
        <v>0</v>
      </c>
      <c r="K376" t="n">
        <v>0</v>
      </c>
      <c r="L376" t="n">
        <v>0</v>
      </c>
      <c r="M376" t="n">
        <v>0</v>
      </c>
      <c r="N376" t="n">
        <v>0</v>
      </c>
      <c r="O376" t="n">
        <v>0</v>
      </c>
      <c r="P376" t="n">
        <v>0</v>
      </c>
      <c r="Q376" t="n">
        <v>0</v>
      </c>
      <c r="R376" s="2" t="inlineStr"/>
    </row>
    <row r="377" ht="15" customHeight="1">
      <c r="A377" t="inlineStr">
        <is>
          <t>A 35281-2020</t>
        </is>
      </c>
      <c r="B377" s="1" t="n">
        <v>44041</v>
      </c>
      <c r="C377" s="1" t="n">
        <v>45710</v>
      </c>
      <c r="D377" t="inlineStr">
        <is>
          <t>UPPSALA LÄN</t>
        </is>
      </c>
      <c r="E377" t="inlineStr">
        <is>
          <t>UPPSALA</t>
        </is>
      </c>
      <c r="F377" t="inlineStr">
        <is>
          <t>Bergvik skog öst AB</t>
        </is>
      </c>
      <c r="G377" t="n">
        <v>3.1</v>
      </c>
      <c r="H377" t="n">
        <v>0</v>
      </c>
      <c r="I377" t="n">
        <v>0</v>
      </c>
      <c r="J377" t="n">
        <v>0</v>
      </c>
      <c r="K377" t="n">
        <v>0</v>
      </c>
      <c r="L377" t="n">
        <v>0</v>
      </c>
      <c r="M377" t="n">
        <v>0</v>
      </c>
      <c r="N377" t="n">
        <v>0</v>
      </c>
      <c r="O377" t="n">
        <v>0</v>
      </c>
      <c r="P377" t="n">
        <v>0</v>
      </c>
      <c r="Q377" t="n">
        <v>0</v>
      </c>
      <c r="R377" s="2" t="inlineStr"/>
    </row>
    <row r="378" ht="15" customHeight="1">
      <c r="A378" t="inlineStr">
        <is>
          <t>A 36035-2020</t>
        </is>
      </c>
      <c r="B378" s="1" t="n">
        <v>44048</v>
      </c>
      <c r="C378" s="1" t="n">
        <v>45710</v>
      </c>
      <c r="D378" t="inlineStr">
        <is>
          <t>UPPSALA LÄN</t>
        </is>
      </c>
      <c r="E378" t="inlineStr">
        <is>
          <t>UPPSALA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36202-2020</t>
        </is>
      </c>
      <c r="B379" s="1" t="n">
        <v>44048</v>
      </c>
      <c r="C379" s="1" t="n">
        <v>45710</v>
      </c>
      <c r="D379" t="inlineStr">
        <is>
          <t>UPPSALA LÄN</t>
        </is>
      </c>
      <c r="E379" t="inlineStr">
        <is>
          <t>UPPSALA</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36198-2020</t>
        </is>
      </c>
      <c r="B380" s="1" t="n">
        <v>44048</v>
      </c>
      <c r="C380" s="1" t="n">
        <v>45710</v>
      </c>
      <c r="D380" t="inlineStr">
        <is>
          <t>UPPSALA LÄN</t>
        </is>
      </c>
      <c r="E380" t="inlineStr">
        <is>
          <t>UPPSALA</t>
        </is>
      </c>
      <c r="F380" t="inlineStr">
        <is>
          <t>Bergvik skog öst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36350-2020</t>
        </is>
      </c>
      <c r="B381" s="1" t="n">
        <v>44049</v>
      </c>
      <c r="C381" s="1" t="n">
        <v>45710</v>
      </c>
      <c r="D381" t="inlineStr">
        <is>
          <t>UPPSALA LÄN</t>
        </is>
      </c>
      <c r="E381" t="inlineStr">
        <is>
          <t>UPPSALA</t>
        </is>
      </c>
      <c r="G381" t="n">
        <v>1.9</v>
      </c>
      <c r="H381" t="n">
        <v>0</v>
      </c>
      <c r="I381" t="n">
        <v>0</v>
      </c>
      <c r="J381" t="n">
        <v>0</v>
      </c>
      <c r="K381" t="n">
        <v>0</v>
      </c>
      <c r="L381" t="n">
        <v>0</v>
      </c>
      <c r="M381" t="n">
        <v>0</v>
      </c>
      <c r="N381" t="n">
        <v>0</v>
      </c>
      <c r="O381" t="n">
        <v>0</v>
      </c>
      <c r="P381" t="n">
        <v>0</v>
      </c>
      <c r="Q381" t="n">
        <v>0</v>
      </c>
      <c r="R381" s="2" t="inlineStr"/>
    </row>
    <row r="382" ht="15" customHeight="1">
      <c r="A382" t="inlineStr">
        <is>
          <t>A 36512-2020</t>
        </is>
      </c>
      <c r="B382" s="1" t="n">
        <v>44050</v>
      </c>
      <c r="C382" s="1" t="n">
        <v>45710</v>
      </c>
      <c r="D382" t="inlineStr">
        <is>
          <t>UPPSALA LÄN</t>
        </is>
      </c>
      <c r="E382" t="inlineStr">
        <is>
          <t>UPPSALA</t>
        </is>
      </c>
      <c r="G382" t="n">
        <v>5.8</v>
      </c>
      <c r="H382" t="n">
        <v>0</v>
      </c>
      <c r="I382" t="n">
        <v>0</v>
      </c>
      <c r="J382" t="n">
        <v>0</v>
      </c>
      <c r="K382" t="n">
        <v>0</v>
      </c>
      <c r="L382" t="n">
        <v>0</v>
      </c>
      <c r="M382" t="n">
        <v>0</v>
      </c>
      <c r="N382" t="n">
        <v>0</v>
      </c>
      <c r="O382" t="n">
        <v>0</v>
      </c>
      <c r="P382" t="n">
        <v>0</v>
      </c>
      <c r="Q382" t="n">
        <v>0</v>
      </c>
      <c r="R382" s="2" t="inlineStr"/>
    </row>
    <row r="383" ht="15" customHeight="1">
      <c r="A383" t="inlineStr">
        <is>
          <t>A 37276-2020</t>
        </is>
      </c>
      <c r="B383" s="1" t="n">
        <v>44055</v>
      </c>
      <c r="C383" s="1" t="n">
        <v>45710</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37669-2020</t>
        </is>
      </c>
      <c r="B384" s="1" t="n">
        <v>44056</v>
      </c>
      <c r="C384" s="1" t="n">
        <v>45710</v>
      </c>
      <c r="D384" t="inlineStr">
        <is>
          <t>UPPSALA LÄN</t>
        </is>
      </c>
      <c r="E384" t="inlineStr">
        <is>
          <t>UPPSALA</t>
        </is>
      </c>
      <c r="G384" t="n">
        <v>5.1</v>
      </c>
      <c r="H384" t="n">
        <v>0</v>
      </c>
      <c r="I384" t="n">
        <v>0</v>
      </c>
      <c r="J384" t="n">
        <v>0</v>
      </c>
      <c r="K384" t="n">
        <v>0</v>
      </c>
      <c r="L384" t="n">
        <v>0</v>
      </c>
      <c r="M384" t="n">
        <v>0</v>
      </c>
      <c r="N384" t="n">
        <v>0</v>
      </c>
      <c r="O384" t="n">
        <v>0</v>
      </c>
      <c r="P384" t="n">
        <v>0</v>
      </c>
      <c r="Q384" t="n">
        <v>0</v>
      </c>
      <c r="R384" s="2" t="inlineStr"/>
    </row>
    <row r="385" ht="15" customHeight="1">
      <c r="A385" t="inlineStr">
        <is>
          <t>A 39233-2020</t>
        </is>
      </c>
      <c r="B385" s="1" t="n">
        <v>44063</v>
      </c>
      <c r="C385" s="1" t="n">
        <v>45710</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39178-2020</t>
        </is>
      </c>
      <c r="B386" s="1" t="n">
        <v>44063</v>
      </c>
      <c r="C386" s="1" t="n">
        <v>45710</v>
      </c>
      <c r="D386" t="inlineStr">
        <is>
          <t>UPPSALA LÄN</t>
        </is>
      </c>
      <c r="E386" t="inlineStr">
        <is>
          <t>UPPSALA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39236-2020</t>
        </is>
      </c>
      <c r="B387" s="1" t="n">
        <v>44063</v>
      </c>
      <c r="C387" s="1" t="n">
        <v>45710</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39272-2020</t>
        </is>
      </c>
      <c r="B388" s="1" t="n">
        <v>44063</v>
      </c>
      <c r="C388" s="1" t="n">
        <v>45710</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40894-2020</t>
        </is>
      </c>
      <c r="B389" s="1" t="n">
        <v>44070</v>
      </c>
      <c r="C389" s="1" t="n">
        <v>45710</v>
      </c>
      <c r="D389" t="inlineStr">
        <is>
          <t>UPPSALA LÄN</t>
        </is>
      </c>
      <c r="E389" t="inlineStr">
        <is>
          <t>UPPSALA</t>
        </is>
      </c>
      <c r="G389" t="n">
        <v>7.1</v>
      </c>
      <c r="H389" t="n">
        <v>0</v>
      </c>
      <c r="I389" t="n">
        <v>0</v>
      </c>
      <c r="J389" t="n">
        <v>0</v>
      </c>
      <c r="K389" t="n">
        <v>0</v>
      </c>
      <c r="L389" t="n">
        <v>0</v>
      </c>
      <c r="M389" t="n">
        <v>0</v>
      </c>
      <c r="N389" t="n">
        <v>0</v>
      </c>
      <c r="O389" t="n">
        <v>0</v>
      </c>
      <c r="P389" t="n">
        <v>0</v>
      </c>
      <c r="Q389" t="n">
        <v>0</v>
      </c>
      <c r="R389" s="2" t="inlineStr"/>
    </row>
    <row r="390" ht="15" customHeight="1">
      <c r="A390" t="inlineStr">
        <is>
          <t>A 42341-2020</t>
        </is>
      </c>
      <c r="B390" s="1" t="n">
        <v>44076</v>
      </c>
      <c r="C390" s="1" t="n">
        <v>45710</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43968-2020</t>
        </is>
      </c>
      <c r="B391" s="1" t="n">
        <v>44083</v>
      </c>
      <c r="C391" s="1" t="n">
        <v>45710</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45930-2020</t>
        </is>
      </c>
      <c r="B392" s="1" t="n">
        <v>44091</v>
      </c>
      <c r="C392" s="1" t="n">
        <v>45710</v>
      </c>
      <c r="D392" t="inlineStr">
        <is>
          <t>UPPSALA LÄN</t>
        </is>
      </c>
      <c r="E392" t="inlineStr">
        <is>
          <t>UPPSALA</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46633-2020</t>
        </is>
      </c>
      <c r="B393" s="1" t="n">
        <v>44095</v>
      </c>
      <c r="C393" s="1" t="n">
        <v>45710</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46647-2020</t>
        </is>
      </c>
      <c r="B394" s="1" t="n">
        <v>44095</v>
      </c>
      <c r="C394" s="1" t="n">
        <v>45710</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48786-2020</t>
        </is>
      </c>
      <c r="B395" s="1" t="n">
        <v>44103</v>
      </c>
      <c r="C395" s="1" t="n">
        <v>45710</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49363-2020</t>
        </is>
      </c>
      <c r="B396" s="1" t="n">
        <v>44105</v>
      </c>
      <c r="C396" s="1" t="n">
        <v>45710</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49409-2020</t>
        </is>
      </c>
      <c r="B397" s="1" t="n">
        <v>44105</v>
      </c>
      <c r="C397" s="1" t="n">
        <v>45710</v>
      </c>
      <c r="D397" t="inlineStr">
        <is>
          <t>UPPSALA LÄN</t>
        </is>
      </c>
      <c r="E397" t="inlineStr">
        <is>
          <t>UPPSALA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49404-2020</t>
        </is>
      </c>
      <c r="B398" s="1" t="n">
        <v>44105</v>
      </c>
      <c r="C398" s="1" t="n">
        <v>45710</v>
      </c>
      <c r="D398" t="inlineStr">
        <is>
          <t>UPPSALA LÄN</t>
        </is>
      </c>
      <c r="E398" t="inlineStr">
        <is>
          <t>UPPSALA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49821-2020</t>
        </is>
      </c>
      <c r="B399" s="1" t="n">
        <v>44106</v>
      </c>
      <c r="C399" s="1" t="n">
        <v>45710</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49931-2020</t>
        </is>
      </c>
      <c r="B400" s="1" t="n">
        <v>44109</v>
      </c>
      <c r="C400" s="1" t="n">
        <v>45710</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52717-2020</t>
        </is>
      </c>
      <c r="B401" s="1" t="n">
        <v>44119</v>
      </c>
      <c r="C401" s="1" t="n">
        <v>45710</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53346-2020</t>
        </is>
      </c>
      <c r="B402" s="1" t="n">
        <v>44123</v>
      </c>
      <c r="C402" s="1" t="n">
        <v>45710</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53379-2020</t>
        </is>
      </c>
      <c r="B403" s="1" t="n">
        <v>44123</v>
      </c>
      <c r="C403" s="1" t="n">
        <v>45710</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54742-2020</t>
        </is>
      </c>
      <c r="B404" s="1" t="n">
        <v>44126</v>
      </c>
      <c r="C404" s="1" t="n">
        <v>45710</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55220-2020</t>
        </is>
      </c>
      <c r="B405" s="1" t="n">
        <v>44130</v>
      </c>
      <c r="C405" s="1" t="n">
        <v>45710</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55953-2020</t>
        </is>
      </c>
      <c r="B406" s="1" t="n">
        <v>44131</v>
      </c>
      <c r="C406" s="1" t="n">
        <v>45710</v>
      </c>
      <c r="D406" t="inlineStr">
        <is>
          <t>UPPSALA LÄN</t>
        </is>
      </c>
      <c r="E406" t="inlineStr">
        <is>
          <t>UPPSALA</t>
        </is>
      </c>
      <c r="F406" t="inlineStr">
        <is>
          <t>Allmännings- och besparingsskogar</t>
        </is>
      </c>
      <c r="G406" t="n">
        <v>74.40000000000001</v>
      </c>
      <c r="H406" t="n">
        <v>0</v>
      </c>
      <c r="I406" t="n">
        <v>0</v>
      </c>
      <c r="J406" t="n">
        <v>0</v>
      </c>
      <c r="K406" t="n">
        <v>0</v>
      </c>
      <c r="L406" t="n">
        <v>0</v>
      </c>
      <c r="M406" t="n">
        <v>0</v>
      </c>
      <c r="N406" t="n">
        <v>0</v>
      </c>
      <c r="O406" t="n">
        <v>0</v>
      </c>
      <c r="P406" t="n">
        <v>0</v>
      </c>
      <c r="Q406" t="n">
        <v>0</v>
      </c>
      <c r="R406" s="2" t="inlineStr"/>
    </row>
    <row r="407" ht="15" customHeight="1">
      <c r="A407" t="inlineStr">
        <is>
          <t>A 56097-2020</t>
        </is>
      </c>
      <c r="B407" s="1" t="n">
        <v>44131</v>
      </c>
      <c r="C407" s="1" t="n">
        <v>45710</v>
      </c>
      <c r="D407" t="inlineStr">
        <is>
          <t>UPPSALA LÄN</t>
        </is>
      </c>
      <c r="E407" t="inlineStr">
        <is>
          <t>UPPSALA</t>
        </is>
      </c>
      <c r="F407" t="inlineStr">
        <is>
          <t>Allmännings- och besparingsskogar</t>
        </is>
      </c>
      <c r="G407" t="n">
        <v>10.6</v>
      </c>
      <c r="H407" t="n">
        <v>0</v>
      </c>
      <c r="I407" t="n">
        <v>0</v>
      </c>
      <c r="J407" t="n">
        <v>0</v>
      </c>
      <c r="K407" t="n">
        <v>0</v>
      </c>
      <c r="L407" t="n">
        <v>0</v>
      </c>
      <c r="M407" t="n">
        <v>0</v>
      </c>
      <c r="N407" t="n">
        <v>0</v>
      </c>
      <c r="O407" t="n">
        <v>0</v>
      </c>
      <c r="P407" t="n">
        <v>0</v>
      </c>
      <c r="Q407" t="n">
        <v>0</v>
      </c>
      <c r="R407" s="2" t="inlineStr"/>
    </row>
    <row r="408" ht="15" customHeight="1">
      <c r="A408" t="inlineStr">
        <is>
          <t>A 56466-2020</t>
        </is>
      </c>
      <c r="B408" s="1" t="n">
        <v>44134</v>
      </c>
      <c r="C408" s="1" t="n">
        <v>45710</v>
      </c>
      <c r="D408" t="inlineStr">
        <is>
          <t>UPPSALA LÄN</t>
        </is>
      </c>
      <c r="E408" t="inlineStr">
        <is>
          <t>UPPSALA</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57041-2020</t>
        </is>
      </c>
      <c r="B409" s="1" t="n">
        <v>44137</v>
      </c>
      <c r="C409" s="1" t="n">
        <v>45710</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57271-2020</t>
        </is>
      </c>
      <c r="B410" s="1" t="n">
        <v>44139</v>
      </c>
      <c r="C410" s="1" t="n">
        <v>45710</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57451-2020</t>
        </is>
      </c>
      <c r="B411" s="1" t="n">
        <v>44139</v>
      </c>
      <c r="C411" s="1" t="n">
        <v>45710</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57466-2020</t>
        </is>
      </c>
      <c r="B412" s="1" t="n">
        <v>44139</v>
      </c>
      <c r="C412" s="1" t="n">
        <v>45710</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58070-2020</t>
        </is>
      </c>
      <c r="B413" s="1" t="n">
        <v>44140</v>
      </c>
      <c r="C413" s="1" t="n">
        <v>45710</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58058-2020</t>
        </is>
      </c>
      <c r="B414" s="1" t="n">
        <v>44144</v>
      </c>
      <c r="C414" s="1" t="n">
        <v>45710</v>
      </c>
      <c r="D414" t="inlineStr">
        <is>
          <t>UPPSALA LÄN</t>
        </is>
      </c>
      <c r="E414" t="inlineStr">
        <is>
          <t>UPPSALA</t>
        </is>
      </c>
      <c r="G414" t="n">
        <v>4.4</v>
      </c>
      <c r="H414" t="n">
        <v>0</v>
      </c>
      <c r="I414" t="n">
        <v>0</v>
      </c>
      <c r="J414" t="n">
        <v>0</v>
      </c>
      <c r="K414" t="n">
        <v>0</v>
      </c>
      <c r="L414" t="n">
        <v>0</v>
      </c>
      <c r="M414" t="n">
        <v>0</v>
      </c>
      <c r="N414" t="n">
        <v>0</v>
      </c>
      <c r="O414" t="n">
        <v>0</v>
      </c>
      <c r="P414" t="n">
        <v>0</v>
      </c>
      <c r="Q414" t="n">
        <v>0</v>
      </c>
      <c r="R414" s="2" t="inlineStr"/>
    </row>
    <row r="415" ht="15" customHeight="1">
      <c r="A415" t="inlineStr">
        <is>
          <t>A 58056-2020</t>
        </is>
      </c>
      <c r="B415" s="1" t="n">
        <v>44144</v>
      </c>
      <c r="C415" s="1" t="n">
        <v>45710</v>
      </c>
      <c r="D415" t="inlineStr">
        <is>
          <t>UPPSALA LÄN</t>
        </is>
      </c>
      <c r="E415" t="inlineStr">
        <is>
          <t>UPPSALA</t>
        </is>
      </c>
      <c r="G415" t="n">
        <v>5.5</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45710</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58928-2020</t>
        </is>
      </c>
      <c r="B417" s="1" t="n">
        <v>44146</v>
      </c>
      <c r="C417" s="1" t="n">
        <v>45710</v>
      </c>
      <c r="D417" t="inlineStr">
        <is>
          <t>UPPSALA LÄN</t>
        </is>
      </c>
      <c r="E417" t="inlineStr">
        <is>
          <t>UPPSALA</t>
        </is>
      </c>
      <c r="G417" t="n">
        <v>10.6</v>
      </c>
      <c r="H417" t="n">
        <v>0</v>
      </c>
      <c r="I417" t="n">
        <v>0</v>
      </c>
      <c r="J417" t="n">
        <v>0</v>
      </c>
      <c r="K417" t="n">
        <v>0</v>
      </c>
      <c r="L417" t="n">
        <v>0</v>
      </c>
      <c r="M417" t="n">
        <v>0</v>
      </c>
      <c r="N417" t="n">
        <v>0</v>
      </c>
      <c r="O417" t="n">
        <v>0</v>
      </c>
      <c r="P417" t="n">
        <v>0</v>
      </c>
      <c r="Q417" t="n">
        <v>0</v>
      </c>
      <c r="R417" s="2" t="inlineStr"/>
    </row>
    <row r="418" ht="15" customHeight="1">
      <c r="A418" t="inlineStr">
        <is>
          <t>A 59952-2020</t>
        </is>
      </c>
      <c r="B418" s="1" t="n">
        <v>44151</v>
      </c>
      <c r="C418" s="1" t="n">
        <v>45710</v>
      </c>
      <c r="D418" t="inlineStr">
        <is>
          <t>UPPSALA LÄN</t>
        </is>
      </c>
      <c r="E418" t="inlineStr">
        <is>
          <t>UPPSALA</t>
        </is>
      </c>
      <c r="G418" t="n">
        <v>25.8</v>
      </c>
      <c r="H418" t="n">
        <v>0</v>
      </c>
      <c r="I418" t="n">
        <v>0</v>
      </c>
      <c r="J418" t="n">
        <v>0</v>
      </c>
      <c r="K418" t="n">
        <v>0</v>
      </c>
      <c r="L418" t="n">
        <v>0</v>
      </c>
      <c r="M418" t="n">
        <v>0</v>
      </c>
      <c r="N418" t="n">
        <v>0</v>
      </c>
      <c r="O418" t="n">
        <v>0</v>
      </c>
      <c r="P418" t="n">
        <v>0</v>
      </c>
      <c r="Q418" t="n">
        <v>0</v>
      </c>
      <c r="R418" s="2" t="inlineStr"/>
    </row>
    <row r="419" ht="15" customHeight="1">
      <c r="A419" t="inlineStr">
        <is>
          <t>A 60702-2020</t>
        </is>
      </c>
      <c r="B419" s="1" t="n">
        <v>44153</v>
      </c>
      <c r="C419" s="1" t="n">
        <v>45710</v>
      </c>
      <c r="D419" t="inlineStr">
        <is>
          <t>UPPSALA LÄN</t>
        </is>
      </c>
      <c r="E419" t="inlineStr">
        <is>
          <t>UPPSALA</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61265-2020</t>
        </is>
      </c>
      <c r="B420" s="1" t="n">
        <v>44155</v>
      </c>
      <c r="C420" s="1" t="n">
        <v>45710</v>
      </c>
      <c r="D420" t="inlineStr">
        <is>
          <t>UPPSALA LÄN</t>
        </is>
      </c>
      <c r="E420" t="inlineStr">
        <is>
          <t>UPPSALA</t>
        </is>
      </c>
      <c r="G420" t="n">
        <v>4.7</v>
      </c>
      <c r="H420" t="n">
        <v>0</v>
      </c>
      <c r="I420" t="n">
        <v>0</v>
      </c>
      <c r="J420" t="n">
        <v>0</v>
      </c>
      <c r="K420" t="n">
        <v>0</v>
      </c>
      <c r="L420" t="n">
        <v>0</v>
      </c>
      <c r="M420" t="n">
        <v>0</v>
      </c>
      <c r="N420" t="n">
        <v>0</v>
      </c>
      <c r="O420" t="n">
        <v>0</v>
      </c>
      <c r="P420" t="n">
        <v>0</v>
      </c>
      <c r="Q420" t="n">
        <v>0</v>
      </c>
      <c r="R420" s="2" t="inlineStr"/>
    </row>
    <row r="421" ht="15" customHeight="1">
      <c r="A421" t="inlineStr">
        <is>
          <t>A 61271-2020</t>
        </is>
      </c>
      <c r="B421" s="1" t="n">
        <v>44155</v>
      </c>
      <c r="C421" s="1" t="n">
        <v>45710</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62094-2020</t>
        </is>
      </c>
      <c r="B422" s="1" t="n">
        <v>44159</v>
      </c>
      <c r="C422" s="1" t="n">
        <v>45710</v>
      </c>
      <c r="D422" t="inlineStr">
        <is>
          <t>UPPSALA LÄN</t>
        </is>
      </c>
      <c r="E422" t="inlineStr">
        <is>
          <t>UPPSALA</t>
        </is>
      </c>
      <c r="F422" t="inlineStr">
        <is>
          <t>Bergvik skog öst AB</t>
        </is>
      </c>
      <c r="G422" t="n">
        <v>3.4</v>
      </c>
      <c r="H422" t="n">
        <v>0</v>
      </c>
      <c r="I422" t="n">
        <v>0</v>
      </c>
      <c r="J422" t="n">
        <v>0</v>
      </c>
      <c r="K422" t="n">
        <v>0</v>
      </c>
      <c r="L422" t="n">
        <v>0</v>
      </c>
      <c r="M422" t="n">
        <v>0</v>
      </c>
      <c r="N422" t="n">
        <v>0</v>
      </c>
      <c r="O422" t="n">
        <v>0</v>
      </c>
      <c r="P422" t="n">
        <v>0</v>
      </c>
      <c r="Q422" t="n">
        <v>0</v>
      </c>
      <c r="R422" s="2" t="inlineStr"/>
    </row>
    <row r="423" ht="15" customHeight="1">
      <c r="A423" t="inlineStr">
        <is>
          <t>A 62352-2020</t>
        </is>
      </c>
      <c r="B423" s="1" t="n">
        <v>44159</v>
      </c>
      <c r="C423" s="1" t="n">
        <v>45710</v>
      </c>
      <c r="D423" t="inlineStr">
        <is>
          <t>UPPSALA LÄN</t>
        </is>
      </c>
      <c r="E423" t="inlineStr">
        <is>
          <t>UPPSALA</t>
        </is>
      </c>
      <c r="F423" t="inlineStr">
        <is>
          <t>Allmännings- och besparingsskogar</t>
        </is>
      </c>
      <c r="G423" t="n">
        <v>12.9</v>
      </c>
      <c r="H423" t="n">
        <v>0</v>
      </c>
      <c r="I423" t="n">
        <v>0</v>
      </c>
      <c r="J423" t="n">
        <v>0</v>
      </c>
      <c r="K423" t="n">
        <v>0</v>
      </c>
      <c r="L423" t="n">
        <v>0</v>
      </c>
      <c r="M423" t="n">
        <v>0</v>
      </c>
      <c r="N423" t="n">
        <v>0</v>
      </c>
      <c r="O423" t="n">
        <v>0</v>
      </c>
      <c r="P423" t="n">
        <v>0</v>
      </c>
      <c r="Q423" t="n">
        <v>0</v>
      </c>
      <c r="R423" s="2" t="inlineStr"/>
    </row>
    <row r="424" ht="15" customHeight="1">
      <c r="A424" t="inlineStr">
        <is>
          <t>A 62504-2020</t>
        </is>
      </c>
      <c r="B424" s="1" t="n">
        <v>44160</v>
      </c>
      <c r="C424" s="1" t="n">
        <v>45710</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62729-2020</t>
        </is>
      </c>
      <c r="B425" s="1" t="n">
        <v>44161</v>
      </c>
      <c r="C425" s="1" t="n">
        <v>45710</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62655-2020</t>
        </is>
      </c>
      <c r="B426" s="1" t="n">
        <v>44161</v>
      </c>
      <c r="C426" s="1" t="n">
        <v>45710</v>
      </c>
      <c r="D426" t="inlineStr">
        <is>
          <t>UPPSALA LÄN</t>
        </is>
      </c>
      <c r="E426" t="inlineStr">
        <is>
          <t>UPPSALA</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63145-2020</t>
        </is>
      </c>
      <c r="B427" s="1" t="n">
        <v>44162</v>
      </c>
      <c r="C427" s="1" t="n">
        <v>45710</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63529-2020</t>
        </is>
      </c>
      <c r="B428" s="1" t="n">
        <v>44165</v>
      </c>
      <c r="C428" s="1" t="n">
        <v>45710</v>
      </c>
      <c r="D428" t="inlineStr">
        <is>
          <t>UPPSALA LÄN</t>
        </is>
      </c>
      <c r="E428" t="inlineStr">
        <is>
          <t>UPPSALA</t>
        </is>
      </c>
      <c r="F428" t="inlineStr">
        <is>
          <t>Övriga statliga verk och myndigheter</t>
        </is>
      </c>
      <c r="G428" t="n">
        <v>2.4</v>
      </c>
      <c r="H428" t="n">
        <v>0</v>
      </c>
      <c r="I428" t="n">
        <v>0</v>
      </c>
      <c r="J428" t="n">
        <v>0</v>
      </c>
      <c r="K428" t="n">
        <v>0</v>
      </c>
      <c r="L428" t="n">
        <v>0</v>
      </c>
      <c r="M428" t="n">
        <v>0</v>
      </c>
      <c r="N428" t="n">
        <v>0</v>
      </c>
      <c r="O428" t="n">
        <v>0</v>
      </c>
      <c r="P428" t="n">
        <v>0</v>
      </c>
      <c r="Q428" t="n">
        <v>0</v>
      </c>
      <c r="R428" s="2" t="inlineStr"/>
    </row>
    <row r="429" ht="15" customHeight="1">
      <c r="A429" t="inlineStr">
        <is>
          <t>A 63749-2020</t>
        </is>
      </c>
      <c r="B429" s="1" t="n">
        <v>44166</v>
      </c>
      <c r="C429" s="1" t="n">
        <v>45710</v>
      </c>
      <c r="D429" t="inlineStr">
        <is>
          <t>UPPSALA LÄN</t>
        </is>
      </c>
      <c r="E429" t="inlineStr">
        <is>
          <t>UPPSALA</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64128-2020</t>
        </is>
      </c>
      <c r="B430" s="1" t="n">
        <v>44167</v>
      </c>
      <c r="C430" s="1" t="n">
        <v>45710</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64353-2020</t>
        </is>
      </c>
      <c r="B431" s="1" t="n">
        <v>44168</v>
      </c>
      <c r="C431" s="1" t="n">
        <v>45710</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64333-2020</t>
        </is>
      </c>
      <c r="B432" s="1" t="n">
        <v>44168</v>
      </c>
      <c r="C432" s="1" t="n">
        <v>45710</v>
      </c>
      <c r="D432" t="inlineStr">
        <is>
          <t>UPPSALA LÄN</t>
        </is>
      </c>
      <c r="E432" t="inlineStr">
        <is>
          <t>UPPSALA</t>
        </is>
      </c>
      <c r="G432" t="n">
        <v>7.1</v>
      </c>
      <c r="H432" t="n">
        <v>0</v>
      </c>
      <c r="I432" t="n">
        <v>0</v>
      </c>
      <c r="J432" t="n">
        <v>0</v>
      </c>
      <c r="K432" t="n">
        <v>0</v>
      </c>
      <c r="L432" t="n">
        <v>0</v>
      </c>
      <c r="M432" t="n">
        <v>0</v>
      </c>
      <c r="N432" t="n">
        <v>0</v>
      </c>
      <c r="O432" t="n">
        <v>0</v>
      </c>
      <c r="P432" t="n">
        <v>0</v>
      </c>
      <c r="Q432" t="n">
        <v>0</v>
      </c>
      <c r="R432" s="2" t="inlineStr"/>
    </row>
    <row r="433" ht="15" customHeight="1">
      <c r="A433" t="inlineStr">
        <is>
          <t>A 66984-2020</t>
        </is>
      </c>
      <c r="B433" s="1" t="n">
        <v>44180</v>
      </c>
      <c r="C433" s="1" t="n">
        <v>45710</v>
      </c>
      <c r="D433" t="inlineStr">
        <is>
          <t>UPPSALA LÄN</t>
        </is>
      </c>
      <c r="E433" t="inlineStr">
        <is>
          <t>UPPSALA</t>
        </is>
      </c>
      <c r="F433" t="inlineStr">
        <is>
          <t>Övriga statliga verk och myndigheter</t>
        </is>
      </c>
      <c r="G433" t="n">
        <v>2.1</v>
      </c>
      <c r="H433" t="n">
        <v>0</v>
      </c>
      <c r="I433" t="n">
        <v>0</v>
      </c>
      <c r="J433" t="n">
        <v>0</v>
      </c>
      <c r="K433" t="n">
        <v>0</v>
      </c>
      <c r="L433" t="n">
        <v>0</v>
      </c>
      <c r="M433" t="n">
        <v>0</v>
      </c>
      <c r="N433" t="n">
        <v>0</v>
      </c>
      <c r="O433" t="n">
        <v>0</v>
      </c>
      <c r="P433" t="n">
        <v>0</v>
      </c>
      <c r="Q433" t="n">
        <v>0</v>
      </c>
      <c r="R433" s="2" t="inlineStr"/>
    </row>
    <row r="434" ht="15" customHeight="1">
      <c r="A434" t="inlineStr">
        <is>
          <t>A 265-2021</t>
        </is>
      </c>
      <c r="B434" s="1" t="n">
        <v>44200</v>
      </c>
      <c r="C434" s="1" t="n">
        <v>45710</v>
      </c>
      <c r="D434" t="inlineStr">
        <is>
          <t>UPPSALA LÄN</t>
        </is>
      </c>
      <c r="E434" t="inlineStr">
        <is>
          <t>UPPSALA</t>
        </is>
      </c>
      <c r="G434" t="n">
        <v>3.1</v>
      </c>
      <c r="H434" t="n">
        <v>0</v>
      </c>
      <c r="I434" t="n">
        <v>0</v>
      </c>
      <c r="J434" t="n">
        <v>0</v>
      </c>
      <c r="K434" t="n">
        <v>0</v>
      </c>
      <c r="L434" t="n">
        <v>0</v>
      </c>
      <c r="M434" t="n">
        <v>0</v>
      </c>
      <c r="N434" t="n">
        <v>0</v>
      </c>
      <c r="O434" t="n">
        <v>0</v>
      </c>
      <c r="P434" t="n">
        <v>0</v>
      </c>
      <c r="Q434" t="n">
        <v>0</v>
      </c>
      <c r="R434" s="2" t="inlineStr"/>
    </row>
    <row r="435" ht="15" customHeight="1">
      <c r="A435" t="inlineStr">
        <is>
          <t>A 1020-2021</t>
        </is>
      </c>
      <c r="B435" s="1" t="n">
        <v>44207</v>
      </c>
      <c r="C435" s="1" t="n">
        <v>45710</v>
      </c>
      <c r="D435" t="inlineStr">
        <is>
          <t>UPPSALA LÄN</t>
        </is>
      </c>
      <c r="E435" t="inlineStr">
        <is>
          <t>UPPSALA</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1573-2021</t>
        </is>
      </c>
      <c r="B436" s="1" t="n">
        <v>44209</v>
      </c>
      <c r="C436" s="1" t="n">
        <v>45710</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1617-2021</t>
        </is>
      </c>
      <c r="B437" s="1" t="n">
        <v>44209</v>
      </c>
      <c r="C437" s="1" t="n">
        <v>45710</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1855-2021</t>
        </is>
      </c>
      <c r="B438" s="1" t="n">
        <v>44210</v>
      </c>
      <c r="C438" s="1" t="n">
        <v>45710</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2169-2021</t>
        </is>
      </c>
      <c r="B439" s="1" t="n">
        <v>44211</v>
      </c>
      <c r="C439" s="1" t="n">
        <v>45710</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3864-2021</t>
        </is>
      </c>
      <c r="B440" s="1" t="n">
        <v>44216</v>
      </c>
      <c r="C440" s="1" t="n">
        <v>45710</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3874-2021</t>
        </is>
      </c>
      <c r="B441" s="1" t="n">
        <v>44216</v>
      </c>
      <c r="C441" s="1" t="n">
        <v>45710</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3955-2021</t>
        </is>
      </c>
      <c r="B442" s="1" t="n">
        <v>44222</v>
      </c>
      <c r="C442" s="1" t="n">
        <v>45710</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4875-2021</t>
        </is>
      </c>
      <c r="B443" s="1" t="n">
        <v>44223</v>
      </c>
      <c r="C443" s="1" t="n">
        <v>45710</v>
      </c>
      <c r="D443" t="inlineStr">
        <is>
          <t>UPPSALA LÄN</t>
        </is>
      </c>
      <c r="E443" t="inlineStr">
        <is>
          <t>UPPSALA</t>
        </is>
      </c>
      <c r="G443" t="n">
        <v>0.4</v>
      </c>
      <c r="H443" t="n">
        <v>0</v>
      </c>
      <c r="I443" t="n">
        <v>0</v>
      </c>
      <c r="J443" t="n">
        <v>0</v>
      </c>
      <c r="K443" t="n">
        <v>0</v>
      </c>
      <c r="L443" t="n">
        <v>0</v>
      </c>
      <c r="M443" t="n">
        <v>0</v>
      </c>
      <c r="N443" t="n">
        <v>0</v>
      </c>
      <c r="O443" t="n">
        <v>0</v>
      </c>
      <c r="P443" t="n">
        <v>0</v>
      </c>
      <c r="Q443" t="n">
        <v>0</v>
      </c>
      <c r="R443" s="2" t="inlineStr"/>
    </row>
    <row r="444" ht="15" customHeight="1">
      <c r="A444" t="inlineStr">
        <is>
          <t>A 5663-2021</t>
        </is>
      </c>
      <c r="B444" s="1" t="n">
        <v>44230</v>
      </c>
      <c r="C444" s="1" t="n">
        <v>45710</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8114-2021</t>
        </is>
      </c>
      <c r="B445" s="1" t="n">
        <v>44243</v>
      </c>
      <c r="C445" s="1" t="n">
        <v>45710</v>
      </c>
      <c r="D445" t="inlineStr">
        <is>
          <t>UPPSALA LÄN</t>
        </is>
      </c>
      <c r="E445" t="inlineStr">
        <is>
          <t>UPPSALA</t>
        </is>
      </c>
      <c r="G445" t="n">
        <v>3.4</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45710</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9700-2021</t>
        </is>
      </c>
      <c r="B447" s="1" t="n">
        <v>44252</v>
      </c>
      <c r="C447" s="1" t="n">
        <v>45710</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9712-2021</t>
        </is>
      </c>
      <c r="B448" s="1" t="n">
        <v>44252</v>
      </c>
      <c r="C448" s="1" t="n">
        <v>45710</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12225-2021</t>
        </is>
      </c>
      <c r="B449" s="1" t="n">
        <v>44266</v>
      </c>
      <c r="C449" s="1" t="n">
        <v>45710</v>
      </c>
      <c r="D449" t="inlineStr">
        <is>
          <t>UPPSALA LÄN</t>
        </is>
      </c>
      <c r="E449" t="inlineStr">
        <is>
          <t>UPPSALA</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12152-2021</t>
        </is>
      </c>
      <c r="B450" s="1" t="n">
        <v>44266</v>
      </c>
      <c r="C450" s="1" t="n">
        <v>45710</v>
      </c>
      <c r="D450" t="inlineStr">
        <is>
          <t>UPPSALA LÄN</t>
        </is>
      </c>
      <c r="E450" t="inlineStr">
        <is>
          <t>UPPSALA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12172-2021</t>
        </is>
      </c>
      <c r="B451" s="1" t="n">
        <v>44266</v>
      </c>
      <c r="C451" s="1" t="n">
        <v>45710</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12194-2021</t>
        </is>
      </c>
      <c r="B452" s="1" t="n">
        <v>44266</v>
      </c>
      <c r="C452" s="1" t="n">
        <v>45710</v>
      </c>
      <c r="D452" t="inlineStr">
        <is>
          <t>UPPSALA LÄN</t>
        </is>
      </c>
      <c r="E452" t="inlineStr">
        <is>
          <t>UPPSALA</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12313-2021</t>
        </is>
      </c>
      <c r="B453" s="1" t="n">
        <v>44266</v>
      </c>
      <c r="C453" s="1" t="n">
        <v>45710</v>
      </c>
      <c r="D453" t="inlineStr">
        <is>
          <t>UPPSALA LÄN</t>
        </is>
      </c>
      <c r="E453" t="inlineStr">
        <is>
          <t>UPPSALA</t>
        </is>
      </c>
      <c r="G453" t="n">
        <v>23.6</v>
      </c>
      <c r="H453" t="n">
        <v>0</v>
      </c>
      <c r="I453" t="n">
        <v>0</v>
      </c>
      <c r="J453" t="n">
        <v>0</v>
      </c>
      <c r="K453" t="n">
        <v>0</v>
      </c>
      <c r="L453" t="n">
        <v>0</v>
      </c>
      <c r="M453" t="n">
        <v>0</v>
      </c>
      <c r="N453" t="n">
        <v>0</v>
      </c>
      <c r="O453" t="n">
        <v>0</v>
      </c>
      <c r="P453" t="n">
        <v>0</v>
      </c>
      <c r="Q453" t="n">
        <v>0</v>
      </c>
      <c r="R453" s="2" t="inlineStr"/>
    </row>
    <row r="454" ht="15" customHeight="1">
      <c r="A454" t="inlineStr">
        <is>
          <t>A 13010-2021</t>
        </is>
      </c>
      <c r="B454" s="1" t="n">
        <v>44271</v>
      </c>
      <c r="C454" s="1" t="n">
        <v>45710</v>
      </c>
      <c r="D454" t="inlineStr">
        <is>
          <t>UPPSALA LÄN</t>
        </is>
      </c>
      <c r="E454" t="inlineStr">
        <is>
          <t>UPPSALA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45710</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14026-2021</t>
        </is>
      </c>
      <c r="B456" s="1" t="n">
        <v>44277</v>
      </c>
      <c r="C456" s="1" t="n">
        <v>45710</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14022-2021</t>
        </is>
      </c>
      <c r="B457" s="1" t="n">
        <v>44277</v>
      </c>
      <c r="C457" s="1" t="n">
        <v>45710</v>
      </c>
      <c r="D457" t="inlineStr">
        <is>
          <t>UPPSALA LÄN</t>
        </is>
      </c>
      <c r="E457" t="inlineStr">
        <is>
          <t>UPPSALA</t>
        </is>
      </c>
      <c r="G457" t="n">
        <v>11.1</v>
      </c>
      <c r="H457" t="n">
        <v>0</v>
      </c>
      <c r="I457" t="n">
        <v>0</v>
      </c>
      <c r="J457" t="n">
        <v>0</v>
      </c>
      <c r="K457" t="n">
        <v>0</v>
      </c>
      <c r="L457" t="n">
        <v>0</v>
      </c>
      <c r="M457" t="n">
        <v>0</v>
      </c>
      <c r="N457" t="n">
        <v>0</v>
      </c>
      <c r="O457" t="n">
        <v>0</v>
      </c>
      <c r="P457" t="n">
        <v>0</v>
      </c>
      <c r="Q457" t="n">
        <v>0</v>
      </c>
      <c r="R457" s="2" t="inlineStr"/>
    </row>
    <row r="458" ht="15" customHeight="1">
      <c r="A458" t="inlineStr">
        <is>
          <t>A 14341-2021</t>
        </is>
      </c>
      <c r="B458" s="1" t="n">
        <v>44279</v>
      </c>
      <c r="C458" s="1" t="n">
        <v>45710</v>
      </c>
      <c r="D458" t="inlineStr">
        <is>
          <t>UPPSALA LÄN</t>
        </is>
      </c>
      <c r="E458" t="inlineStr">
        <is>
          <t>UPPSALA</t>
        </is>
      </c>
      <c r="G458" t="n">
        <v>8.9</v>
      </c>
      <c r="H458" t="n">
        <v>0</v>
      </c>
      <c r="I458" t="n">
        <v>0</v>
      </c>
      <c r="J458" t="n">
        <v>0</v>
      </c>
      <c r="K458" t="n">
        <v>0</v>
      </c>
      <c r="L458" t="n">
        <v>0</v>
      </c>
      <c r="M458" t="n">
        <v>0</v>
      </c>
      <c r="N458" t="n">
        <v>0</v>
      </c>
      <c r="O458" t="n">
        <v>0</v>
      </c>
      <c r="P458" t="n">
        <v>0</v>
      </c>
      <c r="Q458" t="n">
        <v>0</v>
      </c>
      <c r="R458" s="2" t="inlineStr"/>
    </row>
    <row r="459" ht="15" customHeight="1">
      <c r="A459" t="inlineStr">
        <is>
          <t>A 14941-2021</t>
        </is>
      </c>
      <c r="B459" s="1" t="n">
        <v>44281</v>
      </c>
      <c r="C459" s="1" t="n">
        <v>45710</v>
      </c>
      <c r="D459" t="inlineStr">
        <is>
          <t>UPPSALA LÄN</t>
        </is>
      </c>
      <c r="E459" t="inlineStr">
        <is>
          <t>UPPSALA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15816-2021</t>
        </is>
      </c>
      <c r="B460" s="1" t="n">
        <v>44286</v>
      </c>
      <c r="C460" s="1" t="n">
        <v>45710</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15820-2021</t>
        </is>
      </c>
      <c r="B461" s="1" t="n">
        <v>44286</v>
      </c>
      <c r="C461" s="1" t="n">
        <v>45710</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16592-2021</t>
        </is>
      </c>
      <c r="B462" s="1" t="n">
        <v>44294</v>
      </c>
      <c r="C462" s="1" t="n">
        <v>45710</v>
      </c>
      <c r="D462" t="inlineStr">
        <is>
          <t>UPPSALA LÄN</t>
        </is>
      </c>
      <c r="E462" t="inlineStr">
        <is>
          <t>UPPSALA</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16615-2021</t>
        </is>
      </c>
      <c r="B463" s="1" t="n">
        <v>44294</v>
      </c>
      <c r="C463" s="1" t="n">
        <v>45710</v>
      </c>
      <c r="D463" t="inlineStr">
        <is>
          <t>UPPSALA LÄN</t>
        </is>
      </c>
      <c r="E463" t="inlineStr">
        <is>
          <t>UPPSALA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16684-2021</t>
        </is>
      </c>
      <c r="B464" s="1" t="n">
        <v>44294</v>
      </c>
      <c r="C464" s="1" t="n">
        <v>45710</v>
      </c>
      <c r="D464" t="inlineStr">
        <is>
          <t>UPPSALA LÄN</t>
        </is>
      </c>
      <c r="E464" t="inlineStr">
        <is>
          <t>UPPSALA</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17262-2021</t>
        </is>
      </c>
      <c r="B465" s="1" t="n">
        <v>44297</v>
      </c>
      <c r="C465" s="1" t="n">
        <v>45710</v>
      </c>
      <c r="D465" t="inlineStr">
        <is>
          <t>UPPSALA LÄN</t>
        </is>
      </c>
      <c r="E465" t="inlineStr">
        <is>
          <t>UPPSALA</t>
        </is>
      </c>
      <c r="F465" t="inlineStr">
        <is>
          <t>Allmännings- och besparingsskogar</t>
        </is>
      </c>
      <c r="G465" t="n">
        <v>1</v>
      </c>
      <c r="H465" t="n">
        <v>0</v>
      </c>
      <c r="I465" t="n">
        <v>0</v>
      </c>
      <c r="J465" t="n">
        <v>0</v>
      </c>
      <c r="K465" t="n">
        <v>0</v>
      </c>
      <c r="L465" t="n">
        <v>0</v>
      </c>
      <c r="M465" t="n">
        <v>0</v>
      </c>
      <c r="N465" t="n">
        <v>0</v>
      </c>
      <c r="O465" t="n">
        <v>0</v>
      </c>
      <c r="P465" t="n">
        <v>0</v>
      </c>
      <c r="Q465" t="n">
        <v>0</v>
      </c>
      <c r="R465" s="2" t="inlineStr"/>
    </row>
    <row r="466" ht="15" customHeight="1">
      <c r="A466" t="inlineStr">
        <is>
          <t>A 17250-2021</t>
        </is>
      </c>
      <c r="B466" s="1" t="n">
        <v>44297</v>
      </c>
      <c r="C466" s="1" t="n">
        <v>45710</v>
      </c>
      <c r="D466" t="inlineStr">
        <is>
          <t>UPPSALA LÄN</t>
        </is>
      </c>
      <c r="E466" t="inlineStr">
        <is>
          <t>UPPSALA</t>
        </is>
      </c>
      <c r="G466" t="n">
        <v>3.6</v>
      </c>
      <c r="H466" t="n">
        <v>0</v>
      </c>
      <c r="I466" t="n">
        <v>0</v>
      </c>
      <c r="J466" t="n">
        <v>0</v>
      </c>
      <c r="K466" t="n">
        <v>0</v>
      </c>
      <c r="L466" t="n">
        <v>0</v>
      </c>
      <c r="M466" t="n">
        <v>0</v>
      </c>
      <c r="N466" t="n">
        <v>0</v>
      </c>
      <c r="O466" t="n">
        <v>0</v>
      </c>
      <c r="P466" t="n">
        <v>0</v>
      </c>
      <c r="Q466" t="n">
        <v>0</v>
      </c>
      <c r="R466" s="2" t="inlineStr"/>
    </row>
    <row r="467" ht="15" customHeight="1">
      <c r="A467" t="inlineStr">
        <is>
          <t>A 17536-2021</t>
        </is>
      </c>
      <c r="B467" s="1" t="n">
        <v>44299</v>
      </c>
      <c r="C467" s="1" t="n">
        <v>45710</v>
      </c>
      <c r="D467" t="inlineStr">
        <is>
          <t>UPPSALA LÄN</t>
        </is>
      </c>
      <c r="E467" t="inlineStr">
        <is>
          <t>UPPSALA</t>
        </is>
      </c>
      <c r="F467" t="inlineStr">
        <is>
          <t>Holmen skog AB</t>
        </is>
      </c>
      <c r="G467" t="n">
        <v>7.6</v>
      </c>
      <c r="H467" t="n">
        <v>0</v>
      </c>
      <c r="I467" t="n">
        <v>0</v>
      </c>
      <c r="J467" t="n">
        <v>0</v>
      </c>
      <c r="K467" t="n">
        <v>0</v>
      </c>
      <c r="L467" t="n">
        <v>0</v>
      </c>
      <c r="M467" t="n">
        <v>0</v>
      </c>
      <c r="N467" t="n">
        <v>0</v>
      </c>
      <c r="O467" t="n">
        <v>0</v>
      </c>
      <c r="P467" t="n">
        <v>0</v>
      </c>
      <c r="Q467" t="n">
        <v>0</v>
      </c>
      <c r="R467" s="2" t="inlineStr"/>
    </row>
    <row r="468" ht="15" customHeight="1">
      <c r="A468" t="inlineStr">
        <is>
          <t>A 18906-2021</t>
        </is>
      </c>
      <c r="B468" s="1" t="n">
        <v>44308</v>
      </c>
      <c r="C468" s="1" t="n">
        <v>45710</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19927-2021</t>
        </is>
      </c>
      <c r="B469" s="1" t="n">
        <v>44313</v>
      </c>
      <c r="C469" s="1" t="n">
        <v>45710</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19947-2021</t>
        </is>
      </c>
      <c r="B470" s="1" t="n">
        <v>44313</v>
      </c>
      <c r="C470" s="1" t="n">
        <v>45710</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20276-2021</t>
        </is>
      </c>
      <c r="B471" s="1" t="n">
        <v>44314</v>
      </c>
      <c r="C471" s="1" t="n">
        <v>45710</v>
      </c>
      <c r="D471" t="inlineStr">
        <is>
          <t>UPPSALA LÄN</t>
        </is>
      </c>
      <c r="E471" t="inlineStr">
        <is>
          <t>UPPSALA</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20271-2021</t>
        </is>
      </c>
      <c r="B472" s="1" t="n">
        <v>44314</v>
      </c>
      <c r="C472" s="1" t="n">
        <v>45710</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20609-2021</t>
        </is>
      </c>
      <c r="B473" s="1" t="n">
        <v>44316</v>
      </c>
      <c r="C473" s="1" t="n">
        <v>45710</v>
      </c>
      <c r="D473" t="inlineStr">
        <is>
          <t>UPPSALA LÄN</t>
        </is>
      </c>
      <c r="E473" t="inlineStr">
        <is>
          <t>UPPSALA</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22070-2021</t>
        </is>
      </c>
      <c r="B474" s="1" t="n">
        <v>44323</v>
      </c>
      <c r="C474" s="1" t="n">
        <v>45710</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22946-2021</t>
        </is>
      </c>
      <c r="B475" s="1" t="n">
        <v>44328</v>
      </c>
      <c r="C475" s="1" t="n">
        <v>45710</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23877-2021</t>
        </is>
      </c>
      <c r="B476" s="1" t="n">
        <v>44335</v>
      </c>
      <c r="C476" s="1" t="n">
        <v>45710</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25613-2021</t>
        </is>
      </c>
      <c r="B477" s="1" t="n">
        <v>44343</v>
      </c>
      <c r="C477" s="1" t="n">
        <v>45710</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26785-2021</t>
        </is>
      </c>
      <c r="B478" s="1" t="n">
        <v>44349</v>
      </c>
      <c r="C478" s="1" t="n">
        <v>45710</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27365-2021</t>
        </is>
      </c>
      <c r="B479" s="1" t="n">
        <v>44351</v>
      </c>
      <c r="C479" s="1" t="n">
        <v>45710</v>
      </c>
      <c r="D479" t="inlineStr">
        <is>
          <t>UPPSALA LÄN</t>
        </is>
      </c>
      <c r="E479" t="inlineStr">
        <is>
          <t>UPPSALA</t>
        </is>
      </c>
      <c r="F479" t="inlineStr">
        <is>
          <t>Allmännings- och besparingsskogar</t>
        </is>
      </c>
      <c r="G479" t="n">
        <v>20.5</v>
      </c>
      <c r="H479" t="n">
        <v>0</v>
      </c>
      <c r="I479" t="n">
        <v>0</v>
      </c>
      <c r="J479" t="n">
        <v>0</v>
      </c>
      <c r="K479" t="n">
        <v>0</v>
      </c>
      <c r="L479" t="n">
        <v>0</v>
      </c>
      <c r="M479" t="n">
        <v>0</v>
      </c>
      <c r="N479" t="n">
        <v>0</v>
      </c>
      <c r="O479" t="n">
        <v>0</v>
      </c>
      <c r="P479" t="n">
        <v>0</v>
      </c>
      <c r="Q479" t="n">
        <v>0</v>
      </c>
      <c r="R479" s="2" t="inlineStr"/>
    </row>
    <row r="480" ht="15" customHeight="1">
      <c r="A480" t="inlineStr">
        <is>
          <t>A 28694-2021</t>
        </is>
      </c>
      <c r="B480" s="1" t="n">
        <v>44357</v>
      </c>
      <c r="C480" s="1" t="n">
        <v>45710</v>
      </c>
      <c r="D480" t="inlineStr">
        <is>
          <t>UPPSALA LÄN</t>
        </is>
      </c>
      <c r="E480" t="inlineStr">
        <is>
          <t>UPPSALA</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29145-2021</t>
        </is>
      </c>
      <c r="B481" s="1" t="n">
        <v>44358</v>
      </c>
      <c r="C481" s="1" t="n">
        <v>45710</v>
      </c>
      <c r="D481" t="inlineStr">
        <is>
          <t>UPPSALA LÄN</t>
        </is>
      </c>
      <c r="E481" t="inlineStr">
        <is>
          <t>UPPSALA</t>
        </is>
      </c>
      <c r="G481" t="n">
        <v>2.4</v>
      </c>
      <c r="H481" t="n">
        <v>0</v>
      </c>
      <c r="I481" t="n">
        <v>0</v>
      </c>
      <c r="J481" t="n">
        <v>0</v>
      </c>
      <c r="K481" t="n">
        <v>0</v>
      </c>
      <c r="L481" t="n">
        <v>0</v>
      </c>
      <c r="M481" t="n">
        <v>0</v>
      </c>
      <c r="N481" t="n">
        <v>0</v>
      </c>
      <c r="O481" t="n">
        <v>0</v>
      </c>
      <c r="P481" t="n">
        <v>0</v>
      </c>
      <c r="Q481" t="n">
        <v>0</v>
      </c>
      <c r="R481" s="2" t="inlineStr"/>
    </row>
    <row r="482" ht="15" customHeight="1">
      <c r="A482" t="inlineStr">
        <is>
          <t>A 30655-2021</t>
        </is>
      </c>
      <c r="B482" s="1" t="n">
        <v>44365</v>
      </c>
      <c r="C482" s="1" t="n">
        <v>45710</v>
      </c>
      <c r="D482" t="inlineStr">
        <is>
          <t>UPPSALA LÄN</t>
        </is>
      </c>
      <c r="E482" t="inlineStr">
        <is>
          <t>UPPSALA</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30656-2021</t>
        </is>
      </c>
      <c r="B483" s="1" t="n">
        <v>44365</v>
      </c>
      <c r="C483" s="1" t="n">
        <v>45710</v>
      </c>
      <c r="D483" t="inlineStr">
        <is>
          <t>UPPSALA LÄN</t>
        </is>
      </c>
      <c r="E483" t="inlineStr">
        <is>
          <t>UPPSALA</t>
        </is>
      </c>
      <c r="G483" t="n">
        <v>6.7</v>
      </c>
      <c r="H483" t="n">
        <v>0</v>
      </c>
      <c r="I483" t="n">
        <v>0</v>
      </c>
      <c r="J483" t="n">
        <v>0</v>
      </c>
      <c r="K483" t="n">
        <v>0</v>
      </c>
      <c r="L483" t="n">
        <v>0</v>
      </c>
      <c r="M483" t="n">
        <v>0</v>
      </c>
      <c r="N483" t="n">
        <v>0</v>
      </c>
      <c r="O483" t="n">
        <v>0</v>
      </c>
      <c r="P483" t="n">
        <v>0</v>
      </c>
      <c r="Q483" t="n">
        <v>0</v>
      </c>
      <c r="R483" s="2" t="inlineStr"/>
    </row>
    <row r="484" ht="15" customHeight="1">
      <c r="A484" t="inlineStr">
        <is>
          <t>A 31646-2021</t>
        </is>
      </c>
      <c r="B484" s="1" t="n">
        <v>44369</v>
      </c>
      <c r="C484" s="1" t="n">
        <v>45710</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31662-2021</t>
        </is>
      </c>
      <c r="B485" s="1" t="n">
        <v>44369</v>
      </c>
      <c r="C485" s="1" t="n">
        <v>45710</v>
      </c>
      <c r="D485" t="inlineStr">
        <is>
          <t>UPPSALA LÄN</t>
        </is>
      </c>
      <c r="E485" t="inlineStr">
        <is>
          <t>UPPSALA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31829-2021</t>
        </is>
      </c>
      <c r="B486" s="1" t="n">
        <v>44370</v>
      </c>
      <c r="C486" s="1" t="n">
        <v>45710</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32276-2021</t>
        </is>
      </c>
      <c r="B487" s="1" t="n">
        <v>44371</v>
      </c>
      <c r="C487" s="1" t="n">
        <v>45710</v>
      </c>
      <c r="D487" t="inlineStr">
        <is>
          <t>UPPSALA LÄN</t>
        </is>
      </c>
      <c r="E487" t="inlineStr">
        <is>
          <t>UPPSALA</t>
        </is>
      </c>
      <c r="G487" t="n">
        <v>3.7</v>
      </c>
      <c r="H487" t="n">
        <v>0</v>
      </c>
      <c r="I487" t="n">
        <v>0</v>
      </c>
      <c r="J487" t="n">
        <v>0</v>
      </c>
      <c r="K487" t="n">
        <v>0</v>
      </c>
      <c r="L487" t="n">
        <v>0</v>
      </c>
      <c r="M487" t="n">
        <v>0</v>
      </c>
      <c r="N487" t="n">
        <v>0</v>
      </c>
      <c r="O487" t="n">
        <v>0</v>
      </c>
      <c r="P487" t="n">
        <v>0</v>
      </c>
      <c r="Q487" t="n">
        <v>0</v>
      </c>
      <c r="R487" s="2" t="inlineStr"/>
    </row>
    <row r="488" ht="15" customHeight="1">
      <c r="A488" t="inlineStr">
        <is>
          <t>A 32428-2021</t>
        </is>
      </c>
      <c r="B488" s="1" t="n">
        <v>44371</v>
      </c>
      <c r="C488" s="1" t="n">
        <v>45710</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32955-2021</t>
        </is>
      </c>
      <c r="B489" s="1" t="n">
        <v>44376</v>
      </c>
      <c r="C489" s="1" t="n">
        <v>45710</v>
      </c>
      <c r="D489" t="inlineStr">
        <is>
          <t>UPPSALA LÄN</t>
        </is>
      </c>
      <c r="E489" t="inlineStr">
        <is>
          <t>UPPSALA</t>
        </is>
      </c>
      <c r="F489" t="inlineStr">
        <is>
          <t>Bergvik skog öst AB</t>
        </is>
      </c>
      <c r="G489" t="n">
        <v>10</v>
      </c>
      <c r="H489" t="n">
        <v>0</v>
      </c>
      <c r="I489" t="n">
        <v>0</v>
      </c>
      <c r="J489" t="n">
        <v>0</v>
      </c>
      <c r="K489" t="n">
        <v>0</v>
      </c>
      <c r="L489" t="n">
        <v>0</v>
      </c>
      <c r="M489" t="n">
        <v>0</v>
      </c>
      <c r="N489" t="n">
        <v>0</v>
      </c>
      <c r="O489" t="n">
        <v>0</v>
      </c>
      <c r="P489" t="n">
        <v>0</v>
      </c>
      <c r="Q489" t="n">
        <v>0</v>
      </c>
      <c r="R489" s="2" t="inlineStr"/>
    </row>
    <row r="490" ht="15" customHeight="1">
      <c r="A490" t="inlineStr">
        <is>
          <t>A 33797-2021</t>
        </is>
      </c>
      <c r="B490" s="1" t="n">
        <v>44378</v>
      </c>
      <c r="C490" s="1" t="n">
        <v>45710</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33920-2021</t>
        </is>
      </c>
      <c r="B491" s="1" t="n">
        <v>44378</v>
      </c>
      <c r="C491" s="1" t="n">
        <v>45710</v>
      </c>
      <c r="D491" t="inlineStr">
        <is>
          <t>UPPSALA LÄN</t>
        </is>
      </c>
      <c r="E491" t="inlineStr">
        <is>
          <t>UPPSALA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34039-2021</t>
        </is>
      </c>
      <c r="B492" s="1" t="n">
        <v>44379</v>
      </c>
      <c r="C492" s="1" t="n">
        <v>45710</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34043-2021</t>
        </is>
      </c>
      <c r="B493" s="1" t="n">
        <v>44379</v>
      </c>
      <c r="C493" s="1" t="n">
        <v>45710</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34265-2021</t>
        </is>
      </c>
      <c r="B494" s="1" t="n">
        <v>44379</v>
      </c>
      <c r="C494" s="1" t="n">
        <v>45710</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34249-2021</t>
        </is>
      </c>
      <c r="B495" s="1" t="n">
        <v>44379</v>
      </c>
      <c r="C495" s="1" t="n">
        <v>45710</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34243-2021</t>
        </is>
      </c>
      <c r="B496" s="1" t="n">
        <v>44379</v>
      </c>
      <c r="C496" s="1" t="n">
        <v>45710</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34263-2021</t>
        </is>
      </c>
      <c r="B497" s="1" t="n">
        <v>44379</v>
      </c>
      <c r="C497" s="1" t="n">
        <v>45710</v>
      </c>
      <c r="D497" t="inlineStr">
        <is>
          <t>UPPSALA LÄN</t>
        </is>
      </c>
      <c r="E497" t="inlineStr">
        <is>
          <t>UPPSALA</t>
        </is>
      </c>
      <c r="G497" t="n">
        <v>5.8</v>
      </c>
      <c r="H497" t="n">
        <v>0</v>
      </c>
      <c r="I497" t="n">
        <v>0</v>
      </c>
      <c r="J497" t="n">
        <v>0</v>
      </c>
      <c r="K497" t="n">
        <v>0</v>
      </c>
      <c r="L497" t="n">
        <v>0</v>
      </c>
      <c r="M497" t="n">
        <v>0</v>
      </c>
      <c r="N497" t="n">
        <v>0</v>
      </c>
      <c r="O497" t="n">
        <v>0</v>
      </c>
      <c r="P497" t="n">
        <v>0</v>
      </c>
      <c r="Q497" t="n">
        <v>0</v>
      </c>
      <c r="R497" s="2" t="inlineStr"/>
    </row>
    <row r="498" ht="15" customHeight="1">
      <c r="A498" t="inlineStr">
        <is>
          <t>A 34838-2021</t>
        </is>
      </c>
      <c r="B498" s="1" t="n">
        <v>44383</v>
      </c>
      <c r="C498" s="1" t="n">
        <v>45710</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34825-2021</t>
        </is>
      </c>
      <c r="B499" s="1" t="n">
        <v>44383</v>
      </c>
      <c r="C499" s="1" t="n">
        <v>45710</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35630-2021</t>
        </is>
      </c>
      <c r="B500" s="1" t="n">
        <v>44386</v>
      </c>
      <c r="C500" s="1" t="n">
        <v>45710</v>
      </c>
      <c r="D500" t="inlineStr">
        <is>
          <t>UPPSALA LÄN</t>
        </is>
      </c>
      <c r="E500" t="inlineStr">
        <is>
          <t>UPPSALA</t>
        </is>
      </c>
      <c r="G500" t="n">
        <v>6</v>
      </c>
      <c r="H500" t="n">
        <v>0</v>
      </c>
      <c r="I500" t="n">
        <v>0</v>
      </c>
      <c r="J500" t="n">
        <v>0</v>
      </c>
      <c r="K500" t="n">
        <v>0</v>
      </c>
      <c r="L500" t="n">
        <v>0</v>
      </c>
      <c r="M500" t="n">
        <v>0</v>
      </c>
      <c r="N500" t="n">
        <v>0</v>
      </c>
      <c r="O500" t="n">
        <v>0</v>
      </c>
      <c r="P500" t="n">
        <v>0</v>
      </c>
      <c r="Q500" t="n">
        <v>0</v>
      </c>
      <c r="R500" s="2" t="inlineStr"/>
    </row>
    <row r="501" ht="15" customHeight="1">
      <c r="A501" t="inlineStr">
        <is>
          <t>A 36304-2021</t>
        </is>
      </c>
      <c r="B501" s="1" t="n">
        <v>44390</v>
      </c>
      <c r="C501" s="1" t="n">
        <v>45710</v>
      </c>
      <c r="D501" t="inlineStr">
        <is>
          <t>UPPSALA LÄN</t>
        </is>
      </c>
      <c r="E501" t="inlineStr">
        <is>
          <t>UPPSALA</t>
        </is>
      </c>
      <c r="G501" t="n">
        <v>7.4</v>
      </c>
      <c r="H501" t="n">
        <v>0</v>
      </c>
      <c r="I501" t="n">
        <v>0</v>
      </c>
      <c r="J501" t="n">
        <v>0</v>
      </c>
      <c r="K501" t="n">
        <v>0</v>
      </c>
      <c r="L501" t="n">
        <v>0</v>
      </c>
      <c r="M501" t="n">
        <v>0</v>
      </c>
      <c r="N501" t="n">
        <v>0</v>
      </c>
      <c r="O501" t="n">
        <v>0</v>
      </c>
      <c r="P501" t="n">
        <v>0</v>
      </c>
      <c r="Q501" t="n">
        <v>0</v>
      </c>
      <c r="R501" s="2" t="inlineStr"/>
    </row>
    <row r="502" ht="15" customHeight="1">
      <c r="A502" t="inlineStr">
        <is>
          <t>A 36721-2021</t>
        </is>
      </c>
      <c r="B502" s="1" t="n">
        <v>44392</v>
      </c>
      <c r="C502" s="1" t="n">
        <v>45710</v>
      </c>
      <c r="D502" t="inlineStr">
        <is>
          <t>UPPSALA LÄN</t>
        </is>
      </c>
      <c r="E502" t="inlineStr">
        <is>
          <t>UPPSALA</t>
        </is>
      </c>
      <c r="F502" t="inlineStr">
        <is>
          <t>Bergvik skog öst AB</t>
        </is>
      </c>
      <c r="G502" t="n">
        <v>5.8</v>
      </c>
      <c r="H502" t="n">
        <v>0</v>
      </c>
      <c r="I502" t="n">
        <v>0</v>
      </c>
      <c r="J502" t="n">
        <v>0</v>
      </c>
      <c r="K502" t="n">
        <v>0</v>
      </c>
      <c r="L502" t="n">
        <v>0</v>
      </c>
      <c r="M502" t="n">
        <v>0</v>
      </c>
      <c r="N502" t="n">
        <v>0</v>
      </c>
      <c r="O502" t="n">
        <v>0</v>
      </c>
      <c r="P502" t="n">
        <v>0</v>
      </c>
      <c r="Q502" t="n">
        <v>0</v>
      </c>
      <c r="R502" s="2" t="inlineStr"/>
    </row>
    <row r="503" ht="15" customHeight="1">
      <c r="A503" t="inlineStr">
        <is>
          <t>A 36998-2021</t>
        </is>
      </c>
      <c r="B503" s="1" t="n">
        <v>44393</v>
      </c>
      <c r="C503" s="1" t="n">
        <v>45710</v>
      </c>
      <c r="D503" t="inlineStr">
        <is>
          <t>UPPSALA LÄN</t>
        </is>
      </c>
      <c r="E503" t="inlineStr">
        <is>
          <t>UPPSALA</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37162-2021</t>
        </is>
      </c>
      <c r="B504" s="1" t="n">
        <v>44395</v>
      </c>
      <c r="C504" s="1" t="n">
        <v>45710</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37763-2021</t>
        </is>
      </c>
      <c r="B505" s="1" t="n">
        <v>44400</v>
      </c>
      <c r="C505" s="1" t="n">
        <v>45710</v>
      </c>
      <c r="D505" t="inlineStr">
        <is>
          <t>UPPSALA LÄN</t>
        </is>
      </c>
      <c r="E505" t="inlineStr">
        <is>
          <t>UPPSALA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37819-2021</t>
        </is>
      </c>
      <c r="B506" s="1" t="n">
        <v>44403</v>
      </c>
      <c r="C506" s="1" t="n">
        <v>45710</v>
      </c>
      <c r="D506" t="inlineStr">
        <is>
          <t>UPPSALA LÄN</t>
        </is>
      </c>
      <c r="E506" t="inlineStr">
        <is>
          <t>UPPSALA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37820-2021</t>
        </is>
      </c>
      <c r="B507" s="1" t="n">
        <v>44403</v>
      </c>
      <c r="C507" s="1" t="n">
        <v>45710</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38469-2021</t>
        </is>
      </c>
      <c r="B508" s="1" t="n">
        <v>44407</v>
      </c>
      <c r="C508" s="1" t="n">
        <v>45710</v>
      </c>
      <c r="D508" t="inlineStr">
        <is>
          <t>UPPSALA LÄN</t>
        </is>
      </c>
      <c r="E508" t="inlineStr">
        <is>
          <t>UPPSALA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38463-2021</t>
        </is>
      </c>
      <c r="B509" s="1" t="n">
        <v>44407</v>
      </c>
      <c r="C509" s="1" t="n">
        <v>45710</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40500-2021</t>
        </is>
      </c>
      <c r="B510" s="1" t="n">
        <v>44420</v>
      </c>
      <c r="C510" s="1" t="n">
        <v>45710</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40507-2021</t>
        </is>
      </c>
      <c r="B511" s="1" t="n">
        <v>44420</v>
      </c>
      <c r="C511" s="1" t="n">
        <v>45710</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45710</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42294-2021</t>
        </is>
      </c>
      <c r="B513" s="1" t="n">
        <v>44427</v>
      </c>
      <c r="C513" s="1" t="n">
        <v>45710</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v>
      </c>
      <c r="C514" s="1" t="n">
        <v>45710</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44781-2021</t>
        </is>
      </c>
      <c r="B515" s="1" t="n">
        <v>44438</v>
      </c>
      <c r="C515" s="1" t="n">
        <v>45710</v>
      </c>
      <c r="D515" t="inlineStr">
        <is>
          <t>UPPSALA LÄN</t>
        </is>
      </c>
      <c r="E515" t="inlineStr">
        <is>
          <t>UPPSALA</t>
        </is>
      </c>
      <c r="F515" t="inlineStr">
        <is>
          <t>Sveaskog</t>
        </is>
      </c>
      <c r="G515" t="n">
        <v>0.1</v>
      </c>
      <c r="H515" t="n">
        <v>0</v>
      </c>
      <c r="I515" t="n">
        <v>0</v>
      </c>
      <c r="J515" t="n">
        <v>0</v>
      </c>
      <c r="K515" t="n">
        <v>0</v>
      </c>
      <c r="L515" t="n">
        <v>0</v>
      </c>
      <c r="M515" t="n">
        <v>0</v>
      </c>
      <c r="N515" t="n">
        <v>0</v>
      </c>
      <c r="O515" t="n">
        <v>0</v>
      </c>
      <c r="P515" t="n">
        <v>0</v>
      </c>
      <c r="Q515" t="n">
        <v>0</v>
      </c>
      <c r="R515" s="2" t="inlineStr"/>
    </row>
    <row r="516" ht="15" customHeight="1">
      <c r="A516" t="inlineStr">
        <is>
          <t>A 46097-2021</t>
        </is>
      </c>
      <c r="B516" s="1" t="n">
        <v>44442</v>
      </c>
      <c r="C516" s="1" t="n">
        <v>45710</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46099-2021</t>
        </is>
      </c>
      <c r="B517" s="1" t="n">
        <v>44442</v>
      </c>
      <c r="C517" s="1" t="n">
        <v>45710</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46553-2021</t>
        </is>
      </c>
      <c r="B518" s="1" t="n">
        <v>44445</v>
      </c>
      <c r="C518" s="1" t="n">
        <v>45710</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45710</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46916-2021</t>
        </is>
      </c>
      <c r="B520" s="1" t="n">
        <v>44446</v>
      </c>
      <c r="C520" s="1" t="n">
        <v>45710</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47367-2021</t>
        </is>
      </c>
      <c r="B521" s="1" t="n">
        <v>44447</v>
      </c>
      <c r="C521" s="1" t="n">
        <v>45710</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48918-2021</t>
        </is>
      </c>
      <c r="B522" s="1" t="n">
        <v>44453</v>
      </c>
      <c r="C522" s="1" t="n">
        <v>45710</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49274-2021</t>
        </is>
      </c>
      <c r="B523" s="1" t="n">
        <v>44454</v>
      </c>
      <c r="C523" s="1" t="n">
        <v>45710</v>
      </c>
      <c r="D523" t="inlineStr">
        <is>
          <t>UPPSALA LÄN</t>
        </is>
      </c>
      <c r="E523" t="inlineStr">
        <is>
          <t>UPPSALA</t>
        </is>
      </c>
      <c r="G523" t="n">
        <v>8.5</v>
      </c>
      <c r="H523" t="n">
        <v>0</v>
      </c>
      <c r="I523" t="n">
        <v>0</v>
      </c>
      <c r="J523" t="n">
        <v>0</v>
      </c>
      <c r="K523" t="n">
        <v>0</v>
      </c>
      <c r="L523" t="n">
        <v>0</v>
      </c>
      <c r="M523" t="n">
        <v>0</v>
      </c>
      <c r="N523" t="n">
        <v>0</v>
      </c>
      <c r="O523" t="n">
        <v>0</v>
      </c>
      <c r="P523" t="n">
        <v>0</v>
      </c>
      <c r="Q523" t="n">
        <v>0</v>
      </c>
      <c r="R523" s="2" t="inlineStr"/>
    </row>
    <row r="524" ht="15" customHeight="1">
      <c r="A524" t="inlineStr">
        <is>
          <t>A 51050-2021</t>
        </is>
      </c>
      <c r="B524" s="1" t="n">
        <v>44459</v>
      </c>
      <c r="C524" s="1" t="n">
        <v>45710</v>
      </c>
      <c r="D524" t="inlineStr">
        <is>
          <t>UPPSALA LÄN</t>
        </is>
      </c>
      <c r="E524" t="inlineStr">
        <is>
          <t>UPPSALA</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51821-2021</t>
        </is>
      </c>
      <c r="B525" s="1" t="n">
        <v>44461</v>
      </c>
      <c r="C525" s="1" t="n">
        <v>45710</v>
      </c>
      <c r="D525" t="inlineStr">
        <is>
          <t>UPPSALA LÄN</t>
        </is>
      </c>
      <c r="E525" t="inlineStr">
        <is>
          <t>UPPSALA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51396-2021</t>
        </is>
      </c>
      <c r="B526" s="1" t="n">
        <v>44461</v>
      </c>
      <c r="C526" s="1" t="n">
        <v>45710</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52083-2021</t>
        </is>
      </c>
      <c r="B527" s="1" t="n">
        <v>44463</v>
      </c>
      <c r="C527" s="1" t="n">
        <v>45710</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54168-2021</t>
        </is>
      </c>
      <c r="B528" s="1" t="n">
        <v>44470</v>
      </c>
      <c r="C528" s="1" t="n">
        <v>45710</v>
      </c>
      <c r="D528" t="inlineStr">
        <is>
          <t>UPPSALA LÄN</t>
        </is>
      </c>
      <c r="E528" t="inlineStr">
        <is>
          <t>UPPSALA</t>
        </is>
      </c>
      <c r="G528" t="n">
        <v>7.5</v>
      </c>
      <c r="H528" t="n">
        <v>0</v>
      </c>
      <c r="I528" t="n">
        <v>0</v>
      </c>
      <c r="J528" t="n">
        <v>0</v>
      </c>
      <c r="K528" t="n">
        <v>0</v>
      </c>
      <c r="L528" t="n">
        <v>0</v>
      </c>
      <c r="M528" t="n">
        <v>0</v>
      </c>
      <c r="N528" t="n">
        <v>0</v>
      </c>
      <c r="O528" t="n">
        <v>0</v>
      </c>
      <c r="P528" t="n">
        <v>0</v>
      </c>
      <c r="Q528" t="n">
        <v>0</v>
      </c>
      <c r="R528" s="2" t="inlineStr"/>
    </row>
    <row r="529" ht="15" customHeight="1">
      <c r="A529" t="inlineStr">
        <is>
          <t>A 55823-2021</t>
        </is>
      </c>
      <c r="B529" s="1" t="n">
        <v>44476</v>
      </c>
      <c r="C529" s="1" t="n">
        <v>45710</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56042-2021</t>
        </is>
      </c>
      <c r="B530" s="1" t="n">
        <v>44477</v>
      </c>
      <c r="C530" s="1" t="n">
        <v>45710</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56049-2021</t>
        </is>
      </c>
      <c r="B531" s="1" t="n">
        <v>44477</v>
      </c>
      <c r="C531" s="1" t="n">
        <v>45710</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56463-2021</t>
        </is>
      </c>
      <c r="B532" s="1" t="n">
        <v>44479</v>
      </c>
      <c r="C532" s="1" t="n">
        <v>45710</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56769-2021</t>
        </is>
      </c>
      <c r="B533" s="1" t="n">
        <v>44481</v>
      </c>
      <c r="C533" s="1" t="n">
        <v>45710</v>
      </c>
      <c r="D533" t="inlineStr">
        <is>
          <t>UPPSALA LÄN</t>
        </is>
      </c>
      <c r="E533" t="inlineStr">
        <is>
          <t>UPPSALA</t>
        </is>
      </c>
      <c r="G533" t="n">
        <v>3.8</v>
      </c>
      <c r="H533" t="n">
        <v>0</v>
      </c>
      <c r="I533" t="n">
        <v>0</v>
      </c>
      <c r="J533" t="n">
        <v>0</v>
      </c>
      <c r="K533" t="n">
        <v>0</v>
      </c>
      <c r="L533" t="n">
        <v>0</v>
      </c>
      <c r="M533" t="n">
        <v>0</v>
      </c>
      <c r="N533" t="n">
        <v>0</v>
      </c>
      <c r="O533" t="n">
        <v>0</v>
      </c>
      <c r="P533" t="n">
        <v>0</v>
      </c>
      <c r="Q533" t="n">
        <v>0</v>
      </c>
      <c r="R533" s="2" t="inlineStr"/>
    </row>
    <row r="534" ht="15" customHeight="1">
      <c r="A534" t="inlineStr">
        <is>
          <t>A 57647-2021</t>
        </is>
      </c>
      <c r="B534" s="1" t="n">
        <v>44484</v>
      </c>
      <c r="C534" s="1" t="n">
        <v>45710</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45710</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58767-2021</t>
        </is>
      </c>
      <c r="B536" s="1" t="n">
        <v>44489</v>
      </c>
      <c r="C536" s="1" t="n">
        <v>45710</v>
      </c>
      <c r="D536" t="inlineStr">
        <is>
          <t>UPPSALA LÄN</t>
        </is>
      </c>
      <c r="E536" t="inlineStr">
        <is>
          <t>UPPSALA</t>
        </is>
      </c>
      <c r="G536" t="n">
        <v>4.8</v>
      </c>
      <c r="H536" t="n">
        <v>0</v>
      </c>
      <c r="I536" t="n">
        <v>0</v>
      </c>
      <c r="J536" t="n">
        <v>0</v>
      </c>
      <c r="K536" t="n">
        <v>0</v>
      </c>
      <c r="L536" t="n">
        <v>0</v>
      </c>
      <c r="M536" t="n">
        <v>0</v>
      </c>
      <c r="N536" t="n">
        <v>0</v>
      </c>
      <c r="O536" t="n">
        <v>0</v>
      </c>
      <c r="P536" t="n">
        <v>0</v>
      </c>
      <c r="Q536" t="n">
        <v>0</v>
      </c>
      <c r="R536" s="2" t="inlineStr"/>
    </row>
    <row r="537" ht="15" customHeight="1">
      <c r="A537" t="inlineStr">
        <is>
          <t>A 58897-2021</t>
        </is>
      </c>
      <c r="B537" s="1" t="n">
        <v>44489</v>
      </c>
      <c r="C537" s="1" t="n">
        <v>45710</v>
      </c>
      <c r="D537" t="inlineStr">
        <is>
          <t>UPPSALA LÄN</t>
        </is>
      </c>
      <c r="E537" t="inlineStr">
        <is>
          <t>UPPSALA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59241-2021</t>
        </is>
      </c>
      <c r="B538" s="1" t="n">
        <v>44490</v>
      </c>
      <c r="C538" s="1" t="n">
        <v>45710</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59484-2021</t>
        </is>
      </c>
      <c r="B539" s="1" t="n">
        <v>44491</v>
      </c>
      <c r="C539" s="1" t="n">
        <v>45710</v>
      </c>
      <c r="D539" t="inlineStr">
        <is>
          <t>UPPSALA LÄN</t>
        </is>
      </c>
      <c r="E539" t="inlineStr">
        <is>
          <t>UPPSALA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59500-2021</t>
        </is>
      </c>
      <c r="B540" s="1" t="n">
        <v>44491</v>
      </c>
      <c r="C540" s="1" t="n">
        <v>45710</v>
      </c>
      <c r="D540" t="inlineStr">
        <is>
          <t>UPPSALA LÄN</t>
        </is>
      </c>
      <c r="E540" t="inlineStr">
        <is>
          <t>UPPSALA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v>
      </c>
      <c r="C541" s="1" t="n">
        <v>45710</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45710</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60032-2021</t>
        </is>
      </c>
      <c r="B543" s="1" t="n">
        <v>44495</v>
      </c>
      <c r="C543" s="1" t="n">
        <v>45710</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61008-2021</t>
        </is>
      </c>
      <c r="B544" s="1" t="n">
        <v>44497</v>
      </c>
      <c r="C544" s="1" t="n">
        <v>45710</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60917-2021</t>
        </is>
      </c>
      <c r="B545" s="1" t="n">
        <v>44497</v>
      </c>
      <c r="C545" s="1" t="n">
        <v>45710</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60925-2021</t>
        </is>
      </c>
      <c r="B546" s="1" t="n">
        <v>44497</v>
      </c>
      <c r="C546" s="1" t="n">
        <v>45710</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61805-2021</t>
        </is>
      </c>
      <c r="B547" s="1" t="n">
        <v>44501</v>
      </c>
      <c r="C547" s="1" t="n">
        <v>45710</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62471-2021</t>
        </is>
      </c>
      <c r="B548" s="1" t="n">
        <v>44503</v>
      </c>
      <c r="C548" s="1" t="n">
        <v>45710</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62865-2021</t>
        </is>
      </c>
      <c r="B549" s="1" t="n">
        <v>44504</v>
      </c>
      <c r="C549" s="1" t="n">
        <v>45710</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63011-2021</t>
        </is>
      </c>
      <c r="B550" s="1" t="n">
        <v>44504</v>
      </c>
      <c r="C550" s="1" t="n">
        <v>45710</v>
      </c>
      <c r="D550" t="inlineStr">
        <is>
          <t>UPPSALA LÄN</t>
        </is>
      </c>
      <c r="E550" t="inlineStr">
        <is>
          <t>UPPSALA</t>
        </is>
      </c>
      <c r="G550" t="n">
        <v>11.2</v>
      </c>
      <c r="H550" t="n">
        <v>0</v>
      </c>
      <c r="I550" t="n">
        <v>0</v>
      </c>
      <c r="J550" t="n">
        <v>0</v>
      </c>
      <c r="K550" t="n">
        <v>0</v>
      </c>
      <c r="L550" t="n">
        <v>0</v>
      </c>
      <c r="M550" t="n">
        <v>0</v>
      </c>
      <c r="N550" t="n">
        <v>0</v>
      </c>
      <c r="O550" t="n">
        <v>0</v>
      </c>
      <c r="P550" t="n">
        <v>0</v>
      </c>
      <c r="Q550" t="n">
        <v>0</v>
      </c>
      <c r="R550" s="2" t="inlineStr"/>
    </row>
    <row r="551" ht="15" customHeight="1">
      <c r="A551" t="inlineStr">
        <is>
          <t>A 63307-2021</t>
        </is>
      </c>
      <c r="B551" s="1" t="n">
        <v>44508</v>
      </c>
      <c r="C551" s="1" t="n">
        <v>45710</v>
      </c>
      <c r="D551" t="inlineStr">
        <is>
          <t>UPPSALA LÄN</t>
        </is>
      </c>
      <c r="E551" t="inlineStr">
        <is>
          <t>UPPSALA</t>
        </is>
      </c>
      <c r="F551" t="inlineStr">
        <is>
          <t>Bergvik skog öst AB</t>
        </is>
      </c>
      <c r="G551" t="n">
        <v>2.8</v>
      </c>
      <c r="H551" t="n">
        <v>0</v>
      </c>
      <c r="I551" t="n">
        <v>0</v>
      </c>
      <c r="J551" t="n">
        <v>0</v>
      </c>
      <c r="K551" t="n">
        <v>0</v>
      </c>
      <c r="L551" t="n">
        <v>0</v>
      </c>
      <c r="M551" t="n">
        <v>0</v>
      </c>
      <c r="N551" t="n">
        <v>0</v>
      </c>
      <c r="O551" t="n">
        <v>0</v>
      </c>
      <c r="P551" t="n">
        <v>0</v>
      </c>
      <c r="Q551" t="n">
        <v>0</v>
      </c>
      <c r="R551" s="2" t="inlineStr"/>
    </row>
    <row r="552" ht="15" customHeight="1">
      <c r="A552" t="inlineStr">
        <is>
          <t>A 64016-2021</t>
        </is>
      </c>
      <c r="B552" s="1" t="n">
        <v>44510</v>
      </c>
      <c r="C552" s="1" t="n">
        <v>45710</v>
      </c>
      <c r="D552" t="inlineStr">
        <is>
          <t>UPPSALA LÄN</t>
        </is>
      </c>
      <c r="E552" t="inlineStr">
        <is>
          <t>UPPSALA</t>
        </is>
      </c>
      <c r="G552" t="n">
        <v>2.1</v>
      </c>
      <c r="H552" t="n">
        <v>0</v>
      </c>
      <c r="I552" t="n">
        <v>0</v>
      </c>
      <c r="J552" t="n">
        <v>0</v>
      </c>
      <c r="K552" t="n">
        <v>0</v>
      </c>
      <c r="L552" t="n">
        <v>0</v>
      </c>
      <c r="M552" t="n">
        <v>0</v>
      </c>
      <c r="N552" t="n">
        <v>0</v>
      </c>
      <c r="O552" t="n">
        <v>0</v>
      </c>
      <c r="P552" t="n">
        <v>0</v>
      </c>
      <c r="Q552" t="n">
        <v>0</v>
      </c>
      <c r="R552" s="2" t="inlineStr"/>
    </row>
    <row r="553" ht="15" customHeight="1">
      <c r="A553" t="inlineStr">
        <is>
          <t>A 64857-2021</t>
        </is>
      </c>
      <c r="B553" s="1" t="n">
        <v>44512</v>
      </c>
      <c r="C553" s="1" t="n">
        <v>45710</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64856-2021</t>
        </is>
      </c>
      <c r="B554" s="1" t="n">
        <v>44512</v>
      </c>
      <c r="C554" s="1" t="n">
        <v>45710</v>
      </c>
      <c r="D554" t="inlineStr">
        <is>
          <t>UPPSALA LÄN</t>
        </is>
      </c>
      <c r="E554" t="inlineStr">
        <is>
          <t>UPPSALA</t>
        </is>
      </c>
      <c r="G554" t="n">
        <v>4.1</v>
      </c>
      <c r="H554" t="n">
        <v>0</v>
      </c>
      <c r="I554" t="n">
        <v>0</v>
      </c>
      <c r="J554" t="n">
        <v>0</v>
      </c>
      <c r="K554" t="n">
        <v>0</v>
      </c>
      <c r="L554" t="n">
        <v>0</v>
      </c>
      <c r="M554" t="n">
        <v>0</v>
      </c>
      <c r="N554" t="n">
        <v>0</v>
      </c>
      <c r="O554" t="n">
        <v>0</v>
      </c>
      <c r="P554" t="n">
        <v>0</v>
      </c>
      <c r="Q554" t="n">
        <v>0</v>
      </c>
      <c r="R554" s="2" t="inlineStr"/>
    </row>
    <row r="555" ht="15" customHeight="1">
      <c r="A555" t="inlineStr">
        <is>
          <t>A 64858-2021</t>
        </is>
      </c>
      <c r="B555" s="1" t="n">
        <v>44512</v>
      </c>
      <c r="C555" s="1" t="n">
        <v>45710</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64855-2021</t>
        </is>
      </c>
      <c r="B556" s="1" t="n">
        <v>44512</v>
      </c>
      <c r="C556" s="1" t="n">
        <v>45710</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65132-2021</t>
        </is>
      </c>
      <c r="B557" s="1" t="n">
        <v>44515</v>
      </c>
      <c r="C557" s="1" t="n">
        <v>45710</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65659-2021</t>
        </is>
      </c>
      <c r="B558" s="1" t="n">
        <v>44516</v>
      </c>
      <c r="C558" s="1" t="n">
        <v>45710</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65695-2021</t>
        </is>
      </c>
      <c r="B559" s="1" t="n">
        <v>44516</v>
      </c>
      <c r="C559" s="1" t="n">
        <v>45710</v>
      </c>
      <c r="D559" t="inlineStr">
        <is>
          <t>UPPSALA LÄN</t>
        </is>
      </c>
      <c r="E559" t="inlineStr">
        <is>
          <t>UPPSALA</t>
        </is>
      </c>
      <c r="G559" t="n">
        <v>0.7</v>
      </c>
      <c r="H559" t="n">
        <v>0</v>
      </c>
      <c r="I559" t="n">
        <v>0</v>
      </c>
      <c r="J559" t="n">
        <v>0</v>
      </c>
      <c r="K559" t="n">
        <v>0</v>
      </c>
      <c r="L559" t="n">
        <v>0</v>
      </c>
      <c r="M559" t="n">
        <v>0</v>
      </c>
      <c r="N559" t="n">
        <v>0</v>
      </c>
      <c r="O559" t="n">
        <v>0</v>
      </c>
      <c r="P559" t="n">
        <v>0</v>
      </c>
      <c r="Q559" t="n">
        <v>0</v>
      </c>
      <c r="R559" s="2" t="inlineStr"/>
    </row>
    <row r="560" ht="15" customHeight="1">
      <c r="A560" t="inlineStr">
        <is>
          <t>A 65809-2021</t>
        </is>
      </c>
      <c r="B560" s="1" t="n">
        <v>44517</v>
      </c>
      <c r="C560" s="1" t="n">
        <v>45710</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65811-2021</t>
        </is>
      </c>
      <c r="B561" s="1" t="n">
        <v>44517</v>
      </c>
      <c r="C561" s="1" t="n">
        <v>45710</v>
      </c>
      <c r="D561" t="inlineStr">
        <is>
          <t>UPPSALA LÄN</t>
        </is>
      </c>
      <c r="E561" t="inlineStr">
        <is>
          <t>UPPSALA</t>
        </is>
      </c>
      <c r="G561" t="n">
        <v>0.3</v>
      </c>
      <c r="H561" t="n">
        <v>0</v>
      </c>
      <c r="I561" t="n">
        <v>0</v>
      </c>
      <c r="J561" t="n">
        <v>0</v>
      </c>
      <c r="K561" t="n">
        <v>0</v>
      </c>
      <c r="L561" t="n">
        <v>0</v>
      </c>
      <c r="M561" t="n">
        <v>0</v>
      </c>
      <c r="N561" t="n">
        <v>0</v>
      </c>
      <c r="O561" t="n">
        <v>0</v>
      </c>
      <c r="P561" t="n">
        <v>0</v>
      </c>
      <c r="Q561" t="n">
        <v>0</v>
      </c>
      <c r="R561" s="2" t="inlineStr"/>
    </row>
    <row r="562" ht="15" customHeight="1">
      <c r="A562" t="inlineStr">
        <is>
          <t>A 65964-2021</t>
        </is>
      </c>
      <c r="B562" s="1" t="n">
        <v>44517</v>
      </c>
      <c r="C562" s="1" t="n">
        <v>45710</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66239-2021</t>
        </is>
      </c>
      <c r="B563" s="1" t="n">
        <v>44518</v>
      </c>
      <c r="C563" s="1" t="n">
        <v>45710</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66690-2021</t>
        </is>
      </c>
      <c r="B564" s="1" t="n">
        <v>44519</v>
      </c>
      <c r="C564" s="1" t="n">
        <v>45710</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66686-2021</t>
        </is>
      </c>
      <c r="B565" s="1" t="n">
        <v>44519</v>
      </c>
      <c r="C565" s="1" t="n">
        <v>45710</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66794-2021</t>
        </is>
      </c>
      <c r="B566" s="1" t="n">
        <v>44522</v>
      </c>
      <c r="C566" s="1" t="n">
        <v>45710</v>
      </c>
      <c r="D566" t="inlineStr">
        <is>
          <t>UPPSALA LÄN</t>
        </is>
      </c>
      <c r="E566" t="inlineStr">
        <is>
          <t>UPPSALA</t>
        </is>
      </c>
      <c r="G566" t="n">
        <v>4.9</v>
      </c>
      <c r="H566" t="n">
        <v>0</v>
      </c>
      <c r="I566" t="n">
        <v>0</v>
      </c>
      <c r="J566" t="n">
        <v>0</v>
      </c>
      <c r="K566" t="n">
        <v>0</v>
      </c>
      <c r="L566" t="n">
        <v>0</v>
      </c>
      <c r="M566" t="n">
        <v>0</v>
      </c>
      <c r="N566" t="n">
        <v>0</v>
      </c>
      <c r="O566" t="n">
        <v>0</v>
      </c>
      <c r="P566" t="n">
        <v>0</v>
      </c>
      <c r="Q566" t="n">
        <v>0</v>
      </c>
      <c r="R566" s="2" t="inlineStr"/>
    </row>
    <row r="567" ht="15" customHeight="1">
      <c r="A567" t="inlineStr">
        <is>
          <t>A 66927-2021</t>
        </is>
      </c>
      <c r="B567" s="1" t="n">
        <v>44522</v>
      </c>
      <c r="C567" s="1" t="n">
        <v>45710</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66983-2021</t>
        </is>
      </c>
      <c r="B568" s="1" t="n">
        <v>44522</v>
      </c>
      <c r="C568" s="1" t="n">
        <v>45710</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67991-2021</t>
        </is>
      </c>
      <c r="B569" s="1" t="n">
        <v>44525</v>
      </c>
      <c r="C569" s="1" t="n">
        <v>45710</v>
      </c>
      <c r="D569" t="inlineStr">
        <is>
          <t>UPPSALA LÄN</t>
        </is>
      </c>
      <c r="E569" t="inlineStr">
        <is>
          <t>UPPSALA</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68696-2021</t>
        </is>
      </c>
      <c r="B570" s="1" t="n">
        <v>44526</v>
      </c>
      <c r="C570" s="1" t="n">
        <v>45710</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45710</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68296-2021</t>
        </is>
      </c>
      <c r="B572" s="1" t="n">
        <v>44526</v>
      </c>
      <c r="C572" s="1" t="n">
        <v>45710</v>
      </c>
      <c r="D572" t="inlineStr">
        <is>
          <t>UPPSALA LÄN</t>
        </is>
      </c>
      <c r="E572" t="inlineStr">
        <is>
          <t>UPPSALA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69067-2021</t>
        </is>
      </c>
      <c r="B573" s="1" t="n">
        <v>44530</v>
      </c>
      <c r="C573" s="1" t="n">
        <v>45710</v>
      </c>
      <c r="D573" t="inlineStr">
        <is>
          <t>UPPSALA LÄN</t>
        </is>
      </c>
      <c r="E573" t="inlineStr">
        <is>
          <t>UPPSALA</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69432-2021</t>
        </is>
      </c>
      <c r="B574" s="1" t="n">
        <v>44531</v>
      </c>
      <c r="C574" s="1" t="n">
        <v>45710</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69214-2021</t>
        </is>
      </c>
      <c r="B575" s="1" t="n">
        <v>44531</v>
      </c>
      <c r="C575" s="1" t="n">
        <v>45710</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69397-2021</t>
        </is>
      </c>
      <c r="B576" s="1" t="n">
        <v>44531</v>
      </c>
      <c r="C576" s="1" t="n">
        <v>45710</v>
      </c>
      <c r="D576" t="inlineStr">
        <is>
          <t>UPPSALA LÄN</t>
        </is>
      </c>
      <c r="E576" t="inlineStr">
        <is>
          <t>UPPSALA</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45710</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69439-2021</t>
        </is>
      </c>
      <c r="B578" s="1" t="n">
        <v>44531</v>
      </c>
      <c r="C578" s="1" t="n">
        <v>45710</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69711-2021</t>
        </is>
      </c>
      <c r="B579" s="1" t="n">
        <v>44532</v>
      </c>
      <c r="C579" s="1" t="n">
        <v>45710</v>
      </c>
      <c r="D579" t="inlineStr">
        <is>
          <t>UPPSALA LÄN</t>
        </is>
      </c>
      <c r="E579" t="inlineStr">
        <is>
          <t>UPPSALA</t>
        </is>
      </c>
      <c r="G579" t="n">
        <v>10.2</v>
      </c>
      <c r="H579" t="n">
        <v>0</v>
      </c>
      <c r="I579" t="n">
        <v>0</v>
      </c>
      <c r="J579" t="n">
        <v>0</v>
      </c>
      <c r="K579" t="n">
        <v>0</v>
      </c>
      <c r="L579" t="n">
        <v>0</v>
      </c>
      <c r="M579" t="n">
        <v>0</v>
      </c>
      <c r="N579" t="n">
        <v>0</v>
      </c>
      <c r="O579" t="n">
        <v>0</v>
      </c>
      <c r="P579" t="n">
        <v>0</v>
      </c>
      <c r="Q579" t="n">
        <v>0</v>
      </c>
      <c r="R579" s="2" t="inlineStr"/>
    </row>
    <row r="580" ht="15" customHeight="1">
      <c r="A580" t="inlineStr">
        <is>
          <t>A 69595-2021</t>
        </is>
      </c>
      <c r="B580" s="1" t="n">
        <v>44532</v>
      </c>
      <c r="C580" s="1" t="n">
        <v>45710</v>
      </c>
      <c r="D580" t="inlineStr">
        <is>
          <t>UPPSALA LÄN</t>
        </is>
      </c>
      <c r="E580" t="inlineStr">
        <is>
          <t>UPPSALA</t>
        </is>
      </c>
      <c r="G580" t="n">
        <v>3.9</v>
      </c>
      <c r="H580" t="n">
        <v>0</v>
      </c>
      <c r="I580" t="n">
        <v>0</v>
      </c>
      <c r="J580" t="n">
        <v>0</v>
      </c>
      <c r="K580" t="n">
        <v>0</v>
      </c>
      <c r="L580" t="n">
        <v>0</v>
      </c>
      <c r="M580" t="n">
        <v>0</v>
      </c>
      <c r="N580" t="n">
        <v>0</v>
      </c>
      <c r="O580" t="n">
        <v>0</v>
      </c>
      <c r="P580" t="n">
        <v>0</v>
      </c>
      <c r="Q580" t="n">
        <v>0</v>
      </c>
      <c r="R580" s="2" t="inlineStr"/>
    </row>
    <row r="581" ht="15" customHeight="1">
      <c r="A581" t="inlineStr">
        <is>
          <t>A 69698-2021</t>
        </is>
      </c>
      <c r="B581" s="1" t="n">
        <v>44532</v>
      </c>
      <c r="C581" s="1" t="n">
        <v>45710</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69691-2021</t>
        </is>
      </c>
      <c r="B582" s="1" t="n">
        <v>44532</v>
      </c>
      <c r="C582" s="1" t="n">
        <v>45710</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70032-2021</t>
        </is>
      </c>
      <c r="B583" s="1" t="n">
        <v>44533</v>
      </c>
      <c r="C583" s="1" t="n">
        <v>45710</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70031-2021</t>
        </is>
      </c>
      <c r="B584" s="1" t="n">
        <v>44533</v>
      </c>
      <c r="C584" s="1" t="n">
        <v>45710</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70359-2021</t>
        </is>
      </c>
      <c r="B585" s="1" t="n">
        <v>44535</v>
      </c>
      <c r="C585" s="1" t="n">
        <v>45710</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70228-2021</t>
        </is>
      </c>
      <c r="B586" s="1" t="n">
        <v>44535</v>
      </c>
      <c r="C586" s="1" t="n">
        <v>45710</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70996-2021</t>
        </is>
      </c>
      <c r="B587" s="1" t="n">
        <v>44538</v>
      </c>
      <c r="C587" s="1" t="n">
        <v>45710</v>
      </c>
      <c r="D587" t="inlineStr">
        <is>
          <t>UPPSALA LÄN</t>
        </is>
      </c>
      <c r="E587" t="inlineStr">
        <is>
          <t>UPPSALA</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71563-2021</t>
        </is>
      </c>
      <c r="B588" s="1" t="n">
        <v>44540</v>
      </c>
      <c r="C588" s="1" t="n">
        <v>45710</v>
      </c>
      <c r="D588" t="inlineStr">
        <is>
          <t>UPPSALA LÄN</t>
        </is>
      </c>
      <c r="E588" t="inlineStr">
        <is>
          <t>UPPSALA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71675-2021</t>
        </is>
      </c>
      <c r="B589" s="1" t="n">
        <v>44543</v>
      </c>
      <c r="C589" s="1" t="n">
        <v>45710</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71643-2021</t>
        </is>
      </c>
      <c r="B590" s="1" t="n">
        <v>44543</v>
      </c>
      <c r="C590" s="1" t="n">
        <v>45710</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71671-2021</t>
        </is>
      </c>
      <c r="B591" s="1" t="n">
        <v>44543</v>
      </c>
      <c r="C591" s="1" t="n">
        <v>45710</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72225-2021</t>
        </is>
      </c>
      <c r="B592" s="1" t="n">
        <v>44544</v>
      </c>
      <c r="C592" s="1" t="n">
        <v>45710</v>
      </c>
      <c r="D592" t="inlineStr">
        <is>
          <t>UPPSALA LÄN</t>
        </is>
      </c>
      <c r="E592" t="inlineStr">
        <is>
          <t>UPPSALA</t>
        </is>
      </c>
      <c r="G592" t="n">
        <v>6.2</v>
      </c>
      <c r="H592" t="n">
        <v>0</v>
      </c>
      <c r="I592" t="n">
        <v>0</v>
      </c>
      <c r="J592" t="n">
        <v>0</v>
      </c>
      <c r="K592" t="n">
        <v>0</v>
      </c>
      <c r="L592" t="n">
        <v>0</v>
      </c>
      <c r="M592" t="n">
        <v>0</v>
      </c>
      <c r="N592" t="n">
        <v>0</v>
      </c>
      <c r="O592" t="n">
        <v>0</v>
      </c>
      <c r="P592" t="n">
        <v>0</v>
      </c>
      <c r="Q592" t="n">
        <v>0</v>
      </c>
      <c r="R592" s="2" t="inlineStr"/>
    </row>
    <row r="593" ht="15" customHeight="1">
      <c r="A593" t="inlineStr">
        <is>
          <t>A 72224-2021</t>
        </is>
      </c>
      <c r="B593" s="1" t="n">
        <v>44544</v>
      </c>
      <c r="C593" s="1" t="n">
        <v>45710</v>
      </c>
      <c r="D593" t="inlineStr">
        <is>
          <t>UPPSALA LÄN</t>
        </is>
      </c>
      <c r="E593" t="inlineStr">
        <is>
          <t>UPPSALA</t>
        </is>
      </c>
      <c r="G593" t="n">
        <v>2.5</v>
      </c>
      <c r="H593" t="n">
        <v>0</v>
      </c>
      <c r="I593" t="n">
        <v>0</v>
      </c>
      <c r="J593" t="n">
        <v>0</v>
      </c>
      <c r="K593" t="n">
        <v>0</v>
      </c>
      <c r="L593" t="n">
        <v>0</v>
      </c>
      <c r="M593" t="n">
        <v>0</v>
      </c>
      <c r="N593" t="n">
        <v>0</v>
      </c>
      <c r="O593" t="n">
        <v>0</v>
      </c>
      <c r="P593" t="n">
        <v>0</v>
      </c>
      <c r="Q593" t="n">
        <v>0</v>
      </c>
      <c r="R593" s="2" t="inlineStr"/>
    </row>
    <row r="594" ht="15" customHeight="1">
      <c r="A594" t="inlineStr">
        <is>
          <t>A 72973-2021</t>
        </is>
      </c>
      <c r="B594" s="1" t="n">
        <v>44548</v>
      </c>
      <c r="C594" s="1" t="n">
        <v>45710</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73326-2021</t>
        </is>
      </c>
      <c r="B595" s="1" t="n">
        <v>44548</v>
      </c>
      <c r="C595" s="1" t="n">
        <v>45710</v>
      </c>
      <c r="D595" t="inlineStr">
        <is>
          <t>UPPSALA LÄN</t>
        </is>
      </c>
      <c r="E595" t="inlineStr">
        <is>
          <t>UPPSALA</t>
        </is>
      </c>
      <c r="G595" t="n">
        <v>4</v>
      </c>
      <c r="H595" t="n">
        <v>0</v>
      </c>
      <c r="I595" t="n">
        <v>0</v>
      </c>
      <c r="J595" t="n">
        <v>0</v>
      </c>
      <c r="K595" t="n">
        <v>0</v>
      </c>
      <c r="L595" t="n">
        <v>0</v>
      </c>
      <c r="M595" t="n">
        <v>0</v>
      </c>
      <c r="N595" t="n">
        <v>0</v>
      </c>
      <c r="O595" t="n">
        <v>0</v>
      </c>
      <c r="P595" t="n">
        <v>0</v>
      </c>
      <c r="Q595" t="n">
        <v>0</v>
      </c>
      <c r="R595" s="2" t="inlineStr"/>
    </row>
    <row r="596" ht="15" customHeight="1">
      <c r="A596" t="inlineStr">
        <is>
          <t>A 73044-2021</t>
        </is>
      </c>
      <c r="B596" s="1" t="n">
        <v>44550</v>
      </c>
      <c r="C596" s="1" t="n">
        <v>45710</v>
      </c>
      <c r="D596" t="inlineStr">
        <is>
          <t>UPPSALA LÄN</t>
        </is>
      </c>
      <c r="E596" t="inlineStr">
        <is>
          <t>UPPSALA</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73468-2021</t>
        </is>
      </c>
      <c r="B597" s="1" t="n">
        <v>44551</v>
      </c>
      <c r="C597" s="1" t="n">
        <v>45710</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73518-2021</t>
        </is>
      </c>
      <c r="B598" s="1" t="n">
        <v>44551</v>
      </c>
      <c r="C598" s="1" t="n">
        <v>45710</v>
      </c>
      <c r="D598" t="inlineStr">
        <is>
          <t>UPPSALA LÄN</t>
        </is>
      </c>
      <c r="E598" t="inlineStr">
        <is>
          <t>UPPSALA</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73531-2021</t>
        </is>
      </c>
      <c r="B599" s="1" t="n">
        <v>44551</v>
      </c>
      <c r="C599" s="1" t="n">
        <v>45710</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74019-2021</t>
        </is>
      </c>
      <c r="B600" s="1" t="n">
        <v>44553</v>
      </c>
      <c r="C600" s="1" t="n">
        <v>45710</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45710</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74493-2021</t>
        </is>
      </c>
      <c r="B602" s="1" t="n">
        <v>44560</v>
      </c>
      <c r="C602" s="1" t="n">
        <v>45710</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74495-2021</t>
        </is>
      </c>
      <c r="B603" s="1" t="n">
        <v>44560</v>
      </c>
      <c r="C603" s="1" t="n">
        <v>45710</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612-2022</t>
        </is>
      </c>
      <c r="B604" s="1" t="n">
        <v>44567</v>
      </c>
      <c r="C604" s="1" t="n">
        <v>45710</v>
      </c>
      <c r="D604" t="inlineStr">
        <is>
          <t>UPPSALA LÄN</t>
        </is>
      </c>
      <c r="E604" t="inlineStr">
        <is>
          <t>UPPSALA</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733-2022</t>
        </is>
      </c>
      <c r="B605" s="1" t="n">
        <v>44568</v>
      </c>
      <c r="C605" s="1" t="n">
        <v>45710</v>
      </c>
      <c r="D605" t="inlineStr">
        <is>
          <t>UPPSALA LÄN</t>
        </is>
      </c>
      <c r="E605" t="inlineStr">
        <is>
          <t>UPPSALA</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v>
      </c>
      <c r="C606" s="1" t="n">
        <v>45710</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750-2022</t>
        </is>
      </c>
      <c r="B607" s="1" t="n">
        <v>44569</v>
      </c>
      <c r="C607" s="1" t="n">
        <v>45710</v>
      </c>
      <c r="D607" t="inlineStr">
        <is>
          <t>UPPSALA LÄN</t>
        </is>
      </c>
      <c r="E607" t="inlineStr">
        <is>
          <t>UPPSALA</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759-2022</t>
        </is>
      </c>
      <c r="B608" s="1" t="n">
        <v>44569</v>
      </c>
      <c r="C608" s="1" t="n">
        <v>45710</v>
      </c>
      <c r="D608" t="inlineStr">
        <is>
          <t>UPPSALA LÄN</t>
        </is>
      </c>
      <c r="E608" t="inlineStr">
        <is>
          <t>UPPSALA</t>
        </is>
      </c>
      <c r="F608" t="inlineStr">
        <is>
          <t>Holmen skog AB</t>
        </is>
      </c>
      <c r="G608" t="n">
        <v>3.6</v>
      </c>
      <c r="H608" t="n">
        <v>0</v>
      </c>
      <c r="I608" t="n">
        <v>0</v>
      </c>
      <c r="J608" t="n">
        <v>0</v>
      </c>
      <c r="K608" t="n">
        <v>0</v>
      </c>
      <c r="L608" t="n">
        <v>0</v>
      </c>
      <c r="M608" t="n">
        <v>0</v>
      </c>
      <c r="N608" t="n">
        <v>0</v>
      </c>
      <c r="O608" t="n">
        <v>0</v>
      </c>
      <c r="P608" t="n">
        <v>0</v>
      </c>
      <c r="Q608" t="n">
        <v>0</v>
      </c>
      <c r="R608" s="2" t="inlineStr"/>
    </row>
    <row r="609" ht="15" customHeight="1">
      <c r="A609" t="inlineStr">
        <is>
          <t>A 758-2022</t>
        </is>
      </c>
      <c r="B609" s="1" t="n">
        <v>44569</v>
      </c>
      <c r="C609" s="1" t="n">
        <v>45710</v>
      </c>
      <c r="D609" t="inlineStr">
        <is>
          <t>UPPSALA LÄN</t>
        </is>
      </c>
      <c r="E609" t="inlineStr">
        <is>
          <t>UPPSALA</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917-2022</t>
        </is>
      </c>
      <c r="B610" s="1" t="n">
        <v>44571</v>
      </c>
      <c r="C610" s="1" t="n">
        <v>45710</v>
      </c>
      <c r="D610" t="inlineStr">
        <is>
          <t>UPPSALA LÄN</t>
        </is>
      </c>
      <c r="E610" t="inlineStr">
        <is>
          <t>UPPSALA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874-2022</t>
        </is>
      </c>
      <c r="B611" s="1" t="n">
        <v>44571</v>
      </c>
      <c r="C611" s="1" t="n">
        <v>45710</v>
      </c>
      <c r="D611" t="inlineStr">
        <is>
          <t>UPPSALA LÄN</t>
        </is>
      </c>
      <c r="E611" t="inlineStr">
        <is>
          <t>UPPSALA</t>
        </is>
      </c>
      <c r="G611" t="n">
        <v>7.2</v>
      </c>
      <c r="H611" t="n">
        <v>0</v>
      </c>
      <c r="I611" t="n">
        <v>0</v>
      </c>
      <c r="J611" t="n">
        <v>0</v>
      </c>
      <c r="K611" t="n">
        <v>0</v>
      </c>
      <c r="L611" t="n">
        <v>0</v>
      </c>
      <c r="M611" t="n">
        <v>0</v>
      </c>
      <c r="N611" t="n">
        <v>0</v>
      </c>
      <c r="O611" t="n">
        <v>0</v>
      </c>
      <c r="P611" t="n">
        <v>0</v>
      </c>
      <c r="Q611" t="n">
        <v>0</v>
      </c>
      <c r="R611" s="2" t="inlineStr"/>
    </row>
    <row r="612" ht="15" customHeight="1">
      <c r="A612" t="inlineStr">
        <is>
          <t>A 1037-2022</t>
        </is>
      </c>
      <c r="B612" s="1" t="n">
        <v>44571</v>
      </c>
      <c r="C612" s="1" t="n">
        <v>45710</v>
      </c>
      <c r="D612" t="inlineStr">
        <is>
          <t>UPPSALA LÄN</t>
        </is>
      </c>
      <c r="E612" t="inlineStr">
        <is>
          <t>UPPSALA</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v>
      </c>
      <c r="C613" s="1" t="n">
        <v>45710</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1298-2022</t>
        </is>
      </c>
      <c r="B614" s="1" t="n">
        <v>44572</v>
      </c>
      <c r="C614" s="1" t="n">
        <v>45710</v>
      </c>
      <c r="D614" t="inlineStr">
        <is>
          <t>UPPSALA LÄN</t>
        </is>
      </c>
      <c r="E614" t="inlineStr">
        <is>
          <t>UPPSALA</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1731-2022</t>
        </is>
      </c>
      <c r="B615" s="1" t="n">
        <v>44574</v>
      </c>
      <c r="C615" s="1" t="n">
        <v>45710</v>
      </c>
      <c r="D615" t="inlineStr">
        <is>
          <t>UPPSALA LÄN</t>
        </is>
      </c>
      <c r="E615" t="inlineStr">
        <is>
          <t>UPPSALA</t>
        </is>
      </c>
      <c r="G615" t="n">
        <v>10.1</v>
      </c>
      <c r="H615" t="n">
        <v>0</v>
      </c>
      <c r="I615" t="n">
        <v>0</v>
      </c>
      <c r="J615" t="n">
        <v>0</v>
      </c>
      <c r="K615" t="n">
        <v>0</v>
      </c>
      <c r="L615" t="n">
        <v>0</v>
      </c>
      <c r="M615" t="n">
        <v>0</v>
      </c>
      <c r="N615" t="n">
        <v>0</v>
      </c>
      <c r="O615" t="n">
        <v>0</v>
      </c>
      <c r="P615" t="n">
        <v>0</v>
      </c>
      <c r="Q615" t="n">
        <v>0</v>
      </c>
      <c r="R615" s="2" t="inlineStr"/>
    </row>
    <row r="616" ht="15" customHeight="1">
      <c r="A616" t="inlineStr">
        <is>
          <t>A 1963-2022</t>
        </is>
      </c>
      <c r="B616" s="1" t="n">
        <v>44575</v>
      </c>
      <c r="C616" s="1" t="n">
        <v>45710</v>
      </c>
      <c r="D616" t="inlineStr">
        <is>
          <t>UPPSALA LÄN</t>
        </is>
      </c>
      <c r="E616" t="inlineStr">
        <is>
          <t>UPPSALA</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45710</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1936-2022</t>
        </is>
      </c>
      <c r="B618" s="1" t="n">
        <v>44575</v>
      </c>
      <c r="C618" s="1" t="n">
        <v>45710</v>
      </c>
      <c r="D618" t="inlineStr">
        <is>
          <t>UPPSALA LÄN</t>
        </is>
      </c>
      <c r="E618" t="inlineStr">
        <is>
          <t>UPPSALA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1978-2022</t>
        </is>
      </c>
      <c r="B619" s="1" t="n">
        <v>44575</v>
      </c>
      <c r="C619" s="1" t="n">
        <v>45710</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2017-2022</t>
        </is>
      </c>
      <c r="B620" s="1" t="n">
        <v>44575</v>
      </c>
      <c r="C620" s="1" t="n">
        <v>45710</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2228-2022</t>
        </is>
      </c>
      <c r="B621" s="1" t="n">
        <v>44578</v>
      </c>
      <c r="C621" s="1" t="n">
        <v>45710</v>
      </c>
      <c r="D621" t="inlineStr">
        <is>
          <t>UPPSALA LÄN</t>
        </is>
      </c>
      <c r="E621" t="inlineStr">
        <is>
          <t>UPPSALA</t>
        </is>
      </c>
      <c r="F621" t="inlineStr">
        <is>
          <t>Bergvik skog öst AB</t>
        </is>
      </c>
      <c r="G621" t="n">
        <v>3.9</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v>
      </c>
      <c r="C622" s="1" t="n">
        <v>45710</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3259-2022</t>
        </is>
      </c>
      <c r="B623" s="1" t="n">
        <v>44583</v>
      </c>
      <c r="C623" s="1" t="n">
        <v>45710</v>
      </c>
      <c r="D623" t="inlineStr">
        <is>
          <t>UPPSALA LÄN</t>
        </is>
      </c>
      <c r="E623" t="inlineStr">
        <is>
          <t>UPPSALA</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3261-2022</t>
        </is>
      </c>
      <c r="B624" s="1" t="n">
        <v>44583</v>
      </c>
      <c r="C624" s="1" t="n">
        <v>45710</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3252-2022</t>
        </is>
      </c>
      <c r="B625" s="1" t="n">
        <v>44583</v>
      </c>
      <c r="C625" s="1" t="n">
        <v>45710</v>
      </c>
      <c r="D625" t="inlineStr">
        <is>
          <t>UPPSALA LÄN</t>
        </is>
      </c>
      <c r="E625" t="inlineStr">
        <is>
          <t>UPPSALA</t>
        </is>
      </c>
      <c r="F625" t="inlineStr">
        <is>
          <t>Holmen skog AB</t>
        </is>
      </c>
      <c r="G625" t="n">
        <v>3.7</v>
      </c>
      <c r="H625" t="n">
        <v>0</v>
      </c>
      <c r="I625" t="n">
        <v>0</v>
      </c>
      <c r="J625" t="n">
        <v>0</v>
      </c>
      <c r="K625" t="n">
        <v>0</v>
      </c>
      <c r="L625" t="n">
        <v>0</v>
      </c>
      <c r="M625" t="n">
        <v>0</v>
      </c>
      <c r="N625" t="n">
        <v>0</v>
      </c>
      <c r="O625" t="n">
        <v>0</v>
      </c>
      <c r="P625" t="n">
        <v>0</v>
      </c>
      <c r="Q625" t="n">
        <v>0</v>
      </c>
      <c r="R625" s="2" t="inlineStr"/>
    </row>
    <row r="626" ht="15" customHeight="1">
      <c r="A626" t="inlineStr">
        <is>
          <t>A 3258-2022</t>
        </is>
      </c>
      <c r="B626" s="1" t="n">
        <v>44583</v>
      </c>
      <c r="C626" s="1" t="n">
        <v>45710</v>
      </c>
      <c r="D626" t="inlineStr">
        <is>
          <t>UPPSALA LÄN</t>
        </is>
      </c>
      <c r="E626" t="inlineStr">
        <is>
          <t>UPPSALA</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3262-2022</t>
        </is>
      </c>
      <c r="B627" s="1" t="n">
        <v>44583</v>
      </c>
      <c r="C627" s="1" t="n">
        <v>45710</v>
      </c>
      <c r="D627" t="inlineStr">
        <is>
          <t>UPPSALA LÄN</t>
        </is>
      </c>
      <c r="E627" t="inlineStr">
        <is>
          <t>UPPSALA</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3255-2022</t>
        </is>
      </c>
      <c r="B628" s="1" t="n">
        <v>44583</v>
      </c>
      <c r="C628" s="1" t="n">
        <v>45710</v>
      </c>
      <c r="D628" t="inlineStr">
        <is>
          <t>UPPSALA LÄN</t>
        </is>
      </c>
      <c r="E628" t="inlineStr">
        <is>
          <t>UPPSALA</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3260-2022</t>
        </is>
      </c>
      <c r="B629" s="1" t="n">
        <v>44583</v>
      </c>
      <c r="C629" s="1" t="n">
        <v>45710</v>
      </c>
      <c r="D629" t="inlineStr">
        <is>
          <t>UPPSALA LÄN</t>
        </is>
      </c>
      <c r="E629" t="inlineStr">
        <is>
          <t>UPPSALA</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3284-2022</t>
        </is>
      </c>
      <c r="B630" s="1" t="n">
        <v>44584</v>
      </c>
      <c r="C630" s="1" t="n">
        <v>45710</v>
      </c>
      <c r="D630" t="inlineStr">
        <is>
          <t>UPPSALA LÄN</t>
        </is>
      </c>
      <c r="E630" t="inlineStr">
        <is>
          <t>UPPSALA</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3287-2022</t>
        </is>
      </c>
      <c r="B631" s="1" t="n">
        <v>44584</v>
      </c>
      <c r="C631" s="1" t="n">
        <v>45710</v>
      </c>
      <c r="D631" t="inlineStr">
        <is>
          <t>UPPSALA LÄN</t>
        </is>
      </c>
      <c r="E631" t="inlineStr">
        <is>
          <t>UPPSALA</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4059-2022</t>
        </is>
      </c>
      <c r="B632" s="1" t="n">
        <v>44588</v>
      </c>
      <c r="C632" s="1" t="n">
        <v>45710</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4312-2022</t>
        </is>
      </c>
      <c r="B633" s="1" t="n">
        <v>44588</v>
      </c>
      <c r="C633" s="1" t="n">
        <v>45710</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4444-2022</t>
        </is>
      </c>
      <c r="B634" s="1" t="n">
        <v>44589</v>
      </c>
      <c r="C634" s="1" t="n">
        <v>45710</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4929-2022</t>
        </is>
      </c>
      <c r="B635" s="1" t="n">
        <v>44593</v>
      </c>
      <c r="C635" s="1" t="n">
        <v>45710</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5027-2022</t>
        </is>
      </c>
      <c r="B636" s="1" t="n">
        <v>44593</v>
      </c>
      <c r="C636" s="1" t="n">
        <v>45710</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5081-2022</t>
        </is>
      </c>
      <c r="B637" s="1" t="n">
        <v>44593</v>
      </c>
      <c r="C637" s="1" t="n">
        <v>45710</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5007-2022</t>
        </is>
      </c>
      <c r="B638" s="1" t="n">
        <v>44593</v>
      </c>
      <c r="C638" s="1" t="n">
        <v>45710</v>
      </c>
      <c r="D638" t="inlineStr">
        <is>
          <t>UPPSALA LÄN</t>
        </is>
      </c>
      <c r="E638" t="inlineStr">
        <is>
          <t>UPPSALA</t>
        </is>
      </c>
      <c r="F638" t="inlineStr">
        <is>
          <t>BillerudKorsnäs AB</t>
        </is>
      </c>
      <c r="G638" t="n">
        <v>3.6</v>
      </c>
      <c r="H638" t="n">
        <v>0</v>
      </c>
      <c r="I638" t="n">
        <v>0</v>
      </c>
      <c r="J638" t="n">
        <v>0</v>
      </c>
      <c r="K638" t="n">
        <v>0</v>
      </c>
      <c r="L638" t="n">
        <v>0</v>
      </c>
      <c r="M638" t="n">
        <v>0</v>
      </c>
      <c r="N638" t="n">
        <v>0</v>
      </c>
      <c r="O638" t="n">
        <v>0</v>
      </c>
      <c r="P638" t="n">
        <v>0</v>
      </c>
      <c r="Q638" t="n">
        <v>0</v>
      </c>
      <c r="R638" s="2" t="inlineStr"/>
    </row>
    <row r="639" ht="15" customHeight="1">
      <c r="A639" t="inlineStr">
        <is>
          <t>A 5006-2022</t>
        </is>
      </c>
      <c r="B639" s="1" t="n">
        <v>44593</v>
      </c>
      <c r="C639" s="1" t="n">
        <v>45710</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v>
      </c>
      <c r="C640" s="1" t="n">
        <v>45710</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5309-2022</t>
        </is>
      </c>
      <c r="B641" s="1" t="n">
        <v>44594</v>
      </c>
      <c r="C641" s="1" t="n">
        <v>45710</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5189-2022</t>
        </is>
      </c>
      <c r="B642" s="1" t="n">
        <v>44594</v>
      </c>
      <c r="C642" s="1" t="n">
        <v>45710</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5924-2022</t>
        </is>
      </c>
      <c r="B643" s="1" t="n">
        <v>44598</v>
      </c>
      <c r="C643" s="1" t="n">
        <v>45710</v>
      </c>
      <c r="D643" t="inlineStr">
        <is>
          <t>UPPSALA LÄN</t>
        </is>
      </c>
      <c r="E643" t="inlineStr">
        <is>
          <t>UPPSALA</t>
        </is>
      </c>
      <c r="G643" t="n">
        <v>6.8</v>
      </c>
      <c r="H643" t="n">
        <v>0</v>
      </c>
      <c r="I643" t="n">
        <v>0</v>
      </c>
      <c r="J643" t="n">
        <v>0</v>
      </c>
      <c r="K643" t="n">
        <v>0</v>
      </c>
      <c r="L643" t="n">
        <v>0</v>
      </c>
      <c r="M643" t="n">
        <v>0</v>
      </c>
      <c r="N643" t="n">
        <v>0</v>
      </c>
      <c r="O643" t="n">
        <v>0</v>
      </c>
      <c r="P643" t="n">
        <v>0</v>
      </c>
      <c r="Q643" t="n">
        <v>0</v>
      </c>
      <c r="R643" s="2" t="inlineStr"/>
    </row>
    <row r="644" ht="15" customHeight="1">
      <c r="A644" t="inlineStr">
        <is>
          <t>A 5989-2022</t>
        </is>
      </c>
      <c r="B644" s="1" t="n">
        <v>44599</v>
      </c>
      <c r="C644" s="1" t="n">
        <v>45710</v>
      </c>
      <c r="D644" t="inlineStr">
        <is>
          <t>UPPSALA LÄN</t>
        </is>
      </c>
      <c r="E644" t="inlineStr">
        <is>
          <t>UPPSALA</t>
        </is>
      </c>
      <c r="G644" t="n">
        <v>2.8</v>
      </c>
      <c r="H644" t="n">
        <v>0</v>
      </c>
      <c r="I644" t="n">
        <v>0</v>
      </c>
      <c r="J644" t="n">
        <v>0</v>
      </c>
      <c r="K644" t="n">
        <v>0</v>
      </c>
      <c r="L644" t="n">
        <v>0</v>
      </c>
      <c r="M644" t="n">
        <v>0</v>
      </c>
      <c r="N644" t="n">
        <v>0</v>
      </c>
      <c r="O644" t="n">
        <v>0</v>
      </c>
      <c r="P644" t="n">
        <v>0</v>
      </c>
      <c r="Q644" t="n">
        <v>0</v>
      </c>
      <c r="R644" s="2" t="inlineStr"/>
    </row>
    <row r="645" ht="15" customHeight="1">
      <c r="A645" t="inlineStr">
        <is>
          <t>A 6009-2022</t>
        </is>
      </c>
      <c r="B645" s="1" t="n">
        <v>44599</v>
      </c>
      <c r="C645" s="1" t="n">
        <v>45710</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5996-2022</t>
        </is>
      </c>
      <c r="B646" s="1" t="n">
        <v>44599</v>
      </c>
      <c r="C646" s="1" t="n">
        <v>45710</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6339-2022</t>
        </is>
      </c>
      <c r="B647" s="1" t="n">
        <v>44600</v>
      </c>
      <c r="C647" s="1" t="n">
        <v>45710</v>
      </c>
      <c r="D647" t="inlineStr">
        <is>
          <t>UPPSALA LÄN</t>
        </is>
      </c>
      <c r="E647" t="inlineStr">
        <is>
          <t>UPPSALA</t>
        </is>
      </c>
      <c r="G647" t="n">
        <v>18.7</v>
      </c>
      <c r="H647" t="n">
        <v>0</v>
      </c>
      <c r="I647" t="n">
        <v>0</v>
      </c>
      <c r="J647" t="n">
        <v>0</v>
      </c>
      <c r="K647" t="n">
        <v>0</v>
      </c>
      <c r="L647" t="n">
        <v>0</v>
      </c>
      <c r="M647" t="n">
        <v>0</v>
      </c>
      <c r="N647" t="n">
        <v>0</v>
      </c>
      <c r="O647" t="n">
        <v>0</v>
      </c>
      <c r="P647" t="n">
        <v>0</v>
      </c>
      <c r="Q647" t="n">
        <v>0</v>
      </c>
      <c r="R647" s="2" t="inlineStr"/>
    </row>
    <row r="648" ht="15" customHeight="1">
      <c r="A648" t="inlineStr">
        <is>
          <t>A 6408-2022</t>
        </is>
      </c>
      <c r="B648" s="1" t="n">
        <v>44600</v>
      </c>
      <c r="C648" s="1" t="n">
        <v>45710</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6717-2022</t>
        </is>
      </c>
      <c r="B649" s="1" t="n">
        <v>44602</v>
      </c>
      <c r="C649" s="1" t="n">
        <v>45710</v>
      </c>
      <c r="D649" t="inlineStr">
        <is>
          <t>UPPSALA LÄN</t>
        </is>
      </c>
      <c r="E649" t="inlineStr">
        <is>
          <t>UPPSALA</t>
        </is>
      </c>
      <c r="F649" t="inlineStr">
        <is>
          <t>Övriga Aktiebolag</t>
        </is>
      </c>
      <c r="G649" t="n">
        <v>6.7</v>
      </c>
      <c r="H649" t="n">
        <v>0</v>
      </c>
      <c r="I649" t="n">
        <v>0</v>
      </c>
      <c r="J649" t="n">
        <v>0</v>
      </c>
      <c r="K649" t="n">
        <v>0</v>
      </c>
      <c r="L649" t="n">
        <v>0</v>
      </c>
      <c r="M649" t="n">
        <v>0</v>
      </c>
      <c r="N649" t="n">
        <v>0</v>
      </c>
      <c r="O649" t="n">
        <v>0</v>
      </c>
      <c r="P649" t="n">
        <v>0</v>
      </c>
      <c r="Q649" t="n">
        <v>0</v>
      </c>
      <c r="R649" s="2" t="inlineStr"/>
    </row>
    <row r="650" ht="15" customHeight="1">
      <c r="A650" t="inlineStr">
        <is>
          <t>A 6853-2022</t>
        </is>
      </c>
      <c r="B650" s="1" t="n">
        <v>44602</v>
      </c>
      <c r="C650" s="1" t="n">
        <v>45710</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6863-2022</t>
        </is>
      </c>
      <c r="B651" s="1" t="n">
        <v>44602</v>
      </c>
      <c r="C651" s="1" t="n">
        <v>45710</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6850-2022</t>
        </is>
      </c>
      <c r="B652" s="1" t="n">
        <v>44602</v>
      </c>
      <c r="C652" s="1" t="n">
        <v>45710</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6851-2022</t>
        </is>
      </c>
      <c r="B653" s="1" t="n">
        <v>44602</v>
      </c>
      <c r="C653" s="1" t="n">
        <v>45710</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6855-2022</t>
        </is>
      </c>
      <c r="B654" s="1" t="n">
        <v>44602</v>
      </c>
      <c r="C654" s="1" t="n">
        <v>45710</v>
      </c>
      <c r="D654" t="inlineStr">
        <is>
          <t>UPPSALA LÄN</t>
        </is>
      </c>
      <c r="E654" t="inlineStr">
        <is>
          <t>UPPSALA</t>
        </is>
      </c>
      <c r="G654" t="n">
        <v>4.6</v>
      </c>
      <c r="H654" t="n">
        <v>0</v>
      </c>
      <c r="I654" t="n">
        <v>0</v>
      </c>
      <c r="J654" t="n">
        <v>0</v>
      </c>
      <c r="K654" t="n">
        <v>0</v>
      </c>
      <c r="L654" t="n">
        <v>0</v>
      </c>
      <c r="M654" t="n">
        <v>0</v>
      </c>
      <c r="N654" t="n">
        <v>0</v>
      </c>
      <c r="O654" t="n">
        <v>0</v>
      </c>
      <c r="P654" t="n">
        <v>0</v>
      </c>
      <c r="Q654" t="n">
        <v>0</v>
      </c>
      <c r="R654" s="2" t="inlineStr"/>
    </row>
    <row r="655" ht="15" customHeight="1">
      <c r="A655" t="inlineStr">
        <is>
          <t>A 6860-2022</t>
        </is>
      </c>
      <c r="B655" s="1" t="n">
        <v>44602</v>
      </c>
      <c r="C655" s="1" t="n">
        <v>45710</v>
      </c>
      <c r="D655" t="inlineStr">
        <is>
          <t>UPPSALA LÄN</t>
        </is>
      </c>
      <c r="E655" t="inlineStr">
        <is>
          <t>UPPSALA</t>
        </is>
      </c>
      <c r="G655" t="n">
        <v>14.8</v>
      </c>
      <c r="H655" t="n">
        <v>0</v>
      </c>
      <c r="I655" t="n">
        <v>0</v>
      </c>
      <c r="J655" t="n">
        <v>0</v>
      </c>
      <c r="K655" t="n">
        <v>0</v>
      </c>
      <c r="L655" t="n">
        <v>0</v>
      </c>
      <c r="M655" t="n">
        <v>0</v>
      </c>
      <c r="N655" t="n">
        <v>0</v>
      </c>
      <c r="O655" t="n">
        <v>0</v>
      </c>
      <c r="P655" t="n">
        <v>0</v>
      </c>
      <c r="Q655" t="n">
        <v>0</v>
      </c>
      <c r="R655" s="2" t="inlineStr"/>
    </row>
    <row r="656" ht="15" customHeight="1">
      <c r="A656" t="inlineStr">
        <is>
          <t>A 6989-2022</t>
        </is>
      </c>
      <c r="B656" s="1" t="n">
        <v>44603</v>
      </c>
      <c r="C656" s="1" t="n">
        <v>45710</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7040-2022</t>
        </is>
      </c>
      <c r="B657" s="1" t="n">
        <v>44603</v>
      </c>
      <c r="C657" s="1" t="n">
        <v>45710</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7124-2022</t>
        </is>
      </c>
      <c r="B658" s="1" t="n">
        <v>44603</v>
      </c>
      <c r="C658" s="1" t="n">
        <v>45710</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7409-2022</t>
        </is>
      </c>
      <c r="B659" s="1" t="n">
        <v>44606</v>
      </c>
      <c r="C659" s="1" t="n">
        <v>45710</v>
      </c>
      <c r="D659" t="inlineStr">
        <is>
          <t>UPPSALA LÄN</t>
        </is>
      </c>
      <c r="E659" t="inlineStr">
        <is>
          <t>UPPSALA</t>
        </is>
      </c>
      <c r="G659" t="n">
        <v>4.3</v>
      </c>
      <c r="H659" t="n">
        <v>0</v>
      </c>
      <c r="I659" t="n">
        <v>0</v>
      </c>
      <c r="J659" t="n">
        <v>0</v>
      </c>
      <c r="K659" t="n">
        <v>0</v>
      </c>
      <c r="L659" t="n">
        <v>0</v>
      </c>
      <c r="M659" t="n">
        <v>0</v>
      </c>
      <c r="N659" t="n">
        <v>0</v>
      </c>
      <c r="O659" t="n">
        <v>0</v>
      </c>
      <c r="P659" t="n">
        <v>0</v>
      </c>
      <c r="Q659" t="n">
        <v>0</v>
      </c>
      <c r="R659" s="2" t="inlineStr"/>
    </row>
    <row r="660" ht="15" customHeight="1">
      <c r="A660" t="inlineStr">
        <is>
          <t>A 7899-2022</t>
        </is>
      </c>
      <c r="B660" s="1" t="n">
        <v>44608</v>
      </c>
      <c r="C660" s="1" t="n">
        <v>45710</v>
      </c>
      <c r="D660" t="inlineStr">
        <is>
          <t>UPPSALA LÄN</t>
        </is>
      </c>
      <c r="E660" t="inlineStr">
        <is>
          <t>UPPSALA</t>
        </is>
      </c>
      <c r="F660" t="inlineStr">
        <is>
          <t>Övriga Aktiebolag</t>
        </is>
      </c>
      <c r="G660" t="n">
        <v>7.1</v>
      </c>
      <c r="H660" t="n">
        <v>0</v>
      </c>
      <c r="I660" t="n">
        <v>0</v>
      </c>
      <c r="J660" t="n">
        <v>0</v>
      </c>
      <c r="K660" t="n">
        <v>0</v>
      </c>
      <c r="L660" t="n">
        <v>0</v>
      </c>
      <c r="M660" t="n">
        <v>0</v>
      </c>
      <c r="N660" t="n">
        <v>0</v>
      </c>
      <c r="O660" t="n">
        <v>0</v>
      </c>
      <c r="P660" t="n">
        <v>0</v>
      </c>
      <c r="Q660" t="n">
        <v>0</v>
      </c>
      <c r="R660" s="2" t="inlineStr"/>
    </row>
    <row r="661" ht="15" customHeight="1">
      <c r="A661" t="inlineStr">
        <is>
          <t>A 8090-2022</t>
        </is>
      </c>
      <c r="B661" s="1" t="n">
        <v>44608</v>
      </c>
      <c r="C661" s="1" t="n">
        <v>45710</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45710</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8007-2022</t>
        </is>
      </c>
      <c r="B663" s="1" t="n">
        <v>44609</v>
      </c>
      <c r="C663" s="1" t="n">
        <v>45710</v>
      </c>
      <c r="D663" t="inlineStr">
        <is>
          <t>UPPSALA LÄN</t>
        </is>
      </c>
      <c r="E663" t="inlineStr">
        <is>
          <t>UPPSALA</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8132-2022</t>
        </is>
      </c>
      <c r="B664" s="1" t="n">
        <v>44609</v>
      </c>
      <c r="C664" s="1" t="n">
        <v>45710</v>
      </c>
      <c r="D664" t="inlineStr">
        <is>
          <t>UPPSALA LÄN</t>
        </is>
      </c>
      <c r="E664" t="inlineStr">
        <is>
          <t>UPPSALA</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45710</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8404-2022</t>
        </is>
      </c>
      <c r="B666" s="1" t="n">
        <v>44610</v>
      </c>
      <c r="C666" s="1" t="n">
        <v>45710</v>
      </c>
      <c r="D666" t="inlineStr">
        <is>
          <t>UPPSALA LÄN</t>
        </is>
      </c>
      <c r="E666" t="inlineStr">
        <is>
          <t>UPPSALA</t>
        </is>
      </c>
      <c r="F666" t="inlineStr">
        <is>
          <t>Allmännings- och besparingsskogar</t>
        </is>
      </c>
      <c r="G666" t="n">
        <v>5.4</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45710</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45710</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8451-2022</t>
        </is>
      </c>
      <c r="B669" s="1" t="n">
        <v>44612</v>
      </c>
      <c r="C669" s="1" t="n">
        <v>45710</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8877-2022</t>
        </is>
      </c>
      <c r="B670" s="1" t="n">
        <v>44614</v>
      </c>
      <c r="C670" s="1" t="n">
        <v>45710</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8933-2022</t>
        </is>
      </c>
      <c r="B671" s="1" t="n">
        <v>44614</v>
      </c>
      <c r="C671" s="1" t="n">
        <v>45710</v>
      </c>
      <c r="D671" t="inlineStr">
        <is>
          <t>UPPSALA LÄN</t>
        </is>
      </c>
      <c r="E671" t="inlineStr">
        <is>
          <t>UPPSALA</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9206-2022</t>
        </is>
      </c>
      <c r="B672" s="1" t="n">
        <v>44616</v>
      </c>
      <c r="C672" s="1" t="n">
        <v>45710</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9242-2022</t>
        </is>
      </c>
      <c r="B673" s="1" t="n">
        <v>44616</v>
      </c>
      <c r="C673" s="1" t="n">
        <v>45710</v>
      </c>
      <c r="D673" t="inlineStr">
        <is>
          <t>UPPSALA LÄN</t>
        </is>
      </c>
      <c r="E673" t="inlineStr">
        <is>
          <t>UPPSALA</t>
        </is>
      </c>
      <c r="F673" t="inlineStr">
        <is>
          <t>Övriga Aktiebolag</t>
        </is>
      </c>
      <c r="G673" t="n">
        <v>5.9</v>
      </c>
      <c r="H673" t="n">
        <v>0</v>
      </c>
      <c r="I673" t="n">
        <v>0</v>
      </c>
      <c r="J673" t="n">
        <v>0</v>
      </c>
      <c r="K673" t="n">
        <v>0</v>
      </c>
      <c r="L673" t="n">
        <v>0</v>
      </c>
      <c r="M673" t="n">
        <v>0</v>
      </c>
      <c r="N673" t="n">
        <v>0</v>
      </c>
      <c r="O673" t="n">
        <v>0</v>
      </c>
      <c r="P673" t="n">
        <v>0</v>
      </c>
      <c r="Q673" t="n">
        <v>0</v>
      </c>
      <c r="R673" s="2" t="inlineStr"/>
    </row>
    <row r="674" ht="15" customHeight="1">
      <c r="A674" t="inlineStr">
        <is>
          <t>A 9592-2022</t>
        </is>
      </c>
      <c r="B674" s="1" t="n">
        <v>44617</v>
      </c>
      <c r="C674" s="1" t="n">
        <v>45710</v>
      </c>
      <c r="D674" t="inlineStr">
        <is>
          <t>UPPSALA LÄN</t>
        </is>
      </c>
      <c r="E674" t="inlineStr">
        <is>
          <t>UPPSALA</t>
        </is>
      </c>
      <c r="G674" t="n">
        <v>7.5</v>
      </c>
      <c r="H674" t="n">
        <v>0</v>
      </c>
      <c r="I674" t="n">
        <v>0</v>
      </c>
      <c r="J674" t="n">
        <v>0</v>
      </c>
      <c r="K674" t="n">
        <v>0</v>
      </c>
      <c r="L674" t="n">
        <v>0</v>
      </c>
      <c r="M674" t="n">
        <v>0</v>
      </c>
      <c r="N674" t="n">
        <v>0</v>
      </c>
      <c r="O674" t="n">
        <v>0</v>
      </c>
      <c r="P674" t="n">
        <v>0</v>
      </c>
      <c r="Q674" t="n">
        <v>0</v>
      </c>
      <c r="R674" s="2" t="inlineStr"/>
    </row>
    <row r="675" ht="15" customHeight="1">
      <c r="A675" t="inlineStr">
        <is>
          <t>A 10411-2022</t>
        </is>
      </c>
      <c r="B675" s="1" t="n">
        <v>44623</v>
      </c>
      <c r="C675" s="1" t="n">
        <v>45710</v>
      </c>
      <c r="D675" t="inlineStr">
        <is>
          <t>UPPSALA LÄN</t>
        </is>
      </c>
      <c r="E675" t="inlineStr">
        <is>
          <t>UPPSALA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v>
      </c>
      <c r="C676" s="1" t="n">
        <v>45710</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v>
      </c>
      <c r="C677" s="1" t="n">
        <v>45710</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10464-2022</t>
        </is>
      </c>
      <c r="B678" s="1" t="n">
        <v>44623</v>
      </c>
      <c r="C678" s="1" t="n">
        <v>45710</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v>
      </c>
      <c r="C679" s="1" t="n">
        <v>45710</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10674-2022</t>
        </is>
      </c>
      <c r="B680" s="1" t="n">
        <v>44624</v>
      </c>
      <c r="C680" s="1" t="n">
        <v>45710</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11162-2022</t>
        </is>
      </c>
      <c r="B681" s="1" t="n">
        <v>44629</v>
      </c>
      <c r="C681" s="1" t="n">
        <v>45710</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11224-2022</t>
        </is>
      </c>
      <c r="B682" s="1" t="n">
        <v>44629</v>
      </c>
      <c r="C682" s="1" t="n">
        <v>45710</v>
      </c>
      <c r="D682" t="inlineStr">
        <is>
          <t>UPPSALA LÄN</t>
        </is>
      </c>
      <c r="E682" t="inlineStr">
        <is>
          <t>UPPSALA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11787-2022</t>
        </is>
      </c>
      <c r="B683" s="1" t="n">
        <v>44634</v>
      </c>
      <c r="C683" s="1" t="n">
        <v>45710</v>
      </c>
      <c r="D683" t="inlineStr">
        <is>
          <t>UPPSALA LÄN</t>
        </is>
      </c>
      <c r="E683" t="inlineStr">
        <is>
          <t>UPPSALA</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11693-2022</t>
        </is>
      </c>
      <c r="B684" s="1" t="n">
        <v>44634</v>
      </c>
      <c r="C684" s="1" t="n">
        <v>45710</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12221-2022</t>
        </is>
      </c>
      <c r="B685" s="1" t="n">
        <v>44637</v>
      </c>
      <c r="C685" s="1" t="n">
        <v>45710</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12293-2022</t>
        </is>
      </c>
      <c r="B686" s="1" t="n">
        <v>44637</v>
      </c>
      <c r="C686" s="1" t="n">
        <v>45710</v>
      </c>
      <c r="D686" t="inlineStr">
        <is>
          <t>UPPSALA LÄN</t>
        </is>
      </c>
      <c r="E686" t="inlineStr">
        <is>
          <t>UPPSALA</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13009-2022</t>
        </is>
      </c>
      <c r="B687" s="1" t="n">
        <v>44643</v>
      </c>
      <c r="C687" s="1" t="n">
        <v>45710</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13134-2022</t>
        </is>
      </c>
      <c r="B688" s="1" t="n">
        <v>44644</v>
      </c>
      <c r="C688" s="1" t="n">
        <v>45710</v>
      </c>
      <c r="D688" t="inlineStr">
        <is>
          <t>UPPSALA LÄN</t>
        </is>
      </c>
      <c r="E688" t="inlineStr">
        <is>
          <t>UPPSALA</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13128-2022</t>
        </is>
      </c>
      <c r="B689" s="1" t="n">
        <v>44644</v>
      </c>
      <c r="C689" s="1" t="n">
        <v>45710</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13386-2022</t>
        </is>
      </c>
      <c r="B690" s="1" t="n">
        <v>44645</v>
      </c>
      <c r="C690" s="1" t="n">
        <v>45710</v>
      </c>
      <c r="D690" t="inlineStr">
        <is>
          <t>UPPSALA LÄN</t>
        </is>
      </c>
      <c r="E690" t="inlineStr">
        <is>
          <t>UPPSALA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13343-2022</t>
        </is>
      </c>
      <c r="B691" s="1" t="n">
        <v>44645</v>
      </c>
      <c r="C691" s="1" t="n">
        <v>45710</v>
      </c>
      <c r="D691" t="inlineStr">
        <is>
          <t>UPPSALA LÄN</t>
        </is>
      </c>
      <c r="E691" t="inlineStr">
        <is>
          <t>UPPSALA</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13892-2022</t>
        </is>
      </c>
      <c r="B692" s="1" t="n">
        <v>44649</v>
      </c>
      <c r="C692" s="1" t="n">
        <v>45710</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13901-2022</t>
        </is>
      </c>
      <c r="B693" s="1" t="n">
        <v>44649</v>
      </c>
      <c r="C693" s="1" t="n">
        <v>45710</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14337-2022</t>
        </is>
      </c>
      <c r="B694" s="1" t="n">
        <v>44652</v>
      </c>
      <c r="C694" s="1" t="n">
        <v>45710</v>
      </c>
      <c r="D694" t="inlineStr">
        <is>
          <t>UPPSALA LÄN</t>
        </is>
      </c>
      <c r="E694" t="inlineStr">
        <is>
          <t>UPPSALA</t>
        </is>
      </c>
      <c r="G694" t="n">
        <v>1.5</v>
      </c>
      <c r="H694" t="n">
        <v>0</v>
      </c>
      <c r="I694" t="n">
        <v>0</v>
      </c>
      <c r="J694" t="n">
        <v>0</v>
      </c>
      <c r="K694" t="n">
        <v>0</v>
      </c>
      <c r="L694" t="n">
        <v>0</v>
      </c>
      <c r="M694" t="n">
        <v>0</v>
      </c>
      <c r="N694" t="n">
        <v>0</v>
      </c>
      <c r="O694" t="n">
        <v>0</v>
      </c>
      <c r="P694" t="n">
        <v>0</v>
      </c>
      <c r="Q694" t="n">
        <v>0</v>
      </c>
      <c r="R694" s="2" t="inlineStr"/>
    </row>
    <row r="695" ht="15" customHeight="1">
      <c r="A695" t="inlineStr">
        <is>
          <t>A 14355-2022</t>
        </is>
      </c>
      <c r="B695" s="1" t="n">
        <v>44652</v>
      </c>
      <c r="C695" s="1" t="n">
        <v>45710</v>
      </c>
      <c r="D695" t="inlineStr">
        <is>
          <t>UPPSALA LÄN</t>
        </is>
      </c>
      <c r="E695" t="inlineStr">
        <is>
          <t>UPPSALA</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14340-2022</t>
        </is>
      </c>
      <c r="B696" s="1" t="n">
        <v>44652</v>
      </c>
      <c r="C696" s="1" t="n">
        <v>45710</v>
      </c>
      <c r="D696" t="inlineStr">
        <is>
          <t>UPPSALA LÄN</t>
        </is>
      </c>
      <c r="E696" t="inlineStr">
        <is>
          <t>UPPSALA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14622-2022</t>
        </is>
      </c>
      <c r="B697" s="1" t="n">
        <v>44655</v>
      </c>
      <c r="C697" s="1" t="n">
        <v>45710</v>
      </c>
      <c r="D697" t="inlineStr">
        <is>
          <t>UPPSALA LÄN</t>
        </is>
      </c>
      <c r="E697" t="inlineStr">
        <is>
          <t>UPPSALA</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15436-2022</t>
        </is>
      </c>
      <c r="B698" s="1" t="n">
        <v>44659</v>
      </c>
      <c r="C698" s="1" t="n">
        <v>45710</v>
      </c>
      <c r="D698" t="inlineStr">
        <is>
          <t>UPPSALA LÄN</t>
        </is>
      </c>
      <c r="E698" t="inlineStr">
        <is>
          <t>UPPSALA</t>
        </is>
      </c>
      <c r="G698" t="n">
        <v>14.4</v>
      </c>
      <c r="H698" t="n">
        <v>0</v>
      </c>
      <c r="I698" t="n">
        <v>0</v>
      </c>
      <c r="J698" t="n">
        <v>0</v>
      </c>
      <c r="K698" t="n">
        <v>0</v>
      </c>
      <c r="L698" t="n">
        <v>0</v>
      </c>
      <c r="M698" t="n">
        <v>0</v>
      </c>
      <c r="N698" t="n">
        <v>0</v>
      </c>
      <c r="O698" t="n">
        <v>0</v>
      </c>
      <c r="P698" t="n">
        <v>0</v>
      </c>
      <c r="Q698" t="n">
        <v>0</v>
      </c>
      <c r="R698" s="2" t="inlineStr"/>
    </row>
    <row r="699" ht="15" customHeight="1">
      <c r="A699" t="inlineStr">
        <is>
          <t>A 15377-2022</t>
        </is>
      </c>
      <c r="B699" s="1" t="n">
        <v>44659</v>
      </c>
      <c r="C699" s="1" t="n">
        <v>45710</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15310-2022</t>
        </is>
      </c>
      <c r="B700" s="1" t="n">
        <v>44659</v>
      </c>
      <c r="C700" s="1" t="n">
        <v>45710</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45710</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15735-2022</t>
        </is>
      </c>
      <c r="B702" s="1" t="n">
        <v>44663</v>
      </c>
      <c r="C702" s="1" t="n">
        <v>45710</v>
      </c>
      <c r="D702" t="inlineStr">
        <is>
          <t>UPPSALA LÄN</t>
        </is>
      </c>
      <c r="E702" t="inlineStr">
        <is>
          <t>UPPSALA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45710</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16804-2022</t>
        </is>
      </c>
      <c r="B704" s="1" t="n">
        <v>44673</v>
      </c>
      <c r="C704" s="1" t="n">
        <v>45710</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16828-2022</t>
        </is>
      </c>
      <c r="B705" s="1" t="n">
        <v>44673</v>
      </c>
      <c r="C705" s="1" t="n">
        <v>45710</v>
      </c>
      <c r="D705" t="inlineStr">
        <is>
          <t>UPPSALA LÄN</t>
        </is>
      </c>
      <c r="E705" t="inlineStr">
        <is>
          <t>UPPSALA</t>
        </is>
      </c>
      <c r="F705" t="inlineStr">
        <is>
          <t>Bergvik skog öst AB</t>
        </is>
      </c>
      <c r="G705" t="n">
        <v>4.1</v>
      </c>
      <c r="H705" t="n">
        <v>0</v>
      </c>
      <c r="I705" t="n">
        <v>0</v>
      </c>
      <c r="J705" t="n">
        <v>0</v>
      </c>
      <c r="K705" t="n">
        <v>0</v>
      </c>
      <c r="L705" t="n">
        <v>0</v>
      </c>
      <c r="M705" t="n">
        <v>0</v>
      </c>
      <c r="N705" t="n">
        <v>0</v>
      </c>
      <c r="O705" t="n">
        <v>0</v>
      </c>
      <c r="P705" t="n">
        <v>0</v>
      </c>
      <c r="Q705" t="n">
        <v>0</v>
      </c>
      <c r="R705" s="2" t="inlineStr"/>
    </row>
    <row r="706" ht="15" customHeight="1">
      <c r="A706" t="inlineStr">
        <is>
          <t>A 16827-2022</t>
        </is>
      </c>
      <c r="B706" s="1" t="n">
        <v>44673</v>
      </c>
      <c r="C706" s="1" t="n">
        <v>45710</v>
      </c>
      <c r="D706" t="inlineStr">
        <is>
          <t>UPPSALA LÄN</t>
        </is>
      </c>
      <c r="E706" t="inlineStr">
        <is>
          <t>UPPSALA</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16831-2022</t>
        </is>
      </c>
      <c r="B707" s="1" t="n">
        <v>44673</v>
      </c>
      <c r="C707" s="1" t="n">
        <v>45710</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16826-2022</t>
        </is>
      </c>
      <c r="B708" s="1" t="n">
        <v>44673</v>
      </c>
      <c r="C708" s="1" t="n">
        <v>45710</v>
      </c>
      <c r="D708" t="inlineStr">
        <is>
          <t>UPPSALA LÄN</t>
        </is>
      </c>
      <c r="E708" t="inlineStr">
        <is>
          <t>UPPSALA</t>
        </is>
      </c>
      <c r="F708" t="inlineStr">
        <is>
          <t>Bergvik skog öst AB</t>
        </is>
      </c>
      <c r="G708" t="n">
        <v>7.1</v>
      </c>
      <c r="H708" t="n">
        <v>0</v>
      </c>
      <c r="I708" t="n">
        <v>0</v>
      </c>
      <c r="J708" t="n">
        <v>0</v>
      </c>
      <c r="K708" t="n">
        <v>0</v>
      </c>
      <c r="L708" t="n">
        <v>0</v>
      </c>
      <c r="M708" t="n">
        <v>0</v>
      </c>
      <c r="N708" t="n">
        <v>0</v>
      </c>
      <c r="O708" t="n">
        <v>0</v>
      </c>
      <c r="P708" t="n">
        <v>0</v>
      </c>
      <c r="Q708" t="n">
        <v>0</v>
      </c>
      <c r="R708" s="2" t="inlineStr"/>
    </row>
    <row r="709" ht="15" customHeight="1">
      <c r="A709" t="inlineStr">
        <is>
          <t>A 16761-2022</t>
        </is>
      </c>
      <c r="B709" s="1" t="n">
        <v>44673</v>
      </c>
      <c r="C709" s="1" t="n">
        <v>45710</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16942-2022</t>
        </is>
      </c>
      <c r="B710" s="1" t="n">
        <v>44676</v>
      </c>
      <c r="C710" s="1" t="n">
        <v>45710</v>
      </c>
      <c r="D710" t="inlineStr">
        <is>
          <t>UPPSALA LÄN</t>
        </is>
      </c>
      <c r="E710" t="inlineStr">
        <is>
          <t>UPPSALA</t>
        </is>
      </c>
      <c r="F710" t="inlineStr">
        <is>
          <t>Bergvik skog öst AB</t>
        </is>
      </c>
      <c r="G710" t="n">
        <v>3.7</v>
      </c>
      <c r="H710" t="n">
        <v>0</v>
      </c>
      <c r="I710" t="n">
        <v>0</v>
      </c>
      <c r="J710" t="n">
        <v>0</v>
      </c>
      <c r="K710" t="n">
        <v>0</v>
      </c>
      <c r="L710" t="n">
        <v>0</v>
      </c>
      <c r="M710" t="n">
        <v>0</v>
      </c>
      <c r="N710" t="n">
        <v>0</v>
      </c>
      <c r="O710" t="n">
        <v>0</v>
      </c>
      <c r="P710" t="n">
        <v>0</v>
      </c>
      <c r="Q710" t="n">
        <v>0</v>
      </c>
      <c r="R710" s="2" t="inlineStr"/>
    </row>
    <row r="711" ht="15" customHeight="1">
      <c r="A711" t="inlineStr">
        <is>
          <t>A 16892-2022</t>
        </is>
      </c>
      <c r="B711" s="1" t="n">
        <v>44676</v>
      </c>
      <c r="C711" s="1" t="n">
        <v>45710</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16978-2022</t>
        </is>
      </c>
      <c r="B712" s="1" t="n">
        <v>44676</v>
      </c>
      <c r="C712" s="1" t="n">
        <v>45710</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16898-2022</t>
        </is>
      </c>
      <c r="B713" s="1" t="n">
        <v>44676</v>
      </c>
      <c r="C713" s="1" t="n">
        <v>45710</v>
      </c>
      <c r="D713" t="inlineStr">
        <is>
          <t>UPPSALA LÄN</t>
        </is>
      </c>
      <c r="E713" t="inlineStr">
        <is>
          <t>UPPSALA</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17232-2022</t>
        </is>
      </c>
      <c r="B714" s="1" t="n">
        <v>44678</v>
      </c>
      <c r="C714" s="1" t="n">
        <v>45710</v>
      </c>
      <c r="D714" t="inlineStr">
        <is>
          <t>UPPSALA LÄN</t>
        </is>
      </c>
      <c r="E714" t="inlineStr">
        <is>
          <t>UPPSALA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17562-2022</t>
        </is>
      </c>
      <c r="B715" s="1" t="n">
        <v>44679</v>
      </c>
      <c r="C715" s="1" t="n">
        <v>45710</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17558-2022</t>
        </is>
      </c>
      <c r="B716" s="1" t="n">
        <v>44679</v>
      </c>
      <c r="C716" s="1" t="n">
        <v>45710</v>
      </c>
      <c r="D716" t="inlineStr">
        <is>
          <t>UPPSALA LÄN</t>
        </is>
      </c>
      <c r="E716" t="inlineStr">
        <is>
          <t>UPPSALA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17981-2022</t>
        </is>
      </c>
      <c r="B717" s="1" t="n">
        <v>44683</v>
      </c>
      <c r="C717" s="1" t="n">
        <v>45710</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18330-2022</t>
        </is>
      </c>
      <c r="B718" s="1" t="n">
        <v>44685</v>
      </c>
      <c r="C718" s="1" t="n">
        <v>45710</v>
      </c>
      <c r="D718" t="inlineStr">
        <is>
          <t>UPPSALA LÄN</t>
        </is>
      </c>
      <c r="E718" t="inlineStr">
        <is>
          <t>UPPSALA</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18521-2022</t>
        </is>
      </c>
      <c r="B719" s="1" t="n">
        <v>44686</v>
      </c>
      <c r="C719" s="1" t="n">
        <v>45710</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18583-2022</t>
        </is>
      </c>
      <c r="B720" s="1" t="n">
        <v>44687</v>
      </c>
      <c r="C720" s="1" t="n">
        <v>45710</v>
      </c>
      <c r="D720" t="inlineStr">
        <is>
          <t>UPPSALA LÄN</t>
        </is>
      </c>
      <c r="E720" t="inlineStr">
        <is>
          <t>UPPSALA</t>
        </is>
      </c>
      <c r="F720" t="inlineStr">
        <is>
          <t>Övriga Aktiebolag</t>
        </is>
      </c>
      <c r="G720" t="n">
        <v>6.4</v>
      </c>
      <c r="H720" t="n">
        <v>0</v>
      </c>
      <c r="I720" t="n">
        <v>0</v>
      </c>
      <c r="J720" t="n">
        <v>0</v>
      </c>
      <c r="K720" t="n">
        <v>0</v>
      </c>
      <c r="L720" t="n">
        <v>0</v>
      </c>
      <c r="M720" t="n">
        <v>0</v>
      </c>
      <c r="N720" t="n">
        <v>0</v>
      </c>
      <c r="O720" t="n">
        <v>0</v>
      </c>
      <c r="P720" t="n">
        <v>0</v>
      </c>
      <c r="Q720" t="n">
        <v>0</v>
      </c>
      <c r="R720" s="2" t="inlineStr"/>
    </row>
    <row r="721" ht="15" customHeight="1">
      <c r="A721" t="inlineStr">
        <is>
          <t>A 18960-2022</t>
        </is>
      </c>
      <c r="B721" s="1" t="n">
        <v>44690</v>
      </c>
      <c r="C721" s="1" t="n">
        <v>45710</v>
      </c>
      <c r="D721" t="inlineStr">
        <is>
          <t>UPPSALA LÄN</t>
        </is>
      </c>
      <c r="E721" t="inlineStr">
        <is>
          <t>UPPSALA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19034-2022</t>
        </is>
      </c>
      <c r="B722" s="1" t="n">
        <v>44691</v>
      </c>
      <c r="C722" s="1" t="n">
        <v>45710</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19240-2022</t>
        </is>
      </c>
      <c r="B723" s="1" t="n">
        <v>44692</v>
      </c>
      <c r="C723" s="1" t="n">
        <v>45710</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19375-2022</t>
        </is>
      </c>
      <c r="B724" s="1" t="n">
        <v>44692</v>
      </c>
      <c r="C724" s="1" t="n">
        <v>45710</v>
      </c>
      <c r="D724" t="inlineStr">
        <is>
          <t>UPPSALA LÄN</t>
        </is>
      </c>
      <c r="E724" t="inlineStr">
        <is>
          <t>UPPSALA</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19380-2022</t>
        </is>
      </c>
      <c r="B725" s="1" t="n">
        <v>44692</v>
      </c>
      <c r="C725" s="1" t="n">
        <v>45710</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v>
      </c>
      <c r="C726" s="1" t="n">
        <v>45710</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20265-2022</t>
        </is>
      </c>
      <c r="B727" s="1" t="n">
        <v>44698</v>
      </c>
      <c r="C727" s="1" t="n">
        <v>45710</v>
      </c>
      <c r="D727" t="inlineStr">
        <is>
          <t>UPPSALA LÄN</t>
        </is>
      </c>
      <c r="E727" t="inlineStr">
        <is>
          <t>UPPSALA</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20497-2022</t>
        </is>
      </c>
      <c r="B728" s="1" t="n">
        <v>44699</v>
      </c>
      <c r="C728" s="1" t="n">
        <v>45710</v>
      </c>
      <c r="D728" t="inlineStr">
        <is>
          <t>UPPSALA LÄN</t>
        </is>
      </c>
      <c r="E728" t="inlineStr">
        <is>
          <t>UPPSALA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20770-2022</t>
        </is>
      </c>
      <c r="B729" s="1" t="n">
        <v>44700</v>
      </c>
      <c r="C729" s="1" t="n">
        <v>45710</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20764-2022</t>
        </is>
      </c>
      <c r="B730" s="1" t="n">
        <v>44700</v>
      </c>
      <c r="C730" s="1" t="n">
        <v>45710</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20938-2022</t>
        </is>
      </c>
      <c r="B731" s="1" t="n">
        <v>44701</v>
      </c>
      <c r="C731" s="1" t="n">
        <v>45710</v>
      </c>
      <c r="D731" t="inlineStr">
        <is>
          <t>UPPSALA LÄN</t>
        </is>
      </c>
      <c r="E731" t="inlineStr">
        <is>
          <t>UPPSALA</t>
        </is>
      </c>
      <c r="F731" t="inlineStr">
        <is>
          <t>Bergvik skog öst AB</t>
        </is>
      </c>
      <c r="G731" t="n">
        <v>7.2</v>
      </c>
      <c r="H731" t="n">
        <v>0</v>
      </c>
      <c r="I731" t="n">
        <v>0</v>
      </c>
      <c r="J731" t="n">
        <v>0</v>
      </c>
      <c r="K731" t="n">
        <v>0</v>
      </c>
      <c r="L731" t="n">
        <v>0</v>
      </c>
      <c r="M731" t="n">
        <v>0</v>
      </c>
      <c r="N731" t="n">
        <v>0</v>
      </c>
      <c r="O731" t="n">
        <v>0</v>
      </c>
      <c r="P731" t="n">
        <v>0</v>
      </c>
      <c r="Q731" t="n">
        <v>0</v>
      </c>
      <c r="R731" s="2" t="inlineStr"/>
    </row>
    <row r="732" ht="15" customHeight="1">
      <c r="A732" t="inlineStr">
        <is>
          <t>A 20936-2022</t>
        </is>
      </c>
      <c r="B732" s="1" t="n">
        <v>44701</v>
      </c>
      <c r="C732" s="1" t="n">
        <v>45710</v>
      </c>
      <c r="D732" t="inlineStr">
        <is>
          <t>UPPSALA LÄN</t>
        </is>
      </c>
      <c r="E732" t="inlineStr">
        <is>
          <t>UPPSALA</t>
        </is>
      </c>
      <c r="G732" t="n">
        <v>4.8</v>
      </c>
      <c r="H732" t="n">
        <v>0</v>
      </c>
      <c r="I732" t="n">
        <v>0</v>
      </c>
      <c r="J732" t="n">
        <v>0</v>
      </c>
      <c r="K732" t="n">
        <v>0</v>
      </c>
      <c r="L732" t="n">
        <v>0</v>
      </c>
      <c r="M732" t="n">
        <v>0</v>
      </c>
      <c r="N732" t="n">
        <v>0</v>
      </c>
      <c r="O732" t="n">
        <v>0</v>
      </c>
      <c r="P732" t="n">
        <v>0</v>
      </c>
      <c r="Q732" t="n">
        <v>0</v>
      </c>
      <c r="R732" s="2" t="inlineStr"/>
    </row>
    <row r="733" ht="15" customHeight="1">
      <c r="A733" t="inlineStr">
        <is>
          <t>A 20980-2022</t>
        </is>
      </c>
      <c r="B733" s="1" t="n">
        <v>44702</v>
      </c>
      <c r="C733" s="1" t="n">
        <v>45710</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21181-2022</t>
        </is>
      </c>
      <c r="B734" s="1" t="n">
        <v>44704</v>
      </c>
      <c r="C734" s="1" t="n">
        <v>45710</v>
      </c>
      <c r="D734" t="inlineStr">
        <is>
          <t>UPPSALA LÄN</t>
        </is>
      </c>
      <c r="E734" t="inlineStr">
        <is>
          <t>UPPSALA</t>
        </is>
      </c>
      <c r="F734" t="inlineStr">
        <is>
          <t>Bergvik skog öst AB</t>
        </is>
      </c>
      <c r="G734" t="n">
        <v>2.8</v>
      </c>
      <c r="H734" t="n">
        <v>0</v>
      </c>
      <c r="I734" t="n">
        <v>0</v>
      </c>
      <c r="J734" t="n">
        <v>0</v>
      </c>
      <c r="K734" t="n">
        <v>0</v>
      </c>
      <c r="L734" t="n">
        <v>0</v>
      </c>
      <c r="M734" t="n">
        <v>0</v>
      </c>
      <c r="N734" t="n">
        <v>0</v>
      </c>
      <c r="O734" t="n">
        <v>0</v>
      </c>
      <c r="P734" t="n">
        <v>0</v>
      </c>
      <c r="Q734" t="n">
        <v>0</v>
      </c>
      <c r="R734" s="2" t="inlineStr"/>
    </row>
    <row r="735" ht="15" customHeight="1">
      <c r="A735" t="inlineStr">
        <is>
          <t>A 21228-2022</t>
        </is>
      </c>
      <c r="B735" s="1" t="n">
        <v>44704</v>
      </c>
      <c r="C735" s="1" t="n">
        <v>45710</v>
      </c>
      <c r="D735" t="inlineStr">
        <is>
          <t>UPPSALA LÄN</t>
        </is>
      </c>
      <c r="E735" t="inlineStr">
        <is>
          <t>UPPSALA</t>
        </is>
      </c>
      <c r="G735" t="n">
        <v>0.2</v>
      </c>
      <c r="H735" t="n">
        <v>0</v>
      </c>
      <c r="I735" t="n">
        <v>0</v>
      </c>
      <c r="J735" t="n">
        <v>0</v>
      </c>
      <c r="K735" t="n">
        <v>0</v>
      </c>
      <c r="L735" t="n">
        <v>0</v>
      </c>
      <c r="M735" t="n">
        <v>0</v>
      </c>
      <c r="N735" t="n">
        <v>0</v>
      </c>
      <c r="O735" t="n">
        <v>0</v>
      </c>
      <c r="P735" t="n">
        <v>0</v>
      </c>
      <c r="Q735" t="n">
        <v>0</v>
      </c>
      <c r="R735" s="2" t="inlineStr"/>
    </row>
    <row r="736" ht="15" customHeight="1">
      <c r="A736" t="inlineStr">
        <is>
          <t>A 21387-2022</t>
        </is>
      </c>
      <c r="B736" s="1" t="n">
        <v>44705</v>
      </c>
      <c r="C736" s="1" t="n">
        <v>45710</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21391-2022</t>
        </is>
      </c>
      <c r="B737" s="1" t="n">
        <v>44705</v>
      </c>
      <c r="C737" s="1" t="n">
        <v>45710</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21394-2022</t>
        </is>
      </c>
      <c r="B738" s="1" t="n">
        <v>44705</v>
      </c>
      <c r="C738" s="1" t="n">
        <v>45710</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22021-2022</t>
        </is>
      </c>
      <c r="B739" s="1" t="n">
        <v>44711</v>
      </c>
      <c r="C739" s="1" t="n">
        <v>45710</v>
      </c>
      <c r="D739" t="inlineStr">
        <is>
          <t>UPPSALA LÄN</t>
        </is>
      </c>
      <c r="E739" t="inlineStr">
        <is>
          <t>UPPSALA</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22390-2022</t>
        </is>
      </c>
      <c r="B740" s="1" t="n">
        <v>44713</v>
      </c>
      <c r="C740" s="1" t="n">
        <v>45710</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22429-2022</t>
        </is>
      </c>
      <c r="B741" s="1" t="n">
        <v>44713</v>
      </c>
      <c r="C741" s="1" t="n">
        <v>45710</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22645-2022</t>
        </is>
      </c>
      <c r="B742" s="1" t="n">
        <v>44714</v>
      </c>
      <c r="C742" s="1" t="n">
        <v>45710</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23324-2022</t>
        </is>
      </c>
      <c r="B743" s="1" t="n">
        <v>44720</v>
      </c>
      <c r="C743" s="1" t="n">
        <v>45710</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23289-2022</t>
        </is>
      </c>
      <c r="B744" s="1" t="n">
        <v>44720</v>
      </c>
      <c r="C744" s="1" t="n">
        <v>45710</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23761-2022</t>
        </is>
      </c>
      <c r="B745" s="1" t="n">
        <v>44722</v>
      </c>
      <c r="C745" s="1" t="n">
        <v>45710</v>
      </c>
      <c r="D745" t="inlineStr">
        <is>
          <t>UPPSALA LÄN</t>
        </is>
      </c>
      <c r="E745" t="inlineStr">
        <is>
          <t>UPPSALA</t>
        </is>
      </c>
      <c r="F745" t="inlineStr">
        <is>
          <t>Bergvik skog öst AB</t>
        </is>
      </c>
      <c r="G745" t="n">
        <v>7.3</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v>
      </c>
      <c r="C746" s="1" t="n">
        <v>45710</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23717-2022</t>
        </is>
      </c>
      <c r="B747" s="1" t="n">
        <v>44722</v>
      </c>
      <c r="C747" s="1" t="n">
        <v>45710</v>
      </c>
      <c r="D747" t="inlineStr">
        <is>
          <t>UPPSALA LÄN</t>
        </is>
      </c>
      <c r="E747" t="inlineStr">
        <is>
          <t>UPPSALA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23730-2022</t>
        </is>
      </c>
      <c r="B748" s="1" t="n">
        <v>44722</v>
      </c>
      <c r="C748" s="1" t="n">
        <v>45710</v>
      </c>
      <c r="D748" t="inlineStr">
        <is>
          <t>UPPSALA LÄN</t>
        </is>
      </c>
      <c r="E748" t="inlineStr">
        <is>
          <t>UPPSALA</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24420-2022</t>
        </is>
      </c>
      <c r="B749" s="1" t="n">
        <v>44726</v>
      </c>
      <c r="C749" s="1" t="n">
        <v>45710</v>
      </c>
      <c r="D749" t="inlineStr">
        <is>
          <t>UPPSALA LÄN</t>
        </is>
      </c>
      <c r="E749" t="inlineStr">
        <is>
          <t>UPPSALA</t>
        </is>
      </c>
      <c r="F749" t="inlineStr">
        <is>
          <t>Bergvik skog öst AB</t>
        </is>
      </c>
      <c r="G749" t="n">
        <v>2.9</v>
      </c>
      <c r="H749" t="n">
        <v>0</v>
      </c>
      <c r="I749" t="n">
        <v>0</v>
      </c>
      <c r="J749" t="n">
        <v>0</v>
      </c>
      <c r="K749" t="n">
        <v>0</v>
      </c>
      <c r="L749" t="n">
        <v>0</v>
      </c>
      <c r="M749" t="n">
        <v>0</v>
      </c>
      <c r="N749" t="n">
        <v>0</v>
      </c>
      <c r="O749" t="n">
        <v>0</v>
      </c>
      <c r="P749" t="n">
        <v>0</v>
      </c>
      <c r="Q749" t="n">
        <v>0</v>
      </c>
      <c r="R749" s="2" t="inlineStr"/>
    </row>
    <row r="750" ht="15" customHeight="1">
      <c r="A750" t="inlineStr">
        <is>
          <t>A 24401-2022</t>
        </is>
      </c>
      <c r="B750" s="1" t="n">
        <v>44726</v>
      </c>
      <c r="C750" s="1" t="n">
        <v>45710</v>
      </c>
      <c r="D750" t="inlineStr">
        <is>
          <t>UPPSALA LÄN</t>
        </is>
      </c>
      <c r="E750" t="inlineStr">
        <is>
          <t>UPPSALA</t>
        </is>
      </c>
      <c r="F750" t="inlineStr">
        <is>
          <t>Bergvik skog öst AB</t>
        </is>
      </c>
      <c r="G750" t="n">
        <v>4.8</v>
      </c>
      <c r="H750" t="n">
        <v>0</v>
      </c>
      <c r="I750" t="n">
        <v>0</v>
      </c>
      <c r="J750" t="n">
        <v>0</v>
      </c>
      <c r="K750" t="n">
        <v>0</v>
      </c>
      <c r="L750" t="n">
        <v>0</v>
      </c>
      <c r="M750" t="n">
        <v>0</v>
      </c>
      <c r="N750" t="n">
        <v>0</v>
      </c>
      <c r="O750" t="n">
        <v>0</v>
      </c>
      <c r="P750" t="n">
        <v>0</v>
      </c>
      <c r="Q750" t="n">
        <v>0</v>
      </c>
      <c r="R750" s="2" t="inlineStr"/>
    </row>
    <row r="751" ht="15" customHeight="1">
      <c r="A751" t="inlineStr">
        <is>
          <t>A 24409-2022</t>
        </is>
      </c>
      <c r="B751" s="1" t="n">
        <v>44726</v>
      </c>
      <c r="C751" s="1" t="n">
        <v>45710</v>
      </c>
      <c r="D751" t="inlineStr">
        <is>
          <t>UPPSALA LÄN</t>
        </is>
      </c>
      <c r="E751" t="inlineStr">
        <is>
          <t>UPPSALA</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25178-2022</t>
        </is>
      </c>
      <c r="B752" s="1" t="n">
        <v>44729</v>
      </c>
      <c r="C752" s="1" t="n">
        <v>45710</v>
      </c>
      <c r="D752" t="inlineStr">
        <is>
          <t>UPPSALA LÄN</t>
        </is>
      </c>
      <c r="E752" t="inlineStr">
        <is>
          <t>UPPSALA</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25120-2022</t>
        </is>
      </c>
      <c r="B753" s="1" t="n">
        <v>44729</v>
      </c>
      <c r="C753" s="1" t="n">
        <v>45710</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25759-2022</t>
        </is>
      </c>
      <c r="B754" s="1" t="n">
        <v>44733</v>
      </c>
      <c r="C754" s="1" t="n">
        <v>45710</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25809-2022</t>
        </is>
      </c>
      <c r="B755" s="1" t="n">
        <v>44733</v>
      </c>
      <c r="C755" s="1" t="n">
        <v>45710</v>
      </c>
      <c r="D755" t="inlineStr">
        <is>
          <t>UPPSALA LÄN</t>
        </is>
      </c>
      <c r="E755" t="inlineStr">
        <is>
          <t>UPPSALA</t>
        </is>
      </c>
      <c r="F755" t="inlineStr">
        <is>
          <t>Bergvik skog öst AB</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25745-2022</t>
        </is>
      </c>
      <c r="B756" s="1" t="n">
        <v>44733</v>
      </c>
      <c r="C756" s="1" t="n">
        <v>45710</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25776-2022</t>
        </is>
      </c>
      <c r="B757" s="1" t="n">
        <v>44733</v>
      </c>
      <c r="C757" s="1" t="n">
        <v>45710</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26609-2022</t>
        </is>
      </c>
      <c r="B758" s="1" t="n">
        <v>44739</v>
      </c>
      <c r="C758" s="1" t="n">
        <v>45710</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26958-2022</t>
        </is>
      </c>
      <c r="B759" s="1" t="n">
        <v>44740</v>
      </c>
      <c r="C759" s="1" t="n">
        <v>45710</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26972-2022</t>
        </is>
      </c>
      <c r="B760" s="1" t="n">
        <v>44740</v>
      </c>
      <c r="C760" s="1" t="n">
        <v>45710</v>
      </c>
      <c r="D760" t="inlineStr">
        <is>
          <t>UPPSALA LÄN</t>
        </is>
      </c>
      <c r="E760" t="inlineStr">
        <is>
          <t>UPPSALA</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27372-2022</t>
        </is>
      </c>
      <c r="B761" s="1" t="n">
        <v>44742</v>
      </c>
      <c r="C761" s="1" t="n">
        <v>45710</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27369-2022</t>
        </is>
      </c>
      <c r="B762" s="1" t="n">
        <v>44742</v>
      </c>
      <c r="C762" s="1" t="n">
        <v>45710</v>
      </c>
      <c r="D762" t="inlineStr">
        <is>
          <t>UPPSALA LÄN</t>
        </is>
      </c>
      <c r="E762" t="inlineStr">
        <is>
          <t>UPPSALA</t>
        </is>
      </c>
      <c r="G762" t="n">
        <v>4.5</v>
      </c>
      <c r="H762" t="n">
        <v>0</v>
      </c>
      <c r="I762" t="n">
        <v>0</v>
      </c>
      <c r="J762" t="n">
        <v>0</v>
      </c>
      <c r="K762" t="n">
        <v>0</v>
      </c>
      <c r="L762" t="n">
        <v>0</v>
      </c>
      <c r="M762" t="n">
        <v>0</v>
      </c>
      <c r="N762" t="n">
        <v>0</v>
      </c>
      <c r="O762" t="n">
        <v>0</v>
      </c>
      <c r="P762" t="n">
        <v>0</v>
      </c>
      <c r="Q762" t="n">
        <v>0</v>
      </c>
      <c r="R762" s="2" t="inlineStr"/>
    </row>
    <row r="763" ht="15" customHeight="1">
      <c r="A763" t="inlineStr">
        <is>
          <t>A 27390-2022</t>
        </is>
      </c>
      <c r="B763" s="1" t="n">
        <v>44742</v>
      </c>
      <c r="C763" s="1" t="n">
        <v>45710</v>
      </c>
      <c r="D763" t="inlineStr">
        <is>
          <t>UPPSALA LÄN</t>
        </is>
      </c>
      <c r="E763" t="inlineStr">
        <is>
          <t>UPPSALA</t>
        </is>
      </c>
      <c r="G763" t="n">
        <v>3.3</v>
      </c>
      <c r="H763" t="n">
        <v>0</v>
      </c>
      <c r="I763" t="n">
        <v>0</v>
      </c>
      <c r="J763" t="n">
        <v>0</v>
      </c>
      <c r="K763" t="n">
        <v>0</v>
      </c>
      <c r="L763" t="n">
        <v>0</v>
      </c>
      <c r="M763" t="n">
        <v>0</v>
      </c>
      <c r="N763" t="n">
        <v>0</v>
      </c>
      <c r="O763" t="n">
        <v>0</v>
      </c>
      <c r="P763" t="n">
        <v>0</v>
      </c>
      <c r="Q763" t="n">
        <v>0</v>
      </c>
      <c r="R763" s="2" t="inlineStr"/>
    </row>
    <row r="764" ht="15" customHeight="1">
      <c r="A764" t="inlineStr">
        <is>
          <t>A 27397-2022</t>
        </is>
      </c>
      <c r="B764" s="1" t="n">
        <v>44742</v>
      </c>
      <c r="C764" s="1" t="n">
        <v>45710</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27546-2022</t>
        </is>
      </c>
      <c r="B765" s="1" t="n">
        <v>44742</v>
      </c>
      <c r="C765" s="1" t="n">
        <v>45710</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45710</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45710</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27762-2022</t>
        </is>
      </c>
      <c r="B768" s="1" t="n">
        <v>44743</v>
      </c>
      <c r="C768" s="1" t="n">
        <v>45710</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29277-2022</t>
        </is>
      </c>
      <c r="B769" s="1" t="n">
        <v>44750</v>
      </c>
      <c r="C769" s="1" t="n">
        <v>45710</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v>
      </c>
      <c r="C770" s="1" t="n">
        <v>45710</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29986-2022</t>
        </is>
      </c>
      <c r="B771" s="1" t="n">
        <v>44756</v>
      </c>
      <c r="C771" s="1" t="n">
        <v>45710</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29991-2022</t>
        </is>
      </c>
      <c r="B772" s="1" t="n">
        <v>44756</v>
      </c>
      <c r="C772" s="1" t="n">
        <v>45710</v>
      </c>
      <c r="D772" t="inlineStr">
        <is>
          <t>UPPSALA LÄN</t>
        </is>
      </c>
      <c r="E772" t="inlineStr">
        <is>
          <t>UPPSALA</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30052-2022</t>
        </is>
      </c>
      <c r="B773" s="1" t="n">
        <v>44757</v>
      </c>
      <c r="C773" s="1" t="n">
        <v>45710</v>
      </c>
      <c r="D773" t="inlineStr">
        <is>
          <t>UPPSALA LÄN</t>
        </is>
      </c>
      <c r="E773" t="inlineStr">
        <is>
          <t>UPPSALA</t>
        </is>
      </c>
      <c r="F773" t="inlineStr">
        <is>
          <t>Bergvik skog öst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30580-2022</t>
        </is>
      </c>
      <c r="B774" s="1" t="n">
        <v>44762</v>
      </c>
      <c r="C774" s="1" t="n">
        <v>45710</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30783-2022</t>
        </is>
      </c>
      <c r="B775" s="1" t="n">
        <v>44764</v>
      </c>
      <c r="C775" s="1" t="n">
        <v>45710</v>
      </c>
      <c r="D775" t="inlineStr">
        <is>
          <t>UPPSALA LÄN</t>
        </is>
      </c>
      <c r="E775" t="inlineStr">
        <is>
          <t>UPPSALA</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30775-2022</t>
        </is>
      </c>
      <c r="B776" s="1" t="n">
        <v>44764</v>
      </c>
      <c r="C776" s="1" t="n">
        <v>45710</v>
      </c>
      <c r="D776" t="inlineStr">
        <is>
          <t>UPPSALA LÄN</t>
        </is>
      </c>
      <c r="E776" t="inlineStr">
        <is>
          <t>UPPSALA</t>
        </is>
      </c>
      <c r="F776" t="inlineStr">
        <is>
          <t>Bergvik skog öst AB</t>
        </is>
      </c>
      <c r="G776" t="n">
        <v>4.5</v>
      </c>
      <c r="H776" t="n">
        <v>0</v>
      </c>
      <c r="I776" t="n">
        <v>0</v>
      </c>
      <c r="J776" t="n">
        <v>0</v>
      </c>
      <c r="K776" t="n">
        <v>0</v>
      </c>
      <c r="L776" t="n">
        <v>0</v>
      </c>
      <c r="M776" t="n">
        <v>0</v>
      </c>
      <c r="N776" t="n">
        <v>0</v>
      </c>
      <c r="O776" t="n">
        <v>0</v>
      </c>
      <c r="P776" t="n">
        <v>0</v>
      </c>
      <c r="Q776" t="n">
        <v>0</v>
      </c>
      <c r="R776" s="2" t="inlineStr"/>
    </row>
    <row r="777" ht="15" customHeight="1">
      <c r="A777" t="inlineStr">
        <is>
          <t>A 31113-2022</t>
        </is>
      </c>
      <c r="B777" s="1" t="n">
        <v>44769</v>
      </c>
      <c r="C777" s="1" t="n">
        <v>45710</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31263-2022</t>
        </is>
      </c>
      <c r="B778" s="1" t="n">
        <v>44771</v>
      </c>
      <c r="C778" s="1" t="n">
        <v>45710</v>
      </c>
      <c r="D778" t="inlineStr">
        <is>
          <t>UPPSALA LÄN</t>
        </is>
      </c>
      <c r="E778" t="inlineStr">
        <is>
          <t>UPPSALA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31261-2022</t>
        </is>
      </c>
      <c r="B779" s="1" t="n">
        <v>44771</v>
      </c>
      <c r="C779" s="1" t="n">
        <v>45710</v>
      </c>
      <c r="D779" t="inlineStr">
        <is>
          <t>UPPSALA LÄN</t>
        </is>
      </c>
      <c r="E779" t="inlineStr">
        <is>
          <t>UPPSALA</t>
        </is>
      </c>
      <c r="F779" t="inlineStr">
        <is>
          <t>Bergvik skog öst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31249-2022</t>
        </is>
      </c>
      <c r="B780" s="1" t="n">
        <v>44771</v>
      </c>
      <c r="C780" s="1" t="n">
        <v>45710</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31253-2022</t>
        </is>
      </c>
      <c r="B781" s="1" t="n">
        <v>44771</v>
      </c>
      <c r="C781" s="1" t="n">
        <v>45710</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32954-2022</t>
        </is>
      </c>
      <c r="B782" s="1" t="n">
        <v>44784</v>
      </c>
      <c r="C782" s="1" t="n">
        <v>45710</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33332-2022</t>
        </is>
      </c>
      <c r="B783" s="1" t="n">
        <v>44788</v>
      </c>
      <c r="C783" s="1" t="n">
        <v>45710</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33283-2022</t>
        </is>
      </c>
      <c r="B784" s="1" t="n">
        <v>44788</v>
      </c>
      <c r="C784" s="1" t="n">
        <v>45710</v>
      </c>
      <c r="D784" t="inlineStr">
        <is>
          <t>UPPSALA LÄN</t>
        </is>
      </c>
      <c r="E784" t="inlineStr">
        <is>
          <t>UPPSALA</t>
        </is>
      </c>
      <c r="G784" t="n">
        <v>20.2</v>
      </c>
      <c r="H784" t="n">
        <v>0</v>
      </c>
      <c r="I784" t="n">
        <v>0</v>
      </c>
      <c r="J784" t="n">
        <v>0</v>
      </c>
      <c r="K784" t="n">
        <v>0</v>
      </c>
      <c r="L784" t="n">
        <v>0</v>
      </c>
      <c r="M784" t="n">
        <v>0</v>
      </c>
      <c r="N784" t="n">
        <v>0</v>
      </c>
      <c r="O784" t="n">
        <v>0</v>
      </c>
      <c r="P784" t="n">
        <v>0</v>
      </c>
      <c r="Q784" t="n">
        <v>0</v>
      </c>
      <c r="R784" s="2" t="inlineStr"/>
    </row>
    <row r="785" ht="15" customHeight="1">
      <c r="A785" t="inlineStr">
        <is>
          <t>A 34061-2022</t>
        </is>
      </c>
      <c r="B785" s="1" t="n">
        <v>44791</v>
      </c>
      <c r="C785" s="1" t="n">
        <v>45710</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34770-2022</t>
        </is>
      </c>
      <c r="B786" s="1" t="n">
        <v>44795</v>
      </c>
      <c r="C786" s="1" t="n">
        <v>45710</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35212-2022</t>
        </is>
      </c>
      <c r="B787" s="1" t="n">
        <v>44797</v>
      </c>
      <c r="C787" s="1" t="n">
        <v>45710</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35411-2022</t>
        </is>
      </c>
      <c r="B788" s="1" t="n">
        <v>44798</v>
      </c>
      <c r="C788" s="1" t="n">
        <v>45710</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35539-2022</t>
        </is>
      </c>
      <c r="B789" s="1" t="n">
        <v>44799</v>
      </c>
      <c r="C789" s="1" t="n">
        <v>45710</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35544-2022</t>
        </is>
      </c>
      <c r="B790" s="1" t="n">
        <v>44799</v>
      </c>
      <c r="C790" s="1" t="n">
        <v>45710</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35542-2022</t>
        </is>
      </c>
      <c r="B791" s="1" t="n">
        <v>44799</v>
      </c>
      <c r="C791" s="1" t="n">
        <v>45710</v>
      </c>
      <c r="D791" t="inlineStr">
        <is>
          <t>UPPSALA LÄN</t>
        </is>
      </c>
      <c r="E791" t="inlineStr">
        <is>
          <t>UPPSALA</t>
        </is>
      </c>
      <c r="G791" t="n">
        <v>3.2</v>
      </c>
      <c r="H791" t="n">
        <v>0</v>
      </c>
      <c r="I791" t="n">
        <v>0</v>
      </c>
      <c r="J791" t="n">
        <v>0</v>
      </c>
      <c r="K791" t="n">
        <v>0</v>
      </c>
      <c r="L791" t="n">
        <v>0</v>
      </c>
      <c r="M791" t="n">
        <v>0</v>
      </c>
      <c r="N791" t="n">
        <v>0</v>
      </c>
      <c r="O791" t="n">
        <v>0</v>
      </c>
      <c r="P791" t="n">
        <v>0</v>
      </c>
      <c r="Q791" t="n">
        <v>0</v>
      </c>
      <c r="R791" s="2" t="inlineStr"/>
    </row>
    <row r="792" ht="15" customHeight="1">
      <c r="A792" t="inlineStr">
        <is>
          <t>A 37187-2022</t>
        </is>
      </c>
      <c r="B792" s="1" t="n">
        <v>44806</v>
      </c>
      <c r="C792" s="1" t="n">
        <v>45710</v>
      </c>
      <c r="D792" t="inlineStr">
        <is>
          <t>UPPSALA LÄN</t>
        </is>
      </c>
      <c r="E792" t="inlineStr">
        <is>
          <t>UPPSALA</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37316-2022</t>
        </is>
      </c>
      <c r="B793" s="1" t="n">
        <v>44806</v>
      </c>
      <c r="C793" s="1" t="n">
        <v>45710</v>
      </c>
      <c r="D793" t="inlineStr">
        <is>
          <t>UPPSALA LÄN</t>
        </is>
      </c>
      <c r="E793" t="inlineStr">
        <is>
          <t>UPPSALA</t>
        </is>
      </c>
      <c r="G793" t="n">
        <v>10.6</v>
      </c>
      <c r="H793" t="n">
        <v>0</v>
      </c>
      <c r="I793" t="n">
        <v>0</v>
      </c>
      <c r="J793" t="n">
        <v>0</v>
      </c>
      <c r="K793" t="n">
        <v>0</v>
      </c>
      <c r="L793" t="n">
        <v>0</v>
      </c>
      <c r="M793" t="n">
        <v>0</v>
      </c>
      <c r="N793" t="n">
        <v>0</v>
      </c>
      <c r="O793" t="n">
        <v>0</v>
      </c>
      <c r="P793" t="n">
        <v>0</v>
      </c>
      <c r="Q793" t="n">
        <v>0</v>
      </c>
      <c r="R793" s="2" t="inlineStr"/>
    </row>
    <row r="794" ht="15" customHeight="1">
      <c r="A794" t="inlineStr">
        <is>
          <t>A 37188-2022</t>
        </is>
      </c>
      <c r="B794" s="1" t="n">
        <v>44806</v>
      </c>
      <c r="C794" s="1" t="n">
        <v>45710</v>
      </c>
      <c r="D794" t="inlineStr">
        <is>
          <t>UPPSALA LÄN</t>
        </is>
      </c>
      <c r="E794" t="inlineStr">
        <is>
          <t>UPPSALA</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37588-2022</t>
        </is>
      </c>
      <c r="B795" s="1" t="n">
        <v>44810</v>
      </c>
      <c r="C795" s="1" t="n">
        <v>45710</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37761-2022</t>
        </is>
      </c>
      <c r="B796" s="1" t="n">
        <v>44810</v>
      </c>
      <c r="C796" s="1" t="n">
        <v>45710</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37670-2022</t>
        </is>
      </c>
      <c r="B797" s="1" t="n">
        <v>44810</v>
      </c>
      <c r="C797" s="1" t="n">
        <v>45710</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38078-2022</t>
        </is>
      </c>
      <c r="B798" s="1" t="n">
        <v>44811</v>
      </c>
      <c r="C798" s="1" t="n">
        <v>45710</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38524-2022</t>
        </is>
      </c>
      <c r="B799" s="1" t="n">
        <v>44813</v>
      </c>
      <c r="C799" s="1" t="n">
        <v>45710</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38865-2022</t>
        </is>
      </c>
      <c r="B800" s="1" t="n">
        <v>44816</v>
      </c>
      <c r="C800" s="1" t="n">
        <v>45710</v>
      </c>
      <c r="D800" t="inlineStr">
        <is>
          <t>UPPSALA LÄN</t>
        </is>
      </c>
      <c r="E800" t="inlineStr">
        <is>
          <t>UPPSALA</t>
        </is>
      </c>
      <c r="G800" t="n">
        <v>14.6</v>
      </c>
      <c r="H800" t="n">
        <v>0</v>
      </c>
      <c r="I800" t="n">
        <v>0</v>
      </c>
      <c r="J800" t="n">
        <v>0</v>
      </c>
      <c r="K800" t="n">
        <v>0</v>
      </c>
      <c r="L800" t="n">
        <v>0</v>
      </c>
      <c r="M800" t="n">
        <v>0</v>
      </c>
      <c r="N800" t="n">
        <v>0</v>
      </c>
      <c r="O800" t="n">
        <v>0</v>
      </c>
      <c r="P800" t="n">
        <v>0</v>
      </c>
      <c r="Q800" t="n">
        <v>0</v>
      </c>
      <c r="R800" s="2" t="inlineStr"/>
    </row>
    <row r="801" ht="15" customHeight="1">
      <c r="A801" t="inlineStr">
        <is>
          <t>A 38892-2022</t>
        </is>
      </c>
      <c r="B801" s="1" t="n">
        <v>44816</v>
      </c>
      <c r="C801" s="1" t="n">
        <v>45710</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38909-2022</t>
        </is>
      </c>
      <c r="B802" s="1" t="n">
        <v>44816</v>
      </c>
      <c r="C802" s="1" t="n">
        <v>45710</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39148-2022</t>
        </is>
      </c>
      <c r="B803" s="1" t="n">
        <v>44816</v>
      </c>
      <c r="C803" s="1" t="n">
        <v>45710</v>
      </c>
      <c r="D803" t="inlineStr">
        <is>
          <t>UPPSALA LÄN</t>
        </is>
      </c>
      <c r="E803" t="inlineStr">
        <is>
          <t>UPPSALA</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39144-2022</t>
        </is>
      </c>
      <c r="B804" s="1" t="n">
        <v>44816</v>
      </c>
      <c r="C804" s="1" t="n">
        <v>45710</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39454-2022</t>
        </is>
      </c>
      <c r="B805" s="1" t="n">
        <v>44817</v>
      </c>
      <c r="C805" s="1" t="n">
        <v>45710</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39608-2022</t>
        </is>
      </c>
      <c r="B806" s="1" t="n">
        <v>44817</v>
      </c>
      <c r="C806" s="1" t="n">
        <v>45710</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39599-2022</t>
        </is>
      </c>
      <c r="B807" s="1" t="n">
        <v>44817</v>
      </c>
      <c r="C807" s="1" t="n">
        <v>45710</v>
      </c>
      <c r="D807" t="inlineStr">
        <is>
          <t>UPPSALA LÄN</t>
        </is>
      </c>
      <c r="E807" t="inlineStr">
        <is>
          <t>UPPSALA</t>
        </is>
      </c>
      <c r="G807" t="n">
        <v>4.8</v>
      </c>
      <c r="H807" t="n">
        <v>0</v>
      </c>
      <c r="I807" t="n">
        <v>0</v>
      </c>
      <c r="J807" t="n">
        <v>0</v>
      </c>
      <c r="K807" t="n">
        <v>0</v>
      </c>
      <c r="L807" t="n">
        <v>0</v>
      </c>
      <c r="M807" t="n">
        <v>0</v>
      </c>
      <c r="N807" t="n">
        <v>0</v>
      </c>
      <c r="O807" t="n">
        <v>0</v>
      </c>
      <c r="P807" t="n">
        <v>0</v>
      </c>
      <c r="Q807" t="n">
        <v>0</v>
      </c>
      <c r="R807" s="2" t="inlineStr"/>
    </row>
    <row r="808" ht="15" customHeight="1">
      <c r="A808" t="inlineStr">
        <is>
          <t>A 39795-2022</t>
        </is>
      </c>
      <c r="B808" s="1" t="n">
        <v>44819</v>
      </c>
      <c r="C808" s="1" t="n">
        <v>45710</v>
      </c>
      <c r="D808" t="inlineStr">
        <is>
          <t>UPPSALA LÄN</t>
        </is>
      </c>
      <c r="E808" t="inlineStr">
        <is>
          <t>UPPSALA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39915-2022</t>
        </is>
      </c>
      <c r="B809" s="1" t="n">
        <v>44819</v>
      </c>
      <c r="C809" s="1" t="n">
        <v>45710</v>
      </c>
      <c r="D809" t="inlineStr">
        <is>
          <t>UPPSALA LÄN</t>
        </is>
      </c>
      <c r="E809" t="inlineStr">
        <is>
          <t>UPPSALA</t>
        </is>
      </c>
      <c r="F809" t="inlineStr">
        <is>
          <t>Allmännings- och besparingsskogar</t>
        </is>
      </c>
      <c r="G809" t="n">
        <v>20.1</v>
      </c>
      <c r="H809" t="n">
        <v>0</v>
      </c>
      <c r="I809" t="n">
        <v>0</v>
      </c>
      <c r="J809" t="n">
        <v>0</v>
      </c>
      <c r="K809" t="n">
        <v>0</v>
      </c>
      <c r="L809" t="n">
        <v>0</v>
      </c>
      <c r="M809" t="n">
        <v>0</v>
      </c>
      <c r="N809" t="n">
        <v>0</v>
      </c>
      <c r="O809" t="n">
        <v>0</v>
      </c>
      <c r="P809" t="n">
        <v>0</v>
      </c>
      <c r="Q809" t="n">
        <v>0</v>
      </c>
      <c r="R809" s="2" t="inlineStr"/>
    </row>
    <row r="810" ht="15" customHeight="1">
      <c r="A810" t="inlineStr">
        <is>
          <t>A 39865-2022</t>
        </is>
      </c>
      <c r="B810" s="1" t="n">
        <v>44819</v>
      </c>
      <c r="C810" s="1" t="n">
        <v>45710</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40100-2022</t>
        </is>
      </c>
      <c r="B811" s="1" t="n">
        <v>44820</v>
      </c>
      <c r="C811" s="1" t="n">
        <v>45710</v>
      </c>
      <c r="D811" t="inlineStr">
        <is>
          <t>UPPSALA LÄN</t>
        </is>
      </c>
      <c r="E811" t="inlineStr">
        <is>
          <t>UPPSALA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42622-2022</t>
        </is>
      </c>
      <c r="B812" s="1" t="n">
        <v>44831</v>
      </c>
      <c r="C812" s="1" t="n">
        <v>45710</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42772-2022</t>
        </is>
      </c>
      <c r="B813" s="1" t="n">
        <v>44832</v>
      </c>
      <c r="C813" s="1" t="n">
        <v>45710</v>
      </c>
      <c r="D813" t="inlineStr">
        <is>
          <t>UPPSALA LÄN</t>
        </is>
      </c>
      <c r="E813" t="inlineStr">
        <is>
          <t>UPPSALA</t>
        </is>
      </c>
      <c r="G813" t="n">
        <v>17.7</v>
      </c>
      <c r="H813" t="n">
        <v>0</v>
      </c>
      <c r="I813" t="n">
        <v>0</v>
      </c>
      <c r="J813" t="n">
        <v>0</v>
      </c>
      <c r="K813" t="n">
        <v>0</v>
      </c>
      <c r="L813" t="n">
        <v>0</v>
      </c>
      <c r="M813" t="n">
        <v>0</v>
      </c>
      <c r="N813" t="n">
        <v>0</v>
      </c>
      <c r="O813" t="n">
        <v>0</v>
      </c>
      <c r="P813" t="n">
        <v>0</v>
      </c>
      <c r="Q813" t="n">
        <v>0</v>
      </c>
      <c r="R813" s="2" t="inlineStr"/>
    </row>
    <row r="814" ht="15" customHeight="1">
      <c r="A814" t="inlineStr">
        <is>
          <t>A 43032-2022</t>
        </is>
      </c>
      <c r="B814" s="1" t="n">
        <v>44832</v>
      </c>
      <c r="C814" s="1" t="n">
        <v>45710</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v>
      </c>
      <c r="C815" s="1" t="n">
        <v>45710</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44265-2022</t>
        </is>
      </c>
      <c r="B816" s="1" t="n">
        <v>44839</v>
      </c>
      <c r="C816" s="1" t="n">
        <v>45710</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44817-2022</t>
        </is>
      </c>
      <c r="B817" s="1" t="n">
        <v>44841</v>
      </c>
      <c r="C817" s="1" t="n">
        <v>45710</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45195-2022</t>
        </is>
      </c>
      <c r="B818" s="1" t="n">
        <v>44844</v>
      </c>
      <c r="C818" s="1" t="n">
        <v>45710</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45780-2022</t>
        </is>
      </c>
      <c r="B819" s="1" t="n">
        <v>44846</v>
      </c>
      <c r="C819" s="1" t="n">
        <v>45710</v>
      </c>
      <c r="D819" t="inlineStr">
        <is>
          <t>UPPSALA LÄN</t>
        </is>
      </c>
      <c r="E819" t="inlineStr">
        <is>
          <t>UPPSALA</t>
        </is>
      </c>
      <c r="G819" t="n">
        <v>5.8</v>
      </c>
      <c r="H819" t="n">
        <v>0</v>
      </c>
      <c r="I819" t="n">
        <v>0</v>
      </c>
      <c r="J819" t="n">
        <v>0</v>
      </c>
      <c r="K819" t="n">
        <v>0</v>
      </c>
      <c r="L819" t="n">
        <v>0</v>
      </c>
      <c r="M819" t="n">
        <v>0</v>
      </c>
      <c r="N819" t="n">
        <v>0</v>
      </c>
      <c r="O819" t="n">
        <v>0</v>
      </c>
      <c r="P819" t="n">
        <v>0</v>
      </c>
      <c r="Q819" t="n">
        <v>0</v>
      </c>
      <c r="R819" s="2" t="inlineStr"/>
    </row>
    <row r="820" ht="15" customHeight="1">
      <c r="A820" t="inlineStr">
        <is>
          <t>A 45849-2022</t>
        </is>
      </c>
      <c r="B820" s="1" t="n">
        <v>44846</v>
      </c>
      <c r="C820" s="1" t="n">
        <v>45710</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46077-2022</t>
        </is>
      </c>
      <c r="B821" s="1" t="n">
        <v>44847</v>
      </c>
      <c r="C821" s="1" t="n">
        <v>45710</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46069-2022</t>
        </is>
      </c>
      <c r="B822" s="1" t="n">
        <v>44847</v>
      </c>
      <c r="C822" s="1" t="n">
        <v>45710</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46079-2022</t>
        </is>
      </c>
      <c r="B823" s="1" t="n">
        <v>44847</v>
      </c>
      <c r="C823" s="1" t="n">
        <v>45710</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46293-2022</t>
        </is>
      </c>
      <c r="B824" s="1" t="n">
        <v>44847</v>
      </c>
      <c r="C824" s="1" t="n">
        <v>45710</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46805-2022</t>
        </is>
      </c>
      <c r="B825" s="1" t="n">
        <v>44847</v>
      </c>
      <c r="C825" s="1" t="n">
        <v>45710</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46807-2022</t>
        </is>
      </c>
      <c r="B826" s="1" t="n">
        <v>44848</v>
      </c>
      <c r="C826" s="1" t="n">
        <v>45710</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46635-2022</t>
        </is>
      </c>
      <c r="B827" s="1" t="n">
        <v>44849</v>
      </c>
      <c r="C827" s="1" t="n">
        <v>45710</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47413-2022</t>
        </is>
      </c>
      <c r="B828" s="1" t="n">
        <v>44853</v>
      </c>
      <c r="C828" s="1" t="n">
        <v>45710</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48686-2022</t>
        </is>
      </c>
      <c r="B829" s="1" t="n">
        <v>44859</v>
      </c>
      <c r="C829" s="1" t="n">
        <v>45710</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v>
      </c>
      <c r="C830" s="1" t="n">
        <v>45710</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48692-2022</t>
        </is>
      </c>
      <c r="B831" s="1" t="n">
        <v>44859</v>
      </c>
      <c r="C831" s="1" t="n">
        <v>45710</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48688-2022</t>
        </is>
      </c>
      <c r="B832" s="1" t="n">
        <v>44859</v>
      </c>
      <c r="C832" s="1" t="n">
        <v>45710</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50006-2022</t>
        </is>
      </c>
      <c r="B833" s="1" t="n">
        <v>44865</v>
      </c>
      <c r="C833" s="1" t="n">
        <v>45710</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50092-2022</t>
        </is>
      </c>
      <c r="B834" s="1" t="n">
        <v>44865</v>
      </c>
      <c r="C834" s="1" t="n">
        <v>45710</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50954-2022</t>
        </is>
      </c>
      <c r="B835" s="1" t="n">
        <v>44866</v>
      </c>
      <c r="C835" s="1" t="n">
        <v>45710</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45710</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51899-2022</t>
        </is>
      </c>
      <c r="B837" s="1" t="n">
        <v>44872</v>
      </c>
      <c r="C837" s="1" t="n">
        <v>45710</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54715-2022</t>
        </is>
      </c>
      <c r="B838" s="1" t="n">
        <v>44883</v>
      </c>
      <c r="C838" s="1" t="n">
        <v>45710</v>
      </c>
      <c r="D838" t="inlineStr">
        <is>
          <t>UPPSALA LÄN</t>
        </is>
      </c>
      <c r="E838" t="inlineStr">
        <is>
          <t>UPPSALA</t>
        </is>
      </c>
      <c r="F838" t="inlineStr">
        <is>
          <t>Övriga Aktiebolag</t>
        </is>
      </c>
      <c r="G838" t="n">
        <v>9.5</v>
      </c>
      <c r="H838" t="n">
        <v>0</v>
      </c>
      <c r="I838" t="n">
        <v>0</v>
      </c>
      <c r="J838" t="n">
        <v>0</v>
      </c>
      <c r="K838" t="n">
        <v>0</v>
      </c>
      <c r="L838" t="n">
        <v>0</v>
      </c>
      <c r="M838" t="n">
        <v>0</v>
      </c>
      <c r="N838" t="n">
        <v>0</v>
      </c>
      <c r="O838" t="n">
        <v>0</v>
      </c>
      <c r="P838" t="n">
        <v>0</v>
      </c>
      <c r="Q838" t="n">
        <v>0</v>
      </c>
      <c r="R838" s="2" t="inlineStr"/>
    </row>
    <row r="839" ht="15" customHeight="1">
      <c r="A839" t="inlineStr">
        <is>
          <t>A 54732-2022</t>
        </is>
      </c>
      <c r="B839" s="1" t="n">
        <v>44883</v>
      </c>
      <c r="C839" s="1" t="n">
        <v>45710</v>
      </c>
      <c r="D839" t="inlineStr">
        <is>
          <t>UPPSALA LÄN</t>
        </is>
      </c>
      <c r="E839" t="inlineStr">
        <is>
          <t>UPPSALA</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54813-2022</t>
        </is>
      </c>
      <c r="B840" s="1" t="n">
        <v>44883</v>
      </c>
      <c r="C840" s="1" t="n">
        <v>45710</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55021-2022</t>
        </is>
      </c>
      <c r="B841" s="1" t="n">
        <v>44886</v>
      </c>
      <c r="C841" s="1" t="n">
        <v>45710</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55040-2022</t>
        </is>
      </c>
      <c r="B842" s="1" t="n">
        <v>44886</v>
      </c>
      <c r="C842" s="1" t="n">
        <v>45710</v>
      </c>
      <c r="D842" t="inlineStr">
        <is>
          <t>UPPSALA LÄN</t>
        </is>
      </c>
      <c r="E842" t="inlineStr">
        <is>
          <t>UPPSALA</t>
        </is>
      </c>
      <c r="F842" t="inlineStr">
        <is>
          <t>Sveaskog</t>
        </is>
      </c>
      <c r="G842" t="n">
        <v>5.3</v>
      </c>
      <c r="H842" t="n">
        <v>0</v>
      </c>
      <c r="I842" t="n">
        <v>0</v>
      </c>
      <c r="J842" t="n">
        <v>0</v>
      </c>
      <c r="K842" t="n">
        <v>0</v>
      </c>
      <c r="L842" t="n">
        <v>0</v>
      </c>
      <c r="M842" t="n">
        <v>0</v>
      </c>
      <c r="N842" t="n">
        <v>0</v>
      </c>
      <c r="O842" t="n">
        <v>0</v>
      </c>
      <c r="P842" t="n">
        <v>0</v>
      </c>
      <c r="Q842" t="n">
        <v>0</v>
      </c>
      <c r="R842" s="2" t="inlineStr"/>
    </row>
    <row r="843" ht="15" customHeight="1">
      <c r="A843" t="inlineStr">
        <is>
          <t>A 55073-2022</t>
        </is>
      </c>
      <c r="B843" s="1" t="n">
        <v>44886</v>
      </c>
      <c r="C843" s="1" t="n">
        <v>45710</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v>
      </c>
      <c r="C844" s="1" t="n">
        <v>45710</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55401-2022</t>
        </is>
      </c>
      <c r="B845" s="1" t="n">
        <v>44887</v>
      </c>
      <c r="C845" s="1" t="n">
        <v>45710</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55862-2022</t>
        </is>
      </c>
      <c r="B846" s="1" t="n">
        <v>44888</v>
      </c>
      <c r="C846" s="1" t="n">
        <v>45710</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56679-2022</t>
        </is>
      </c>
      <c r="B847" s="1" t="n">
        <v>44893</v>
      </c>
      <c r="C847" s="1" t="n">
        <v>45710</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56889-2022</t>
        </is>
      </c>
      <c r="B848" s="1" t="n">
        <v>44894</v>
      </c>
      <c r="C848" s="1" t="n">
        <v>45710</v>
      </c>
      <c r="D848" t="inlineStr">
        <is>
          <t>UPPSALA LÄN</t>
        </is>
      </c>
      <c r="E848" t="inlineStr">
        <is>
          <t>UPPSALA</t>
        </is>
      </c>
      <c r="F848" t="inlineStr">
        <is>
          <t>Övriga Aktiebolag</t>
        </is>
      </c>
      <c r="G848" t="n">
        <v>21.6</v>
      </c>
      <c r="H848" t="n">
        <v>0</v>
      </c>
      <c r="I848" t="n">
        <v>0</v>
      </c>
      <c r="J848" t="n">
        <v>0</v>
      </c>
      <c r="K848" t="n">
        <v>0</v>
      </c>
      <c r="L848" t="n">
        <v>0</v>
      </c>
      <c r="M848" t="n">
        <v>0</v>
      </c>
      <c r="N848" t="n">
        <v>0</v>
      </c>
      <c r="O848" t="n">
        <v>0</v>
      </c>
      <c r="P848" t="n">
        <v>0</v>
      </c>
      <c r="Q848" t="n">
        <v>0</v>
      </c>
      <c r="R848" s="2" t="inlineStr"/>
    </row>
    <row r="849" ht="15" customHeight="1">
      <c r="A849" t="inlineStr">
        <is>
          <t>A 56795-2022</t>
        </is>
      </c>
      <c r="B849" s="1" t="n">
        <v>44894</v>
      </c>
      <c r="C849" s="1" t="n">
        <v>45710</v>
      </c>
      <c r="D849" t="inlineStr">
        <is>
          <t>UPPSALA LÄN</t>
        </is>
      </c>
      <c r="E849" t="inlineStr">
        <is>
          <t>UPPSALA</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56779-2022</t>
        </is>
      </c>
      <c r="B850" s="1" t="n">
        <v>44894</v>
      </c>
      <c r="C850" s="1" t="n">
        <v>45710</v>
      </c>
      <c r="D850" t="inlineStr">
        <is>
          <t>UPPSALA LÄN</t>
        </is>
      </c>
      <c r="E850" t="inlineStr">
        <is>
          <t>UPPSALA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57495-2022</t>
        </is>
      </c>
      <c r="B851" s="1" t="n">
        <v>44896</v>
      </c>
      <c r="C851" s="1" t="n">
        <v>45710</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57714-2022</t>
        </is>
      </c>
      <c r="B852" s="1" t="n">
        <v>44897</v>
      </c>
      <c r="C852" s="1" t="n">
        <v>45710</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57809-2022</t>
        </is>
      </c>
      <c r="B853" s="1" t="n">
        <v>44897</v>
      </c>
      <c r="C853" s="1" t="n">
        <v>45710</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58023-2022</t>
        </is>
      </c>
      <c r="B854" s="1" t="n">
        <v>44900</v>
      </c>
      <c r="C854" s="1" t="n">
        <v>45710</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58096-2022</t>
        </is>
      </c>
      <c r="B855" s="1" t="n">
        <v>44900</v>
      </c>
      <c r="C855" s="1" t="n">
        <v>45710</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58243-2022</t>
        </is>
      </c>
      <c r="B856" s="1" t="n">
        <v>44901</v>
      </c>
      <c r="C856" s="1" t="n">
        <v>45710</v>
      </c>
      <c r="D856" t="inlineStr">
        <is>
          <t>UPPSALA LÄN</t>
        </is>
      </c>
      <c r="E856" t="inlineStr">
        <is>
          <t>UPPSALA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59133-2022</t>
        </is>
      </c>
      <c r="B857" s="1" t="n">
        <v>44904</v>
      </c>
      <c r="C857" s="1" t="n">
        <v>45710</v>
      </c>
      <c r="D857" t="inlineStr">
        <is>
          <t>UPPSALA LÄN</t>
        </is>
      </c>
      <c r="E857" t="inlineStr">
        <is>
          <t>UPPSALA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59730-2022</t>
        </is>
      </c>
      <c r="B858" s="1" t="n">
        <v>44908</v>
      </c>
      <c r="C858" s="1" t="n">
        <v>45710</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59719-2022</t>
        </is>
      </c>
      <c r="B859" s="1" t="n">
        <v>44908</v>
      </c>
      <c r="C859" s="1" t="n">
        <v>45710</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59727-2022</t>
        </is>
      </c>
      <c r="B860" s="1" t="n">
        <v>44908</v>
      </c>
      <c r="C860" s="1" t="n">
        <v>45710</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60056-2022</t>
        </is>
      </c>
      <c r="B861" s="1" t="n">
        <v>44909</v>
      </c>
      <c r="C861" s="1" t="n">
        <v>45710</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v>
      </c>
      <c r="C862" s="1" t="n">
        <v>45710</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60702-2022</t>
        </is>
      </c>
      <c r="B863" s="1" t="n">
        <v>44912</v>
      </c>
      <c r="C863" s="1" t="n">
        <v>45710</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60701-2022</t>
        </is>
      </c>
      <c r="B864" s="1" t="n">
        <v>44912</v>
      </c>
      <c r="C864" s="1" t="n">
        <v>45710</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45710</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60986-2022</t>
        </is>
      </c>
      <c r="B866" s="1" t="n">
        <v>44914</v>
      </c>
      <c r="C866" s="1" t="n">
        <v>45710</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60988-2022</t>
        </is>
      </c>
      <c r="B867" s="1" t="n">
        <v>44914</v>
      </c>
      <c r="C867" s="1" t="n">
        <v>45710</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61526-2022</t>
        </is>
      </c>
      <c r="B868" s="1" t="n">
        <v>44916</v>
      </c>
      <c r="C868" s="1" t="n">
        <v>45710</v>
      </c>
      <c r="D868" t="inlineStr">
        <is>
          <t>UPPSALA LÄN</t>
        </is>
      </c>
      <c r="E868" t="inlineStr">
        <is>
          <t>UPPSALA</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61578-2022</t>
        </is>
      </c>
      <c r="B869" s="1" t="n">
        <v>44916</v>
      </c>
      <c r="C869" s="1" t="n">
        <v>45710</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62311-2022</t>
        </is>
      </c>
      <c r="B870" s="1" t="n">
        <v>44916</v>
      </c>
      <c r="C870" s="1" t="n">
        <v>45710</v>
      </c>
      <c r="D870" t="inlineStr">
        <is>
          <t>UPPSALA LÄN</t>
        </is>
      </c>
      <c r="E870" t="inlineStr">
        <is>
          <t>UPPSALA</t>
        </is>
      </c>
      <c r="G870" t="n">
        <v>7.6</v>
      </c>
      <c r="H870" t="n">
        <v>0</v>
      </c>
      <c r="I870" t="n">
        <v>0</v>
      </c>
      <c r="J870" t="n">
        <v>0</v>
      </c>
      <c r="K870" t="n">
        <v>0</v>
      </c>
      <c r="L870" t="n">
        <v>0</v>
      </c>
      <c r="M870" t="n">
        <v>0</v>
      </c>
      <c r="N870" t="n">
        <v>0</v>
      </c>
      <c r="O870" t="n">
        <v>0</v>
      </c>
      <c r="P870" t="n">
        <v>0</v>
      </c>
      <c r="Q870" t="n">
        <v>0</v>
      </c>
      <c r="R870" s="2" t="inlineStr"/>
    </row>
    <row r="871" ht="15" customHeight="1">
      <c r="A871" t="inlineStr">
        <is>
          <t>A 111-2023</t>
        </is>
      </c>
      <c r="B871" s="1" t="n">
        <v>44928</v>
      </c>
      <c r="C871" s="1" t="n">
        <v>45710</v>
      </c>
      <c r="D871" t="inlineStr">
        <is>
          <t>UPPSALA LÄN</t>
        </is>
      </c>
      <c r="E871" t="inlineStr">
        <is>
          <t>UPPSALA</t>
        </is>
      </c>
      <c r="F871" t="inlineStr">
        <is>
          <t>Kommuner</t>
        </is>
      </c>
      <c r="G871" t="n">
        <v>4.8</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45710</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367-2023</t>
        </is>
      </c>
      <c r="B873" s="1" t="n">
        <v>44929</v>
      </c>
      <c r="C873" s="1" t="n">
        <v>45710</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554-2023</t>
        </is>
      </c>
      <c r="B874" s="1" t="n">
        <v>44930</v>
      </c>
      <c r="C874" s="1" t="n">
        <v>45710</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686-2023</t>
        </is>
      </c>
      <c r="B875" s="1" t="n">
        <v>44930</v>
      </c>
      <c r="C875" s="1" t="n">
        <v>45710</v>
      </c>
      <c r="D875" t="inlineStr">
        <is>
          <t>UPPSALA LÄN</t>
        </is>
      </c>
      <c r="E875" t="inlineStr">
        <is>
          <t>UPPSALA</t>
        </is>
      </c>
      <c r="F875" t="inlineStr">
        <is>
          <t>Bergvik skog öst AB</t>
        </is>
      </c>
      <c r="G875" t="n">
        <v>4.6</v>
      </c>
      <c r="H875" t="n">
        <v>0</v>
      </c>
      <c r="I875" t="n">
        <v>0</v>
      </c>
      <c r="J875" t="n">
        <v>0</v>
      </c>
      <c r="K875" t="n">
        <v>0</v>
      </c>
      <c r="L875" t="n">
        <v>0</v>
      </c>
      <c r="M875" t="n">
        <v>0</v>
      </c>
      <c r="N875" t="n">
        <v>0</v>
      </c>
      <c r="O875" t="n">
        <v>0</v>
      </c>
      <c r="P875" t="n">
        <v>0</v>
      </c>
      <c r="Q875" t="n">
        <v>0</v>
      </c>
      <c r="R875" s="2" t="inlineStr"/>
    </row>
    <row r="876" ht="15" customHeight="1">
      <c r="A876" t="inlineStr">
        <is>
          <t>A 1032-2023</t>
        </is>
      </c>
      <c r="B876" s="1" t="n">
        <v>44935</v>
      </c>
      <c r="C876" s="1" t="n">
        <v>45710</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1357-2023</t>
        </is>
      </c>
      <c r="B877" s="1" t="n">
        <v>44936</v>
      </c>
      <c r="C877" s="1" t="n">
        <v>45710</v>
      </c>
      <c r="D877" t="inlineStr">
        <is>
          <t>UPPSALA LÄN</t>
        </is>
      </c>
      <c r="E877" t="inlineStr">
        <is>
          <t>UPPSALA</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2186-2023</t>
        </is>
      </c>
      <c r="B878" s="1" t="n">
        <v>44942</v>
      </c>
      <c r="C878" s="1" t="n">
        <v>45710</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2622-2023</t>
        </is>
      </c>
      <c r="B879" s="1" t="n">
        <v>44944</v>
      </c>
      <c r="C879" s="1" t="n">
        <v>45710</v>
      </c>
      <c r="D879" t="inlineStr">
        <is>
          <t>UPPSALA LÄN</t>
        </is>
      </c>
      <c r="E879" t="inlineStr">
        <is>
          <t>UPPSALA</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2624-2023</t>
        </is>
      </c>
      <c r="B880" s="1" t="n">
        <v>44944</v>
      </c>
      <c r="C880" s="1" t="n">
        <v>45710</v>
      </c>
      <c r="D880" t="inlineStr">
        <is>
          <t>UPPSALA LÄN</t>
        </is>
      </c>
      <c r="E880" t="inlineStr">
        <is>
          <t>UPPSALA</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5362-2023</t>
        </is>
      </c>
      <c r="B881" s="1" t="n">
        <v>44944</v>
      </c>
      <c r="C881" s="1" t="n">
        <v>45710</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3214-2023</t>
        </is>
      </c>
      <c r="B882" s="1" t="n">
        <v>44944</v>
      </c>
      <c r="C882" s="1" t="n">
        <v>45710</v>
      </c>
      <c r="D882" t="inlineStr">
        <is>
          <t>UPPSALA LÄN</t>
        </is>
      </c>
      <c r="E882" t="inlineStr">
        <is>
          <t>UPPSALA</t>
        </is>
      </c>
      <c r="G882" t="n">
        <v>4.1</v>
      </c>
      <c r="H882" t="n">
        <v>0</v>
      </c>
      <c r="I882" t="n">
        <v>0</v>
      </c>
      <c r="J882" t="n">
        <v>0</v>
      </c>
      <c r="K882" t="n">
        <v>0</v>
      </c>
      <c r="L882" t="n">
        <v>0</v>
      </c>
      <c r="M882" t="n">
        <v>0</v>
      </c>
      <c r="N882" t="n">
        <v>0</v>
      </c>
      <c r="O882" t="n">
        <v>0</v>
      </c>
      <c r="P882" t="n">
        <v>0</v>
      </c>
      <c r="Q882" t="n">
        <v>0</v>
      </c>
      <c r="R882" s="2" t="inlineStr"/>
    </row>
    <row r="883" ht="15" customHeight="1">
      <c r="A883" t="inlineStr">
        <is>
          <t>A 5374-2023</t>
        </is>
      </c>
      <c r="B883" s="1" t="n">
        <v>44944</v>
      </c>
      <c r="C883" s="1" t="n">
        <v>45710</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2942-2023</t>
        </is>
      </c>
      <c r="B884" s="1" t="n">
        <v>44945</v>
      </c>
      <c r="C884" s="1" t="n">
        <v>45710</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3040-2023</t>
        </is>
      </c>
      <c r="B885" s="1" t="n">
        <v>44946</v>
      </c>
      <c r="C885" s="1" t="n">
        <v>45710</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3089-2023</t>
        </is>
      </c>
      <c r="B886" s="1" t="n">
        <v>44946</v>
      </c>
      <c r="C886" s="1" t="n">
        <v>45710</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3086-2023</t>
        </is>
      </c>
      <c r="B887" s="1" t="n">
        <v>44946</v>
      </c>
      <c r="C887" s="1" t="n">
        <v>45710</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3092-2023</t>
        </is>
      </c>
      <c r="B888" s="1" t="n">
        <v>44946</v>
      </c>
      <c r="C888" s="1" t="n">
        <v>45710</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3343-2023</t>
        </is>
      </c>
      <c r="B889" s="1" t="n">
        <v>44949</v>
      </c>
      <c r="C889" s="1" t="n">
        <v>45710</v>
      </c>
      <c r="D889" t="inlineStr">
        <is>
          <t>UPPSALA LÄN</t>
        </is>
      </c>
      <c r="E889" t="inlineStr">
        <is>
          <t>UPPSALA</t>
        </is>
      </c>
      <c r="F889" t="inlineStr">
        <is>
          <t>Allmännings- och besparingsskogar</t>
        </is>
      </c>
      <c r="G889" t="n">
        <v>2.3</v>
      </c>
      <c r="H889" t="n">
        <v>0</v>
      </c>
      <c r="I889" t="n">
        <v>0</v>
      </c>
      <c r="J889" t="n">
        <v>0</v>
      </c>
      <c r="K889" t="n">
        <v>0</v>
      </c>
      <c r="L889" t="n">
        <v>0</v>
      </c>
      <c r="M889" t="n">
        <v>0</v>
      </c>
      <c r="N889" t="n">
        <v>0</v>
      </c>
      <c r="O889" t="n">
        <v>0</v>
      </c>
      <c r="P889" t="n">
        <v>0</v>
      </c>
      <c r="Q889" t="n">
        <v>0</v>
      </c>
      <c r="R889" s="2" t="inlineStr"/>
    </row>
    <row r="890" ht="15" customHeight="1">
      <c r="A890" t="inlineStr">
        <is>
          <t>A 3353-2023</t>
        </is>
      </c>
      <c r="B890" s="1" t="n">
        <v>44949</v>
      </c>
      <c r="C890" s="1" t="n">
        <v>45710</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3661-2023</t>
        </is>
      </c>
      <c r="B891" s="1" t="n">
        <v>44950</v>
      </c>
      <c r="C891" s="1" t="n">
        <v>45710</v>
      </c>
      <c r="D891" t="inlineStr">
        <is>
          <t>UPPSALA LÄN</t>
        </is>
      </c>
      <c r="E891" t="inlineStr">
        <is>
          <t>UPPSALA</t>
        </is>
      </c>
      <c r="F891" t="inlineStr">
        <is>
          <t>Allmännings- och besparingsskogar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3940-2023</t>
        </is>
      </c>
      <c r="B892" s="1" t="n">
        <v>44952</v>
      </c>
      <c r="C892" s="1" t="n">
        <v>45710</v>
      </c>
      <c r="D892" t="inlineStr">
        <is>
          <t>UPPSALA LÄN</t>
        </is>
      </c>
      <c r="E892" t="inlineStr">
        <is>
          <t>UPPSALA</t>
        </is>
      </c>
      <c r="F892" t="inlineStr">
        <is>
          <t>Bergvik skog öst AB</t>
        </is>
      </c>
      <c r="G892" t="n">
        <v>20.6</v>
      </c>
      <c r="H892" t="n">
        <v>0</v>
      </c>
      <c r="I892" t="n">
        <v>0</v>
      </c>
      <c r="J892" t="n">
        <v>0</v>
      </c>
      <c r="K892" t="n">
        <v>0</v>
      </c>
      <c r="L892" t="n">
        <v>0</v>
      </c>
      <c r="M892" t="n">
        <v>0</v>
      </c>
      <c r="N892" t="n">
        <v>0</v>
      </c>
      <c r="O892" t="n">
        <v>0</v>
      </c>
      <c r="P892" t="n">
        <v>0</v>
      </c>
      <c r="Q892" t="n">
        <v>0</v>
      </c>
      <c r="R892" s="2" t="inlineStr"/>
    </row>
    <row r="893" ht="15" customHeight="1">
      <c r="A893" t="inlineStr">
        <is>
          <t>A 3939-2023</t>
        </is>
      </c>
      <c r="B893" s="1" t="n">
        <v>44952</v>
      </c>
      <c r="C893" s="1" t="n">
        <v>45710</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5254-2023</t>
        </is>
      </c>
      <c r="B894" s="1" t="n">
        <v>44959</v>
      </c>
      <c r="C894" s="1" t="n">
        <v>45710</v>
      </c>
      <c r="D894" t="inlineStr">
        <is>
          <t>UPPSALA LÄN</t>
        </is>
      </c>
      <c r="E894" t="inlineStr">
        <is>
          <t>UPPSALA</t>
        </is>
      </c>
      <c r="G894" t="n">
        <v>2.6</v>
      </c>
      <c r="H894" t="n">
        <v>0</v>
      </c>
      <c r="I894" t="n">
        <v>0</v>
      </c>
      <c r="J894" t="n">
        <v>0</v>
      </c>
      <c r="K894" t="n">
        <v>0</v>
      </c>
      <c r="L894" t="n">
        <v>0</v>
      </c>
      <c r="M894" t="n">
        <v>0</v>
      </c>
      <c r="N894" t="n">
        <v>0</v>
      </c>
      <c r="O894" t="n">
        <v>0</v>
      </c>
      <c r="P894" t="n">
        <v>0</v>
      </c>
      <c r="Q894" t="n">
        <v>0</v>
      </c>
      <c r="R894" s="2" t="inlineStr"/>
    </row>
    <row r="895" ht="15" customHeight="1">
      <c r="A895" t="inlineStr">
        <is>
          <t>A 5258-2023</t>
        </is>
      </c>
      <c r="B895" s="1" t="n">
        <v>44959</v>
      </c>
      <c r="C895" s="1" t="n">
        <v>45710</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5247-2023</t>
        </is>
      </c>
      <c r="B896" s="1" t="n">
        <v>44959</v>
      </c>
      <c r="C896" s="1" t="n">
        <v>45710</v>
      </c>
      <c r="D896" t="inlineStr">
        <is>
          <t>UPPSALA LÄN</t>
        </is>
      </c>
      <c r="E896" t="inlineStr">
        <is>
          <t>UPPSALA</t>
        </is>
      </c>
      <c r="G896" t="n">
        <v>11.1</v>
      </c>
      <c r="H896" t="n">
        <v>0</v>
      </c>
      <c r="I896" t="n">
        <v>0</v>
      </c>
      <c r="J896" t="n">
        <v>0</v>
      </c>
      <c r="K896" t="n">
        <v>0</v>
      </c>
      <c r="L896" t="n">
        <v>0</v>
      </c>
      <c r="M896" t="n">
        <v>0</v>
      </c>
      <c r="N896" t="n">
        <v>0</v>
      </c>
      <c r="O896" t="n">
        <v>0</v>
      </c>
      <c r="P896" t="n">
        <v>0</v>
      </c>
      <c r="Q896" t="n">
        <v>0</v>
      </c>
      <c r="R896" s="2" t="inlineStr"/>
    </row>
    <row r="897" ht="15" customHeight="1">
      <c r="A897" t="inlineStr">
        <is>
          <t>A 5678-2023</t>
        </is>
      </c>
      <c r="B897" s="1" t="n">
        <v>44960</v>
      </c>
      <c r="C897" s="1" t="n">
        <v>45710</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5682-2023</t>
        </is>
      </c>
      <c r="B898" s="1" t="n">
        <v>44960</v>
      </c>
      <c r="C898" s="1" t="n">
        <v>45710</v>
      </c>
      <c r="D898" t="inlineStr">
        <is>
          <t>UPPSALA LÄN</t>
        </is>
      </c>
      <c r="E898" t="inlineStr">
        <is>
          <t>UPPSALA</t>
        </is>
      </c>
      <c r="F898" t="inlineStr">
        <is>
          <t>Allmännings- och besparingsskogar</t>
        </is>
      </c>
      <c r="G898" t="n">
        <v>14.2</v>
      </c>
      <c r="H898" t="n">
        <v>0</v>
      </c>
      <c r="I898" t="n">
        <v>0</v>
      </c>
      <c r="J898" t="n">
        <v>0</v>
      </c>
      <c r="K898" t="n">
        <v>0</v>
      </c>
      <c r="L898" t="n">
        <v>0</v>
      </c>
      <c r="M898" t="n">
        <v>0</v>
      </c>
      <c r="N898" t="n">
        <v>0</v>
      </c>
      <c r="O898" t="n">
        <v>0</v>
      </c>
      <c r="P898" t="n">
        <v>0</v>
      </c>
      <c r="Q898" t="n">
        <v>0</v>
      </c>
      <c r="R898" s="2" t="inlineStr"/>
    </row>
    <row r="899" ht="15" customHeight="1">
      <c r="A899" t="inlineStr">
        <is>
          <t>A 5663-2023</t>
        </is>
      </c>
      <c r="B899" s="1" t="n">
        <v>44960</v>
      </c>
      <c r="C899" s="1" t="n">
        <v>45710</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5669-2023</t>
        </is>
      </c>
      <c r="B900" s="1" t="n">
        <v>44960</v>
      </c>
      <c r="C900" s="1" t="n">
        <v>45710</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5675-2023</t>
        </is>
      </c>
      <c r="B901" s="1" t="n">
        <v>44960</v>
      </c>
      <c r="C901" s="1" t="n">
        <v>45710</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6213-2023</t>
        </is>
      </c>
      <c r="B902" s="1" t="n">
        <v>44964</v>
      </c>
      <c r="C902" s="1" t="n">
        <v>45710</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6155-2023</t>
        </is>
      </c>
      <c r="B903" s="1" t="n">
        <v>44964</v>
      </c>
      <c r="C903" s="1" t="n">
        <v>45710</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6215-2023</t>
        </is>
      </c>
      <c r="B904" s="1" t="n">
        <v>44964</v>
      </c>
      <c r="C904" s="1" t="n">
        <v>45710</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6422-2023</t>
        </is>
      </c>
      <c r="B905" s="1" t="n">
        <v>44965</v>
      </c>
      <c r="C905" s="1" t="n">
        <v>45710</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6423-2023</t>
        </is>
      </c>
      <c r="B906" s="1" t="n">
        <v>44965</v>
      </c>
      <c r="C906" s="1" t="n">
        <v>45710</v>
      </c>
      <c r="D906" t="inlineStr">
        <is>
          <t>UPPSALA LÄN</t>
        </is>
      </c>
      <c r="E906" t="inlineStr">
        <is>
          <t>UPPSALA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6602-2023</t>
        </is>
      </c>
      <c r="B907" s="1" t="n">
        <v>44966</v>
      </c>
      <c r="C907" s="1" t="n">
        <v>45710</v>
      </c>
      <c r="D907" t="inlineStr">
        <is>
          <t>UPPSALA LÄN</t>
        </is>
      </c>
      <c r="E907" t="inlineStr">
        <is>
          <t>UPPSALA</t>
        </is>
      </c>
      <c r="F907" t="inlineStr">
        <is>
          <t>Allmännings- och besparingsskogar</t>
        </is>
      </c>
      <c r="G907" t="n">
        <v>20.2</v>
      </c>
      <c r="H907" t="n">
        <v>0</v>
      </c>
      <c r="I907" t="n">
        <v>0</v>
      </c>
      <c r="J907" t="n">
        <v>0</v>
      </c>
      <c r="K907" t="n">
        <v>0</v>
      </c>
      <c r="L907" t="n">
        <v>0</v>
      </c>
      <c r="M907" t="n">
        <v>0</v>
      </c>
      <c r="N907" t="n">
        <v>0</v>
      </c>
      <c r="O907" t="n">
        <v>0</v>
      </c>
      <c r="P907" t="n">
        <v>0</v>
      </c>
      <c r="Q907" t="n">
        <v>0</v>
      </c>
      <c r="R907" s="2" t="inlineStr"/>
    </row>
    <row r="908" ht="15" customHeight="1">
      <c r="A908" t="inlineStr">
        <is>
          <t>A 6749-2023</t>
        </is>
      </c>
      <c r="B908" s="1" t="n">
        <v>44966</v>
      </c>
      <c r="C908" s="1" t="n">
        <v>45710</v>
      </c>
      <c r="D908" t="inlineStr">
        <is>
          <t>UPPSALA LÄN</t>
        </is>
      </c>
      <c r="E908" t="inlineStr">
        <is>
          <t>UPPSALA</t>
        </is>
      </c>
      <c r="F908" t="inlineStr">
        <is>
          <t>Allmännings- och besparingsskogar</t>
        </is>
      </c>
      <c r="G908" t="n">
        <v>13.5</v>
      </c>
      <c r="H908" t="n">
        <v>0</v>
      </c>
      <c r="I908" t="n">
        <v>0</v>
      </c>
      <c r="J908" t="n">
        <v>0</v>
      </c>
      <c r="K908" t="n">
        <v>0</v>
      </c>
      <c r="L908" t="n">
        <v>0</v>
      </c>
      <c r="M908" t="n">
        <v>0</v>
      </c>
      <c r="N908" t="n">
        <v>0</v>
      </c>
      <c r="O908" t="n">
        <v>0</v>
      </c>
      <c r="P908" t="n">
        <v>0</v>
      </c>
      <c r="Q908" t="n">
        <v>0</v>
      </c>
      <c r="R908" s="2" t="inlineStr"/>
    </row>
    <row r="909" ht="15" customHeight="1">
      <c r="A909" t="inlineStr">
        <is>
          <t>A 6930-2023</t>
        </is>
      </c>
      <c r="B909" s="1" t="n">
        <v>44967</v>
      </c>
      <c r="C909" s="1" t="n">
        <v>45710</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7000-2023</t>
        </is>
      </c>
      <c r="B910" s="1" t="n">
        <v>44967</v>
      </c>
      <c r="C910" s="1" t="n">
        <v>45710</v>
      </c>
      <c r="D910" t="inlineStr">
        <is>
          <t>UPPSALA LÄN</t>
        </is>
      </c>
      <c r="E910" t="inlineStr">
        <is>
          <t>UPPSALA</t>
        </is>
      </c>
      <c r="G910" t="n">
        <v>7.1</v>
      </c>
      <c r="H910" t="n">
        <v>0</v>
      </c>
      <c r="I910" t="n">
        <v>0</v>
      </c>
      <c r="J910" t="n">
        <v>0</v>
      </c>
      <c r="K910" t="n">
        <v>0</v>
      </c>
      <c r="L910" t="n">
        <v>0</v>
      </c>
      <c r="M910" t="n">
        <v>0</v>
      </c>
      <c r="N910" t="n">
        <v>0</v>
      </c>
      <c r="O910" t="n">
        <v>0</v>
      </c>
      <c r="P910" t="n">
        <v>0</v>
      </c>
      <c r="Q910" t="n">
        <v>0</v>
      </c>
      <c r="R910" s="2" t="inlineStr"/>
    </row>
    <row r="911" ht="15" customHeight="1">
      <c r="A911" t="inlineStr">
        <is>
          <t>A 6999-2023</t>
        </is>
      </c>
      <c r="B911" s="1" t="n">
        <v>44967</v>
      </c>
      <c r="C911" s="1" t="n">
        <v>45710</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v>
      </c>
      <c r="C912" s="1" t="n">
        <v>45710</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7001-2023</t>
        </is>
      </c>
      <c r="B913" s="1" t="n">
        <v>44967</v>
      </c>
      <c r="C913" s="1" t="n">
        <v>45710</v>
      </c>
      <c r="D913" t="inlineStr">
        <is>
          <t>UPPSALA LÄN</t>
        </is>
      </c>
      <c r="E913" t="inlineStr">
        <is>
          <t>UPPSALA</t>
        </is>
      </c>
      <c r="G913" t="n">
        <v>4.3</v>
      </c>
      <c r="H913" t="n">
        <v>0</v>
      </c>
      <c r="I913" t="n">
        <v>0</v>
      </c>
      <c r="J913" t="n">
        <v>0</v>
      </c>
      <c r="K913" t="n">
        <v>0</v>
      </c>
      <c r="L913" t="n">
        <v>0</v>
      </c>
      <c r="M913" t="n">
        <v>0</v>
      </c>
      <c r="N913" t="n">
        <v>0</v>
      </c>
      <c r="O913" t="n">
        <v>0</v>
      </c>
      <c r="P913" t="n">
        <v>0</v>
      </c>
      <c r="Q913" t="n">
        <v>0</v>
      </c>
      <c r="R913" s="2" t="inlineStr"/>
    </row>
    <row r="914" ht="15" customHeight="1">
      <c r="A914" t="inlineStr">
        <is>
          <t>A 7002-2023</t>
        </is>
      </c>
      <c r="B914" s="1" t="n">
        <v>44967</v>
      </c>
      <c r="C914" s="1" t="n">
        <v>45710</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7611-2023</t>
        </is>
      </c>
      <c r="B915" s="1" t="n">
        <v>44967</v>
      </c>
      <c r="C915" s="1" t="n">
        <v>45710</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7607-2023</t>
        </is>
      </c>
      <c r="B916" s="1" t="n">
        <v>44967</v>
      </c>
      <c r="C916" s="1" t="n">
        <v>45710</v>
      </c>
      <c r="D916" t="inlineStr">
        <is>
          <t>UPPSALA LÄN</t>
        </is>
      </c>
      <c r="E916" t="inlineStr">
        <is>
          <t>UPPSALA</t>
        </is>
      </c>
      <c r="G916" t="n">
        <v>11.1</v>
      </c>
      <c r="H916" t="n">
        <v>0</v>
      </c>
      <c r="I916" t="n">
        <v>0</v>
      </c>
      <c r="J916" t="n">
        <v>0</v>
      </c>
      <c r="K916" t="n">
        <v>0</v>
      </c>
      <c r="L916" t="n">
        <v>0</v>
      </c>
      <c r="M916" t="n">
        <v>0</v>
      </c>
      <c r="N916" t="n">
        <v>0</v>
      </c>
      <c r="O916" t="n">
        <v>0</v>
      </c>
      <c r="P916" t="n">
        <v>0</v>
      </c>
      <c r="Q916" t="n">
        <v>0</v>
      </c>
      <c r="R916" s="2" t="inlineStr"/>
    </row>
    <row r="917" ht="15" customHeight="1">
      <c r="A917" t="inlineStr">
        <is>
          <t>A 7058-2023</t>
        </is>
      </c>
      <c r="B917" s="1" t="n">
        <v>44969</v>
      </c>
      <c r="C917" s="1" t="n">
        <v>45710</v>
      </c>
      <c r="D917" t="inlineStr">
        <is>
          <t>UPPSALA LÄN</t>
        </is>
      </c>
      <c r="E917" t="inlineStr">
        <is>
          <t>UPPSALA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7084-2023</t>
        </is>
      </c>
      <c r="B918" s="1" t="n">
        <v>44970</v>
      </c>
      <c r="C918" s="1" t="n">
        <v>45710</v>
      </c>
      <c r="D918" t="inlineStr">
        <is>
          <t>UPPSALA LÄN</t>
        </is>
      </c>
      <c r="E918" t="inlineStr">
        <is>
          <t>UPPSALA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8384-2023</t>
        </is>
      </c>
      <c r="B919" s="1" t="n">
        <v>44971</v>
      </c>
      <c r="C919" s="1" t="n">
        <v>45710</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8286-2023</t>
        </is>
      </c>
      <c r="B920" s="1" t="n">
        <v>44971</v>
      </c>
      <c r="C920" s="1" t="n">
        <v>45710</v>
      </c>
      <c r="D920" t="inlineStr">
        <is>
          <t>UPPSALA LÄN</t>
        </is>
      </c>
      <c r="E920" t="inlineStr">
        <is>
          <t>UPPSALA</t>
        </is>
      </c>
      <c r="G920" t="n">
        <v>9</v>
      </c>
      <c r="H920" t="n">
        <v>0</v>
      </c>
      <c r="I920" t="n">
        <v>0</v>
      </c>
      <c r="J920" t="n">
        <v>0</v>
      </c>
      <c r="K920" t="n">
        <v>0</v>
      </c>
      <c r="L920" t="n">
        <v>0</v>
      </c>
      <c r="M920" t="n">
        <v>0</v>
      </c>
      <c r="N920" t="n">
        <v>0</v>
      </c>
      <c r="O920" t="n">
        <v>0</v>
      </c>
      <c r="P920" t="n">
        <v>0</v>
      </c>
      <c r="Q920" t="n">
        <v>0</v>
      </c>
      <c r="R920" s="2" t="inlineStr"/>
    </row>
    <row r="921" ht="15" customHeight="1">
      <c r="A921" t="inlineStr">
        <is>
          <t>A 7577-2023</t>
        </is>
      </c>
      <c r="B921" s="1" t="n">
        <v>44972</v>
      </c>
      <c r="C921" s="1" t="n">
        <v>45710</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7663-2023</t>
        </is>
      </c>
      <c r="B922" s="1" t="n">
        <v>44972</v>
      </c>
      <c r="C922" s="1" t="n">
        <v>45710</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7894-2023</t>
        </is>
      </c>
      <c r="B923" s="1" t="n">
        <v>44973</v>
      </c>
      <c r="C923" s="1" t="n">
        <v>45710</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8162-2023</t>
        </is>
      </c>
      <c r="B924" s="1" t="n">
        <v>44974</v>
      </c>
      <c r="C924" s="1" t="n">
        <v>45710</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8473-2023</t>
        </is>
      </c>
      <c r="B925" s="1" t="n">
        <v>44977</v>
      </c>
      <c r="C925" s="1" t="n">
        <v>45710</v>
      </c>
      <c r="D925" t="inlineStr">
        <is>
          <t>UPPSALA LÄN</t>
        </is>
      </c>
      <c r="E925" t="inlineStr">
        <is>
          <t>UPPSALA</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45710</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9398-2023</t>
        </is>
      </c>
      <c r="B927" s="1" t="n">
        <v>44977</v>
      </c>
      <c r="C927" s="1" t="n">
        <v>45710</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9295-2023</t>
        </is>
      </c>
      <c r="B928" s="1" t="n">
        <v>44980</v>
      </c>
      <c r="C928" s="1" t="n">
        <v>45710</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9261-2023</t>
        </is>
      </c>
      <c r="B929" s="1" t="n">
        <v>44980</v>
      </c>
      <c r="C929" s="1" t="n">
        <v>45710</v>
      </c>
      <c r="D929" t="inlineStr">
        <is>
          <t>UPPSALA LÄN</t>
        </is>
      </c>
      <c r="E929" t="inlineStr">
        <is>
          <t>UPPSALA</t>
        </is>
      </c>
      <c r="G929" t="n">
        <v>5.3</v>
      </c>
      <c r="H929" t="n">
        <v>0</v>
      </c>
      <c r="I929" t="n">
        <v>0</v>
      </c>
      <c r="J929" t="n">
        <v>0</v>
      </c>
      <c r="K929" t="n">
        <v>0</v>
      </c>
      <c r="L929" t="n">
        <v>0</v>
      </c>
      <c r="M929" t="n">
        <v>0</v>
      </c>
      <c r="N929" t="n">
        <v>0</v>
      </c>
      <c r="O929" t="n">
        <v>0</v>
      </c>
      <c r="P929" t="n">
        <v>0</v>
      </c>
      <c r="Q929" t="n">
        <v>0</v>
      </c>
      <c r="R929" s="2" t="inlineStr"/>
    </row>
    <row r="930" ht="15" customHeight="1">
      <c r="A930" t="inlineStr">
        <is>
          <t>A 9291-2023</t>
        </is>
      </c>
      <c r="B930" s="1" t="n">
        <v>44980</v>
      </c>
      <c r="C930" s="1" t="n">
        <v>45710</v>
      </c>
      <c r="D930" t="inlineStr">
        <is>
          <t>UPPSALA LÄN</t>
        </is>
      </c>
      <c r="E930" t="inlineStr">
        <is>
          <t>UPPSALA</t>
        </is>
      </c>
      <c r="G930" t="n">
        <v>12.9</v>
      </c>
      <c r="H930" t="n">
        <v>0</v>
      </c>
      <c r="I930" t="n">
        <v>0</v>
      </c>
      <c r="J930" t="n">
        <v>0</v>
      </c>
      <c r="K930" t="n">
        <v>0</v>
      </c>
      <c r="L930" t="n">
        <v>0</v>
      </c>
      <c r="M930" t="n">
        <v>0</v>
      </c>
      <c r="N930" t="n">
        <v>0</v>
      </c>
      <c r="O930" t="n">
        <v>0</v>
      </c>
      <c r="P930" t="n">
        <v>0</v>
      </c>
      <c r="Q930" t="n">
        <v>0</v>
      </c>
      <c r="R930" s="2" t="inlineStr"/>
    </row>
    <row r="931" ht="15" customHeight="1">
      <c r="A931" t="inlineStr">
        <is>
          <t>A 9313-2023</t>
        </is>
      </c>
      <c r="B931" s="1" t="n">
        <v>44980</v>
      </c>
      <c r="C931" s="1" t="n">
        <v>45710</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9817-2023</t>
        </is>
      </c>
      <c r="B932" s="1" t="n">
        <v>44984</v>
      </c>
      <c r="C932" s="1" t="n">
        <v>45710</v>
      </c>
      <c r="D932" t="inlineStr">
        <is>
          <t>UPPSALA LÄN</t>
        </is>
      </c>
      <c r="E932" t="inlineStr">
        <is>
          <t>UPPSALA</t>
        </is>
      </c>
      <c r="F932" t="inlineStr">
        <is>
          <t>Kyrkan</t>
        </is>
      </c>
      <c r="G932" t="n">
        <v>5.3</v>
      </c>
      <c r="H932" t="n">
        <v>0</v>
      </c>
      <c r="I932" t="n">
        <v>0</v>
      </c>
      <c r="J932" t="n">
        <v>0</v>
      </c>
      <c r="K932" t="n">
        <v>0</v>
      </c>
      <c r="L932" t="n">
        <v>0</v>
      </c>
      <c r="M932" t="n">
        <v>0</v>
      </c>
      <c r="N932" t="n">
        <v>0</v>
      </c>
      <c r="O932" t="n">
        <v>0</v>
      </c>
      <c r="P932" t="n">
        <v>0</v>
      </c>
      <c r="Q932" t="n">
        <v>0</v>
      </c>
      <c r="R932" s="2" t="inlineStr"/>
    </row>
    <row r="933" ht="15" customHeight="1">
      <c r="A933" t="inlineStr">
        <is>
          <t>A 9814-2023</t>
        </is>
      </c>
      <c r="B933" s="1" t="n">
        <v>44984</v>
      </c>
      <c r="C933" s="1" t="n">
        <v>45710</v>
      </c>
      <c r="D933" t="inlineStr">
        <is>
          <t>UPPSALA LÄN</t>
        </is>
      </c>
      <c r="E933" t="inlineStr">
        <is>
          <t>UPPSALA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9811-2023</t>
        </is>
      </c>
      <c r="B934" s="1" t="n">
        <v>44984</v>
      </c>
      <c r="C934" s="1" t="n">
        <v>45710</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v>
      </c>
      <c r="C935" s="1" t="n">
        <v>45710</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10005-2023</t>
        </is>
      </c>
      <c r="B936" s="1" t="n">
        <v>44985</v>
      </c>
      <c r="C936" s="1" t="n">
        <v>45710</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10669-2023</t>
        </is>
      </c>
      <c r="B937" s="1" t="n">
        <v>44988</v>
      </c>
      <c r="C937" s="1" t="n">
        <v>45710</v>
      </c>
      <c r="D937" t="inlineStr">
        <is>
          <t>UPPSALA LÄN</t>
        </is>
      </c>
      <c r="E937" t="inlineStr">
        <is>
          <t>UPPSALA</t>
        </is>
      </c>
      <c r="G937" t="n">
        <v>4.9</v>
      </c>
      <c r="H937" t="n">
        <v>0</v>
      </c>
      <c r="I937" t="n">
        <v>0</v>
      </c>
      <c r="J937" t="n">
        <v>0</v>
      </c>
      <c r="K937" t="n">
        <v>0</v>
      </c>
      <c r="L937" t="n">
        <v>0</v>
      </c>
      <c r="M937" t="n">
        <v>0</v>
      </c>
      <c r="N937" t="n">
        <v>0</v>
      </c>
      <c r="O937" t="n">
        <v>0</v>
      </c>
      <c r="P937" t="n">
        <v>0</v>
      </c>
      <c r="Q937" t="n">
        <v>0</v>
      </c>
      <c r="R937" s="2" t="inlineStr"/>
    </row>
    <row r="938" ht="15" customHeight="1">
      <c r="A938" t="inlineStr">
        <is>
          <t>A 11484-2023</t>
        </is>
      </c>
      <c r="B938" s="1" t="n">
        <v>44991</v>
      </c>
      <c r="C938" s="1" t="n">
        <v>45710</v>
      </c>
      <c r="D938" t="inlineStr">
        <is>
          <t>UPPSALA LÄN</t>
        </is>
      </c>
      <c r="E938" t="inlineStr">
        <is>
          <t>UPPSALA</t>
        </is>
      </c>
      <c r="G938" t="n">
        <v>10.3</v>
      </c>
      <c r="H938" t="n">
        <v>0</v>
      </c>
      <c r="I938" t="n">
        <v>0</v>
      </c>
      <c r="J938" t="n">
        <v>0</v>
      </c>
      <c r="K938" t="n">
        <v>0</v>
      </c>
      <c r="L938" t="n">
        <v>0</v>
      </c>
      <c r="M938" t="n">
        <v>0</v>
      </c>
      <c r="N938" t="n">
        <v>0</v>
      </c>
      <c r="O938" t="n">
        <v>0</v>
      </c>
      <c r="P938" t="n">
        <v>0</v>
      </c>
      <c r="Q938" t="n">
        <v>0</v>
      </c>
      <c r="R938" s="2" t="inlineStr"/>
    </row>
    <row r="939" ht="15" customHeight="1">
      <c r="A939" t="inlineStr">
        <is>
          <t>A 11739-2023</t>
        </is>
      </c>
      <c r="B939" s="1" t="n">
        <v>44993</v>
      </c>
      <c r="C939" s="1" t="n">
        <v>45710</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11744-2023</t>
        </is>
      </c>
      <c r="B940" s="1" t="n">
        <v>44993</v>
      </c>
      <c r="C940" s="1" t="n">
        <v>45710</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11568-2023</t>
        </is>
      </c>
      <c r="B941" s="1" t="n">
        <v>44994</v>
      </c>
      <c r="C941" s="1" t="n">
        <v>45710</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12158-2023</t>
        </is>
      </c>
      <c r="B942" s="1" t="n">
        <v>44998</v>
      </c>
      <c r="C942" s="1" t="n">
        <v>45710</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12604-2023</t>
        </is>
      </c>
      <c r="B943" s="1" t="n">
        <v>45000</v>
      </c>
      <c r="C943" s="1" t="n">
        <v>45710</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12603-2023</t>
        </is>
      </c>
      <c r="B944" s="1" t="n">
        <v>45000</v>
      </c>
      <c r="C944" s="1" t="n">
        <v>45710</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12602-2023</t>
        </is>
      </c>
      <c r="B945" s="1" t="n">
        <v>45000</v>
      </c>
      <c r="C945" s="1" t="n">
        <v>45710</v>
      </c>
      <c r="D945" t="inlineStr">
        <is>
          <t>UPPSALA LÄN</t>
        </is>
      </c>
      <c r="E945" t="inlineStr">
        <is>
          <t>UPPSALA</t>
        </is>
      </c>
      <c r="G945" t="n">
        <v>2.5</v>
      </c>
      <c r="H945" t="n">
        <v>0</v>
      </c>
      <c r="I945" t="n">
        <v>0</v>
      </c>
      <c r="J945" t="n">
        <v>0</v>
      </c>
      <c r="K945" t="n">
        <v>0</v>
      </c>
      <c r="L945" t="n">
        <v>0</v>
      </c>
      <c r="M945" t="n">
        <v>0</v>
      </c>
      <c r="N945" t="n">
        <v>0</v>
      </c>
      <c r="O945" t="n">
        <v>0</v>
      </c>
      <c r="P945" t="n">
        <v>0</v>
      </c>
      <c r="Q945" t="n">
        <v>0</v>
      </c>
      <c r="R945" s="2" t="inlineStr"/>
    </row>
    <row r="946" ht="15" customHeight="1">
      <c r="A946" t="inlineStr">
        <is>
          <t>A 12703-2023</t>
        </is>
      </c>
      <c r="B946" s="1" t="n">
        <v>45000</v>
      </c>
      <c r="C946" s="1" t="n">
        <v>45710</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12606-2023</t>
        </is>
      </c>
      <c r="B947" s="1" t="n">
        <v>45000</v>
      </c>
      <c r="C947" s="1" t="n">
        <v>45710</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13526-2023</t>
        </is>
      </c>
      <c r="B948" s="1" t="n">
        <v>45006</v>
      </c>
      <c r="C948" s="1" t="n">
        <v>45710</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14253-2023</t>
        </is>
      </c>
      <c r="B949" s="1" t="n">
        <v>45009</v>
      </c>
      <c r="C949" s="1" t="n">
        <v>45710</v>
      </c>
      <c r="D949" t="inlineStr">
        <is>
          <t>UPPSALA LÄN</t>
        </is>
      </c>
      <c r="E949" t="inlineStr">
        <is>
          <t>UPPSALA</t>
        </is>
      </c>
      <c r="F949" t="inlineStr">
        <is>
          <t>Allmännings- och besparingsskogar</t>
        </is>
      </c>
      <c r="G949" t="n">
        <v>14</v>
      </c>
      <c r="H949" t="n">
        <v>0</v>
      </c>
      <c r="I949" t="n">
        <v>0</v>
      </c>
      <c r="J949" t="n">
        <v>0</v>
      </c>
      <c r="K949" t="n">
        <v>0</v>
      </c>
      <c r="L949" t="n">
        <v>0</v>
      </c>
      <c r="M949" t="n">
        <v>0</v>
      </c>
      <c r="N949" t="n">
        <v>0</v>
      </c>
      <c r="O949" t="n">
        <v>0</v>
      </c>
      <c r="P949" t="n">
        <v>0</v>
      </c>
      <c r="Q949" t="n">
        <v>0</v>
      </c>
      <c r="R949" s="2" t="inlineStr"/>
    </row>
    <row r="950" ht="15" customHeight="1">
      <c r="A950" t="inlineStr">
        <is>
          <t>A 14784-2023</t>
        </is>
      </c>
      <c r="B950" s="1" t="n">
        <v>45014</v>
      </c>
      <c r="C950" s="1" t="n">
        <v>45710</v>
      </c>
      <c r="D950" t="inlineStr">
        <is>
          <t>UPPSALA LÄN</t>
        </is>
      </c>
      <c r="E950" t="inlineStr">
        <is>
          <t>UPPSALA</t>
        </is>
      </c>
      <c r="G950" t="n">
        <v>4.7</v>
      </c>
      <c r="H950" t="n">
        <v>0</v>
      </c>
      <c r="I950" t="n">
        <v>0</v>
      </c>
      <c r="J950" t="n">
        <v>0</v>
      </c>
      <c r="K950" t="n">
        <v>0</v>
      </c>
      <c r="L950" t="n">
        <v>0</v>
      </c>
      <c r="M950" t="n">
        <v>0</v>
      </c>
      <c r="N950" t="n">
        <v>0</v>
      </c>
      <c r="O950" t="n">
        <v>0</v>
      </c>
      <c r="P950" t="n">
        <v>0</v>
      </c>
      <c r="Q950" t="n">
        <v>0</v>
      </c>
      <c r="R950" s="2" t="inlineStr"/>
    </row>
    <row r="951" ht="15" customHeight="1">
      <c r="A951" t="inlineStr">
        <is>
          <t>A 14988-2023</t>
        </is>
      </c>
      <c r="B951" s="1" t="n">
        <v>45015</v>
      </c>
      <c r="C951" s="1" t="n">
        <v>45710</v>
      </c>
      <c r="D951" t="inlineStr">
        <is>
          <t>UPPSALA LÄN</t>
        </is>
      </c>
      <c r="E951" t="inlineStr">
        <is>
          <t>UPPSALA</t>
        </is>
      </c>
      <c r="G951" t="n">
        <v>4.2</v>
      </c>
      <c r="H951" t="n">
        <v>0</v>
      </c>
      <c r="I951" t="n">
        <v>0</v>
      </c>
      <c r="J951" t="n">
        <v>0</v>
      </c>
      <c r="K951" t="n">
        <v>0</v>
      </c>
      <c r="L951" t="n">
        <v>0</v>
      </c>
      <c r="M951" t="n">
        <v>0</v>
      </c>
      <c r="N951" t="n">
        <v>0</v>
      </c>
      <c r="O951" t="n">
        <v>0</v>
      </c>
      <c r="P951" t="n">
        <v>0</v>
      </c>
      <c r="Q951" t="n">
        <v>0</v>
      </c>
      <c r="R951" s="2" t="inlineStr"/>
    </row>
    <row r="952" ht="15" customHeight="1">
      <c r="A952" t="inlineStr">
        <is>
          <t>A 15547-2023</t>
        </is>
      </c>
      <c r="B952" s="1" t="n">
        <v>45020</v>
      </c>
      <c r="C952" s="1" t="n">
        <v>45710</v>
      </c>
      <c r="D952" t="inlineStr">
        <is>
          <t>UPPSALA LÄN</t>
        </is>
      </c>
      <c r="E952" t="inlineStr">
        <is>
          <t>UPPSALA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15551-2023</t>
        </is>
      </c>
      <c r="B953" s="1" t="n">
        <v>45020</v>
      </c>
      <c r="C953" s="1" t="n">
        <v>45710</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15629-2023</t>
        </is>
      </c>
      <c r="B954" s="1" t="n">
        <v>45021</v>
      </c>
      <c r="C954" s="1" t="n">
        <v>45710</v>
      </c>
      <c r="D954" t="inlineStr">
        <is>
          <t>UPPSALA LÄN</t>
        </is>
      </c>
      <c r="E954" t="inlineStr">
        <is>
          <t>UPPSALA</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16346-2023</t>
        </is>
      </c>
      <c r="B955" s="1" t="n">
        <v>45028</v>
      </c>
      <c r="C955" s="1" t="n">
        <v>45710</v>
      </c>
      <c r="D955" t="inlineStr">
        <is>
          <t>UPPSALA LÄN</t>
        </is>
      </c>
      <c r="E955" t="inlineStr">
        <is>
          <t>UPPSALA</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16811-2023</t>
        </is>
      </c>
      <c r="B956" s="1" t="n">
        <v>45033</v>
      </c>
      <c r="C956" s="1" t="n">
        <v>45710</v>
      </c>
      <c r="D956" t="inlineStr">
        <is>
          <t>UPPSALA LÄN</t>
        </is>
      </c>
      <c r="E956" t="inlineStr">
        <is>
          <t>UPPSALA</t>
        </is>
      </c>
      <c r="G956" t="n">
        <v>10.1</v>
      </c>
      <c r="H956" t="n">
        <v>0</v>
      </c>
      <c r="I956" t="n">
        <v>0</v>
      </c>
      <c r="J956" t="n">
        <v>0</v>
      </c>
      <c r="K956" t="n">
        <v>0</v>
      </c>
      <c r="L956" t="n">
        <v>0</v>
      </c>
      <c r="M956" t="n">
        <v>0</v>
      </c>
      <c r="N956" t="n">
        <v>0</v>
      </c>
      <c r="O956" t="n">
        <v>0</v>
      </c>
      <c r="P956" t="n">
        <v>0</v>
      </c>
      <c r="Q956" t="n">
        <v>0</v>
      </c>
      <c r="R956" s="2" t="inlineStr"/>
    </row>
    <row r="957" ht="15" customHeight="1">
      <c r="A957" t="inlineStr">
        <is>
          <t>A 17229-2023</t>
        </is>
      </c>
      <c r="B957" s="1" t="n">
        <v>45035</v>
      </c>
      <c r="C957" s="1" t="n">
        <v>45710</v>
      </c>
      <c r="D957" t="inlineStr">
        <is>
          <t>UPPSALA LÄN</t>
        </is>
      </c>
      <c r="E957" t="inlineStr">
        <is>
          <t>UPPSALA</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17280-2023</t>
        </is>
      </c>
      <c r="B958" s="1" t="n">
        <v>45035</v>
      </c>
      <c r="C958" s="1" t="n">
        <v>45710</v>
      </c>
      <c r="D958" t="inlineStr">
        <is>
          <t>UPPSALA LÄN</t>
        </is>
      </c>
      <c r="E958" t="inlineStr">
        <is>
          <t>UPPSALA</t>
        </is>
      </c>
      <c r="G958" t="n">
        <v>5.6</v>
      </c>
      <c r="H958" t="n">
        <v>0</v>
      </c>
      <c r="I958" t="n">
        <v>0</v>
      </c>
      <c r="J958" t="n">
        <v>0</v>
      </c>
      <c r="K958" t="n">
        <v>0</v>
      </c>
      <c r="L958" t="n">
        <v>0</v>
      </c>
      <c r="M958" t="n">
        <v>0</v>
      </c>
      <c r="N958" t="n">
        <v>0</v>
      </c>
      <c r="O958" t="n">
        <v>0</v>
      </c>
      <c r="P958" t="n">
        <v>0</v>
      </c>
      <c r="Q958" t="n">
        <v>0</v>
      </c>
      <c r="R958" s="2" t="inlineStr"/>
    </row>
    <row r="959" ht="15" customHeight="1">
      <c r="A959" t="inlineStr">
        <is>
          <t>A 17481-2023</t>
        </is>
      </c>
      <c r="B959" s="1" t="n">
        <v>45036</v>
      </c>
      <c r="C959" s="1" t="n">
        <v>45710</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17788-2023</t>
        </is>
      </c>
      <c r="B960" s="1" t="n">
        <v>45037</v>
      </c>
      <c r="C960" s="1" t="n">
        <v>45710</v>
      </c>
      <c r="D960" t="inlineStr">
        <is>
          <t>UPPSALA LÄN</t>
        </is>
      </c>
      <c r="E960" t="inlineStr">
        <is>
          <t>UPPSALA</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17938-2023</t>
        </is>
      </c>
      <c r="B961" s="1" t="n">
        <v>45040</v>
      </c>
      <c r="C961" s="1" t="n">
        <v>45710</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18277-2023</t>
        </is>
      </c>
      <c r="B962" s="1" t="n">
        <v>45041</v>
      </c>
      <c r="C962" s="1" t="n">
        <v>45710</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18275-2023</t>
        </is>
      </c>
      <c r="B963" s="1" t="n">
        <v>45041</v>
      </c>
      <c r="C963" s="1" t="n">
        <v>45710</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18278-2023</t>
        </is>
      </c>
      <c r="B964" s="1" t="n">
        <v>45041</v>
      </c>
      <c r="C964" s="1" t="n">
        <v>45710</v>
      </c>
      <c r="D964" t="inlineStr">
        <is>
          <t>UPPSALA LÄN</t>
        </is>
      </c>
      <c r="E964" t="inlineStr">
        <is>
          <t>UPPSALA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18276-2023</t>
        </is>
      </c>
      <c r="B965" s="1" t="n">
        <v>45041</v>
      </c>
      <c r="C965" s="1" t="n">
        <v>45710</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18443-2023</t>
        </is>
      </c>
      <c r="B966" s="1" t="n">
        <v>45042</v>
      </c>
      <c r="C966" s="1" t="n">
        <v>45710</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18496-2023</t>
        </is>
      </c>
      <c r="B967" s="1" t="n">
        <v>45042</v>
      </c>
      <c r="C967" s="1" t="n">
        <v>45710</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18507-2023</t>
        </is>
      </c>
      <c r="B968" s="1" t="n">
        <v>45042</v>
      </c>
      <c r="C968" s="1" t="n">
        <v>45710</v>
      </c>
      <c r="D968" t="inlineStr">
        <is>
          <t>UPPSALA LÄN</t>
        </is>
      </c>
      <c r="E968" t="inlineStr">
        <is>
          <t>UPPSALA</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18472-2023</t>
        </is>
      </c>
      <c r="B969" s="1" t="n">
        <v>45042</v>
      </c>
      <c r="C969" s="1" t="n">
        <v>45710</v>
      </c>
      <c r="D969" t="inlineStr">
        <is>
          <t>UPPSALA LÄN</t>
        </is>
      </c>
      <c r="E969" t="inlineStr">
        <is>
          <t>UPPSALA</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18710-2023</t>
        </is>
      </c>
      <c r="B970" s="1" t="n">
        <v>45043</v>
      </c>
      <c r="C970" s="1" t="n">
        <v>45710</v>
      </c>
      <c r="D970" t="inlineStr">
        <is>
          <t>UPPSALA LÄN</t>
        </is>
      </c>
      <c r="E970" t="inlineStr">
        <is>
          <t>UPPSALA</t>
        </is>
      </c>
      <c r="G970" t="n">
        <v>3.3</v>
      </c>
      <c r="H970" t="n">
        <v>0</v>
      </c>
      <c r="I970" t="n">
        <v>0</v>
      </c>
      <c r="J970" t="n">
        <v>0</v>
      </c>
      <c r="K970" t="n">
        <v>0</v>
      </c>
      <c r="L970" t="n">
        <v>0</v>
      </c>
      <c r="M970" t="n">
        <v>0</v>
      </c>
      <c r="N970" t="n">
        <v>0</v>
      </c>
      <c r="O970" t="n">
        <v>0</v>
      </c>
      <c r="P970" t="n">
        <v>0</v>
      </c>
      <c r="Q970" t="n">
        <v>0</v>
      </c>
      <c r="R970" s="2" t="inlineStr"/>
    </row>
    <row r="971" ht="15" customHeight="1">
      <c r="A971" t="inlineStr">
        <is>
          <t>A 19017-2023</t>
        </is>
      </c>
      <c r="B971" s="1" t="n">
        <v>45047</v>
      </c>
      <c r="C971" s="1" t="n">
        <v>45710</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19135-2023</t>
        </is>
      </c>
      <c r="B972" s="1" t="n">
        <v>45048</v>
      </c>
      <c r="C972" s="1" t="n">
        <v>45710</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19139-2023</t>
        </is>
      </c>
      <c r="B973" s="1" t="n">
        <v>45048</v>
      </c>
      <c r="C973" s="1" t="n">
        <v>45710</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19279-2023</t>
        </is>
      </c>
      <c r="B974" s="1" t="n">
        <v>45049</v>
      </c>
      <c r="C974" s="1" t="n">
        <v>45710</v>
      </c>
      <c r="D974" t="inlineStr">
        <is>
          <t>UPPSALA LÄN</t>
        </is>
      </c>
      <c r="E974" t="inlineStr">
        <is>
          <t>UPPSALA</t>
        </is>
      </c>
      <c r="G974" t="n">
        <v>5.8</v>
      </c>
      <c r="H974" t="n">
        <v>0</v>
      </c>
      <c r="I974" t="n">
        <v>0</v>
      </c>
      <c r="J974" t="n">
        <v>0</v>
      </c>
      <c r="K974" t="n">
        <v>0</v>
      </c>
      <c r="L974" t="n">
        <v>0</v>
      </c>
      <c r="M974" t="n">
        <v>0</v>
      </c>
      <c r="N974" t="n">
        <v>0</v>
      </c>
      <c r="O974" t="n">
        <v>0</v>
      </c>
      <c r="P974" t="n">
        <v>0</v>
      </c>
      <c r="Q974" t="n">
        <v>0</v>
      </c>
      <c r="R974" s="2" t="inlineStr"/>
    </row>
    <row r="975" ht="15" customHeight="1">
      <c r="A975" t="inlineStr">
        <is>
          <t>A 19269-2023</t>
        </is>
      </c>
      <c r="B975" s="1" t="n">
        <v>45049</v>
      </c>
      <c r="C975" s="1" t="n">
        <v>45710</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19314-2023</t>
        </is>
      </c>
      <c r="B976" s="1" t="n">
        <v>45049</v>
      </c>
      <c r="C976" s="1" t="n">
        <v>45710</v>
      </c>
      <c r="D976" t="inlineStr">
        <is>
          <t>UPPSALA LÄN</t>
        </is>
      </c>
      <c r="E976" t="inlineStr">
        <is>
          <t>UPPSALA</t>
        </is>
      </c>
      <c r="G976" t="n">
        <v>9</v>
      </c>
      <c r="H976" t="n">
        <v>0</v>
      </c>
      <c r="I976" t="n">
        <v>0</v>
      </c>
      <c r="J976" t="n">
        <v>0</v>
      </c>
      <c r="K976" t="n">
        <v>0</v>
      </c>
      <c r="L976" t="n">
        <v>0</v>
      </c>
      <c r="M976" t="n">
        <v>0</v>
      </c>
      <c r="N976" t="n">
        <v>0</v>
      </c>
      <c r="O976" t="n">
        <v>0</v>
      </c>
      <c r="P976" t="n">
        <v>0</v>
      </c>
      <c r="Q976" t="n">
        <v>0</v>
      </c>
      <c r="R976" s="2" t="inlineStr"/>
    </row>
    <row r="977" ht="15" customHeight="1">
      <c r="A977" t="inlineStr">
        <is>
          <t>A 19320-2023</t>
        </is>
      </c>
      <c r="B977" s="1" t="n">
        <v>45049</v>
      </c>
      <c r="C977" s="1" t="n">
        <v>45710</v>
      </c>
      <c r="D977" t="inlineStr">
        <is>
          <t>UPPSALA LÄN</t>
        </is>
      </c>
      <c r="E977" t="inlineStr">
        <is>
          <t>UPPSALA</t>
        </is>
      </c>
      <c r="G977" t="n">
        <v>17.5</v>
      </c>
      <c r="H977" t="n">
        <v>0</v>
      </c>
      <c r="I977" t="n">
        <v>0</v>
      </c>
      <c r="J977" t="n">
        <v>0</v>
      </c>
      <c r="K977" t="n">
        <v>0</v>
      </c>
      <c r="L977" t="n">
        <v>0</v>
      </c>
      <c r="M977" t="n">
        <v>0</v>
      </c>
      <c r="N977" t="n">
        <v>0</v>
      </c>
      <c r="O977" t="n">
        <v>0</v>
      </c>
      <c r="P977" t="n">
        <v>0</v>
      </c>
      <c r="Q977" t="n">
        <v>0</v>
      </c>
      <c r="R977" s="2" t="inlineStr"/>
    </row>
    <row r="978" ht="15" customHeight="1">
      <c r="A978" t="inlineStr">
        <is>
          <t>A 19339-2023</t>
        </is>
      </c>
      <c r="B978" s="1" t="n">
        <v>45049</v>
      </c>
      <c r="C978" s="1" t="n">
        <v>45710</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19380-2023</t>
        </is>
      </c>
      <c r="B979" s="1" t="n">
        <v>45049</v>
      </c>
      <c r="C979" s="1" t="n">
        <v>45710</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19411-2023</t>
        </is>
      </c>
      <c r="B980" s="1" t="n">
        <v>45049</v>
      </c>
      <c r="C980" s="1" t="n">
        <v>45710</v>
      </c>
      <c r="D980" t="inlineStr">
        <is>
          <t>UPPSALA LÄN</t>
        </is>
      </c>
      <c r="E980" t="inlineStr">
        <is>
          <t>UPPSALA</t>
        </is>
      </c>
      <c r="G980" t="n">
        <v>12.6</v>
      </c>
      <c r="H980" t="n">
        <v>0</v>
      </c>
      <c r="I980" t="n">
        <v>0</v>
      </c>
      <c r="J980" t="n">
        <v>0</v>
      </c>
      <c r="K980" t="n">
        <v>0</v>
      </c>
      <c r="L980" t="n">
        <v>0</v>
      </c>
      <c r="M980" t="n">
        <v>0</v>
      </c>
      <c r="N980" t="n">
        <v>0</v>
      </c>
      <c r="O980" t="n">
        <v>0</v>
      </c>
      <c r="P980" t="n">
        <v>0</v>
      </c>
      <c r="Q980" t="n">
        <v>0</v>
      </c>
      <c r="R980" s="2" t="inlineStr"/>
    </row>
    <row r="981" ht="15" customHeight="1">
      <c r="A981" t="inlineStr">
        <is>
          <t>A 19272-2023</t>
        </is>
      </c>
      <c r="B981" s="1" t="n">
        <v>45049</v>
      </c>
      <c r="C981" s="1" t="n">
        <v>45710</v>
      </c>
      <c r="D981" t="inlineStr">
        <is>
          <t>UPPSALA LÄN</t>
        </is>
      </c>
      <c r="E981" t="inlineStr">
        <is>
          <t>UPPSALA</t>
        </is>
      </c>
      <c r="G981" t="n">
        <v>4.9</v>
      </c>
      <c r="H981" t="n">
        <v>0</v>
      </c>
      <c r="I981" t="n">
        <v>0</v>
      </c>
      <c r="J981" t="n">
        <v>0</v>
      </c>
      <c r="K981" t="n">
        <v>0</v>
      </c>
      <c r="L981" t="n">
        <v>0</v>
      </c>
      <c r="M981" t="n">
        <v>0</v>
      </c>
      <c r="N981" t="n">
        <v>0</v>
      </c>
      <c r="O981" t="n">
        <v>0</v>
      </c>
      <c r="P981" t="n">
        <v>0</v>
      </c>
      <c r="Q981" t="n">
        <v>0</v>
      </c>
      <c r="R981" s="2" t="inlineStr"/>
    </row>
    <row r="982" ht="15" customHeight="1">
      <c r="A982" t="inlineStr">
        <is>
          <t>A 19276-2023</t>
        </is>
      </c>
      <c r="B982" s="1" t="n">
        <v>45049</v>
      </c>
      <c r="C982" s="1" t="n">
        <v>45710</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19317-2023</t>
        </is>
      </c>
      <c r="B983" s="1" t="n">
        <v>45049</v>
      </c>
      <c r="C983" s="1" t="n">
        <v>45710</v>
      </c>
      <c r="D983" t="inlineStr">
        <is>
          <t>UPPSALA LÄN</t>
        </is>
      </c>
      <c r="E983" t="inlineStr">
        <is>
          <t>UPPSALA</t>
        </is>
      </c>
      <c r="G983" t="n">
        <v>15.4</v>
      </c>
      <c r="H983" t="n">
        <v>0</v>
      </c>
      <c r="I983" t="n">
        <v>0</v>
      </c>
      <c r="J983" t="n">
        <v>0</v>
      </c>
      <c r="K983" t="n">
        <v>0</v>
      </c>
      <c r="L983" t="n">
        <v>0</v>
      </c>
      <c r="M983" t="n">
        <v>0</v>
      </c>
      <c r="N983" t="n">
        <v>0</v>
      </c>
      <c r="O983" t="n">
        <v>0</v>
      </c>
      <c r="P983" t="n">
        <v>0</v>
      </c>
      <c r="Q983" t="n">
        <v>0</v>
      </c>
      <c r="R983" s="2" t="inlineStr"/>
    </row>
    <row r="984" ht="15" customHeight="1">
      <c r="A984" t="inlineStr">
        <is>
          <t>A 19409-2023</t>
        </is>
      </c>
      <c r="B984" s="1" t="n">
        <v>45049</v>
      </c>
      <c r="C984" s="1" t="n">
        <v>45710</v>
      </c>
      <c r="D984" t="inlineStr">
        <is>
          <t>UPPSALA LÄN</t>
        </is>
      </c>
      <c r="E984" t="inlineStr">
        <is>
          <t>UPPSALA</t>
        </is>
      </c>
      <c r="G984" t="n">
        <v>0.9</v>
      </c>
      <c r="H984" t="n">
        <v>0</v>
      </c>
      <c r="I984" t="n">
        <v>0</v>
      </c>
      <c r="J984" t="n">
        <v>0</v>
      </c>
      <c r="K984" t="n">
        <v>0</v>
      </c>
      <c r="L984" t="n">
        <v>0</v>
      </c>
      <c r="M984" t="n">
        <v>0</v>
      </c>
      <c r="N984" t="n">
        <v>0</v>
      </c>
      <c r="O984" t="n">
        <v>0</v>
      </c>
      <c r="P984" t="n">
        <v>0</v>
      </c>
      <c r="Q984" t="n">
        <v>0</v>
      </c>
      <c r="R984" s="2" t="inlineStr"/>
    </row>
    <row r="985" ht="15" customHeight="1">
      <c r="A985" t="inlineStr">
        <is>
          <t>A 19455-2023</t>
        </is>
      </c>
      <c r="B985" s="1" t="n">
        <v>45050</v>
      </c>
      <c r="C985" s="1" t="n">
        <v>45710</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19515-2023</t>
        </is>
      </c>
      <c r="B986" s="1" t="n">
        <v>45050</v>
      </c>
      <c r="C986" s="1" t="n">
        <v>45710</v>
      </c>
      <c r="D986" t="inlineStr">
        <is>
          <t>UPPSALA LÄN</t>
        </is>
      </c>
      <c r="E986" t="inlineStr">
        <is>
          <t>UPPSALA</t>
        </is>
      </c>
      <c r="G986" t="n">
        <v>11.2</v>
      </c>
      <c r="H986" t="n">
        <v>0</v>
      </c>
      <c r="I986" t="n">
        <v>0</v>
      </c>
      <c r="J986" t="n">
        <v>0</v>
      </c>
      <c r="K986" t="n">
        <v>0</v>
      </c>
      <c r="L986" t="n">
        <v>0</v>
      </c>
      <c r="M986" t="n">
        <v>0</v>
      </c>
      <c r="N986" t="n">
        <v>0</v>
      </c>
      <c r="O986" t="n">
        <v>0</v>
      </c>
      <c r="P986" t="n">
        <v>0</v>
      </c>
      <c r="Q986" t="n">
        <v>0</v>
      </c>
      <c r="R986" s="2" t="inlineStr"/>
    </row>
    <row r="987" ht="15" customHeight="1">
      <c r="A987" t="inlineStr">
        <is>
          <t>A 19447-2023</t>
        </is>
      </c>
      <c r="B987" s="1" t="n">
        <v>45050</v>
      </c>
      <c r="C987" s="1" t="n">
        <v>45710</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19513-2023</t>
        </is>
      </c>
      <c r="B988" s="1" t="n">
        <v>45050</v>
      </c>
      <c r="C988" s="1" t="n">
        <v>45710</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19516-2023</t>
        </is>
      </c>
      <c r="B989" s="1" t="n">
        <v>45050</v>
      </c>
      <c r="C989" s="1" t="n">
        <v>45710</v>
      </c>
      <c r="D989" t="inlineStr">
        <is>
          <t>UPPSALA LÄN</t>
        </is>
      </c>
      <c r="E989" t="inlineStr">
        <is>
          <t>UPPSALA</t>
        </is>
      </c>
      <c r="G989" t="n">
        <v>4.5</v>
      </c>
      <c r="H989" t="n">
        <v>0</v>
      </c>
      <c r="I989" t="n">
        <v>0</v>
      </c>
      <c r="J989" t="n">
        <v>0</v>
      </c>
      <c r="K989" t="n">
        <v>0</v>
      </c>
      <c r="L989" t="n">
        <v>0</v>
      </c>
      <c r="M989" t="n">
        <v>0</v>
      </c>
      <c r="N989" t="n">
        <v>0</v>
      </c>
      <c r="O989" t="n">
        <v>0</v>
      </c>
      <c r="P989" t="n">
        <v>0</v>
      </c>
      <c r="Q989" t="n">
        <v>0</v>
      </c>
      <c r="R989" s="2" t="inlineStr"/>
    </row>
    <row r="990" ht="15" customHeight="1">
      <c r="A990" t="inlineStr">
        <is>
          <t>A 19920-2023</t>
        </is>
      </c>
      <c r="B990" s="1" t="n">
        <v>45054</v>
      </c>
      <c r="C990" s="1" t="n">
        <v>45710</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20087-2023</t>
        </is>
      </c>
      <c r="B991" s="1" t="n">
        <v>45055</v>
      </c>
      <c r="C991" s="1" t="n">
        <v>45710</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20102-2023</t>
        </is>
      </c>
      <c r="B992" s="1" t="n">
        <v>45055</v>
      </c>
      <c r="C992" s="1" t="n">
        <v>45710</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20105-2023</t>
        </is>
      </c>
      <c r="B993" s="1" t="n">
        <v>45055</v>
      </c>
      <c r="C993" s="1" t="n">
        <v>45710</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20206-2023</t>
        </is>
      </c>
      <c r="B994" s="1" t="n">
        <v>45055</v>
      </c>
      <c r="C994" s="1" t="n">
        <v>45710</v>
      </c>
      <c r="D994" t="inlineStr">
        <is>
          <t>UPPSALA LÄN</t>
        </is>
      </c>
      <c r="E994" t="inlineStr">
        <is>
          <t>UPPSALA</t>
        </is>
      </c>
      <c r="G994" t="n">
        <v>5.7</v>
      </c>
      <c r="H994" t="n">
        <v>0</v>
      </c>
      <c r="I994" t="n">
        <v>0</v>
      </c>
      <c r="J994" t="n">
        <v>0</v>
      </c>
      <c r="K994" t="n">
        <v>0</v>
      </c>
      <c r="L994" t="n">
        <v>0</v>
      </c>
      <c r="M994" t="n">
        <v>0</v>
      </c>
      <c r="N994" t="n">
        <v>0</v>
      </c>
      <c r="O994" t="n">
        <v>0</v>
      </c>
      <c r="P994" t="n">
        <v>0</v>
      </c>
      <c r="Q994" t="n">
        <v>0</v>
      </c>
      <c r="R994" s="2" t="inlineStr"/>
    </row>
    <row r="995" ht="15" customHeight="1">
      <c r="A995" t="inlineStr">
        <is>
          <t>A 20438-2023</t>
        </is>
      </c>
      <c r="B995" s="1" t="n">
        <v>45056</v>
      </c>
      <c r="C995" s="1" t="n">
        <v>45710</v>
      </c>
      <c r="D995" t="inlineStr">
        <is>
          <t>UPPSALA LÄN</t>
        </is>
      </c>
      <c r="E995" t="inlineStr">
        <is>
          <t>UPPSALA</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20440-2023</t>
        </is>
      </c>
      <c r="B996" s="1" t="n">
        <v>45056</v>
      </c>
      <c r="C996" s="1" t="n">
        <v>45710</v>
      </c>
      <c r="D996" t="inlineStr">
        <is>
          <t>UPPSALA LÄN</t>
        </is>
      </c>
      <c r="E996" t="inlineStr">
        <is>
          <t>UPPSALA</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20437-2023</t>
        </is>
      </c>
      <c r="B997" s="1" t="n">
        <v>45056</v>
      </c>
      <c r="C997" s="1" t="n">
        <v>45710</v>
      </c>
      <c r="D997" t="inlineStr">
        <is>
          <t>UPPSALA LÄN</t>
        </is>
      </c>
      <c r="E997" t="inlineStr">
        <is>
          <t>UPPSALA</t>
        </is>
      </c>
      <c r="F997" t="inlineStr">
        <is>
          <t>Holmen skog AB</t>
        </is>
      </c>
      <c r="G997" t="n">
        <v>20.1</v>
      </c>
      <c r="H997" t="n">
        <v>0</v>
      </c>
      <c r="I997" t="n">
        <v>0</v>
      </c>
      <c r="J997" t="n">
        <v>0</v>
      </c>
      <c r="K997" t="n">
        <v>0</v>
      </c>
      <c r="L997" t="n">
        <v>0</v>
      </c>
      <c r="M997" t="n">
        <v>0</v>
      </c>
      <c r="N997" t="n">
        <v>0</v>
      </c>
      <c r="O997" t="n">
        <v>0</v>
      </c>
      <c r="P997" t="n">
        <v>0</v>
      </c>
      <c r="Q997" t="n">
        <v>0</v>
      </c>
      <c r="R997" s="2" t="inlineStr"/>
    </row>
    <row r="998" ht="15" customHeight="1">
      <c r="A998" t="inlineStr">
        <is>
          <t>A 20550-2023</t>
        </is>
      </c>
      <c r="B998" s="1" t="n">
        <v>45057</v>
      </c>
      <c r="C998" s="1" t="n">
        <v>45710</v>
      </c>
      <c r="D998" t="inlineStr">
        <is>
          <t>UPPSALA LÄN</t>
        </is>
      </c>
      <c r="E998" t="inlineStr">
        <is>
          <t>UPPSALA</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20670-2023</t>
        </is>
      </c>
      <c r="B999" s="1" t="n">
        <v>45058</v>
      </c>
      <c r="C999" s="1" t="n">
        <v>45710</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20692-2023</t>
        </is>
      </c>
      <c r="B1000" s="1" t="n">
        <v>45058</v>
      </c>
      <c r="C1000" s="1" t="n">
        <v>45710</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20667-2023</t>
        </is>
      </c>
      <c r="B1001" s="1" t="n">
        <v>45058</v>
      </c>
      <c r="C1001" s="1" t="n">
        <v>45710</v>
      </c>
      <c r="D1001" t="inlineStr">
        <is>
          <t>UPPSALA LÄN</t>
        </is>
      </c>
      <c r="E1001" t="inlineStr">
        <is>
          <t>UPPSALA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20708-2023</t>
        </is>
      </c>
      <c r="B1002" s="1" t="n">
        <v>45058</v>
      </c>
      <c r="C1002" s="1" t="n">
        <v>45710</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20669-2023</t>
        </is>
      </c>
      <c r="B1003" s="1" t="n">
        <v>45058</v>
      </c>
      <c r="C1003" s="1" t="n">
        <v>45710</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20786-2023</t>
        </is>
      </c>
      <c r="B1004" s="1" t="n">
        <v>45058</v>
      </c>
      <c r="C1004" s="1" t="n">
        <v>45710</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20900-2023</t>
        </is>
      </c>
      <c r="B1005" s="1" t="n">
        <v>45060</v>
      </c>
      <c r="C1005" s="1" t="n">
        <v>45710</v>
      </c>
      <c r="D1005" t="inlineStr">
        <is>
          <t>UPPSALA LÄN</t>
        </is>
      </c>
      <c r="E1005" t="inlineStr">
        <is>
          <t>UPPSALA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21052-2023</t>
        </is>
      </c>
      <c r="B1006" s="1" t="n">
        <v>45061</v>
      </c>
      <c r="C1006" s="1" t="n">
        <v>45710</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21416-2023</t>
        </is>
      </c>
      <c r="B1007" s="1" t="n">
        <v>45063</v>
      </c>
      <c r="C1007" s="1" t="n">
        <v>45710</v>
      </c>
      <c r="D1007" t="inlineStr">
        <is>
          <t>UPPSALA LÄN</t>
        </is>
      </c>
      <c r="E1007" t="inlineStr">
        <is>
          <t>UPPSALA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21424-2023</t>
        </is>
      </c>
      <c r="B1008" s="1" t="n">
        <v>45063</v>
      </c>
      <c r="C1008" s="1" t="n">
        <v>45710</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21727-2023</t>
        </is>
      </c>
      <c r="B1009" s="1" t="n">
        <v>45065</v>
      </c>
      <c r="C1009" s="1" t="n">
        <v>45710</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21935-2023</t>
        </is>
      </c>
      <c r="B1010" s="1" t="n">
        <v>45068</v>
      </c>
      <c r="C1010" s="1" t="n">
        <v>45710</v>
      </c>
      <c r="D1010" t="inlineStr">
        <is>
          <t>UPPSALA LÄN</t>
        </is>
      </c>
      <c r="E1010" t="inlineStr">
        <is>
          <t>UPPSALA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22450-2023</t>
        </is>
      </c>
      <c r="B1011" s="1" t="n">
        <v>45070</v>
      </c>
      <c r="C1011" s="1" t="n">
        <v>45710</v>
      </c>
      <c r="D1011" t="inlineStr">
        <is>
          <t>UPPSALA LÄN</t>
        </is>
      </c>
      <c r="E1011" t="inlineStr">
        <is>
          <t>UPPSALA</t>
        </is>
      </c>
      <c r="F1011" t="inlineStr">
        <is>
          <t>Allmännings- och besparingsskogar</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23159-2023</t>
        </is>
      </c>
      <c r="B1012" s="1" t="n">
        <v>45075</v>
      </c>
      <c r="C1012" s="1" t="n">
        <v>45710</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23157-2023</t>
        </is>
      </c>
      <c r="B1013" s="1" t="n">
        <v>45075</v>
      </c>
      <c r="C1013" s="1" t="n">
        <v>45710</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23929-2023</t>
        </is>
      </c>
      <c r="B1014" s="1" t="n">
        <v>45078</v>
      </c>
      <c r="C1014" s="1" t="n">
        <v>45710</v>
      </c>
      <c r="D1014" t="inlineStr">
        <is>
          <t>UPPSALA LÄN</t>
        </is>
      </c>
      <c r="E1014" t="inlineStr">
        <is>
          <t>UPPSALA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24012-2023</t>
        </is>
      </c>
      <c r="B1015" s="1" t="n">
        <v>45078</v>
      </c>
      <c r="C1015" s="1" t="n">
        <v>45710</v>
      </c>
      <c r="D1015" t="inlineStr">
        <is>
          <t>UPPSALA LÄN</t>
        </is>
      </c>
      <c r="E1015" t="inlineStr">
        <is>
          <t>UPPSALA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24016-2023</t>
        </is>
      </c>
      <c r="B1016" s="1" t="n">
        <v>45078</v>
      </c>
      <c r="C1016" s="1" t="n">
        <v>45710</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24009-2023</t>
        </is>
      </c>
      <c r="B1017" s="1" t="n">
        <v>45078</v>
      </c>
      <c r="C1017" s="1" t="n">
        <v>45710</v>
      </c>
      <c r="D1017" t="inlineStr">
        <is>
          <t>UPPSALA LÄN</t>
        </is>
      </c>
      <c r="E1017" t="inlineStr">
        <is>
          <t>UPPSALA</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24174-2023</t>
        </is>
      </c>
      <c r="B1018" s="1" t="n">
        <v>45079</v>
      </c>
      <c r="C1018" s="1" t="n">
        <v>45710</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24670-2023</t>
        </is>
      </c>
      <c r="B1019" s="1" t="n">
        <v>45084</v>
      </c>
      <c r="C1019" s="1" t="n">
        <v>45710</v>
      </c>
      <c r="D1019" t="inlineStr">
        <is>
          <t>UPPSALA LÄN</t>
        </is>
      </c>
      <c r="E1019" t="inlineStr">
        <is>
          <t>UPPSALA</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25264-2023</t>
        </is>
      </c>
      <c r="B1020" s="1" t="n">
        <v>45086</v>
      </c>
      <c r="C1020" s="1" t="n">
        <v>45710</v>
      </c>
      <c r="D1020" t="inlineStr">
        <is>
          <t>UPPSALA LÄN</t>
        </is>
      </c>
      <c r="E1020" t="inlineStr">
        <is>
          <t>UPPSALA</t>
        </is>
      </c>
      <c r="F1020" t="inlineStr">
        <is>
          <t>Holmen skog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25280-2023</t>
        </is>
      </c>
      <c r="B1021" s="1" t="n">
        <v>45086</v>
      </c>
      <c r="C1021" s="1" t="n">
        <v>45710</v>
      </c>
      <c r="D1021" t="inlineStr">
        <is>
          <t>UPPSALA LÄN</t>
        </is>
      </c>
      <c r="E1021" t="inlineStr">
        <is>
          <t>UPPSALA</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25380-2023</t>
        </is>
      </c>
      <c r="B1022" s="1" t="n">
        <v>45089</v>
      </c>
      <c r="C1022" s="1" t="n">
        <v>45710</v>
      </c>
      <c r="D1022" t="inlineStr">
        <is>
          <t>UPPSALA LÄN</t>
        </is>
      </c>
      <c r="E1022" t="inlineStr">
        <is>
          <t>UPPSALA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25381-2023</t>
        </is>
      </c>
      <c r="B1023" s="1" t="n">
        <v>45089</v>
      </c>
      <c r="C1023" s="1" t="n">
        <v>45710</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25446-2023</t>
        </is>
      </c>
      <c r="B1024" s="1" t="n">
        <v>45089</v>
      </c>
      <c r="C1024" s="1" t="n">
        <v>45710</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25462-2023</t>
        </is>
      </c>
      <c r="B1025" s="1" t="n">
        <v>45089</v>
      </c>
      <c r="C1025" s="1" t="n">
        <v>45710</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25939-2023</t>
        </is>
      </c>
      <c r="B1026" s="1" t="n">
        <v>45090</v>
      </c>
      <c r="C1026" s="1" t="n">
        <v>45710</v>
      </c>
      <c r="D1026" t="inlineStr">
        <is>
          <t>UPPSALA LÄN</t>
        </is>
      </c>
      <c r="E1026" t="inlineStr">
        <is>
          <t>UPPSALA</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45710</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26298-2023</t>
        </is>
      </c>
      <c r="B1028" s="1" t="n">
        <v>45091</v>
      </c>
      <c r="C1028" s="1" t="n">
        <v>45710</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26323-2023</t>
        </is>
      </c>
      <c r="B1029" s="1" t="n">
        <v>45091</v>
      </c>
      <c r="C1029" s="1" t="n">
        <v>45710</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26081-2023</t>
        </is>
      </c>
      <c r="B1030" s="1" t="n">
        <v>45091</v>
      </c>
      <c r="C1030" s="1" t="n">
        <v>45710</v>
      </c>
      <c r="D1030" t="inlineStr">
        <is>
          <t>UPPSALA LÄN</t>
        </is>
      </c>
      <c r="E1030" t="inlineStr">
        <is>
          <t>UPPSALA</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26143-2023</t>
        </is>
      </c>
      <c r="B1031" s="1" t="n">
        <v>45091</v>
      </c>
      <c r="C1031" s="1" t="n">
        <v>45710</v>
      </c>
      <c r="D1031" t="inlineStr">
        <is>
          <t>UPPSALA LÄN</t>
        </is>
      </c>
      <c r="E1031" t="inlineStr">
        <is>
          <t>UPPSALA</t>
        </is>
      </c>
      <c r="F1031" t="inlineStr">
        <is>
          <t>Holmen skog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26134-2023</t>
        </is>
      </c>
      <c r="B1032" s="1" t="n">
        <v>45091</v>
      </c>
      <c r="C1032" s="1" t="n">
        <v>45710</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26759-2023</t>
        </is>
      </c>
      <c r="B1033" s="1" t="n">
        <v>45093</v>
      </c>
      <c r="C1033" s="1" t="n">
        <v>45710</v>
      </c>
      <c r="D1033" t="inlineStr">
        <is>
          <t>UPPSALA LÄN</t>
        </is>
      </c>
      <c r="E1033" t="inlineStr">
        <is>
          <t>UPPSALA</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26762-2023</t>
        </is>
      </c>
      <c r="B1034" s="1" t="n">
        <v>45093</v>
      </c>
      <c r="C1034" s="1" t="n">
        <v>45710</v>
      </c>
      <c r="D1034" t="inlineStr">
        <is>
          <t>UPPSALA LÄN</t>
        </is>
      </c>
      <c r="E1034" t="inlineStr">
        <is>
          <t>UPPSALA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27128-2023</t>
        </is>
      </c>
      <c r="B1035" s="1" t="n">
        <v>45096</v>
      </c>
      <c r="C1035" s="1" t="n">
        <v>45710</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45710</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27119-2023</t>
        </is>
      </c>
      <c r="B1037" s="1" t="n">
        <v>45096</v>
      </c>
      <c r="C1037" s="1" t="n">
        <v>45710</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27123-2023</t>
        </is>
      </c>
      <c r="B1038" s="1" t="n">
        <v>45096</v>
      </c>
      <c r="C1038" s="1" t="n">
        <v>45710</v>
      </c>
      <c r="D1038" t="inlineStr">
        <is>
          <t>UPPSALA LÄN</t>
        </is>
      </c>
      <c r="E1038" t="inlineStr">
        <is>
          <t>UPPSALA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27126-2023</t>
        </is>
      </c>
      <c r="B1039" s="1" t="n">
        <v>45096</v>
      </c>
      <c r="C1039" s="1" t="n">
        <v>45710</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27104-2023</t>
        </is>
      </c>
      <c r="B1040" s="1" t="n">
        <v>45096</v>
      </c>
      <c r="C1040" s="1" t="n">
        <v>45710</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27121-2023</t>
        </is>
      </c>
      <c r="B1041" s="1" t="n">
        <v>45096</v>
      </c>
      <c r="C1041" s="1" t="n">
        <v>45710</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27125-2023</t>
        </is>
      </c>
      <c r="B1042" s="1" t="n">
        <v>45096</v>
      </c>
      <c r="C1042" s="1" t="n">
        <v>45710</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27254-2023</t>
        </is>
      </c>
      <c r="B1043" s="1" t="n">
        <v>45096</v>
      </c>
      <c r="C1043" s="1" t="n">
        <v>45710</v>
      </c>
      <c r="D1043" t="inlineStr">
        <is>
          <t>UPPSALA LÄN</t>
        </is>
      </c>
      <c r="E1043" t="inlineStr">
        <is>
          <t>UPPSALA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27467-2023</t>
        </is>
      </c>
      <c r="B1044" s="1" t="n">
        <v>45097</v>
      </c>
      <c r="C1044" s="1" t="n">
        <v>45710</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27617-2023</t>
        </is>
      </c>
      <c r="B1045" s="1" t="n">
        <v>45097</v>
      </c>
      <c r="C1045" s="1" t="n">
        <v>45710</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27622-2023</t>
        </is>
      </c>
      <c r="B1046" s="1" t="n">
        <v>45097</v>
      </c>
      <c r="C1046" s="1" t="n">
        <v>45710</v>
      </c>
      <c r="D1046" t="inlineStr">
        <is>
          <t>UPPSALA LÄN</t>
        </is>
      </c>
      <c r="E1046" t="inlineStr">
        <is>
          <t>UPPSALA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27599-2023</t>
        </is>
      </c>
      <c r="B1047" s="1" t="n">
        <v>45097</v>
      </c>
      <c r="C1047" s="1" t="n">
        <v>45710</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27620-2023</t>
        </is>
      </c>
      <c r="B1048" s="1" t="n">
        <v>45097</v>
      </c>
      <c r="C1048" s="1" t="n">
        <v>45710</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27912-2023</t>
        </is>
      </c>
      <c r="B1049" s="1" t="n">
        <v>45098</v>
      </c>
      <c r="C1049" s="1" t="n">
        <v>45710</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27903-2023</t>
        </is>
      </c>
      <c r="B1050" s="1" t="n">
        <v>45098</v>
      </c>
      <c r="C1050" s="1" t="n">
        <v>45710</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27930-2023</t>
        </is>
      </c>
      <c r="B1051" s="1" t="n">
        <v>45098</v>
      </c>
      <c r="C1051" s="1" t="n">
        <v>45710</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28186-2023</t>
        </is>
      </c>
      <c r="B1052" s="1" t="n">
        <v>45099</v>
      </c>
      <c r="C1052" s="1" t="n">
        <v>45710</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28577-2023</t>
        </is>
      </c>
      <c r="B1053" s="1" t="n">
        <v>45103</v>
      </c>
      <c r="C1053" s="1" t="n">
        <v>45710</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28701-2023</t>
        </is>
      </c>
      <c r="B1054" s="1" t="n">
        <v>45103</v>
      </c>
      <c r="C1054" s="1" t="n">
        <v>45710</v>
      </c>
      <c r="D1054" t="inlineStr">
        <is>
          <t>UPPSALA LÄN</t>
        </is>
      </c>
      <c r="E1054" t="inlineStr">
        <is>
          <t>UPPSALA</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29019-2023</t>
        </is>
      </c>
      <c r="B1055" s="1" t="n">
        <v>45104</v>
      </c>
      <c r="C1055" s="1" t="n">
        <v>45710</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31599-2023</t>
        </is>
      </c>
      <c r="B1056" s="1" t="n">
        <v>45105</v>
      </c>
      <c r="C1056" s="1" t="n">
        <v>45710</v>
      </c>
      <c r="D1056" t="inlineStr">
        <is>
          <t>UPPSALA LÄN</t>
        </is>
      </c>
      <c r="E1056" t="inlineStr">
        <is>
          <t>UPPSALA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29282-2023</t>
        </is>
      </c>
      <c r="B1057" s="1" t="n">
        <v>45105</v>
      </c>
      <c r="C1057" s="1" t="n">
        <v>45710</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31630-2023</t>
        </is>
      </c>
      <c r="B1058" s="1" t="n">
        <v>45105</v>
      </c>
      <c r="C1058" s="1" t="n">
        <v>45710</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29579-2023</t>
        </is>
      </c>
      <c r="B1059" s="1" t="n">
        <v>45106</v>
      </c>
      <c r="C1059" s="1" t="n">
        <v>45710</v>
      </c>
      <c r="D1059" t="inlineStr">
        <is>
          <t>UPPSALA LÄN</t>
        </is>
      </c>
      <c r="E1059" t="inlineStr">
        <is>
          <t>UPPSALA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29815-2023</t>
        </is>
      </c>
      <c r="B1060" s="1" t="n">
        <v>45107</v>
      </c>
      <c r="C1060" s="1" t="n">
        <v>45710</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29901-2023</t>
        </is>
      </c>
      <c r="B1061" s="1" t="n">
        <v>45107</v>
      </c>
      <c r="C1061" s="1" t="n">
        <v>45710</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29868-2023</t>
        </is>
      </c>
      <c r="B1062" s="1" t="n">
        <v>45107</v>
      </c>
      <c r="C1062" s="1" t="n">
        <v>45710</v>
      </c>
      <c r="D1062" t="inlineStr">
        <is>
          <t>UPPSALA LÄN</t>
        </is>
      </c>
      <c r="E1062" t="inlineStr">
        <is>
          <t>UPPSALA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29799-2023</t>
        </is>
      </c>
      <c r="B1063" s="1" t="n">
        <v>45107</v>
      </c>
      <c r="C1063" s="1" t="n">
        <v>45710</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29808-2023</t>
        </is>
      </c>
      <c r="B1064" s="1" t="n">
        <v>45107</v>
      </c>
      <c r="C1064" s="1" t="n">
        <v>45710</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45710</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45710</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45710</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45710</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45710</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45710</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45710</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45710</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45710</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45710</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45710</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45710</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45710</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45710</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45710</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45710</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45710</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45710</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45710</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45710</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45710</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45710</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45710</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45710</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45710</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45710</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45710</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45710</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45710</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45710</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45710</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45710</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45710</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45710</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45710</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45710</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45710</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45710</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45710</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45710</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45710</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45710</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45710</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45710</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45710</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45710</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45710</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45710</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45710</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45710</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45710</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45710</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45710</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45710</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45710</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45710</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45710</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45710</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45710</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45710</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45710</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45710</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45710</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45710</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45710</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45710</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45710</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45710</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45710</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45710</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45710</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45710</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45710</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45710</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45710</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45710</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45710</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45710</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45710</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45710</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45710</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45710</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45710</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45710</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45710</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45710</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45710</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45710</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45710</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45710</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45710</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45710</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45710</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45710</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45710</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45710</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45710</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45710</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45710</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45710</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45710</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45710</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45710</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45710</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45710</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45710</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45710</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45710</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45710</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45710</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45710</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45710</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45710</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45710</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45710</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45710</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45710</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45710</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45710</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45710</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45710</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45710</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45710</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45710</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45710</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45710</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45710</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45710</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45710</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45710</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45710</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45710</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45710</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45710</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45710</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45710</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45710</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45710</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45710</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45710</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45710</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45710</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45710</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45710</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45710</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45710</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45710</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45710</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45710</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45710</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45710</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45710</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45710</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45710</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45710</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45710</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45710</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45710</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45710</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45710</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45710</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45710</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45710</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45710</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45710</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45710</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45710</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45710</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45710</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45710</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45710</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45710</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45710</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45710</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45710</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45710</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45710</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45710</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45710</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45710</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45710</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45710</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45710</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45710</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45710</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45710</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45710</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45710</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45710</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45710</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45710</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45710</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45710</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45710</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45710</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45710</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45710</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45710</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45710</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45710</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45710</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45710</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45710</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45710</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45710</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45710</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45710</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45710</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45710</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45710</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45710</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45710</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45710</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45710</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45710</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45710</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45710</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45710</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45710</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45710</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45710</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45710</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45710</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45710</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45710</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45710</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45710</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45710</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45710</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45710</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45710</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45710</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45710</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45710</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45710</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45710</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45710</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45710</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45710</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45710</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45710</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45710</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45710</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45710</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45710</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45710</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45710</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45710</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45710</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45710</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45710</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45710</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45710</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45710</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45710</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45710</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45710</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45710</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45710</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45710</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45710</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45710</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45710</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45710</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45710</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45710</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45710</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45710</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45710</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45710</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45710</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45710</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45710</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45710</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45710</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45710</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45710</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45710</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45710</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45710</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45710</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45710</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45710</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45710</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45710</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45710</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45710</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45710</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45710</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45710</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45710</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45710</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45710</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45710</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45710</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45710</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45710</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45710</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45710</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45710</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45710</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45710</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45710</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45710</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45710</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45710</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45710</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45710</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45710</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45710</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45710</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45710</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45710</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45710</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45710</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45710</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45710</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45710</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45710</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45710</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45710</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45710</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45710</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45710</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45710</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45710</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45710</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45710</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45710</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45710</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45710</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45710</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45710</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45710</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45710</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45710</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45710</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45710</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45710</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45710</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45710</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45710</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45710</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45710</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45710</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45710</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45710</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45710</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45710</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45710</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45710</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45710</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45710</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45710</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45710</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45710</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45710</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45710</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45710</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45710</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45710</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45710</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45710</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45710</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45710</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45710</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45710</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45710</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45710</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45710</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45710</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45710</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45710</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45710</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45710</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45710</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45710</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45710</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45710</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45710</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45710</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45710</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45710</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45710</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45710</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45710</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45710</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45710</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45710</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45710</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45710</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45710</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45710</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45710</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45710</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45710</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45710</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45710</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45710</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45710</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45710</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45710</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45710</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45710</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45710</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45710</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45710</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45710</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45710</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45710</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45710</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45710</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45710</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45710</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45710</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45710</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45710</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45710</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45710</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45710</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45710</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45710</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45710</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45710</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45710</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45710</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45710</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45710</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45710</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45710</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45710</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45710</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45710</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45710</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45710</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45710</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45710</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45710</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45710</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45710</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45710</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45710</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45710</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45710</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45710</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45710</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45710</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45710</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45710</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45710</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45710</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45710</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45710</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45710</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45710</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45710</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45710</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45710</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45710</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45710</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45710</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45710</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45710</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45710</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45710</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45710</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45710</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45710</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45710</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45710</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45710</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45710</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45710</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45710</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45710</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45710</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45710</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45710</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45710</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45710</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45710</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45710</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45710</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45710</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45710</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45710</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45710</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45710</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45710</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45710</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45710</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45710</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45710</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45710</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45710</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45710</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45710</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45710</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45710</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45710</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45710</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45710</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45710</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45710</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45710</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45710</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45710</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45710</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45710</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45710</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45710</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45710</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45710</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45710</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45710</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45710</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45710</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45710</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45710</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45710</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45710</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45710</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45710</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45710</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45710</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45710</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45710</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45710</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45710</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45710</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45710</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45710</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45710</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45710</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45710</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45710</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45710</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45710</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45710</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45710</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45710</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45710</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45710</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45710</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45710</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45710</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45710</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45710</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45710</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45710</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45710</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45710</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45710</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45710</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45710</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45710</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45710</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45710</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45710</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45710</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45710</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45710</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45710</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45710</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45710</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45710</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45710</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45710</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45710</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45710</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45710</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45710</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45710</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45710</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45710</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45710</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45710</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45710</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45710</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45710</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45710</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45710</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45710</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45710</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45710</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45710</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45710</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45710</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45710</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45710</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45710</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45710</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45710</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45710</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45710</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45710</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45710</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45710</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45710</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45710</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45710</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45710</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45710</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45710</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45710</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45710</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45710</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45710</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45710</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45710</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45710</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45710</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45710</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45710</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45710</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45710</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45710</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6988-2025</t>
        </is>
      </c>
      <c r="B1682" s="1" t="n">
        <v>45693</v>
      </c>
      <c r="C1682" s="1" t="n">
        <v>45710</v>
      </c>
      <c r="D1682" t="inlineStr">
        <is>
          <t>UPPSALA LÄN</t>
        </is>
      </c>
      <c r="E1682" t="inlineStr">
        <is>
          <t>UPPSALA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6973-2025</t>
        </is>
      </c>
      <c r="B1683" s="1" t="n">
        <v>45693</v>
      </c>
      <c r="C1683" s="1" t="n">
        <v>45710</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6970-2025</t>
        </is>
      </c>
      <c r="B1684" s="1" t="n">
        <v>45693</v>
      </c>
      <c r="C1684" s="1" t="n">
        <v>45710</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5624-2025</t>
        </is>
      </c>
      <c r="B1685" s="1" t="n">
        <v>45693</v>
      </c>
      <c r="C1685" s="1" t="n">
        <v>45710</v>
      </c>
      <c r="D1685" t="inlineStr">
        <is>
          <t>UPPSALA LÄN</t>
        </is>
      </c>
      <c r="E1685" t="inlineStr">
        <is>
          <t>UPPSALA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45710</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45710</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5725-2025</t>
        </is>
      </c>
      <c r="B1688" s="1" t="n">
        <v>45694</v>
      </c>
      <c r="C1688" s="1" t="n">
        <v>45710</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5729-2025</t>
        </is>
      </c>
      <c r="B1689" s="1" t="n">
        <v>45694</v>
      </c>
      <c r="C1689" s="1" t="n">
        <v>45710</v>
      </c>
      <c r="D1689" t="inlineStr">
        <is>
          <t>UPPSALA LÄN</t>
        </is>
      </c>
      <c r="E1689" t="inlineStr">
        <is>
          <t>UPPSALA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45710</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5722-2025</t>
        </is>
      </c>
      <c r="B1691" s="1" t="n">
        <v>45694</v>
      </c>
      <c r="C1691" s="1" t="n">
        <v>45710</v>
      </c>
      <c r="D1691" t="inlineStr">
        <is>
          <t>UPPSALA LÄN</t>
        </is>
      </c>
      <c r="E1691" t="inlineStr">
        <is>
          <t>UPPSALA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5730-2025</t>
        </is>
      </c>
      <c r="B1692" s="1" t="n">
        <v>45694</v>
      </c>
      <c r="C1692" s="1" t="n">
        <v>45710</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45710</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45710</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6006-2025</t>
        </is>
      </c>
      <c r="B1695" s="1" t="n">
        <v>45695</v>
      </c>
      <c r="C1695" s="1" t="n">
        <v>45710</v>
      </c>
      <c r="D1695" t="inlineStr">
        <is>
          <t>UPPSALA LÄN</t>
        </is>
      </c>
      <c r="E1695" t="inlineStr">
        <is>
          <t>UPPSALA</t>
        </is>
      </c>
      <c r="F1695" t="inlineStr">
        <is>
          <t>Övriga Aktiebolag</t>
        </is>
      </c>
      <c r="G1695" t="n">
        <v>13.8</v>
      </c>
      <c r="H1695" t="n">
        <v>0</v>
      </c>
      <c r="I1695" t="n">
        <v>0</v>
      </c>
      <c r="J1695" t="n">
        <v>0</v>
      </c>
      <c r="K1695" t="n">
        <v>0</v>
      </c>
      <c r="L1695" t="n">
        <v>0</v>
      </c>
      <c r="M1695" t="n">
        <v>0</v>
      </c>
      <c r="N1695" t="n">
        <v>0</v>
      </c>
      <c r="O1695" t="n">
        <v>0</v>
      </c>
      <c r="P1695" t="n">
        <v>0</v>
      </c>
      <c r="Q1695" t="n">
        <v>0</v>
      </c>
      <c r="R1695" s="2" t="inlineStr"/>
    </row>
    <row r="1696" ht="15" customHeight="1">
      <c r="A1696" t="inlineStr">
        <is>
          <t>A 6012-2025</t>
        </is>
      </c>
      <c r="B1696" s="1" t="n">
        <v>45695</v>
      </c>
      <c r="C1696" s="1" t="n">
        <v>45710</v>
      </c>
      <c r="D1696" t="inlineStr">
        <is>
          <t>UPPSALA LÄN</t>
        </is>
      </c>
      <c r="E1696" t="inlineStr">
        <is>
          <t>UPPSALA</t>
        </is>
      </c>
      <c r="F1696" t="inlineStr">
        <is>
          <t>Övriga Aktiebolag</t>
        </is>
      </c>
      <c r="G1696" t="n">
        <v>14.3</v>
      </c>
      <c r="H1696" t="n">
        <v>0</v>
      </c>
      <c r="I1696" t="n">
        <v>0</v>
      </c>
      <c r="J1696" t="n">
        <v>0</v>
      </c>
      <c r="K1696" t="n">
        <v>0</v>
      </c>
      <c r="L1696" t="n">
        <v>0</v>
      </c>
      <c r="M1696" t="n">
        <v>0</v>
      </c>
      <c r="N1696" t="n">
        <v>0</v>
      </c>
      <c r="O1696" t="n">
        <v>0</v>
      </c>
      <c r="P1696" t="n">
        <v>0</v>
      </c>
      <c r="Q1696" t="n">
        <v>0</v>
      </c>
      <c r="R1696" s="2" t="inlineStr"/>
    </row>
    <row r="1697" ht="15" customHeight="1">
      <c r="A1697" t="inlineStr">
        <is>
          <t>A 6060-2025</t>
        </is>
      </c>
      <c r="B1697" s="1" t="n">
        <v>45695</v>
      </c>
      <c r="C1697" s="1" t="n">
        <v>45710</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6058-2025</t>
        </is>
      </c>
      <c r="B1698" s="1" t="n">
        <v>45695</v>
      </c>
      <c r="C1698" s="1" t="n">
        <v>45710</v>
      </c>
      <c r="D1698" t="inlineStr">
        <is>
          <t>UPPSALA LÄN</t>
        </is>
      </c>
      <c r="E1698" t="inlineStr">
        <is>
          <t>UPPSALA</t>
        </is>
      </c>
      <c r="F1698" t="inlineStr">
        <is>
          <t>Bergvik skog öst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5925-2025</t>
        </is>
      </c>
      <c r="B1699" s="1" t="n">
        <v>45695</v>
      </c>
      <c r="C1699" s="1" t="n">
        <v>45710</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45710</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45710</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45710</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45710</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45710</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45710</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45710</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7633-2025</t>
        </is>
      </c>
      <c r="B1707" s="1" t="n">
        <v>45705</v>
      </c>
      <c r="C1707" s="1" t="n">
        <v>45710</v>
      </c>
      <c r="D1707" t="inlineStr">
        <is>
          <t>UPPSALA LÄN</t>
        </is>
      </c>
      <c r="E1707" t="inlineStr">
        <is>
          <t>UPPSALA</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45710</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45710</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c r="A1710" t="inlineStr">
        <is>
          <t>A 8164-2025</t>
        </is>
      </c>
      <c r="B1710" s="1" t="n">
        <v>45707</v>
      </c>
      <c r="C1710" s="1" t="n">
        <v>45710</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2025-02-22T16:24:51Z</dcterms:created>
  <dcterms:modified xmlns:dcterms="http://purl.org/dc/terms/" xmlns:xsi="http://www.w3.org/2001/XMLSchema-instance" xsi:type="dcterms:W3CDTF">2025-02-22T16:24:52Z</dcterms:modified>
</cp:coreProperties>
</file>