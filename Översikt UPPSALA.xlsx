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46195</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46195</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46195</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46195</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46195</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46195</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46195</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46195</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46195</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46195</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46195</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46195</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53593-2025</t>
        </is>
      </c>
      <c r="B14" s="1" t="n">
        <v>45960</v>
      </c>
      <c r="C14" s="1" t="n">
        <v>46195</v>
      </c>
      <c r="D14" t="inlineStr">
        <is>
          <t>UPPSALA LÄN</t>
        </is>
      </c>
      <c r="E14" t="inlineStr">
        <is>
          <t>UPPSALA</t>
        </is>
      </c>
      <c r="G14" t="n">
        <v>10.6</v>
      </c>
      <c r="H14" t="n">
        <v>4</v>
      </c>
      <c r="I14" t="n">
        <v>6</v>
      </c>
      <c r="J14" t="n">
        <v>8</v>
      </c>
      <c r="K14" t="n">
        <v>2</v>
      </c>
      <c r="L14" t="n">
        <v>0</v>
      </c>
      <c r="M14" t="n">
        <v>0</v>
      </c>
      <c r="N14" t="n">
        <v>0</v>
      </c>
      <c r="O14" t="n">
        <v>10</v>
      </c>
      <c r="P14" t="n">
        <v>2</v>
      </c>
      <c r="Q14" t="n">
        <v>18</v>
      </c>
      <c r="R14" s="2" t="inlineStr">
        <is>
          <t>Knärot
Rosetticka
Fjällig taggsvamp s.str.
Motaggsvamp
Orange taggsvamp
Rynkskinn
Talltita
Ullticka
Vedtrappmossa
Vågticka
Brandticka
Granbarkgnagare
Gullgröppa
Rödgul trumpetsvamp
Trådticka
Vedticka
Blåsippa
Spillkråka</t>
        </is>
      </c>
      <c r="S14">
        <f>HYPERLINK("https://klasma.github.io/Logging_0380/artfynd/A 53593-2025 artfynd.xlsx", "A 53593-2025")</f>
        <v/>
      </c>
      <c r="T14">
        <f>HYPERLINK("https://klasma.github.io/Logging_0380/kartor/A 53593-2025 karta.png", "A 53593-2025")</f>
        <v/>
      </c>
      <c r="U14">
        <f>HYPERLINK("https://klasma.github.io/Logging_0380/knärot/A 53593-2025 karta knärot.png", "A 53593-2025")</f>
        <v/>
      </c>
      <c r="V14">
        <f>HYPERLINK("https://klasma.github.io/Logging_0380/klagomål/A 53593-2025 FSC-klagomål.docx", "A 53593-2025")</f>
        <v/>
      </c>
      <c r="W14">
        <f>HYPERLINK("https://klasma.github.io/Logging_0380/klagomålsmail/A 53593-2025 FSC-klagomål mail.docx", "A 53593-2025")</f>
        <v/>
      </c>
      <c r="X14">
        <f>HYPERLINK("https://klasma.github.io/Logging_0380/tillsyn/A 53593-2025 tillsynsbegäran.docx", "A 53593-2025")</f>
        <v/>
      </c>
      <c r="Y14">
        <f>HYPERLINK("https://klasma.github.io/Logging_0380/tillsynsmail/A 53593-2025 tillsynsbegäran mail.docx", "A 53593-2025")</f>
        <v/>
      </c>
      <c r="Z14">
        <f>HYPERLINK("https://klasma.github.io/Logging_0380/fåglar/A 53593-2025 prioriterade fågelarter.docx", "A 53593-2025")</f>
        <v/>
      </c>
    </row>
    <row r="15" ht="15" customHeight="1">
      <c r="A15" t="inlineStr">
        <is>
          <t>A 2523-2024</t>
        </is>
      </c>
      <c r="B15" s="1" t="n">
        <v>45313</v>
      </c>
      <c r="C15" s="1" t="n">
        <v>46195</v>
      </c>
      <c r="D15" t="inlineStr">
        <is>
          <t>UPPSALA LÄN</t>
        </is>
      </c>
      <c r="E15" t="inlineStr">
        <is>
          <t>UPPSALA</t>
        </is>
      </c>
      <c r="G15" t="n">
        <v>18.8</v>
      </c>
      <c r="H15" t="n">
        <v>7</v>
      </c>
      <c r="I15" t="n">
        <v>5</v>
      </c>
      <c r="J15" t="n">
        <v>8</v>
      </c>
      <c r="K15" t="n">
        <v>1</v>
      </c>
      <c r="L15" t="n">
        <v>0</v>
      </c>
      <c r="M15" t="n">
        <v>0</v>
      </c>
      <c r="N15" t="n">
        <v>0</v>
      </c>
      <c r="O15" t="n">
        <v>9</v>
      </c>
      <c r="P15" t="n">
        <v>1</v>
      </c>
      <c r="Q15" t="n">
        <v>18</v>
      </c>
      <c r="R15" s="2" t="inlineStr">
        <is>
          <t>Knärot
Lunglav
Rutskinn
Rödbrun blekspik
Tallticka
Talltita
Tretåig hackspett
Ullticka
Vedskivlav
Brandticka
Bronshjon
Grönpyrola
Rostfläck
Trådticka
Blåsippa
Spillkråka
Tjäder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17679-2026</t>
        </is>
      </c>
      <c r="B16" s="1" t="n">
        <v>46121</v>
      </c>
      <c r="C16" s="1" t="n">
        <v>46195</v>
      </c>
      <c r="D16" t="inlineStr">
        <is>
          <t>UPPSALA LÄN</t>
        </is>
      </c>
      <c r="E16" t="inlineStr">
        <is>
          <t>UPPSALA</t>
        </is>
      </c>
      <c r="G16" t="n">
        <v>2.4</v>
      </c>
      <c r="H16" t="n">
        <v>16</v>
      </c>
      <c r="I16" t="n">
        <v>0</v>
      </c>
      <c r="J16" t="n">
        <v>9</v>
      </c>
      <c r="K16" t="n">
        <v>1</v>
      </c>
      <c r="L16" t="n">
        <v>0</v>
      </c>
      <c r="M16" t="n">
        <v>0</v>
      </c>
      <c r="N16" t="n">
        <v>0</v>
      </c>
      <c r="O16" t="n">
        <v>10</v>
      </c>
      <c r="P16" t="n">
        <v>1</v>
      </c>
      <c r="Q16" t="n">
        <v>17</v>
      </c>
      <c r="R16" s="2" t="inlineStr">
        <is>
          <t>Grönfink
Duvhök
Entita
Gulsparv
Järnsparv
Nordfladdermus
Rödvingetrast
Skrattmås
Tallkötticka
Talltita
Bergfink
Tofsmes
Dvärgpipistrell
Grönsiska
Kråka
Kungsfågel
Skogsduva</t>
        </is>
      </c>
      <c r="S16">
        <f>HYPERLINK("https://klasma.github.io/Logging_0380/artfynd/A 17679-2026 artfynd.xlsx", "A 17679-2026")</f>
        <v/>
      </c>
      <c r="T16">
        <f>HYPERLINK("https://klasma.github.io/Logging_0380/kartor/A 17679-2026 karta.png", "A 17679-2026")</f>
        <v/>
      </c>
      <c r="V16">
        <f>HYPERLINK("https://klasma.github.io/Logging_0380/klagomål/A 17679-2026 FSC-klagomål.docx", "A 17679-2026")</f>
        <v/>
      </c>
      <c r="W16">
        <f>HYPERLINK("https://klasma.github.io/Logging_0380/klagomålsmail/A 17679-2026 FSC-klagomål mail.docx", "A 17679-2026")</f>
        <v/>
      </c>
      <c r="X16">
        <f>HYPERLINK("https://klasma.github.io/Logging_0380/tillsyn/A 17679-2026 tillsynsbegäran.docx", "A 17679-2026")</f>
        <v/>
      </c>
      <c r="Y16">
        <f>HYPERLINK("https://klasma.github.io/Logging_0380/tillsynsmail/A 17679-2026 tillsynsbegäran mail.docx", "A 17679-2026")</f>
        <v/>
      </c>
      <c r="Z16">
        <f>HYPERLINK("https://klasma.github.io/Logging_0380/fåglar/A 17679-2026 prioriterade fågelarter.docx", "A 17679-2026")</f>
        <v/>
      </c>
    </row>
    <row r="17" ht="15" customHeight="1">
      <c r="A17" t="inlineStr">
        <is>
          <t>A 9409-2025</t>
        </is>
      </c>
      <c r="B17" s="1" t="n">
        <v>45715</v>
      </c>
      <c r="C17" s="1" t="n">
        <v>46195</v>
      </c>
      <c r="D17" t="inlineStr">
        <is>
          <t>UPPSALA LÄN</t>
        </is>
      </c>
      <c r="E17" t="inlineStr">
        <is>
          <t>UPPSALA</t>
        </is>
      </c>
      <c r="F17" t="inlineStr">
        <is>
          <t>Kyrkan</t>
        </is>
      </c>
      <c r="G17" t="n">
        <v>13</v>
      </c>
      <c r="H17" t="n">
        <v>6</v>
      </c>
      <c r="I17" t="n">
        <v>4</v>
      </c>
      <c r="J17" t="n">
        <v>7</v>
      </c>
      <c r="K17" t="n">
        <v>2</v>
      </c>
      <c r="L17" t="n">
        <v>0</v>
      </c>
      <c r="M17" t="n">
        <v>0</v>
      </c>
      <c r="N17" t="n">
        <v>0</v>
      </c>
      <c r="O17" t="n">
        <v>9</v>
      </c>
      <c r="P17" t="n">
        <v>2</v>
      </c>
      <c r="Q17" t="n">
        <v>17</v>
      </c>
      <c r="R17" s="2" t="inlineStr">
        <is>
          <t>Garnlav
Knärot
Dvärgbägarlav
Kattfotslav
Kolflarnlav
Talltita
Ullticka
Vedskivlav
Vedtrappmossa
Flagellkvastmossa
Grovticka
Grönpyrola
Rostfläck
Järpe
Spillkråka
Tjäder
Kungsfågel</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62998-2025</t>
        </is>
      </c>
      <c r="B18" s="1" t="n">
        <v>46009</v>
      </c>
      <c r="C18" s="1" t="n">
        <v>46195</v>
      </c>
      <c r="D18" t="inlineStr">
        <is>
          <t>UPPSALA LÄN</t>
        </is>
      </c>
      <c r="E18" t="inlineStr">
        <is>
          <t>UPPSALA</t>
        </is>
      </c>
      <c r="G18" t="n">
        <v>10.8</v>
      </c>
      <c r="H18" t="n">
        <v>5</v>
      </c>
      <c r="I18" t="n">
        <v>10</v>
      </c>
      <c r="J18" t="n">
        <v>3</v>
      </c>
      <c r="K18" t="n">
        <v>1</v>
      </c>
      <c r="L18" t="n">
        <v>0</v>
      </c>
      <c r="M18" t="n">
        <v>0</v>
      </c>
      <c r="N18" t="n">
        <v>0</v>
      </c>
      <c r="O18" t="n">
        <v>4</v>
      </c>
      <c r="P18" t="n">
        <v>1</v>
      </c>
      <c r="Q18" t="n">
        <v>17</v>
      </c>
      <c r="R18" s="2" t="inlineStr">
        <is>
          <t>Knärot
Fjällig taggsvamp s.str.
Rynkskinn
Vedtrappmossa
Bronshjon
Flagellkvastmossa
Granbräken
Grön sköldmossa
Grönpyrola
Gullgröppa
Rödgul trumpetsvamp
Skinnlav
Stubbspretmossa
Svavelriska
Blåsippa
Spillkråka
Fläcknycklar</t>
        </is>
      </c>
      <c r="S18">
        <f>HYPERLINK("https://klasma.github.io/Logging_0380/artfynd/A 62998-2025 artfynd.xlsx", "A 62998-2025")</f>
        <v/>
      </c>
      <c r="T18">
        <f>HYPERLINK("https://klasma.github.io/Logging_0380/kartor/A 62998-2025 karta.png", "A 62998-2025")</f>
        <v/>
      </c>
      <c r="U18">
        <f>HYPERLINK("https://klasma.github.io/Logging_0380/knärot/A 62998-2025 karta knärot.png", "A 62998-2025")</f>
        <v/>
      </c>
      <c r="V18">
        <f>HYPERLINK("https://klasma.github.io/Logging_0380/klagomål/A 62998-2025 FSC-klagomål.docx", "A 62998-2025")</f>
        <v/>
      </c>
      <c r="W18">
        <f>HYPERLINK("https://klasma.github.io/Logging_0380/klagomålsmail/A 62998-2025 FSC-klagomål mail.docx", "A 62998-2025")</f>
        <v/>
      </c>
      <c r="X18">
        <f>HYPERLINK("https://klasma.github.io/Logging_0380/tillsyn/A 62998-2025 tillsynsbegäran.docx", "A 62998-2025")</f>
        <v/>
      </c>
      <c r="Y18">
        <f>HYPERLINK("https://klasma.github.io/Logging_0380/tillsynsmail/A 62998-2025 tillsynsbegäran mail.docx", "A 62998-2025")</f>
        <v/>
      </c>
      <c r="Z18">
        <f>HYPERLINK("https://klasma.github.io/Logging_0380/fåglar/A 62998-2025 prioriterade fågelarter.docx", "A 62998-2025")</f>
        <v/>
      </c>
    </row>
    <row r="19" ht="15" customHeight="1">
      <c r="A19" t="inlineStr">
        <is>
          <t>A 25609-2025</t>
        </is>
      </c>
      <c r="B19" s="1" t="n">
        <v>45803</v>
      </c>
      <c r="C19" s="1" t="n">
        <v>46195</v>
      </c>
      <c r="D19" t="inlineStr">
        <is>
          <t>UPPSALA LÄN</t>
        </is>
      </c>
      <c r="E19" t="inlineStr">
        <is>
          <t>UPPSALA</t>
        </is>
      </c>
      <c r="F19" t="inlineStr">
        <is>
          <t>Holmen skog AB</t>
        </is>
      </c>
      <c r="G19" t="n">
        <v>4.5</v>
      </c>
      <c r="H19" t="n">
        <v>6</v>
      </c>
      <c r="I19" t="n">
        <v>9</v>
      </c>
      <c r="J19" t="n">
        <v>2</v>
      </c>
      <c r="K19" t="n">
        <v>2</v>
      </c>
      <c r="L19" t="n">
        <v>0</v>
      </c>
      <c r="M19" t="n">
        <v>0</v>
      </c>
      <c r="N19" t="n">
        <v>0</v>
      </c>
      <c r="O19" t="n">
        <v>4</v>
      </c>
      <c r="P19" t="n">
        <v>2</v>
      </c>
      <c r="Q19" t="n">
        <v>17</v>
      </c>
      <c r="R19" s="2" t="inlineStr">
        <is>
          <t>Knärot
Laxporing
Talltita
Vedtrappmossa
Blodticka
Blomkålssvamp
Brandticka
Bronshjon
Grönpyrola
Jättesvampmal
Mindre märgborre
Thomsons trägnagare
Vågbandad barkbock
Blåsippa
Spillkråka
Fläcknycklar
Revlummer</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11833-2025</t>
        </is>
      </c>
      <c r="B20" s="1" t="n">
        <v>45728</v>
      </c>
      <c r="C20" s="1" t="n">
        <v>46195</v>
      </c>
      <c r="D20" t="inlineStr">
        <is>
          <t>UPPSALA LÄN</t>
        </is>
      </c>
      <c r="E20" t="inlineStr">
        <is>
          <t>UPPSALA</t>
        </is>
      </c>
      <c r="F20" t="inlineStr">
        <is>
          <t>Kyrkan</t>
        </is>
      </c>
      <c r="G20" t="n">
        <v>13</v>
      </c>
      <c r="H20" t="n">
        <v>6</v>
      </c>
      <c r="I20" t="n">
        <v>4</v>
      </c>
      <c r="J20" t="n">
        <v>7</v>
      </c>
      <c r="K20" t="n">
        <v>2</v>
      </c>
      <c r="L20" t="n">
        <v>0</v>
      </c>
      <c r="M20" t="n">
        <v>0</v>
      </c>
      <c r="N20" t="n">
        <v>0</v>
      </c>
      <c r="O20" t="n">
        <v>9</v>
      </c>
      <c r="P20" t="n">
        <v>2</v>
      </c>
      <c r="Q20" t="n">
        <v>17</v>
      </c>
      <c r="R20" s="2" t="inlineStr">
        <is>
          <t>Garnlav
Knärot
Dvärgbägarlav
Kattfotslav
Kolflarnlav
Talltita
Ullticka
Vedskivlav
Vedtrappmossa
Flagellkvastmossa
Grovticka
Grönpyrola
Rostfläck
Järpe
Spillkråka
Tjäder
Kungsfågel</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22547-2026</t>
        </is>
      </c>
      <c r="B21" s="1" t="n">
        <v>46155</v>
      </c>
      <c r="C21" s="1" t="n">
        <v>46195</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4451-2026</t>
        </is>
      </c>
      <c r="B22" s="1" t="n">
        <v>46045</v>
      </c>
      <c r="C22" s="1" t="n">
        <v>46195</v>
      </c>
      <c r="D22" t="inlineStr">
        <is>
          <t>UPPSALA LÄN</t>
        </is>
      </c>
      <c r="E22" t="inlineStr">
        <is>
          <t>UPPSALA</t>
        </is>
      </c>
      <c r="F22" t="inlineStr">
        <is>
          <t>Allmännings- och besparingsskogar</t>
        </is>
      </c>
      <c r="G22" t="n">
        <v>8.300000000000001</v>
      </c>
      <c r="H22" t="n">
        <v>3</v>
      </c>
      <c r="I22" t="n">
        <v>8</v>
      </c>
      <c r="J22" t="n">
        <v>6</v>
      </c>
      <c r="K22" t="n">
        <v>1</v>
      </c>
      <c r="L22" t="n">
        <v>0</v>
      </c>
      <c r="M22" t="n">
        <v>0</v>
      </c>
      <c r="N22" t="n">
        <v>0</v>
      </c>
      <c r="O22" t="n">
        <v>7</v>
      </c>
      <c r="P22" t="n">
        <v>1</v>
      </c>
      <c r="Q22" t="n">
        <v>17</v>
      </c>
      <c r="R22" s="2" t="inlineStr">
        <is>
          <t>Ostticka
Grönhjon
Rynkskinn
Större flatbagge
Tallticka
Talltita
Ullticka
Barkticka
Brandticka
Bronshjon
Granbarkgnagare
Gullgröppa
Jättesvampmal
Trådticka
Vågbandad barkbock
Blåsippa
Spillkråka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14089-2026</t>
        </is>
      </c>
      <c r="B23" s="1" t="n">
        <v>46099</v>
      </c>
      <c r="C23" s="1" t="n">
        <v>46195</v>
      </c>
      <c r="D23" t="inlineStr">
        <is>
          <t>UPPSALA LÄN</t>
        </is>
      </c>
      <c r="E23" t="inlineStr">
        <is>
          <t>UPPSALA</t>
        </is>
      </c>
      <c r="F23" t="inlineStr">
        <is>
          <t>Kommuner</t>
        </is>
      </c>
      <c r="G23" t="n">
        <v>3.9</v>
      </c>
      <c r="H23" t="n">
        <v>4</v>
      </c>
      <c r="I23" t="n">
        <v>5</v>
      </c>
      <c r="J23" t="n">
        <v>6</v>
      </c>
      <c r="K23" t="n">
        <v>1</v>
      </c>
      <c r="L23" t="n">
        <v>0</v>
      </c>
      <c r="M23" t="n">
        <v>0</v>
      </c>
      <c r="N23" t="n">
        <v>0</v>
      </c>
      <c r="O23" t="n">
        <v>7</v>
      </c>
      <c r="P23" t="n">
        <v>1</v>
      </c>
      <c r="Q23" t="n">
        <v>16</v>
      </c>
      <c r="R23" s="2" t="inlineStr">
        <is>
          <t>Knärot
Rynkskinn
Rödbrun blekspik
Talltita
Ullticka
Vintertagging
Vågticka
Bronshjon
Granbarkgnagare
Grov fjädermossa
Trådticka
Vågbandad barkbock
Blåsippa
Kransmossa
Ormbär
Spillkråka</t>
        </is>
      </c>
      <c r="S23">
        <f>HYPERLINK("https://klasma.github.io/Logging_0380/artfynd/A 14089-2026 artfynd.xlsx", "A 14089-2026")</f>
        <v/>
      </c>
      <c r="T23">
        <f>HYPERLINK("https://klasma.github.io/Logging_0380/kartor/A 14089-2026 karta.png", "A 14089-2026")</f>
        <v/>
      </c>
      <c r="U23">
        <f>HYPERLINK("https://klasma.github.io/Logging_0380/knärot/A 14089-2026 karta knärot.png", "A 14089-2026")</f>
        <v/>
      </c>
      <c r="V23">
        <f>HYPERLINK("https://klasma.github.io/Logging_0380/klagomål/A 14089-2026 FSC-klagomål.docx", "A 14089-2026")</f>
        <v/>
      </c>
      <c r="W23">
        <f>HYPERLINK("https://klasma.github.io/Logging_0380/klagomålsmail/A 14089-2026 FSC-klagomål mail.docx", "A 14089-2026")</f>
        <v/>
      </c>
      <c r="X23">
        <f>HYPERLINK("https://klasma.github.io/Logging_0380/tillsyn/A 14089-2026 tillsynsbegäran.docx", "A 14089-2026")</f>
        <v/>
      </c>
      <c r="Y23">
        <f>HYPERLINK("https://klasma.github.io/Logging_0380/tillsynsmail/A 14089-2026 tillsynsbegäran mail.docx", "A 14089-2026")</f>
        <v/>
      </c>
      <c r="Z23">
        <f>HYPERLINK("https://klasma.github.io/Logging_0380/fåglar/A 14089-2026 prioriterade fågelarter.docx", "A 14089-2026")</f>
        <v/>
      </c>
    </row>
    <row r="24" ht="15" customHeight="1">
      <c r="A24" t="inlineStr">
        <is>
          <t>A 43970-2025</t>
        </is>
      </c>
      <c r="B24" s="1" t="n">
        <v>45915</v>
      </c>
      <c r="C24" s="1" t="n">
        <v>46195</v>
      </c>
      <c r="D24" t="inlineStr">
        <is>
          <t>UPPSALA LÄN</t>
        </is>
      </c>
      <c r="E24" t="inlineStr">
        <is>
          <t>UPPSALA</t>
        </is>
      </c>
      <c r="G24" t="n">
        <v>9.4</v>
      </c>
      <c r="H24" t="n">
        <v>6</v>
      </c>
      <c r="I24" t="n">
        <v>3</v>
      </c>
      <c r="J24" t="n">
        <v>6</v>
      </c>
      <c r="K24" t="n">
        <v>3</v>
      </c>
      <c r="L24" t="n">
        <v>1</v>
      </c>
      <c r="M24" t="n">
        <v>0</v>
      </c>
      <c r="N24" t="n">
        <v>0</v>
      </c>
      <c r="O24" t="n">
        <v>10</v>
      </c>
      <c r="P24" t="n">
        <v>4</v>
      </c>
      <c r="Q24" t="n">
        <v>16</v>
      </c>
      <c r="R24" s="2" t="inlineStr">
        <is>
          <t>Pärluggla
Garnlav
Knärot
Raggbock
Berggräsfjäril
Orange taggsvamp
Skarp dropptaggsvamp
Sparvuggla
Ullticka
Vedskivlav
Bronshjon
Grönpyrola
Vedticka
Orre
Slaguggla
Revlummer</t>
        </is>
      </c>
      <c r="S24">
        <f>HYPERLINK("https://klasma.github.io/Logging_0380/artfynd/A 43970-2025 artfynd.xlsx", "A 43970-2025")</f>
        <v/>
      </c>
      <c r="T24">
        <f>HYPERLINK("https://klasma.github.io/Logging_0380/kartor/A 43970-2025 karta.png", "A 43970-2025")</f>
        <v/>
      </c>
      <c r="U24">
        <f>HYPERLINK("https://klasma.github.io/Logging_0380/knärot/A 43970-2025 karta knärot.png", "A 43970-2025")</f>
        <v/>
      </c>
      <c r="V24">
        <f>HYPERLINK("https://klasma.github.io/Logging_0380/klagomål/A 43970-2025 FSC-klagomål.docx", "A 43970-2025")</f>
        <v/>
      </c>
      <c r="W24">
        <f>HYPERLINK("https://klasma.github.io/Logging_0380/klagomålsmail/A 43970-2025 FSC-klagomål mail.docx", "A 43970-2025")</f>
        <v/>
      </c>
      <c r="X24">
        <f>HYPERLINK("https://klasma.github.io/Logging_0380/tillsyn/A 43970-2025 tillsynsbegäran.docx", "A 43970-2025")</f>
        <v/>
      </c>
      <c r="Y24">
        <f>HYPERLINK("https://klasma.github.io/Logging_0380/tillsynsmail/A 43970-2025 tillsynsbegäran mail.docx", "A 43970-2025")</f>
        <v/>
      </c>
      <c r="Z24">
        <f>HYPERLINK("https://klasma.github.io/Logging_0380/fåglar/A 43970-2025 prioriterade fågelarter.docx", "A 43970-2025")</f>
        <v/>
      </c>
    </row>
    <row r="25" ht="15" customHeight="1">
      <c r="A25" t="inlineStr">
        <is>
          <t>A 7380-2023</t>
        </is>
      </c>
      <c r="B25" s="1" t="n">
        <v>44971</v>
      </c>
      <c r="C25" s="1" t="n">
        <v>46195</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26460-2023</t>
        </is>
      </c>
      <c r="B26" s="1" t="n">
        <v>45092</v>
      </c>
      <c r="C26" s="1" t="n">
        <v>46195</v>
      </c>
      <c r="D26" t="inlineStr">
        <is>
          <t>UPPSALA LÄN</t>
        </is>
      </c>
      <c r="E26" t="inlineStr">
        <is>
          <t>UPPSALA</t>
        </is>
      </c>
      <c r="G26" t="n">
        <v>6.3</v>
      </c>
      <c r="H26" t="n">
        <v>1</v>
      </c>
      <c r="I26" t="n">
        <v>10</v>
      </c>
      <c r="J26" t="n">
        <v>3</v>
      </c>
      <c r="K26" t="n">
        <v>1</v>
      </c>
      <c r="L26" t="n">
        <v>0</v>
      </c>
      <c r="M26" t="n">
        <v>0</v>
      </c>
      <c r="N26" t="n">
        <v>0</v>
      </c>
      <c r="O26" t="n">
        <v>4</v>
      </c>
      <c r="P26" t="n">
        <v>1</v>
      </c>
      <c r="Q26" t="n">
        <v>14</v>
      </c>
      <c r="R26" s="2" t="inlineStr">
        <is>
          <t>Aspgelélav
Blek fingersvamp
Kandelabersvamp
Vit vedfingersvamp
Aspvedgnagare
Barkticka
Granbarkgnagare
Grön sköldmossa
Jättesvampmal
Korallblylav
Rödgul trumpetsvamp
Skinnlav
Vedticka
Zontaggsvamp</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25143-2023</t>
        </is>
      </c>
      <c r="B27" s="1" t="n">
        <v>45086</v>
      </c>
      <c r="C27" s="1" t="n">
        <v>46195</v>
      </c>
      <c r="D27" t="inlineStr">
        <is>
          <t>UPPSALA LÄN</t>
        </is>
      </c>
      <c r="E27" t="inlineStr">
        <is>
          <t>UPPSALA</t>
        </is>
      </c>
      <c r="G27" t="n">
        <v>15.9</v>
      </c>
      <c r="H27" t="n">
        <v>6</v>
      </c>
      <c r="I27" t="n">
        <v>5</v>
      </c>
      <c r="J27" t="n">
        <v>3</v>
      </c>
      <c r="K27" t="n">
        <v>1</v>
      </c>
      <c r="L27" t="n">
        <v>0</v>
      </c>
      <c r="M27" t="n">
        <v>0</v>
      </c>
      <c r="N27" t="n">
        <v>0</v>
      </c>
      <c r="O27" t="n">
        <v>4</v>
      </c>
      <c r="P27" t="n">
        <v>1</v>
      </c>
      <c r="Q27" t="n">
        <v>14</v>
      </c>
      <c r="R27" s="2" t="inlineStr">
        <is>
          <t>Knärot
Grönhjon
Ullticka
Vågticka
Bronshjon
Fällmossa
Granbarkgnagare
Grönpyrola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37004-2025</t>
        </is>
      </c>
      <c r="B28" s="1" t="n">
        <v>45874</v>
      </c>
      <c r="C28" s="1" t="n">
        <v>46195</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69711-2021</t>
        </is>
      </c>
      <c r="B29" s="1" t="n">
        <v>44532</v>
      </c>
      <c r="C29" s="1" t="n">
        <v>46195</v>
      </c>
      <c r="D29" t="inlineStr">
        <is>
          <t>UPPSALA LÄN</t>
        </is>
      </c>
      <c r="E29" t="inlineStr">
        <is>
          <t>UPPSALA</t>
        </is>
      </c>
      <c r="G29" t="n">
        <v>10.2</v>
      </c>
      <c r="H29" t="n">
        <v>2</v>
      </c>
      <c r="I29" t="n">
        <v>7</v>
      </c>
      <c r="J29" t="n">
        <v>5</v>
      </c>
      <c r="K29" t="n">
        <v>0</v>
      </c>
      <c r="L29" t="n">
        <v>0</v>
      </c>
      <c r="M29" t="n">
        <v>0</v>
      </c>
      <c r="N29" t="n">
        <v>0</v>
      </c>
      <c r="O29" t="n">
        <v>5</v>
      </c>
      <c r="P29" t="n">
        <v>0</v>
      </c>
      <c r="Q29" t="n">
        <v>13</v>
      </c>
      <c r="R29" s="2" t="inlineStr">
        <is>
          <t>Motaggsvamp
Rynkskinn
Talltita
Ullticka
Vedtrappmossa
Brandticka
Dvärgtufs
Granbarkgnagare
Rödgul trumpetsvamp
Skinnlav
Trådticka
Vedticka
Tjäder</t>
        </is>
      </c>
      <c r="S29">
        <f>HYPERLINK("https://klasma.github.io/Logging_0380/artfynd/A 69711-2021 artfynd.xlsx", "A 69711-2021")</f>
        <v/>
      </c>
      <c r="T29">
        <f>HYPERLINK("https://klasma.github.io/Logging_0380/kartor/A 69711-2021 karta.png", "A 69711-2021")</f>
        <v/>
      </c>
      <c r="V29">
        <f>HYPERLINK("https://klasma.github.io/Logging_0380/klagomål/A 69711-2021 FSC-klagomål.docx", "A 69711-2021")</f>
        <v/>
      </c>
      <c r="W29">
        <f>HYPERLINK("https://klasma.github.io/Logging_0380/klagomålsmail/A 69711-2021 FSC-klagomål mail.docx", "A 69711-2021")</f>
        <v/>
      </c>
      <c r="X29">
        <f>HYPERLINK("https://klasma.github.io/Logging_0380/tillsyn/A 69711-2021 tillsynsbegäran.docx", "A 69711-2021")</f>
        <v/>
      </c>
      <c r="Y29">
        <f>HYPERLINK("https://klasma.github.io/Logging_0380/tillsynsmail/A 69711-2021 tillsynsbegäran mail.docx", "A 69711-2021")</f>
        <v/>
      </c>
      <c r="Z29">
        <f>HYPERLINK("https://klasma.github.io/Logging_0380/fåglar/A 69711-2021 prioriterade fågelarter.docx", "A 69711-2021")</f>
        <v/>
      </c>
    </row>
    <row r="30" ht="15" customHeight="1">
      <c r="A30" t="inlineStr">
        <is>
          <t>A 21809-2024</t>
        </is>
      </c>
      <c r="B30" s="1" t="n">
        <v>45442</v>
      </c>
      <c r="C30" s="1" t="n">
        <v>46195</v>
      </c>
      <c r="D30" t="inlineStr">
        <is>
          <t>UPPSALA LÄN</t>
        </is>
      </c>
      <c r="E30" t="inlineStr">
        <is>
          <t>UPPSALA</t>
        </is>
      </c>
      <c r="F30" t="inlineStr">
        <is>
          <t>Övriga statliga verk och myndigheter</t>
        </is>
      </c>
      <c r="G30" t="n">
        <v>6.6</v>
      </c>
      <c r="H30" t="n">
        <v>8</v>
      </c>
      <c r="I30" t="n">
        <v>1</v>
      </c>
      <c r="J30" t="n">
        <v>6</v>
      </c>
      <c r="K30" t="n">
        <v>3</v>
      </c>
      <c r="L30" t="n">
        <v>0</v>
      </c>
      <c r="M30" t="n">
        <v>0</v>
      </c>
      <c r="N30" t="n">
        <v>0</v>
      </c>
      <c r="O30" t="n">
        <v>9</v>
      </c>
      <c r="P30" t="n">
        <v>3</v>
      </c>
      <c r="Q30" t="n">
        <v>13</v>
      </c>
      <c r="R30" s="2" t="inlineStr">
        <is>
          <t>Bredbrämad bastardsvärmare
Cinnoberbagge
Igelkott
Brunlångöra
Järnsparv
Mindre tåtelsmygare
Nordfladdermus
Tallticka
Turkduva
Vågbandad barkbock
Blåsippa
Dvärgpipistrell
Vattenfladdermus</t>
        </is>
      </c>
      <c r="S30">
        <f>HYPERLINK("https://klasma.github.io/Logging_0380/artfynd/A 21809-2024 artfynd.xlsx", "A 21809-2024")</f>
        <v/>
      </c>
      <c r="T30">
        <f>HYPERLINK("https://klasma.github.io/Logging_0380/kartor/A 21809-2024 karta.png", "A 21809-2024")</f>
        <v/>
      </c>
      <c r="V30">
        <f>HYPERLINK("https://klasma.github.io/Logging_0380/klagomål/A 21809-2024 FSC-klagomål.docx", "A 21809-2024")</f>
        <v/>
      </c>
      <c r="W30">
        <f>HYPERLINK("https://klasma.github.io/Logging_0380/klagomålsmail/A 21809-2024 FSC-klagomål mail.docx", "A 21809-2024")</f>
        <v/>
      </c>
      <c r="X30">
        <f>HYPERLINK("https://klasma.github.io/Logging_0380/tillsyn/A 21809-2024 tillsynsbegäran.docx", "A 21809-2024")</f>
        <v/>
      </c>
      <c r="Y30">
        <f>HYPERLINK("https://klasma.github.io/Logging_0380/tillsynsmail/A 21809-2024 tillsynsbegäran mail.docx", "A 21809-2024")</f>
        <v/>
      </c>
      <c r="Z30">
        <f>HYPERLINK("https://klasma.github.io/Logging_0380/fåglar/A 21809-2024 prioriterade fågelarter.docx", "A 21809-2024")</f>
        <v/>
      </c>
    </row>
    <row r="31" ht="15" customHeight="1">
      <c r="A31" t="inlineStr">
        <is>
          <t>A 3100-2024</t>
        </is>
      </c>
      <c r="B31" s="1" t="n">
        <v>45316</v>
      </c>
      <c r="C31" s="1" t="n">
        <v>46195</v>
      </c>
      <c r="D31" t="inlineStr">
        <is>
          <t>UPPSALA LÄN</t>
        </is>
      </c>
      <c r="E31" t="inlineStr">
        <is>
          <t>UPPSALA</t>
        </is>
      </c>
      <c r="F31" t="inlineStr">
        <is>
          <t>Holmen skog AB</t>
        </is>
      </c>
      <c r="G31" t="n">
        <v>3.5</v>
      </c>
      <c r="H31" t="n">
        <v>10</v>
      </c>
      <c r="I31" t="n">
        <v>4</v>
      </c>
      <c r="J31" t="n">
        <v>3</v>
      </c>
      <c r="K31" t="n">
        <v>0</v>
      </c>
      <c r="L31" t="n">
        <v>0</v>
      </c>
      <c r="M31" t="n">
        <v>0</v>
      </c>
      <c r="N31" t="n">
        <v>0</v>
      </c>
      <c r="O31" t="n">
        <v>3</v>
      </c>
      <c r="P31" t="n">
        <v>0</v>
      </c>
      <c r="Q31" t="n">
        <v>13</v>
      </c>
      <c r="R31" s="2" t="inlineStr">
        <is>
          <t>Entita
Järnsparv
Talltita
Brandticka
Kärrkammossa
Nästrot
Underviol
Blåsippa
Grönsiska
Kungsfågel
Ärtsångare
Mindre vattensalamander
Vanlig groda</t>
        </is>
      </c>
      <c r="S31">
        <f>HYPERLINK("https://klasma.github.io/Logging_0380/artfynd/A 3100-2024 artfynd.xlsx", "A 3100-2024")</f>
        <v/>
      </c>
      <c r="T31">
        <f>HYPERLINK("https://klasma.github.io/Logging_0380/kartor/A 3100-2024 karta.png", "A 3100-2024")</f>
        <v/>
      </c>
      <c r="V31">
        <f>HYPERLINK("https://klasma.github.io/Logging_0380/klagomål/A 3100-2024 FSC-klagomål.docx", "A 3100-2024")</f>
        <v/>
      </c>
      <c r="W31">
        <f>HYPERLINK("https://klasma.github.io/Logging_0380/klagomålsmail/A 3100-2024 FSC-klagomål mail.docx", "A 3100-2024")</f>
        <v/>
      </c>
      <c r="X31">
        <f>HYPERLINK("https://klasma.github.io/Logging_0380/tillsyn/A 3100-2024 tillsynsbegäran.docx", "A 3100-2024")</f>
        <v/>
      </c>
      <c r="Y31">
        <f>HYPERLINK("https://klasma.github.io/Logging_0380/tillsynsmail/A 3100-2024 tillsynsbegäran mail.docx", "A 3100-2024")</f>
        <v/>
      </c>
      <c r="Z31">
        <f>HYPERLINK("https://klasma.github.io/Logging_0380/fåglar/A 3100-2024 prioriterade fågelarter.docx", "A 3100-2024")</f>
        <v/>
      </c>
    </row>
    <row r="32" ht="15" customHeight="1">
      <c r="A32" t="inlineStr">
        <is>
          <t>A 25604-2025</t>
        </is>
      </c>
      <c r="B32" s="1" t="n">
        <v>45803</v>
      </c>
      <c r="C32" s="1" t="n">
        <v>46195</v>
      </c>
      <c r="D32" t="inlineStr">
        <is>
          <t>UPPSALA LÄN</t>
        </is>
      </c>
      <c r="E32" t="inlineStr">
        <is>
          <t>UPPSALA</t>
        </is>
      </c>
      <c r="F32" t="inlineStr">
        <is>
          <t>Holmen skog AB</t>
        </is>
      </c>
      <c r="G32" t="n">
        <v>4.7</v>
      </c>
      <c r="H32" t="n">
        <v>8</v>
      </c>
      <c r="I32" t="n">
        <v>3</v>
      </c>
      <c r="J32" t="n">
        <v>2</v>
      </c>
      <c r="K32" t="n">
        <v>1</v>
      </c>
      <c r="L32" t="n">
        <v>0</v>
      </c>
      <c r="M32" t="n">
        <v>0</v>
      </c>
      <c r="N32" t="n">
        <v>0</v>
      </c>
      <c r="O32" t="n">
        <v>3</v>
      </c>
      <c r="P32" t="n">
        <v>1</v>
      </c>
      <c r="Q32" t="n">
        <v>13</v>
      </c>
      <c r="R32" s="2" t="inlineStr">
        <is>
          <t>Knärot
Talltita
Vedtrappmossa
Bronshjon
Grönpyrola
Vågbandad barkbock
Blåsippa
Kransmossa
Spillkråka
Tallbit
Grönsiska
Kungsfågel
Kopparödla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2021-2022</t>
        </is>
      </c>
      <c r="B33" s="1" t="n">
        <v>44575</v>
      </c>
      <c r="C33" s="1" t="n">
        <v>46195</v>
      </c>
      <c r="D33" t="inlineStr">
        <is>
          <t>UPPSALA LÄN</t>
        </is>
      </c>
      <c r="E33" t="inlineStr">
        <is>
          <t>UPPSALA</t>
        </is>
      </c>
      <c r="G33" t="n">
        <v>11.3</v>
      </c>
      <c r="H33" t="n">
        <v>7</v>
      </c>
      <c r="I33" t="n">
        <v>1</v>
      </c>
      <c r="J33" t="n">
        <v>2</v>
      </c>
      <c r="K33" t="n">
        <v>2</v>
      </c>
      <c r="L33" t="n">
        <v>1</v>
      </c>
      <c r="M33" t="n">
        <v>0</v>
      </c>
      <c r="N33" t="n">
        <v>0</v>
      </c>
      <c r="O33" t="n">
        <v>5</v>
      </c>
      <c r="P33" t="n">
        <v>3</v>
      </c>
      <c r="Q33" t="n">
        <v>12</v>
      </c>
      <c r="R33" s="2" t="inlineStr">
        <is>
          <t>Ask
Gulvit blekspik
Stare
Motaggsvamp
Tallticka
Skinnlav
Blåsippa
Spillkråka
Buskskvätta
Grönsiska
Ärtsångare
Gullviva</t>
        </is>
      </c>
      <c r="S33">
        <f>HYPERLINK("https://klasma.github.io/Logging_0380/artfynd/A 2021-2022 artfynd.xlsx", "A 2021-2022")</f>
        <v/>
      </c>
      <c r="T33">
        <f>HYPERLINK("https://klasma.github.io/Logging_0380/kartor/A 2021-2022 karta.png", "A 2021-2022")</f>
        <v/>
      </c>
      <c r="V33">
        <f>HYPERLINK("https://klasma.github.io/Logging_0380/klagomål/A 2021-2022 FSC-klagomål.docx", "A 2021-2022")</f>
        <v/>
      </c>
      <c r="W33">
        <f>HYPERLINK("https://klasma.github.io/Logging_0380/klagomålsmail/A 2021-2022 FSC-klagomål mail.docx", "A 2021-2022")</f>
        <v/>
      </c>
      <c r="X33">
        <f>HYPERLINK("https://klasma.github.io/Logging_0380/tillsyn/A 2021-2022 tillsynsbegäran.docx", "A 2021-2022")</f>
        <v/>
      </c>
      <c r="Y33">
        <f>HYPERLINK("https://klasma.github.io/Logging_0380/tillsynsmail/A 2021-2022 tillsynsbegäran mail.docx", "A 2021-2022")</f>
        <v/>
      </c>
      <c r="Z33">
        <f>HYPERLINK("https://klasma.github.io/Logging_0380/fåglar/A 2021-2022 prioriterade fågelarter.docx", "A 2021-2022")</f>
        <v/>
      </c>
    </row>
    <row r="34" ht="15" customHeight="1">
      <c r="A34" t="inlineStr">
        <is>
          <t>A 47453-2023</t>
        </is>
      </c>
      <c r="B34" s="1" t="n">
        <v>45202</v>
      </c>
      <c r="C34" s="1" t="n">
        <v>46195</v>
      </c>
      <c r="D34" t="inlineStr">
        <is>
          <t>UPPSALA LÄN</t>
        </is>
      </c>
      <c r="E34" t="inlineStr">
        <is>
          <t>UPPSALA</t>
        </is>
      </c>
      <c r="F34" t="inlineStr">
        <is>
          <t>Allmännings- och besparingsskogar</t>
        </is>
      </c>
      <c r="G34" t="n">
        <v>32.8</v>
      </c>
      <c r="H34" t="n">
        <v>5</v>
      </c>
      <c r="I34" t="n">
        <v>3</v>
      </c>
      <c r="J34" t="n">
        <v>6</v>
      </c>
      <c r="K34" t="n">
        <v>2</v>
      </c>
      <c r="L34" t="n">
        <v>0</v>
      </c>
      <c r="M34" t="n">
        <v>0</v>
      </c>
      <c r="N34" t="n">
        <v>0</v>
      </c>
      <c r="O34" t="n">
        <v>8</v>
      </c>
      <c r="P34" t="n">
        <v>2</v>
      </c>
      <c r="Q34" t="n">
        <v>12</v>
      </c>
      <c r="R34" s="2" t="inlineStr">
        <is>
          <t>Knärot
Ostticka
Sparvuggla
Större flatbagge
Tallticka
Talltita
Tretåig hackspett
Vedtrappmossa
Bronshjon
Jättesvampmal
Thomsons trägnagare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21674-2024</t>
        </is>
      </c>
      <c r="B35" s="1" t="n">
        <v>45442</v>
      </c>
      <c r="C35" s="1" t="n">
        <v>46195</v>
      </c>
      <c r="D35" t="inlineStr">
        <is>
          <t>UPPSALA LÄN</t>
        </is>
      </c>
      <c r="E35" t="inlineStr">
        <is>
          <t>UPPSALA</t>
        </is>
      </c>
      <c r="G35" t="n">
        <v>0.9</v>
      </c>
      <c r="H35" t="n">
        <v>12</v>
      </c>
      <c r="I35" t="n">
        <v>0</v>
      </c>
      <c r="J35" t="n">
        <v>3</v>
      </c>
      <c r="K35" t="n">
        <v>4</v>
      </c>
      <c r="L35" t="n">
        <v>0</v>
      </c>
      <c r="M35" t="n">
        <v>0</v>
      </c>
      <c r="N35" t="n">
        <v>0</v>
      </c>
      <c r="O35" t="n">
        <v>7</v>
      </c>
      <c r="P35" t="n">
        <v>4</v>
      </c>
      <c r="Q35" t="n">
        <v>12</v>
      </c>
      <c r="R35" s="2" t="inlineStr">
        <is>
          <t>Gräshoppsångare
Grönfink
Stare
Tornseglare
Entita
Gulsparv
Sädesärla
Grönsiska
Kråka
Svartvit flugsnappare
Sångsvan
Trana</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46162-2023</t>
        </is>
      </c>
      <c r="B36" s="1" t="n">
        <v>45196</v>
      </c>
      <c r="C36" s="1" t="n">
        <v>46195</v>
      </c>
      <c r="D36" t="inlineStr">
        <is>
          <t>UPPSALA LÄN</t>
        </is>
      </c>
      <c r="E36" t="inlineStr">
        <is>
          <t>UPPSALA</t>
        </is>
      </c>
      <c r="G36" t="n">
        <v>5.5</v>
      </c>
      <c r="H36" t="n">
        <v>1</v>
      </c>
      <c r="I36" t="n">
        <v>5</v>
      </c>
      <c r="J36" t="n">
        <v>6</v>
      </c>
      <c r="K36" t="n">
        <v>1</v>
      </c>
      <c r="L36" t="n">
        <v>0</v>
      </c>
      <c r="M36" t="n">
        <v>0</v>
      </c>
      <c r="N36" t="n">
        <v>0</v>
      </c>
      <c r="O36" t="n">
        <v>7</v>
      </c>
      <c r="P36" t="n">
        <v>1</v>
      </c>
      <c r="Q36" t="n">
        <v>12</v>
      </c>
      <c r="R36" s="2" t="inlineStr">
        <is>
          <t>Knärot
Dropptaggsvamp
Fjällig taggsvamp s.str.
Rynkskinn
Såpfingersvamp
Ullticka
Vedtrappmossa
Bronshjon
Grönpyrola
Svavelriska
Vedticka
Vågbandad barkbock</t>
        </is>
      </c>
      <c r="S36">
        <f>HYPERLINK("https://klasma.github.io/Logging_0380/artfynd/A 46162-2023 artfynd.xlsx", "A 46162-2023")</f>
        <v/>
      </c>
      <c r="T36">
        <f>HYPERLINK("https://klasma.github.io/Logging_0380/kartor/A 46162-2023 karta.png", "A 46162-2023")</f>
        <v/>
      </c>
      <c r="U36">
        <f>HYPERLINK("https://klasma.github.io/Logging_0380/knärot/A 46162-2023 karta knärot.png", "A 46162-2023")</f>
        <v/>
      </c>
      <c r="V36">
        <f>HYPERLINK("https://klasma.github.io/Logging_0380/klagomål/A 46162-2023 FSC-klagomål.docx", "A 46162-2023")</f>
        <v/>
      </c>
      <c r="W36">
        <f>HYPERLINK("https://klasma.github.io/Logging_0380/klagomålsmail/A 46162-2023 FSC-klagomål mail.docx", "A 46162-2023")</f>
        <v/>
      </c>
      <c r="X36">
        <f>HYPERLINK("https://klasma.github.io/Logging_0380/tillsyn/A 46162-2023 tillsynsbegäran.docx", "A 46162-2023")</f>
        <v/>
      </c>
      <c r="Y36">
        <f>HYPERLINK("https://klasma.github.io/Logging_0380/tillsynsmail/A 46162-2023 tillsynsbegäran mail.docx", "A 46162-2023")</f>
        <v/>
      </c>
    </row>
    <row r="37" ht="15" customHeight="1">
      <c r="A37" t="inlineStr">
        <is>
          <t>A 9401-2025</t>
        </is>
      </c>
      <c r="B37" s="1" t="n">
        <v>45715</v>
      </c>
      <c r="C37" s="1" t="n">
        <v>46195</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46195</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46195</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46195</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59539-2025</t>
        </is>
      </c>
      <c r="B41" s="1" t="n">
        <v>45989</v>
      </c>
      <c r="C41" s="1" t="n">
        <v>46195</v>
      </c>
      <c r="D41" t="inlineStr">
        <is>
          <t>UPPSALA LÄN</t>
        </is>
      </c>
      <c r="E41" t="inlineStr">
        <is>
          <t>UPPSALA</t>
        </is>
      </c>
      <c r="G41" t="n">
        <v>3.3</v>
      </c>
      <c r="H41" t="n">
        <v>5</v>
      </c>
      <c r="I41" t="n">
        <v>3</v>
      </c>
      <c r="J41" t="n">
        <v>3</v>
      </c>
      <c r="K41" t="n">
        <v>1</v>
      </c>
      <c r="L41" t="n">
        <v>0</v>
      </c>
      <c r="M41" t="n">
        <v>0</v>
      </c>
      <c r="N41" t="n">
        <v>0</v>
      </c>
      <c r="O41" t="n">
        <v>4</v>
      </c>
      <c r="P41" t="n">
        <v>1</v>
      </c>
      <c r="Q41" t="n">
        <v>10</v>
      </c>
      <c r="R41" s="2" t="inlineStr">
        <is>
          <t>Knärot
Tallticka
Talltita
Ullticka
Björksplintborre
Vedticka
Vågbandad barkbock
Spillkråka
Lopplummer (aggregat)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48755-2025</t>
        </is>
      </c>
      <c r="B42" s="1" t="n">
        <v>45936</v>
      </c>
      <c r="C42" s="1" t="n">
        <v>46195</v>
      </c>
      <c r="D42" t="inlineStr">
        <is>
          <t>UPPSALA LÄN</t>
        </is>
      </c>
      <c r="E42" t="inlineStr">
        <is>
          <t>UPPSALA</t>
        </is>
      </c>
      <c r="F42" t="inlineStr">
        <is>
          <t>Allmännings- och besparingsskogar</t>
        </is>
      </c>
      <c r="G42" t="n">
        <v>6.3</v>
      </c>
      <c r="H42" t="n">
        <v>4</v>
      </c>
      <c r="I42" t="n">
        <v>5</v>
      </c>
      <c r="J42" t="n">
        <v>3</v>
      </c>
      <c r="K42" t="n">
        <v>1</v>
      </c>
      <c r="L42" t="n">
        <v>0</v>
      </c>
      <c r="M42" t="n">
        <v>0</v>
      </c>
      <c r="N42" t="n">
        <v>0</v>
      </c>
      <c r="O42" t="n">
        <v>4</v>
      </c>
      <c r="P42" t="n">
        <v>1</v>
      </c>
      <c r="Q42" t="n">
        <v>10</v>
      </c>
      <c r="R42" s="2" t="inlineStr">
        <is>
          <t>Knärot
Tallkötticka
Talltita
Vedtrappmossa
Björksplintborre
Grön sköldmossa
Jättesvampmal
Trådticka
Vedticka
Spillkråka</t>
        </is>
      </c>
      <c r="S42">
        <f>HYPERLINK("https://klasma.github.io/Logging_0380/artfynd/A 48755-2025 artfynd.xlsx", "A 48755-2025")</f>
        <v/>
      </c>
      <c r="T42">
        <f>HYPERLINK("https://klasma.github.io/Logging_0380/kartor/A 48755-2025 karta.png", "A 48755-2025")</f>
        <v/>
      </c>
      <c r="U42">
        <f>HYPERLINK("https://klasma.github.io/Logging_0380/knärot/A 48755-2025 karta knärot.png", "A 48755-2025")</f>
        <v/>
      </c>
      <c r="V42">
        <f>HYPERLINK("https://klasma.github.io/Logging_0380/klagomål/A 48755-2025 FSC-klagomål.docx", "A 48755-2025")</f>
        <v/>
      </c>
      <c r="W42">
        <f>HYPERLINK("https://klasma.github.io/Logging_0380/klagomålsmail/A 48755-2025 FSC-klagomål mail.docx", "A 48755-2025")</f>
        <v/>
      </c>
      <c r="X42">
        <f>HYPERLINK("https://klasma.github.io/Logging_0380/tillsyn/A 48755-2025 tillsynsbegäran.docx", "A 48755-2025")</f>
        <v/>
      </c>
      <c r="Y42">
        <f>HYPERLINK("https://klasma.github.io/Logging_0380/tillsynsmail/A 48755-2025 tillsynsbegäran mail.docx", "A 48755-2025")</f>
        <v/>
      </c>
      <c r="Z42">
        <f>HYPERLINK("https://klasma.github.io/Logging_0380/fåglar/A 48755-2025 prioriterade fågelarter.docx", "A 48755-2025")</f>
        <v/>
      </c>
    </row>
    <row r="43" ht="15" customHeight="1">
      <c r="A43" t="inlineStr">
        <is>
          <t>A 14466-2026</t>
        </is>
      </c>
      <c r="B43" s="1" t="n">
        <v>46100</v>
      </c>
      <c r="C43" s="1" t="n">
        <v>46195</v>
      </c>
      <c r="D43" t="inlineStr">
        <is>
          <t>UPPSALA LÄN</t>
        </is>
      </c>
      <c r="E43" t="inlineStr">
        <is>
          <t>UPPSALA</t>
        </is>
      </c>
      <c r="G43" t="n">
        <v>4.5</v>
      </c>
      <c r="H43" t="n">
        <v>2</v>
      </c>
      <c r="I43" t="n">
        <v>5</v>
      </c>
      <c r="J43" t="n">
        <v>3</v>
      </c>
      <c r="K43" t="n">
        <v>1</v>
      </c>
      <c r="L43" t="n">
        <v>0</v>
      </c>
      <c r="M43" t="n">
        <v>0</v>
      </c>
      <c r="N43" t="n">
        <v>0</v>
      </c>
      <c r="O43" t="n">
        <v>4</v>
      </c>
      <c r="P43" t="n">
        <v>1</v>
      </c>
      <c r="Q43" t="n">
        <v>10</v>
      </c>
      <c r="R43" s="2" t="inlineStr">
        <is>
          <t>Liten hornflikmossa
Fjällig taggsvamp s.str.
Vedtrappmossa
Vårärt
Grön sköldmossa
Stubbspretmossa
Svavelriska
Trubbfjädermossa
Underviol
Blåsippa</t>
        </is>
      </c>
      <c r="S43">
        <f>HYPERLINK("https://klasma.github.io/Logging_0380/artfynd/A 14466-2026 artfynd.xlsx", "A 14466-2026")</f>
        <v/>
      </c>
      <c r="T43">
        <f>HYPERLINK("https://klasma.github.io/Logging_0380/kartor/A 14466-2026 karta.png", "A 14466-2026")</f>
        <v/>
      </c>
      <c r="V43">
        <f>HYPERLINK("https://klasma.github.io/Logging_0380/klagomål/A 14466-2026 FSC-klagomål.docx", "A 14466-2026")</f>
        <v/>
      </c>
      <c r="W43">
        <f>HYPERLINK("https://klasma.github.io/Logging_0380/klagomålsmail/A 14466-2026 FSC-klagomål mail.docx", "A 14466-2026")</f>
        <v/>
      </c>
      <c r="X43">
        <f>HYPERLINK("https://klasma.github.io/Logging_0380/tillsyn/A 14466-2026 tillsynsbegäran.docx", "A 14466-2026")</f>
        <v/>
      </c>
      <c r="Y43">
        <f>HYPERLINK("https://klasma.github.io/Logging_0380/tillsynsmail/A 14466-2026 tillsynsbegäran mail.docx", "A 14466-2026")</f>
        <v/>
      </c>
    </row>
    <row r="44" ht="15" customHeight="1">
      <c r="A44" t="inlineStr">
        <is>
          <t>A 9206-2024</t>
        </is>
      </c>
      <c r="B44" s="1" t="n">
        <v>45358</v>
      </c>
      <c r="C44" s="1" t="n">
        <v>46195</v>
      </c>
      <c r="D44" t="inlineStr">
        <is>
          <t>UPPSALA LÄN</t>
        </is>
      </c>
      <c r="E44" t="inlineStr">
        <is>
          <t>UPPSALA</t>
        </is>
      </c>
      <c r="F44" t="inlineStr">
        <is>
          <t>Allmännings- och besparingsskogar</t>
        </is>
      </c>
      <c r="G44" t="n">
        <v>22.2</v>
      </c>
      <c r="H44" t="n">
        <v>4</v>
      </c>
      <c r="I44" t="n">
        <v>3</v>
      </c>
      <c r="J44" t="n">
        <v>3</v>
      </c>
      <c r="K44" t="n">
        <v>2</v>
      </c>
      <c r="L44" t="n">
        <v>0</v>
      </c>
      <c r="M44" t="n">
        <v>0</v>
      </c>
      <c r="N44" t="n">
        <v>0</v>
      </c>
      <c r="O44" t="n">
        <v>5</v>
      </c>
      <c r="P44" t="n">
        <v>2</v>
      </c>
      <c r="Q44" t="n">
        <v>10</v>
      </c>
      <c r="R44" s="2" t="inlineStr">
        <is>
          <t>Gränsticka
Knärot
Gransotdyna
Talltita
Vedtrappmossa
Brandticka
Bronshjon
Granbarkgnagare
Spillkråka
Revlummer</t>
        </is>
      </c>
      <c r="S44">
        <f>HYPERLINK("https://klasma.github.io/Logging_0380/artfynd/A 9206-2024 artfynd.xlsx", "A 9206-2024")</f>
        <v/>
      </c>
      <c r="T44">
        <f>HYPERLINK("https://klasma.github.io/Logging_0380/kartor/A 9206-2024 karta.png", "A 9206-2024")</f>
        <v/>
      </c>
      <c r="U44">
        <f>HYPERLINK("https://klasma.github.io/Logging_0380/knärot/A 9206-2024 karta knärot.png", "A 9206-2024")</f>
        <v/>
      </c>
      <c r="V44">
        <f>HYPERLINK("https://klasma.github.io/Logging_0380/klagomål/A 9206-2024 FSC-klagomål.docx", "A 9206-2024")</f>
        <v/>
      </c>
      <c r="W44">
        <f>HYPERLINK("https://klasma.github.io/Logging_0380/klagomålsmail/A 9206-2024 FSC-klagomål mail.docx", "A 9206-2024")</f>
        <v/>
      </c>
      <c r="X44">
        <f>HYPERLINK("https://klasma.github.io/Logging_0380/tillsyn/A 9206-2024 tillsynsbegäran.docx", "A 9206-2024")</f>
        <v/>
      </c>
      <c r="Y44">
        <f>HYPERLINK("https://klasma.github.io/Logging_0380/tillsynsmail/A 9206-2024 tillsynsbegäran mail.docx", "A 9206-2024")</f>
        <v/>
      </c>
      <c r="Z44">
        <f>HYPERLINK("https://klasma.github.io/Logging_0380/fåglar/A 9206-2024 prioriterade fågelarter.docx", "A 9206-2024")</f>
        <v/>
      </c>
    </row>
    <row r="45" ht="15" customHeight="1">
      <c r="A45" t="inlineStr">
        <is>
          <t>A 24684-2026</t>
        </is>
      </c>
      <c r="B45" s="1" t="n">
        <v>46171</v>
      </c>
      <c r="C45" s="1" t="n">
        <v>46195</v>
      </c>
      <c r="D45" t="inlineStr">
        <is>
          <t>UPPSALA LÄN</t>
        </is>
      </c>
      <c r="E45" t="inlineStr">
        <is>
          <t>UPPSALA</t>
        </is>
      </c>
      <c r="F45" t="inlineStr">
        <is>
          <t>Allmännings- och besparingsskogar</t>
        </is>
      </c>
      <c r="G45" t="n">
        <v>5.5</v>
      </c>
      <c r="H45" t="n">
        <v>3</v>
      </c>
      <c r="I45" t="n">
        <v>5</v>
      </c>
      <c r="J45" t="n">
        <v>1</v>
      </c>
      <c r="K45" t="n">
        <v>1</v>
      </c>
      <c r="L45" t="n">
        <v>0</v>
      </c>
      <c r="M45" t="n">
        <v>0</v>
      </c>
      <c r="N45" t="n">
        <v>0</v>
      </c>
      <c r="O45" t="n">
        <v>3</v>
      </c>
      <c r="P45" t="n">
        <v>1</v>
      </c>
      <c r="Q45" t="n">
        <v>10</v>
      </c>
      <c r="R45" s="2" t="inlineStr">
        <is>
          <t>Knärot
Vedtrappmossa
Porodaedalea chrysoloma
Björksplintborre
Bronshjon
Granbarkgnagare
Korallrot
Vågbandad barkbock
Kransmossa
Spillkråka</t>
        </is>
      </c>
      <c r="S45">
        <f>HYPERLINK("https://klasma.github.io/Logging_0380/artfynd/A 24684-2026 artfynd.xlsx", "A 24684-2026")</f>
        <v/>
      </c>
      <c r="T45">
        <f>HYPERLINK("https://klasma.github.io/Logging_0380/kartor/A 24684-2026 karta.png", "A 24684-2026")</f>
        <v/>
      </c>
      <c r="U45">
        <f>HYPERLINK("https://klasma.github.io/Logging_0380/knärot/A 24684-2026 karta knärot.png", "A 24684-2026")</f>
        <v/>
      </c>
      <c r="V45">
        <f>HYPERLINK("https://klasma.github.io/Logging_0380/klagomål/A 24684-2026 FSC-klagomål.docx", "A 24684-2026")</f>
        <v/>
      </c>
      <c r="W45">
        <f>HYPERLINK("https://klasma.github.io/Logging_0380/klagomålsmail/A 24684-2026 FSC-klagomål mail.docx", "A 24684-2026")</f>
        <v/>
      </c>
      <c r="X45">
        <f>HYPERLINK("https://klasma.github.io/Logging_0380/tillsyn/A 24684-2026 tillsynsbegäran.docx", "A 24684-2026")</f>
        <v/>
      </c>
      <c r="Y45">
        <f>HYPERLINK("https://klasma.github.io/Logging_0380/tillsynsmail/A 24684-2026 tillsynsbegäran mail.docx", "A 24684-2026")</f>
        <v/>
      </c>
      <c r="Z45">
        <f>HYPERLINK("https://klasma.github.io/Logging_0380/fåglar/A 24684-2026 prioriterade fågelarter.docx", "A 24684-2026")</f>
        <v/>
      </c>
    </row>
    <row r="46" ht="15" customHeight="1">
      <c r="A46" t="inlineStr">
        <is>
          <t>A 61014-2021</t>
        </is>
      </c>
      <c r="B46" s="1" t="n">
        <v>44497</v>
      </c>
      <c r="C46" s="1" t="n">
        <v>46195</v>
      </c>
      <c r="D46" t="inlineStr">
        <is>
          <t>UPPSALA LÄN</t>
        </is>
      </c>
      <c r="E46" t="inlineStr">
        <is>
          <t>UPPSALA</t>
        </is>
      </c>
      <c r="G46" t="n">
        <v>6.6</v>
      </c>
      <c r="H46" t="n">
        <v>3</v>
      </c>
      <c r="I46" t="n">
        <v>2</v>
      </c>
      <c r="J46" t="n">
        <v>3</v>
      </c>
      <c r="K46" t="n">
        <v>2</v>
      </c>
      <c r="L46" t="n">
        <v>0</v>
      </c>
      <c r="M46" t="n">
        <v>0</v>
      </c>
      <c r="N46" t="n">
        <v>0</v>
      </c>
      <c r="O46" t="n">
        <v>5</v>
      </c>
      <c r="P46" t="n">
        <v>2</v>
      </c>
      <c r="Q46" t="n">
        <v>9</v>
      </c>
      <c r="R46" s="2" t="inlineStr">
        <is>
          <t>Garnlav
Knärot
Grönhjon
Rynkskinn
Ullticka
Brandticka
Vedticka
Tallbit
Kungsfågel</t>
        </is>
      </c>
      <c r="S46">
        <f>HYPERLINK("https://klasma.github.io/Logging_0380/artfynd/A 61014-2021 artfynd.xlsx", "A 61014-2021")</f>
        <v/>
      </c>
      <c r="T46">
        <f>HYPERLINK("https://klasma.github.io/Logging_0380/kartor/A 61014-2021 karta.png", "A 61014-2021")</f>
        <v/>
      </c>
      <c r="U46">
        <f>HYPERLINK("https://klasma.github.io/Logging_0380/knärot/A 61014-2021 karta knärot.png", "A 61014-2021")</f>
        <v/>
      </c>
      <c r="V46">
        <f>HYPERLINK("https://klasma.github.io/Logging_0380/klagomål/A 61014-2021 FSC-klagomål.docx", "A 61014-2021")</f>
        <v/>
      </c>
      <c r="W46">
        <f>HYPERLINK("https://klasma.github.io/Logging_0380/klagomålsmail/A 61014-2021 FSC-klagomål mail.docx", "A 61014-2021")</f>
        <v/>
      </c>
      <c r="X46">
        <f>HYPERLINK("https://klasma.github.io/Logging_0380/tillsyn/A 61014-2021 tillsynsbegäran.docx", "A 61014-2021")</f>
        <v/>
      </c>
      <c r="Y46">
        <f>HYPERLINK("https://klasma.github.io/Logging_0380/tillsynsmail/A 61014-2021 tillsynsbegäran mail.docx", "A 61014-2021")</f>
        <v/>
      </c>
      <c r="Z46">
        <f>HYPERLINK("https://klasma.github.io/Logging_0380/fåglar/A 61014-2021 prioriterade fågelarter.docx", "A 61014-2021")</f>
        <v/>
      </c>
    </row>
    <row r="47" ht="15" customHeight="1">
      <c r="A47" t="inlineStr">
        <is>
          <t>A 26758-2022</t>
        </is>
      </c>
      <c r="B47" s="1" t="n">
        <v>44740</v>
      </c>
      <c r="C47" s="1" t="n">
        <v>46195</v>
      </c>
      <c r="D47" t="inlineStr">
        <is>
          <t>UPPSALA LÄN</t>
        </is>
      </c>
      <c r="E47" t="inlineStr">
        <is>
          <t>UPPSALA</t>
        </is>
      </c>
      <c r="G47" t="n">
        <v>21.5</v>
      </c>
      <c r="H47" t="n">
        <v>3</v>
      </c>
      <c r="I47" t="n">
        <v>5</v>
      </c>
      <c r="J47" t="n">
        <v>2</v>
      </c>
      <c r="K47" t="n">
        <v>0</v>
      </c>
      <c r="L47" t="n">
        <v>0</v>
      </c>
      <c r="M47" t="n">
        <v>0</v>
      </c>
      <c r="N47" t="n">
        <v>0</v>
      </c>
      <c r="O47" t="n">
        <v>2</v>
      </c>
      <c r="P47" t="n">
        <v>0</v>
      </c>
      <c r="Q47" t="n">
        <v>9</v>
      </c>
      <c r="R47" s="2" t="inlineStr">
        <is>
          <t>Dvärgbägarlav
Vedtrappmossa
Blåmossa
Bronshjon
Grön sköldmossa
Thomsons trägnagare
Trådticka
Blåsippa
Mattlummer</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59538-2025</t>
        </is>
      </c>
      <c r="B48" s="1" t="n">
        <v>45989</v>
      </c>
      <c r="C48" s="1" t="n">
        <v>46195</v>
      </c>
      <c r="D48" t="inlineStr">
        <is>
          <t>UPPSALA LÄN</t>
        </is>
      </c>
      <c r="E48" t="inlineStr">
        <is>
          <t>UPPSALA</t>
        </is>
      </c>
      <c r="G48" t="n">
        <v>4.3</v>
      </c>
      <c r="H48" t="n">
        <v>5</v>
      </c>
      <c r="I48" t="n">
        <v>3</v>
      </c>
      <c r="J48" t="n">
        <v>2</v>
      </c>
      <c r="K48" t="n">
        <v>1</v>
      </c>
      <c r="L48" t="n">
        <v>0</v>
      </c>
      <c r="M48" t="n">
        <v>0</v>
      </c>
      <c r="N48" t="n">
        <v>0</v>
      </c>
      <c r="O48" t="n">
        <v>3</v>
      </c>
      <c r="P48" t="n">
        <v>1</v>
      </c>
      <c r="Q48" t="n">
        <v>9</v>
      </c>
      <c r="R48" s="2" t="inlineStr">
        <is>
          <t>Knärot
Talltita
Ullticka
Bronshjon
Granbarkgnagare
Vågbandad barkbock
Spillkråka
Lopplummer (aggregat)
Revlummer</t>
        </is>
      </c>
      <c r="S48">
        <f>HYPERLINK("https://klasma.github.io/Logging_0380/artfynd/A 59538-2025 artfynd.xlsx", "A 59538-2025")</f>
        <v/>
      </c>
      <c r="T48">
        <f>HYPERLINK("https://klasma.github.io/Logging_0380/kartor/A 59538-2025 karta.png", "A 59538-2025")</f>
        <v/>
      </c>
      <c r="U48">
        <f>HYPERLINK("https://klasma.github.io/Logging_0380/knärot/A 59538-2025 karta knärot.png", "A 59538-2025")</f>
        <v/>
      </c>
      <c r="V48">
        <f>HYPERLINK("https://klasma.github.io/Logging_0380/klagomål/A 59538-2025 FSC-klagomål.docx", "A 59538-2025")</f>
        <v/>
      </c>
      <c r="W48">
        <f>HYPERLINK("https://klasma.github.io/Logging_0380/klagomålsmail/A 59538-2025 FSC-klagomål mail.docx", "A 59538-2025")</f>
        <v/>
      </c>
      <c r="X48">
        <f>HYPERLINK("https://klasma.github.io/Logging_0380/tillsyn/A 59538-2025 tillsynsbegäran.docx", "A 59538-2025")</f>
        <v/>
      </c>
      <c r="Y48">
        <f>HYPERLINK("https://klasma.github.io/Logging_0380/tillsynsmail/A 59538-2025 tillsynsbegäran mail.docx", "A 59538-2025")</f>
        <v/>
      </c>
      <c r="Z48">
        <f>HYPERLINK("https://klasma.github.io/Logging_0380/fåglar/A 59538-2025 prioriterade fågelarter.docx", "A 59538-2025")</f>
        <v/>
      </c>
    </row>
    <row r="49" ht="15" customHeight="1">
      <c r="A49" t="inlineStr">
        <is>
          <t>A 55788-2025</t>
        </is>
      </c>
      <c r="B49" s="1" t="n">
        <v>45972</v>
      </c>
      <c r="C49" s="1" t="n">
        <v>46195</v>
      </c>
      <c r="D49" t="inlineStr">
        <is>
          <t>UPPSALA LÄN</t>
        </is>
      </c>
      <c r="E49" t="inlineStr">
        <is>
          <t>UPPSALA</t>
        </is>
      </c>
      <c r="F49" t="inlineStr">
        <is>
          <t>Holmen skog AB</t>
        </is>
      </c>
      <c r="G49" t="n">
        <v>6.9</v>
      </c>
      <c r="H49" t="n">
        <v>6</v>
      </c>
      <c r="I49" t="n">
        <v>0</v>
      </c>
      <c r="J49" t="n">
        <v>5</v>
      </c>
      <c r="K49" t="n">
        <v>0</v>
      </c>
      <c r="L49" t="n">
        <v>0</v>
      </c>
      <c r="M49" t="n">
        <v>0</v>
      </c>
      <c r="N49" t="n">
        <v>0</v>
      </c>
      <c r="O49" t="n">
        <v>5</v>
      </c>
      <c r="P49" t="n">
        <v>0</v>
      </c>
      <c r="Q49" t="n">
        <v>9</v>
      </c>
      <c r="R49" s="2" t="inlineStr">
        <is>
          <t>Ekticka
Järnsparv
Rödbrun blekspik
Talltita
Vårärt
Blåsippa
Tjäder
Kungsfågel
Gullviva</t>
        </is>
      </c>
      <c r="S49">
        <f>HYPERLINK("https://klasma.github.io/Logging_0380/artfynd/A 55788-2025 artfynd.xlsx", "A 55788-2025")</f>
        <v/>
      </c>
      <c r="T49">
        <f>HYPERLINK("https://klasma.github.io/Logging_0380/kartor/A 55788-2025 karta.png", "A 55788-2025")</f>
        <v/>
      </c>
      <c r="V49">
        <f>HYPERLINK("https://klasma.github.io/Logging_0380/klagomål/A 55788-2025 FSC-klagomål.docx", "A 55788-2025")</f>
        <v/>
      </c>
      <c r="W49">
        <f>HYPERLINK("https://klasma.github.io/Logging_0380/klagomålsmail/A 55788-2025 FSC-klagomål mail.docx", "A 55788-2025")</f>
        <v/>
      </c>
      <c r="X49">
        <f>HYPERLINK("https://klasma.github.io/Logging_0380/tillsyn/A 55788-2025 tillsynsbegäran.docx", "A 55788-2025")</f>
        <v/>
      </c>
      <c r="Y49">
        <f>HYPERLINK("https://klasma.github.io/Logging_0380/tillsynsmail/A 55788-2025 tillsynsbegäran mail.docx", "A 55788-2025")</f>
        <v/>
      </c>
      <c r="Z49">
        <f>HYPERLINK("https://klasma.github.io/Logging_0380/fåglar/A 55788-2025 prioriterade fågelarter.docx", "A 55788-2025")</f>
        <v/>
      </c>
    </row>
    <row r="50" ht="15" customHeight="1">
      <c r="A50" t="inlineStr">
        <is>
          <t>A 25608-2025</t>
        </is>
      </c>
      <c r="B50" s="1" t="n">
        <v>45803</v>
      </c>
      <c r="C50" s="1" t="n">
        <v>46195</v>
      </c>
      <c r="D50" t="inlineStr">
        <is>
          <t>UPPSALA LÄN</t>
        </is>
      </c>
      <c r="E50" t="inlineStr">
        <is>
          <t>UPPSALA</t>
        </is>
      </c>
      <c r="F50" t="inlineStr">
        <is>
          <t>Holmen skog AB</t>
        </is>
      </c>
      <c r="G50" t="n">
        <v>3</v>
      </c>
      <c r="H50" t="n">
        <v>4</v>
      </c>
      <c r="I50" t="n">
        <v>3</v>
      </c>
      <c r="J50" t="n">
        <v>3</v>
      </c>
      <c r="K50" t="n">
        <v>1</v>
      </c>
      <c r="L50" t="n">
        <v>0</v>
      </c>
      <c r="M50" t="n">
        <v>0</v>
      </c>
      <c r="N50" t="n">
        <v>0</v>
      </c>
      <c r="O50" t="n">
        <v>4</v>
      </c>
      <c r="P50" t="n">
        <v>1</v>
      </c>
      <c r="Q50" t="n">
        <v>9</v>
      </c>
      <c r="R50" s="2" t="inlineStr">
        <is>
          <t>Knärot
Rynkskinn
Talltita
Ullticka
Bronshjon
Stuplav
Vågbandad barkbock
Blåsippa
Spillkråka</t>
        </is>
      </c>
      <c r="S50">
        <f>HYPERLINK("https://klasma.github.io/Logging_0380/artfynd/A 25608-2025 artfynd.xlsx", "A 25608-2025")</f>
        <v/>
      </c>
      <c r="T50">
        <f>HYPERLINK("https://klasma.github.io/Logging_0380/kartor/A 25608-2025 karta.png", "A 25608-2025")</f>
        <v/>
      </c>
      <c r="U50">
        <f>HYPERLINK("https://klasma.github.io/Logging_0380/knärot/A 25608-2025 karta knärot.png", "A 25608-2025")</f>
        <v/>
      </c>
      <c r="V50">
        <f>HYPERLINK("https://klasma.github.io/Logging_0380/klagomål/A 25608-2025 FSC-klagomål.docx", "A 25608-2025")</f>
        <v/>
      </c>
      <c r="W50">
        <f>HYPERLINK("https://klasma.github.io/Logging_0380/klagomålsmail/A 25608-2025 FSC-klagomål mail.docx", "A 25608-2025")</f>
        <v/>
      </c>
      <c r="X50">
        <f>HYPERLINK("https://klasma.github.io/Logging_0380/tillsyn/A 25608-2025 tillsynsbegäran.docx", "A 25608-2025")</f>
        <v/>
      </c>
      <c r="Y50">
        <f>HYPERLINK("https://klasma.github.io/Logging_0380/tillsynsmail/A 25608-2025 tillsynsbegäran mail.docx", "A 25608-2025")</f>
        <v/>
      </c>
      <c r="Z50">
        <f>HYPERLINK("https://klasma.github.io/Logging_0380/fåglar/A 25608-2025 prioriterade fågelarter.docx", "A 25608-2025")</f>
        <v/>
      </c>
    </row>
    <row r="51" ht="15" customHeight="1">
      <c r="A51" t="inlineStr">
        <is>
          <t>A 26001-2026</t>
        </is>
      </c>
      <c r="B51" s="1" t="n">
        <v>46181</v>
      </c>
      <c r="C51" s="1" t="n">
        <v>46195</v>
      </c>
      <c r="D51" t="inlineStr">
        <is>
          <t>UPPSALA LÄN</t>
        </is>
      </c>
      <c r="E51" t="inlineStr">
        <is>
          <t>UPPSALA</t>
        </is>
      </c>
      <c r="F51" t="inlineStr">
        <is>
          <t>Sveaskog</t>
        </is>
      </c>
      <c r="G51" t="n">
        <v>6.4</v>
      </c>
      <c r="H51" t="n">
        <v>1</v>
      </c>
      <c r="I51" t="n">
        <v>7</v>
      </c>
      <c r="J51" t="n">
        <v>1</v>
      </c>
      <c r="K51" t="n">
        <v>0</v>
      </c>
      <c r="L51" t="n">
        <v>0</v>
      </c>
      <c r="M51" t="n">
        <v>0</v>
      </c>
      <c r="N51" t="n">
        <v>0</v>
      </c>
      <c r="O51" t="n">
        <v>1</v>
      </c>
      <c r="P51" t="n">
        <v>0</v>
      </c>
      <c r="Q51" t="n">
        <v>9</v>
      </c>
      <c r="R51" s="2" t="inlineStr">
        <is>
          <t>Lunglav
Bronshjon
Bårdlav
Grönpyrola
Korallblylav
Mörk husmossa
Rökmusseron
Thomsons trägnagare
Blåsippa</t>
        </is>
      </c>
      <c r="S51">
        <f>HYPERLINK("https://klasma.github.io/Logging_0380/artfynd/A 26001-2026 artfynd.xlsx", "A 26001-2026")</f>
        <v/>
      </c>
      <c r="T51">
        <f>HYPERLINK("https://klasma.github.io/Logging_0380/kartor/A 26001-2026 karta.png", "A 26001-2026")</f>
        <v/>
      </c>
      <c r="V51">
        <f>HYPERLINK("https://klasma.github.io/Logging_0380/klagomål/A 26001-2026 FSC-klagomål.docx", "A 26001-2026")</f>
        <v/>
      </c>
      <c r="W51">
        <f>HYPERLINK("https://klasma.github.io/Logging_0380/klagomålsmail/A 26001-2026 FSC-klagomål mail.docx", "A 26001-2026")</f>
        <v/>
      </c>
      <c r="X51">
        <f>HYPERLINK("https://klasma.github.io/Logging_0380/tillsyn/A 26001-2026 tillsynsbegäran.docx", "A 26001-2026")</f>
        <v/>
      </c>
      <c r="Y51">
        <f>HYPERLINK("https://klasma.github.io/Logging_0380/tillsynsmail/A 26001-2026 tillsynsbegäran mail.docx", "A 26001-2026")</f>
        <v/>
      </c>
    </row>
    <row r="52" ht="15" customHeight="1">
      <c r="A52" t="inlineStr">
        <is>
          <t>A 1725-2022</t>
        </is>
      </c>
      <c r="B52" s="1" t="n">
        <v>44574</v>
      </c>
      <c r="C52" s="1" t="n">
        <v>46195</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46195</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46195</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46195</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46195</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46195</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46195</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46195</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27625-2023</t>
        </is>
      </c>
      <c r="B60" s="1" t="n">
        <v>45097</v>
      </c>
      <c r="C60" s="1" t="n">
        <v>46195</v>
      </c>
      <c r="D60" t="inlineStr">
        <is>
          <t>UPPSALA LÄN</t>
        </is>
      </c>
      <c r="E60" t="inlineStr">
        <is>
          <t>UPPSALA</t>
        </is>
      </c>
      <c r="G60" t="n">
        <v>6</v>
      </c>
      <c r="H60" t="n">
        <v>5</v>
      </c>
      <c r="I60" t="n">
        <v>1</v>
      </c>
      <c r="J60" t="n">
        <v>0</v>
      </c>
      <c r="K60" t="n">
        <v>0</v>
      </c>
      <c r="L60" t="n">
        <v>0</v>
      </c>
      <c r="M60" t="n">
        <v>0</v>
      </c>
      <c r="N60" t="n">
        <v>0</v>
      </c>
      <c r="O60" t="n">
        <v>0</v>
      </c>
      <c r="P60" t="n">
        <v>0</v>
      </c>
      <c r="Q60" t="n">
        <v>6</v>
      </c>
      <c r="R60" s="2" t="inlineStr">
        <is>
          <t>Fällmossa
Blåsippa
Spillkråka
Gröngöling
Törnskata
Skogsödla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6602-2023</t>
        </is>
      </c>
      <c r="B61" s="1" t="n">
        <v>44966</v>
      </c>
      <c r="C61" s="1" t="n">
        <v>46195</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8323-2023</t>
        </is>
      </c>
      <c r="B62" s="1" t="n">
        <v>44974</v>
      </c>
      <c r="C62" s="1" t="n">
        <v>46195</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46195</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46195</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46195</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46195</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10612-2025</t>
        </is>
      </c>
      <c r="B67" s="1" t="n">
        <v>45721</v>
      </c>
      <c r="C67" s="1" t="n">
        <v>46195</v>
      </c>
      <c r="D67" t="inlineStr">
        <is>
          <t>UPPSALA LÄN</t>
        </is>
      </c>
      <c r="E67" t="inlineStr">
        <is>
          <t>UPPSALA</t>
        </is>
      </c>
      <c r="G67" t="n">
        <v>3.5</v>
      </c>
      <c r="H67" t="n">
        <v>5</v>
      </c>
      <c r="I67" t="n">
        <v>0</v>
      </c>
      <c r="J67" t="n">
        <v>3</v>
      </c>
      <c r="K67" t="n">
        <v>0</v>
      </c>
      <c r="L67" t="n">
        <v>0</v>
      </c>
      <c r="M67" t="n">
        <v>0</v>
      </c>
      <c r="N67" t="n">
        <v>0</v>
      </c>
      <c r="O67" t="n">
        <v>3</v>
      </c>
      <c r="P67" t="n">
        <v>0</v>
      </c>
      <c r="Q67" t="n">
        <v>5</v>
      </c>
      <c r="R67" s="2" t="inlineStr">
        <is>
          <t>Brunlångöra
Fransfladdermus
Nordfladdermus
Dvärgpipistrell
Större brunfladdermus</t>
        </is>
      </c>
      <c r="S67">
        <f>HYPERLINK("https://klasma.github.io/Logging_0380/artfynd/A 10612-2025 artfynd.xlsx", "A 10612-2025")</f>
        <v/>
      </c>
      <c r="T67">
        <f>HYPERLINK("https://klasma.github.io/Logging_0380/kartor/A 10612-2025 karta.png", "A 10612-2025")</f>
        <v/>
      </c>
      <c r="V67">
        <f>HYPERLINK("https://klasma.github.io/Logging_0380/klagomål/A 10612-2025 FSC-klagomål.docx", "A 10612-2025")</f>
        <v/>
      </c>
      <c r="W67">
        <f>HYPERLINK("https://klasma.github.io/Logging_0380/klagomålsmail/A 10612-2025 FSC-klagomål mail.docx", "A 10612-2025")</f>
        <v/>
      </c>
      <c r="X67">
        <f>HYPERLINK("https://klasma.github.io/Logging_0380/tillsyn/A 10612-2025 tillsynsbegäran.docx", "A 10612-2025")</f>
        <v/>
      </c>
      <c r="Y67">
        <f>HYPERLINK("https://klasma.github.io/Logging_0380/tillsynsmail/A 10612-2025 tillsynsbegäran mail.docx", "A 10612-2025")</f>
        <v/>
      </c>
    </row>
    <row r="68" ht="15" customHeight="1">
      <c r="A68" t="inlineStr">
        <is>
          <t>A 63026-2025</t>
        </is>
      </c>
      <c r="B68" s="1" t="n">
        <v>46009</v>
      </c>
      <c r="C68" s="1" t="n">
        <v>46195</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53870-2025</t>
        </is>
      </c>
      <c r="B69" s="1" t="n">
        <v>45961</v>
      </c>
      <c r="C69" s="1" t="n">
        <v>46195</v>
      </c>
      <c r="D69" t="inlineStr">
        <is>
          <t>UPPSALA LÄN</t>
        </is>
      </c>
      <c r="E69" t="inlineStr">
        <is>
          <t>UPPSALA</t>
        </is>
      </c>
      <c r="G69" t="n">
        <v>2.3</v>
      </c>
      <c r="H69" t="n">
        <v>3</v>
      </c>
      <c r="I69" t="n">
        <v>0</v>
      </c>
      <c r="J69" t="n">
        <v>2</v>
      </c>
      <c r="K69" t="n">
        <v>1</v>
      </c>
      <c r="L69" t="n">
        <v>0</v>
      </c>
      <c r="M69" t="n">
        <v>0</v>
      </c>
      <c r="N69" t="n">
        <v>0</v>
      </c>
      <c r="O69" t="n">
        <v>3</v>
      </c>
      <c r="P69" t="n">
        <v>1</v>
      </c>
      <c r="Q69" t="n">
        <v>5</v>
      </c>
      <c r="R69" s="2" t="inlineStr">
        <is>
          <t>Knärot
Vedtrappmossa
Vitplätt
Spillkråka
Revlummer</t>
        </is>
      </c>
      <c r="S69">
        <f>HYPERLINK("https://klasma.github.io/Logging_0380/artfynd/A 53870-2025 artfynd.xlsx", "A 53870-2025")</f>
        <v/>
      </c>
      <c r="T69">
        <f>HYPERLINK("https://klasma.github.io/Logging_0380/kartor/A 53870-2025 karta.png", "A 53870-2025")</f>
        <v/>
      </c>
      <c r="U69">
        <f>HYPERLINK("https://klasma.github.io/Logging_0380/knärot/A 53870-2025 karta knärot.png", "A 53870-2025")</f>
        <v/>
      </c>
      <c r="V69">
        <f>HYPERLINK("https://klasma.github.io/Logging_0380/klagomål/A 53870-2025 FSC-klagomål.docx", "A 53870-2025")</f>
        <v/>
      </c>
      <c r="W69">
        <f>HYPERLINK("https://klasma.github.io/Logging_0380/klagomålsmail/A 53870-2025 FSC-klagomål mail.docx", "A 53870-2025")</f>
        <v/>
      </c>
      <c r="X69">
        <f>HYPERLINK("https://klasma.github.io/Logging_0380/tillsyn/A 53870-2025 tillsynsbegäran.docx", "A 53870-2025")</f>
        <v/>
      </c>
      <c r="Y69">
        <f>HYPERLINK("https://klasma.github.io/Logging_0380/tillsynsmail/A 53870-2025 tillsynsbegäran mail.docx", "A 53870-2025")</f>
        <v/>
      </c>
      <c r="Z69">
        <f>HYPERLINK("https://klasma.github.io/Logging_0380/fåglar/A 53870-2025 prioriterade fågelarter.docx", "A 53870-2025")</f>
        <v/>
      </c>
    </row>
    <row r="70" ht="15" customHeight="1">
      <c r="A70" t="inlineStr">
        <is>
          <t>A 43056-2025</t>
        </is>
      </c>
      <c r="B70" s="1" t="n">
        <v>45909</v>
      </c>
      <c r="C70" s="1" t="n">
        <v>46195</v>
      </c>
      <c r="D70" t="inlineStr">
        <is>
          <t>UPPSALA LÄN</t>
        </is>
      </c>
      <c r="E70" t="inlineStr">
        <is>
          <t>UPPSALA</t>
        </is>
      </c>
      <c r="F70" t="inlineStr">
        <is>
          <t>Allmännings- och besparingsskogar</t>
        </is>
      </c>
      <c r="G70" t="n">
        <v>11.8</v>
      </c>
      <c r="H70" t="n">
        <v>2</v>
      </c>
      <c r="I70" t="n">
        <v>1</v>
      </c>
      <c r="J70" t="n">
        <v>3</v>
      </c>
      <c r="K70" t="n">
        <v>0</v>
      </c>
      <c r="L70" t="n">
        <v>0</v>
      </c>
      <c r="M70" t="n">
        <v>0</v>
      </c>
      <c r="N70" t="n">
        <v>0</v>
      </c>
      <c r="O70" t="n">
        <v>3</v>
      </c>
      <c r="P70" t="n">
        <v>0</v>
      </c>
      <c r="Q70" t="n">
        <v>5</v>
      </c>
      <c r="R70" s="2" t="inlineStr">
        <is>
          <t>Rynkskinn
Sparvuggla
Ullticka
Trådticka
Spillkråka</t>
        </is>
      </c>
      <c r="S70">
        <f>HYPERLINK("https://klasma.github.io/Logging_0380/artfynd/A 43056-2025 artfynd.xlsx", "A 43056-2025")</f>
        <v/>
      </c>
      <c r="T70">
        <f>HYPERLINK("https://klasma.github.io/Logging_0380/kartor/A 43056-2025 karta.png", "A 43056-2025")</f>
        <v/>
      </c>
      <c r="V70">
        <f>HYPERLINK("https://klasma.github.io/Logging_0380/klagomål/A 43056-2025 FSC-klagomål.docx", "A 43056-2025")</f>
        <v/>
      </c>
      <c r="W70">
        <f>HYPERLINK("https://klasma.github.io/Logging_0380/klagomålsmail/A 43056-2025 FSC-klagomål mail.docx", "A 43056-2025")</f>
        <v/>
      </c>
      <c r="X70">
        <f>HYPERLINK("https://klasma.github.io/Logging_0380/tillsyn/A 43056-2025 tillsynsbegäran.docx", "A 43056-2025")</f>
        <v/>
      </c>
      <c r="Y70">
        <f>HYPERLINK("https://klasma.github.io/Logging_0380/tillsynsmail/A 43056-2025 tillsynsbegäran mail.docx", "A 43056-2025")</f>
        <v/>
      </c>
      <c r="Z70">
        <f>HYPERLINK("https://klasma.github.io/Logging_0380/fåglar/A 43056-2025 prioriterade fågelarter.docx", "A 43056-2025")</f>
        <v/>
      </c>
    </row>
    <row r="71" ht="15" customHeight="1">
      <c r="A71" t="inlineStr">
        <is>
          <t>A 53851-2025</t>
        </is>
      </c>
      <c r="B71" s="1" t="n">
        <v>45961</v>
      </c>
      <c r="C71" s="1" t="n">
        <v>46195</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23899-2026</t>
        </is>
      </c>
      <c r="B72" s="1" t="n">
        <v>46167</v>
      </c>
      <c r="C72" s="1" t="n">
        <v>46195</v>
      </c>
      <c r="D72" t="inlineStr">
        <is>
          <t>UPPSALA LÄN</t>
        </is>
      </c>
      <c r="E72" t="inlineStr">
        <is>
          <t>UPPSALA</t>
        </is>
      </c>
      <c r="F72" t="inlineStr">
        <is>
          <t>Holmen skog AB</t>
        </is>
      </c>
      <c r="G72" t="n">
        <v>3.4</v>
      </c>
      <c r="H72" t="n">
        <v>2</v>
      </c>
      <c r="I72" t="n">
        <v>3</v>
      </c>
      <c r="J72" t="n">
        <v>1</v>
      </c>
      <c r="K72" t="n">
        <v>0</v>
      </c>
      <c r="L72" t="n">
        <v>0</v>
      </c>
      <c r="M72" t="n">
        <v>0</v>
      </c>
      <c r="N72" t="n">
        <v>0</v>
      </c>
      <c r="O72" t="n">
        <v>1</v>
      </c>
      <c r="P72" t="n">
        <v>0</v>
      </c>
      <c r="Q72" t="n">
        <v>5</v>
      </c>
      <c r="R72" s="2" t="inlineStr">
        <is>
          <t>Ullticka
Grön sköldmossa
Vanlig flatbagge
Vedticka
Vanlig padda</t>
        </is>
      </c>
      <c r="S72">
        <f>HYPERLINK("https://klasma.github.io/Logging_0380/artfynd/A 23899-2026 artfynd.xlsx", "A 23899-2026")</f>
        <v/>
      </c>
      <c r="T72">
        <f>HYPERLINK("https://klasma.github.io/Logging_0380/kartor/A 23899-2026 karta.png", "A 23899-2026")</f>
        <v/>
      </c>
      <c r="V72">
        <f>HYPERLINK("https://klasma.github.io/Logging_0380/klagomål/A 23899-2026 FSC-klagomål.docx", "A 23899-2026")</f>
        <v/>
      </c>
      <c r="W72">
        <f>HYPERLINK("https://klasma.github.io/Logging_0380/klagomålsmail/A 23899-2026 FSC-klagomål mail.docx", "A 23899-2026")</f>
        <v/>
      </c>
      <c r="X72">
        <f>HYPERLINK("https://klasma.github.io/Logging_0380/tillsyn/A 23899-2026 tillsynsbegäran.docx", "A 23899-2026")</f>
        <v/>
      </c>
      <c r="Y72">
        <f>HYPERLINK("https://klasma.github.io/Logging_0380/tillsynsmail/A 23899-2026 tillsynsbegäran mail.docx", "A 23899-2026")</f>
        <v/>
      </c>
    </row>
    <row r="73" ht="15" customHeight="1">
      <c r="A73" t="inlineStr">
        <is>
          <t>A 8475-2022</t>
        </is>
      </c>
      <c r="B73" s="1" t="n">
        <v>44610</v>
      </c>
      <c r="C73" s="1" t="n">
        <v>46195</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46195</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46195</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46195</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46195</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11409-2025</t>
        </is>
      </c>
      <c r="B78" s="1" t="n">
        <v>45726</v>
      </c>
      <c r="C78" s="1" t="n">
        <v>46195</v>
      </c>
      <c r="D78" t="inlineStr">
        <is>
          <t>UPPSALA LÄN</t>
        </is>
      </c>
      <c r="E78" t="inlineStr">
        <is>
          <t>UPPSALA</t>
        </is>
      </c>
      <c r="G78" t="n">
        <v>0.3</v>
      </c>
      <c r="H78" t="n">
        <v>0</v>
      </c>
      <c r="I78" t="n">
        <v>0</v>
      </c>
      <c r="J78" t="n">
        <v>3</v>
      </c>
      <c r="K78" t="n">
        <v>1</v>
      </c>
      <c r="L78" t="n">
        <v>0</v>
      </c>
      <c r="M78" t="n">
        <v>0</v>
      </c>
      <c r="N78" t="n">
        <v>0</v>
      </c>
      <c r="O78" t="n">
        <v>4</v>
      </c>
      <c r="P78" t="n">
        <v>1</v>
      </c>
      <c r="Q78" t="n">
        <v>4</v>
      </c>
      <c r="R78" s="2" t="inlineStr">
        <is>
          <t>Gulvit blekspik
Rynkskinn
Svartöra
Tagglergeting</t>
        </is>
      </c>
      <c r="S78">
        <f>HYPERLINK("https://klasma.github.io/Logging_0380/artfynd/A 11409-2025 artfynd.xlsx", "A 11409-2025")</f>
        <v/>
      </c>
      <c r="T78">
        <f>HYPERLINK("https://klasma.github.io/Logging_0380/kartor/A 11409-2025 karta.png", "A 11409-2025")</f>
        <v/>
      </c>
      <c r="V78">
        <f>HYPERLINK("https://klasma.github.io/Logging_0380/klagomål/A 11409-2025 FSC-klagomål.docx", "A 11409-2025")</f>
        <v/>
      </c>
      <c r="W78">
        <f>HYPERLINK("https://klasma.github.io/Logging_0380/klagomålsmail/A 11409-2025 FSC-klagomål mail.docx", "A 11409-2025")</f>
        <v/>
      </c>
      <c r="X78">
        <f>HYPERLINK("https://klasma.github.io/Logging_0380/tillsyn/A 11409-2025 tillsynsbegäran.docx", "A 11409-2025")</f>
        <v/>
      </c>
      <c r="Y78">
        <f>HYPERLINK("https://klasma.github.io/Logging_0380/tillsynsmail/A 11409-2025 tillsynsbegäran mail.docx", "A 11409-2025")</f>
        <v/>
      </c>
    </row>
    <row r="79" ht="15" customHeight="1">
      <c r="A79" t="inlineStr">
        <is>
          <t>A 11217-2024</t>
        </is>
      </c>
      <c r="B79" s="1" t="n">
        <v>45371</v>
      </c>
      <c r="C79" s="1" t="n">
        <v>46195</v>
      </c>
      <c r="D79" t="inlineStr">
        <is>
          <t>UPPSALA LÄN</t>
        </is>
      </c>
      <c r="E79" t="inlineStr">
        <is>
          <t>UPPSALA</t>
        </is>
      </c>
      <c r="F79" t="inlineStr">
        <is>
          <t>Kommuner</t>
        </is>
      </c>
      <c r="G79" t="n">
        <v>1.5</v>
      </c>
      <c r="H79" t="n">
        <v>1</v>
      </c>
      <c r="I79" t="n">
        <v>4</v>
      </c>
      <c r="J79" t="n">
        <v>0</v>
      </c>
      <c r="K79" t="n">
        <v>0</v>
      </c>
      <c r="L79" t="n">
        <v>0</v>
      </c>
      <c r="M79" t="n">
        <v>0</v>
      </c>
      <c r="N79" t="n">
        <v>0</v>
      </c>
      <c r="O79" t="n">
        <v>0</v>
      </c>
      <c r="P79" t="n">
        <v>0</v>
      </c>
      <c r="Q79" t="n">
        <v>4</v>
      </c>
      <c r="R79" s="2" t="inlineStr">
        <is>
          <t>Fällmossa
Grön sköldmossa
Lönnlav
Stor aspticka</t>
        </is>
      </c>
      <c r="S79">
        <f>HYPERLINK("https://klasma.github.io/Logging_0380/artfynd/A 11217-2024 artfynd.xlsx", "A 11217-2024")</f>
        <v/>
      </c>
      <c r="T79">
        <f>HYPERLINK("https://klasma.github.io/Logging_0380/kartor/A 11217-2024 karta.png", "A 11217-2024")</f>
        <v/>
      </c>
      <c r="V79">
        <f>HYPERLINK("https://klasma.github.io/Logging_0380/klagomål/A 11217-2024 FSC-klagomål.docx", "A 11217-2024")</f>
        <v/>
      </c>
      <c r="W79">
        <f>HYPERLINK("https://klasma.github.io/Logging_0380/klagomålsmail/A 11217-2024 FSC-klagomål mail.docx", "A 11217-2024")</f>
        <v/>
      </c>
      <c r="X79">
        <f>HYPERLINK("https://klasma.github.io/Logging_0380/tillsyn/A 11217-2024 tillsynsbegäran.docx", "A 11217-2024")</f>
        <v/>
      </c>
      <c r="Y79">
        <f>HYPERLINK("https://klasma.github.io/Logging_0380/tillsynsmail/A 11217-2024 tillsynsbegäran mail.docx", "A 11217-2024")</f>
        <v/>
      </c>
    </row>
    <row r="80" ht="15" customHeight="1">
      <c r="A80" t="inlineStr">
        <is>
          <t>A 42581-2025</t>
        </is>
      </c>
      <c r="B80" s="1" t="n">
        <v>45905</v>
      </c>
      <c r="C80" s="1" t="n">
        <v>46195</v>
      </c>
      <c r="D80" t="inlineStr">
        <is>
          <t>UPPSALA LÄN</t>
        </is>
      </c>
      <c r="E80" t="inlineStr">
        <is>
          <t>UPPSALA</t>
        </is>
      </c>
      <c r="F80" t="inlineStr">
        <is>
          <t>Kyrkan</t>
        </is>
      </c>
      <c r="G80" t="n">
        <v>2.3</v>
      </c>
      <c r="H80" t="n">
        <v>0</v>
      </c>
      <c r="I80" t="n">
        <v>2</v>
      </c>
      <c r="J80" t="n">
        <v>2</v>
      </c>
      <c r="K80" t="n">
        <v>0</v>
      </c>
      <c r="L80" t="n">
        <v>0</v>
      </c>
      <c r="M80" t="n">
        <v>0</v>
      </c>
      <c r="N80" t="n">
        <v>0</v>
      </c>
      <c r="O80" t="n">
        <v>2</v>
      </c>
      <c r="P80" t="n">
        <v>0</v>
      </c>
      <c r="Q80" t="n">
        <v>4</v>
      </c>
      <c r="R80" s="2" t="inlineStr">
        <is>
          <t>Dropptaggsvamp
Fjällig taggsvamp s.str.
Svavelriska
Trådticka</t>
        </is>
      </c>
      <c r="S80">
        <f>HYPERLINK("https://klasma.github.io/Logging_0380/artfynd/A 42581-2025 artfynd.xlsx", "A 42581-2025")</f>
        <v/>
      </c>
      <c r="T80">
        <f>HYPERLINK("https://klasma.github.io/Logging_0380/kartor/A 42581-2025 karta.png", "A 42581-2025")</f>
        <v/>
      </c>
      <c r="V80">
        <f>HYPERLINK("https://klasma.github.io/Logging_0380/klagomål/A 42581-2025 FSC-klagomål.docx", "A 42581-2025")</f>
        <v/>
      </c>
      <c r="W80">
        <f>HYPERLINK("https://klasma.github.io/Logging_0380/klagomålsmail/A 42581-2025 FSC-klagomål mail.docx", "A 42581-2025")</f>
        <v/>
      </c>
      <c r="X80">
        <f>HYPERLINK("https://klasma.github.io/Logging_0380/tillsyn/A 42581-2025 tillsynsbegäran.docx", "A 42581-2025")</f>
        <v/>
      </c>
      <c r="Y80">
        <f>HYPERLINK("https://klasma.github.io/Logging_0380/tillsynsmail/A 42581-2025 tillsynsbegäran mail.docx", "A 42581-2025")</f>
        <v/>
      </c>
    </row>
    <row r="81" ht="15" customHeight="1">
      <c r="A81" t="inlineStr">
        <is>
          <t>A 42583-2025</t>
        </is>
      </c>
      <c r="B81" s="1" t="n">
        <v>45905</v>
      </c>
      <c r="C81" s="1" t="n">
        <v>46195</v>
      </c>
      <c r="D81" t="inlineStr">
        <is>
          <t>UPPSALA LÄN</t>
        </is>
      </c>
      <c r="E81" t="inlineStr">
        <is>
          <t>UPPSALA</t>
        </is>
      </c>
      <c r="F81" t="inlineStr">
        <is>
          <t>Kyrkan</t>
        </is>
      </c>
      <c r="G81" t="n">
        <v>2.3</v>
      </c>
      <c r="H81" t="n">
        <v>0</v>
      </c>
      <c r="I81" t="n">
        <v>2</v>
      </c>
      <c r="J81" t="n">
        <v>2</v>
      </c>
      <c r="K81" t="n">
        <v>0</v>
      </c>
      <c r="L81" t="n">
        <v>0</v>
      </c>
      <c r="M81" t="n">
        <v>0</v>
      </c>
      <c r="N81" t="n">
        <v>0</v>
      </c>
      <c r="O81" t="n">
        <v>2</v>
      </c>
      <c r="P81" t="n">
        <v>0</v>
      </c>
      <c r="Q81" t="n">
        <v>4</v>
      </c>
      <c r="R81" s="2" t="inlineStr">
        <is>
          <t>Dropptaggsvamp
Fjällig taggsvamp s.str.
Svavelriska
Trådticka</t>
        </is>
      </c>
      <c r="S81">
        <f>HYPERLINK("https://klasma.github.io/Logging_0380/artfynd/A 42583-2025 artfynd.xlsx", "A 42583-2025")</f>
        <v/>
      </c>
      <c r="T81">
        <f>HYPERLINK("https://klasma.github.io/Logging_0380/kartor/A 42583-2025 karta.png", "A 42583-2025")</f>
        <v/>
      </c>
      <c r="V81">
        <f>HYPERLINK("https://klasma.github.io/Logging_0380/klagomål/A 42583-2025 FSC-klagomål.docx", "A 42583-2025")</f>
        <v/>
      </c>
      <c r="W81">
        <f>HYPERLINK("https://klasma.github.io/Logging_0380/klagomålsmail/A 42583-2025 FSC-klagomål mail.docx", "A 42583-2025")</f>
        <v/>
      </c>
      <c r="X81">
        <f>HYPERLINK("https://klasma.github.io/Logging_0380/tillsyn/A 42583-2025 tillsynsbegäran.docx", "A 42583-2025")</f>
        <v/>
      </c>
      <c r="Y81">
        <f>HYPERLINK("https://klasma.github.io/Logging_0380/tillsynsmail/A 42583-2025 tillsynsbegäran mail.docx", "A 42583-2025")</f>
        <v/>
      </c>
    </row>
    <row r="82" ht="15" customHeight="1">
      <c r="A82" t="inlineStr">
        <is>
          <t>A 49015-2022</t>
        </is>
      </c>
      <c r="B82" s="1" t="n">
        <v>44855</v>
      </c>
      <c r="C82" s="1" t="n">
        <v>46195</v>
      </c>
      <c r="D82" t="inlineStr">
        <is>
          <t>UPPSALA LÄN</t>
        </is>
      </c>
      <c r="E82" t="inlineStr">
        <is>
          <t>UPPSALA</t>
        </is>
      </c>
      <c r="F82" t="inlineStr">
        <is>
          <t>Kommuner</t>
        </is>
      </c>
      <c r="G82" t="n">
        <v>4.5</v>
      </c>
      <c r="H82" t="n">
        <v>0</v>
      </c>
      <c r="I82" t="n">
        <v>2</v>
      </c>
      <c r="J82" t="n">
        <v>2</v>
      </c>
      <c r="K82" t="n">
        <v>0</v>
      </c>
      <c r="L82" t="n">
        <v>0</v>
      </c>
      <c r="M82" t="n">
        <v>0</v>
      </c>
      <c r="N82" t="n">
        <v>0</v>
      </c>
      <c r="O82" t="n">
        <v>2</v>
      </c>
      <c r="P82" t="n">
        <v>0</v>
      </c>
      <c r="Q82" t="n">
        <v>4</v>
      </c>
      <c r="R82" s="2" t="inlineStr">
        <is>
          <t>Harticka
Vedtrappmossa
Fällmossa
Korallblylav</t>
        </is>
      </c>
      <c r="S82">
        <f>HYPERLINK("https://klasma.github.io/Logging_0380/artfynd/A 49015-2022 artfynd.xlsx", "A 49015-2022")</f>
        <v/>
      </c>
      <c r="T82">
        <f>HYPERLINK("https://klasma.github.io/Logging_0380/kartor/A 49015-2022 karta.png", "A 49015-2022")</f>
        <v/>
      </c>
      <c r="V82">
        <f>HYPERLINK("https://klasma.github.io/Logging_0380/klagomål/A 49015-2022 FSC-klagomål.docx", "A 49015-2022")</f>
        <v/>
      </c>
      <c r="W82">
        <f>HYPERLINK("https://klasma.github.io/Logging_0380/klagomålsmail/A 49015-2022 FSC-klagomål mail.docx", "A 49015-2022")</f>
        <v/>
      </c>
      <c r="X82">
        <f>HYPERLINK("https://klasma.github.io/Logging_0380/tillsyn/A 49015-2022 tillsynsbegäran.docx", "A 49015-2022")</f>
        <v/>
      </c>
      <c r="Y82">
        <f>HYPERLINK("https://klasma.github.io/Logging_0380/tillsynsmail/A 49015-2022 tillsynsbegäran mail.docx", "A 49015-2022")</f>
        <v/>
      </c>
    </row>
    <row r="83" ht="15" customHeight="1">
      <c r="A83" t="inlineStr">
        <is>
          <t>A 39741-2023</t>
        </is>
      </c>
      <c r="B83" s="1" t="n">
        <v>45167</v>
      </c>
      <c r="C83" s="1" t="n">
        <v>46195</v>
      </c>
      <c r="D83" t="inlineStr">
        <is>
          <t>UPPSALA LÄN</t>
        </is>
      </c>
      <c r="E83" t="inlineStr">
        <is>
          <t>UPPSALA</t>
        </is>
      </c>
      <c r="G83" t="n">
        <v>5.6</v>
      </c>
      <c r="H83" t="n">
        <v>4</v>
      </c>
      <c r="I83" t="n">
        <v>0</v>
      </c>
      <c r="J83" t="n">
        <v>2</v>
      </c>
      <c r="K83" t="n">
        <v>0</v>
      </c>
      <c r="L83" t="n">
        <v>0</v>
      </c>
      <c r="M83" t="n">
        <v>0</v>
      </c>
      <c r="N83" t="n">
        <v>0</v>
      </c>
      <c r="O83" t="n">
        <v>2</v>
      </c>
      <c r="P83" t="n">
        <v>0</v>
      </c>
      <c r="Q83" t="n">
        <v>4</v>
      </c>
      <c r="R83" s="2" t="inlineStr">
        <is>
          <t>Entita
Järnsparv
Bergfink
Grönsiska</t>
        </is>
      </c>
      <c r="S83">
        <f>HYPERLINK("https://klasma.github.io/Logging_0380/artfynd/A 39741-2023 artfynd.xlsx", "A 39741-2023")</f>
        <v/>
      </c>
      <c r="T83">
        <f>HYPERLINK("https://klasma.github.io/Logging_0380/kartor/A 39741-2023 karta.png", "A 39741-2023")</f>
        <v/>
      </c>
      <c r="V83">
        <f>HYPERLINK("https://klasma.github.io/Logging_0380/klagomål/A 39741-2023 FSC-klagomål.docx", "A 39741-2023")</f>
        <v/>
      </c>
      <c r="W83">
        <f>HYPERLINK("https://klasma.github.io/Logging_0380/klagomålsmail/A 39741-2023 FSC-klagomål mail.docx", "A 39741-2023")</f>
        <v/>
      </c>
      <c r="X83">
        <f>HYPERLINK("https://klasma.github.io/Logging_0380/tillsyn/A 39741-2023 tillsynsbegäran.docx", "A 39741-2023")</f>
        <v/>
      </c>
      <c r="Y83">
        <f>HYPERLINK("https://klasma.github.io/Logging_0380/tillsynsmail/A 39741-2023 tillsynsbegäran mail.docx", "A 39741-2023")</f>
        <v/>
      </c>
      <c r="Z83">
        <f>HYPERLINK("https://klasma.github.io/Logging_0380/fåglar/A 39741-2023 prioriterade fågelarter.docx", "A 39741-2023")</f>
        <v/>
      </c>
    </row>
    <row r="84" ht="15" customHeight="1">
      <c r="A84" t="inlineStr">
        <is>
          <t>A 61374-2025</t>
        </is>
      </c>
      <c r="B84" s="1" t="n">
        <v>46001</v>
      </c>
      <c r="C84" s="1" t="n">
        <v>46195</v>
      </c>
      <c r="D84" t="inlineStr">
        <is>
          <t>UPPSALA LÄN</t>
        </is>
      </c>
      <c r="E84" t="inlineStr">
        <is>
          <t>UPPSALA</t>
        </is>
      </c>
      <c r="F84" t="inlineStr">
        <is>
          <t>Holmen skog AB</t>
        </is>
      </c>
      <c r="G84" t="n">
        <v>6.2</v>
      </c>
      <c r="H84" t="n">
        <v>0</v>
      </c>
      <c r="I84" t="n">
        <v>1</v>
      </c>
      <c r="J84" t="n">
        <v>1</v>
      </c>
      <c r="K84" t="n">
        <v>1</v>
      </c>
      <c r="L84" t="n">
        <v>1</v>
      </c>
      <c r="M84" t="n">
        <v>0</v>
      </c>
      <c r="N84" t="n">
        <v>0</v>
      </c>
      <c r="O84" t="n">
        <v>3</v>
      </c>
      <c r="P84" t="n">
        <v>2</v>
      </c>
      <c r="Q84" t="n">
        <v>4</v>
      </c>
      <c r="R84" s="2" t="inlineStr">
        <is>
          <t>Ask
Gulvit blekspik
Lunglav
Tibast</t>
        </is>
      </c>
      <c r="S84">
        <f>HYPERLINK("https://klasma.github.io/Logging_0380/artfynd/A 61374-2025 artfynd.xlsx", "A 61374-2025")</f>
        <v/>
      </c>
      <c r="T84">
        <f>HYPERLINK("https://klasma.github.io/Logging_0380/kartor/A 61374-2025 karta.png", "A 61374-2025")</f>
        <v/>
      </c>
      <c r="V84">
        <f>HYPERLINK("https://klasma.github.io/Logging_0380/klagomål/A 61374-2025 FSC-klagomål.docx", "A 61374-2025")</f>
        <v/>
      </c>
      <c r="W84">
        <f>HYPERLINK("https://klasma.github.io/Logging_0380/klagomålsmail/A 61374-2025 FSC-klagomål mail.docx", "A 61374-2025")</f>
        <v/>
      </c>
      <c r="X84">
        <f>HYPERLINK("https://klasma.github.io/Logging_0380/tillsyn/A 61374-2025 tillsynsbegäran.docx", "A 61374-2025")</f>
        <v/>
      </c>
      <c r="Y84">
        <f>HYPERLINK("https://klasma.github.io/Logging_0380/tillsynsmail/A 61374-2025 tillsynsbegäran mail.docx", "A 61374-2025")</f>
        <v/>
      </c>
    </row>
    <row r="85" ht="15" customHeight="1">
      <c r="A85" t="inlineStr">
        <is>
          <t>A 60038-2021</t>
        </is>
      </c>
      <c r="B85" s="1" t="n">
        <v>44495</v>
      </c>
      <c r="C85" s="1" t="n">
        <v>46195</v>
      </c>
      <c r="D85" t="inlineStr">
        <is>
          <t>UPPSALA LÄN</t>
        </is>
      </c>
      <c r="E85" t="inlineStr">
        <is>
          <t>UPPSALA</t>
        </is>
      </c>
      <c r="G85" t="n">
        <v>1.2</v>
      </c>
      <c r="H85" t="n">
        <v>1</v>
      </c>
      <c r="I85" t="n">
        <v>1</v>
      </c>
      <c r="J85" t="n">
        <v>2</v>
      </c>
      <c r="K85" t="n">
        <v>0</v>
      </c>
      <c r="L85" t="n">
        <v>0</v>
      </c>
      <c r="M85" t="n">
        <v>0</v>
      </c>
      <c r="N85" t="n">
        <v>0</v>
      </c>
      <c r="O85" t="n">
        <v>2</v>
      </c>
      <c r="P85" t="n">
        <v>0</v>
      </c>
      <c r="Q85" t="n">
        <v>4</v>
      </c>
      <c r="R85" s="2" t="inlineStr">
        <is>
          <t>Rynkskinn
Ullticka
Fällmossa
Blåsippa</t>
        </is>
      </c>
      <c r="S85">
        <f>HYPERLINK("https://klasma.github.io/Logging_0380/artfynd/A 60038-2021 artfynd.xlsx", "A 60038-2021")</f>
        <v/>
      </c>
      <c r="T85">
        <f>HYPERLINK("https://klasma.github.io/Logging_0380/kartor/A 60038-2021 karta.png", "A 60038-2021")</f>
        <v/>
      </c>
      <c r="V85">
        <f>HYPERLINK("https://klasma.github.io/Logging_0380/klagomål/A 60038-2021 FSC-klagomål.docx", "A 60038-2021")</f>
        <v/>
      </c>
      <c r="W85">
        <f>HYPERLINK("https://klasma.github.io/Logging_0380/klagomålsmail/A 60038-2021 FSC-klagomål mail.docx", "A 60038-2021")</f>
        <v/>
      </c>
      <c r="X85">
        <f>HYPERLINK("https://klasma.github.io/Logging_0380/tillsyn/A 60038-2021 tillsynsbegäran.docx", "A 60038-2021")</f>
        <v/>
      </c>
      <c r="Y85">
        <f>HYPERLINK("https://klasma.github.io/Logging_0380/tillsynsmail/A 60038-2021 tillsynsbegäran mail.docx", "A 60038-2021")</f>
        <v/>
      </c>
    </row>
    <row r="86" ht="15" customHeight="1">
      <c r="A86" t="inlineStr">
        <is>
          <t>A 62004-2025</t>
        </is>
      </c>
      <c r="B86" s="1" t="n">
        <v>46003</v>
      </c>
      <c r="C86" s="1" t="n">
        <v>46195</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58546-2025</t>
        </is>
      </c>
      <c r="B87" s="1" t="n">
        <v>45985</v>
      </c>
      <c r="C87" s="1" t="n">
        <v>46195</v>
      </c>
      <c r="D87" t="inlineStr">
        <is>
          <t>UPPSALA LÄN</t>
        </is>
      </c>
      <c r="E87" t="inlineStr">
        <is>
          <t>UPPSALA</t>
        </is>
      </c>
      <c r="G87" t="n">
        <v>0.6</v>
      </c>
      <c r="H87" t="n">
        <v>2</v>
      </c>
      <c r="I87" t="n">
        <v>1</v>
      </c>
      <c r="J87" t="n">
        <v>1</v>
      </c>
      <c r="K87" t="n">
        <v>1</v>
      </c>
      <c r="L87" t="n">
        <v>0</v>
      </c>
      <c r="M87" t="n">
        <v>0</v>
      </c>
      <c r="N87" t="n">
        <v>0</v>
      </c>
      <c r="O87" t="n">
        <v>2</v>
      </c>
      <c r="P87" t="n">
        <v>1</v>
      </c>
      <c r="Q87" t="n">
        <v>4</v>
      </c>
      <c r="R87" s="2" t="inlineStr">
        <is>
          <t>Knärot
Vedtrappmossa
Rödgul trumpetsvamp
Revlummer</t>
        </is>
      </c>
      <c r="S87">
        <f>HYPERLINK("https://klasma.github.io/Logging_0380/artfynd/A 58546-2025 artfynd.xlsx", "A 58546-2025")</f>
        <v/>
      </c>
      <c r="T87">
        <f>HYPERLINK("https://klasma.github.io/Logging_0380/kartor/A 58546-2025 karta.png", "A 58546-2025")</f>
        <v/>
      </c>
      <c r="U87">
        <f>HYPERLINK("https://klasma.github.io/Logging_0380/knärot/A 58546-2025 karta knärot.png", "A 58546-2025")</f>
        <v/>
      </c>
      <c r="V87">
        <f>HYPERLINK("https://klasma.github.io/Logging_0380/klagomål/A 58546-2025 FSC-klagomål.docx", "A 58546-2025")</f>
        <v/>
      </c>
      <c r="W87">
        <f>HYPERLINK("https://klasma.github.io/Logging_0380/klagomålsmail/A 58546-2025 FSC-klagomål mail.docx", "A 58546-2025")</f>
        <v/>
      </c>
      <c r="X87">
        <f>HYPERLINK("https://klasma.github.io/Logging_0380/tillsyn/A 58546-2025 tillsynsbegäran.docx", "A 58546-2025")</f>
        <v/>
      </c>
      <c r="Y87">
        <f>HYPERLINK("https://klasma.github.io/Logging_0380/tillsynsmail/A 58546-2025 tillsynsbegäran mail.docx", "A 58546-2025")</f>
        <v/>
      </c>
    </row>
    <row r="88" ht="15" customHeight="1">
      <c r="A88" t="inlineStr">
        <is>
          <t>A 2524-2026</t>
        </is>
      </c>
      <c r="B88" s="1" t="n">
        <v>46037</v>
      </c>
      <c r="C88" s="1" t="n">
        <v>46195</v>
      </c>
      <c r="D88" t="inlineStr">
        <is>
          <t>UPPSALA LÄN</t>
        </is>
      </c>
      <c r="E88" t="inlineStr">
        <is>
          <t>UPPSALA</t>
        </is>
      </c>
      <c r="F88" t="inlineStr">
        <is>
          <t>Allmännings- och besparingsskogar</t>
        </is>
      </c>
      <c r="G88" t="n">
        <v>13.4</v>
      </c>
      <c r="H88" t="n">
        <v>2</v>
      </c>
      <c r="I88" t="n">
        <v>1</v>
      </c>
      <c r="J88" t="n">
        <v>1</v>
      </c>
      <c r="K88" t="n">
        <v>0</v>
      </c>
      <c r="L88" t="n">
        <v>0</v>
      </c>
      <c r="M88" t="n">
        <v>0</v>
      </c>
      <c r="N88" t="n">
        <v>0</v>
      </c>
      <c r="O88" t="n">
        <v>1</v>
      </c>
      <c r="P88" t="n">
        <v>0</v>
      </c>
      <c r="Q88" t="n">
        <v>4</v>
      </c>
      <c r="R88" s="2" t="inlineStr">
        <is>
          <t>Vågticka
Blodticka
Spillkråka
Tjäder</t>
        </is>
      </c>
      <c r="S88">
        <f>HYPERLINK("https://klasma.github.io/Logging_0380/artfynd/A 2524-2026 artfynd.xlsx", "A 2524-2026")</f>
        <v/>
      </c>
      <c r="T88">
        <f>HYPERLINK("https://klasma.github.io/Logging_0380/kartor/A 2524-2026 karta.png", "A 2524-2026")</f>
        <v/>
      </c>
      <c r="V88">
        <f>HYPERLINK("https://klasma.github.io/Logging_0380/klagomål/A 2524-2026 FSC-klagomål.docx", "A 2524-2026")</f>
        <v/>
      </c>
      <c r="W88">
        <f>HYPERLINK("https://klasma.github.io/Logging_0380/klagomålsmail/A 2524-2026 FSC-klagomål mail.docx", "A 2524-2026")</f>
        <v/>
      </c>
      <c r="X88">
        <f>HYPERLINK("https://klasma.github.io/Logging_0380/tillsyn/A 2524-2026 tillsynsbegäran.docx", "A 2524-2026")</f>
        <v/>
      </c>
      <c r="Y88">
        <f>HYPERLINK("https://klasma.github.io/Logging_0380/tillsynsmail/A 2524-2026 tillsynsbegäran mail.docx", "A 2524-2026")</f>
        <v/>
      </c>
      <c r="Z88">
        <f>HYPERLINK("https://klasma.github.io/Logging_0380/fåglar/A 2524-2026 prioriterade fågelarter.docx", "A 2524-2026")</f>
        <v/>
      </c>
    </row>
    <row r="89" ht="15" customHeight="1">
      <c r="A89" t="inlineStr">
        <is>
          <t>A 36471-2022</t>
        </is>
      </c>
      <c r="B89" s="1" t="n">
        <v>44804</v>
      </c>
      <c r="C89" s="1" t="n">
        <v>46195</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63172-2023</t>
        </is>
      </c>
      <c r="B90" s="1" t="n">
        <v>45273</v>
      </c>
      <c r="C90" s="1" t="n">
        <v>46195</v>
      </c>
      <c r="D90" t="inlineStr">
        <is>
          <t>UPPSALA LÄN</t>
        </is>
      </c>
      <c r="E90" t="inlineStr">
        <is>
          <t>UPPSALA</t>
        </is>
      </c>
      <c r="G90" t="n">
        <v>1.8</v>
      </c>
      <c r="H90" t="n">
        <v>1</v>
      </c>
      <c r="I90" t="n">
        <v>1</v>
      </c>
      <c r="J90" t="n">
        <v>1</v>
      </c>
      <c r="K90" t="n">
        <v>0</v>
      </c>
      <c r="L90" t="n">
        <v>0</v>
      </c>
      <c r="M90" t="n">
        <v>0</v>
      </c>
      <c r="N90" t="n">
        <v>0</v>
      </c>
      <c r="O90" t="n">
        <v>1</v>
      </c>
      <c r="P90" t="n">
        <v>0</v>
      </c>
      <c r="Q90" t="n">
        <v>3</v>
      </c>
      <c r="R90" s="2" t="inlineStr">
        <is>
          <t>Tallticka
Ögonpyrola
Törnskata</t>
        </is>
      </c>
      <c r="S90">
        <f>HYPERLINK("https://klasma.github.io/Logging_0380/artfynd/A 63172-2023 artfynd.xlsx", "A 63172-2023")</f>
        <v/>
      </c>
      <c r="T90">
        <f>HYPERLINK("https://klasma.github.io/Logging_0380/kartor/A 63172-2023 karta.png", "A 63172-2023")</f>
        <v/>
      </c>
      <c r="V90">
        <f>HYPERLINK("https://klasma.github.io/Logging_0380/klagomål/A 63172-2023 FSC-klagomål.docx", "A 63172-2023")</f>
        <v/>
      </c>
      <c r="W90">
        <f>HYPERLINK("https://klasma.github.io/Logging_0380/klagomålsmail/A 63172-2023 FSC-klagomål mail.docx", "A 63172-2023")</f>
        <v/>
      </c>
      <c r="X90">
        <f>HYPERLINK("https://klasma.github.io/Logging_0380/tillsyn/A 63172-2023 tillsynsbegäran.docx", "A 63172-2023")</f>
        <v/>
      </c>
      <c r="Y90">
        <f>HYPERLINK("https://klasma.github.io/Logging_0380/tillsynsmail/A 63172-2023 tillsynsbegäran mail.docx", "A 63172-2023")</f>
        <v/>
      </c>
      <c r="Z90">
        <f>HYPERLINK("https://klasma.github.io/Logging_0380/fåglar/A 63172-2023 prioriterade fågelarter.docx", "A 63172-2023")</f>
        <v/>
      </c>
    </row>
    <row r="91" ht="15" customHeight="1">
      <c r="A91" t="inlineStr">
        <is>
          <t>A 30716-2025</t>
        </is>
      </c>
      <c r="B91" s="1" t="n">
        <v>45831</v>
      </c>
      <c r="C91" s="1" t="n">
        <v>46195</v>
      </c>
      <c r="D91" t="inlineStr">
        <is>
          <t>UPPSALA LÄN</t>
        </is>
      </c>
      <c r="E91" t="inlineStr">
        <is>
          <t>UPPSALA</t>
        </is>
      </c>
      <c r="G91" t="n">
        <v>2.3</v>
      </c>
      <c r="H91" t="n">
        <v>2</v>
      </c>
      <c r="I91" t="n">
        <v>1</v>
      </c>
      <c r="J91" t="n">
        <v>1</v>
      </c>
      <c r="K91" t="n">
        <v>1</v>
      </c>
      <c r="L91" t="n">
        <v>0</v>
      </c>
      <c r="M91" t="n">
        <v>0</v>
      </c>
      <c r="N91" t="n">
        <v>0</v>
      </c>
      <c r="O91" t="n">
        <v>2</v>
      </c>
      <c r="P91" t="n">
        <v>1</v>
      </c>
      <c r="Q91" t="n">
        <v>3</v>
      </c>
      <c r="R91" s="2" t="inlineStr">
        <is>
          <t>Knärot
Talltita
Skinnlav</t>
        </is>
      </c>
      <c r="S91">
        <f>HYPERLINK("https://klasma.github.io/Logging_0380/artfynd/A 30716-2025 artfynd.xlsx", "A 30716-2025")</f>
        <v/>
      </c>
      <c r="T91">
        <f>HYPERLINK("https://klasma.github.io/Logging_0380/kartor/A 30716-2025 karta.png", "A 30716-2025")</f>
        <v/>
      </c>
      <c r="U91">
        <f>HYPERLINK("https://klasma.github.io/Logging_0380/knärot/A 30716-2025 karta knärot.png", "A 30716-2025")</f>
        <v/>
      </c>
      <c r="V91">
        <f>HYPERLINK("https://klasma.github.io/Logging_0380/klagomål/A 30716-2025 FSC-klagomål.docx", "A 30716-2025")</f>
        <v/>
      </c>
      <c r="W91">
        <f>HYPERLINK("https://klasma.github.io/Logging_0380/klagomålsmail/A 30716-2025 FSC-klagomål mail.docx", "A 30716-2025")</f>
        <v/>
      </c>
      <c r="X91">
        <f>HYPERLINK("https://klasma.github.io/Logging_0380/tillsyn/A 30716-2025 tillsynsbegäran.docx", "A 30716-2025")</f>
        <v/>
      </c>
      <c r="Y91">
        <f>HYPERLINK("https://klasma.github.io/Logging_0380/tillsynsmail/A 30716-2025 tillsynsbegäran mail.docx", "A 30716-2025")</f>
        <v/>
      </c>
      <c r="Z91">
        <f>HYPERLINK("https://klasma.github.io/Logging_0380/fåglar/A 30716-2025 prioriterade fågelarter.docx", "A 30716-2025")</f>
        <v/>
      </c>
    </row>
    <row r="92" ht="15" customHeight="1">
      <c r="A92" t="inlineStr">
        <is>
          <t>A 43280-2025</t>
        </is>
      </c>
      <c r="B92" s="1" t="n">
        <v>45910</v>
      </c>
      <c r="C92" s="1" t="n">
        <v>46195</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43280-2025 artfynd.xlsx", "A 43280-2025")</f>
        <v/>
      </c>
      <c r="T92">
        <f>HYPERLINK("https://klasma.github.io/Logging_0380/kartor/A 43280-2025 karta.png", "A 43280-2025")</f>
        <v/>
      </c>
      <c r="V92">
        <f>HYPERLINK("https://klasma.github.io/Logging_0380/klagomål/A 43280-2025 FSC-klagomål.docx", "A 43280-2025")</f>
        <v/>
      </c>
      <c r="W92">
        <f>HYPERLINK("https://klasma.github.io/Logging_0380/klagomålsmail/A 43280-2025 FSC-klagomål mail.docx", "A 43280-2025")</f>
        <v/>
      </c>
      <c r="X92">
        <f>HYPERLINK("https://klasma.github.io/Logging_0380/tillsyn/A 43280-2025 tillsynsbegäran.docx", "A 43280-2025")</f>
        <v/>
      </c>
      <c r="Y92">
        <f>HYPERLINK("https://klasma.github.io/Logging_0380/tillsynsmail/A 43280-2025 tillsynsbegäran mail.docx", "A 43280-2025")</f>
        <v/>
      </c>
    </row>
    <row r="93" ht="15" customHeight="1">
      <c r="A93" t="inlineStr">
        <is>
          <t>A 43278-2025</t>
        </is>
      </c>
      <c r="B93" s="1" t="n">
        <v>45910</v>
      </c>
      <c r="C93" s="1" t="n">
        <v>46195</v>
      </c>
      <c r="D93" t="inlineStr">
        <is>
          <t>UPPSALA LÄN</t>
        </is>
      </c>
      <c r="E93" t="inlineStr">
        <is>
          <t>UPPSALA</t>
        </is>
      </c>
      <c r="F93" t="inlineStr">
        <is>
          <t>Kyrkan</t>
        </is>
      </c>
      <c r="G93" t="n">
        <v>2.4</v>
      </c>
      <c r="H93" t="n">
        <v>0</v>
      </c>
      <c r="I93" t="n">
        <v>2</v>
      </c>
      <c r="J93" t="n">
        <v>1</v>
      </c>
      <c r="K93" t="n">
        <v>0</v>
      </c>
      <c r="L93" t="n">
        <v>0</v>
      </c>
      <c r="M93" t="n">
        <v>0</v>
      </c>
      <c r="N93" t="n">
        <v>0</v>
      </c>
      <c r="O93" t="n">
        <v>1</v>
      </c>
      <c r="P93" t="n">
        <v>0</v>
      </c>
      <c r="Q93" t="n">
        <v>3</v>
      </c>
      <c r="R93" s="2" t="inlineStr">
        <is>
          <t>Vedtrappmossa
Svavelriska
Trådticka</t>
        </is>
      </c>
      <c r="S93">
        <f>HYPERLINK("https://klasma.github.io/Logging_0380/artfynd/A 43278-2025 artfynd.xlsx", "A 43278-2025")</f>
        <v/>
      </c>
      <c r="T93">
        <f>HYPERLINK("https://klasma.github.io/Logging_0380/kartor/A 43278-2025 karta.png", "A 43278-2025")</f>
        <v/>
      </c>
      <c r="V93">
        <f>HYPERLINK("https://klasma.github.io/Logging_0380/klagomål/A 43278-2025 FSC-klagomål.docx", "A 43278-2025")</f>
        <v/>
      </c>
      <c r="W93">
        <f>HYPERLINK("https://klasma.github.io/Logging_0380/klagomålsmail/A 43278-2025 FSC-klagomål mail.docx", "A 43278-2025")</f>
        <v/>
      </c>
      <c r="X93">
        <f>HYPERLINK("https://klasma.github.io/Logging_0380/tillsyn/A 43278-2025 tillsynsbegäran.docx", "A 43278-2025")</f>
        <v/>
      </c>
      <c r="Y93">
        <f>HYPERLINK("https://klasma.github.io/Logging_0380/tillsynsmail/A 43278-2025 tillsynsbegäran mail.docx", "A 43278-2025")</f>
        <v/>
      </c>
    </row>
    <row r="94" ht="15" customHeight="1">
      <c r="A94" t="inlineStr">
        <is>
          <t>A 25943-2023</t>
        </is>
      </c>
      <c r="B94" s="1" t="n">
        <v>45090</v>
      </c>
      <c r="C94" s="1" t="n">
        <v>46195</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4657-2025</t>
        </is>
      </c>
      <c r="B95" s="1" t="n">
        <v>45687</v>
      </c>
      <c r="C95" s="1" t="n">
        <v>46195</v>
      </c>
      <c r="D95" t="inlineStr">
        <is>
          <t>UPPSALA LÄN</t>
        </is>
      </c>
      <c r="E95" t="inlineStr">
        <is>
          <t>UPPSALA</t>
        </is>
      </c>
      <c r="G95" t="n">
        <v>2.9</v>
      </c>
      <c r="H95" t="n">
        <v>2</v>
      </c>
      <c r="I95" t="n">
        <v>0</v>
      </c>
      <c r="J95" t="n">
        <v>2</v>
      </c>
      <c r="K95" t="n">
        <v>0</v>
      </c>
      <c r="L95" t="n">
        <v>0</v>
      </c>
      <c r="M95" t="n">
        <v>0</v>
      </c>
      <c r="N95" t="n">
        <v>0</v>
      </c>
      <c r="O95" t="n">
        <v>2</v>
      </c>
      <c r="P95" t="n">
        <v>0</v>
      </c>
      <c r="Q95" t="n">
        <v>3</v>
      </c>
      <c r="R95" s="2" t="inlineStr">
        <is>
          <t>Grönsångare
Tallticka
Kungsfågel</t>
        </is>
      </c>
      <c r="S95">
        <f>HYPERLINK("https://klasma.github.io/Logging_0380/artfynd/A 4657-2025 artfynd.xlsx", "A 4657-2025")</f>
        <v/>
      </c>
      <c r="T95">
        <f>HYPERLINK("https://klasma.github.io/Logging_0380/kartor/A 4657-2025 karta.png", "A 4657-2025")</f>
        <v/>
      </c>
      <c r="V95">
        <f>HYPERLINK("https://klasma.github.io/Logging_0380/klagomål/A 4657-2025 FSC-klagomål.docx", "A 4657-2025")</f>
        <v/>
      </c>
      <c r="W95">
        <f>HYPERLINK("https://klasma.github.io/Logging_0380/klagomålsmail/A 4657-2025 FSC-klagomål mail.docx", "A 4657-2025")</f>
        <v/>
      </c>
      <c r="X95">
        <f>HYPERLINK("https://klasma.github.io/Logging_0380/tillsyn/A 4657-2025 tillsynsbegäran.docx", "A 4657-2025")</f>
        <v/>
      </c>
      <c r="Y95">
        <f>HYPERLINK("https://klasma.github.io/Logging_0380/tillsynsmail/A 4657-2025 tillsynsbegäran mail.docx", "A 4657-2025")</f>
        <v/>
      </c>
      <c r="Z95">
        <f>HYPERLINK("https://klasma.github.io/Logging_0380/fåglar/A 4657-2025 prioriterade fågelarter.docx", "A 4657-2025")</f>
        <v/>
      </c>
    </row>
    <row r="96" ht="15" customHeight="1">
      <c r="A96" t="inlineStr">
        <is>
          <t>A 25660-2025</t>
        </is>
      </c>
      <c r="B96" s="1" t="n">
        <v>45803</v>
      </c>
      <c r="C96" s="1" t="n">
        <v>46195</v>
      </c>
      <c r="D96" t="inlineStr">
        <is>
          <t>UPPSALA LÄN</t>
        </is>
      </c>
      <c r="E96" t="inlineStr">
        <is>
          <t>UPPSALA</t>
        </is>
      </c>
      <c r="F96" t="inlineStr">
        <is>
          <t>Holmen skog AB</t>
        </is>
      </c>
      <c r="G96" t="n">
        <v>4.8</v>
      </c>
      <c r="H96" t="n">
        <v>1</v>
      </c>
      <c r="I96" t="n">
        <v>2</v>
      </c>
      <c r="J96" t="n">
        <v>0</v>
      </c>
      <c r="K96" t="n">
        <v>0</v>
      </c>
      <c r="L96" t="n">
        <v>0</v>
      </c>
      <c r="M96" t="n">
        <v>0</v>
      </c>
      <c r="N96" t="n">
        <v>0</v>
      </c>
      <c r="O96" t="n">
        <v>0</v>
      </c>
      <c r="P96" t="n">
        <v>0</v>
      </c>
      <c r="Q96" t="n">
        <v>3</v>
      </c>
      <c r="R96" s="2" t="inlineStr">
        <is>
          <t>Mindre märgborre
Skogshakmossa
Blåsippa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3304-2025</t>
        </is>
      </c>
      <c r="B97" s="1" t="n">
        <v>45679</v>
      </c>
      <c r="C97" s="1" t="n">
        <v>46195</v>
      </c>
      <c r="D97" t="inlineStr">
        <is>
          <t>UPPSALA LÄN</t>
        </is>
      </c>
      <c r="E97" t="inlineStr">
        <is>
          <t>UPPSALA</t>
        </is>
      </c>
      <c r="F97" t="inlineStr">
        <is>
          <t>Övriga statliga verk och myndigheter</t>
        </is>
      </c>
      <c r="G97" t="n">
        <v>3.8</v>
      </c>
      <c r="H97" t="n">
        <v>3</v>
      </c>
      <c r="I97" t="n">
        <v>0</v>
      </c>
      <c r="J97" t="n">
        <v>1</v>
      </c>
      <c r="K97" t="n">
        <v>0</v>
      </c>
      <c r="L97" t="n">
        <v>0</v>
      </c>
      <c r="M97" t="n">
        <v>0</v>
      </c>
      <c r="N97" t="n">
        <v>0</v>
      </c>
      <c r="O97" t="n">
        <v>1</v>
      </c>
      <c r="P97" t="n">
        <v>0</v>
      </c>
      <c r="Q97" t="n">
        <v>3</v>
      </c>
      <c r="R97" s="2" t="inlineStr">
        <is>
          <t>Nordfladdermus
Blåsippa
Dvärgpipistrell</t>
        </is>
      </c>
      <c r="S97">
        <f>HYPERLINK("https://klasma.github.io/Logging_0380/artfynd/A 3304-2025 artfynd.xlsx", "A 3304-2025")</f>
        <v/>
      </c>
      <c r="T97">
        <f>HYPERLINK("https://klasma.github.io/Logging_0380/kartor/A 3304-2025 karta.png", "A 3304-2025")</f>
        <v/>
      </c>
      <c r="V97">
        <f>HYPERLINK("https://klasma.github.io/Logging_0380/klagomål/A 3304-2025 FSC-klagomål.docx", "A 3304-2025")</f>
        <v/>
      </c>
      <c r="W97">
        <f>HYPERLINK("https://klasma.github.io/Logging_0380/klagomålsmail/A 3304-2025 FSC-klagomål mail.docx", "A 3304-2025")</f>
        <v/>
      </c>
      <c r="X97">
        <f>HYPERLINK("https://klasma.github.io/Logging_0380/tillsyn/A 3304-2025 tillsynsbegäran.docx", "A 3304-2025")</f>
        <v/>
      </c>
      <c r="Y97">
        <f>HYPERLINK("https://klasma.github.io/Logging_0380/tillsynsmail/A 3304-2025 tillsynsbegäran mail.docx", "A 3304-2025")</f>
        <v/>
      </c>
    </row>
    <row r="98" ht="15" customHeight="1">
      <c r="A98" t="inlineStr">
        <is>
          <t>A 17277-2023</t>
        </is>
      </c>
      <c r="B98" s="1" t="n">
        <v>45035</v>
      </c>
      <c r="C98" s="1" t="n">
        <v>46195</v>
      </c>
      <c r="D98" t="inlineStr">
        <is>
          <t>UPPSALA LÄN</t>
        </is>
      </c>
      <c r="E98" t="inlineStr">
        <is>
          <t>UPPSALA</t>
        </is>
      </c>
      <c r="F98" t="inlineStr">
        <is>
          <t>Övriga Aktiebolag</t>
        </is>
      </c>
      <c r="G98" t="n">
        <v>6.1</v>
      </c>
      <c r="H98" t="n">
        <v>3</v>
      </c>
      <c r="I98" t="n">
        <v>0</v>
      </c>
      <c r="J98" t="n">
        <v>1</v>
      </c>
      <c r="K98" t="n">
        <v>0</v>
      </c>
      <c r="L98" t="n">
        <v>0</v>
      </c>
      <c r="M98" t="n">
        <v>0</v>
      </c>
      <c r="N98" t="n">
        <v>0</v>
      </c>
      <c r="O98" t="n">
        <v>1</v>
      </c>
      <c r="P98" t="n">
        <v>0</v>
      </c>
      <c r="Q98" t="n">
        <v>3</v>
      </c>
      <c r="R98" s="2" t="inlineStr">
        <is>
          <t>Duvhök
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58906-2021</t>
        </is>
      </c>
      <c r="B99" s="1" t="n">
        <v>44489</v>
      </c>
      <c r="C99" s="1" t="n">
        <v>46195</v>
      </c>
      <c r="D99" t="inlineStr">
        <is>
          <t>UPPSALA LÄN</t>
        </is>
      </c>
      <c r="E99" t="inlineStr">
        <is>
          <t>UPPSALA</t>
        </is>
      </c>
      <c r="G99" t="n">
        <v>8.6</v>
      </c>
      <c r="H99" t="n">
        <v>2</v>
      </c>
      <c r="I99" t="n">
        <v>0</v>
      </c>
      <c r="J99" t="n">
        <v>2</v>
      </c>
      <c r="K99" t="n">
        <v>0</v>
      </c>
      <c r="L99" t="n">
        <v>0</v>
      </c>
      <c r="M99" t="n">
        <v>0</v>
      </c>
      <c r="N99" t="n">
        <v>0</v>
      </c>
      <c r="O99" t="n">
        <v>2</v>
      </c>
      <c r="P99" t="n">
        <v>0</v>
      </c>
      <c r="Q99" t="n">
        <v>3</v>
      </c>
      <c r="R99" s="2" t="inlineStr">
        <is>
          <t>Talltita
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65659-2021</t>
        </is>
      </c>
      <c r="B100" s="1" t="n">
        <v>44516</v>
      </c>
      <c r="C100" s="1" t="n">
        <v>46195</v>
      </c>
      <c r="D100" t="inlineStr">
        <is>
          <t>UPPSALA LÄN</t>
        </is>
      </c>
      <c r="E100" t="inlineStr">
        <is>
          <t>UPPSALA</t>
        </is>
      </c>
      <c r="G100" t="n">
        <v>2.2</v>
      </c>
      <c r="H100" t="n">
        <v>1</v>
      </c>
      <c r="I100" t="n">
        <v>1</v>
      </c>
      <c r="J100" t="n">
        <v>0</v>
      </c>
      <c r="K100" t="n">
        <v>0</v>
      </c>
      <c r="L100" t="n">
        <v>1</v>
      </c>
      <c r="M100" t="n">
        <v>0</v>
      </c>
      <c r="N100" t="n">
        <v>0</v>
      </c>
      <c r="O100" t="n">
        <v>1</v>
      </c>
      <c r="P100" t="n">
        <v>1</v>
      </c>
      <c r="Q100" t="n">
        <v>3</v>
      </c>
      <c r="R100" s="2" t="inlineStr">
        <is>
          <t>Ask
Fällmossa
Blåsippa</t>
        </is>
      </c>
      <c r="S100">
        <f>HYPERLINK("https://klasma.github.io/Logging_0380/artfynd/A 65659-2021 artfynd.xlsx", "A 65659-2021")</f>
        <v/>
      </c>
      <c r="T100">
        <f>HYPERLINK("https://klasma.github.io/Logging_0380/kartor/A 65659-2021 karta.png", "A 65659-2021")</f>
        <v/>
      </c>
      <c r="V100">
        <f>HYPERLINK("https://klasma.github.io/Logging_0380/klagomål/A 65659-2021 FSC-klagomål.docx", "A 65659-2021")</f>
        <v/>
      </c>
      <c r="W100">
        <f>HYPERLINK("https://klasma.github.io/Logging_0380/klagomålsmail/A 65659-2021 FSC-klagomål mail.docx", "A 65659-2021")</f>
        <v/>
      </c>
      <c r="X100">
        <f>HYPERLINK("https://klasma.github.io/Logging_0380/tillsyn/A 65659-2021 tillsynsbegäran.docx", "A 65659-2021")</f>
        <v/>
      </c>
      <c r="Y100">
        <f>HYPERLINK("https://klasma.github.io/Logging_0380/tillsynsmail/A 65659-2021 tillsynsbegäran mail.docx", "A 65659-2021")</f>
        <v/>
      </c>
    </row>
    <row r="101" ht="15" customHeight="1">
      <c r="A101" t="inlineStr">
        <is>
          <t>A 27816-2026</t>
        </is>
      </c>
      <c r="B101" s="1" t="n">
        <v>46191</v>
      </c>
      <c r="C101" s="1" t="n">
        <v>46195</v>
      </c>
      <c r="D101" t="inlineStr">
        <is>
          <t>UPPSALA LÄN</t>
        </is>
      </c>
      <c r="E101" t="inlineStr">
        <is>
          <t>UPPSALA</t>
        </is>
      </c>
      <c r="G101" t="n">
        <v>5.5</v>
      </c>
      <c r="H101" t="n">
        <v>0</v>
      </c>
      <c r="I101" t="n">
        <v>2</v>
      </c>
      <c r="J101" t="n">
        <v>1</v>
      </c>
      <c r="K101" t="n">
        <v>0</v>
      </c>
      <c r="L101" t="n">
        <v>0</v>
      </c>
      <c r="M101" t="n">
        <v>0</v>
      </c>
      <c r="N101" t="n">
        <v>0</v>
      </c>
      <c r="O101" t="n">
        <v>1</v>
      </c>
      <c r="P101" t="n">
        <v>0</v>
      </c>
      <c r="Q101" t="n">
        <v>3</v>
      </c>
      <c r="R101" s="2" t="inlineStr">
        <is>
          <t>Vedtrappmossa
Brandticka
Granbräken</t>
        </is>
      </c>
      <c r="S101">
        <f>HYPERLINK("https://klasma.github.io/Logging_0380/artfynd/A 27816-2026 artfynd.xlsx", "A 27816-2026")</f>
        <v/>
      </c>
      <c r="T101">
        <f>HYPERLINK("https://klasma.github.io/Logging_0380/kartor/A 27816-2026 karta.png", "A 27816-2026")</f>
        <v/>
      </c>
      <c r="V101">
        <f>HYPERLINK("https://klasma.github.io/Logging_0380/klagomål/A 27816-2026 FSC-klagomål.docx", "A 27816-2026")</f>
        <v/>
      </c>
      <c r="W101">
        <f>HYPERLINK("https://klasma.github.io/Logging_0380/klagomålsmail/A 27816-2026 FSC-klagomål mail.docx", "A 27816-2026")</f>
        <v/>
      </c>
      <c r="X101">
        <f>HYPERLINK("https://klasma.github.io/Logging_0380/tillsyn/A 27816-2026 tillsynsbegäran.docx", "A 27816-2026")</f>
        <v/>
      </c>
      <c r="Y101">
        <f>HYPERLINK("https://klasma.github.io/Logging_0380/tillsynsmail/A 27816-2026 tillsynsbegäran mail.docx", "A 27816-2026")</f>
        <v/>
      </c>
    </row>
    <row r="102" ht="15" customHeight="1">
      <c r="A102" t="inlineStr">
        <is>
          <t>A 88-2024</t>
        </is>
      </c>
      <c r="B102" s="1" t="n">
        <v>45293</v>
      </c>
      <c r="C102" s="1" t="n">
        <v>46195</v>
      </c>
      <c r="D102" t="inlineStr">
        <is>
          <t>UPPSALA LÄN</t>
        </is>
      </c>
      <c r="E102" t="inlineStr">
        <is>
          <t>UPPSALA</t>
        </is>
      </c>
      <c r="G102" t="n">
        <v>2.1</v>
      </c>
      <c r="H102" t="n">
        <v>0</v>
      </c>
      <c r="I102" t="n">
        <v>1</v>
      </c>
      <c r="J102" t="n">
        <v>1</v>
      </c>
      <c r="K102" t="n">
        <v>0</v>
      </c>
      <c r="L102" t="n">
        <v>1</v>
      </c>
      <c r="M102" t="n">
        <v>0</v>
      </c>
      <c r="N102" t="n">
        <v>0</v>
      </c>
      <c r="O102" t="n">
        <v>2</v>
      </c>
      <c r="P102" t="n">
        <v>1</v>
      </c>
      <c r="Q102" t="n">
        <v>3</v>
      </c>
      <c r="R102" s="2" t="inlineStr">
        <is>
          <t>Ask
Gullklöver
Sotlav</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13085-2026</t>
        </is>
      </c>
      <c r="B103" s="1" t="n">
        <v>46093</v>
      </c>
      <c r="C103" s="1" t="n">
        <v>46195</v>
      </c>
      <c r="D103" t="inlineStr">
        <is>
          <t>UPPSALA LÄN</t>
        </is>
      </c>
      <c r="E103" t="inlineStr">
        <is>
          <t>UPPSALA</t>
        </is>
      </c>
      <c r="G103" t="n">
        <v>2.2</v>
      </c>
      <c r="H103" t="n">
        <v>1</v>
      </c>
      <c r="I103" t="n">
        <v>1</v>
      </c>
      <c r="J103" t="n">
        <v>1</v>
      </c>
      <c r="K103" t="n">
        <v>0</v>
      </c>
      <c r="L103" t="n">
        <v>0</v>
      </c>
      <c r="M103" t="n">
        <v>0</v>
      </c>
      <c r="N103" t="n">
        <v>0</v>
      </c>
      <c r="O103" t="n">
        <v>1</v>
      </c>
      <c r="P103" t="n">
        <v>0</v>
      </c>
      <c r="Q103" t="n">
        <v>3</v>
      </c>
      <c r="R103" s="2" t="inlineStr">
        <is>
          <t>Vårärt
Svart trolldruva
Blåsippa</t>
        </is>
      </c>
      <c r="S103">
        <f>HYPERLINK("https://klasma.github.io/Logging_0380/artfynd/A 13085-2026 artfynd.xlsx", "A 13085-2026")</f>
        <v/>
      </c>
      <c r="T103">
        <f>HYPERLINK("https://klasma.github.io/Logging_0380/kartor/A 13085-2026 karta.png", "A 13085-2026")</f>
        <v/>
      </c>
      <c r="V103">
        <f>HYPERLINK("https://klasma.github.io/Logging_0380/klagomål/A 13085-2026 FSC-klagomål.docx", "A 13085-2026")</f>
        <v/>
      </c>
      <c r="W103">
        <f>HYPERLINK("https://klasma.github.io/Logging_0380/klagomålsmail/A 13085-2026 FSC-klagomål mail.docx", "A 13085-2026")</f>
        <v/>
      </c>
      <c r="X103">
        <f>HYPERLINK("https://klasma.github.io/Logging_0380/tillsyn/A 13085-2026 tillsynsbegäran.docx", "A 13085-2026")</f>
        <v/>
      </c>
      <c r="Y103">
        <f>HYPERLINK("https://klasma.github.io/Logging_0380/tillsynsmail/A 13085-2026 tillsynsbegäran mail.docx", "A 13085-2026")</f>
        <v/>
      </c>
    </row>
    <row r="104" ht="15" customHeight="1">
      <c r="A104" t="inlineStr">
        <is>
          <t>A 22440-2026</t>
        </is>
      </c>
      <c r="B104" s="1" t="n">
        <v>46155</v>
      </c>
      <c r="C104" s="1" t="n">
        <v>46195</v>
      </c>
      <c r="D104" t="inlineStr">
        <is>
          <t>UPPSALA LÄN</t>
        </is>
      </c>
      <c r="E104" t="inlineStr">
        <is>
          <t>UPPSALA</t>
        </is>
      </c>
      <c r="F104" t="inlineStr">
        <is>
          <t>Kyrkan</t>
        </is>
      </c>
      <c r="G104" t="n">
        <v>1</v>
      </c>
      <c r="H104" t="n">
        <v>2</v>
      </c>
      <c r="I104" t="n">
        <v>0</v>
      </c>
      <c r="J104" t="n">
        <v>1</v>
      </c>
      <c r="K104" t="n">
        <v>0</v>
      </c>
      <c r="L104" t="n">
        <v>0</v>
      </c>
      <c r="M104" t="n">
        <v>0</v>
      </c>
      <c r="N104" t="n">
        <v>0</v>
      </c>
      <c r="O104" t="n">
        <v>1</v>
      </c>
      <c r="P104" t="n">
        <v>0</v>
      </c>
      <c r="Q104" t="n">
        <v>3</v>
      </c>
      <c r="R104" s="2" t="inlineStr">
        <is>
          <t>Tallticka
Spillkråka
Revlummer</t>
        </is>
      </c>
      <c r="S104">
        <f>HYPERLINK("https://klasma.github.io/Logging_0380/artfynd/A 22440-2026 artfynd.xlsx", "A 22440-2026")</f>
        <v/>
      </c>
      <c r="T104">
        <f>HYPERLINK("https://klasma.github.io/Logging_0380/kartor/A 22440-2026 karta.png", "A 22440-2026")</f>
        <v/>
      </c>
      <c r="V104">
        <f>HYPERLINK("https://klasma.github.io/Logging_0380/klagomål/A 22440-2026 FSC-klagomål.docx", "A 22440-2026")</f>
        <v/>
      </c>
      <c r="W104">
        <f>HYPERLINK("https://klasma.github.io/Logging_0380/klagomålsmail/A 22440-2026 FSC-klagomål mail.docx", "A 22440-2026")</f>
        <v/>
      </c>
      <c r="X104">
        <f>HYPERLINK("https://klasma.github.io/Logging_0380/tillsyn/A 22440-2026 tillsynsbegäran.docx", "A 22440-2026")</f>
        <v/>
      </c>
      <c r="Y104">
        <f>HYPERLINK("https://klasma.github.io/Logging_0380/tillsynsmail/A 22440-2026 tillsynsbegäran mail.docx", "A 22440-2026")</f>
        <v/>
      </c>
      <c r="Z104">
        <f>HYPERLINK("https://klasma.github.io/Logging_0380/fåglar/A 22440-2026 prioriterade fågelarter.docx", "A 22440-2026")</f>
        <v/>
      </c>
    </row>
    <row r="105" ht="15" customHeight="1">
      <c r="A105" t="inlineStr">
        <is>
          <t>A 57793-2022</t>
        </is>
      </c>
      <c r="B105" s="1" t="n">
        <v>44897</v>
      </c>
      <c r="C105" s="1" t="n">
        <v>46195</v>
      </c>
      <c r="D105" t="inlineStr">
        <is>
          <t>UPPSALA LÄN</t>
        </is>
      </c>
      <c r="E105" t="inlineStr">
        <is>
          <t>UPPSALA</t>
        </is>
      </c>
      <c r="G105" t="n">
        <v>2.9</v>
      </c>
      <c r="H105" t="n">
        <v>2</v>
      </c>
      <c r="I105" t="n">
        <v>1</v>
      </c>
      <c r="J105" t="n">
        <v>2</v>
      </c>
      <c r="K105" t="n">
        <v>0</v>
      </c>
      <c r="L105" t="n">
        <v>0</v>
      </c>
      <c r="M105" t="n">
        <v>0</v>
      </c>
      <c r="N105" t="n">
        <v>0</v>
      </c>
      <c r="O105" t="n">
        <v>2</v>
      </c>
      <c r="P105" t="n">
        <v>0</v>
      </c>
      <c r="Q105" t="n">
        <v>3</v>
      </c>
      <c r="R105" s="2" t="inlineStr">
        <is>
          <t>Sparvuggla
Talltita
Blomkålssvamp</t>
        </is>
      </c>
      <c r="S105">
        <f>HYPERLINK("https://klasma.github.io/Logging_0380/artfynd/A 57793-2022 artfynd.xlsx", "A 57793-2022")</f>
        <v/>
      </c>
      <c r="T105">
        <f>HYPERLINK("https://klasma.github.io/Logging_0380/kartor/A 57793-2022 karta.png", "A 57793-2022")</f>
        <v/>
      </c>
      <c r="V105">
        <f>HYPERLINK("https://klasma.github.io/Logging_0380/klagomål/A 57793-2022 FSC-klagomål.docx", "A 57793-2022")</f>
        <v/>
      </c>
      <c r="W105">
        <f>HYPERLINK("https://klasma.github.io/Logging_0380/klagomålsmail/A 57793-2022 FSC-klagomål mail.docx", "A 57793-2022")</f>
        <v/>
      </c>
      <c r="X105">
        <f>HYPERLINK("https://klasma.github.io/Logging_0380/tillsyn/A 57793-2022 tillsynsbegäran.docx", "A 57793-2022")</f>
        <v/>
      </c>
      <c r="Y105">
        <f>HYPERLINK("https://klasma.github.io/Logging_0380/tillsynsmail/A 57793-2022 tillsynsbegäran mail.docx", "A 57793-2022")</f>
        <v/>
      </c>
      <c r="Z105">
        <f>HYPERLINK("https://klasma.github.io/Logging_0380/fåglar/A 57793-2022 prioriterade fågelarter.docx", "A 57793-2022")</f>
        <v/>
      </c>
    </row>
    <row r="106" ht="15" customHeight="1">
      <c r="A106" t="inlineStr">
        <is>
          <t>A 48918-2021</t>
        </is>
      </c>
      <c r="B106" s="1" t="n">
        <v>44453</v>
      </c>
      <c r="C106" s="1" t="n">
        <v>46195</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5750-2023</t>
        </is>
      </c>
      <c r="B107" s="1" t="n">
        <v>44963</v>
      </c>
      <c r="C107" s="1" t="n">
        <v>46195</v>
      </c>
      <c r="D107" t="inlineStr">
        <is>
          <t>UPPSALA LÄN</t>
        </is>
      </c>
      <c r="E107" t="inlineStr">
        <is>
          <t>UPPSALA</t>
        </is>
      </c>
      <c r="G107" t="n">
        <v>13.8</v>
      </c>
      <c r="H107" t="n">
        <v>0</v>
      </c>
      <c r="I107" t="n">
        <v>1</v>
      </c>
      <c r="J107" t="n">
        <v>0</v>
      </c>
      <c r="K107" t="n">
        <v>1</v>
      </c>
      <c r="L107" t="n">
        <v>0</v>
      </c>
      <c r="M107" t="n">
        <v>0</v>
      </c>
      <c r="N107" t="n">
        <v>0</v>
      </c>
      <c r="O107" t="n">
        <v>1</v>
      </c>
      <c r="P107" t="n">
        <v>1</v>
      </c>
      <c r="Q107" t="n">
        <v>2</v>
      </c>
      <c r="R107" s="2" t="inlineStr">
        <is>
          <t>Raggbock
Bårdlav</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18425-2025</t>
        </is>
      </c>
      <c r="B108" s="1" t="n">
        <v>45762</v>
      </c>
      <c r="C108" s="1" t="n">
        <v>46195</v>
      </c>
      <c r="D108" t="inlineStr">
        <is>
          <t>UPPSALA LÄN</t>
        </is>
      </c>
      <c r="E108" t="inlineStr">
        <is>
          <t>UPPSALA</t>
        </is>
      </c>
      <c r="G108" t="n">
        <v>9.800000000000001</v>
      </c>
      <c r="H108" t="n">
        <v>1</v>
      </c>
      <c r="I108" t="n">
        <v>0</v>
      </c>
      <c r="J108" t="n">
        <v>1</v>
      </c>
      <c r="K108" t="n">
        <v>0</v>
      </c>
      <c r="L108" t="n">
        <v>0</v>
      </c>
      <c r="M108" t="n">
        <v>0</v>
      </c>
      <c r="N108" t="n">
        <v>0</v>
      </c>
      <c r="O108" t="n">
        <v>1</v>
      </c>
      <c r="P108" t="n">
        <v>0</v>
      </c>
      <c r="Q108" t="n">
        <v>2</v>
      </c>
      <c r="R108" s="2" t="inlineStr">
        <is>
          <t>Tallticka
Spillkråka</t>
        </is>
      </c>
      <c r="S108">
        <f>HYPERLINK("https://klasma.github.io/Logging_0380/artfynd/A 18425-2025 artfynd.xlsx", "A 18425-2025")</f>
        <v/>
      </c>
      <c r="T108">
        <f>HYPERLINK("https://klasma.github.io/Logging_0380/kartor/A 18425-2025 karta.png", "A 18425-2025")</f>
        <v/>
      </c>
      <c r="V108">
        <f>HYPERLINK("https://klasma.github.io/Logging_0380/klagomål/A 18425-2025 FSC-klagomål.docx", "A 18425-2025")</f>
        <v/>
      </c>
      <c r="W108">
        <f>HYPERLINK("https://klasma.github.io/Logging_0380/klagomålsmail/A 18425-2025 FSC-klagomål mail.docx", "A 18425-2025")</f>
        <v/>
      </c>
      <c r="X108">
        <f>HYPERLINK("https://klasma.github.io/Logging_0380/tillsyn/A 18425-2025 tillsynsbegäran.docx", "A 18425-2025")</f>
        <v/>
      </c>
      <c r="Y108">
        <f>HYPERLINK("https://klasma.github.io/Logging_0380/tillsynsmail/A 18425-2025 tillsynsbegäran mail.docx", "A 18425-2025")</f>
        <v/>
      </c>
      <c r="Z108">
        <f>HYPERLINK("https://klasma.github.io/Logging_0380/fåglar/A 18425-2025 prioriterade fågelarter.docx", "A 18425-2025")</f>
        <v/>
      </c>
    </row>
    <row r="109" ht="15" customHeight="1">
      <c r="A109" t="inlineStr">
        <is>
          <t>A 25729-2024</t>
        </is>
      </c>
      <c r="B109" s="1" t="n">
        <v>45464</v>
      </c>
      <c r="C109" s="1" t="n">
        <v>46195</v>
      </c>
      <c r="D109" t="inlineStr">
        <is>
          <t>UPPSALA LÄN</t>
        </is>
      </c>
      <c r="E109" t="inlineStr">
        <is>
          <t>UPPSALA</t>
        </is>
      </c>
      <c r="G109" t="n">
        <v>22.3</v>
      </c>
      <c r="H109" t="n">
        <v>0</v>
      </c>
      <c r="I109" t="n">
        <v>1</v>
      </c>
      <c r="J109" t="n">
        <v>1</v>
      </c>
      <c r="K109" t="n">
        <v>0</v>
      </c>
      <c r="L109" t="n">
        <v>0</v>
      </c>
      <c r="M109" t="n">
        <v>0</v>
      </c>
      <c r="N109" t="n">
        <v>0</v>
      </c>
      <c r="O109" t="n">
        <v>1</v>
      </c>
      <c r="P109" t="n">
        <v>0</v>
      </c>
      <c r="Q109" t="n">
        <v>2</v>
      </c>
      <c r="R109" s="2" t="inlineStr">
        <is>
          <t>Ullticka
Bronshjon</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6998-2023</t>
        </is>
      </c>
      <c r="B110" s="1" t="n">
        <v>44967</v>
      </c>
      <c r="C110" s="1" t="n">
        <v>46195</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Blåsippa
Nattviol</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5732-2025</t>
        </is>
      </c>
      <c r="B111" s="1" t="n">
        <v>45694</v>
      </c>
      <c r="C111" s="1" t="n">
        <v>46195</v>
      </c>
      <c r="D111" t="inlineStr">
        <is>
          <t>UPPSALA LÄN</t>
        </is>
      </c>
      <c r="E111" t="inlineStr">
        <is>
          <t>UPPSALA</t>
        </is>
      </c>
      <c r="G111" t="n">
        <v>1.9</v>
      </c>
      <c r="H111" t="n">
        <v>0</v>
      </c>
      <c r="I111" t="n">
        <v>2</v>
      </c>
      <c r="J111" t="n">
        <v>0</v>
      </c>
      <c r="K111" t="n">
        <v>0</v>
      </c>
      <c r="L111" t="n">
        <v>0</v>
      </c>
      <c r="M111" t="n">
        <v>0</v>
      </c>
      <c r="N111" t="n">
        <v>0</v>
      </c>
      <c r="O111" t="n">
        <v>0</v>
      </c>
      <c r="P111" t="n">
        <v>0</v>
      </c>
      <c r="Q111" t="n">
        <v>2</v>
      </c>
      <c r="R111" s="2" t="inlineStr">
        <is>
          <t>Fällmossa
Hasselticka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5755-2025</t>
        </is>
      </c>
      <c r="B112" s="1" t="n">
        <v>45694</v>
      </c>
      <c r="C112" s="1" t="n">
        <v>46195</v>
      </c>
      <c r="D112" t="inlineStr">
        <is>
          <t>UPPSALA LÄN</t>
        </is>
      </c>
      <c r="E112" t="inlineStr">
        <is>
          <t>UPPSALA</t>
        </is>
      </c>
      <c r="G112" t="n">
        <v>1.3</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5755-2025 artfynd.xlsx", "A 5755-2025")</f>
        <v/>
      </c>
      <c r="T112">
        <f>HYPERLINK("https://klasma.github.io/Logging_0380/kartor/A 5755-2025 karta.png", "A 5755-2025")</f>
        <v/>
      </c>
      <c r="V112">
        <f>HYPERLINK("https://klasma.github.io/Logging_0380/klagomål/A 5755-2025 FSC-klagomål.docx", "A 5755-2025")</f>
        <v/>
      </c>
      <c r="W112">
        <f>HYPERLINK("https://klasma.github.io/Logging_0380/klagomålsmail/A 5755-2025 FSC-klagomål mail.docx", "A 5755-2025")</f>
        <v/>
      </c>
      <c r="X112">
        <f>HYPERLINK("https://klasma.github.io/Logging_0380/tillsyn/A 5755-2025 tillsynsbegäran.docx", "A 5755-2025")</f>
        <v/>
      </c>
      <c r="Y112">
        <f>HYPERLINK("https://klasma.github.io/Logging_0380/tillsynsmail/A 5755-2025 tillsynsbegäran mail.docx", "A 5755-2025")</f>
        <v/>
      </c>
    </row>
    <row r="113" ht="15" customHeight="1">
      <c r="A113" t="inlineStr">
        <is>
          <t>A 20712-2025</t>
        </is>
      </c>
      <c r="B113" s="1" t="n">
        <v>45776</v>
      </c>
      <c r="C113" s="1" t="n">
        <v>46195</v>
      </c>
      <c r="D113" t="inlineStr">
        <is>
          <t>UPPSALA LÄN</t>
        </is>
      </c>
      <c r="E113" t="inlineStr">
        <is>
          <t>UPPSALA</t>
        </is>
      </c>
      <c r="G113" t="n">
        <v>1.5</v>
      </c>
      <c r="H113" t="n">
        <v>1</v>
      </c>
      <c r="I113" t="n">
        <v>1</v>
      </c>
      <c r="J113" t="n">
        <v>0</v>
      </c>
      <c r="K113" t="n">
        <v>0</v>
      </c>
      <c r="L113" t="n">
        <v>0</v>
      </c>
      <c r="M113" t="n">
        <v>0</v>
      </c>
      <c r="N113" t="n">
        <v>0</v>
      </c>
      <c r="O113" t="n">
        <v>0</v>
      </c>
      <c r="P113" t="n">
        <v>0</v>
      </c>
      <c r="Q113" t="n">
        <v>2</v>
      </c>
      <c r="R113" s="2" t="inlineStr">
        <is>
          <t>Gulpudrad spiklav
Blåsippa</t>
        </is>
      </c>
      <c r="S113">
        <f>HYPERLINK("https://klasma.github.io/Logging_0380/artfynd/A 20712-2025 artfynd.xlsx", "A 20712-2025")</f>
        <v/>
      </c>
      <c r="T113">
        <f>HYPERLINK("https://klasma.github.io/Logging_0380/kartor/A 20712-2025 karta.png", "A 20712-2025")</f>
        <v/>
      </c>
      <c r="V113">
        <f>HYPERLINK("https://klasma.github.io/Logging_0380/klagomål/A 20712-2025 FSC-klagomål.docx", "A 20712-2025")</f>
        <v/>
      </c>
      <c r="W113">
        <f>HYPERLINK("https://klasma.github.io/Logging_0380/klagomålsmail/A 20712-2025 FSC-klagomål mail.docx", "A 20712-2025")</f>
        <v/>
      </c>
      <c r="X113">
        <f>HYPERLINK("https://klasma.github.io/Logging_0380/tillsyn/A 20712-2025 tillsynsbegäran.docx", "A 20712-2025")</f>
        <v/>
      </c>
      <c r="Y113">
        <f>HYPERLINK("https://klasma.github.io/Logging_0380/tillsynsmail/A 20712-2025 tillsynsbegäran mail.docx", "A 20712-2025")</f>
        <v/>
      </c>
    </row>
    <row r="114" ht="15" customHeight="1">
      <c r="A114" t="inlineStr">
        <is>
          <t>A 39933-2023</t>
        </is>
      </c>
      <c r="B114" s="1" t="n">
        <v>45168</v>
      </c>
      <c r="C114" s="1" t="n">
        <v>46195</v>
      </c>
      <c r="D114" t="inlineStr">
        <is>
          <t>UPPSALA LÄN</t>
        </is>
      </c>
      <c r="E114" t="inlineStr">
        <is>
          <t>UPPSALA</t>
        </is>
      </c>
      <c r="F114" t="inlineStr">
        <is>
          <t>Holmen skog AB</t>
        </is>
      </c>
      <c r="G114" t="n">
        <v>6.3</v>
      </c>
      <c r="H114" t="n">
        <v>2</v>
      </c>
      <c r="I114" t="n">
        <v>0</v>
      </c>
      <c r="J114" t="n">
        <v>1</v>
      </c>
      <c r="K114" t="n">
        <v>0</v>
      </c>
      <c r="L114" t="n">
        <v>0</v>
      </c>
      <c r="M114" t="n">
        <v>0</v>
      </c>
      <c r="N114" t="n">
        <v>0</v>
      </c>
      <c r="O114" t="n">
        <v>1</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51935-2023</t>
        </is>
      </c>
      <c r="B115" s="1" t="n">
        <v>45223</v>
      </c>
      <c r="C115" s="1" t="n">
        <v>46195</v>
      </c>
      <c r="D115" t="inlineStr">
        <is>
          <t>UPPSALA LÄN</t>
        </is>
      </c>
      <c r="E115" t="inlineStr">
        <is>
          <t>UPPSALA</t>
        </is>
      </c>
      <c r="G115" t="n">
        <v>4.8</v>
      </c>
      <c r="H115" t="n">
        <v>0</v>
      </c>
      <c r="I115" t="n">
        <v>1</v>
      </c>
      <c r="J115" t="n">
        <v>0</v>
      </c>
      <c r="K115" t="n">
        <v>1</v>
      </c>
      <c r="L115" t="n">
        <v>0</v>
      </c>
      <c r="M115" t="n">
        <v>0</v>
      </c>
      <c r="N115" t="n">
        <v>0</v>
      </c>
      <c r="O115" t="n">
        <v>1</v>
      </c>
      <c r="P115" t="n">
        <v>1</v>
      </c>
      <c r="Q115" t="n">
        <v>2</v>
      </c>
      <c r="R115" s="2" t="inlineStr">
        <is>
          <t>Ekpricklav
Fransig jordstjärna</t>
        </is>
      </c>
      <c r="S115">
        <f>HYPERLINK("https://klasma.github.io/Logging_0380/artfynd/A 51935-2023 artfynd.xlsx", "A 51935-2023")</f>
        <v/>
      </c>
      <c r="T115">
        <f>HYPERLINK("https://klasma.github.io/Logging_0380/kartor/A 51935-2023 karta.png", "A 51935-2023")</f>
        <v/>
      </c>
      <c r="V115">
        <f>HYPERLINK("https://klasma.github.io/Logging_0380/klagomål/A 51935-2023 FSC-klagomål.docx", "A 51935-2023")</f>
        <v/>
      </c>
      <c r="W115">
        <f>HYPERLINK("https://klasma.github.io/Logging_0380/klagomålsmail/A 51935-2023 FSC-klagomål mail.docx", "A 51935-2023")</f>
        <v/>
      </c>
      <c r="X115">
        <f>HYPERLINK("https://klasma.github.io/Logging_0380/tillsyn/A 51935-2023 tillsynsbegäran.docx", "A 51935-2023")</f>
        <v/>
      </c>
      <c r="Y115">
        <f>HYPERLINK("https://klasma.github.io/Logging_0380/tillsynsmail/A 51935-2023 tillsynsbegäran mail.docx", "A 51935-2023")</f>
        <v/>
      </c>
    </row>
    <row r="116" ht="15" customHeight="1">
      <c r="A116" t="inlineStr">
        <is>
          <t>A 19539-2024</t>
        </is>
      </c>
      <c r="B116" s="1" t="n">
        <v>45429</v>
      </c>
      <c r="C116" s="1" t="n">
        <v>46195</v>
      </c>
      <c r="D116" t="inlineStr">
        <is>
          <t>UPPSALA LÄN</t>
        </is>
      </c>
      <c r="E116" t="inlineStr">
        <is>
          <t>UPPSALA</t>
        </is>
      </c>
      <c r="G116" t="n">
        <v>1.9</v>
      </c>
      <c r="H116" t="n">
        <v>2</v>
      </c>
      <c r="I116" t="n">
        <v>0</v>
      </c>
      <c r="J116" t="n">
        <v>1</v>
      </c>
      <c r="K116" t="n">
        <v>1</v>
      </c>
      <c r="L116" t="n">
        <v>0</v>
      </c>
      <c r="M116" t="n">
        <v>0</v>
      </c>
      <c r="N116" t="n">
        <v>0</v>
      </c>
      <c r="O116" t="n">
        <v>2</v>
      </c>
      <c r="P116" t="n">
        <v>1</v>
      </c>
      <c r="Q116" t="n">
        <v>2</v>
      </c>
      <c r="R116" s="2" t="inlineStr">
        <is>
          <t>Grönfink
Gulsparv</t>
        </is>
      </c>
      <c r="S116">
        <f>HYPERLINK("https://klasma.github.io/Logging_0380/artfynd/A 19539-2024 artfynd.xlsx", "A 19539-2024")</f>
        <v/>
      </c>
      <c r="T116">
        <f>HYPERLINK("https://klasma.github.io/Logging_0380/kartor/A 19539-2024 karta.png", "A 19539-2024")</f>
        <v/>
      </c>
      <c r="V116">
        <f>HYPERLINK("https://klasma.github.io/Logging_0380/klagomål/A 19539-2024 FSC-klagomål.docx", "A 19539-2024")</f>
        <v/>
      </c>
      <c r="W116">
        <f>HYPERLINK("https://klasma.github.io/Logging_0380/klagomålsmail/A 19539-2024 FSC-klagomål mail.docx", "A 19539-2024")</f>
        <v/>
      </c>
      <c r="X116">
        <f>HYPERLINK("https://klasma.github.io/Logging_0380/tillsyn/A 19539-2024 tillsynsbegäran.docx", "A 19539-2024")</f>
        <v/>
      </c>
      <c r="Y116">
        <f>HYPERLINK("https://klasma.github.io/Logging_0380/tillsynsmail/A 19539-2024 tillsynsbegäran mail.docx", "A 19539-2024")</f>
        <v/>
      </c>
      <c r="Z116">
        <f>HYPERLINK("https://klasma.github.io/Logging_0380/fåglar/A 19539-2024 prioriterade fågelarter.docx", "A 19539-2024")</f>
        <v/>
      </c>
    </row>
    <row r="117" ht="15" customHeight="1">
      <c r="A117" t="inlineStr">
        <is>
          <t>A 51158-2025</t>
        </is>
      </c>
      <c r="B117" s="1" t="n">
        <v>45947</v>
      </c>
      <c r="C117" s="1" t="n">
        <v>46195</v>
      </c>
      <c r="D117" t="inlineStr">
        <is>
          <t>UPPSALA LÄN</t>
        </is>
      </c>
      <c r="E117" t="inlineStr">
        <is>
          <t>UPPSALA</t>
        </is>
      </c>
      <c r="F117" t="inlineStr">
        <is>
          <t>Övriga Aktiebolag</t>
        </is>
      </c>
      <c r="G117" t="n">
        <v>12.1</v>
      </c>
      <c r="H117" t="n">
        <v>0</v>
      </c>
      <c r="I117" t="n">
        <v>0</v>
      </c>
      <c r="J117" t="n">
        <v>0</v>
      </c>
      <c r="K117" t="n">
        <v>0</v>
      </c>
      <c r="L117" t="n">
        <v>0</v>
      </c>
      <c r="M117" t="n">
        <v>0</v>
      </c>
      <c r="N117" t="n">
        <v>0</v>
      </c>
      <c r="O117" t="n">
        <v>0</v>
      </c>
      <c r="P117" t="n">
        <v>0</v>
      </c>
      <c r="Q117" t="n">
        <v>2</v>
      </c>
      <c r="R117" s="2" t="inlineStr">
        <is>
          <t>Liljekonvalj
Vitsippa</t>
        </is>
      </c>
      <c r="S117">
        <f>HYPERLINK("https://klasma.github.io/Logging_0380/artfynd/A 51158-2025 artfynd.xlsx", "A 51158-2025")</f>
        <v/>
      </c>
      <c r="T117">
        <f>HYPERLINK("https://klasma.github.io/Logging_0380/kartor/A 51158-2025 karta.png", "A 51158-2025")</f>
        <v/>
      </c>
      <c r="V117">
        <f>HYPERLINK("https://klasma.github.io/Logging_0380/klagomål/A 51158-2025 FSC-klagomål.docx", "A 51158-2025")</f>
        <v/>
      </c>
      <c r="W117">
        <f>HYPERLINK("https://klasma.github.io/Logging_0380/klagomålsmail/A 51158-2025 FSC-klagomål mail.docx", "A 51158-2025")</f>
        <v/>
      </c>
      <c r="X117">
        <f>HYPERLINK("https://klasma.github.io/Logging_0380/tillsyn/A 51158-2025 tillsynsbegäran.docx", "A 51158-2025")</f>
        <v/>
      </c>
      <c r="Y117">
        <f>HYPERLINK("https://klasma.github.io/Logging_0380/tillsynsmail/A 51158-2025 tillsynsbegäran mail.docx", "A 51158-2025")</f>
        <v/>
      </c>
    </row>
    <row r="118" ht="15" customHeight="1">
      <c r="A118" t="inlineStr">
        <is>
          <t>A 53589-2025</t>
        </is>
      </c>
      <c r="B118" s="1" t="n">
        <v>45960</v>
      </c>
      <c r="C118" s="1" t="n">
        <v>46195</v>
      </c>
      <c r="D118" t="inlineStr">
        <is>
          <t>UPPSALA LÄN</t>
        </is>
      </c>
      <c r="E118" t="inlineStr">
        <is>
          <t>UPPSALA</t>
        </is>
      </c>
      <c r="G118" t="n">
        <v>9.699999999999999</v>
      </c>
      <c r="H118" t="n">
        <v>1</v>
      </c>
      <c r="I118" t="n">
        <v>0</v>
      </c>
      <c r="J118" t="n">
        <v>1</v>
      </c>
      <c r="K118" t="n">
        <v>0</v>
      </c>
      <c r="L118" t="n">
        <v>0</v>
      </c>
      <c r="M118" t="n">
        <v>0</v>
      </c>
      <c r="N118" t="n">
        <v>0</v>
      </c>
      <c r="O118" t="n">
        <v>1</v>
      </c>
      <c r="P118" t="n">
        <v>0</v>
      </c>
      <c r="Q118" t="n">
        <v>2</v>
      </c>
      <c r="R118" s="2" t="inlineStr">
        <is>
          <t>Vedtrappmossa
Spillkråka</t>
        </is>
      </c>
      <c r="S118">
        <f>HYPERLINK("https://klasma.github.io/Logging_0380/artfynd/A 53589-2025 artfynd.xlsx", "A 53589-2025")</f>
        <v/>
      </c>
      <c r="T118">
        <f>HYPERLINK("https://klasma.github.io/Logging_0380/kartor/A 53589-2025 karta.png", "A 53589-2025")</f>
        <v/>
      </c>
      <c r="V118">
        <f>HYPERLINK("https://klasma.github.io/Logging_0380/klagomål/A 53589-2025 FSC-klagomål.docx", "A 53589-2025")</f>
        <v/>
      </c>
      <c r="W118">
        <f>HYPERLINK("https://klasma.github.io/Logging_0380/klagomålsmail/A 53589-2025 FSC-klagomål mail.docx", "A 53589-2025")</f>
        <v/>
      </c>
      <c r="X118">
        <f>HYPERLINK("https://klasma.github.io/Logging_0380/tillsyn/A 53589-2025 tillsynsbegäran.docx", "A 53589-2025")</f>
        <v/>
      </c>
      <c r="Y118">
        <f>HYPERLINK("https://klasma.github.io/Logging_0380/tillsynsmail/A 53589-2025 tillsynsbegäran mail.docx", "A 53589-2025")</f>
        <v/>
      </c>
      <c r="Z118">
        <f>HYPERLINK("https://klasma.github.io/Logging_0380/fåglar/A 53589-2025 prioriterade fågelarter.docx", "A 53589-2025")</f>
        <v/>
      </c>
    </row>
    <row r="119" ht="15" customHeight="1">
      <c r="A119" t="inlineStr">
        <is>
          <t>A 44675-2023</t>
        </is>
      </c>
      <c r="B119" s="1" t="n">
        <v>45189</v>
      </c>
      <c r="C119" s="1" t="n">
        <v>46195</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35260-2025</t>
        </is>
      </c>
      <c r="B120" s="1" t="n">
        <v>45853</v>
      </c>
      <c r="C120" s="1" t="n">
        <v>46195</v>
      </c>
      <c r="D120" t="inlineStr">
        <is>
          <t>UPPSALA LÄN</t>
        </is>
      </c>
      <c r="E120" t="inlineStr">
        <is>
          <t>UPPSALA</t>
        </is>
      </c>
      <c r="G120" t="n">
        <v>7.3</v>
      </c>
      <c r="H120" t="n">
        <v>0</v>
      </c>
      <c r="I120" t="n">
        <v>1</v>
      </c>
      <c r="J120" t="n">
        <v>1</v>
      </c>
      <c r="K120" t="n">
        <v>0</v>
      </c>
      <c r="L120" t="n">
        <v>0</v>
      </c>
      <c r="M120" t="n">
        <v>0</v>
      </c>
      <c r="N120" t="n">
        <v>0</v>
      </c>
      <c r="O120" t="n">
        <v>1</v>
      </c>
      <c r="P120" t="n">
        <v>0</v>
      </c>
      <c r="Q120" t="n">
        <v>2</v>
      </c>
      <c r="R120" s="2" t="inlineStr">
        <is>
          <t>Gultoppig fingersvamp
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844-2025</t>
        </is>
      </c>
      <c r="B121" s="1" t="n">
        <v>45665</v>
      </c>
      <c r="C121" s="1" t="n">
        <v>46195</v>
      </c>
      <c r="D121" t="inlineStr">
        <is>
          <t>UPPSALA LÄN</t>
        </is>
      </c>
      <c r="E121" t="inlineStr">
        <is>
          <t>UPPSALA</t>
        </is>
      </c>
      <c r="G121" t="n">
        <v>2.6</v>
      </c>
      <c r="H121" t="n">
        <v>2</v>
      </c>
      <c r="I121" t="n">
        <v>0</v>
      </c>
      <c r="J121" t="n">
        <v>0</v>
      </c>
      <c r="K121" t="n">
        <v>0</v>
      </c>
      <c r="L121" t="n">
        <v>0</v>
      </c>
      <c r="M121" t="n">
        <v>0</v>
      </c>
      <c r="N121" t="n">
        <v>0</v>
      </c>
      <c r="O121" t="n">
        <v>0</v>
      </c>
      <c r="P121" t="n">
        <v>0</v>
      </c>
      <c r="Q121" t="n">
        <v>2</v>
      </c>
      <c r="R121" s="2" t="inlineStr">
        <is>
          <t>Blåsippa
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46634-2022</t>
        </is>
      </c>
      <c r="B122" s="1" t="n">
        <v>44849</v>
      </c>
      <c r="C122" s="1" t="n">
        <v>46195</v>
      </c>
      <c r="D122" t="inlineStr">
        <is>
          <t>UPPSALA LÄN</t>
        </is>
      </c>
      <c r="E122" t="inlineStr">
        <is>
          <t>UPPSALA</t>
        </is>
      </c>
      <c r="G122" t="n">
        <v>2.9</v>
      </c>
      <c r="H122" t="n">
        <v>0</v>
      </c>
      <c r="I122" t="n">
        <v>0</v>
      </c>
      <c r="J122" t="n">
        <v>2</v>
      </c>
      <c r="K122" t="n">
        <v>0</v>
      </c>
      <c r="L122" t="n">
        <v>0</v>
      </c>
      <c r="M122" t="n">
        <v>0</v>
      </c>
      <c r="N122" t="n">
        <v>0</v>
      </c>
      <c r="O122" t="n">
        <v>2</v>
      </c>
      <c r="P122" t="n">
        <v>0</v>
      </c>
      <c r="Q122" t="n">
        <v>2</v>
      </c>
      <c r="R122" s="2" t="inlineStr">
        <is>
          <t>Fjällig taggsvamp s.str.
Jättekamskivling</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42134-2025</t>
        </is>
      </c>
      <c r="B123" s="1" t="n">
        <v>45904</v>
      </c>
      <c r="C123" s="1" t="n">
        <v>46195</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46195</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46195</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46195</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46195</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46195</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32688-2023</t>
        </is>
      </c>
      <c r="B129" s="1" t="n">
        <v>45121</v>
      </c>
      <c r="C129" s="1" t="n">
        <v>46195</v>
      </c>
      <c r="D129" t="inlineStr">
        <is>
          <t>UPPSALA LÄN</t>
        </is>
      </c>
      <c r="E129" t="inlineStr">
        <is>
          <t>UPPSALA</t>
        </is>
      </c>
      <c r="F129" t="inlineStr">
        <is>
          <t>Holmen skog AB</t>
        </is>
      </c>
      <c r="G129" t="n">
        <v>4.3</v>
      </c>
      <c r="H129" t="n">
        <v>1</v>
      </c>
      <c r="I129" t="n">
        <v>0</v>
      </c>
      <c r="J129" t="n">
        <v>0</v>
      </c>
      <c r="K129" t="n">
        <v>0</v>
      </c>
      <c r="L129" t="n">
        <v>0</v>
      </c>
      <c r="M129" t="n">
        <v>0</v>
      </c>
      <c r="N129" t="n">
        <v>0</v>
      </c>
      <c r="O129" t="n">
        <v>0</v>
      </c>
      <c r="P129" t="n">
        <v>0</v>
      </c>
      <c r="Q129" t="n">
        <v>1</v>
      </c>
      <c r="R129" s="2" t="inlineStr">
        <is>
          <t>Blåsippa</t>
        </is>
      </c>
      <c r="S129">
        <f>HYPERLINK("https://klasma.github.io/Logging_0380/artfynd/A 32688-2023 artfynd.xlsx", "A 32688-2023")</f>
        <v/>
      </c>
      <c r="T129">
        <f>HYPERLINK("https://klasma.github.io/Logging_0380/kartor/A 32688-2023 karta.png", "A 32688-2023")</f>
        <v/>
      </c>
      <c r="V129">
        <f>HYPERLINK("https://klasma.github.io/Logging_0380/klagomål/A 32688-2023 FSC-klagomål.docx", "A 32688-2023")</f>
        <v/>
      </c>
      <c r="W129">
        <f>HYPERLINK("https://klasma.github.io/Logging_0380/klagomålsmail/A 32688-2023 FSC-klagomål mail.docx", "A 32688-2023")</f>
        <v/>
      </c>
      <c r="X129">
        <f>HYPERLINK("https://klasma.github.io/Logging_0380/tillsyn/A 32688-2023 tillsynsbegäran.docx", "A 32688-2023")</f>
        <v/>
      </c>
      <c r="Y129">
        <f>HYPERLINK("https://klasma.github.io/Logging_0380/tillsynsmail/A 32688-2023 tillsynsbegäran mail.docx", "A 32688-2023")</f>
        <v/>
      </c>
    </row>
    <row r="130" ht="15" customHeight="1">
      <c r="A130" t="inlineStr">
        <is>
          <t>A 55021-2022</t>
        </is>
      </c>
      <c r="B130" s="1" t="n">
        <v>44886</v>
      </c>
      <c r="C130" s="1" t="n">
        <v>46195</v>
      </c>
      <c r="D130" t="inlineStr">
        <is>
          <t>UPPSALA LÄN</t>
        </is>
      </c>
      <c r="E130" t="inlineStr">
        <is>
          <t>UPPSALA</t>
        </is>
      </c>
      <c r="G130" t="n">
        <v>1.2</v>
      </c>
      <c r="H130" t="n">
        <v>1</v>
      </c>
      <c r="I130" t="n">
        <v>0</v>
      </c>
      <c r="J130" t="n">
        <v>0</v>
      </c>
      <c r="K130" t="n">
        <v>0</v>
      </c>
      <c r="L130" t="n">
        <v>0</v>
      </c>
      <c r="M130" t="n">
        <v>0</v>
      </c>
      <c r="N130" t="n">
        <v>0</v>
      </c>
      <c r="O130" t="n">
        <v>0</v>
      </c>
      <c r="P130" t="n">
        <v>0</v>
      </c>
      <c r="Q130" t="n">
        <v>1</v>
      </c>
      <c r="R130" s="2" t="inlineStr">
        <is>
          <t>Vanlig snok</t>
        </is>
      </c>
      <c r="S130">
        <f>HYPERLINK("https://klasma.github.io/Logging_0380/artfynd/A 55021-2022 artfynd.xlsx", "A 55021-2022")</f>
        <v/>
      </c>
      <c r="T130">
        <f>HYPERLINK("https://klasma.github.io/Logging_0380/kartor/A 55021-2022 karta.png", "A 55021-2022")</f>
        <v/>
      </c>
      <c r="V130">
        <f>HYPERLINK("https://klasma.github.io/Logging_0380/klagomål/A 55021-2022 FSC-klagomål.docx", "A 55021-2022")</f>
        <v/>
      </c>
      <c r="W130">
        <f>HYPERLINK("https://klasma.github.io/Logging_0380/klagomålsmail/A 55021-2022 FSC-klagomål mail.docx", "A 55021-2022")</f>
        <v/>
      </c>
      <c r="X130">
        <f>HYPERLINK("https://klasma.github.io/Logging_0380/tillsyn/A 55021-2022 tillsynsbegäran.docx", "A 55021-2022")</f>
        <v/>
      </c>
      <c r="Y130">
        <f>HYPERLINK("https://klasma.github.io/Logging_0380/tillsynsmail/A 55021-2022 tillsynsbegäran mail.docx", "A 55021-2022")</f>
        <v/>
      </c>
    </row>
    <row r="131" ht="15" customHeight="1">
      <c r="A131" t="inlineStr">
        <is>
          <t>A 60056-2022</t>
        </is>
      </c>
      <c r="B131" s="1" t="n">
        <v>44909</v>
      </c>
      <c r="C131" s="1" t="n">
        <v>46195</v>
      </c>
      <c r="D131" t="inlineStr">
        <is>
          <t>UPPSALA LÄN</t>
        </is>
      </c>
      <c r="E131" t="inlineStr">
        <is>
          <t>UPPSALA</t>
        </is>
      </c>
      <c r="G131" t="n">
        <v>1.2</v>
      </c>
      <c r="H131" t="n">
        <v>1</v>
      </c>
      <c r="I131" t="n">
        <v>0</v>
      </c>
      <c r="J131" t="n">
        <v>1</v>
      </c>
      <c r="K131" t="n">
        <v>0</v>
      </c>
      <c r="L131" t="n">
        <v>0</v>
      </c>
      <c r="M131" t="n">
        <v>0</v>
      </c>
      <c r="N131" t="n">
        <v>0</v>
      </c>
      <c r="O131" t="n">
        <v>1</v>
      </c>
      <c r="P131" t="n">
        <v>0</v>
      </c>
      <c r="Q131" t="n">
        <v>1</v>
      </c>
      <c r="R131" s="2" t="inlineStr">
        <is>
          <t>Nötkråka</t>
        </is>
      </c>
      <c r="S131">
        <f>HYPERLINK("https://klasma.github.io/Logging_0380/artfynd/A 60056-2022 artfynd.xlsx", "A 60056-2022")</f>
        <v/>
      </c>
      <c r="T131">
        <f>HYPERLINK("https://klasma.github.io/Logging_0380/kartor/A 60056-2022 karta.png", "A 60056-2022")</f>
        <v/>
      </c>
      <c r="V131">
        <f>HYPERLINK("https://klasma.github.io/Logging_0380/klagomål/A 60056-2022 FSC-klagomål.docx", "A 60056-2022")</f>
        <v/>
      </c>
      <c r="W131">
        <f>HYPERLINK("https://klasma.github.io/Logging_0380/klagomålsmail/A 60056-2022 FSC-klagomål mail.docx", "A 60056-2022")</f>
        <v/>
      </c>
      <c r="X131">
        <f>HYPERLINK("https://klasma.github.io/Logging_0380/tillsyn/A 60056-2022 tillsynsbegäran.docx", "A 60056-2022")</f>
        <v/>
      </c>
      <c r="Y131">
        <f>HYPERLINK("https://klasma.github.io/Logging_0380/tillsynsmail/A 60056-2022 tillsynsbegäran mail.docx", "A 60056-2022")</f>
        <v/>
      </c>
    </row>
    <row r="132" ht="15" customHeight="1">
      <c r="A132" t="inlineStr">
        <is>
          <t>A 16761-2022</t>
        </is>
      </c>
      <c r="B132" s="1" t="n">
        <v>44673</v>
      </c>
      <c r="C132" s="1" t="n">
        <v>46195</v>
      </c>
      <c r="D132" t="inlineStr">
        <is>
          <t>UPPSALA LÄN</t>
        </is>
      </c>
      <c r="E132" t="inlineStr">
        <is>
          <t>UPPSALA</t>
        </is>
      </c>
      <c r="G132" t="n">
        <v>0.6</v>
      </c>
      <c r="H132" t="n">
        <v>1</v>
      </c>
      <c r="I132" t="n">
        <v>0</v>
      </c>
      <c r="J132" t="n">
        <v>0</v>
      </c>
      <c r="K132" t="n">
        <v>0</v>
      </c>
      <c r="L132" t="n">
        <v>0</v>
      </c>
      <c r="M132" t="n">
        <v>0</v>
      </c>
      <c r="N132" t="n">
        <v>0</v>
      </c>
      <c r="O132" t="n">
        <v>0</v>
      </c>
      <c r="P132" t="n">
        <v>0</v>
      </c>
      <c r="Q132" t="n">
        <v>1</v>
      </c>
      <c r="R132" s="2" t="inlineStr">
        <is>
          <t>Trädlärka</t>
        </is>
      </c>
      <c r="S132">
        <f>HYPERLINK("https://klasma.github.io/Logging_0380/artfynd/A 16761-2022 artfynd.xlsx", "A 16761-2022")</f>
        <v/>
      </c>
      <c r="T132">
        <f>HYPERLINK("https://klasma.github.io/Logging_0380/kartor/A 16761-2022 karta.png", "A 16761-2022")</f>
        <v/>
      </c>
      <c r="V132">
        <f>HYPERLINK("https://klasma.github.io/Logging_0380/klagomål/A 16761-2022 FSC-klagomål.docx", "A 16761-2022")</f>
        <v/>
      </c>
      <c r="W132">
        <f>HYPERLINK("https://klasma.github.io/Logging_0380/klagomålsmail/A 16761-2022 FSC-klagomål mail.docx", "A 16761-2022")</f>
        <v/>
      </c>
      <c r="X132">
        <f>HYPERLINK("https://klasma.github.io/Logging_0380/tillsyn/A 16761-2022 tillsynsbegäran.docx", "A 16761-2022")</f>
        <v/>
      </c>
      <c r="Y132">
        <f>HYPERLINK("https://klasma.github.io/Logging_0380/tillsynsmail/A 16761-2022 tillsynsbegäran mail.docx", "A 16761-2022")</f>
        <v/>
      </c>
      <c r="Z132">
        <f>HYPERLINK("https://klasma.github.io/Logging_0380/fåglar/A 16761-2022 prioriterade fågelarter.docx", "A 16761-2022")</f>
        <v/>
      </c>
    </row>
    <row r="133" ht="15" customHeight="1">
      <c r="A133" t="inlineStr">
        <is>
          <t>A 1731-2022</t>
        </is>
      </c>
      <c r="B133" s="1" t="n">
        <v>44574</v>
      </c>
      <c r="C133" s="1" t="n">
        <v>46195</v>
      </c>
      <c r="D133" t="inlineStr">
        <is>
          <t>UPPSALA LÄN</t>
        </is>
      </c>
      <c r="E133" t="inlineStr">
        <is>
          <t>UPPSALA</t>
        </is>
      </c>
      <c r="G133" t="n">
        <v>10.1</v>
      </c>
      <c r="H133" t="n">
        <v>1</v>
      </c>
      <c r="I133" t="n">
        <v>0</v>
      </c>
      <c r="J133" t="n">
        <v>0</v>
      </c>
      <c r="K133" t="n">
        <v>0</v>
      </c>
      <c r="L133" t="n">
        <v>0</v>
      </c>
      <c r="M133" t="n">
        <v>0</v>
      </c>
      <c r="N133" t="n">
        <v>0</v>
      </c>
      <c r="O133" t="n">
        <v>0</v>
      </c>
      <c r="P133" t="n">
        <v>0</v>
      </c>
      <c r="Q133" t="n">
        <v>1</v>
      </c>
      <c r="R133" s="2" t="inlineStr">
        <is>
          <t>Vanlig snok</t>
        </is>
      </c>
      <c r="S133">
        <f>HYPERLINK("https://klasma.github.io/Logging_0380/artfynd/A 1731-2022 artfynd.xlsx", "A 1731-2022")</f>
        <v/>
      </c>
      <c r="T133">
        <f>HYPERLINK("https://klasma.github.io/Logging_0380/kartor/A 1731-2022 karta.png", "A 1731-2022")</f>
        <v/>
      </c>
      <c r="V133">
        <f>HYPERLINK("https://klasma.github.io/Logging_0380/klagomål/A 1731-2022 FSC-klagomål.docx", "A 1731-2022")</f>
        <v/>
      </c>
      <c r="W133">
        <f>HYPERLINK("https://klasma.github.io/Logging_0380/klagomålsmail/A 1731-2022 FSC-klagomål mail.docx", "A 1731-2022")</f>
        <v/>
      </c>
      <c r="X133">
        <f>HYPERLINK("https://klasma.github.io/Logging_0380/tillsyn/A 1731-2022 tillsynsbegäran.docx", "A 1731-2022")</f>
        <v/>
      </c>
      <c r="Y133">
        <f>HYPERLINK("https://klasma.github.io/Logging_0380/tillsynsmail/A 1731-2022 tillsynsbegäran mail.docx", "A 1731-2022")</f>
        <v/>
      </c>
    </row>
    <row r="134" ht="15" customHeight="1">
      <c r="A134" t="inlineStr">
        <is>
          <t>A 46069-2022</t>
        </is>
      </c>
      <c r="B134" s="1" t="n">
        <v>44847</v>
      </c>
      <c r="C134" s="1" t="n">
        <v>46195</v>
      </c>
      <c r="D134" t="inlineStr">
        <is>
          <t>UPPSALA LÄN</t>
        </is>
      </c>
      <c r="E134" t="inlineStr">
        <is>
          <t>UPPSALA</t>
        </is>
      </c>
      <c r="G134" t="n">
        <v>2.2</v>
      </c>
      <c r="H134" t="n">
        <v>0</v>
      </c>
      <c r="I134" t="n">
        <v>0</v>
      </c>
      <c r="J134" t="n">
        <v>1</v>
      </c>
      <c r="K134" t="n">
        <v>0</v>
      </c>
      <c r="L134" t="n">
        <v>0</v>
      </c>
      <c r="M134" t="n">
        <v>0</v>
      </c>
      <c r="N134" t="n">
        <v>0</v>
      </c>
      <c r="O134" t="n">
        <v>1</v>
      </c>
      <c r="P134" t="n">
        <v>0</v>
      </c>
      <c r="Q134" t="n">
        <v>1</v>
      </c>
      <c r="R134" s="2" t="inlineStr">
        <is>
          <t>Fjällig taggsvamp s.str.</t>
        </is>
      </c>
      <c r="S134">
        <f>HYPERLINK("https://klasma.github.io/Logging_0380/artfynd/A 46069-2022 artfynd.xlsx", "A 46069-2022")</f>
        <v/>
      </c>
      <c r="T134">
        <f>HYPERLINK("https://klasma.github.io/Logging_0380/kartor/A 46069-2022 karta.png", "A 46069-2022")</f>
        <v/>
      </c>
      <c r="V134">
        <f>HYPERLINK("https://klasma.github.io/Logging_0380/klagomål/A 46069-2022 FSC-klagomål.docx", "A 46069-2022")</f>
        <v/>
      </c>
      <c r="W134">
        <f>HYPERLINK("https://klasma.github.io/Logging_0380/klagomålsmail/A 46069-2022 FSC-klagomål mail.docx", "A 46069-2022")</f>
        <v/>
      </c>
      <c r="X134">
        <f>HYPERLINK("https://klasma.github.io/Logging_0380/tillsyn/A 46069-2022 tillsynsbegäran.docx", "A 46069-2022")</f>
        <v/>
      </c>
      <c r="Y134">
        <f>HYPERLINK("https://klasma.github.io/Logging_0380/tillsynsmail/A 46069-2022 tillsynsbegäran mail.docx", "A 46069-2022")</f>
        <v/>
      </c>
    </row>
    <row r="135" ht="15" customHeight="1">
      <c r="A135" t="inlineStr">
        <is>
          <t>A 42622-2022</t>
        </is>
      </c>
      <c r="B135" s="1" t="n">
        <v>44831</v>
      </c>
      <c r="C135" s="1" t="n">
        <v>46195</v>
      </c>
      <c r="D135" t="inlineStr">
        <is>
          <t>UPPSALA LÄN</t>
        </is>
      </c>
      <c r="E135" t="inlineStr">
        <is>
          <t>UPPSALA</t>
        </is>
      </c>
      <c r="G135" t="n">
        <v>2.4</v>
      </c>
      <c r="H135" t="n">
        <v>0</v>
      </c>
      <c r="I135" t="n">
        <v>0</v>
      </c>
      <c r="J135" t="n">
        <v>1</v>
      </c>
      <c r="K135" t="n">
        <v>0</v>
      </c>
      <c r="L135" t="n">
        <v>0</v>
      </c>
      <c r="M135" t="n">
        <v>0</v>
      </c>
      <c r="N135" t="n">
        <v>0</v>
      </c>
      <c r="O135" t="n">
        <v>1</v>
      </c>
      <c r="P135" t="n">
        <v>0</v>
      </c>
      <c r="Q135" t="n">
        <v>1</v>
      </c>
      <c r="R135" s="2" t="inlineStr">
        <is>
          <t>Motaggsvamp</t>
        </is>
      </c>
      <c r="S135">
        <f>HYPERLINK("https://klasma.github.io/Logging_0380/artfynd/A 42622-2022 artfynd.xlsx", "A 42622-2022")</f>
        <v/>
      </c>
      <c r="T135">
        <f>HYPERLINK("https://klasma.github.io/Logging_0380/kartor/A 42622-2022 karta.png", "A 42622-2022")</f>
        <v/>
      </c>
      <c r="V135">
        <f>HYPERLINK("https://klasma.github.io/Logging_0380/klagomål/A 42622-2022 FSC-klagomål.docx", "A 42622-2022")</f>
        <v/>
      </c>
      <c r="W135">
        <f>HYPERLINK("https://klasma.github.io/Logging_0380/klagomålsmail/A 42622-2022 FSC-klagomål mail.docx", "A 42622-2022")</f>
        <v/>
      </c>
      <c r="X135">
        <f>HYPERLINK("https://klasma.github.io/Logging_0380/tillsyn/A 42622-2022 tillsynsbegäran.docx", "A 42622-2022")</f>
        <v/>
      </c>
      <c r="Y135">
        <f>HYPERLINK("https://klasma.github.io/Logging_0380/tillsynsmail/A 42622-2022 tillsynsbegäran mail.docx", "A 42622-2022")</f>
        <v/>
      </c>
    </row>
    <row r="136" ht="15" customHeight="1">
      <c r="A136" t="inlineStr">
        <is>
          <t>A 13363-2022</t>
        </is>
      </c>
      <c r="B136" s="1" t="n">
        <v>44645</v>
      </c>
      <c r="C136" s="1" t="n">
        <v>46195</v>
      </c>
      <c r="D136" t="inlineStr">
        <is>
          <t>UPPSALA LÄN</t>
        </is>
      </c>
      <c r="E136" t="inlineStr">
        <is>
          <t>UPPSALA</t>
        </is>
      </c>
      <c r="F136" t="inlineStr">
        <is>
          <t>Övriga Aktiebolag</t>
        </is>
      </c>
      <c r="G136" t="n">
        <v>9.4</v>
      </c>
      <c r="H136" t="n">
        <v>1</v>
      </c>
      <c r="I136" t="n">
        <v>0</v>
      </c>
      <c r="J136" t="n">
        <v>0</v>
      </c>
      <c r="K136" t="n">
        <v>0</v>
      </c>
      <c r="L136" t="n">
        <v>0</v>
      </c>
      <c r="M136" t="n">
        <v>0</v>
      </c>
      <c r="N136" t="n">
        <v>0</v>
      </c>
      <c r="O136" t="n">
        <v>0</v>
      </c>
      <c r="P136" t="n">
        <v>0</v>
      </c>
      <c r="Q136" t="n">
        <v>1</v>
      </c>
      <c r="R136" s="2" t="inlineStr">
        <is>
          <t>Huggorm</t>
        </is>
      </c>
      <c r="S136">
        <f>HYPERLINK("https://klasma.github.io/Logging_0380/artfynd/A 13363-2022 artfynd.xlsx", "A 13363-2022")</f>
        <v/>
      </c>
      <c r="T136">
        <f>HYPERLINK("https://klasma.github.io/Logging_0380/kartor/A 13363-2022 karta.png", "A 13363-2022")</f>
        <v/>
      </c>
      <c r="V136">
        <f>HYPERLINK("https://klasma.github.io/Logging_0380/klagomål/A 13363-2022 FSC-klagomål.docx", "A 13363-2022")</f>
        <v/>
      </c>
      <c r="W136">
        <f>HYPERLINK("https://klasma.github.io/Logging_0380/klagomålsmail/A 13363-2022 FSC-klagomål mail.docx", "A 13363-2022")</f>
        <v/>
      </c>
      <c r="X136">
        <f>HYPERLINK("https://klasma.github.io/Logging_0380/tillsyn/A 13363-2022 tillsynsbegäran.docx", "A 13363-2022")</f>
        <v/>
      </c>
      <c r="Y136">
        <f>HYPERLINK("https://klasma.github.io/Logging_0380/tillsynsmail/A 13363-2022 tillsynsbegäran mail.docx", "A 13363-2022")</f>
        <v/>
      </c>
    </row>
    <row r="137" ht="15" customHeight="1">
      <c r="A137" t="inlineStr">
        <is>
          <t>A 6999-2023</t>
        </is>
      </c>
      <c r="B137" s="1" t="n">
        <v>44967</v>
      </c>
      <c r="C137" s="1" t="n">
        <v>46195</v>
      </c>
      <c r="D137" t="inlineStr">
        <is>
          <t>UPPSALA LÄN</t>
        </is>
      </c>
      <c r="E137" t="inlineStr">
        <is>
          <t>UPPSALA</t>
        </is>
      </c>
      <c r="G137" t="n">
        <v>1</v>
      </c>
      <c r="H137" t="n">
        <v>1</v>
      </c>
      <c r="I137" t="n">
        <v>0</v>
      </c>
      <c r="J137" t="n">
        <v>0</v>
      </c>
      <c r="K137" t="n">
        <v>0</v>
      </c>
      <c r="L137" t="n">
        <v>0</v>
      </c>
      <c r="M137" t="n">
        <v>1</v>
      </c>
      <c r="N137" t="n">
        <v>0</v>
      </c>
      <c r="O137" t="n">
        <v>1</v>
      </c>
      <c r="P137" t="n">
        <v>1</v>
      </c>
      <c r="Q137" t="n">
        <v>1</v>
      </c>
      <c r="R137" s="2" t="inlineStr">
        <is>
          <t>Ortolansparv</t>
        </is>
      </c>
      <c r="S137">
        <f>HYPERLINK("https://klasma.github.io/Logging_0380/artfynd/A 6999-2023 artfynd.xlsx", "A 6999-2023")</f>
        <v/>
      </c>
      <c r="T137">
        <f>HYPERLINK("https://klasma.github.io/Logging_0380/kartor/A 6999-2023 karta.png", "A 6999-2023")</f>
        <v/>
      </c>
      <c r="V137">
        <f>HYPERLINK("https://klasma.github.io/Logging_0380/klagomål/A 6999-2023 FSC-klagomål.docx", "A 6999-2023")</f>
        <v/>
      </c>
      <c r="W137">
        <f>HYPERLINK("https://klasma.github.io/Logging_0380/klagomålsmail/A 6999-2023 FSC-klagomål mail.docx", "A 6999-2023")</f>
        <v/>
      </c>
      <c r="X137">
        <f>HYPERLINK("https://klasma.github.io/Logging_0380/tillsyn/A 6999-2023 tillsynsbegäran.docx", "A 6999-2023")</f>
        <v/>
      </c>
      <c r="Y137">
        <f>HYPERLINK("https://klasma.github.io/Logging_0380/tillsynsmail/A 6999-2023 tillsynsbegäran mail.docx", "A 6999-2023")</f>
        <v/>
      </c>
      <c r="Z137">
        <f>HYPERLINK("https://klasma.github.io/Logging_0380/fåglar/A 6999-2023 prioriterade fågelarter.docx", "A 6999-2023")</f>
        <v/>
      </c>
    </row>
    <row r="138" ht="15" customHeight="1">
      <c r="A138" t="inlineStr">
        <is>
          <t>A 5009-2023</t>
        </is>
      </c>
      <c r="B138" s="1" t="n">
        <v>44958</v>
      </c>
      <c r="C138" s="1" t="n">
        <v>46195</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60055-2022</t>
        </is>
      </c>
      <c r="B139" s="1" t="n">
        <v>44909</v>
      </c>
      <c r="C139" s="1" t="n">
        <v>46195</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58050-2021</t>
        </is>
      </c>
      <c r="B140" s="1" t="n">
        <v>44487</v>
      </c>
      <c r="C140" s="1" t="n">
        <v>46195</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60954-2024</t>
        </is>
      </c>
      <c r="B141" s="1" t="n">
        <v>45645</v>
      </c>
      <c r="C141" s="1" t="n">
        <v>46195</v>
      </c>
      <c r="D141" t="inlineStr">
        <is>
          <t>UPPSALA LÄN</t>
        </is>
      </c>
      <c r="E141" t="inlineStr">
        <is>
          <t>UPPSALA</t>
        </is>
      </c>
      <c r="F141" t="inlineStr">
        <is>
          <t>Kommuner</t>
        </is>
      </c>
      <c r="G141" t="n">
        <v>1</v>
      </c>
      <c r="H141" t="n">
        <v>0</v>
      </c>
      <c r="I141" t="n">
        <v>0</v>
      </c>
      <c r="J141" t="n">
        <v>0</v>
      </c>
      <c r="K141" t="n">
        <v>1</v>
      </c>
      <c r="L141" t="n">
        <v>0</v>
      </c>
      <c r="M141" t="n">
        <v>0</v>
      </c>
      <c r="N141" t="n">
        <v>0</v>
      </c>
      <c r="O141" t="n">
        <v>1</v>
      </c>
      <c r="P141" t="n">
        <v>1</v>
      </c>
      <c r="Q141" t="n">
        <v>1</v>
      </c>
      <c r="R141" s="2" t="inlineStr">
        <is>
          <t>Aspsplintbock</t>
        </is>
      </c>
      <c r="S141">
        <f>HYPERLINK("https://klasma.github.io/Logging_0380/artfynd/A 60954-2024 artfynd.xlsx", "A 60954-2024")</f>
        <v/>
      </c>
      <c r="T141">
        <f>HYPERLINK("https://klasma.github.io/Logging_0380/kartor/A 60954-2024 karta.png", "A 60954-2024")</f>
        <v/>
      </c>
      <c r="V141">
        <f>HYPERLINK("https://klasma.github.io/Logging_0380/klagomål/A 60954-2024 FSC-klagomål.docx", "A 60954-2024")</f>
        <v/>
      </c>
      <c r="W141">
        <f>HYPERLINK("https://klasma.github.io/Logging_0380/klagomålsmail/A 60954-2024 FSC-klagomål mail.docx", "A 60954-2024")</f>
        <v/>
      </c>
      <c r="X141">
        <f>HYPERLINK("https://klasma.github.io/Logging_0380/tillsyn/A 60954-2024 tillsynsbegäran.docx", "A 60954-2024")</f>
        <v/>
      </c>
      <c r="Y141">
        <f>HYPERLINK("https://klasma.github.io/Logging_0380/tillsynsmail/A 60954-2024 tillsynsbegäran mail.docx", "A 60954-2024")</f>
        <v/>
      </c>
    </row>
    <row r="142" ht="15" customHeight="1">
      <c r="A142" t="inlineStr">
        <is>
          <t>A 13093-2024</t>
        </is>
      </c>
      <c r="B142" s="1" t="n">
        <v>45385</v>
      </c>
      <c r="C142" s="1" t="n">
        <v>46195</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40568-2025</t>
        </is>
      </c>
      <c r="B143" s="1" t="n">
        <v>45896</v>
      </c>
      <c r="C143" s="1" t="n">
        <v>46195</v>
      </c>
      <c r="D143" t="inlineStr">
        <is>
          <t>UPPSALA LÄN</t>
        </is>
      </c>
      <c r="E143" t="inlineStr">
        <is>
          <t>UPPSALA</t>
        </is>
      </c>
      <c r="F143" t="inlineStr">
        <is>
          <t>Kyrkan</t>
        </is>
      </c>
      <c r="G143" t="n">
        <v>2.1</v>
      </c>
      <c r="H143" t="n">
        <v>0</v>
      </c>
      <c r="I143" t="n">
        <v>1</v>
      </c>
      <c r="J143" t="n">
        <v>0</v>
      </c>
      <c r="K143" t="n">
        <v>0</v>
      </c>
      <c r="L143" t="n">
        <v>0</v>
      </c>
      <c r="M143" t="n">
        <v>0</v>
      </c>
      <c r="N143" t="n">
        <v>0</v>
      </c>
      <c r="O143" t="n">
        <v>0</v>
      </c>
      <c r="P143" t="n">
        <v>0</v>
      </c>
      <c r="Q143" t="n">
        <v>1</v>
      </c>
      <c r="R143" s="2" t="inlineStr">
        <is>
          <t>Rödgul trumpetsvamp</t>
        </is>
      </c>
      <c r="S143">
        <f>HYPERLINK("https://klasma.github.io/Logging_0380/artfynd/A 40568-2025 artfynd.xlsx", "A 40568-2025")</f>
        <v/>
      </c>
      <c r="T143">
        <f>HYPERLINK("https://klasma.github.io/Logging_0380/kartor/A 40568-2025 karta.png", "A 40568-2025")</f>
        <v/>
      </c>
      <c r="V143">
        <f>HYPERLINK("https://klasma.github.io/Logging_0380/klagomål/A 40568-2025 FSC-klagomål.docx", "A 40568-2025")</f>
        <v/>
      </c>
      <c r="W143">
        <f>HYPERLINK("https://klasma.github.io/Logging_0380/klagomålsmail/A 40568-2025 FSC-klagomål mail.docx", "A 40568-2025")</f>
        <v/>
      </c>
      <c r="X143">
        <f>HYPERLINK("https://klasma.github.io/Logging_0380/tillsyn/A 40568-2025 tillsynsbegäran.docx", "A 40568-2025")</f>
        <v/>
      </c>
      <c r="Y143">
        <f>HYPERLINK("https://klasma.github.io/Logging_0380/tillsynsmail/A 40568-2025 tillsynsbegäran mail.docx", "A 40568-2025")</f>
        <v/>
      </c>
    </row>
    <row r="144" ht="15" customHeight="1">
      <c r="A144" t="inlineStr">
        <is>
          <t>A 9295-2023</t>
        </is>
      </c>
      <c r="B144" s="1" t="n">
        <v>44980</v>
      </c>
      <c r="C144" s="1" t="n">
        <v>46195</v>
      </c>
      <c r="D144" t="inlineStr">
        <is>
          <t>UPPSALA LÄN</t>
        </is>
      </c>
      <c r="E144" t="inlineStr">
        <is>
          <t>UPPSALA</t>
        </is>
      </c>
      <c r="G144" t="n">
        <v>2.1</v>
      </c>
      <c r="H144" t="n">
        <v>1</v>
      </c>
      <c r="I144" t="n">
        <v>0</v>
      </c>
      <c r="J144" t="n">
        <v>1</v>
      </c>
      <c r="K144" t="n">
        <v>0</v>
      </c>
      <c r="L144" t="n">
        <v>0</v>
      </c>
      <c r="M144" t="n">
        <v>0</v>
      </c>
      <c r="N144" t="n">
        <v>0</v>
      </c>
      <c r="O144" t="n">
        <v>1</v>
      </c>
      <c r="P144" t="n">
        <v>0</v>
      </c>
      <c r="Q144" t="n">
        <v>1</v>
      </c>
      <c r="R144" s="2" t="inlineStr">
        <is>
          <t>Sparvuggla</t>
        </is>
      </c>
      <c r="S144">
        <f>HYPERLINK("https://klasma.github.io/Logging_0380/artfynd/A 9295-2023 artfynd.xlsx", "A 9295-2023")</f>
        <v/>
      </c>
      <c r="T144">
        <f>HYPERLINK("https://klasma.github.io/Logging_0380/kartor/A 9295-2023 karta.png", "A 9295-2023")</f>
        <v/>
      </c>
      <c r="V144">
        <f>HYPERLINK("https://klasma.github.io/Logging_0380/klagomål/A 9295-2023 FSC-klagomål.docx", "A 9295-2023")</f>
        <v/>
      </c>
      <c r="W144">
        <f>HYPERLINK("https://klasma.github.io/Logging_0380/klagomålsmail/A 9295-2023 FSC-klagomål mail.docx", "A 9295-2023")</f>
        <v/>
      </c>
      <c r="X144">
        <f>HYPERLINK("https://klasma.github.io/Logging_0380/tillsyn/A 9295-2023 tillsynsbegäran.docx", "A 9295-2023")</f>
        <v/>
      </c>
      <c r="Y144">
        <f>HYPERLINK("https://klasma.github.io/Logging_0380/tillsynsmail/A 9295-2023 tillsynsbegäran mail.docx", "A 9295-2023")</f>
        <v/>
      </c>
      <c r="Z144">
        <f>HYPERLINK("https://klasma.github.io/Logging_0380/fåglar/A 9295-2023 prioriterade fågelarter.docx", "A 9295-2023")</f>
        <v/>
      </c>
    </row>
    <row r="145" ht="15" customHeight="1">
      <c r="A145" t="inlineStr">
        <is>
          <t>A 21657-2024</t>
        </is>
      </c>
      <c r="B145" s="1" t="n">
        <v>45442</v>
      </c>
      <c r="C145" s="1" t="n">
        <v>46195</v>
      </c>
      <c r="D145" t="inlineStr">
        <is>
          <t>UPPSALA LÄN</t>
        </is>
      </c>
      <c r="E145" t="inlineStr">
        <is>
          <t>UPPSALA</t>
        </is>
      </c>
      <c r="G145" t="n">
        <v>5.7</v>
      </c>
      <c r="H145" t="n">
        <v>1</v>
      </c>
      <c r="I145" t="n">
        <v>0</v>
      </c>
      <c r="J145" t="n">
        <v>0</v>
      </c>
      <c r="K145" t="n">
        <v>0</v>
      </c>
      <c r="L145" t="n">
        <v>0</v>
      </c>
      <c r="M145" t="n">
        <v>0</v>
      </c>
      <c r="N145" t="n">
        <v>0</v>
      </c>
      <c r="O145" t="n">
        <v>0</v>
      </c>
      <c r="P145" t="n">
        <v>0</v>
      </c>
      <c r="Q145" t="n">
        <v>1</v>
      </c>
      <c r="R145" s="2" t="inlineStr">
        <is>
          <t>Kungsfågel</t>
        </is>
      </c>
      <c r="S145">
        <f>HYPERLINK("https://klasma.github.io/Logging_0380/artfynd/A 21657-2024 artfynd.xlsx", "A 21657-2024")</f>
        <v/>
      </c>
      <c r="T145">
        <f>HYPERLINK("https://klasma.github.io/Logging_0380/kartor/A 21657-2024 karta.png", "A 21657-2024")</f>
        <v/>
      </c>
      <c r="V145">
        <f>HYPERLINK("https://klasma.github.io/Logging_0380/klagomål/A 21657-2024 FSC-klagomål.docx", "A 21657-2024")</f>
        <v/>
      </c>
      <c r="W145">
        <f>HYPERLINK("https://klasma.github.io/Logging_0380/klagomålsmail/A 21657-2024 FSC-klagomål mail.docx", "A 21657-2024")</f>
        <v/>
      </c>
      <c r="X145">
        <f>HYPERLINK("https://klasma.github.io/Logging_0380/tillsyn/A 21657-2024 tillsynsbegäran.docx", "A 21657-2024")</f>
        <v/>
      </c>
      <c r="Y145">
        <f>HYPERLINK("https://klasma.github.io/Logging_0380/tillsynsmail/A 21657-2024 tillsynsbegäran mail.docx", "A 21657-2024")</f>
        <v/>
      </c>
      <c r="Z145">
        <f>HYPERLINK("https://klasma.github.io/Logging_0380/fåglar/A 21657-2024 prioriterade fågelarter.docx", "A 21657-2024")</f>
        <v/>
      </c>
    </row>
    <row r="146" ht="15" customHeight="1">
      <c r="A146" t="inlineStr">
        <is>
          <t>A 44385-2025</t>
        </is>
      </c>
      <c r="B146" s="1" t="n">
        <v>45916</v>
      </c>
      <c r="C146" s="1" t="n">
        <v>46195</v>
      </c>
      <c r="D146" t="inlineStr">
        <is>
          <t>UPPSALA LÄN</t>
        </is>
      </c>
      <c r="E146" t="inlineStr">
        <is>
          <t>UPPSALA</t>
        </is>
      </c>
      <c r="F146" t="inlineStr">
        <is>
          <t>Bergvik skog öst AB</t>
        </is>
      </c>
      <c r="G146" t="n">
        <v>6.8</v>
      </c>
      <c r="H146" t="n">
        <v>1</v>
      </c>
      <c r="I146" t="n">
        <v>0</v>
      </c>
      <c r="J146" t="n">
        <v>0</v>
      </c>
      <c r="K146" t="n">
        <v>0</v>
      </c>
      <c r="L146" t="n">
        <v>0</v>
      </c>
      <c r="M146" t="n">
        <v>0</v>
      </c>
      <c r="N146" t="n">
        <v>0</v>
      </c>
      <c r="O146" t="n">
        <v>0</v>
      </c>
      <c r="P146" t="n">
        <v>0</v>
      </c>
      <c r="Q146" t="n">
        <v>1</v>
      </c>
      <c r="R146" s="2" t="inlineStr">
        <is>
          <t>Blåsippa</t>
        </is>
      </c>
      <c r="S146">
        <f>HYPERLINK("https://klasma.github.io/Logging_0380/artfynd/A 44385-2025 artfynd.xlsx", "A 44385-2025")</f>
        <v/>
      </c>
      <c r="T146">
        <f>HYPERLINK("https://klasma.github.io/Logging_0380/kartor/A 44385-2025 karta.png", "A 44385-2025")</f>
        <v/>
      </c>
      <c r="V146">
        <f>HYPERLINK("https://klasma.github.io/Logging_0380/klagomål/A 44385-2025 FSC-klagomål.docx", "A 44385-2025")</f>
        <v/>
      </c>
      <c r="W146">
        <f>HYPERLINK("https://klasma.github.io/Logging_0380/klagomålsmail/A 44385-2025 FSC-klagomål mail.docx", "A 44385-2025")</f>
        <v/>
      </c>
      <c r="X146">
        <f>HYPERLINK("https://klasma.github.io/Logging_0380/tillsyn/A 44385-2025 tillsynsbegäran.docx", "A 44385-2025")</f>
        <v/>
      </c>
      <c r="Y146">
        <f>HYPERLINK("https://klasma.github.io/Logging_0380/tillsynsmail/A 44385-2025 tillsynsbegäran mail.docx", "A 44385-2025")</f>
        <v/>
      </c>
    </row>
    <row r="147" ht="15" customHeight="1">
      <c r="A147" t="inlineStr">
        <is>
          <t>A 53266-2024</t>
        </is>
      </c>
      <c r="B147" s="1" t="n">
        <v>45614</v>
      </c>
      <c r="C147" s="1" t="n">
        <v>46195</v>
      </c>
      <c r="D147" t="inlineStr">
        <is>
          <t>UPPSALA LÄN</t>
        </is>
      </c>
      <c r="E147" t="inlineStr">
        <is>
          <t>UPPSALA</t>
        </is>
      </c>
      <c r="G147" t="n">
        <v>0.9</v>
      </c>
      <c r="H147" t="n">
        <v>1</v>
      </c>
      <c r="I147" t="n">
        <v>0</v>
      </c>
      <c r="J147" t="n">
        <v>1</v>
      </c>
      <c r="K147" t="n">
        <v>0</v>
      </c>
      <c r="L147" t="n">
        <v>0</v>
      </c>
      <c r="M147" t="n">
        <v>0</v>
      </c>
      <c r="N147" t="n">
        <v>0</v>
      </c>
      <c r="O147" t="n">
        <v>1</v>
      </c>
      <c r="P147" t="n">
        <v>0</v>
      </c>
      <c r="Q147" t="n">
        <v>1</v>
      </c>
      <c r="R147" s="2" t="inlineStr">
        <is>
          <t>Gulsparv</t>
        </is>
      </c>
      <c r="S147">
        <f>HYPERLINK("https://klasma.github.io/Logging_0380/artfynd/A 53266-2024 artfynd.xlsx", "A 53266-2024")</f>
        <v/>
      </c>
      <c r="T147">
        <f>HYPERLINK("https://klasma.github.io/Logging_0380/kartor/A 53266-2024 karta.png", "A 53266-2024")</f>
        <v/>
      </c>
      <c r="V147">
        <f>HYPERLINK("https://klasma.github.io/Logging_0380/klagomål/A 53266-2024 FSC-klagomål.docx", "A 53266-2024")</f>
        <v/>
      </c>
      <c r="W147">
        <f>HYPERLINK("https://klasma.github.io/Logging_0380/klagomålsmail/A 53266-2024 FSC-klagomål mail.docx", "A 53266-2024")</f>
        <v/>
      </c>
      <c r="X147">
        <f>HYPERLINK("https://klasma.github.io/Logging_0380/tillsyn/A 53266-2024 tillsynsbegäran.docx", "A 53266-2024")</f>
        <v/>
      </c>
      <c r="Y147">
        <f>HYPERLINK("https://klasma.github.io/Logging_0380/tillsynsmail/A 53266-2024 tillsynsbegäran mail.docx", "A 53266-2024")</f>
        <v/>
      </c>
      <c r="Z147">
        <f>HYPERLINK("https://klasma.github.io/Logging_0380/fåglar/A 53266-2024 prioriterade fågelarter.docx", "A 53266-2024")</f>
        <v/>
      </c>
    </row>
    <row r="148" ht="15" customHeight="1">
      <c r="A148" t="inlineStr">
        <is>
          <t>A 20709-2026</t>
        </is>
      </c>
      <c r="B148" s="1" t="n">
        <v>46141</v>
      </c>
      <c r="C148" s="1" t="n">
        <v>46195</v>
      </c>
      <c r="D148" t="inlineStr">
        <is>
          <t>UPPSALA LÄN</t>
        </is>
      </c>
      <c r="E148" t="inlineStr">
        <is>
          <t>UPPSALA</t>
        </is>
      </c>
      <c r="G148" t="n">
        <v>0.9</v>
      </c>
      <c r="H148" t="n">
        <v>1</v>
      </c>
      <c r="I148" t="n">
        <v>0</v>
      </c>
      <c r="J148" t="n">
        <v>1</v>
      </c>
      <c r="K148" t="n">
        <v>0</v>
      </c>
      <c r="L148" t="n">
        <v>0</v>
      </c>
      <c r="M148" t="n">
        <v>0</v>
      </c>
      <c r="N148" t="n">
        <v>0</v>
      </c>
      <c r="O148" t="n">
        <v>1</v>
      </c>
      <c r="P148" t="n">
        <v>0</v>
      </c>
      <c r="Q148" t="n">
        <v>1</v>
      </c>
      <c r="R148" s="2" t="inlineStr">
        <is>
          <t>Nordfladdermus</t>
        </is>
      </c>
      <c r="S148">
        <f>HYPERLINK("https://klasma.github.io/Logging_0380/artfynd/A 20709-2026 artfynd.xlsx", "A 20709-2026")</f>
        <v/>
      </c>
      <c r="T148">
        <f>HYPERLINK("https://klasma.github.io/Logging_0380/kartor/A 20709-2026 karta.png", "A 20709-2026")</f>
        <v/>
      </c>
      <c r="V148">
        <f>HYPERLINK("https://klasma.github.io/Logging_0380/klagomål/A 20709-2026 FSC-klagomål.docx", "A 20709-2026")</f>
        <v/>
      </c>
      <c r="W148">
        <f>HYPERLINK("https://klasma.github.io/Logging_0380/klagomålsmail/A 20709-2026 FSC-klagomål mail.docx", "A 20709-2026")</f>
        <v/>
      </c>
      <c r="X148">
        <f>HYPERLINK("https://klasma.github.io/Logging_0380/tillsyn/A 20709-2026 tillsynsbegäran.docx", "A 20709-2026")</f>
        <v/>
      </c>
      <c r="Y148">
        <f>HYPERLINK("https://klasma.github.io/Logging_0380/tillsynsmail/A 20709-2026 tillsynsbegäran mail.docx", "A 20709-2026")</f>
        <v/>
      </c>
    </row>
    <row r="149" ht="15" customHeight="1">
      <c r="A149" t="inlineStr">
        <is>
          <t>A 20757-2026</t>
        </is>
      </c>
      <c r="B149" s="1" t="n">
        <v>46141</v>
      </c>
      <c r="C149" s="1" t="n">
        <v>46195</v>
      </c>
      <c r="D149" t="inlineStr">
        <is>
          <t>UPPSALA LÄN</t>
        </is>
      </c>
      <c r="E149" t="inlineStr">
        <is>
          <t>UPPSALA</t>
        </is>
      </c>
      <c r="G149" t="n">
        <v>2.8</v>
      </c>
      <c r="H149" t="n">
        <v>1</v>
      </c>
      <c r="I149" t="n">
        <v>0</v>
      </c>
      <c r="J149" t="n">
        <v>1</v>
      </c>
      <c r="K149" t="n">
        <v>0</v>
      </c>
      <c r="L149" t="n">
        <v>0</v>
      </c>
      <c r="M149" t="n">
        <v>0</v>
      </c>
      <c r="N149" t="n">
        <v>0</v>
      </c>
      <c r="O149" t="n">
        <v>1</v>
      </c>
      <c r="P149" t="n">
        <v>0</v>
      </c>
      <c r="Q149" t="n">
        <v>1</v>
      </c>
      <c r="R149" s="2" t="inlineStr">
        <is>
          <t>Nordfladdermus</t>
        </is>
      </c>
      <c r="S149">
        <f>HYPERLINK("https://klasma.github.io/Logging_0380/artfynd/A 20757-2026 artfynd.xlsx", "A 20757-2026")</f>
        <v/>
      </c>
      <c r="T149">
        <f>HYPERLINK("https://klasma.github.io/Logging_0380/kartor/A 20757-2026 karta.png", "A 20757-2026")</f>
        <v/>
      </c>
      <c r="V149">
        <f>HYPERLINK("https://klasma.github.io/Logging_0380/klagomål/A 20757-2026 FSC-klagomål.docx", "A 20757-2026")</f>
        <v/>
      </c>
      <c r="W149">
        <f>HYPERLINK("https://klasma.github.io/Logging_0380/klagomålsmail/A 20757-2026 FSC-klagomål mail.docx", "A 20757-2026")</f>
        <v/>
      </c>
      <c r="X149">
        <f>HYPERLINK("https://klasma.github.io/Logging_0380/tillsyn/A 20757-2026 tillsynsbegäran.docx", "A 20757-2026")</f>
        <v/>
      </c>
      <c r="Y149">
        <f>HYPERLINK("https://klasma.github.io/Logging_0380/tillsynsmail/A 20757-2026 tillsynsbegäran mail.docx", "A 20757-2026")</f>
        <v/>
      </c>
    </row>
    <row r="150" ht="15" customHeight="1">
      <c r="A150" t="inlineStr">
        <is>
          <t>A 52849-2021</t>
        </is>
      </c>
      <c r="B150" s="1" t="n">
        <v>44467</v>
      </c>
      <c r="C150" s="1" t="n">
        <v>46195</v>
      </c>
      <c r="D150" t="inlineStr">
        <is>
          <t>UPPSALA LÄN</t>
        </is>
      </c>
      <c r="E150" t="inlineStr">
        <is>
          <t>UPPSALA</t>
        </is>
      </c>
      <c r="F150" t="inlineStr">
        <is>
          <t>Övriga Aktiebolag</t>
        </is>
      </c>
      <c r="G150" t="n">
        <v>3.3</v>
      </c>
      <c r="H150" t="n">
        <v>0</v>
      </c>
      <c r="I150" t="n">
        <v>0</v>
      </c>
      <c r="J150" t="n">
        <v>1</v>
      </c>
      <c r="K150" t="n">
        <v>0</v>
      </c>
      <c r="L150" t="n">
        <v>0</v>
      </c>
      <c r="M150" t="n">
        <v>0</v>
      </c>
      <c r="N150" t="n">
        <v>0</v>
      </c>
      <c r="O150" t="n">
        <v>1</v>
      </c>
      <c r="P150" t="n">
        <v>0</v>
      </c>
      <c r="Q150" t="n">
        <v>1</v>
      </c>
      <c r="R150" s="2" t="inlineStr">
        <is>
          <t>Skogshare</t>
        </is>
      </c>
      <c r="S150">
        <f>HYPERLINK("https://klasma.github.io/Logging_0380/artfynd/A 52849-2021 artfynd.xlsx", "A 52849-2021")</f>
        <v/>
      </c>
      <c r="T150">
        <f>HYPERLINK("https://klasma.github.io/Logging_0380/kartor/A 52849-2021 karta.png", "A 52849-2021")</f>
        <v/>
      </c>
      <c r="V150">
        <f>HYPERLINK("https://klasma.github.io/Logging_0380/klagomål/A 52849-2021 FSC-klagomål.docx", "A 52849-2021")</f>
        <v/>
      </c>
      <c r="W150">
        <f>HYPERLINK("https://klasma.github.io/Logging_0380/klagomålsmail/A 52849-2021 FSC-klagomål mail.docx", "A 52849-2021")</f>
        <v/>
      </c>
      <c r="X150">
        <f>HYPERLINK("https://klasma.github.io/Logging_0380/tillsyn/A 52849-2021 tillsynsbegäran.docx", "A 52849-2021")</f>
        <v/>
      </c>
      <c r="Y150">
        <f>HYPERLINK("https://klasma.github.io/Logging_0380/tillsynsmail/A 52849-2021 tillsynsbegäran mail.docx", "A 52849-2021")</f>
        <v/>
      </c>
    </row>
    <row r="151" ht="15" customHeight="1">
      <c r="A151" t="inlineStr">
        <is>
          <t>A 17484-2025</t>
        </is>
      </c>
      <c r="B151" s="1" t="n">
        <v>45757</v>
      </c>
      <c r="C151" s="1" t="n">
        <v>46195</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49164-2025</t>
        </is>
      </c>
      <c r="B152" s="1" t="n">
        <v>45938</v>
      </c>
      <c r="C152" s="1" t="n">
        <v>46195</v>
      </c>
      <c r="D152" t="inlineStr">
        <is>
          <t>UPPSALA LÄN</t>
        </is>
      </c>
      <c r="E152" t="inlineStr">
        <is>
          <t>UPPSALA</t>
        </is>
      </c>
      <c r="F152" t="inlineStr">
        <is>
          <t>Kyrkan</t>
        </is>
      </c>
      <c r="G152" t="n">
        <v>1</v>
      </c>
      <c r="H152" t="n">
        <v>0</v>
      </c>
      <c r="I152" t="n">
        <v>0</v>
      </c>
      <c r="J152" t="n">
        <v>0</v>
      </c>
      <c r="K152" t="n">
        <v>1</v>
      </c>
      <c r="L152" t="n">
        <v>0</v>
      </c>
      <c r="M152" t="n">
        <v>0</v>
      </c>
      <c r="N152" t="n">
        <v>0</v>
      </c>
      <c r="O152" t="n">
        <v>1</v>
      </c>
      <c r="P152" t="n">
        <v>1</v>
      </c>
      <c r="Q152" t="n">
        <v>1</v>
      </c>
      <c r="R152" s="2" t="inlineStr">
        <is>
          <t>Raggbock</t>
        </is>
      </c>
      <c r="S152">
        <f>HYPERLINK("https://klasma.github.io/Logging_0380/artfynd/A 49164-2025 artfynd.xlsx", "A 49164-2025")</f>
        <v/>
      </c>
      <c r="T152">
        <f>HYPERLINK("https://klasma.github.io/Logging_0380/kartor/A 49164-2025 karta.png", "A 49164-2025")</f>
        <v/>
      </c>
      <c r="V152">
        <f>HYPERLINK("https://klasma.github.io/Logging_0380/klagomål/A 49164-2025 FSC-klagomål.docx", "A 49164-2025")</f>
        <v/>
      </c>
      <c r="W152">
        <f>HYPERLINK("https://klasma.github.io/Logging_0380/klagomålsmail/A 49164-2025 FSC-klagomål mail.docx", "A 49164-2025")</f>
        <v/>
      </c>
      <c r="X152">
        <f>HYPERLINK("https://klasma.github.io/Logging_0380/tillsyn/A 49164-2025 tillsynsbegäran.docx", "A 49164-2025")</f>
        <v/>
      </c>
      <c r="Y152">
        <f>HYPERLINK("https://klasma.github.io/Logging_0380/tillsynsmail/A 49164-2025 tillsynsbegäran mail.docx", "A 49164-2025")</f>
        <v/>
      </c>
    </row>
    <row r="153" ht="15" customHeight="1">
      <c r="A153" t="inlineStr">
        <is>
          <t>A 61818-2022</t>
        </is>
      </c>
      <c r="B153" s="1" t="n">
        <v>44917</v>
      </c>
      <c r="C153" s="1" t="n">
        <v>46195</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51475-2025</t>
        </is>
      </c>
      <c r="B154" s="1" t="n">
        <v>45950</v>
      </c>
      <c r="C154" s="1" t="n">
        <v>46195</v>
      </c>
      <c r="D154" t="inlineStr">
        <is>
          <t>UPPSALA LÄN</t>
        </is>
      </c>
      <c r="E154" t="inlineStr">
        <is>
          <t>UPPSALA</t>
        </is>
      </c>
      <c r="G154" t="n">
        <v>3.3</v>
      </c>
      <c r="H154" t="n">
        <v>0</v>
      </c>
      <c r="I154" t="n">
        <v>1</v>
      </c>
      <c r="J154" t="n">
        <v>0</v>
      </c>
      <c r="K154" t="n">
        <v>0</v>
      </c>
      <c r="L154" t="n">
        <v>0</v>
      </c>
      <c r="M154" t="n">
        <v>0</v>
      </c>
      <c r="N154" t="n">
        <v>0</v>
      </c>
      <c r="O154" t="n">
        <v>0</v>
      </c>
      <c r="P154" t="n">
        <v>0</v>
      </c>
      <c r="Q154" t="n">
        <v>1</v>
      </c>
      <c r="R154" s="2" t="inlineStr">
        <is>
          <t>Bronshjon</t>
        </is>
      </c>
      <c r="S154">
        <f>HYPERLINK("https://klasma.github.io/Logging_0380/artfynd/A 51475-2025 artfynd.xlsx", "A 51475-2025")</f>
        <v/>
      </c>
      <c r="T154">
        <f>HYPERLINK("https://klasma.github.io/Logging_0380/kartor/A 51475-2025 karta.png", "A 51475-2025")</f>
        <v/>
      </c>
      <c r="V154">
        <f>HYPERLINK("https://klasma.github.io/Logging_0380/klagomål/A 51475-2025 FSC-klagomål.docx", "A 51475-2025")</f>
        <v/>
      </c>
      <c r="W154">
        <f>HYPERLINK("https://klasma.github.io/Logging_0380/klagomålsmail/A 51475-2025 FSC-klagomål mail.docx", "A 51475-2025")</f>
        <v/>
      </c>
      <c r="X154">
        <f>HYPERLINK("https://klasma.github.io/Logging_0380/tillsyn/A 51475-2025 tillsynsbegäran.docx", "A 51475-2025")</f>
        <v/>
      </c>
      <c r="Y154">
        <f>HYPERLINK("https://klasma.github.io/Logging_0380/tillsynsmail/A 51475-2025 tillsynsbegäran mail.docx", "A 51475-2025")</f>
        <v/>
      </c>
    </row>
    <row r="155" ht="15" customHeight="1">
      <c r="A155" t="inlineStr">
        <is>
          <t>A 29902-2023</t>
        </is>
      </c>
      <c r="B155" s="1" t="n">
        <v>45107</v>
      </c>
      <c r="C155" s="1" t="n">
        <v>46195</v>
      </c>
      <c r="D155" t="inlineStr">
        <is>
          <t>UPPSALA LÄN</t>
        </is>
      </c>
      <c r="E155" t="inlineStr">
        <is>
          <t>UPPSALA</t>
        </is>
      </c>
      <c r="F155" t="inlineStr">
        <is>
          <t>Kyrkan</t>
        </is>
      </c>
      <c r="G155" t="n">
        <v>10.6</v>
      </c>
      <c r="H155" t="n">
        <v>1</v>
      </c>
      <c r="I155" t="n">
        <v>0</v>
      </c>
      <c r="J155" t="n">
        <v>0</v>
      </c>
      <c r="K155" t="n">
        <v>0</v>
      </c>
      <c r="L155" t="n">
        <v>0</v>
      </c>
      <c r="M155" t="n">
        <v>0</v>
      </c>
      <c r="N155" t="n">
        <v>0</v>
      </c>
      <c r="O155" t="n">
        <v>0</v>
      </c>
      <c r="P155" t="n">
        <v>0</v>
      </c>
      <c r="Q155" t="n">
        <v>1</v>
      </c>
      <c r="R155" s="2" t="inlineStr">
        <is>
          <t>Järpe</t>
        </is>
      </c>
      <c r="S155">
        <f>HYPERLINK("https://klasma.github.io/Logging_0380/artfynd/A 29902-2023 artfynd.xlsx", "A 29902-2023")</f>
        <v/>
      </c>
      <c r="T155">
        <f>HYPERLINK("https://klasma.github.io/Logging_0380/kartor/A 29902-2023 karta.png", "A 29902-2023")</f>
        <v/>
      </c>
      <c r="V155">
        <f>HYPERLINK("https://klasma.github.io/Logging_0380/klagomål/A 29902-2023 FSC-klagomål.docx", "A 29902-2023")</f>
        <v/>
      </c>
      <c r="W155">
        <f>HYPERLINK("https://klasma.github.io/Logging_0380/klagomålsmail/A 29902-2023 FSC-klagomål mail.docx", "A 29902-2023")</f>
        <v/>
      </c>
      <c r="X155">
        <f>HYPERLINK("https://klasma.github.io/Logging_0380/tillsyn/A 29902-2023 tillsynsbegäran.docx", "A 29902-2023")</f>
        <v/>
      </c>
      <c r="Y155">
        <f>HYPERLINK("https://klasma.github.io/Logging_0380/tillsynsmail/A 29902-2023 tillsynsbegäran mail.docx", "A 29902-2023")</f>
        <v/>
      </c>
      <c r="Z155">
        <f>HYPERLINK("https://klasma.github.io/Logging_0380/fåglar/A 29902-2023 prioriterade fågelarter.docx", "A 29902-2023")</f>
        <v/>
      </c>
    </row>
    <row r="156" ht="15" customHeight="1">
      <c r="A156" t="inlineStr">
        <is>
          <t>A 3183-2024</t>
        </is>
      </c>
      <c r="B156" s="1" t="n">
        <v>45316</v>
      </c>
      <c r="C156" s="1" t="n">
        <v>46195</v>
      </c>
      <c r="D156" t="inlineStr">
        <is>
          <t>UPPSALA LÄN</t>
        </is>
      </c>
      <c r="E156" t="inlineStr">
        <is>
          <t>UPPSALA</t>
        </is>
      </c>
      <c r="F156" t="inlineStr">
        <is>
          <t>Bergvik skog öst AB</t>
        </is>
      </c>
      <c r="G156" t="n">
        <v>1.8</v>
      </c>
      <c r="H156" t="n">
        <v>1</v>
      </c>
      <c r="I156" t="n">
        <v>0</v>
      </c>
      <c r="J156" t="n">
        <v>1</v>
      </c>
      <c r="K156" t="n">
        <v>0</v>
      </c>
      <c r="L156" t="n">
        <v>0</v>
      </c>
      <c r="M156" t="n">
        <v>0</v>
      </c>
      <c r="N156" t="n">
        <v>0</v>
      </c>
      <c r="O156" t="n">
        <v>1</v>
      </c>
      <c r="P156" t="n">
        <v>0</v>
      </c>
      <c r="Q156" t="n">
        <v>1</v>
      </c>
      <c r="R156" s="2" t="inlineStr">
        <is>
          <t>Järnsparv</t>
        </is>
      </c>
      <c r="S156">
        <f>HYPERLINK("https://klasma.github.io/Logging_0380/artfynd/A 3183-2024 artfynd.xlsx", "A 3183-2024")</f>
        <v/>
      </c>
      <c r="T156">
        <f>HYPERLINK("https://klasma.github.io/Logging_0380/kartor/A 3183-2024 karta.png", "A 3183-2024")</f>
        <v/>
      </c>
      <c r="V156">
        <f>HYPERLINK("https://klasma.github.io/Logging_0380/klagomål/A 3183-2024 FSC-klagomål.docx", "A 3183-2024")</f>
        <v/>
      </c>
      <c r="W156">
        <f>HYPERLINK("https://klasma.github.io/Logging_0380/klagomålsmail/A 3183-2024 FSC-klagomål mail.docx", "A 3183-2024")</f>
        <v/>
      </c>
      <c r="X156">
        <f>HYPERLINK("https://klasma.github.io/Logging_0380/tillsyn/A 3183-2024 tillsynsbegäran.docx", "A 3183-2024")</f>
        <v/>
      </c>
      <c r="Y156">
        <f>HYPERLINK("https://klasma.github.io/Logging_0380/tillsynsmail/A 3183-2024 tillsynsbegäran mail.docx", "A 3183-2024")</f>
        <v/>
      </c>
      <c r="Z156">
        <f>HYPERLINK("https://klasma.github.io/Logging_0380/fåglar/A 3183-2024 prioriterade fågelarter.docx", "A 3183-2024")</f>
        <v/>
      </c>
    </row>
    <row r="157" ht="15" customHeight="1">
      <c r="A157" t="inlineStr">
        <is>
          <t>A 27848-2023</t>
        </is>
      </c>
      <c r="B157" s="1" t="n">
        <v>45098</v>
      </c>
      <c r="C157" s="1" t="n">
        <v>46195</v>
      </c>
      <c r="D157" t="inlineStr">
        <is>
          <t>UPPSALA LÄN</t>
        </is>
      </c>
      <c r="E157" t="inlineStr">
        <is>
          <t>UPPSALA</t>
        </is>
      </c>
      <c r="G157" t="n">
        <v>14.3</v>
      </c>
      <c r="H157" t="n">
        <v>0</v>
      </c>
      <c r="I157" t="n">
        <v>1</v>
      </c>
      <c r="J157" t="n">
        <v>0</v>
      </c>
      <c r="K157" t="n">
        <v>0</v>
      </c>
      <c r="L157" t="n">
        <v>0</v>
      </c>
      <c r="M157" t="n">
        <v>0</v>
      </c>
      <c r="N157" t="n">
        <v>0</v>
      </c>
      <c r="O157" t="n">
        <v>0</v>
      </c>
      <c r="P157" t="n">
        <v>0</v>
      </c>
      <c r="Q157" t="n">
        <v>1</v>
      </c>
      <c r="R157" s="2" t="inlineStr">
        <is>
          <t>Blåmossa</t>
        </is>
      </c>
      <c r="S157">
        <f>HYPERLINK("https://klasma.github.io/Logging_0380/artfynd/A 27848-2023 artfynd.xlsx", "A 27848-2023")</f>
        <v/>
      </c>
      <c r="T157">
        <f>HYPERLINK("https://klasma.github.io/Logging_0380/kartor/A 27848-2023 karta.png", "A 27848-2023")</f>
        <v/>
      </c>
      <c r="V157">
        <f>HYPERLINK("https://klasma.github.io/Logging_0380/klagomål/A 27848-2023 FSC-klagomål.docx", "A 27848-2023")</f>
        <v/>
      </c>
      <c r="W157">
        <f>HYPERLINK("https://klasma.github.io/Logging_0380/klagomålsmail/A 27848-2023 FSC-klagomål mail.docx", "A 27848-2023")</f>
        <v/>
      </c>
      <c r="X157">
        <f>HYPERLINK("https://klasma.github.io/Logging_0380/tillsyn/A 27848-2023 tillsynsbegäran.docx", "A 27848-2023")</f>
        <v/>
      </c>
      <c r="Y157">
        <f>HYPERLINK("https://klasma.github.io/Logging_0380/tillsynsmail/A 27848-2023 tillsynsbegäran mail.docx", "A 27848-2023")</f>
        <v/>
      </c>
    </row>
    <row r="158" ht="15" customHeight="1">
      <c r="A158" t="inlineStr">
        <is>
          <t>A 17250-2025</t>
        </is>
      </c>
      <c r="B158" s="1" t="n">
        <v>45756</v>
      </c>
      <c r="C158" s="1" t="n">
        <v>46195</v>
      </c>
      <c r="D158" t="inlineStr">
        <is>
          <t>UPPSALA LÄN</t>
        </is>
      </c>
      <c r="E158" t="inlineStr">
        <is>
          <t>UPPSALA</t>
        </is>
      </c>
      <c r="G158" t="n">
        <v>2.2</v>
      </c>
      <c r="H158" t="n">
        <v>0</v>
      </c>
      <c r="I158" t="n">
        <v>0</v>
      </c>
      <c r="J158" t="n">
        <v>1</v>
      </c>
      <c r="K158" t="n">
        <v>0</v>
      </c>
      <c r="L158" t="n">
        <v>0</v>
      </c>
      <c r="M158" t="n">
        <v>0</v>
      </c>
      <c r="N158" t="n">
        <v>0</v>
      </c>
      <c r="O158" t="n">
        <v>1</v>
      </c>
      <c r="P158" t="n">
        <v>0</v>
      </c>
      <c r="Q158" t="n">
        <v>1</v>
      </c>
      <c r="R158" s="2" t="inlineStr">
        <is>
          <t>Vedtrappmossa</t>
        </is>
      </c>
      <c r="S158">
        <f>HYPERLINK("https://klasma.github.io/Logging_0380/artfynd/A 17250-2025 artfynd.xlsx", "A 17250-2025")</f>
        <v/>
      </c>
      <c r="T158">
        <f>HYPERLINK("https://klasma.github.io/Logging_0380/kartor/A 17250-2025 karta.png", "A 17250-2025")</f>
        <v/>
      </c>
      <c r="V158">
        <f>HYPERLINK("https://klasma.github.io/Logging_0380/klagomål/A 17250-2025 FSC-klagomål.docx", "A 17250-2025")</f>
        <v/>
      </c>
      <c r="W158">
        <f>HYPERLINK("https://klasma.github.io/Logging_0380/klagomålsmail/A 17250-2025 FSC-klagomål mail.docx", "A 17250-2025")</f>
        <v/>
      </c>
      <c r="X158">
        <f>HYPERLINK("https://klasma.github.io/Logging_0380/tillsyn/A 17250-2025 tillsynsbegäran.docx", "A 17250-2025")</f>
        <v/>
      </c>
      <c r="Y158">
        <f>HYPERLINK("https://klasma.github.io/Logging_0380/tillsynsmail/A 17250-2025 tillsynsbegäran mail.docx", "A 17250-2025")</f>
        <v/>
      </c>
    </row>
    <row r="159" ht="15" customHeight="1">
      <c r="A159" t="inlineStr">
        <is>
          <t>A 13526-2025</t>
        </is>
      </c>
      <c r="B159" s="1" t="n">
        <v>45736</v>
      </c>
      <c r="C159" s="1" t="n">
        <v>46195</v>
      </c>
      <c r="D159" t="inlineStr">
        <is>
          <t>UPPSALA LÄN</t>
        </is>
      </c>
      <c r="E159" t="inlineStr">
        <is>
          <t>UPPSALA</t>
        </is>
      </c>
      <c r="F159" t="inlineStr">
        <is>
          <t>Allmännings- och besparingsskogar</t>
        </is>
      </c>
      <c r="G159" t="n">
        <v>3</v>
      </c>
      <c r="H159" t="n">
        <v>0</v>
      </c>
      <c r="I159" t="n">
        <v>0</v>
      </c>
      <c r="J159" t="n">
        <v>1</v>
      </c>
      <c r="K159" t="n">
        <v>0</v>
      </c>
      <c r="L159" t="n">
        <v>0</v>
      </c>
      <c r="M159" t="n">
        <v>0</v>
      </c>
      <c r="N159" t="n">
        <v>0</v>
      </c>
      <c r="O159" t="n">
        <v>1</v>
      </c>
      <c r="P159" t="n">
        <v>0</v>
      </c>
      <c r="Q159" t="n">
        <v>1</v>
      </c>
      <c r="R159" s="2" t="inlineStr">
        <is>
          <t>Vedtrappmossa</t>
        </is>
      </c>
      <c r="S159">
        <f>HYPERLINK("https://klasma.github.io/Logging_0380/artfynd/A 13526-2025 artfynd.xlsx", "A 13526-2025")</f>
        <v/>
      </c>
      <c r="T159">
        <f>HYPERLINK("https://klasma.github.io/Logging_0380/kartor/A 13526-2025 karta.png", "A 13526-2025")</f>
        <v/>
      </c>
      <c r="V159">
        <f>HYPERLINK("https://klasma.github.io/Logging_0380/klagomål/A 13526-2025 FSC-klagomål.docx", "A 13526-2025")</f>
        <v/>
      </c>
      <c r="W159">
        <f>HYPERLINK("https://klasma.github.io/Logging_0380/klagomålsmail/A 13526-2025 FSC-klagomål mail.docx", "A 13526-2025")</f>
        <v/>
      </c>
      <c r="X159">
        <f>HYPERLINK("https://klasma.github.io/Logging_0380/tillsyn/A 13526-2025 tillsynsbegäran.docx", "A 13526-2025")</f>
        <v/>
      </c>
      <c r="Y159">
        <f>HYPERLINK("https://klasma.github.io/Logging_0380/tillsynsmail/A 13526-2025 tillsynsbegäran mail.docx", "A 13526-2025")</f>
        <v/>
      </c>
    </row>
    <row r="160" ht="15" customHeight="1">
      <c r="A160" t="inlineStr">
        <is>
          <t>A 33571-2025</t>
        </is>
      </c>
      <c r="B160" s="1" t="n">
        <v>45841</v>
      </c>
      <c r="C160" s="1" t="n">
        <v>46195</v>
      </c>
      <c r="D160" t="inlineStr">
        <is>
          <t>UPPSALA LÄN</t>
        </is>
      </c>
      <c r="E160" t="inlineStr">
        <is>
          <t>UPPSALA</t>
        </is>
      </c>
      <c r="G160" t="n">
        <v>1.6</v>
      </c>
      <c r="H160" t="n">
        <v>0</v>
      </c>
      <c r="I160" t="n">
        <v>0</v>
      </c>
      <c r="J160" t="n">
        <v>1</v>
      </c>
      <c r="K160" t="n">
        <v>0</v>
      </c>
      <c r="L160" t="n">
        <v>0</v>
      </c>
      <c r="M160" t="n">
        <v>0</v>
      </c>
      <c r="N160" t="n">
        <v>0</v>
      </c>
      <c r="O160" t="n">
        <v>1</v>
      </c>
      <c r="P160" t="n">
        <v>0</v>
      </c>
      <c r="Q160" t="n">
        <v>1</v>
      </c>
      <c r="R160" s="2" t="inlineStr">
        <is>
          <t>Blek fingersvamp</t>
        </is>
      </c>
      <c r="S160">
        <f>HYPERLINK("https://klasma.github.io/Logging_0380/artfynd/A 33571-2025 artfynd.xlsx", "A 33571-2025")</f>
        <v/>
      </c>
      <c r="T160">
        <f>HYPERLINK("https://klasma.github.io/Logging_0380/kartor/A 33571-2025 karta.png", "A 33571-2025")</f>
        <v/>
      </c>
      <c r="V160">
        <f>HYPERLINK("https://klasma.github.io/Logging_0380/klagomål/A 33571-2025 FSC-klagomål.docx", "A 33571-2025")</f>
        <v/>
      </c>
      <c r="W160">
        <f>HYPERLINK("https://klasma.github.io/Logging_0380/klagomålsmail/A 33571-2025 FSC-klagomål mail.docx", "A 33571-2025")</f>
        <v/>
      </c>
      <c r="X160">
        <f>HYPERLINK("https://klasma.github.io/Logging_0380/tillsyn/A 33571-2025 tillsynsbegäran.docx", "A 33571-2025")</f>
        <v/>
      </c>
      <c r="Y160">
        <f>HYPERLINK("https://klasma.github.io/Logging_0380/tillsynsmail/A 33571-2025 tillsynsbegäran mail.docx", "A 33571-2025")</f>
        <v/>
      </c>
    </row>
    <row r="161" ht="15" customHeight="1">
      <c r="A161" t="inlineStr">
        <is>
          <t>A 46748-2024</t>
        </is>
      </c>
      <c r="B161" s="1" t="n">
        <v>45583</v>
      </c>
      <c r="C161" s="1" t="n">
        <v>46195</v>
      </c>
      <c r="D161" t="inlineStr">
        <is>
          <t>UPPSALA LÄN</t>
        </is>
      </c>
      <c r="E161" t="inlineStr">
        <is>
          <t>UPPSALA</t>
        </is>
      </c>
      <c r="F161" t="inlineStr">
        <is>
          <t>Sveaskog</t>
        </is>
      </c>
      <c r="G161" t="n">
        <v>1.1</v>
      </c>
      <c r="H161" t="n">
        <v>1</v>
      </c>
      <c r="I161" t="n">
        <v>0</v>
      </c>
      <c r="J161" t="n">
        <v>0</v>
      </c>
      <c r="K161" t="n">
        <v>0</v>
      </c>
      <c r="L161" t="n">
        <v>0</v>
      </c>
      <c r="M161" t="n">
        <v>0</v>
      </c>
      <c r="N161" t="n">
        <v>0</v>
      </c>
      <c r="O161" t="n">
        <v>0</v>
      </c>
      <c r="P161" t="n">
        <v>0</v>
      </c>
      <c r="Q161" t="n">
        <v>1</v>
      </c>
      <c r="R161" s="2" t="inlineStr">
        <is>
          <t>Nattskärra</t>
        </is>
      </c>
      <c r="S161">
        <f>HYPERLINK("https://klasma.github.io/Logging_0380/artfynd/A 46748-2024 artfynd.xlsx", "A 46748-2024")</f>
        <v/>
      </c>
      <c r="T161">
        <f>HYPERLINK("https://klasma.github.io/Logging_0380/kartor/A 46748-2024 karta.png", "A 46748-2024")</f>
        <v/>
      </c>
      <c r="V161">
        <f>HYPERLINK("https://klasma.github.io/Logging_0380/klagomål/A 46748-2024 FSC-klagomål.docx", "A 46748-2024")</f>
        <v/>
      </c>
      <c r="W161">
        <f>HYPERLINK("https://klasma.github.io/Logging_0380/klagomålsmail/A 46748-2024 FSC-klagomål mail.docx", "A 46748-2024")</f>
        <v/>
      </c>
      <c r="X161">
        <f>HYPERLINK("https://klasma.github.io/Logging_0380/tillsyn/A 46748-2024 tillsynsbegäran.docx", "A 46748-2024")</f>
        <v/>
      </c>
      <c r="Y161">
        <f>HYPERLINK("https://klasma.github.io/Logging_0380/tillsynsmail/A 46748-2024 tillsynsbegäran mail.docx", "A 46748-2024")</f>
        <v/>
      </c>
      <c r="Z161">
        <f>HYPERLINK("https://klasma.github.io/Logging_0380/fåglar/A 46748-2024 prioriterade fågelarter.docx", "A 46748-2024")</f>
        <v/>
      </c>
    </row>
    <row r="162" ht="15" customHeight="1">
      <c r="A162" t="inlineStr">
        <is>
          <t>A 42528-2023</t>
        </is>
      </c>
      <c r="B162" s="1" t="n">
        <v>45181</v>
      </c>
      <c r="C162" s="1" t="n">
        <v>46195</v>
      </c>
      <c r="D162" t="inlineStr">
        <is>
          <t>UPPSALA LÄN</t>
        </is>
      </c>
      <c r="E162" t="inlineStr">
        <is>
          <t>UPPSALA</t>
        </is>
      </c>
      <c r="G162" t="n">
        <v>1.2</v>
      </c>
      <c r="H162" t="n">
        <v>0</v>
      </c>
      <c r="I162" t="n">
        <v>0</v>
      </c>
      <c r="J162" t="n">
        <v>1</v>
      </c>
      <c r="K162" t="n">
        <v>0</v>
      </c>
      <c r="L162" t="n">
        <v>0</v>
      </c>
      <c r="M162" t="n">
        <v>0</v>
      </c>
      <c r="N162" t="n">
        <v>0</v>
      </c>
      <c r="O162" t="n">
        <v>1</v>
      </c>
      <c r="P162" t="n">
        <v>0</v>
      </c>
      <c r="Q162" t="n">
        <v>1</v>
      </c>
      <c r="R162" s="2" t="inlineStr">
        <is>
          <t>Lunglav</t>
        </is>
      </c>
      <c r="S162">
        <f>HYPERLINK("https://klasma.github.io/Logging_0380/artfynd/A 42528-2023 artfynd.xlsx", "A 42528-2023")</f>
        <v/>
      </c>
      <c r="T162">
        <f>HYPERLINK("https://klasma.github.io/Logging_0380/kartor/A 42528-2023 karta.png", "A 42528-2023")</f>
        <v/>
      </c>
      <c r="V162">
        <f>HYPERLINK("https://klasma.github.io/Logging_0380/klagomål/A 42528-2023 FSC-klagomål.docx", "A 42528-2023")</f>
        <v/>
      </c>
      <c r="W162">
        <f>HYPERLINK("https://klasma.github.io/Logging_0380/klagomålsmail/A 42528-2023 FSC-klagomål mail.docx", "A 42528-2023")</f>
        <v/>
      </c>
      <c r="X162">
        <f>HYPERLINK("https://klasma.github.io/Logging_0380/tillsyn/A 42528-2023 tillsynsbegäran.docx", "A 42528-2023")</f>
        <v/>
      </c>
      <c r="Y162">
        <f>HYPERLINK("https://klasma.github.io/Logging_0380/tillsynsmail/A 42528-2023 tillsynsbegäran mail.docx", "A 42528-2023")</f>
        <v/>
      </c>
    </row>
    <row r="163" ht="15" customHeight="1">
      <c r="A163" t="inlineStr">
        <is>
          <t>A 26135-2025</t>
        </is>
      </c>
      <c r="B163" s="1" t="n">
        <v>45805</v>
      </c>
      <c r="C163" s="1" t="n">
        <v>46195</v>
      </c>
      <c r="D163" t="inlineStr">
        <is>
          <t>UPPSALA LÄN</t>
        </is>
      </c>
      <c r="E163" t="inlineStr">
        <is>
          <t>UPPSALA</t>
        </is>
      </c>
      <c r="F163" t="inlineStr">
        <is>
          <t>Holmen skog AB</t>
        </is>
      </c>
      <c r="G163" t="n">
        <v>3.1</v>
      </c>
      <c r="H163" t="n">
        <v>0</v>
      </c>
      <c r="I163" t="n">
        <v>0</v>
      </c>
      <c r="J163" t="n">
        <v>1</v>
      </c>
      <c r="K163" t="n">
        <v>0</v>
      </c>
      <c r="L163" t="n">
        <v>0</v>
      </c>
      <c r="M163" t="n">
        <v>0</v>
      </c>
      <c r="N163" t="n">
        <v>0</v>
      </c>
      <c r="O163" t="n">
        <v>1</v>
      </c>
      <c r="P163" t="n">
        <v>0</v>
      </c>
      <c r="Q163" t="n">
        <v>1</v>
      </c>
      <c r="R163" s="2" t="inlineStr">
        <is>
          <t>Vedtrappmossa</t>
        </is>
      </c>
      <c r="S163">
        <f>HYPERLINK("https://klasma.github.io/Logging_0380/artfynd/A 26135-2025 artfynd.xlsx", "A 26135-2025")</f>
        <v/>
      </c>
      <c r="T163">
        <f>HYPERLINK("https://klasma.github.io/Logging_0380/kartor/A 26135-2025 karta.png", "A 26135-2025")</f>
        <v/>
      </c>
      <c r="V163">
        <f>HYPERLINK("https://klasma.github.io/Logging_0380/klagomål/A 26135-2025 FSC-klagomål.docx", "A 26135-2025")</f>
        <v/>
      </c>
      <c r="W163">
        <f>HYPERLINK("https://klasma.github.io/Logging_0380/klagomålsmail/A 26135-2025 FSC-klagomål mail.docx", "A 26135-2025")</f>
        <v/>
      </c>
      <c r="X163">
        <f>HYPERLINK("https://klasma.github.io/Logging_0380/tillsyn/A 26135-2025 tillsynsbegäran.docx", "A 26135-2025")</f>
        <v/>
      </c>
      <c r="Y163">
        <f>HYPERLINK("https://klasma.github.io/Logging_0380/tillsynsmail/A 26135-2025 tillsynsbegäran mail.docx", "A 26135-2025")</f>
        <v/>
      </c>
    </row>
    <row r="164" ht="15" customHeight="1">
      <c r="A164" t="inlineStr">
        <is>
          <t>A 29906-2023</t>
        </is>
      </c>
      <c r="B164" s="1" t="n">
        <v>45107</v>
      </c>
      <c r="C164" s="1" t="n">
        <v>46195</v>
      </c>
      <c r="D164" t="inlineStr">
        <is>
          <t>UPPSALA LÄN</t>
        </is>
      </c>
      <c r="E164" t="inlineStr">
        <is>
          <t>UPPSALA</t>
        </is>
      </c>
      <c r="F164" t="inlineStr">
        <is>
          <t>Kyrkan</t>
        </is>
      </c>
      <c r="G164" t="n">
        <v>0.5</v>
      </c>
      <c r="H164" t="n">
        <v>0</v>
      </c>
      <c r="I164" t="n">
        <v>1</v>
      </c>
      <c r="J164" t="n">
        <v>0</v>
      </c>
      <c r="K164" t="n">
        <v>0</v>
      </c>
      <c r="L164" t="n">
        <v>0</v>
      </c>
      <c r="M164" t="n">
        <v>0</v>
      </c>
      <c r="N164" t="n">
        <v>0</v>
      </c>
      <c r="O164" t="n">
        <v>0</v>
      </c>
      <c r="P164" t="n">
        <v>0</v>
      </c>
      <c r="Q164" t="n">
        <v>1</v>
      </c>
      <c r="R164" s="2" t="inlineStr">
        <is>
          <t>Sotriska</t>
        </is>
      </c>
      <c r="S164">
        <f>HYPERLINK("https://klasma.github.io/Logging_0380/artfynd/A 29906-2023 artfynd.xlsx", "A 29906-2023")</f>
        <v/>
      </c>
      <c r="T164">
        <f>HYPERLINK("https://klasma.github.io/Logging_0380/kartor/A 29906-2023 karta.png", "A 29906-2023")</f>
        <v/>
      </c>
      <c r="V164">
        <f>HYPERLINK("https://klasma.github.io/Logging_0380/klagomål/A 29906-2023 FSC-klagomål.docx", "A 29906-2023")</f>
        <v/>
      </c>
      <c r="W164">
        <f>HYPERLINK("https://klasma.github.io/Logging_0380/klagomålsmail/A 29906-2023 FSC-klagomål mail.docx", "A 29906-2023")</f>
        <v/>
      </c>
      <c r="X164">
        <f>HYPERLINK("https://klasma.github.io/Logging_0380/tillsyn/A 29906-2023 tillsynsbegäran.docx", "A 29906-2023")</f>
        <v/>
      </c>
      <c r="Y164">
        <f>HYPERLINK("https://klasma.github.io/Logging_0380/tillsynsmail/A 29906-2023 tillsynsbegäran mail.docx", "A 29906-2023")</f>
        <v/>
      </c>
    </row>
    <row r="165" ht="15" customHeight="1">
      <c r="A165" t="inlineStr">
        <is>
          <t>A 59547-2024</t>
        </is>
      </c>
      <c r="B165" s="1" t="n">
        <v>45638</v>
      </c>
      <c r="C165" s="1" t="n">
        <v>46195</v>
      </c>
      <c r="D165" t="inlineStr">
        <is>
          <t>UPPSALA LÄN</t>
        </is>
      </c>
      <c r="E165" t="inlineStr">
        <is>
          <t>UPPSALA</t>
        </is>
      </c>
      <c r="G165" t="n">
        <v>2.2</v>
      </c>
      <c r="H165" t="n">
        <v>0</v>
      </c>
      <c r="I165" t="n">
        <v>0</v>
      </c>
      <c r="J165" t="n">
        <v>1</v>
      </c>
      <c r="K165" t="n">
        <v>0</v>
      </c>
      <c r="L165" t="n">
        <v>0</v>
      </c>
      <c r="M165" t="n">
        <v>0</v>
      </c>
      <c r="N165" t="n">
        <v>0</v>
      </c>
      <c r="O165" t="n">
        <v>1</v>
      </c>
      <c r="P165" t="n">
        <v>0</v>
      </c>
      <c r="Q165" t="n">
        <v>1</v>
      </c>
      <c r="R165" s="2" t="inlineStr">
        <is>
          <t>Ängsskära</t>
        </is>
      </c>
      <c r="S165">
        <f>HYPERLINK("https://klasma.github.io/Logging_0380/artfynd/A 59547-2024 artfynd.xlsx", "A 59547-2024")</f>
        <v/>
      </c>
      <c r="T165">
        <f>HYPERLINK("https://klasma.github.io/Logging_0380/kartor/A 59547-2024 karta.png", "A 59547-2024")</f>
        <v/>
      </c>
      <c r="V165">
        <f>HYPERLINK("https://klasma.github.io/Logging_0380/klagomål/A 59547-2024 FSC-klagomål.docx", "A 59547-2024")</f>
        <v/>
      </c>
      <c r="W165">
        <f>HYPERLINK("https://klasma.github.io/Logging_0380/klagomålsmail/A 59547-2024 FSC-klagomål mail.docx", "A 59547-2024")</f>
        <v/>
      </c>
      <c r="X165">
        <f>HYPERLINK("https://klasma.github.io/Logging_0380/tillsyn/A 59547-2024 tillsynsbegäran.docx", "A 59547-2024")</f>
        <v/>
      </c>
      <c r="Y165">
        <f>HYPERLINK("https://klasma.github.io/Logging_0380/tillsynsmail/A 59547-2024 tillsynsbegäran mail.docx", "A 59547-2024")</f>
        <v/>
      </c>
    </row>
    <row r="166" ht="15" customHeight="1">
      <c r="A166" t="inlineStr">
        <is>
          <t>A 44815-2023</t>
        </is>
      </c>
      <c r="B166" s="1" t="n">
        <v>45190</v>
      </c>
      <c r="C166" s="1" t="n">
        <v>46195</v>
      </c>
      <c r="D166" t="inlineStr">
        <is>
          <t>UPPSALA LÄN</t>
        </is>
      </c>
      <c r="E166" t="inlineStr">
        <is>
          <t>UPPSALA</t>
        </is>
      </c>
      <c r="G166" t="n">
        <v>2.3</v>
      </c>
      <c r="H166" t="n">
        <v>0</v>
      </c>
      <c r="I166" t="n">
        <v>0</v>
      </c>
      <c r="J166" t="n">
        <v>0</v>
      </c>
      <c r="K166" t="n">
        <v>1</v>
      </c>
      <c r="L166" t="n">
        <v>0</v>
      </c>
      <c r="M166" t="n">
        <v>0</v>
      </c>
      <c r="N166" t="n">
        <v>0</v>
      </c>
      <c r="O166" t="n">
        <v>1</v>
      </c>
      <c r="P166" t="n">
        <v>1</v>
      </c>
      <c r="Q166" t="n">
        <v>1</v>
      </c>
      <c r="R166" s="2" t="inlineStr">
        <is>
          <t>Sexfläckig bastardsvärmare</t>
        </is>
      </c>
      <c r="S166">
        <f>HYPERLINK("https://klasma.github.io/Logging_0380/artfynd/A 44815-2023 artfynd.xlsx", "A 44815-2023")</f>
        <v/>
      </c>
      <c r="T166">
        <f>HYPERLINK("https://klasma.github.io/Logging_0380/kartor/A 44815-2023 karta.png", "A 44815-2023")</f>
        <v/>
      </c>
      <c r="V166">
        <f>HYPERLINK("https://klasma.github.io/Logging_0380/klagomål/A 44815-2023 FSC-klagomål.docx", "A 44815-2023")</f>
        <v/>
      </c>
      <c r="W166">
        <f>HYPERLINK("https://klasma.github.io/Logging_0380/klagomålsmail/A 44815-2023 FSC-klagomål mail.docx", "A 44815-2023")</f>
        <v/>
      </c>
      <c r="X166">
        <f>HYPERLINK("https://klasma.github.io/Logging_0380/tillsyn/A 44815-2023 tillsynsbegäran.docx", "A 44815-2023")</f>
        <v/>
      </c>
      <c r="Y166">
        <f>HYPERLINK("https://klasma.github.io/Logging_0380/tillsynsmail/A 44815-2023 tillsynsbegäran mail.docx", "A 44815-2023")</f>
        <v/>
      </c>
    </row>
    <row r="167" ht="15" customHeight="1">
      <c r="A167" t="inlineStr">
        <is>
          <t>A 63075-2025</t>
        </is>
      </c>
      <c r="B167" s="1" t="n">
        <v>46009</v>
      </c>
      <c r="C167" s="1" t="n">
        <v>46195</v>
      </c>
      <c r="D167" t="inlineStr">
        <is>
          <t>UPPSALA LÄN</t>
        </is>
      </c>
      <c r="E167" t="inlineStr">
        <is>
          <t>UPPSALA</t>
        </is>
      </c>
      <c r="F167" t="inlineStr">
        <is>
          <t>Övriga statliga verk och myndigheter</t>
        </is>
      </c>
      <c r="G167" t="n">
        <v>4</v>
      </c>
      <c r="H167" t="n">
        <v>1</v>
      </c>
      <c r="I167" t="n">
        <v>0</v>
      </c>
      <c r="J167" t="n">
        <v>1</v>
      </c>
      <c r="K167" t="n">
        <v>0</v>
      </c>
      <c r="L167" t="n">
        <v>0</v>
      </c>
      <c r="M167" t="n">
        <v>0</v>
      </c>
      <c r="N167" t="n">
        <v>0</v>
      </c>
      <c r="O167" t="n">
        <v>1</v>
      </c>
      <c r="P167" t="n">
        <v>0</v>
      </c>
      <c r="Q167" t="n">
        <v>1</v>
      </c>
      <c r="R167" s="2" t="inlineStr">
        <is>
          <t>Talltita</t>
        </is>
      </c>
      <c r="S167">
        <f>HYPERLINK("https://klasma.github.io/Logging_0380/artfynd/A 63075-2025 artfynd.xlsx", "A 63075-2025")</f>
        <v/>
      </c>
      <c r="T167">
        <f>HYPERLINK("https://klasma.github.io/Logging_0380/kartor/A 63075-2025 karta.png", "A 63075-2025")</f>
        <v/>
      </c>
      <c r="V167">
        <f>HYPERLINK("https://klasma.github.io/Logging_0380/klagomål/A 63075-2025 FSC-klagomål.docx", "A 63075-2025")</f>
        <v/>
      </c>
      <c r="W167">
        <f>HYPERLINK("https://klasma.github.io/Logging_0380/klagomålsmail/A 63075-2025 FSC-klagomål mail.docx", "A 63075-2025")</f>
        <v/>
      </c>
      <c r="X167">
        <f>HYPERLINK("https://klasma.github.io/Logging_0380/tillsyn/A 63075-2025 tillsynsbegäran.docx", "A 63075-2025")</f>
        <v/>
      </c>
      <c r="Y167">
        <f>HYPERLINK("https://klasma.github.io/Logging_0380/tillsynsmail/A 63075-2025 tillsynsbegäran mail.docx", "A 63075-2025")</f>
        <v/>
      </c>
      <c r="Z167">
        <f>HYPERLINK("https://klasma.github.io/Logging_0380/fåglar/A 63075-2025 prioriterade fågelarter.docx", "A 63075-2025")</f>
        <v/>
      </c>
    </row>
    <row r="168" ht="15" customHeight="1">
      <c r="A168" t="inlineStr">
        <is>
          <t>A 21738-2026</t>
        </is>
      </c>
      <c r="B168" s="1" t="n">
        <v>46147</v>
      </c>
      <c r="C168" s="1" t="n">
        <v>46195</v>
      </c>
      <c r="D168" t="inlineStr">
        <is>
          <t>UPPSALA LÄN</t>
        </is>
      </c>
      <c r="E168" t="inlineStr">
        <is>
          <t>UPPSALA</t>
        </is>
      </c>
      <c r="G168" t="n">
        <v>3.1</v>
      </c>
      <c r="H168" t="n">
        <v>0</v>
      </c>
      <c r="I168" t="n">
        <v>1</v>
      </c>
      <c r="J168" t="n">
        <v>0</v>
      </c>
      <c r="K168" t="n">
        <v>0</v>
      </c>
      <c r="L168" t="n">
        <v>0</v>
      </c>
      <c r="M168" t="n">
        <v>0</v>
      </c>
      <c r="N168" t="n">
        <v>0</v>
      </c>
      <c r="O168" t="n">
        <v>0</v>
      </c>
      <c r="P168" t="n">
        <v>0</v>
      </c>
      <c r="Q168" t="n">
        <v>1</v>
      </c>
      <c r="R168" s="2" t="inlineStr">
        <is>
          <t>Tibast</t>
        </is>
      </c>
      <c r="S168">
        <f>HYPERLINK("https://klasma.github.io/Logging_0380/artfynd/A 21738-2026 artfynd.xlsx", "A 21738-2026")</f>
        <v/>
      </c>
      <c r="T168">
        <f>HYPERLINK("https://klasma.github.io/Logging_0380/kartor/A 21738-2026 karta.png", "A 21738-2026")</f>
        <v/>
      </c>
      <c r="V168">
        <f>HYPERLINK("https://klasma.github.io/Logging_0380/klagomål/A 21738-2026 FSC-klagomål.docx", "A 21738-2026")</f>
        <v/>
      </c>
      <c r="W168">
        <f>HYPERLINK("https://klasma.github.io/Logging_0380/klagomålsmail/A 21738-2026 FSC-klagomål mail.docx", "A 21738-2026")</f>
        <v/>
      </c>
      <c r="X168">
        <f>HYPERLINK("https://klasma.github.io/Logging_0380/tillsyn/A 21738-2026 tillsynsbegäran.docx", "A 21738-2026")</f>
        <v/>
      </c>
      <c r="Y168">
        <f>HYPERLINK("https://klasma.github.io/Logging_0380/tillsynsmail/A 21738-2026 tillsynsbegäran mail.docx", "A 21738-2026")</f>
        <v/>
      </c>
    </row>
    <row r="169" ht="15" customHeight="1">
      <c r="A169" t="inlineStr">
        <is>
          <t>A 40872-2023</t>
        </is>
      </c>
      <c r="B169" s="1" t="n">
        <v>45173</v>
      </c>
      <c r="C169" s="1" t="n">
        <v>46195</v>
      </c>
      <c r="D169" t="inlineStr">
        <is>
          <t>UPPSALA LÄN</t>
        </is>
      </c>
      <c r="E169" t="inlineStr">
        <is>
          <t>UPPSALA</t>
        </is>
      </c>
      <c r="G169" t="n">
        <v>1.1</v>
      </c>
      <c r="H169" t="n">
        <v>0</v>
      </c>
      <c r="I169" t="n">
        <v>1</v>
      </c>
      <c r="J169" t="n">
        <v>0</v>
      </c>
      <c r="K169" t="n">
        <v>0</v>
      </c>
      <c r="L169" t="n">
        <v>0</v>
      </c>
      <c r="M169" t="n">
        <v>0</v>
      </c>
      <c r="N169" t="n">
        <v>0</v>
      </c>
      <c r="O169" t="n">
        <v>0</v>
      </c>
      <c r="P169" t="n">
        <v>0</v>
      </c>
      <c r="Q169" t="n">
        <v>1</v>
      </c>
      <c r="R169" s="2" t="inlineStr">
        <is>
          <t>Bronshjon</t>
        </is>
      </c>
      <c r="S169">
        <f>HYPERLINK("https://klasma.github.io/Logging_0380/artfynd/A 40872-2023 artfynd.xlsx", "A 40872-2023")</f>
        <v/>
      </c>
      <c r="T169">
        <f>HYPERLINK("https://klasma.github.io/Logging_0380/kartor/A 40872-2023 karta.png", "A 40872-2023")</f>
        <v/>
      </c>
      <c r="V169">
        <f>HYPERLINK("https://klasma.github.io/Logging_0380/klagomål/A 40872-2023 FSC-klagomål.docx", "A 40872-2023")</f>
        <v/>
      </c>
      <c r="W169">
        <f>HYPERLINK("https://klasma.github.io/Logging_0380/klagomålsmail/A 40872-2023 FSC-klagomål mail.docx", "A 40872-2023")</f>
        <v/>
      </c>
      <c r="X169">
        <f>HYPERLINK("https://klasma.github.io/Logging_0380/tillsyn/A 40872-2023 tillsynsbegäran.docx", "A 40872-2023")</f>
        <v/>
      </c>
      <c r="Y169">
        <f>HYPERLINK("https://klasma.github.io/Logging_0380/tillsynsmail/A 40872-2023 tillsynsbegäran mail.docx", "A 40872-2023")</f>
        <v/>
      </c>
    </row>
    <row r="170" ht="15" customHeight="1">
      <c r="A170" t="inlineStr">
        <is>
          <t>A 5309-2022</t>
        </is>
      </c>
      <c r="B170" s="1" t="n">
        <v>44594</v>
      </c>
      <c r="C170" s="1" t="n">
        <v>46195</v>
      </c>
      <c r="D170" t="inlineStr">
        <is>
          <t>UPPSALA LÄN</t>
        </is>
      </c>
      <c r="E170" t="inlineStr">
        <is>
          <t>UPPSALA</t>
        </is>
      </c>
      <c r="G170" t="n">
        <v>4.8</v>
      </c>
      <c r="H170" t="n">
        <v>0</v>
      </c>
      <c r="I170" t="n">
        <v>1</v>
      </c>
      <c r="J170" t="n">
        <v>0</v>
      </c>
      <c r="K170" t="n">
        <v>0</v>
      </c>
      <c r="L170" t="n">
        <v>0</v>
      </c>
      <c r="M170" t="n">
        <v>0</v>
      </c>
      <c r="N170" t="n">
        <v>0</v>
      </c>
      <c r="O170" t="n">
        <v>0</v>
      </c>
      <c r="P170" t="n">
        <v>0</v>
      </c>
      <c r="Q170" t="n">
        <v>1</v>
      </c>
      <c r="R170" s="2" t="inlineStr">
        <is>
          <t>Grönpyrola</t>
        </is>
      </c>
      <c r="S170">
        <f>HYPERLINK("https://klasma.github.io/Logging_0380/artfynd/A 5309-2022 artfynd.xlsx", "A 5309-2022")</f>
        <v/>
      </c>
      <c r="T170">
        <f>HYPERLINK("https://klasma.github.io/Logging_0380/kartor/A 5309-2022 karta.png", "A 5309-2022")</f>
        <v/>
      </c>
      <c r="V170">
        <f>HYPERLINK("https://klasma.github.io/Logging_0380/klagomål/A 5309-2022 FSC-klagomål.docx", "A 5309-2022")</f>
        <v/>
      </c>
      <c r="W170">
        <f>HYPERLINK("https://klasma.github.io/Logging_0380/klagomålsmail/A 5309-2022 FSC-klagomål mail.docx", "A 5309-2022")</f>
        <v/>
      </c>
      <c r="X170">
        <f>HYPERLINK("https://klasma.github.io/Logging_0380/tillsyn/A 5309-2022 tillsynsbegäran.docx", "A 5309-2022")</f>
        <v/>
      </c>
      <c r="Y170">
        <f>HYPERLINK("https://klasma.github.io/Logging_0380/tillsynsmail/A 5309-2022 tillsynsbegäran mail.docx", "A 5309-2022")</f>
        <v/>
      </c>
    </row>
    <row r="171" ht="15" customHeight="1">
      <c r="A171" t="inlineStr">
        <is>
          <t>A 41002-2023</t>
        </is>
      </c>
      <c r="B171" s="1" t="n">
        <v>45173</v>
      </c>
      <c r="C171" s="1" t="n">
        <v>46195</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Blåsippa</t>
        </is>
      </c>
      <c r="S171">
        <f>HYPERLINK("https://klasma.github.io/Logging_0380/artfynd/A 41002-2023 artfynd.xlsx", "A 41002-2023")</f>
        <v/>
      </c>
      <c r="T171">
        <f>HYPERLINK("https://klasma.github.io/Logging_0380/kartor/A 41002-2023 karta.png", "A 41002-2023")</f>
        <v/>
      </c>
      <c r="V171">
        <f>HYPERLINK("https://klasma.github.io/Logging_0380/klagomål/A 41002-2023 FSC-klagomål.docx", "A 41002-2023")</f>
        <v/>
      </c>
      <c r="W171">
        <f>HYPERLINK("https://klasma.github.io/Logging_0380/klagomålsmail/A 41002-2023 FSC-klagomål mail.docx", "A 41002-2023")</f>
        <v/>
      </c>
      <c r="X171">
        <f>HYPERLINK("https://klasma.github.io/Logging_0380/tillsyn/A 41002-2023 tillsynsbegäran.docx", "A 41002-2023")</f>
        <v/>
      </c>
      <c r="Y171">
        <f>HYPERLINK("https://klasma.github.io/Logging_0380/tillsynsmail/A 41002-2023 tillsynsbegäran mail.docx", "A 41002-2023")</f>
        <v/>
      </c>
    </row>
    <row r="172" ht="15" customHeight="1">
      <c r="A172" t="inlineStr">
        <is>
          <t>A 9069-2026</t>
        </is>
      </c>
      <c r="B172" s="1" t="n">
        <v>46069</v>
      </c>
      <c r="C172" s="1" t="n">
        <v>46195</v>
      </c>
      <c r="D172" t="inlineStr">
        <is>
          <t>UPPSALA LÄN</t>
        </is>
      </c>
      <c r="E172" t="inlineStr">
        <is>
          <t>UPPSALA</t>
        </is>
      </c>
      <c r="F172" t="inlineStr">
        <is>
          <t>Holmen skog AB</t>
        </is>
      </c>
      <c r="G172" t="n">
        <v>4.9</v>
      </c>
      <c r="H172" t="n">
        <v>1</v>
      </c>
      <c r="I172" t="n">
        <v>0</v>
      </c>
      <c r="J172" t="n">
        <v>0</v>
      </c>
      <c r="K172" t="n">
        <v>0</v>
      </c>
      <c r="L172" t="n">
        <v>0</v>
      </c>
      <c r="M172" t="n">
        <v>0</v>
      </c>
      <c r="N172" t="n">
        <v>0</v>
      </c>
      <c r="O172" t="n">
        <v>0</v>
      </c>
      <c r="P172" t="n">
        <v>0</v>
      </c>
      <c r="Q172" t="n">
        <v>1</v>
      </c>
      <c r="R172" s="2" t="inlineStr">
        <is>
          <t>Gröngöling</t>
        </is>
      </c>
      <c r="S172">
        <f>HYPERLINK("https://klasma.github.io/Logging_0380/artfynd/A 9069-2026 artfynd.xlsx", "A 9069-2026")</f>
        <v/>
      </c>
      <c r="T172">
        <f>HYPERLINK("https://klasma.github.io/Logging_0380/kartor/A 9069-2026 karta.png", "A 9069-2026")</f>
        <v/>
      </c>
      <c r="V172">
        <f>HYPERLINK("https://klasma.github.io/Logging_0380/klagomål/A 9069-2026 FSC-klagomål.docx", "A 9069-2026")</f>
        <v/>
      </c>
      <c r="W172">
        <f>HYPERLINK("https://klasma.github.io/Logging_0380/klagomålsmail/A 9069-2026 FSC-klagomål mail.docx", "A 9069-2026")</f>
        <v/>
      </c>
      <c r="X172">
        <f>HYPERLINK("https://klasma.github.io/Logging_0380/tillsyn/A 9069-2026 tillsynsbegäran.docx", "A 9069-2026")</f>
        <v/>
      </c>
      <c r="Y172">
        <f>HYPERLINK("https://klasma.github.io/Logging_0380/tillsynsmail/A 9069-2026 tillsynsbegäran mail.docx", "A 9069-2026")</f>
        <v/>
      </c>
      <c r="Z172">
        <f>HYPERLINK("https://klasma.github.io/Logging_0380/fåglar/A 9069-2026 prioriterade fågelarter.docx", "A 9069-2026")</f>
        <v/>
      </c>
    </row>
    <row r="173" ht="15" customHeight="1">
      <c r="A173" t="inlineStr">
        <is>
          <t>A 61830-2022</t>
        </is>
      </c>
      <c r="B173" s="1" t="n">
        <v>44917</v>
      </c>
      <c r="C173" s="1" t="n">
        <v>46195</v>
      </c>
      <c r="D173" t="inlineStr">
        <is>
          <t>UPPSALA LÄN</t>
        </is>
      </c>
      <c r="E173" t="inlineStr">
        <is>
          <t>UPPSALA</t>
        </is>
      </c>
      <c r="F173" t="inlineStr">
        <is>
          <t>Holmen skog AB</t>
        </is>
      </c>
      <c r="G173" t="n">
        <v>1.1</v>
      </c>
      <c r="H173" t="n">
        <v>0</v>
      </c>
      <c r="I173" t="n">
        <v>0</v>
      </c>
      <c r="J173" t="n">
        <v>1</v>
      </c>
      <c r="K173" t="n">
        <v>0</v>
      </c>
      <c r="L173" t="n">
        <v>0</v>
      </c>
      <c r="M173" t="n">
        <v>0</v>
      </c>
      <c r="N173" t="n">
        <v>0</v>
      </c>
      <c r="O173" t="n">
        <v>1</v>
      </c>
      <c r="P173" t="n">
        <v>0</v>
      </c>
      <c r="Q173" t="n">
        <v>1</v>
      </c>
      <c r="R173" s="2" t="inlineStr">
        <is>
          <t>Rödbrun blekspik</t>
        </is>
      </c>
      <c r="S173">
        <f>HYPERLINK("https://klasma.github.io/Logging_0380/artfynd/A 61830-2022 artfynd.xlsx", "A 61830-2022")</f>
        <v/>
      </c>
      <c r="T173">
        <f>HYPERLINK("https://klasma.github.io/Logging_0380/kartor/A 61830-2022 karta.png", "A 61830-2022")</f>
        <v/>
      </c>
      <c r="V173">
        <f>HYPERLINK("https://klasma.github.io/Logging_0380/klagomål/A 61830-2022 FSC-klagomål.docx", "A 61830-2022")</f>
        <v/>
      </c>
      <c r="W173">
        <f>HYPERLINK("https://klasma.github.io/Logging_0380/klagomålsmail/A 61830-2022 FSC-klagomål mail.docx", "A 61830-2022")</f>
        <v/>
      </c>
      <c r="X173">
        <f>HYPERLINK("https://klasma.github.io/Logging_0380/tillsyn/A 61830-2022 tillsynsbegäran.docx", "A 61830-2022")</f>
        <v/>
      </c>
      <c r="Y173">
        <f>HYPERLINK("https://klasma.github.io/Logging_0380/tillsynsmail/A 61830-2022 tillsynsbegäran mail.docx", "A 61830-2022")</f>
        <v/>
      </c>
    </row>
    <row r="174" ht="15" customHeight="1">
      <c r="A174" t="inlineStr">
        <is>
          <t>A 2729-2024</t>
        </is>
      </c>
      <c r="B174" s="1" t="n">
        <v>45314</v>
      </c>
      <c r="C174" s="1" t="n">
        <v>46195</v>
      </c>
      <c r="D174" t="inlineStr">
        <is>
          <t>UPPSALA LÄN</t>
        </is>
      </c>
      <c r="E174" t="inlineStr">
        <is>
          <t>UPPSALA</t>
        </is>
      </c>
      <c r="G174" t="n">
        <v>3.3</v>
      </c>
      <c r="H174" t="n">
        <v>1</v>
      </c>
      <c r="I174" t="n">
        <v>0</v>
      </c>
      <c r="J174" t="n">
        <v>0</v>
      </c>
      <c r="K174" t="n">
        <v>0</v>
      </c>
      <c r="L174" t="n">
        <v>0</v>
      </c>
      <c r="M174" t="n">
        <v>0</v>
      </c>
      <c r="N174" t="n">
        <v>0</v>
      </c>
      <c r="O174" t="n">
        <v>0</v>
      </c>
      <c r="P174" t="n">
        <v>0</v>
      </c>
      <c r="Q174" t="n">
        <v>1</v>
      </c>
      <c r="R174" s="2" t="inlineStr">
        <is>
          <t>Revlummer</t>
        </is>
      </c>
      <c r="S174">
        <f>HYPERLINK("https://klasma.github.io/Logging_0380/artfynd/A 2729-2024 artfynd.xlsx", "A 2729-2024")</f>
        <v/>
      </c>
      <c r="T174">
        <f>HYPERLINK("https://klasma.github.io/Logging_0380/kartor/A 2729-2024 karta.png", "A 2729-2024")</f>
        <v/>
      </c>
      <c r="V174">
        <f>HYPERLINK("https://klasma.github.io/Logging_0380/klagomål/A 2729-2024 FSC-klagomål.docx", "A 2729-2024")</f>
        <v/>
      </c>
      <c r="W174">
        <f>HYPERLINK("https://klasma.github.io/Logging_0380/klagomålsmail/A 2729-2024 FSC-klagomål mail.docx", "A 2729-2024")</f>
        <v/>
      </c>
      <c r="X174">
        <f>HYPERLINK("https://klasma.github.io/Logging_0380/tillsyn/A 2729-2024 tillsynsbegäran.docx", "A 2729-2024")</f>
        <v/>
      </c>
      <c r="Y174">
        <f>HYPERLINK("https://klasma.github.io/Logging_0380/tillsynsmail/A 2729-2024 tillsynsbegäran mail.docx", "A 2729-2024")</f>
        <v/>
      </c>
    </row>
    <row r="175" ht="15" customHeight="1">
      <c r="A175" t="inlineStr">
        <is>
          <t>A 15603-2026</t>
        </is>
      </c>
      <c r="B175" s="1" t="n">
        <v>46106</v>
      </c>
      <c r="C175" s="1" t="n">
        <v>46195</v>
      </c>
      <c r="D175" t="inlineStr">
        <is>
          <t>UPPSALA LÄN</t>
        </is>
      </c>
      <c r="E175" t="inlineStr">
        <is>
          <t>UPPSALA</t>
        </is>
      </c>
      <c r="G175" t="n">
        <v>3.4</v>
      </c>
      <c r="H175" t="n">
        <v>0</v>
      </c>
      <c r="I175" t="n">
        <v>1</v>
      </c>
      <c r="J175" t="n">
        <v>0</v>
      </c>
      <c r="K175" t="n">
        <v>0</v>
      </c>
      <c r="L175" t="n">
        <v>0</v>
      </c>
      <c r="M175" t="n">
        <v>0</v>
      </c>
      <c r="N175" t="n">
        <v>0</v>
      </c>
      <c r="O175" t="n">
        <v>0</v>
      </c>
      <c r="P175" t="n">
        <v>0</v>
      </c>
      <c r="Q175" t="n">
        <v>1</v>
      </c>
      <c r="R175" s="2" t="inlineStr">
        <is>
          <t>Svavelriska</t>
        </is>
      </c>
      <c r="S175">
        <f>HYPERLINK("https://klasma.github.io/Logging_0380/artfynd/A 15603-2026 artfynd.xlsx", "A 15603-2026")</f>
        <v/>
      </c>
      <c r="T175">
        <f>HYPERLINK("https://klasma.github.io/Logging_0380/kartor/A 15603-2026 karta.png", "A 15603-2026")</f>
        <v/>
      </c>
      <c r="V175">
        <f>HYPERLINK("https://klasma.github.io/Logging_0380/klagomål/A 15603-2026 FSC-klagomål.docx", "A 15603-2026")</f>
        <v/>
      </c>
      <c r="W175">
        <f>HYPERLINK("https://klasma.github.io/Logging_0380/klagomålsmail/A 15603-2026 FSC-klagomål mail.docx", "A 15603-2026")</f>
        <v/>
      </c>
      <c r="X175">
        <f>HYPERLINK("https://klasma.github.io/Logging_0380/tillsyn/A 15603-2026 tillsynsbegäran.docx", "A 15603-2026")</f>
        <v/>
      </c>
      <c r="Y175">
        <f>HYPERLINK("https://klasma.github.io/Logging_0380/tillsynsmail/A 15603-2026 tillsynsbegäran mail.docx", "A 15603-2026")</f>
        <v/>
      </c>
    </row>
    <row r="176" ht="15" customHeight="1">
      <c r="A176" t="inlineStr">
        <is>
          <t>A 22223-2026</t>
        </is>
      </c>
      <c r="B176" s="1" t="n">
        <v>46153</v>
      </c>
      <c r="C176" s="1" t="n">
        <v>46195</v>
      </c>
      <c r="D176" t="inlineStr">
        <is>
          <t>UPPSALA LÄN</t>
        </is>
      </c>
      <c r="E176" t="inlineStr">
        <is>
          <t>UPPSALA</t>
        </is>
      </c>
      <c r="G176" t="n">
        <v>6</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22223-2026 artfynd.xlsx", "A 22223-2026")</f>
        <v/>
      </c>
      <c r="T176">
        <f>HYPERLINK("https://klasma.github.io/Logging_0380/kartor/A 22223-2026 karta.png", "A 22223-2026")</f>
        <v/>
      </c>
      <c r="V176">
        <f>HYPERLINK("https://klasma.github.io/Logging_0380/klagomål/A 22223-2026 FSC-klagomål.docx", "A 22223-2026")</f>
        <v/>
      </c>
      <c r="W176">
        <f>HYPERLINK("https://klasma.github.io/Logging_0380/klagomålsmail/A 22223-2026 FSC-klagomål mail.docx", "A 22223-2026")</f>
        <v/>
      </c>
      <c r="X176">
        <f>HYPERLINK("https://klasma.github.io/Logging_0380/tillsyn/A 22223-2026 tillsynsbegäran.docx", "A 22223-2026")</f>
        <v/>
      </c>
      <c r="Y176">
        <f>HYPERLINK("https://klasma.github.io/Logging_0380/tillsynsmail/A 22223-2026 tillsynsbegäran mail.docx", "A 22223-2026")</f>
        <v/>
      </c>
    </row>
    <row r="177" ht="15" customHeight="1">
      <c r="A177" t="inlineStr">
        <is>
          <t>A 22883-2026</t>
        </is>
      </c>
      <c r="B177" s="1" t="n">
        <v>46160</v>
      </c>
      <c r="C177" s="1" t="n">
        <v>46195</v>
      </c>
      <c r="D177" t="inlineStr">
        <is>
          <t>UPPSALA LÄN</t>
        </is>
      </c>
      <c r="E177" t="inlineStr">
        <is>
          <t>UPPSALA</t>
        </is>
      </c>
      <c r="G177" t="n">
        <v>2.9</v>
      </c>
      <c r="H177" t="n">
        <v>0</v>
      </c>
      <c r="I177" t="n">
        <v>0</v>
      </c>
      <c r="J177" t="n">
        <v>1</v>
      </c>
      <c r="K177" t="n">
        <v>0</v>
      </c>
      <c r="L177" t="n">
        <v>0</v>
      </c>
      <c r="M177" t="n">
        <v>0</v>
      </c>
      <c r="N177" t="n">
        <v>0</v>
      </c>
      <c r="O177" t="n">
        <v>1</v>
      </c>
      <c r="P177" t="n">
        <v>0</v>
      </c>
      <c r="Q177" t="n">
        <v>1</v>
      </c>
      <c r="R177" s="2" t="inlineStr">
        <is>
          <t>Vedtrappmossa</t>
        </is>
      </c>
      <c r="S177">
        <f>HYPERLINK("https://klasma.github.io/Logging_0380/artfynd/A 22883-2026 artfynd.xlsx", "A 22883-2026")</f>
        <v/>
      </c>
      <c r="T177">
        <f>HYPERLINK("https://klasma.github.io/Logging_0380/kartor/A 22883-2026 karta.png", "A 22883-2026")</f>
        <v/>
      </c>
      <c r="V177">
        <f>HYPERLINK("https://klasma.github.io/Logging_0380/klagomål/A 22883-2026 FSC-klagomål.docx", "A 22883-2026")</f>
        <v/>
      </c>
      <c r="W177">
        <f>HYPERLINK("https://klasma.github.io/Logging_0380/klagomålsmail/A 22883-2026 FSC-klagomål mail.docx", "A 22883-2026")</f>
        <v/>
      </c>
      <c r="X177">
        <f>HYPERLINK("https://klasma.github.io/Logging_0380/tillsyn/A 22883-2026 tillsynsbegäran.docx", "A 22883-2026")</f>
        <v/>
      </c>
      <c r="Y177">
        <f>HYPERLINK("https://klasma.github.io/Logging_0380/tillsynsmail/A 22883-2026 tillsynsbegäran mail.docx", "A 22883-2026")</f>
        <v/>
      </c>
    </row>
    <row r="178" ht="15" customHeight="1">
      <c r="A178" t="inlineStr">
        <is>
          <t>A 25754-2026</t>
        </is>
      </c>
      <c r="B178" s="1" t="n">
        <v>46178</v>
      </c>
      <c r="C178" s="1" t="n">
        <v>46195</v>
      </c>
      <c r="D178" t="inlineStr">
        <is>
          <t>UPPSALA LÄN</t>
        </is>
      </c>
      <c r="E178" t="inlineStr">
        <is>
          <t>UPPSALA</t>
        </is>
      </c>
      <c r="G178" t="n">
        <v>4.2</v>
      </c>
      <c r="H178" t="n">
        <v>0</v>
      </c>
      <c r="I178" t="n">
        <v>0</v>
      </c>
      <c r="J178" t="n">
        <v>1</v>
      </c>
      <c r="K178" t="n">
        <v>0</v>
      </c>
      <c r="L178" t="n">
        <v>0</v>
      </c>
      <c r="M178" t="n">
        <v>0</v>
      </c>
      <c r="N178" t="n">
        <v>0</v>
      </c>
      <c r="O178" t="n">
        <v>1</v>
      </c>
      <c r="P178" t="n">
        <v>0</v>
      </c>
      <c r="Q178" t="n">
        <v>1</v>
      </c>
      <c r="R178" s="2" t="inlineStr">
        <is>
          <t>Fjällig taggsvamp s.str.</t>
        </is>
      </c>
      <c r="S178">
        <f>HYPERLINK("https://klasma.github.io/Logging_0380/artfynd/A 25754-2026 artfynd.xlsx", "A 25754-2026")</f>
        <v/>
      </c>
      <c r="T178">
        <f>HYPERLINK("https://klasma.github.io/Logging_0380/kartor/A 25754-2026 karta.png", "A 25754-2026")</f>
        <v/>
      </c>
      <c r="V178">
        <f>HYPERLINK("https://klasma.github.io/Logging_0380/klagomål/A 25754-2026 FSC-klagomål.docx", "A 25754-2026")</f>
        <v/>
      </c>
      <c r="W178">
        <f>HYPERLINK("https://klasma.github.io/Logging_0380/klagomålsmail/A 25754-2026 FSC-klagomål mail.docx", "A 25754-2026")</f>
        <v/>
      </c>
      <c r="X178">
        <f>HYPERLINK("https://klasma.github.io/Logging_0380/tillsyn/A 25754-2026 tillsynsbegäran.docx", "A 25754-2026")</f>
        <v/>
      </c>
      <c r="Y178">
        <f>HYPERLINK("https://klasma.github.io/Logging_0380/tillsynsmail/A 25754-2026 tillsynsbegäran mail.docx", "A 25754-2026")</f>
        <v/>
      </c>
    </row>
    <row r="179" ht="15" customHeight="1">
      <c r="A179" t="inlineStr">
        <is>
          <t>A 59996-2024</t>
        </is>
      </c>
      <c r="B179" s="1" t="n">
        <v>45642</v>
      </c>
      <c r="C179" s="1" t="n">
        <v>46195</v>
      </c>
      <c r="D179" t="inlineStr">
        <is>
          <t>UPPSALA LÄN</t>
        </is>
      </c>
      <c r="E179" t="inlineStr">
        <is>
          <t>UPPSALA</t>
        </is>
      </c>
      <c r="F179" t="inlineStr">
        <is>
          <t>Bergvik skog väst AB</t>
        </is>
      </c>
      <c r="G179" t="n">
        <v>14.5</v>
      </c>
      <c r="H179" t="n">
        <v>0</v>
      </c>
      <c r="I179" t="n">
        <v>0</v>
      </c>
      <c r="J179" t="n">
        <v>0</v>
      </c>
      <c r="K179" t="n">
        <v>1</v>
      </c>
      <c r="L179" t="n">
        <v>0</v>
      </c>
      <c r="M179" t="n">
        <v>0</v>
      </c>
      <c r="N179" t="n">
        <v>0</v>
      </c>
      <c r="O179" t="n">
        <v>1</v>
      </c>
      <c r="P179" t="n">
        <v>1</v>
      </c>
      <c r="Q179" t="n">
        <v>1</v>
      </c>
      <c r="R179" s="2" t="inlineStr">
        <is>
          <t>Brunfläckig pärlemorfjäril</t>
        </is>
      </c>
      <c r="S179">
        <f>HYPERLINK("https://klasma.github.io/Logging_0380/artfynd/A 59996-2024 artfynd.xlsx", "A 59996-2024")</f>
        <v/>
      </c>
      <c r="T179">
        <f>HYPERLINK("https://klasma.github.io/Logging_0380/kartor/A 59996-2024 karta.png", "A 59996-2024")</f>
        <v/>
      </c>
      <c r="V179">
        <f>HYPERLINK("https://klasma.github.io/Logging_0380/klagomål/A 59996-2024 FSC-klagomål.docx", "A 59996-2024")</f>
        <v/>
      </c>
      <c r="W179">
        <f>HYPERLINK("https://klasma.github.io/Logging_0380/klagomålsmail/A 59996-2024 FSC-klagomål mail.docx", "A 59996-2024")</f>
        <v/>
      </c>
      <c r="X179">
        <f>HYPERLINK("https://klasma.github.io/Logging_0380/tillsyn/A 59996-2024 tillsynsbegäran.docx", "A 59996-2024")</f>
        <v/>
      </c>
      <c r="Y179">
        <f>HYPERLINK("https://klasma.github.io/Logging_0380/tillsynsmail/A 59996-2024 tillsynsbegäran mail.docx", "A 59996-2024")</f>
        <v/>
      </c>
    </row>
    <row r="180" ht="15" customHeight="1">
      <c r="A180" t="inlineStr">
        <is>
          <t>A 37162-2021</t>
        </is>
      </c>
      <c r="B180" s="1" t="n">
        <v>44395</v>
      </c>
      <c r="C180" s="1" t="n">
        <v>46195</v>
      </c>
      <c r="D180" t="inlineStr">
        <is>
          <t>UPPSALA LÄN</t>
        </is>
      </c>
      <c r="E180" t="inlineStr">
        <is>
          <t>UPPSALA</t>
        </is>
      </c>
      <c r="G180" t="n">
        <v>3.5</v>
      </c>
      <c r="H180" t="n">
        <v>0</v>
      </c>
      <c r="I180" t="n">
        <v>0</v>
      </c>
      <c r="J180" t="n">
        <v>0</v>
      </c>
      <c r="K180" t="n">
        <v>1</v>
      </c>
      <c r="L180" t="n">
        <v>0</v>
      </c>
      <c r="M180" t="n">
        <v>0</v>
      </c>
      <c r="N180" t="n">
        <v>0</v>
      </c>
      <c r="O180" t="n">
        <v>1</v>
      </c>
      <c r="P180" t="n">
        <v>1</v>
      </c>
      <c r="Q180" t="n">
        <v>1</v>
      </c>
      <c r="R180" s="2" t="inlineStr">
        <is>
          <t>Igelkott</t>
        </is>
      </c>
      <c r="S180">
        <f>HYPERLINK("https://klasma.github.io/Logging_0380/artfynd/A 37162-2021 artfynd.xlsx", "A 37162-2021")</f>
        <v/>
      </c>
      <c r="T180">
        <f>HYPERLINK("https://klasma.github.io/Logging_0380/kartor/A 37162-2021 karta.png", "A 37162-2021")</f>
        <v/>
      </c>
      <c r="V180">
        <f>HYPERLINK("https://klasma.github.io/Logging_0380/klagomål/A 37162-2021 FSC-klagomål.docx", "A 37162-2021")</f>
        <v/>
      </c>
      <c r="W180">
        <f>HYPERLINK("https://klasma.github.io/Logging_0380/klagomålsmail/A 37162-2021 FSC-klagomål mail.docx", "A 37162-2021")</f>
        <v/>
      </c>
      <c r="X180">
        <f>HYPERLINK("https://klasma.github.io/Logging_0380/tillsyn/A 37162-2021 tillsynsbegäran.docx", "A 37162-2021")</f>
        <v/>
      </c>
      <c r="Y180">
        <f>HYPERLINK("https://klasma.github.io/Logging_0380/tillsynsmail/A 37162-2021 tillsynsbegäran mail.docx", "A 37162-2021")</f>
        <v/>
      </c>
    </row>
    <row r="181" ht="15" customHeight="1">
      <c r="A181" t="inlineStr">
        <is>
          <t>A 3260-2022</t>
        </is>
      </c>
      <c r="B181" s="1" t="n">
        <v>44583</v>
      </c>
      <c r="C181" s="1" t="n">
        <v>46195</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46195</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46195</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65811-2021</t>
        </is>
      </c>
      <c r="B184" s="1" t="n">
        <v>44517</v>
      </c>
      <c r="C184" s="1" t="n">
        <v>46195</v>
      </c>
      <c r="D184" t="inlineStr">
        <is>
          <t>UPPSALA LÄN</t>
        </is>
      </c>
      <c r="E184" t="inlineStr">
        <is>
          <t>UPPSALA</t>
        </is>
      </c>
      <c r="G184" t="n">
        <v>0.3</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46195</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46195</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46195</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46195</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46195</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46195</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46195</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752-2022</t>
        </is>
      </c>
      <c r="B192" s="1" t="n">
        <v>44569</v>
      </c>
      <c r="C192" s="1" t="n">
        <v>46195</v>
      </c>
      <c r="D192" t="inlineStr">
        <is>
          <t>UPPSALA LÄN</t>
        </is>
      </c>
      <c r="E192" t="inlineStr">
        <is>
          <t>UPPSALA</t>
        </is>
      </c>
      <c r="F192" t="inlineStr">
        <is>
          <t>Holmen skog AB</t>
        </is>
      </c>
      <c r="G192" t="n">
        <v>1</v>
      </c>
      <c r="H192" t="n">
        <v>0</v>
      </c>
      <c r="I192" t="n">
        <v>0</v>
      </c>
      <c r="J192" t="n">
        <v>0</v>
      </c>
      <c r="K192" t="n">
        <v>0</v>
      </c>
      <c r="L192" t="n">
        <v>0</v>
      </c>
      <c r="M192" t="n">
        <v>0</v>
      </c>
      <c r="N192" t="n">
        <v>0</v>
      </c>
      <c r="O192" t="n">
        <v>0</v>
      </c>
      <c r="P192" t="n">
        <v>0</v>
      </c>
      <c r="Q192" t="n">
        <v>0</v>
      </c>
      <c r="R192" s="2" t="inlineStr"/>
    </row>
    <row r="193" ht="15" customHeight="1">
      <c r="A193" t="inlineStr">
        <is>
          <t>A 57890-2021</t>
        </is>
      </c>
      <c r="B193" s="1" t="n">
        <v>44486</v>
      </c>
      <c r="C193" s="1" t="n">
        <v>46195</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15583-2022</t>
        </is>
      </c>
      <c r="B194" s="1" t="n">
        <v>44662</v>
      </c>
      <c r="C194" s="1" t="n">
        <v>46195</v>
      </c>
      <c r="D194" t="inlineStr">
        <is>
          <t>UPPSALA LÄN</t>
        </is>
      </c>
      <c r="E194" t="inlineStr">
        <is>
          <t>UPPSALA</t>
        </is>
      </c>
      <c r="F194" t="inlineStr">
        <is>
          <t>Övriga Aktiebolag</t>
        </is>
      </c>
      <c r="G194" t="n">
        <v>4.3</v>
      </c>
      <c r="H194" t="n">
        <v>0</v>
      </c>
      <c r="I194" t="n">
        <v>0</v>
      </c>
      <c r="J194" t="n">
        <v>0</v>
      </c>
      <c r="K194" t="n">
        <v>0</v>
      </c>
      <c r="L194" t="n">
        <v>0</v>
      </c>
      <c r="M194" t="n">
        <v>0</v>
      </c>
      <c r="N194" t="n">
        <v>0</v>
      </c>
      <c r="O194" t="n">
        <v>0</v>
      </c>
      <c r="P194" t="n">
        <v>0</v>
      </c>
      <c r="Q194" t="n">
        <v>0</v>
      </c>
      <c r="R194" s="2" t="inlineStr"/>
    </row>
    <row r="195" ht="15" customHeight="1">
      <c r="A195" t="inlineStr">
        <is>
          <t>A 15436-2022</t>
        </is>
      </c>
      <c r="B195" s="1" t="n">
        <v>44659</v>
      </c>
      <c r="C195" s="1" t="n">
        <v>46195</v>
      </c>
      <c r="D195" t="inlineStr">
        <is>
          <t>UPPSALA LÄN</t>
        </is>
      </c>
      <c r="E195" t="inlineStr">
        <is>
          <t>UPPSALA</t>
        </is>
      </c>
      <c r="G195" t="n">
        <v>14.4</v>
      </c>
      <c r="H195" t="n">
        <v>0</v>
      </c>
      <c r="I195" t="n">
        <v>0</v>
      </c>
      <c r="J195" t="n">
        <v>0</v>
      </c>
      <c r="K195" t="n">
        <v>0</v>
      </c>
      <c r="L195" t="n">
        <v>0</v>
      </c>
      <c r="M195" t="n">
        <v>0</v>
      </c>
      <c r="N195" t="n">
        <v>0</v>
      </c>
      <c r="O195" t="n">
        <v>0</v>
      </c>
      <c r="P195" t="n">
        <v>0</v>
      </c>
      <c r="Q195" t="n">
        <v>0</v>
      </c>
      <c r="R195" s="2" t="inlineStr"/>
    </row>
    <row r="196" ht="15" customHeight="1">
      <c r="A196" t="inlineStr">
        <is>
          <t>A 59881-2021</t>
        </is>
      </c>
      <c r="B196" s="1" t="n">
        <v>44494</v>
      </c>
      <c r="C196" s="1" t="n">
        <v>46195</v>
      </c>
      <c r="D196" t="inlineStr">
        <is>
          <t>UPPSALA LÄN</t>
        </is>
      </c>
      <c r="E196" t="inlineStr">
        <is>
          <t>UPPSALA</t>
        </is>
      </c>
      <c r="F196" t="inlineStr">
        <is>
          <t>Allmännings- och besparingsskogar</t>
        </is>
      </c>
      <c r="G196" t="n">
        <v>1.6</v>
      </c>
      <c r="H196" t="n">
        <v>0</v>
      </c>
      <c r="I196" t="n">
        <v>0</v>
      </c>
      <c r="J196" t="n">
        <v>0</v>
      </c>
      <c r="K196" t="n">
        <v>0</v>
      </c>
      <c r="L196" t="n">
        <v>0</v>
      </c>
      <c r="M196" t="n">
        <v>0</v>
      </c>
      <c r="N196" t="n">
        <v>0</v>
      </c>
      <c r="O196" t="n">
        <v>0</v>
      </c>
      <c r="P196" t="n">
        <v>0</v>
      </c>
      <c r="Q196" t="n">
        <v>0</v>
      </c>
      <c r="R196" s="2" t="inlineStr"/>
    </row>
    <row r="197" ht="15" customHeight="1">
      <c r="A197" t="inlineStr">
        <is>
          <t>A 1148-2022</t>
        </is>
      </c>
      <c r="B197" s="1" t="n">
        <v>44572</v>
      </c>
      <c r="C197" s="1" t="n">
        <v>46195</v>
      </c>
      <c r="D197" t="inlineStr">
        <is>
          <t>UPPSALA LÄN</t>
        </is>
      </c>
      <c r="E197" t="inlineStr">
        <is>
          <t>UPPSALA</t>
        </is>
      </c>
      <c r="F197" t="inlineStr">
        <is>
          <t>Kyrkan</t>
        </is>
      </c>
      <c r="G197" t="n">
        <v>0.5</v>
      </c>
      <c r="H197" t="n">
        <v>0</v>
      </c>
      <c r="I197" t="n">
        <v>0</v>
      </c>
      <c r="J197" t="n">
        <v>0</v>
      </c>
      <c r="K197" t="n">
        <v>0</v>
      </c>
      <c r="L197" t="n">
        <v>0</v>
      </c>
      <c r="M197" t="n">
        <v>0</v>
      </c>
      <c r="N197" t="n">
        <v>0</v>
      </c>
      <c r="O197" t="n">
        <v>0</v>
      </c>
      <c r="P197" t="n">
        <v>0</v>
      </c>
      <c r="Q197" t="n">
        <v>0</v>
      </c>
      <c r="R197" s="2" t="inlineStr"/>
    </row>
    <row r="198" ht="15" customHeight="1">
      <c r="A198" t="inlineStr">
        <is>
          <t>A 7124-2022</t>
        </is>
      </c>
      <c r="B198" s="1" t="n">
        <v>44603</v>
      </c>
      <c r="C198" s="1" t="n">
        <v>46195</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46195</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44265-2022</t>
        </is>
      </c>
      <c r="B200" s="1" t="n">
        <v>44839</v>
      </c>
      <c r="C200" s="1" t="n">
        <v>46195</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32954-2022</t>
        </is>
      </c>
      <c r="B201" s="1" t="n">
        <v>44784</v>
      </c>
      <c r="C201" s="1" t="n">
        <v>46195</v>
      </c>
      <c r="D201" t="inlineStr">
        <is>
          <t>UPPSALA LÄN</t>
        </is>
      </c>
      <c r="E201" t="inlineStr">
        <is>
          <t>UPPSALA</t>
        </is>
      </c>
      <c r="G201" t="n">
        <v>2.6</v>
      </c>
      <c r="H201" t="n">
        <v>0</v>
      </c>
      <c r="I201" t="n">
        <v>0</v>
      </c>
      <c r="J201" t="n">
        <v>0</v>
      </c>
      <c r="K201" t="n">
        <v>0</v>
      </c>
      <c r="L201" t="n">
        <v>0</v>
      </c>
      <c r="M201" t="n">
        <v>0</v>
      </c>
      <c r="N201" t="n">
        <v>0</v>
      </c>
      <c r="O201" t="n">
        <v>0</v>
      </c>
      <c r="P201" t="n">
        <v>0</v>
      </c>
      <c r="Q201" t="n">
        <v>0</v>
      </c>
      <c r="R201" s="2" t="inlineStr"/>
    </row>
    <row r="202" ht="15" customHeight="1">
      <c r="A202" t="inlineStr">
        <is>
          <t>A 8451-2022</t>
        </is>
      </c>
      <c r="B202" s="1" t="n">
        <v>44612</v>
      </c>
      <c r="C202" s="1" t="n">
        <v>46195</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46195</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54732-2022</t>
        </is>
      </c>
      <c r="B204" s="1" t="n">
        <v>44883</v>
      </c>
      <c r="C204" s="1" t="n">
        <v>46195</v>
      </c>
      <c r="D204" t="inlineStr">
        <is>
          <t>UPPSALA LÄN</t>
        </is>
      </c>
      <c r="E204" t="inlineStr">
        <is>
          <t>UPPSALA</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46195</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46195</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46195</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46195</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46195</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46195</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46195</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46195</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46195</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46195</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46195</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23713-2022</t>
        </is>
      </c>
      <c r="B216" s="1" t="n">
        <v>44722</v>
      </c>
      <c r="C216" s="1" t="n">
        <v>46195</v>
      </c>
      <c r="D216" t="inlineStr">
        <is>
          <t>UPPSALA LÄN</t>
        </is>
      </c>
      <c r="E216" t="inlineStr">
        <is>
          <t>UPPSALA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21387-2022</t>
        </is>
      </c>
      <c r="B217" s="1" t="n">
        <v>44705</v>
      </c>
      <c r="C217" s="1" t="n">
        <v>46195</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21391-2022</t>
        </is>
      </c>
      <c r="B218" s="1" t="n">
        <v>44705</v>
      </c>
      <c r="C218" s="1" t="n">
        <v>46195</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46195</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46195</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51821-2021</t>
        </is>
      </c>
      <c r="B221" s="1" t="n">
        <v>44461</v>
      </c>
      <c r="C221" s="1" t="n">
        <v>46195</v>
      </c>
      <c r="D221" t="inlineStr">
        <is>
          <t>UPPSALA LÄN</t>
        </is>
      </c>
      <c r="E221" t="inlineStr">
        <is>
          <t>UPPSALA</t>
        </is>
      </c>
      <c r="F221" t="inlineStr">
        <is>
          <t>Övriga Aktiebolag</t>
        </is>
      </c>
      <c r="G221" t="n">
        <v>5.3</v>
      </c>
      <c r="H221" t="n">
        <v>0</v>
      </c>
      <c r="I221" t="n">
        <v>0</v>
      </c>
      <c r="J221" t="n">
        <v>0</v>
      </c>
      <c r="K221" t="n">
        <v>0</v>
      </c>
      <c r="L221" t="n">
        <v>0</v>
      </c>
      <c r="M221" t="n">
        <v>0</v>
      </c>
      <c r="N221" t="n">
        <v>0</v>
      </c>
      <c r="O221" t="n">
        <v>0</v>
      </c>
      <c r="P221" t="n">
        <v>0</v>
      </c>
      <c r="Q221" t="n">
        <v>0</v>
      </c>
      <c r="R221" s="2" t="inlineStr"/>
    </row>
    <row r="222" ht="15" customHeight="1">
      <c r="A222" t="inlineStr">
        <is>
          <t>A 33920-2021</t>
        </is>
      </c>
      <c r="B222" s="1" t="n">
        <v>44378</v>
      </c>
      <c r="C222" s="1" t="n">
        <v>46195</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29134-2022</t>
        </is>
      </c>
      <c r="B223" s="1" t="n">
        <v>44750</v>
      </c>
      <c r="C223" s="1" t="n">
        <v>46195</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13009-2022</t>
        </is>
      </c>
      <c r="B224" s="1" t="n">
        <v>44643</v>
      </c>
      <c r="C224" s="1" t="n">
        <v>46195</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46195</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62865-2021</t>
        </is>
      </c>
      <c r="B226" s="1" t="n">
        <v>44504</v>
      </c>
      <c r="C226" s="1" t="n">
        <v>46195</v>
      </c>
      <c r="D226" t="inlineStr">
        <is>
          <t>UPPSALA LÄN</t>
        </is>
      </c>
      <c r="E226" t="inlineStr">
        <is>
          <t>UPPSALA</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46195</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46195</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46195</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v>
      </c>
      <c r="C230" s="1" t="n">
        <v>46195</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v>
      </c>
      <c r="C231" s="1" t="n">
        <v>46195</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v>
      </c>
      <c r="C232" s="1" t="n">
        <v>46195</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v>
      </c>
      <c r="C233" s="1" t="n">
        <v>46195</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46195</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46195</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31646-2021</t>
        </is>
      </c>
      <c r="B236" s="1" t="n">
        <v>44369</v>
      </c>
      <c r="C236" s="1" t="n">
        <v>46195</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20980-2022</t>
        </is>
      </c>
      <c r="B237" s="1" t="n">
        <v>44702</v>
      </c>
      <c r="C237" s="1" t="n">
        <v>46195</v>
      </c>
      <c r="D237" t="inlineStr">
        <is>
          <t>UPPSALA LÄN</t>
        </is>
      </c>
      <c r="E237" t="inlineStr">
        <is>
          <t>UPPSALA</t>
        </is>
      </c>
      <c r="G237" t="n">
        <v>0.8</v>
      </c>
      <c r="H237" t="n">
        <v>0</v>
      </c>
      <c r="I237" t="n">
        <v>0</v>
      </c>
      <c r="J237" t="n">
        <v>0</v>
      </c>
      <c r="K237" t="n">
        <v>0</v>
      </c>
      <c r="L237" t="n">
        <v>0</v>
      </c>
      <c r="M237" t="n">
        <v>0</v>
      </c>
      <c r="N237" t="n">
        <v>0</v>
      </c>
      <c r="O237" t="n">
        <v>0</v>
      </c>
      <c r="P237" t="n">
        <v>0</v>
      </c>
      <c r="Q237" t="n">
        <v>0</v>
      </c>
      <c r="R237" s="2" t="inlineStr"/>
    </row>
    <row r="238" ht="15" customHeight="1">
      <c r="A238" t="inlineStr">
        <is>
          <t>A 46097-2021</t>
        </is>
      </c>
      <c r="B238" s="1" t="n">
        <v>44442</v>
      </c>
      <c r="C238" s="1" t="n">
        <v>46195</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46099-2021</t>
        </is>
      </c>
      <c r="B239" s="1" t="n">
        <v>44442</v>
      </c>
      <c r="C239" s="1" t="n">
        <v>46195</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73468-2021</t>
        </is>
      </c>
      <c r="B240" s="1" t="n">
        <v>44551</v>
      </c>
      <c r="C240" s="1" t="n">
        <v>46195</v>
      </c>
      <c r="D240" t="inlineStr">
        <is>
          <t>UPPSALA LÄN</t>
        </is>
      </c>
      <c r="E240" t="inlineStr">
        <is>
          <t>UPPSALA</t>
        </is>
      </c>
      <c r="G240" t="n">
        <v>0.7</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46195</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874-2022</t>
        </is>
      </c>
      <c r="B242" s="1" t="n">
        <v>44571</v>
      </c>
      <c r="C242" s="1" t="n">
        <v>46195</v>
      </c>
      <c r="D242" t="inlineStr">
        <is>
          <t>UPPSALA LÄN</t>
        </is>
      </c>
      <c r="E242" t="inlineStr">
        <is>
          <t>UPPSALA</t>
        </is>
      </c>
      <c r="G242" t="n">
        <v>7.2</v>
      </c>
      <c r="H242" t="n">
        <v>0</v>
      </c>
      <c r="I242" t="n">
        <v>0</v>
      </c>
      <c r="J242" t="n">
        <v>0</v>
      </c>
      <c r="K242" t="n">
        <v>0</v>
      </c>
      <c r="L242" t="n">
        <v>0</v>
      </c>
      <c r="M242" t="n">
        <v>0</v>
      </c>
      <c r="N242" t="n">
        <v>0</v>
      </c>
      <c r="O242" t="n">
        <v>0</v>
      </c>
      <c r="P242" t="n">
        <v>0</v>
      </c>
      <c r="Q242" t="n">
        <v>0</v>
      </c>
      <c r="R242" s="2" t="inlineStr"/>
    </row>
    <row r="243" ht="15" customHeight="1">
      <c r="A243" t="inlineStr">
        <is>
          <t>A 51050-2021</t>
        </is>
      </c>
      <c r="B243" s="1" t="n">
        <v>44459</v>
      </c>
      <c r="C243" s="1" t="n">
        <v>46195</v>
      </c>
      <c r="D243" t="inlineStr">
        <is>
          <t>UPPSALA LÄN</t>
        </is>
      </c>
      <c r="E243" t="inlineStr">
        <is>
          <t>UPPSALA</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5028-2022</t>
        </is>
      </c>
      <c r="B244" s="1" t="n">
        <v>44593</v>
      </c>
      <c r="C244" s="1" t="n">
        <v>46195</v>
      </c>
      <c r="D244" t="inlineStr">
        <is>
          <t>UPPSALA LÄN</t>
        </is>
      </c>
      <c r="E244" t="inlineStr">
        <is>
          <t>UPPSALA</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179-2023</t>
        </is>
      </c>
      <c r="B245" s="1" t="n">
        <v>44928</v>
      </c>
      <c r="C245" s="1" t="n">
        <v>46195</v>
      </c>
      <c r="D245" t="inlineStr">
        <is>
          <t>UPPSALA LÄN</t>
        </is>
      </c>
      <c r="E245" t="inlineStr">
        <is>
          <t>UPPSALA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46293-2022</t>
        </is>
      </c>
      <c r="B246" s="1" t="n">
        <v>44847</v>
      </c>
      <c r="C246" s="1" t="n">
        <v>46195</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9398-2023</t>
        </is>
      </c>
      <c r="B247" s="1" t="n">
        <v>44977</v>
      </c>
      <c r="C247" s="1" t="n">
        <v>46195</v>
      </c>
      <c r="D247" t="inlineStr">
        <is>
          <t>UPPSALA LÄN</t>
        </is>
      </c>
      <c r="E247" t="inlineStr">
        <is>
          <t>UPPSALA</t>
        </is>
      </c>
      <c r="G247" t="n">
        <v>5.1</v>
      </c>
      <c r="H247" t="n">
        <v>0</v>
      </c>
      <c r="I247" t="n">
        <v>0</v>
      </c>
      <c r="J247" t="n">
        <v>0</v>
      </c>
      <c r="K247" t="n">
        <v>0</v>
      </c>
      <c r="L247" t="n">
        <v>0</v>
      </c>
      <c r="M247" t="n">
        <v>0</v>
      </c>
      <c r="N247" t="n">
        <v>0</v>
      </c>
      <c r="O247" t="n">
        <v>0</v>
      </c>
      <c r="P247" t="n">
        <v>0</v>
      </c>
      <c r="Q247" t="n">
        <v>0</v>
      </c>
      <c r="R247" s="2" t="inlineStr"/>
    </row>
    <row r="248" ht="15" customHeight="1">
      <c r="A248" t="inlineStr">
        <is>
          <t>A 11693-2022</t>
        </is>
      </c>
      <c r="B248" s="1" t="n">
        <v>44634</v>
      </c>
      <c r="C248" s="1" t="n">
        <v>46195</v>
      </c>
      <c r="D248" t="inlineStr">
        <is>
          <t>UPPSALA LÄN</t>
        </is>
      </c>
      <c r="E248" t="inlineStr">
        <is>
          <t>UPPSALA</t>
        </is>
      </c>
      <c r="G248" t="n">
        <v>4</v>
      </c>
      <c r="H248" t="n">
        <v>0</v>
      </c>
      <c r="I248" t="n">
        <v>0</v>
      </c>
      <c r="J248" t="n">
        <v>0</v>
      </c>
      <c r="K248" t="n">
        <v>0</v>
      </c>
      <c r="L248" t="n">
        <v>0</v>
      </c>
      <c r="M248" t="n">
        <v>0</v>
      </c>
      <c r="N248" t="n">
        <v>0</v>
      </c>
      <c r="O248" t="n">
        <v>0</v>
      </c>
      <c r="P248" t="n">
        <v>0</v>
      </c>
      <c r="Q248" t="n">
        <v>0</v>
      </c>
      <c r="R248" s="2" t="inlineStr"/>
    </row>
    <row r="249" ht="15" customHeight="1">
      <c r="A249" t="inlineStr">
        <is>
          <t>A 29277-2022</t>
        </is>
      </c>
      <c r="B249" s="1" t="n">
        <v>44750</v>
      </c>
      <c r="C249" s="1" t="n">
        <v>46195</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39795-2022</t>
        </is>
      </c>
      <c r="B250" s="1" t="n">
        <v>44819</v>
      </c>
      <c r="C250" s="1" t="n">
        <v>46195</v>
      </c>
      <c r="D250" t="inlineStr">
        <is>
          <t>UPPSALA LÄN</t>
        </is>
      </c>
      <c r="E250" t="inlineStr">
        <is>
          <t>UPPSALA</t>
        </is>
      </c>
      <c r="F250" t="inlineStr">
        <is>
          <t>Övriga Aktiebolag</t>
        </is>
      </c>
      <c r="G250" t="n">
        <v>3.5</v>
      </c>
      <c r="H250" t="n">
        <v>0</v>
      </c>
      <c r="I250" t="n">
        <v>0</v>
      </c>
      <c r="J250" t="n">
        <v>0</v>
      </c>
      <c r="K250" t="n">
        <v>0</v>
      </c>
      <c r="L250" t="n">
        <v>0</v>
      </c>
      <c r="M250" t="n">
        <v>0</v>
      </c>
      <c r="N250" t="n">
        <v>0</v>
      </c>
      <c r="O250" t="n">
        <v>0</v>
      </c>
      <c r="P250" t="n">
        <v>0</v>
      </c>
      <c r="Q250" t="n">
        <v>0</v>
      </c>
      <c r="R250" s="2" t="inlineStr"/>
    </row>
    <row r="251" ht="15" customHeight="1">
      <c r="A251" t="inlineStr">
        <is>
          <t>A 18330-2022</t>
        </is>
      </c>
      <c r="B251" s="1" t="n">
        <v>44685</v>
      </c>
      <c r="C251" s="1" t="n">
        <v>46195</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9206-2022</t>
        </is>
      </c>
      <c r="B252" s="1" t="n">
        <v>44616</v>
      </c>
      <c r="C252" s="1" t="n">
        <v>46195</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10674-2022</t>
        </is>
      </c>
      <c r="B253" s="1" t="n">
        <v>44624</v>
      </c>
      <c r="C253" s="1" t="n">
        <v>46195</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54924-2024</t>
        </is>
      </c>
      <c r="B254" s="1" t="n">
        <v>45618</v>
      </c>
      <c r="C254" s="1" t="n">
        <v>46195</v>
      </c>
      <c r="D254" t="inlineStr">
        <is>
          <t>UPPSALA LÄN</t>
        </is>
      </c>
      <c r="E254" t="inlineStr">
        <is>
          <t>UPPSALA</t>
        </is>
      </c>
      <c r="G254" t="n">
        <v>2.4</v>
      </c>
      <c r="H254" t="n">
        <v>0</v>
      </c>
      <c r="I254" t="n">
        <v>0</v>
      </c>
      <c r="J254" t="n">
        <v>0</v>
      </c>
      <c r="K254" t="n">
        <v>0</v>
      </c>
      <c r="L254" t="n">
        <v>0</v>
      </c>
      <c r="M254" t="n">
        <v>0</v>
      </c>
      <c r="N254" t="n">
        <v>0</v>
      </c>
      <c r="O254" t="n">
        <v>0</v>
      </c>
      <c r="P254" t="n">
        <v>0</v>
      </c>
      <c r="Q254" t="n">
        <v>0</v>
      </c>
      <c r="R254" s="2" t="inlineStr"/>
    </row>
    <row r="255" ht="15" customHeight="1">
      <c r="A255" t="inlineStr">
        <is>
          <t>A 12293-2022</t>
        </is>
      </c>
      <c r="B255" s="1" t="n">
        <v>44637</v>
      </c>
      <c r="C255" s="1" t="n">
        <v>46195</v>
      </c>
      <c r="D255" t="inlineStr">
        <is>
          <t>UPPSALA LÄN</t>
        </is>
      </c>
      <c r="E255" t="inlineStr">
        <is>
          <t>UPPSALA</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74495-2021</t>
        </is>
      </c>
      <c r="B256" s="1" t="n">
        <v>44560</v>
      </c>
      <c r="C256" s="1" t="n">
        <v>46195</v>
      </c>
      <c r="D256" t="inlineStr">
        <is>
          <t>UPPSALA LÄN</t>
        </is>
      </c>
      <c r="E256" t="inlineStr">
        <is>
          <t>UPPSALA</t>
        </is>
      </c>
      <c r="G256" t="n">
        <v>1.9</v>
      </c>
      <c r="H256" t="n">
        <v>0</v>
      </c>
      <c r="I256" t="n">
        <v>0</v>
      </c>
      <c r="J256" t="n">
        <v>0</v>
      </c>
      <c r="K256" t="n">
        <v>0</v>
      </c>
      <c r="L256" t="n">
        <v>0</v>
      </c>
      <c r="M256" t="n">
        <v>0</v>
      </c>
      <c r="N256" t="n">
        <v>0</v>
      </c>
      <c r="O256" t="n">
        <v>0</v>
      </c>
      <c r="P256" t="n">
        <v>0</v>
      </c>
      <c r="Q256" t="n">
        <v>0</v>
      </c>
      <c r="R256" s="2" t="inlineStr"/>
    </row>
    <row r="257" ht="15" customHeight="1">
      <c r="A257" t="inlineStr">
        <is>
          <t>A 25745-2022</t>
        </is>
      </c>
      <c r="B257" s="1" t="n">
        <v>44733</v>
      </c>
      <c r="C257" s="1" t="n">
        <v>46195</v>
      </c>
      <c r="D257" t="inlineStr">
        <is>
          <t>UPPSALA LÄN</t>
        </is>
      </c>
      <c r="E257" t="inlineStr">
        <is>
          <t>UPPSALA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22021-2022</t>
        </is>
      </c>
      <c r="B258" s="1" t="n">
        <v>44711</v>
      </c>
      <c r="C258" s="1" t="n">
        <v>46195</v>
      </c>
      <c r="D258" t="inlineStr">
        <is>
          <t>UPPSALA LÄN</t>
        </is>
      </c>
      <c r="E258" t="inlineStr">
        <is>
          <t>UPPSALA</t>
        </is>
      </c>
      <c r="F258" t="inlineStr">
        <is>
          <t>Allmännings- och besparingsskogar</t>
        </is>
      </c>
      <c r="G258" t="n">
        <v>2.1</v>
      </c>
      <c r="H258" t="n">
        <v>0</v>
      </c>
      <c r="I258" t="n">
        <v>0</v>
      </c>
      <c r="J258" t="n">
        <v>0</v>
      </c>
      <c r="K258" t="n">
        <v>0</v>
      </c>
      <c r="L258" t="n">
        <v>0</v>
      </c>
      <c r="M258" t="n">
        <v>0</v>
      </c>
      <c r="N258" t="n">
        <v>0</v>
      </c>
      <c r="O258" t="n">
        <v>0</v>
      </c>
      <c r="P258" t="n">
        <v>0</v>
      </c>
      <c r="Q258" t="n">
        <v>0</v>
      </c>
      <c r="R258" s="2" t="inlineStr"/>
    </row>
    <row r="259" ht="15" customHeight="1">
      <c r="A259" t="inlineStr">
        <is>
          <t>A 6408-2022</t>
        </is>
      </c>
      <c r="B259" s="1" t="n">
        <v>44600</v>
      </c>
      <c r="C259" s="1" t="n">
        <v>46195</v>
      </c>
      <c r="D259" t="inlineStr">
        <is>
          <t>UPPSALA LÄN</t>
        </is>
      </c>
      <c r="E259" t="inlineStr">
        <is>
          <t>UPPSALA</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10383-2022</t>
        </is>
      </c>
      <c r="B260" s="1" t="n">
        <v>44623</v>
      </c>
      <c r="C260" s="1" t="n">
        <v>46195</v>
      </c>
      <c r="D260" t="inlineStr">
        <is>
          <t>UPPSALA LÄN</t>
        </is>
      </c>
      <c r="E260" t="inlineStr">
        <is>
          <t>UPPSALA</t>
        </is>
      </c>
      <c r="F260" t="inlineStr">
        <is>
          <t>Övriga Aktiebolag</t>
        </is>
      </c>
      <c r="G260" t="n">
        <v>2.8</v>
      </c>
      <c r="H260" t="n">
        <v>0</v>
      </c>
      <c r="I260" t="n">
        <v>0</v>
      </c>
      <c r="J260" t="n">
        <v>0</v>
      </c>
      <c r="K260" t="n">
        <v>0</v>
      </c>
      <c r="L260" t="n">
        <v>0</v>
      </c>
      <c r="M260" t="n">
        <v>0</v>
      </c>
      <c r="N260" t="n">
        <v>0</v>
      </c>
      <c r="O260" t="n">
        <v>0</v>
      </c>
      <c r="P260" t="n">
        <v>0</v>
      </c>
      <c r="Q260" t="n">
        <v>0</v>
      </c>
      <c r="R260" s="2" t="inlineStr"/>
    </row>
    <row r="261" ht="15" customHeight="1">
      <c r="A261" t="inlineStr">
        <is>
          <t>A 10456-2022</t>
        </is>
      </c>
      <c r="B261" s="1" t="n">
        <v>44623</v>
      </c>
      <c r="C261" s="1" t="n">
        <v>46195</v>
      </c>
      <c r="D261" t="inlineStr">
        <is>
          <t>UPPSALA LÄN</t>
        </is>
      </c>
      <c r="E261" t="inlineStr">
        <is>
          <t>UPPSALA</t>
        </is>
      </c>
      <c r="F261" t="inlineStr">
        <is>
          <t>Övriga Aktiebolag</t>
        </is>
      </c>
      <c r="G261" t="n">
        <v>12.6</v>
      </c>
      <c r="H261" t="n">
        <v>0</v>
      </c>
      <c r="I261" t="n">
        <v>0</v>
      </c>
      <c r="J261" t="n">
        <v>0</v>
      </c>
      <c r="K261" t="n">
        <v>0</v>
      </c>
      <c r="L261" t="n">
        <v>0</v>
      </c>
      <c r="M261" t="n">
        <v>0</v>
      </c>
      <c r="N261" t="n">
        <v>0</v>
      </c>
      <c r="O261" t="n">
        <v>0</v>
      </c>
      <c r="P261" t="n">
        <v>0</v>
      </c>
      <c r="Q261" t="n">
        <v>0</v>
      </c>
      <c r="R261" s="2" t="inlineStr"/>
    </row>
    <row r="262" ht="15" customHeight="1">
      <c r="A262" t="inlineStr">
        <is>
          <t>A 39548-2023</t>
        </is>
      </c>
      <c r="B262" s="1" t="n">
        <v>45167</v>
      </c>
      <c r="C262" s="1" t="n">
        <v>46195</v>
      </c>
      <c r="D262" t="inlineStr">
        <is>
          <t>UPPSALA LÄN</t>
        </is>
      </c>
      <c r="E262" t="inlineStr">
        <is>
          <t>UPPSALA</t>
        </is>
      </c>
      <c r="G262" t="n">
        <v>3.4</v>
      </c>
      <c r="H262" t="n">
        <v>0</v>
      </c>
      <c r="I262" t="n">
        <v>0</v>
      </c>
      <c r="J262" t="n">
        <v>0</v>
      </c>
      <c r="K262" t="n">
        <v>0</v>
      </c>
      <c r="L262" t="n">
        <v>0</v>
      </c>
      <c r="M262" t="n">
        <v>0</v>
      </c>
      <c r="N262" t="n">
        <v>0</v>
      </c>
      <c r="O262" t="n">
        <v>0</v>
      </c>
      <c r="P262" t="n">
        <v>0</v>
      </c>
      <c r="Q262" t="n">
        <v>0</v>
      </c>
      <c r="R262" s="2" t="inlineStr"/>
    </row>
    <row r="263" ht="15" customHeight="1">
      <c r="A263" t="inlineStr">
        <is>
          <t>A 23291-2024</t>
        </is>
      </c>
      <c r="B263" s="1" t="n">
        <v>45453</v>
      </c>
      <c r="C263" s="1" t="n">
        <v>46195</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27763-2022</t>
        </is>
      </c>
      <c r="B264" s="1" t="n">
        <v>44743</v>
      </c>
      <c r="C264" s="1" t="n">
        <v>46195</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6422-2023</t>
        </is>
      </c>
      <c r="B265" s="1" t="n">
        <v>44965</v>
      </c>
      <c r="C265" s="1" t="n">
        <v>46195</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6423-2023</t>
        </is>
      </c>
      <c r="B266" s="1" t="n">
        <v>44965</v>
      </c>
      <c r="C266" s="1" t="n">
        <v>46195</v>
      </c>
      <c r="D266" t="inlineStr">
        <is>
          <t>UPPSALA LÄN</t>
        </is>
      </c>
      <c r="E266" t="inlineStr">
        <is>
          <t>UPPSALA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1994-2024</t>
        </is>
      </c>
      <c r="B267" s="1" t="n">
        <v>45308</v>
      </c>
      <c r="C267" s="1" t="n">
        <v>46195</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49682-2023</t>
        </is>
      </c>
      <c r="B268" s="1" t="n">
        <v>45212</v>
      </c>
      <c r="C268" s="1" t="n">
        <v>46195</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34114-2024</t>
        </is>
      </c>
      <c r="B269" s="1" t="n">
        <v>45524</v>
      </c>
      <c r="C269" s="1" t="n">
        <v>46195</v>
      </c>
      <c r="D269" t="inlineStr">
        <is>
          <t>UPPSALA LÄN</t>
        </is>
      </c>
      <c r="E269" t="inlineStr">
        <is>
          <t>UPPSALA</t>
        </is>
      </c>
      <c r="F269" t="inlineStr">
        <is>
          <t>Allmännings- och besparingsskogar</t>
        </is>
      </c>
      <c r="G269" t="n">
        <v>1.3</v>
      </c>
      <c r="H269" t="n">
        <v>0</v>
      </c>
      <c r="I269" t="n">
        <v>0</v>
      </c>
      <c r="J269" t="n">
        <v>0</v>
      </c>
      <c r="K269" t="n">
        <v>0</v>
      </c>
      <c r="L269" t="n">
        <v>0</v>
      </c>
      <c r="M269" t="n">
        <v>0</v>
      </c>
      <c r="N269" t="n">
        <v>0</v>
      </c>
      <c r="O269" t="n">
        <v>0</v>
      </c>
      <c r="P269" t="n">
        <v>0</v>
      </c>
      <c r="Q269" t="n">
        <v>0</v>
      </c>
      <c r="R269" s="2" t="inlineStr"/>
    </row>
    <row r="270" ht="15" customHeight="1">
      <c r="A270" t="inlineStr">
        <is>
          <t>A 55073-2022</t>
        </is>
      </c>
      <c r="B270" s="1" t="n">
        <v>44886</v>
      </c>
      <c r="C270" s="1" t="n">
        <v>46195</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7611-2023</t>
        </is>
      </c>
      <c r="B271" s="1" t="n">
        <v>44967</v>
      </c>
      <c r="C271" s="1" t="n">
        <v>46195</v>
      </c>
      <c r="D271" t="inlineStr">
        <is>
          <t>UPPSALA LÄN</t>
        </is>
      </c>
      <c r="E271" t="inlineStr">
        <is>
          <t>UPPSALA</t>
        </is>
      </c>
      <c r="G271" t="n">
        <v>3.5</v>
      </c>
      <c r="H271" t="n">
        <v>0</v>
      </c>
      <c r="I271" t="n">
        <v>0</v>
      </c>
      <c r="J271" t="n">
        <v>0</v>
      </c>
      <c r="K271" t="n">
        <v>0</v>
      </c>
      <c r="L271" t="n">
        <v>0</v>
      </c>
      <c r="M271" t="n">
        <v>0</v>
      </c>
      <c r="N271" t="n">
        <v>0</v>
      </c>
      <c r="O271" t="n">
        <v>0</v>
      </c>
      <c r="P271" t="n">
        <v>0</v>
      </c>
      <c r="Q271" t="n">
        <v>0</v>
      </c>
      <c r="R271" s="2" t="inlineStr"/>
    </row>
    <row r="272" ht="15" customHeight="1">
      <c r="A272" t="inlineStr">
        <is>
          <t>A 10411-2022</t>
        </is>
      </c>
      <c r="B272" s="1" t="n">
        <v>44623</v>
      </c>
      <c r="C272" s="1" t="n">
        <v>46195</v>
      </c>
      <c r="D272" t="inlineStr">
        <is>
          <t>UPPSALA LÄN</t>
        </is>
      </c>
      <c r="E272" t="inlineStr">
        <is>
          <t>UPPSALA</t>
        </is>
      </c>
      <c r="F272" t="inlineStr">
        <is>
          <t>Övriga Aktiebolag</t>
        </is>
      </c>
      <c r="G272" t="n">
        <v>4.2</v>
      </c>
      <c r="H272" t="n">
        <v>0</v>
      </c>
      <c r="I272" t="n">
        <v>0</v>
      </c>
      <c r="J272" t="n">
        <v>0</v>
      </c>
      <c r="K272" t="n">
        <v>0</v>
      </c>
      <c r="L272" t="n">
        <v>0</v>
      </c>
      <c r="M272" t="n">
        <v>0</v>
      </c>
      <c r="N272" t="n">
        <v>0</v>
      </c>
      <c r="O272" t="n">
        <v>0</v>
      </c>
      <c r="P272" t="n">
        <v>0</v>
      </c>
      <c r="Q272" t="n">
        <v>0</v>
      </c>
      <c r="R272" s="2" t="inlineStr"/>
    </row>
    <row r="273" ht="15" customHeight="1">
      <c r="A273" t="inlineStr">
        <is>
          <t>A 42681-2023</t>
        </is>
      </c>
      <c r="B273" s="1" t="n">
        <v>45181</v>
      </c>
      <c r="C273" s="1" t="n">
        <v>46195</v>
      </c>
      <c r="D273" t="inlineStr">
        <is>
          <t>UPPSALA LÄN</t>
        </is>
      </c>
      <c r="E273" t="inlineStr">
        <is>
          <t>UPPSALA</t>
        </is>
      </c>
      <c r="F273" t="inlineStr">
        <is>
          <t>Bergvik skog öst AB</t>
        </is>
      </c>
      <c r="G273" t="n">
        <v>3.1</v>
      </c>
      <c r="H273" t="n">
        <v>0</v>
      </c>
      <c r="I273" t="n">
        <v>0</v>
      </c>
      <c r="J273" t="n">
        <v>0</v>
      </c>
      <c r="K273" t="n">
        <v>0</v>
      </c>
      <c r="L273" t="n">
        <v>0</v>
      </c>
      <c r="M273" t="n">
        <v>0</v>
      </c>
      <c r="N273" t="n">
        <v>0</v>
      </c>
      <c r="O273" t="n">
        <v>0</v>
      </c>
      <c r="P273" t="n">
        <v>0</v>
      </c>
      <c r="Q273" t="n">
        <v>0</v>
      </c>
      <c r="R273" s="2" t="inlineStr"/>
    </row>
    <row r="274" ht="15" customHeight="1">
      <c r="A274" t="inlineStr">
        <is>
          <t>A 5989-2022</t>
        </is>
      </c>
      <c r="B274" s="1" t="n">
        <v>44599</v>
      </c>
      <c r="C274" s="1" t="n">
        <v>46195</v>
      </c>
      <c r="D274" t="inlineStr">
        <is>
          <t>UPPSALA LÄN</t>
        </is>
      </c>
      <c r="E274" t="inlineStr">
        <is>
          <t>UPPSALA</t>
        </is>
      </c>
      <c r="G274" t="n">
        <v>2.8</v>
      </c>
      <c r="H274" t="n">
        <v>0</v>
      </c>
      <c r="I274" t="n">
        <v>0</v>
      </c>
      <c r="J274" t="n">
        <v>0</v>
      </c>
      <c r="K274" t="n">
        <v>0</v>
      </c>
      <c r="L274" t="n">
        <v>0</v>
      </c>
      <c r="M274" t="n">
        <v>0</v>
      </c>
      <c r="N274" t="n">
        <v>0</v>
      </c>
      <c r="O274" t="n">
        <v>0</v>
      </c>
      <c r="P274" t="n">
        <v>0</v>
      </c>
      <c r="Q274" t="n">
        <v>0</v>
      </c>
      <c r="R274" s="2" t="inlineStr"/>
    </row>
    <row r="275" ht="15" customHeight="1">
      <c r="A275" t="inlineStr">
        <is>
          <t>A 5006-2022</t>
        </is>
      </c>
      <c r="B275" s="1" t="n">
        <v>44593</v>
      </c>
      <c r="C275" s="1" t="n">
        <v>46195</v>
      </c>
      <c r="D275" t="inlineStr">
        <is>
          <t>UPPSALA LÄN</t>
        </is>
      </c>
      <c r="E275" t="inlineStr">
        <is>
          <t>UPPSALA</t>
        </is>
      </c>
      <c r="F275" t="inlineStr">
        <is>
          <t>BillerudKorsnäs AB</t>
        </is>
      </c>
      <c r="G275" t="n">
        <v>1.4</v>
      </c>
      <c r="H275" t="n">
        <v>0</v>
      </c>
      <c r="I275" t="n">
        <v>0</v>
      </c>
      <c r="J275" t="n">
        <v>0</v>
      </c>
      <c r="K275" t="n">
        <v>0</v>
      </c>
      <c r="L275" t="n">
        <v>0</v>
      </c>
      <c r="M275" t="n">
        <v>0</v>
      </c>
      <c r="N275" t="n">
        <v>0</v>
      </c>
      <c r="O275" t="n">
        <v>0</v>
      </c>
      <c r="P275" t="n">
        <v>0</v>
      </c>
      <c r="Q275" t="n">
        <v>0</v>
      </c>
      <c r="R275" s="2" t="inlineStr"/>
    </row>
    <row r="276" ht="15" customHeight="1">
      <c r="A276" t="inlineStr">
        <is>
          <t>A 5007-2022</t>
        </is>
      </c>
      <c r="B276" s="1" t="n">
        <v>44593</v>
      </c>
      <c r="C276" s="1" t="n">
        <v>46195</v>
      </c>
      <c r="D276" t="inlineStr">
        <is>
          <t>UPPSALA LÄN</t>
        </is>
      </c>
      <c r="E276" t="inlineStr">
        <is>
          <t>UPPSALA</t>
        </is>
      </c>
      <c r="F276" t="inlineStr">
        <is>
          <t>BillerudKorsnäs AB</t>
        </is>
      </c>
      <c r="G276" t="n">
        <v>3.6</v>
      </c>
      <c r="H276" t="n">
        <v>0</v>
      </c>
      <c r="I276" t="n">
        <v>0</v>
      </c>
      <c r="J276" t="n">
        <v>0</v>
      </c>
      <c r="K276" t="n">
        <v>0</v>
      </c>
      <c r="L276" t="n">
        <v>0</v>
      </c>
      <c r="M276" t="n">
        <v>0</v>
      </c>
      <c r="N276" t="n">
        <v>0</v>
      </c>
      <c r="O276" t="n">
        <v>0</v>
      </c>
      <c r="P276" t="n">
        <v>0</v>
      </c>
      <c r="Q276" t="n">
        <v>0</v>
      </c>
      <c r="R276" s="2" t="inlineStr"/>
    </row>
    <row r="277" ht="15" customHeight="1">
      <c r="A277" t="inlineStr">
        <is>
          <t>A 20265-2022</t>
        </is>
      </c>
      <c r="B277" s="1" t="n">
        <v>44698</v>
      </c>
      <c r="C277" s="1" t="n">
        <v>46195</v>
      </c>
      <c r="D277" t="inlineStr">
        <is>
          <t>UPPSALA LÄN</t>
        </is>
      </c>
      <c r="E277" t="inlineStr">
        <is>
          <t>UPPSALA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5996-2022</t>
        </is>
      </c>
      <c r="B278" s="1" t="n">
        <v>44599</v>
      </c>
      <c r="C278" s="1" t="n">
        <v>46195</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7276-2024</t>
        </is>
      </c>
      <c r="B279" s="1" t="n">
        <v>45344</v>
      </c>
      <c r="C279" s="1" t="n">
        <v>46195</v>
      </c>
      <c r="D279" t="inlineStr">
        <is>
          <t>UPPSALA LÄN</t>
        </is>
      </c>
      <c r="E279" t="inlineStr">
        <is>
          <t>UPPSALA</t>
        </is>
      </c>
      <c r="F279" t="inlineStr">
        <is>
          <t>Bergvik skog öst AB</t>
        </is>
      </c>
      <c r="G279" t="n">
        <v>0.2</v>
      </c>
      <c r="H279" t="n">
        <v>0</v>
      </c>
      <c r="I279" t="n">
        <v>0</v>
      </c>
      <c r="J279" t="n">
        <v>0</v>
      </c>
      <c r="K279" t="n">
        <v>0</v>
      </c>
      <c r="L279" t="n">
        <v>0</v>
      </c>
      <c r="M279" t="n">
        <v>0</v>
      </c>
      <c r="N279" t="n">
        <v>0</v>
      </c>
      <c r="O279" t="n">
        <v>0</v>
      </c>
      <c r="P279" t="n">
        <v>0</v>
      </c>
      <c r="Q279" t="n">
        <v>0</v>
      </c>
      <c r="R279" s="2" t="inlineStr"/>
    </row>
    <row r="280" ht="15" customHeight="1">
      <c r="A280" t="inlineStr">
        <is>
          <t>A 50092-2022</t>
        </is>
      </c>
      <c r="B280" s="1" t="n">
        <v>44865</v>
      </c>
      <c r="C280" s="1" t="n">
        <v>46195</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51396-2021</t>
        </is>
      </c>
      <c r="B281" s="1" t="n">
        <v>44461</v>
      </c>
      <c r="C281" s="1" t="n">
        <v>46195</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3040-2023</t>
        </is>
      </c>
      <c r="B282" s="1" t="n">
        <v>44946</v>
      </c>
      <c r="C282" s="1" t="n">
        <v>46195</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18607-2024</t>
        </is>
      </c>
      <c r="B283" s="1" t="n">
        <v>45425</v>
      </c>
      <c r="C283" s="1" t="n">
        <v>46195</v>
      </c>
      <c r="D283" t="inlineStr">
        <is>
          <t>UPPSALA LÄN</t>
        </is>
      </c>
      <c r="E283" t="inlineStr">
        <is>
          <t>UPPSALA</t>
        </is>
      </c>
      <c r="G283" t="n">
        <v>4.3</v>
      </c>
      <c r="H283" t="n">
        <v>0</v>
      </c>
      <c r="I283" t="n">
        <v>0</v>
      </c>
      <c r="J283" t="n">
        <v>0</v>
      </c>
      <c r="K283" t="n">
        <v>0</v>
      </c>
      <c r="L283" t="n">
        <v>0</v>
      </c>
      <c r="M283" t="n">
        <v>0</v>
      </c>
      <c r="N283" t="n">
        <v>0</v>
      </c>
      <c r="O283" t="n">
        <v>0</v>
      </c>
      <c r="P283" t="n">
        <v>0</v>
      </c>
      <c r="Q283" t="n">
        <v>0</v>
      </c>
      <c r="R283" s="2" t="inlineStr"/>
    </row>
    <row r="284" ht="15" customHeight="1">
      <c r="A284" t="inlineStr">
        <is>
          <t>A 27543-2022</t>
        </is>
      </c>
      <c r="B284" s="1" t="n">
        <v>44742</v>
      </c>
      <c r="C284" s="1" t="n">
        <v>46195</v>
      </c>
      <c r="D284" t="inlineStr">
        <is>
          <t>UPPSALA LÄN</t>
        </is>
      </c>
      <c r="E284" t="inlineStr">
        <is>
          <t>UPPSALA</t>
        </is>
      </c>
      <c r="F284" t="inlineStr">
        <is>
          <t>Kyrkan</t>
        </is>
      </c>
      <c r="G284" t="n">
        <v>2.6</v>
      </c>
      <c r="H284" t="n">
        <v>0</v>
      </c>
      <c r="I284" t="n">
        <v>0</v>
      </c>
      <c r="J284" t="n">
        <v>0</v>
      </c>
      <c r="K284" t="n">
        <v>0</v>
      </c>
      <c r="L284" t="n">
        <v>0</v>
      </c>
      <c r="M284" t="n">
        <v>0</v>
      </c>
      <c r="N284" t="n">
        <v>0</v>
      </c>
      <c r="O284" t="n">
        <v>0</v>
      </c>
      <c r="P284" t="n">
        <v>0</v>
      </c>
      <c r="Q284" t="n">
        <v>0</v>
      </c>
      <c r="R284" s="2" t="inlineStr"/>
    </row>
    <row r="285" ht="15" customHeight="1">
      <c r="A285" t="inlineStr">
        <is>
          <t>A 45592-2023</t>
        </is>
      </c>
      <c r="B285" s="1" t="n">
        <v>45194</v>
      </c>
      <c r="C285" s="1" t="n">
        <v>46195</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6679-2024</t>
        </is>
      </c>
      <c r="B286" s="1" t="n">
        <v>45341</v>
      </c>
      <c r="C286" s="1" t="n">
        <v>46195</v>
      </c>
      <c r="D286" t="inlineStr">
        <is>
          <t>UPPSALA LÄN</t>
        </is>
      </c>
      <c r="E286" t="inlineStr">
        <is>
          <t>UPPSALA</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42124-2021</t>
        </is>
      </c>
      <c r="B287" s="1" t="n">
        <v>44426</v>
      </c>
      <c r="C287" s="1" t="n">
        <v>46195</v>
      </c>
      <c r="D287" t="inlineStr">
        <is>
          <t>UPPSALA LÄN</t>
        </is>
      </c>
      <c r="E287" t="inlineStr">
        <is>
          <t>UPPSALA</t>
        </is>
      </c>
      <c r="G287" t="n">
        <v>6.3</v>
      </c>
      <c r="H287" t="n">
        <v>0</v>
      </c>
      <c r="I287" t="n">
        <v>0</v>
      </c>
      <c r="J287" t="n">
        <v>0</v>
      </c>
      <c r="K287" t="n">
        <v>0</v>
      </c>
      <c r="L287" t="n">
        <v>0</v>
      </c>
      <c r="M287" t="n">
        <v>0</v>
      </c>
      <c r="N287" t="n">
        <v>0</v>
      </c>
      <c r="O287" t="n">
        <v>0</v>
      </c>
      <c r="P287" t="n">
        <v>0</v>
      </c>
      <c r="Q287" t="n">
        <v>0</v>
      </c>
      <c r="R287" s="2" t="inlineStr"/>
    </row>
    <row r="288" ht="15" customHeight="1">
      <c r="A288" t="inlineStr">
        <is>
          <t>A 25120-2022</t>
        </is>
      </c>
      <c r="B288" s="1" t="n">
        <v>44729</v>
      </c>
      <c r="C288" s="1" t="n">
        <v>46195</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7899-2022</t>
        </is>
      </c>
      <c r="B289" s="1" t="n">
        <v>44608</v>
      </c>
      <c r="C289" s="1" t="n">
        <v>46195</v>
      </c>
      <c r="D289" t="inlineStr">
        <is>
          <t>UPPSALA LÄN</t>
        </is>
      </c>
      <c r="E289" t="inlineStr">
        <is>
          <t>UPPSALA</t>
        </is>
      </c>
      <c r="F289" t="inlineStr">
        <is>
          <t>Övriga Aktiebolag</t>
        </is>
      </c>
      <c r="G289" t="n">
        <v>7.1</v>
      </c>
      <c r="H289" t="n">
        <v>0</v>
      </c>
      <c r="I289" t="n">
        <v>0</v>
      </c>
      <c r="J289" t="n">
        <v>0</v>
      </c>
      <c r="K289" t="n">
        <v>0</v>
      </c>
      <c r="L289" t="n">
        <v>0</v>
      </c>
      <c r="M289" t="n">
        <v>0</v>
      </c>
      <c r="N289" t="n">
        <v>0</v>
      </c>
      <c r="O289" t="n">
        <v>0</v>
      </c>
      <c r="P289" t="n">
        <v>0</v>
      </c>
      <c r="Q289" t="n">
        <v>0</v>
      </c>
      <c r="R289" s="2" t="inlineStr"/>
    </row>
    <row r="290" ht="15" customHeight="1">
      <c r="A290" t="inlineStr">
        <is>
          <t>A 47316-2023</t>
        </is>
      </c>
      <c r="B290" s="1" t="n">
        <v>45202</v>
      </c>
      <c r="C290" s="1" t="n">
        <v>46195</v>
      </c>
      <c r="D290" t="inlineStr">
        <is>
          <t>UPPSALA LÄN</t>
        </is>
      </c>
      <c r="E290" t="inlineStr">
        <is>
          <t>UPPSALA</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5081-2022</t>
        </is>
      </c>
      <c r="B291" s="1" t="n">
        <v>44593</v>
      </c>
      <c r="C291" s="1" t="n">
        <v>46195</v>
      </c>
      <c r="D291" t="inlineStr">
        <is>
          <t>UPPSALA LÄN</t>
        </is>
      </c>
      <c r="E291" t="inlineStr">
        <is>
          <t>UPPSALA</t>
        </is>
      </c>
      <c r="G291" t="n">
        <v>3</v>
      </c>
      <c r="H291" t="n">
        <v>0</v>
      </c>
      <c r="I291" t="n">
        <v>0</v>
      </c>
      <c r="J291" t="n">
        <v>0</v>
      </c>
      <c r="K291" t="n">
        <v>0</v>
      </c>
      <c r="L291" t="n">
        <v>0</v>
      </c>
      <c r="M291" t="n">
        <v>0</v>
      </c>
      <c r="N291" t="n">
        <v>0</v>
      </c>
      <c r="O291" t="n">
        <v>0</v>
      </c>
      <c r="P291" t="n">
        <v>0</v>
      </c>
      <c r="Q291" t="n">
        <v>0</v>
      </c>
      <c r="R291" s="2" t="inlineStr"/>
    </row>
    <row r="292" ht="15" customHeight="1">
      <c r="A292" t="inlineStr">
        <is>
          <t>A 781-2024</t>
        </is>
      </c>
      <c r="B292" s="1" t="n">
        <v>45300</v>
      </c>
      <c r="C292" s="1" t="n">
        <v>46195</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15377-2022</t>
        </is>
      </c>
      <c r="B293" s="1" t="n">
        <v>44659</v>
      </c>
      <c r="C293" s="1" t="n">
        <v>46195</v>
      </c>
      <c r="D293" t="inlineStr">
        <is>
          <t>UPPSALA LÄN</t>
        </is>
      </c>
      <c r="E293" t="inlineStr">
        <is>
          <t>UPPSALA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27599-2023</t>
        </is>
      </c>
      <c r="B294" s="1" t="n">
        <v>45097</v>
      </c>
      <c r="C294" s="1" t="n">
        <v>46195</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34061-2022</t>
        </is>
      </c>
      <c r="B295" s="1" t="n">
        <v>44791</v>
      </c>
      <c r="C295" s="1" t="n">
        <v>46195</v>
      </c>
      <c r="D295" t="inlineStr">
        <is>
          <t>UPPSALA LÄN</t>
        </is>
      </c>
      <c r="E295" t="inlineStr">
        <is>
          <t>UPPSALA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39818-2024</t>
        </is>
      </c>
      <c r="B296" s="1" t="n">
        <v>45552</v>
      </c>
      <c r="C296" s="1" t="n">
        <v>46195</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7058-2023</t>
        </is>
      </c>
      <c r="B297" s="1" t="n">
        <v>44969</v>
      </c>
      <c r="C297" s="1" t="n">
        <v>46195</v>
      </c>
      <c r="D297" t="inlineStr">
        <is>
          <t>UPPSALA LÄN</t>
        </is>
      </c>
      <c r="E297" t="inlineStr">
        <is>
          <t>UPPSALA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3214-2023</t>
        </is>
      </c>
      <c r="B298" s="1" t="n">
        <v>44944</v>
      </c>
      <c r="C298" s="1" t="n">
        <v>46195</v>
      </c>
      <c r="D298" t="inlineStr">
        <is>
          <t>UPPSALA LÄN</t>
        </is>
      </c>
      <c r="E298" t="inlineStr">
        <is>
          <t>UPPSALA</t>
        </is>
      </c>
      <c r="G298" t="n">
        <v>4.1</v>
      </c>
      <c r="H298" t="n">
        <v>0</v>
      </c>
      <c r="I298" t="n">
        <v>0</v>
      </c>
      <c r="J298" t="n">
        <v>0</v>
      </c>
      <c r="K298" t="n">
        <v>0</v>
      </c>
      <c r="L298" t="n">
        <v>0</v>
      </c>
      <c r="M298" t="n">
        <v>0</v>
      </c>
      <c r="N298" t="n">
        <v>0</v>
      </c>
      <c r="O298" t="n">
        <v>0</v>
      </c>
      <c r="P298" t="n">
        <v>0</v>
      </c>
      <c r="Q298" t="n">
        <v>0</v>
      </c>
      <c r="R298" s="2" t="inlineStr"/>
    </row>
    <row r="299" ht="15" customHeight="1">
      <c r="A299" t="inlineStr">
        <is>
          <t>A 50669-2024</t>
        </is>
      </c>
      <c r="B299" s="1" t="n">
        <v>45601</v>
      </c>
      <c r="C299" s="1" t="n">
        <v>46195</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5663-2023</t>
        </is>
      </c>
      <c r="B300" s="1" t="n">
        <v>44960</v>
      </c>
      <c r="C300" s="1" t="n">
        <v>46195</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5675-2023</t>
        </is>
      </c>
      <c r="B301" s="1" t="n">
        <v>44960</v>
      </c>
      <c r="C301" s="1" t="n">
        <v>46195</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10464-2022</t>
        </is>
      </c>
      <c r="B302" s="1" t="n">
        <v>44623</v>
      </c>
      <c r="C302" s="1" t="n">
        <v>46195</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36782-2023</t>
        </is>
      </c>
      <c r="B303" s="1" t="n">
        <v>45154</v>
      </c>
      <c r="C303" s="1" t="n">
        <v>46195</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14337-2022</t>
        </is>
      </c>
      <c r="B304" s="1" t="n">
        <v>44652</v>
      </c>
      <c r="C304" s="1" t="n">
        <v>46195</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2980-2025</t>
        </is>
      </c>
      <c r="B305" s="1" t="n">
        <v>45678</v>
      </c>
      <c r="C305" s="1" t="n">
        <v>46195</v>
      </c>
      <c r="D305" t="inlineStr">
        <is>
          <t>UPPSALA LÄN</t>
        </is>
      </c>
      <c r="E305" t="inlineStr">
        <is>
          <t>UPPSALA</t>
        </is>
      </c>
      <c r="G305" t="n">
        <v>5</v>
      </c>
      <c r="H305" t="n">
        <v>0</v>
      </c>
      <c r="I305" t="n">
        <v>0</v>
      </c>
      <c r="J305" t="n">
        <v>0</v>
      </c>
      <c r="K305" t="n">
        <v>0</v>
      </c>
      <c r="L305" t="n">
        <v>0</v>
      </c>
      <c r="M305" t="n">
        <v>0</v>
      </c>
      <c r="N305" t="n">
        <v>0</v>
      </c>
      <c r="O305" t="n">
        <v>0</v>
      </c>
      <c r="P305" t="n">
        <v>0</v>
      </c>
      <c r="Q305" t="n">
        <v>0</v>
      </c>
      <c r="R305" s="2" t="inlineStr"/>
    </row>
    <row r="306" ht="15" customHeight="1">
      <c r="A306" t="inlineStr">
        <is>
          <t>A 35411-2022</t>
        </is>
      </c>
      <c r="B306" s="1" t="n">
        <v>44798</v>
      </c>
      <c r="C306" s="1" t="n">
        <v>46195</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17448-2022</t>
        </is>
      </c>
      <c r="B307" s="1" t="n">
        <v>44679</v>
      </c>
      <c r="C307" s="1" t="n">
        <v>46195</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19513-2023</t>
        </is>
      </c>
      <c r="B308" s="1" t="n">
        <v>45050</v>
      </c>
      <c r="C308" s="1" t="n">
        <v>46195</v>
      </c>
      <c r="D308" t="inlineStr">
        <is>
          <t>UPPSALA LÄN</t>
        </is>
      </c>
      <c r="E308" t="inlineStr">
        <is>
          <t>UPPSALA</t>
        </is>
      </c>
      <c r="G308" t="n">
        <v>6.6</v>
      </c>
      <c r="H308" t="n">
        <v>0</v>
      </c>
      <c r="I308" t="n">
        <v>0</v>
      </c>
      <c r="J308" t="n">
        <v>0</v>
      </c>
      <c r="K308" t="n">
        <v>0</v>
      </c>
      <c r="L308" t="n">
        <v>0</v>
      </c>
      <c r="M308" t="n">
        <v>0</v>
      </c>
      <c r="N308" t="n">
        <v>0</v>
      </c>
      <c r="O308" t="n">
        <v>0</v>
      </c>
      <c r="P308" t="n">
        <v>0</v>
      </c>
      <c r="Q308" t="n">
        <v>0</v>
      </c>
      <c r="R308" s="2" t="inlineStr"/>
    </row>
    <row r="309" ht="15" customHeight="1">
      <c r="A309" t="inlineStr">
        <is>
          <t>A 5722-2025</t>
        </is>
      </c>
      <c r="B309" s="1" t="n">
        <v>45694</v>
      </c>
      <c r="C309" s="1" t="n">
        <v>46195</v>
      </c>
      <c r="D309" t="inlineStr">
        <is>
          <t>UPPSALA LÄN</t>
        </is>
      </c>
      <c r="E309" t="inlineStr">
        <is>
          <t>UPPSALA</t>
        </is>
      </c>
      <c r="G309" t="n">
        <v>2</v>
      </c>
      <c r="H309" t="n">
        <v>0</v>
      </c>
      <c r="I309" t="n">
        <v>0</v>
      </c>
      <c r="J309" t="n">
        <v>0</v>
      </c>
      <c r="K309" t="n">
        <v>0</v>
      </c>
      <c r="L309" t="n">
        <v>0</v>
      </c>
      <c r="M309" t="n">
        <v>0</v>
      </c>
      <c r="N309" t="n">
        <v>0</v>
      </c>
      <c r="O309" t="n">
        <v>0</v>
      </c>
      <c r="P309" t="n">
        <v>0</v>
      </c>
      <c r="Q309" t="n">
        <v>0</v>
      </c>
      <c r="R309" s="2" t="inlineStr"/>
    </row>
    <row r="310" ht="15" customHeight="1">
      <c r="A310" t="inlineStr">
        <is>
          <t>A 37316-2022</t>
        </is>
      </c>
      <c r="B310" s="1" t="n">
        <v>44806</v>
      </c>
      <c r="C310" s="1" t="n">
        <v>46195</v>
      </c>
      <c r="D310" t="inlineStr">
        <is>
          <t>UPPSALA LÄN</t>
        </is>
      </c>
      <c r="E310" t="inlineStr">
        <is>
          <t>UPPSALA</t>
        </is>
      </c>
      <c r="G310" t="n">
        <v>10.6</v>
      </c>
      <c r="H310" t="n">
        <v>0</v>
      </c>
      <c r="I310" t="n">
        <v>0</v>
      </c>
      <c r="J310" t="n">
        <v>0</v>
      </c>
      <c r="K310" t="n">
        <v>0</v>
      </c>
      <c r="L310" t="n">
        <v>0</v>
      </c>
      <c r="M310" t="n">
        <v>0</v>
      </c>
      <c r="N310" t="n">
        <v>0</v>
      </c>
      <c r="O310" t="n">
        <v>0</v>
      </c>
      <c r="P310" t="n">
        <v>0</v>
      </c>
      <c r="Q310" t="n">
        <v>0</v>
      </c>
      <c r="R310" s="2" t="inlineStr"/>
    </row>
    <row r="311" ht="15" customHeight="1">
      <c r="A311" t="inlineStr">
        <is>
          <t>A 74019-2021</t>
        </is>
      </c>
      <c r="B311" s="1" t="n">
        <v>44553</v>
      </c>
      <c r="C311" s="1" t="n">
        <v>46195</v>
      </c>
      <c r="D311" t="inlineStr">
        <is>
          <t>UPPSALA LÄN</t>
        </is>
      </c>
      <c r="E311" t="inlineStr">
        <is>
          <t>UPPSALA</t>
        </is>
      </c>
      <c r="G311" t="n">
        <v>3</v>
      </c>
      <c r="H311" t="n">
        <v>0</v>
      </c>
      <c r="I311" t="n">
        <v>0</v>
      </c>
      <c r="J311" t="n">
        <v>0</v>
      </c>
      <c r="K311" t="n">
        <v>0</v>
      </c>
      <c r="L311" t="n">
        <v>0</v>
      </c>
      <c r="M311" t="n">
        <v>0</v>
      </c>
      <c r="N311" t="n">
        <v>0</v>
      </c>
      <c r="O311" t="n">
        <v>0</v>
      </c>
      <c r="P311" t="n">
        <v>0</v>
      </c>
      <c r="Q311" t="n">
        <v>0</v>
      </c>
      <c r="R311" s="2" t="inlineStr"/>
    </row>
    <row r="312" ht="15" customHeight="1">
      <c r="A312" t="inlineStr">
        <is>
          <t>A 19380-2023</t>
        </is>
      </c>
      <c r="B312" s="1" t="n">
        <v>45049</v>
      </c>
      <c r="C312" s="1" t="n">
        <v>46195</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56463-2021</t>
        </is>
      </c>
      <c r="B313" s="1" t="n">
        <v>44479</v>
      </c>
      <c r="C313" s="1" t="n">
        <v>46195</v>
      </c>
      <c r="D313" t="inlineStr">
        <is>
          <t>UPPSALA LÄN</t>
        </is>
      </c>
      <c r="E313" t="inlineStr">
        <is>
          <t>UPPSALA</t>
        </is>
      </c>
      <c r="G313" t="n">
        <v>6.4</v>
      </c>
      <c r="H313" t="n">
        <v>0</v>
      </c>
      <c r="I313" t="n">
        <v>0</v>
      </c>
      <c r="J313" t="n">
        <v>0</v>
      </c>
      <c r="K313" t="n">
        <v>0</v>
      </c>
      <c r="L313" t="n">
        <v>0</v>
      </c>
      <c r="M313" t="n">
        <v>0</v>
      </c>
      <c r="N313" t="n">
        <v>0</v>
      </c>
      <c r="O313" t="n">
        <v>0</v>
      </c>
      <c r="P313" t="n">
        <v>0</v>
      </c>
      <c r="Q313" t="n">
        <v>0</v>
      </c>
      <c r="R313" s="2" t="inlineStr"/>
    </row>
    <row r="314" ht="15" customHeight="1">
      <c r="A314" t="inlineStr">
        <is>
          <t>A 53906-2023</t>
        </is>
      </c>
      <c r="B314" s="1" t="n">
        <v>45231</v>
      </c>
      <c r="C314" s="1" t="n">
        <v>46195</v>
      </c>
      <c r="D314" t="inlineStr">
        <is>
          <t>UPPSALA LÄN</t>
        </is>
      </c>
      <c r="E314" t="inlineStr">
        <is>
          <t>UPPSALA</t>
        </is>
      </c>
      <c r="G314" t="n">
        <v>13.2</v>
      </c>
      <c r="H314" t="n">
        <v>0</v>
      </c>
      <c r="I314" t="n">
        <v>0</v>
      </c>
      <c r="J314" t="n">
        <v>0</v>
      </c>
      <c r="K314" t="n">
        <v>0</v>
      </c>
      <c r="L314" t="n">
        <v>0</v>
      </c>
      <c r="M314" t="n">
        <v>0</v>
      </c>
      <c r="N314" t="n">
        <v>0</v>
      </c>
      <c r="O314" t="n">
        <v>0</v>
      </c>
      <c r="P314" t="n">
        <v>0</v>
      </c>
      <c r="Q314" t="n">
        <v>0</v>
      </c>
      <c r="R314" s="2" t="inlineStr"/>
    </row>
    <row r="315" ht="15" customHeight="1">
      <c r="A315" t="inlineStr">
        <is>
          <t>A 1975-2022</t>
        </is>
      </c>
      <c r="B315" s="1" t="n">
        <v>44575</v>
      </c>
      <c r="C315" s="1" t="n">
        <v>46195</v>
      </c>
      <c r="D315" t="inlineStr">
        <is>
          <t>UPPSALA LÄN</t>
        </is>
      </c>
      <c r="E315" t="inlineStr">
        <is>
          <t>UPPSALA</t>
        </is>
      </c>
      <c r="G315" t="n">
        <v>3.9</v>
      </c>
      <c r="H315" t="n">
        <v>0</v>
      </c>
      <c r="I315" t="n">
        <v>0</v>
      </c>
      <c r="J315" t="n">
        <v>0</v>
      </c>
      <c r="K315" t="n">
        <v>0</v>
      </c>
      <c r="L315" t="n">
        <v>0</v>
      </c>
      <c r="M315" t="n">
        <v>0</v>
      </c>
      <c r="N315" t="n">
        <v>0</v>
      </c>
      <c r="O315" t="n">
        <v>0</v>
      </c>
      <c r="P315" t="n">
        <v>0</v>
      </c>
      <c r="Q315" t="n">
        <v>0</v>
      </c>
      <c r="R315" s="2" t="inlineStr"/>
    </row>
    <row r="316" ht="15" customHeight="1">
      <c r="A316" t="inlineStr">
        <is>
          <t>A 27622-2023</t>
        </is>
      </c>
      <c r="B316" s="1" t="n">
        <v>45097</v>
      </c>
      <c r="C316" s="1" t="n">
        <v>46195</v>
      </c>
      <c r="D316" t="inlineStr">
        <is>
          <t>UPPSALA LÄN</t>
        </is>
      </c>
      <c r="E316" t="inlineStr">
        <is>
          <t>UPPSALA</t>
        </is>
      </c>
      <c r="G316" t="n">
        <v>3.2</v>
      </c>
      <c r="H316" t="n">
        <v>0</v>
      </c>
      <c r="I316" t="n">
        <v>0</v>
      </c>
      <c r="J316" t="n">
        <v>0</v>
      </c>
      <c r="K316" t="n">
        <v>0</v>
      </c>
      <c r="L316" t="n">
        <v>0</v>
      </c>
      <c r="M316" t="n">
        <v>0</v>
      </c>
      <c r="N316" t="n">
        <v>0</v>
      </c>
      <c r="O316" t="n">
        <v>0</v>
      </c>
      <c r="P316" t="n">
        <v>0</v>
      </c>
      <c r="Q316" t="n">
        <v>0</v>
      </c>
      <c r="R316" s="2" t="inlineStr"/>
    </row>
    <row r="317" ht="15" customHeight="1">
      <c r="A317" t="inlineStr">
        <is>
          <t>A 13343-2022</t>
        </is>
      </c>
      <c r="B317" s="1" t="n">
        <v>44645</v>
      </c>
      <c r="C317" s="1" t="n">
        <v>46195</v>
      </c>
      <c r="D317" t="inlineStr">
        <is>
          <t>UPPSALA LÄN</t>
        </is>
      </c>
      <c r="E317" t="inlineStr">
        <is>
          <t>UPPSALA</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60925-2021</t>
        </is>
      </c>
      <c r="B318" s="1" t="n">
        <v>44497</v>
      </c>
      <c r="C318" s="1" t="n">
        <v>46195</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43855-2023</t>
        </is>
      </c>
      <c r="B319" s="1" t="n">
        <v>45187</v>
      </c>
      <c r="C319" s="1" t="n">
        <v>46195</v>
      </c>
      <c r="D319" t="inlineStr">
        <is>
          <t>UPPSALA LÄN</t>
        </is>
      </c>
      <c r="E319" t="inlineStr">
        <is>
          <t>UPPSALA</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56679-2022</t>
        </is>
      </c>
      <c r="B320" s="1" t="n">
        <v>44893</v>
      </c>
      <c r="C320" s="1" t="n">
        <v>46195</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36392-2023</t>
        </is>
      </c>
      <c r="B321" s="1" t="n">
        <v>45152</v>
      </c>
      <c r="C321" s="1" t="n">
        <v>46195</v>
      </c>
      <c r="D321" t="inlineStr">
        <is>
          <t>UPPSALA LÄN</t>
        </is>
      </c>
      <c r="E321" t="inlineStr">
        <is>
          <t>UPPSALA</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71643-2021</t>
        </is>
      </c>
      <c r="B322" s="1" t="n">
        <v>44543</v>
      </c>
      <c r="C322" s="1" t="n">
        <v>46195</v>
      </c>
      <c r="D322" t="inlineStr">
        <is>
          <t>UPPSALA LÄN</t>
        </is>
      </c>
      <c r="E322" t="inlineStr">
        <is>
          <t>UPPSALA</t>
        </is>
      </c>
      <c r="G322" t="n">
        <v>3</v>
      </c>
      <c r="H322" t="n">
        <v>0</v>
      </c>
      <c r="I322" t="n">
        <v>0</v>
      </c>
      <c r="J322" t="n">
        <v>0</v>
      </c>
      <c r="K322" t="n">
        <v>0</v>
      </c>
      <c r="L322" t="n">
        <v>0</v>
      </c>
      <c r="M322" t="n">
        <v>0</v>
      </c>
      <c r="N322" t="n">
        <v>0</v>
      </c>
      <c r="O322" t="n">
        <v>0</v>
      </c>
      <c r="P322" t="n">
        <v>0</v>
      </c>
      <c r="Q322" t="n">
        <v>0</v>
      </c>
      <c r="R322" s="2" t="inlineStr"/>
    </row>
    <row r="323" ht="15" customHeight="1">
      <c r="A323" t="inlineStr">
        <is>
          <t>A 11173-2024</t>
        </is>
      </c>
      <c r="B323" s="1" t="n">
        <v>45371</v>
      </c>
      <c r="C323" s="1" t="n">
        <v>46195</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10827-2024</t>
        </is>
      </c>
      <c r="B324" s="1" t="n">
        <v>45369</v>
      </c>
      <c r="C324" s="1" t="n">
        <v>46195</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59133-2022</t>
        </is>
      </c>
      <c r="B325" s="1" t="n">
        <v>44904</v>
      </c>
      <c r="C325" s="1" t="n">
        <v>46195</v>
      </c>
      <c r="D325" t="inlineStr">
        <is>
          <t>UPPSALA LÄN</t>
        </is>
      </c>
      <c r="E325" t="inlineStr">
        <is>
          <t>UPPSALA</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6155-2023</t>
        </is>
      </c>
      <c r="B326" s="1" t="n">
        <v>44964</v>
      </c>
      <c r="C326" s="1" t="n">
        <v>46195</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15310-2022</t>
        </is>
      </c>
      <c r="B327" s="1" t="n">
        <v>44659</v>
      </c>
      <c r="C327" s="1" t="n">
        <v>46195</v>
      </c>
      <c r="D327" t="inlineStr">
        <is>
          <t>UPPSALA LÄN</t>
        </is>
      </c>
      <c r="E327" t="inlineStr">
        <is>
          <t>UPPSALA</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6009-2022</t>
        </is>
      </c>
      <c r="B328" s="1" t="n">
        <v>44599</v>
      </c>
      <c r="C328" s="1" t="n">
        <v>46195</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60032-2021</t>
        </is>
      </c>
      <c r="B329" s="1" t="n">
        <v>44495</v>
      </c>
      <c r="C329" s="1" t="n">
        <v>46195</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12606-2023</t>
        </is>
      </c>
      <c r="B330" s="1" t="n">
        <v>45000</v>
      </c>
      <c r="C330" s="1" t="n">
        <v>46195</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12507-2024</t>
        </is>
      </c>
      <c r="B331" s="1" t="n">
        <v>45379</v>
      </c>
      <c r="C331" s="1" t="n">
        <v>46195</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60702-2022</t>
        </is>
      </c>
      <c r="B332" s="1" t="n">
        <v>44912</v>
      </c>
      <c r="C332" s="1" t="n">
        <v>46195</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8933-2022</t>
        </is>
      </c>
      <c r="B333" s="1" t="n">
        <v>44614</v>
      </c>
      <c r="C333" s="1" t="n">
        <v>46195</v>
      </c>
      <c r="D333" t="inlineStr">
        <is>
          <t>UPPSALA LÄN</t>
        </is>
      </c>
      <c r="E333" t="inlineStr">
        <is>
          <t>UPPSALA</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48571-2023</t>
        </is>
      </c>
      <c r="B334" s="1" t="n">
        <v>45208</v>
      </c>
      <c r="C334" s="1" t="n">
        <v>46195</v>
      </c>
      <c r="D334" t="inlineStr">
        <is>
          <t>UPPSALA LÄN</t>
        </is>
      </c>
      <c r="E334" t="inlineStr">
        <is>
          <t>UPPSALA</t>
        </is>
      </c>
      <c r="G334" t="n">
        <v>1.8</v>
      </c>
      <c r="H334" t="n">
        <v>0</v>
      </c>
      <c r="I334" t="n">
        <v>0</v>
      </c>
      <c r="J334" t="n">
        <v>0</v>
      </c>
      <c r="K334" t="n">
        <v>0</v>
      </c>
      <c r="L334" t="n">
        <v>0</v>
      </c>
      <c r="M334" t="n">
        <v>0</v>
      </c>
      <c r="N334" t="n">
        <v>0</v>
      </c>
      <c r="O334" t="n">
        <v>0</v>
      </c>
      <c r="P334" t="n">
        <v>0</v>
      </c>
      <c r="Q334" t="n">
        <v>0</v>
      </c>
      <c r="R334" s="2" t="inlineStr"/>
    </row>
    <row r="335" ht="15" customHeight="1">
      <c r="A335" t="inlineStr">
        <is>
          <t>A 21859-2024</t>
        </is>
      </c>
      <c r="B335" s="1" t="n">
        <v>45443</v>
      </c>
      <c r="C335" s="1" t="n">
        <v>46195</v>
      </c>
      <c r="D335" t="inlineStr">
        <is>
          <t>UPPSALA LÄN</t>
        </is>
      </c>
      <c r="E335" t="inlineStr">
        <is>
          <t>UPPSALA</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6930-2023</t>
        </is>
      </c>
      <c r="B336" s="1" t="n">
        <v>44967</v>
      </c>
      <c r="C336" s="1" t="n">
        <v>46195</v>
      </c>
      <c r="D336" t="inlineStr">
        <is>
          <t>UPPSALA LÄN</t>
        </is>
      </c>
      <c r="E336" t="inlineStr">
        <is>
          <t>UPPSALA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18410-2025</t>
        </is>
      </c>
      <c r="B337" s="1" t="n">
        <v>45762</v>
      </c>
      <c r="C337" s="1" t="n">
        <v>46195</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48588-2022</t>
        </is>
      </c>
      <c r="B338" s="1" t="n">
        <v>44859</v>
      </c>
      <c r="C338" s="1" t="n">
        <v>46195</v>
      </c>
      <c r="D338" t="inlineStr">
        <is>
          <t>UPPSALA LÄN</t>
        </is>
      </c>
      <c r="E338" t="inlineStr">
        <is>
          <t>UPPSALA</t>
        </is>
      </c>
      <c r="G338" t="n">
        <v>2</v>
      </c>
      <c r="H338" t="n">
        <v>0</v>
      </c>
      <c r="I338" t="n">
        <v>0</v>
      </c>
      <c r="J338" t="n">
        <v>0</v>
      </c>
      <c r="K338" t="n">
        <v>0</v>
      </c>
      <c r="L338" t="n">
        <v>0</v>
      </c>
      <c r="M338" t="n">
        <v>0</v>
      </c>
      <c r="N338" t="n">
        <v>0</v>
      </c>
      <c r="O338" t="n">
        <v>0</v>
      </c>
      <c r="P338" t="n">
        <v>0</v>
      </c>
      <c r="Q338" t="n">
        <v>0</v>
      </c>
      <c r="R338" s="2" t="inlineStr"/>
    </row>
    <row r="339" ht="15" customHeight="1">
      <c r="A339" t="inlineStr">
        <is>
          <t>A 66927-2021</t>
        </is>
      </c>
      <c r="B339" s="1" t="n">
        <v>44522</v>
      </c>
      <c r="C339" s="1" t="n">
        <v>46195</v>
      </c>
      <c r="D339" t="inlineStr">
        <is>
          <t>UPPSALA LÄN</t>
        </is>
      </c>
      <c r="E339" t="inlineStr">
        <is>
          <t>UPPSALA</t>
        </is>
      </c>
      <c r="G339" t="n">
        <v>2.9</v>
      </c>
      <c r="H339" t="n">
        <v>0</v>
      </c>
      <c r="I339" t="n">
        <v>0</v>
      </c>
      <c r="J339" t="n">
        <v>0</v>
      </c>
      <c r="K339" t="n">
        <v>0</v>
      </c>
      <c r="L339" t="n">
        <v>0</v>
      </c>
      <c r="M339" t="n">
        <v>0</v>
      </c>
      <c r="N339" t="n">
        <v>0</v>
      </c>
      <c r="O339" t="n">
        <v>0</v>
      </c>
      <c r="P339" t="n">
        <v>0</v>
      </c>
      <c r="Q339" t="n">
        <v>0</v>
      </c>
      <c r="R339" s="2" t="inlineStr"/>
    </row>
    <row r="340" ht="15" customHeight="1">
      <c r="A340" t="inlineStr">
        <is>
          <t>A 43032-2022</t>
        </is>
      </c>
      <c r="B340" s="1" t="n">
        <v>44832</v>
      </c>
      <c r="C340" s="1" t="n">
        <v>46195</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59489-2023</t>
        </is>
      </c>
      <c r="B341" s="1" t="n">
        <v>45254</v>
      </c>
      <c r="C341" s="1" t="n">
        <v>46195</v>
      </c>
      <c r="D341" t="inlineStr">
        <is>
          <t>UPPSALA LÄN</t>
        </is>
      </c>
      <c r="E341" t="inlineStr">
        <is>
          <t>UPPSALA</t>
        </is>
      </c>
      <c r="G341" t="n">
        <v>6.5</v>
      </c>
      <c r="H341" t="n">
        <v>0</v>
      </c>
      <c r="I341" t="n">
        <v>0</v>
      </c>
      <c r="J341" t="n">
        <v>0</v>
      </c>
      <c r="K341" t="n">
        <v>0</v>
      </c>
      <c r="L341" t="n">
        <v>0</v>
      </c>
      <c r="M341" t="n">
        <v>0</v>
      </c>
      <c r="N341" t="n">
        <v>0</v>
      </c>
      <c r="O341" t="n">
        <v>0</v>
      </c>
      <c r="P341" t="n">
        <v>0</v>
      </c>
      <c r="Q341" t="n">
        <v>0</v>
      </c>
      <c r="R341" s="2" t="inlineStr"/>
    </row>
    <row r="342" ht="15" customHeight="1">
      <c r="A342" t="inlineStr">
        <is>
          <t>A 4503-2024</t>
        </is>
      </c>
      <c r="B342" s="1" t="n">
        <v>45327</v>
      </c>
      <c r="C342" s="1" t="n">
        <v>46195</v>
      </c>
      <c r="D342" t="inlineStr">
        <is>
          <t>UPPSALA LÄN</t>
        </is>
      </c>
      <c r="E342" t="inlineStr">
        <is>
          <t>UPPSALA</t>
        </is>
      </c>
      <c r="G342" t="n">
        <v>1.9</v>
      </c>
      <c r="H342" t="n">
        <v>0</v>
      </c>
      <c r="I342" t="n">
        <v>0</v>
      </c>
      <c r="J342" t="n">
        <v>0</v>
      </c>
      <c r="K342" t="n">
        <v>0</v>
      </c>
      <c r="L342" t="n">
        <v>0</v>
      </c>
      <c r="M342" t="n">
        <v>0</v>
      </c>
      <c r="N342" t="n">
        <v>0</v>
      </c>
      <c r="O342" t="n">
        <v>0</v>
      </c>
      <c r="P342" t="n">
        <v>0</v>
      </c>
      <c r="Q342" t="n">
        <v>0</v>
      </c>
      <c r="R342" s="2" t="inlineStr"/>
    </row>
    <row r="343" ht="15" customHeight="1">
      <c r="A343" t="inlineStr">
        <is>
          <t>A 8672-2024</t>
        </is>
      </c>
      <c r="B343" s="1" t="n">
        <v>45352</v>
      </c>
      <c r="C343" s="1" t="n">
        <v>46195</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54715-2022</t>
        </is>
      </c>
      <c r="B344" s="1" t="n">
        <v>44883</v>
      </c>
      <c r="C344" s="1" t="n">
        <v>46195</v>
      </c>
      <c r="D344" t="inlineStr">
        <is>
          <t>UPPSALA LÄN</t>
        </is>
      </c>
      <c r="E344" t="inlineStr">
        <is>
          <t>UPPSALA</t>
        </is>
      </c>
      <c r="F344" t="inlineStr">
        <is>
          <t>Övriga Aktiebolag</t>
        </is>
      </c>
      <c r="G344" t="n">
        <v>9.5</v>
      </c>
      <c r="H344" t="n">
        <v>0</v>
      </c>
      <c r="I344" t="n">
        <v>0</v>
      </c>
      <c r="J344" t="n">
        <v>0</v>
      </c>
      <c r="K344" t="n">
        <v>0</v>
      </c>
      <c r="L344" t="n">
        <v>0</v>
      </c>
      <c r="M344" t="n">
        <v>0</v>
      </c>
      <c r="N344" t="n">
        <v>0</v>
      </c>
      <c r="O344" t="n">
        <v>0</v>
      </c>
      <c r="P344" t="n">
        <v>0</v>
      </c>
      <c r="Q344" t="n">
        <v>0</v>
      </c>
      <c r="R344" s="2" t="inlineStr"/>
    </row>
    <row r="345" ht="15" customHeight="1">
      <c r="A345" t="inlineStr">
        <is>
          <t>A 50954-2022</t>
        </is>
      </c>
      <c r="B345" s="1" t="n">
        <v>44866</v>
      </c>
      <c r="C345" s="1" t="n">
        <v>46195</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47287-2023</t>
        </is>
      </c>
      <c r="B346" s="1" t="n">
        <v>45202</v>
      </c>
      <c r="C346" s="1" t="n">
        <v>46195</v>
      </c>
      <c r="D346" t="inlineStr">
        <is>
          <t>UPPSALA LÄN</t>
        </is>
      </c>
      <c r="E346" t="inlineStr">
        <is>
          <t>UPPSALA</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5362-2023</t>
        </is>
      </c>
      <c r="B347" s="1" t="n">
        <v>44944</v>
      </c>
      <c r="C347" s="1" t="n">
        <v>46195</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61947-2023</t>
        </is>
      </c>
      <c r="B348" s="1" t="n">
        <v>45266</v>
      </c>
      <c r="C348" s="1" t="n">
        <v>46195</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51661-2022</t>
        </is>
      </c>
      <c r="B349" s="1" t="n">
        <v>44872</v>
      </c>
      <c r="C349" s="1" t="n">
        <v>46195</v>
      </c>
      <c r="D349" t="inlineStr">
        <is>
          <t>UPPSALA LÄN</t>
        </is>
      </c>
      <c r="E349" t="inlineStr">
        <is>
          <t>UPPSALA</t>
        </is>
      </c>
      <c r="G349" t="n">
        <v>8.9</v>
      </c>
      <c r="H349" t="n">
        <v>0</v>
      </c>
      <c r="I349" t="n">
        <v>0</v>
      </c>
      <c r="J349" t="n">
        <v>0</v>
      </c>
      <c r="K349" t="n">
        <v>0</v>
      </c>
      <c r="L349" t="n">
        <v>0</v>
      </c>
      <c r="M349" t="n">
        <v>0</v>
      </c>
      <c r="N349" t="n">
        <v>0</v>
      </c>
      <c r="O349" t="n">
        <v>0</v>
      </c>
      <c r="P349" t="n">
        <v>0</v>
      </c>
      <c r="Q349" t="n">
        <v>0</v>
      </c>
      <c r="R349" s="2" t="inlineStr"/>
    </row>
    <row r="350" ht="15" customHeight="1">
      <c r="A350" t="inlineStr">
        <is>
          <t>A 51749-2023</t>
        </is>
      </c>
      <c r="B350" s="1" t="n">
        <v>45222</v>
      </c>
      <c r="C350" s="1" t="n">
        <v>46195</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64855-2021</t>
        </is>
      </c>
      <c r="B351" s="1" t="n">
        <v>44512</v>
      </c>
      <c r="C351" s="1" t="n">
        <v>46195</v>
      </c>
      <c r="D351" t="inlineStr">
        <is>
          <t>UPPSALA LÄN</t>
        </is>
      </c>
      <c r="E351" t="inlineStr">
        <is>
          <t>UPPSALA</t>
        </is>
      </c>
      <c r="G351" t="n">
        <v>3.1</v>
      </c>
      <c r="H351" t="n">
        <v>0</v>
      </c>
      <c r="I351" t="n">
        <v>0</v>
      </c>
      <c r="J351" t="n">
        <v>0</v>
      </c>
      <c r="K351" t="n">
        <v>0</v>
      </c>
      <c r="L351" t="n">
        <v>0</v>
      </c>
      <c r="M351" t="n">
        <v>0</v>
      </c>
      <c r="N351" t="n">
        <v>0</v>
      </c>
      <c r="O351" t="n">
        <v>0</v>
      </c>
      <c r="P351" t="n">
        <v>0</v>
      </c>
      <c r="Q351" t="n">
        <v>0</v>
      </c>
      <c r="R351" s="2" t="inlineStr"/>
    </row>
    <row r="352" ht="15" customHeight="1">
      <c r="A352" t="inlineStr">
        <is>
          <t>A 13644-2024</t>
        </is>
      </c>
      <c r="B352" s="1" t="n">
        <v>45390</v>
      </c>
      <c r="C352" s="1" t="n">
        <v>46195</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9592-2022</t>
        </is>
      </c>
      <c r="B353" s="1" t="n">
        <v>44617</v>
      </c>
      <c r="C353" s="1" t="n">
        <v>46195</v>
      </c>
      <c r="D353" t="inlineStr">
        <is>
          <t>UPPSALA LÄN</t>
        </is>
      </c>
      <c r="E353" t="inlineStr">
        <is>
          <t>UPPSALA</t>
        </is>
      </c>
      <c r="G353" t="n">
        <v>7.5</v>
      </c>
      <c r="H353" t="n">
        <v>0</v>
      </c>
      <c r="I353" t="n">
        <v>0</v>
      </c>
      <c r="J353" t="n">
        <v>0</v>
      </c>
      <c r="K353" t="n">
        <v>0</v>
      </c>
      <c r="L353" t="n">
        <v>0</v>
      </c>
      <c r="M353" t="n">
        <v>0</v>
      </c>
      <c r="N353" t="n">
        <v>0</v>
      </c>
      <c r="O353" t="n">
        <v>0</v>
      </c>
      <c r="P353" t="n">
        <v>0</v>
      </c>
      <c r="Q353" t="n">
        <v>0</v>
      </c>
      <c r="R353" s="2" t="inlineStr"/>
    </row>
    <row r="354" ht="15" customHeight="1">
      <c r="A354" t="inlineStr">
        <is>
          <t>A 8473-2023</t>
        </is>
      </c>
      <c r="B354" s="1" t="n">
        <v>44977</v>
      </c>
      <c r="C354" s="1" t="n">
        <v>46195</v>
      </c>
      <c r="D354" t="inlineStr">
        <is>
          <t>UPPSALA LÄN</t>
        </is>
      </c>
      <c r="E354" t="inlineStr">
        <is>
          <t>UPPSALA</t>
        </is>
      </c>
      <c r="F354" t="inlineStr">
        <is>
          <t>Holmen skog AB</t>
        </is>
      </c>
      <c r="G354" t="n">
        <v>3.6</v>
      </c>
      <c r="H354" t="n">
        <v>0</v>
      </c>
      <c r="I354" t="n">
        <v>0</v>
      </c>
      <c r="J354" t="n">
        <v>0</v>
      </c>
      <c r="K354" t="n">
        <v>0</v>
      </c>
      <c r="L354" t="n">
        <v>0</v>
      </c>
      <c r="M354" t="n">
        <v>0</v>
      </c>
      <c r="N354" t="n">
        <v>0</v>
      </c>
      <c r="O354" t="n">
        <v>0</v>
      </c>
      <c r="P354" t="n">
        <v>0</v>
      </c>
      <c r="Q354" t="n">
        <v>0</v>
      </c>
      <c r="R354" s="2" t="inlineStr"/>
    </row>
    <row r="355" ht="15" customHeight="1">
      <c r="A355" t="inlineStr">
        <is>
          <t>A 22431-2024</t>
        </is>
      </c>
      <c r="B355" s="1" t="n">
        <v>45446</v>
      </c>
      <c r="C355" s="1" t="n">
        <v>46195</v>
      </c>
      <c r="D355" t="inlineStr">
        <is>
          <t>UPPSALA LÄN</t>
        </is>
      </c>
      <c r="E355" t="inlineStr">
        <is>
          <t>UPPSALA</t>
        </is>
      </c>
      <c r="F355" t="inlineStr">
        <is>
          <t>Bergvik skog öst AB</t>
        </is>
      </c>
      <c r="G355" t="n">
        <v>0.5</v>
      </c>
      <c r="H355" t="n">
        <v>0</v>
      </c>
      <c r="I355" t="n">
        <v>0</v>
      </c>
      <c r="J355" t="n">
        <v>0</v>
      </c>
      <c r="K355" t="n">
        <v>0</v>
      </c>
      <c r="L355" t="n">
        <v>0</v>
      </c>
      <c r="M355" t="n">
        <v>0</v>
      </c>
      <c r="N355" t="n">
        <v>0</v>
      </c>
      <c r="O355" t="n">
        <v>0</v>
      </c>
      <c r="P355" t="n">
        <v>0</v>
      </c>
      <c r="Q355" t="n">
        <v>0</v>
      </c>
      <c r="R355" s="2" t="inlineStr"/>
    </row>
    <row r="356" ht="15" customHeight="1">
      <c r="A356" t="inlineStr">
        <is>
          <t>A 60444-2023</t>
        </is>
      </c>
      <c r="B356" s="1" t="n">
        <v>45259</v>
      </c>
      <c r="C356" s="1" t="n">
        <v>46195</v>
      </c>
      <c r="D356" t="inlineStr">
        <is>
          <t>UPPSALA LÄN</t>
        </is>
      </c>
      <c r="E356" t="inlineStr">
        <is>
          <t>UPPSALA</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46920-2021</t>
        </is>
      </c>
      <c r="B357" s="1" t="n">
        <v>44446</v>
      </c>
      <c r="C357" s="1" t="n">
        <v>46195</v>
      </c>
      <c r="D357" t="inlineStr">
        <is>
          <t>UPPSALA LÄN</t>
        </is>
      </c>
      <c r="E357" t="inlineStr">
        <is>
          <t>UPPSALA</t>
        </is>
      </c>
      <c r="G357" t="n">
        <v>1.6</v>
      </c>
      <c r="H357" t="n">
        <v>0</v>
      </c>
      <c r="I357" t="n">
        <v>0</v>
      </c>
      <c r="J357" t="n">
        <v>0</v>
      </c>
      <c r="K357" t="n">
        <v>0</v>
      </c>
      <c r="L357" t="n">
        <v>0</v>
      </c>
      <c r="M357" t="n">
        <v>0</v>
      </c>
      <c r="N357" t="n">
        <v>0</v>
      </c>
      <c r="O357" t="n">
        <v>0</v>
      </c>
      <c r="P357" t="n">
        <v>0</v>
      </c>
      <c r="Q357" t="n">
        <v>0</v>
      </c>
      <c r="R357" s="2" t="inlineStr"/>
    </row>
    <row r="358" ht="15" customHeight="1">
      <c r="A358" t="inlineStr">
        <is>
          <t>A 27068-2023</t>
        </is>
      </c>
      <c r="B358" s="1" t="n">
        <v>45096</v>
      </c>
      <c r="C358" s="1" t="n">
        <v>46195</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32553-2024</t>
        </is>
      </c>
      <c r="B359" s="1" t="n">
        <v>45513</v>
      </c>
      <c r="C359" s="1" t="n">
        <v>46195</v>
      </c>
      <c r="D359" t="inlineStr">
        <is>
          <t>UPPSALA LÄN</t>
        </is>
      </c>
      <c r="E359" t="inlineStr">
        <is>
          <t>UPPSALA</t>
        </is>
      </c>
      <c r="F359" t="inlineStr">
        <is>
          <t>Bergvik skog öst AB</t>
        </is>
      </c>
      <c r="G359" t="n">
        <v>4.1</v>
      </c>
      <c r="H359" t="n">
        <v>0</v>
      </c>
      <c r="I359" t="n">
        <v>0</v>
      </c>
      <c r="J359" t="n">
        <v>0</v>
      </c>
      <c r="K359" t="n">
        <v>0</v>
      </c>
      <c r="L359" t="n">
        <v>0</v>
      </c>
      <c r="M359" t="n">
        <v>0</v>
      </c>
      <c r="N359" t="n">
        <v>0</v>
      </c>
      <c r="O359" t="n">
        <v>0</v>
      </c>
      <c r="P359" t="n">
        <v>0</v>
      </c>
      <c r="Q359" t="n">
        <v>0</v>
      </c>
      <c r="R359" s="2" t="inlineStr"/>
    </row>
    <row r="360" ht="15" customHeight="1">
      <c r="A360" t="inlineStr">
        <is>
          <t>A 19276-2023</t>
        </is>
      </c>
      <c r="B360" s="1" t="n">
        <v>45049</v>
      </c>
      <c r="C360" s="1" t="n">
        <v>46195</v>
      </c>
      <c r="D360" t="inlineStr">
        <is>
          <t>UPPSALA LÄN</t>
        </is>
      </c>
      <c r="E360" t="inlineStr">
        <is>
          <t>UPPSALA</t>
        </is>
      </c>
      <c r="G360" t="n">
        <v>1.8</v>
      </c>
      <c r="H360" t="n">
        <v>0</v>
      </c>
      <c r="I360" t="n">
        <v>0</v>
      </c>
      <c r="J360" t="n">
        <v>0</v>
      </c>
      <c r="K360" t="n">
        <v>0</v>
      </c>
      <c r="L360" t="n">
        <v>0</v>
      </c>
      <c r="M360" t="n">
        <v>0</v>
      </c>
      <c r="N360" t="n">
        <v>0</v>
      </c>
      <c r="O360" t="n">
        <v>0</v>
      </c>
      <c r="P360" t="n">
        <v>0</v>
      </c>
      <c r="Q360" t="n">
        <v>0</v>
      </c>
      <c r="R360" s="2" t="inlineStr"/>
    </row>
    <row r="361" ht="15" customHeight="1">
      <c r="A361" t="inlineStr">
        <is>
          <t>A 5974-2024</t>
        </is>
      </c>
      <c r="B361" s="1" t="n">
        <v>45336</v>
      </c>
      <c r="C361" s="1" t="n">
        <v>46195</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18677-2024</t>
        </is>
      </c>
      <c r="B362" s="1" t="n">
        <v>45426</v>
      </c>
      <c r="C362" s="1" t="n">
        <v>46195</v>
      </c>
      <c r="D362" t="inlineStr">
        <is>
          <t>UPPSALA LÄN</t>
        </is>
      </c>
      <c r="E362" t="inlineStr">
        <is>
          <t>UPPSALA</t>
        </is>
      </c>
      <c r="G362" t="n">
        <v>2.8</v>
      </c>
      <c r="H362" t="n">
        <v>0</v>
      </c>
      <c r="I362" t="n">
        <v>0</v>
      </c>
      <c r="J362" t="n">
        <v>0</v>
      </c>
      <c r="K362" t="n">
        <v>0</v>
      </c>
      <c r="L362" t="n">
        <v>0</v>
      </c>
      <c r="M362" t="n">
        <v>0</v>
      </c>
      <c r="N362" t="n">
        <v>0</v>
      </c>
      <c r="O362" t="n">
        <v>0</v>
      </c>
      <c r="P362" t="n">
        <v>0</v>
      </c>
      <c r="Q362" t="n">
        <v>0</v>
      </c>
      <c r="R362" s="2" t="inlineStr"/>
    </row>
    <row r="363" ht="15" customHeight="1">
      <c r="A363" t="inlineStr">
        <is>
          <t>A 11739-2023</t>
        </is>
      </c>
      <c r="B363" s="1" t="n">
        <v>44993</v>
      </c>
      <c r="C363" s="1" t="n">
        <v>46195</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17658-2025</t>
        </is>
      </c>
      <c r="B364" s="1" t="n">
        <v>45758</v>
      </c>
      <c r="C364" s="1" t="n">
        <v>46195</v>
      </c>
      <c r="D364" t="inlineStr">
        <is>
          <t>UPPSALA LÄN</t>
        </is>
      </c>
      <c r="E364" t="inlineStr">
        <is>
          <t>UPPSALA</t>
        </is>
      </c>
      <c r="G364" t="n">
        <v>1.5</v>
      </c>
      <c r="H364" t="n">
        <v>0</v>
      </c>
      <c r="I364" t="n">
        <v>0</v>
      </c>
      <c r="J364" t="n">
        <v>0</v>
      </c>
      <c r="K364" t="n">
        <v>0</v>
      </c>
      <c r="L364" t="n">
        <v>0</v>
      </c>
      <c r="M364" t="n">
        <v>0</v>
      </c>
      <c r="N364" t="n">
        <v>0</v>
      </c>
      <c r="O364" t="n">
        <v>0</v>
      </c>
      <c r="P364" t="n">
        <v>0</v>
      </c>
      <c r="Q364" t="n">
        <v>0</v>
      </c>
      <c r="R364" s="2" t="inlineStr"/>
    </row>
    <row r="365" ht="15" customHeight="1">
      <c r="A365" t="inlineStr">
        <is>
          <t>A 37588-2022</t>
        </is>
      </c>
      <c r="B365" s="1" t="n">
        <v>44809</v>
      </c>
      <c r="C365" s="1" t="n">
        <v>46195</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37670-2022</t>
        </is>
      </c>
      <c r="B366" s="1" t="n">
        <v>44810</v>
      </c>
      <c r="C366" s="1" t="n">
        <v>46195</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32276-2021</t>
        </is>
      </c>
      <c r="B367" s="1" t="n">
        <v>44371</v>
      </c>
      <c r="C367" s="1" t="n">
        <v>46195</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5006-2022</t>
        </is>
      </c>
      <c r="B368" s="1" t="n">
        <v>44593</v>
      </c>
      <c r="C368" s="1" t="n">
        <v>46195</v>
      </c>
      <c r="D368" t="inlineStr">
        <is>
          <t>UPPSALA LÄN</t>
        </is>
      </c>
      <c r="E368" t="inlineStr">
        <is>
          <t>UPPSALA</t>
        </is>
      </c>
      <c r="F368" t="inlineStr">
        <is>
          <t>BillerudKorsnäs AB</t>
        </is>
      </c>
      <c r="G368" t="n">
        <v>1.4</v>
      </c>
      <c r="H368" t="n">
        <v>0</v>
      </c>
      <c r="I368" t="n">
        <v>0</v>
      </c>
      <c r="J368" t="n">
        <v>0</v>
      </c>
      <c r="K368" t="n">
        <v>0</v>
      </c>
      <c r="L368" t="n">
        <v>0</v>
      </c>
      <c r="M368" t="n">
        <v>0</v>
      </c>
      <c r="N368" t="n">
        <v>0</v>
      </c>
      <c r="O368" t="n">
        <v>0</v>
      </c>
      <c r="P368" t="n">
        <v>0</v>
      </c>
      <c r="Q368" t="n">
        <v>0</v>
      </c>
      <c r="R368" s="2" t="inlineStr"/>
    </row>
    <row r="369" ht="15" customHeight="1">
      <c r="A369" t="inlineStr">
        <is>
          <t>A 25776-2022</t>
        </is>
      </c>
      <c r="B369" s="1" t="n">
        <v>44733</v>
      </c>
      <c r="C369" s="1" t="n">
        <v>46195</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40325-2023</t>
        </is>
      </c>
      <c r="B370" s="1" t="n">
        <v>45169</v>
      </c>
      <c r="C370" s="1" t="n">
        <v>46195</v>
      </c>
      <c r="D370" t="inlineStr">
        <is>
          <t>UPPSALA LÄN</t>
        </is>
      </c>
      <c r="E370" t="inlineStr">
        <is>
          <t>UPPSALA</t>
        </is>
      </c>
      <c r="F370" t="inlineStr">
        <is>
          <t>Kommuner</t>
        </is>
      </c>
      <c r="G370" t="n">
        <v>1.3</v>
      </c>
      <c r="H370" t="n">
        <v>0</v>
      </c>
      <c r="I370" t="n">
        <v>0</v>
      </c>
      <c r="J370" t="n">
        <v>0</v>
      </c>
      <c r="K370" t="n">
        <v>0</v>
      </c>
      <c r="L370" t="n">
        <v>0</v>
      </c>
      <c r="M370" t="n">
        <v>0</v>
      </c>
      <c r="N370" t="n">
        <v>0</v>
      </c>
      <c r="O370" t="n">
        <v>0</v>
      </c>
      <c r="P370" t="n">
        <v>0</v>
      </c>
      <c r="Q370" t="n">
        <v>0</v>
      </c>
      <c r="R370" s="2" t="inlineStr"/>
    </row>
    <row r="371" ht="15" customHeight="1">
      <c r="A371" t="inlineStr">
        <is>
          <t>A 11568-2023</t>
        </is>
      </c>
      <c r="B371" s="1" t="n">
        <v>44994</v>
      </c>
      <c r="C371" s="1" t="n">
        <v>46195</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56872-2023</t>
        </is>
      </c>
      <c r="B372" s="1" t="n">
        <v>45244</v>
      </c>
      <c r="C372" s="1" t="n">
        <v>46195</v>
      </c>
      <c r="D372" t="inlineStr">
        <is>
          <t>UPPSALA LÄN</t>
        </is>
      </c>
      <c r="E372" t="inlineStr">
        <is>
          <t>UPPSALA</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16126-2022</t>
        </is>
      </c>
      <c r="B373" s="1" t="n">
        <v>44665</v>
      </c>
      <c r="C373" s="1" t="n">
        <v>46195</v>
      </c>
      <c r="D373" t="inlineStr">
        <is>
          <t>UPPSALA LÄN</t>
        </is>
      </c>
      <c r="E373" t="inlineStr">
        <is>
          <t>UPPSALA</t>
        </is>
      </c>
      <c r="F373" t="inlineStr">
        <is>
          <t>Bergvik skog öst AB</t>
        </is>
      </c>
      <c r="G373" t="n">
        <v>4.4</v>
      </c>
      <c r="H373" t="n">
        <v>0</v>
      </c>
      <c r="I373" t="n">
        <v>0</v>
      </c>
      <c r="J373" t="n">
        <v>0</v>
      </c>
      <c r="K373" t="n">
        <v>0</v>
      </c>
      <c r="L373" t="n">
        <v>0</v>
      </c>
      <c r="M373" t="n">
        <v>0</v>
      </c>
      <c r="N373" t="n">
        <v>0</v>
      </c>
      <c r="O373" t="n">
        <v>0</v>
      </c>
      <c r="P373" t="n">
        <v>0</v>
      </c>
      <c r="Q373" t="n">
        <v>0</v>
      </c>
      <c r="R373" s="2" t="inlineStr"/>
    </row>
    <row r="374" ht="15" customHeight="1">
      <c r="A374" t="inlineStr">
        <is>
          <t>A 21935-2023</t>
        </is>
      </c>
      <c r="B374" s="1" t="n">
        <v>45068</v>
      </c>
      <c r="C374" s="1" t="n">
        <v>46195</v>
      </c>
      <c r="D374" t="inlineStr">
        <is>
          <t>UPPSALA LÄN</t>
        </is>
      </c>
      <c r="E374" t="inlineStr">
        <is>
          <t>UPPSALA</t>
        </is>
      </c>
      <c r="G374" t="n">
        <v>2.6</v>
      </c>
      <c r="H374" t="n">
        <v>0</v>
      </c>
      <c r="I374" t="n">
        <v>0</v>
      </c>
      <c r="J374" t="n">
        <v>0</v>
      </c>
      <c r="K374" t="n">
        <v>0</v>
      </c>
      <c r="L374" t="n">
        <v>0</v>
      </c>
      <c r="M374" t="n">
        <v>0</v>
      </c>
      <c r="N374" t="n">
        <v>0</v>
      </c>
      <c r="O374" t="n">
        <v>0</v>
      </c>
      <c r="P374" t="n">
        <v>0</v>
      </c>
      <c r="Q374" t="n">
        <v>0</v>
      </c>
      <c r="R374" s="2" t="inlineStr"/>
    </row>
    <row r="375" ht="15" customHeight="1">
      <c r="A375" t="inlineStr">
        <is>
          <t>A 20301-2024</t>
        </is>
      </c>
      <c r="B375" s="1" t="n">
        <v>45435</v>
      </c>
      <c r="C375" s="1" t="n">
        <v>46195</v>
      </c>
      <c r="D375" t="inlineStr">
        <is>
          <t>UPPSALA LÄN</t>
        </is>
      </c>
      <c r="E375" t="inlineStr">
        <is>
          <t>UPPSALA</t>
        </is>
      </c>
      <c r="F375" t="inlineStr">
        <is>
          <t>Kyrkan</t>
        </is>
      </c>
      <c r="G375" t="n">
        <v>2.8</v>
      </c>
      <c r="H375" t="n">
        <v>0</v>
      </c>
      <c r="I375" t="n">
        <v>0</v>
      </c>
      <c r="J375" t="n">
        <v>0</v>
      </c>
      <c r="K375" t="n">
        <v>0</v>
      </c>
      <c r="L375" t="n">
        <v>0</v>
      </c>
      <c r="M375" t="n">
        <v>0</v>
      </c>
      <c r="N375" t="n">
        <v>0</v>
      </c>
      <c r="O375" t="n">
        <v>0</v>
      </c>
      <c r="P375" t="n">
        <v>0</v>
      </c>
      <c r="Q375" t="n">
        <v>0</v>
      </c>
      <c r="R375" s="2" t="inlineStr"/>
    </row>
    <row r="376" ht="15" customHeight="1">
      <c r="A376" t="inlineStr">
        <is>
          <t>A 73531-2021</t>
        </is>
      </c>
      <c r="B376" s="1" t="n">
        <v>44551</v>
      </c>
      <c r="C376" s="1" t="n">
        <v>46195</v>
      </c>
      <c r="D376" t="inlineStr">
        <is>
          <t>UPPSALA LÄN</t>
        </is>
      </c>
      <c r="E376" t="inlineStr">
        <is>
          <t>UPPSALA</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18805-2025</t>
        </is>
      </c>
      <c r="B377" s="1" t="n">
        <v>45763</v>
      </c>
      <c r="C377" s="1" t="n">
        <v>46195</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4509-2024</t>
        </is>
      </c>
      <c r="B378" s="1" t="n">
        <v>45327</v>
      </c>
      <c r="C378" s="1" t="n">
        <v>46195</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9914-2024</t>
        </is>
      </c>
      <c r="B379" s="1" t="n">
        <v>45363</v>
      </c>
      <c r="C379" s="1" t="n">
        <v>46195</v>
      </c>
      <c r="D379" t="inlineStr">
        <is>
          <t>UPPSALA LÄN</t>
        </is>
      </c>
      <c r="E379" t="inlineStr">
        <is>
          <t>UPPSALA</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39007-2024</t>
        </is>
      </c>
      <c r="B380" s="1" t="n">
        <v>45548</v>
      </c>
      <c r="C380" s="1" t="n">
        <v>46195</v>
      </c>
      <c r="D380" t="inlineStr">
        <is>
          <t>UPPSALA LÄN</t>
        </is>
      </c>
      <c r="E380" t="inlineStr">
        <is>
          <t>UPPSALA</t>
        </is>
      </c>
      <c r="G380" t="n">
        <v>3.1</v>
      </c>
      <c r="H380" t="n">
        <v>0</v>
      </c>
      <c r="I380" t="n">
        <v>0</v>
      </c>
      <c r="J380" t="n">
        <v>0</v>
      </c>
      <c r="K380" t="n">
        <v>0</v>
      </c>
      <c r="L380" t="n">
        <v>0</v>
      </c>
      <c r="M380" t="n">
        <v>0</v>
      </c>
      <c r="N380" t="n">
        <v>0</v>
      </c>
      <c r="O380" t="n">
        <v>0</v>
      </c>
      <c r="P380" t="n">
        <v>0</v>
      </c>
      <c r="Q380" t="n">
        <v>0</v>
      </c>
      <c r="R380" s="2" t="inlineStr"/>
    </row>
    <row r="381" ht="15" customHeight="1">
      <c r="A381" t="inlineStr">
        <is>
          <t>A 7002-2023</t>
        </is>
      </c>
      <c r="B381" s="1" t="n">
        <v>44967</v>
      </c>
      <c r="C381" s="1" t="n">
        <v>46195</v>
      </c>
      <c r="D381" t="inlineStr">
        <is>
          <t>UPPSALA LÄN</t>
        </is>
      </c>
      <c r="E381" t="inlineStr">
        <is>
          <t>UPPSALA</t>
        </is>
      </c>
      <c r="G381" t="n">
        <v>5</v>
      </c>
      <c r="H381" t="n">
        <v>0</v>
      </c>
      <c r="I381" t="n">
        <v>0</v>
      </c>
      <c r="J381" t="n">
        <v>0</v>
      </c>
      <c r="K381" t="n">
        <v>0</v>
      </c>
      <c r="L381" t="n">
        <v>0</v>
      </c>
      <c r="M381" t="n">
        <v>0</v>
      </c>
      <c r="N381" t="n">
        <v>0</v>
      </c>
      <c r="O381" t="n">
        <v>0</v>
      </c>
      <c r="P381" t="n">
        <v>0</v>
      </c>
      <c r="Q381" t="n">
        <v>0</v>
      </c>
      <c r="R381" s="2" t="inlineStr"/>
    </row>
    <row r="382" ht="15" customHeight="1">
      <c r="A382" t="inlineStr">
        <is>
          <t>A 367-2023</t>
        </is>
      </c>
      <c r="B382" s="1" t="n">
        <v>44929</v>
      </c>
      <c r="C382" s="1" t="n">
        <v>46195</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53900-2023</t>
        </is>
      </c>
      <c r="B383" s="1" t="n">
        <v>45231</v>
      </c>
      <c r="C383" s="1" t="n">
        <v>46195</v>
      </c>
      <c r="D383" t="inlineStr">
        <is>
          <t>UPPSALA LÄN</t>
        </is>
      </c>
      <c r="E383" t="inlineStr">
        <is>
          <t>UPPSALA</t>
        </is>
      </c>
      <c r="G383" t="n">
        <v>2.1</v>
      </c>
      <c r="H383" t="n">
        <v>0</v>
      </c>
      <c r="I383" t="n">
        <v>0</v>
      </c>
      <c r="J383" t="n">
        <v>0</v>
      </c>
      <c r="K383" t="n">
        <v>0</v>
      </c>
      <c r="L383" t="n">
        <v>0</v>
      </c>
      <c r="M383" t="n">
        <v>0</v>
      </c>
      <c r="N383" t="n">
        <v>0</v>
      </c>
      <c r="O383" t="n">
        <v>0</v>
      </c>
      <c r="P383" t="n">
        <v>0</v>
      </c>
      <c r="Q383" t="n">
        <v>0</v>
      </c>
      <c r="R383" s="2" t="inlineStr"/>
    </row>
    <row r="384" ht="15" customHeight="1">
      <c r="A384" t="inlineStr">
        <is>
          <t>A 12414-2025</t>
        </is>
      </c>
      <c r="B384" s="1" t="n">
        <v>45730</v>
      </c>
      <c r="C384" s="1" t="n">
        <v>46195</v>
      </c>
      <c r="D384" t="inlineStr">
        <is>
          <t>UPPSALA LÄN</t>
        </is>
      </c>
      <c r="E384" t="inlineStr">
        <is>
          <t>UPPSALA</t>
        </is>
      </c>
      <c r="F384" t="inlineStr">
        <is>
          <t>Övriga statliga verk och myndigheter</t>
        </is>
      </c>
      <c r="G384" t="n">
        <v>6.8</v>
      </c>
      <c r="H384" t="n">
        <v>0</v>
      </c>
      <c r="I384" t="n">
        <v>0</v>
      </c>
      <c r="J384" t="n">
        <v>0</v>
      </c>
      <c r="K384" t="n">
        <v>0</v>
      </c>
      <c r="L384" t="n">
        <v>0</v>
      </c>
      <c r="M384" t="n">
        <v>0</v>
      </c>
      <c r="N384" t="n">
        <v>0</v>
      </c>
      <c r="O384" t="n">
        <v>0</v>
      </c>
      <c r="P384" t="n">
        <v>0</v>
      </c>
      <c r="Q384" t="n">
        <v>0</v>
      </c>
      <c r="R384" s="2" t="inlineStr"/>
    </row>
    <row r="385" ht="15" customHeight="1">
      <c r="A385" t="inlineStr">
        <is>
          <t>A 53365-2024</t>
        </is>
      </c>
      <c r="B385" s="1" t="n">
        <v>45614</v>
      </c>
      <c r="C385" s="1" t="n">
        <v>46195</v>
      </c>
      <c r="D385" t="inlineStr">
        <is>
          <t>UPPSALA LÄN</t>
        </is>
      </c>
      <c r="E385" t="inlineStr">
        <is>
          <t>UPPSALA</t>
        </is>
      </c>
      <c r="F385" t="inlineStr">
        <is>
          <t>Allmännings- och besparingsskogar</t>
        </is>
      </c>
      <c r="G385" t="n">
        <v>6.6</v>
      </c>
      <c r="H385" t="n">
        <v>0</v>
      </c>
      <c r="I385" t="n">
        <v>0</v>
      </c>
      <c r="J385" t="n">
        <v>0</v>
      </c>
      <c r="K385" t="n">
        <v>0</v>
      </c>
      <c r="L385" t="n">
        <v>0</v>
      </c>
      <c r="M385" t="n">
        <v>0</v>
      </c>
      <c r="N385" t="n">
        <v>0</v>
      </c>
      <c r="O385" t="n">
        <v>0</v>
      </c>
      <c r="P385" t="n">
        <v>0</v>
      </c>
      <c r="Q385" t="n">
        <v>0</v>
      </c>
      <c r="R385" s="2" t="inlineStr"/>
    </row>
    <row r="386" ht="15" customHeight="1">
      <c r="A386" t="inlineStr">
        <is>
          <t>A 69595-2021</t>
        </is>
      </c>
      <c r="B386" s="1" t="n">
        <v>44532</v>
      </c>
      <c r="C386" s="1" t="n">
        <v>46195</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44830-2023</t>
        </is>
      </c>
      <c r="B387" s="1" t="n">
        <v>45190</v>
      </c>
      <c r="C387" s="1" t="n">
        <v>46195</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32928-2025</t>
        </is>
      </c>
      <c r="B388" s="1" t="n">
        <v>45839</v>
      </c>
      <c r="C388" s="1" t="n">
        <v>46195</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60781-2023</t>
        </is>
      </c>
      <c r="B389" s="1" t="n">
        <v>45259</v>
      </c>
      <c r="C389" s="1" t="n">
        <v>46195</v>
      </c>
      <c r="D389" t="inlineStr">
        <is>
          <t>UPPSALA LÄN</t>
        </is>
      </c>
      <c r="E389" t="inlineStr">
        <is>
          <t>UPPSALA</t>
        </is>
      </c>
      <c r="G389" t="n">
        <v>4.1</v>
      </c>
      <c r="H389" t="n">
        <v>0</v>
      </c>
      <c r="I389" t="n">
        <v>0</v>
      </c>
      <c r="J389" t="n">
        <v>0</v>
      </c>
      <c r="K389" t="n">
        <v>0</v>
      </c>
      <c r="L389" t="n">
        <v>0</v>
      </c>
      <c r="M389" t="n">
        <v>0</v>
      </c>
      <c r="N389" t="n">
        <v>0</v>
      </c>
      <c r="O389" t="n">
        <v>0</v>
      </c>
      <c r="P389" t="n">
        <v>0</v>
      </c>
      <c r="Q389" t="n">
        <v>0</v>
      </c>
      <c r="R389" s="2" t="inlineStr"/>
    </row>
    <row r="390" ht="15" customHeight="1">
      <c r="A390" t="inlineStr">
        <is>
          <t>A 60714-2023</t>
        </is>
      </c>
      <c r="B390" s="1" t="n">
        <v>45259</v>
      </c>
      <c r="C390" s="1" t="n">
        <v>46195</v>
      </c>
      <c r="D390" t="inlineStr">
        <is>
          <t>UPPSALA LÄN</t>
        </is>
      </c>
      <c r="E390" t="inlineStr">
        <is>
          <t>UPPSALA</t>
        </is>
      </c>
      <c r="G390" t="n">
        <v>3.3</v>
      </c>
      <c r="H390" t="n">
        <v>0</v>
      </c>
      <c r="I390" t="n">
        <v>0</v>
      </c>
      <c r="J390" t="n">
        <v>0</v>
      </c>
      <c r="K390" t="n">
        <v>0</v>
      </c>
      <c r="L390" t="n">
        <v>0</v>
      </c>
      <c r="M390" t="n">
        <v>0</v>
      </c>
      <c r="N390" t="n">
        <v>0</v>
      </c>
      <c r="O390" t="n">
        <v>0</v>
      </c>
      <c r="P390" t="n">
        <v>0</v>
      </c>
      <c r="Q390" t="n">
        <v>0</v>
      </c>
      <c r="R390" s="2" t="inlineStr"/>
    </row>
    <row r="391" ht="15" customHeight="1">
      <c r="A391" t="inlineStr">
        <is>
          <t>A 9426-2023</t>
        </is>
      </c>
      <c r="B391" s="1" t="n">
        <v>44977</v>
      </c>
      <c r="C391" s="1" t="n">
        <v>46195</v>
      </c>
      <c r="D391" t="inlineStr">
        <is>
          <t>UPPSALA LÄN</t>
        </is>
      </c>
      <c r="E391" t="inlineStr">
        <is>
          <t>UPPSALA</t>
        </is>
      </c>
      <c r="G391" t="n">
        <v>0.6</v>
      </c>
      <c r="H391" t="n">
        <v>0</v>
      </c>
      <c r="I391" t="n">
        <v>0</v>
      </c>
      <c r="J391" t="n">
        <v>0</v>
      </c>
      <c r="K391" t="n">
        <v>0</v>
      </c>
      <c r="L391" t="n">
        <v>0</v>
      </c>
      <c r="M391" t="n">
        <v>0</v>
      </c>
      <c r="N391" t="n">
        <v>0</v>
      </c>
      <c r="O391" t="n">
        <v>0</v>
      </c>
      <c r="P391" t="n">
        <v>0</v>
      </c>
      <c r="Q391" t="n">
        <v>0</v>
      </c>
      <c r="R391" s="2" t="inlineStr"/>
    </row>
    <row r="392" ht="15" customHeight="1">
      <c r="A392" t="inlineStr">
        <is>
          <t>A 18443-2023</t>
        </is>
      </c>
      <c r="B392" s="1" t="n">
        <v>45042</v>
      </c>
      <c r="C392" s="1" t="n">
        <v>46195</v>
      </c>
      <c r="D392" t="inlineStr">
        <is>
          <t>UPPSALA LÄN</t>
        </is>
      </c>
      <c r="E392" t="inlineStr">
        <is>
          <t>UPPSALA</t>
        </is>
      </c>
      <c r="G392" t="n">
        <v>0.4</v>
      </c>
      <c r="H392" t="n">
        <v>0</v>
      </c>
      <c r="I392" t="n">
        <v>0</v>
      </c>
      <c r="J392" t="n">
        <v>0</v>
      </c>
      <c r="K392" t="n">
        <v>0</v>
      </c>
      <c r="L392" t="n">
        <v>0</v>
      </c>
      <c r="M392" t="n">
        <v>0</v>
      </c>
      <c r="N392" t="n">
        <v>0</v>
      </c>
      <c r="O392" t="n">
        <v>0</v>
      </c>
      <c r="P392" t="n">
        <v>0</v>
      </c>
      <c r="Q392" t="n">
        <v>0</v>
      </c>
      <c r="R392" s="2" t="inlineStr"/>
    </row>
    <row r="393" ht="15" customHeight="1">
      <c r="A393" t="inlineStr">
        <is>
          <t>A 8090-2022</t>
        </is>
      </c>
      <c r="B393" s="1" t="n">
        <v>44608</v>
      </c>
      <c r="C393" s="1" t="n">
        <v>46195</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60047-2022</t>
        </is>
      </c>
      <c r="B394" s="1" t="n">
        <v>44909</v>
      </c>
      <c r="C394" s="1" t="n">
        <v>46195</v>
      </c>
      <c r="D394" t="inlineStr">
        <is>
          <t>UPPSALA LÄN</t>
        </is>
      </c>
      <c r="E394" t="inlineStr">
        <is>
          <t>UPPSALA</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5975-2024</t>
        </is>
      </c>
      <c r="B395" s="1" t="n">
        <v>45336</v>
      </c>
      <c r="C395" s="1" t="n">
        <v>46195</v>
      </c>
      <c r="D395" t="inlineStr">
        <is>
          <t>UPPSALA LÄN</t>
        </is>
      </c>
      <c r="E395" t="inlineStr">
        <is>
          <t>UPPSALA</t>
        </is>
      </c>
      <c r="G395" t="n">
        <v>0.8</v>
      </c>
      <c r="H395" t="n">
        <v>0</v>
      </c>
      <c r="I395" t="n">
        <v>0</v>
      </c>
      <c r="J395" t="n">
        <v>0</v>
      </c>
      <c r="K395" t="n">
        <v>0</v>
      </c>
      <c r="L395" t="n">
        <v>0</v>
      </c>
      <c r="M395" t="n">
        <v>0</v>
      </c>
      <c r="N395" t="n">
        <v>0</v>
      </c>
      <c r="O395" t="n">
        <v>0</v>
      </c>
      <c r="P395" t="n">
        <v>0</v>
      </c>
      <c r="Q395" t="n">
        <v>0</v>
      </c>
      <c r="R395" s="2" t="inlineStr"/>
    </row>
    <row r="396" ht="15" customHeight="1">
      <c r="A396" t="inlineStr">
        <is>
          <t>A 29799-2023</t>
        </is>
      </c>
      <c r="B396" s="1" t="n">
        <v>45107</v>
      </c>
      <c r="C396" s="1" t="n">
        <v>46195</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25462-2023</t>
        </is>
      </c>
      <c r="B397" s="1" t="n">
        <v>45089</v>
      </c>
      <c r="C397" s="1" t="n">
        <v>46195</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32428-2023</t>
        </is>
      </c>
      <c r="B398" s="1" t="n">
        <v>45110</v>
      </c>
      <c r="C398" s="1" t="n">
        <v>46195</v>
      </c>
      <c r="D398" t="inlineStr">
        <is>
          <t>UPPSALA LÄN</t>
        </is>
      </c>
      <c r="E398" t="inlineStr">
        <is>
          <t>UPPSALA</t>
        </is>
      </c>
      <c r="G398" t="n">
        <v>3.1</v>
      </c>
      <c r="H398" t="n">
        <v>0</v>
      </c>
      <c r="I398" t="n">
        <v>0</v>
      </c>
      <c r="J398" t="n">
        <v>0</v>
      </c>
      <c r="K398" t="n">
        <v>0</v>
      </c>
      <c r="L398" t="n">
        <v>0</v>
      </c>
      <c r="M398" t="n">
        <v>0</v>
      </c>
      <c r="N398" t="n">
        <v>0</v>
      </c>
      <c r="O398" t="n">
        <v>0</v>
      </c>
      <c r="P398" t="n">
        <v>0</v>
      </c>
      <c r="Q398" t="n">
        <v>0</v>
      </c>
      <c r="R398" s="2" t="inlineStr"/>
    </row>
    <row r="399" ht="15" customHeight="1">
      <c r="A399" t="inlineStr">
        <is>
          <t>A 54813-2022</t>
        </is>
      </c>
      <c r="B399" s="1" t="n">
        <v>44883</v>
      </c>
      <c r="C399" s="1" t="n">
        <v>46195</v>
      </c>
      <c r="D399" t="inlineStr">
        <is>
          <t>UPPSALA LÄN</t>
        </is>
      </c>
      <c r="E399" t="inlineStr">
        <is>
          <t>UPPSALA</t>
        </is>
      </c>
      <c r="G399" t="n">
        <v>1.1</v>
      </c>
      <c r="H399" t="n">
        <v>0</v>
      </c>
      <c r="I399" t="n">
        <v>0</v>
      </c>
      <c r="J399" t="n">
        <v>0</v>
      </c>
      <c r="K399" t="n">
        <v>0</v>
      </c>
      <c r="L399" t="n">
        <v>0</v>
      </c>
      <c r="M399" t="n">
        <v>0</v>
      </c>
      <c r="N399" t="n">
        <v>0</v>
      </c>
      <c r="O399" t="n">
        <v>0</v>
      </c>
      <c r="P399" t="n">
        <v>0</v>
      </c>
      <c r="Q399" t="n">
        <v>0</v>
      </c>
      <c r="R399" s="2" t="inlineStr"/>
    </row>
    <row r="400" ht="15" customHeight="1">
      <c r="A400" t="inlineStr">
        <is>
          <t>A 45489-2023</t>
        </is>
      </c>
      <c r="B400" s="1" t="n">
        <v>45194</v>
      </c>
      <c r="C400" s="1" t="n">
        <v>46195</v>
      </c>
      <c r="D400" t="inlineStr">
        <is>
          <t>UPPSALA LÄN</t>
        </is>
      </c>
      <c r="E400" t="inlineStr">
        <is>
          <t>UPPSALA</t>
        </is>
      </c>
      <c r="F400" t="inlineStr">
        <is>
          <t>Allmännings- och besparingsskogar</t>
        </is>
      </c>
      <c r="G400" t="n">
        <v>15.8</v>
      </c>
      <c r="H400" t="n">
        <v>0</v>
      </c>
      <c r="I400" t="n">
        <v>0</v>
      </c>
      <c r="J400" t="n">
        <v>0</v>
      </c>
      <c r="K400" t="n">
        <v>0</v>
      </c>
      <c r="L400" t="n">
        <v>0</v>
      </c>
      <c r="M400" t="n">
        <v>0</v>
      </c>
      <c r="N400" t="n">
        <v>0</v>
      </c>
      <c r="O400" t="n">
        <v>0</v>
      </c>
      <c r="P400" t="n">
        <v>0</v>
      </c>
      <c r="Q400" t="n">
        <v>0</v>
      </c>
      <c r="R400" s="2" t="inlineStr"/>
    </row>
    <row r="401" ht="15" customHeight="1">
      <c r="A401" t="inlineStr">
        <is>
          <t>A 33622-2024</t>
        </is>
      </c>
      <c r="B401" s="1" t="n">
        <v>45520</v>
      </c>
      <c r="C401" s="1" t="n">
        <v>46195</v>
      </c>
      <c r="D401" t="inlineStr">
        <is>
          <t>UPPSALA LÄN</t>
        </is>
      </c>
      <c r="E401" t="inlineStr">
        <is>
          <t>UPPSALA</t>
        </is>
      </c>
      <c r="G401" t="n">
        <v>1</v>
      </c>
      <c r="H401" t="n">
        <v>0</v>
      </c>
      <c r="I401" t="n">
        <v>0</v>
      </c>
      <c r="J401" t="n">
        <v>0</v>
      </c>
      <c r="K401" t="n">
        <v>0</v>
      </c>
      <c r="L401" t="n">
        <v>0</v>
      </c>
      <c r="M401" t="n">
        <v>0</v>
      </c>
      <c r="N401" t="n">
        <v>0</v>
      </c>
      <c r="O401" t="n">
        <v>0</v>
      </c>
      <c r="P401" t="n">
        <v>0</v>
      </c>
      <c r="Q401" t="n">
        <v>0</v>
      </c>
      <c r="R401" s="2" t="inlineStr"/>
    </row>
    <row r="402" ht="15" customHeight="1">
      <c r="A402" t="inlineStr">
        <is>
          <t>A 46635-2022</t>
        </is>
      </c>
      <c r="B402" s="1" t="n">
        <v>44849</v>
      </c>
      <c r="C402" s="1" t="n">
        <v>46195</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27473-2024</t>
        </is>
      </c>
      <c r="B403" s="1" t="n">
        <v>45474</v>
      </c>
      <c r="C403" s="1" t="n">
        <v>46195</v>
      </c>
      <c r="D403" t="inlineStr">
        <is>
          <t>UPPSALA LÄN</t>
        </is>
      </c>
      <c r="E403" t="inlineStr">
        <is>
          <t>UPPSALA</t>
        </is>
      </c>
      <c r="G403" t="n">
        <v>0.6</v>
      </c>
      <c r="H403" t="n">
        <v>0</v>
      </c>
      <c r="I403" t="n">
        <v>0</v>
      </c>
      <c r="J403" t="n">
        <v>0</v>
      </c>
      <c r="K403" t="n">
        <v>0</v>
      </c>
      <c r="L403" t="n">
        <v>0</v>
      </c>
      <c r="M403" t="n">
        <v>0</v>
      </c>
      <c r="N403" t="n">
        <v>0</v>
      </c>
      <c r="O403" t="n">
        <v>0</v>
      </c>
      <c r="P403" t="n">
        <v>0</v>
      </c>
      <c r="Q403" t="n">
        <v>0</v>
      </c>
      <c r="R403" s="2" t="inlineStr"/>
    </row>
    <row r="404" ht="15" customHeight="1">
      <c r="A404" t="inlineStr">
        <is>
          <t>A 56889-2022</t>
        </is>
      </c>
      <c r="B404" s="1" t="n">
        <v>44894</v>
      </c>
      <c r="C404" s="1" t="n">
        <v>46195</v>
      </c>
      <c r="D404" t="inlineStr">
        <is>
          <t>UPPSALA LÄN</t>
        </is>
      </c>
      <c r="E404" t="inlineStr">
        <is>
          <t>UPPSALA</t>
        </is>
      </c>
      <c r="F404" t="inlineStr">
        <is>
          <t>Övriga Aktiebolag</t>
        </is>
      </c>
      <c r="G404" t="n">
        <v>21.6</v>
      </c>
      <c r="H404" t="n">
        <v>0</v>
      </c>
      <c r="I404" t="n">
        <v>0</v>
      </c>
      <c r="J404" t="n">
        <v>0</v>
      </c>
      <c r="K404" t="n">
        <v>0</v>
      </c>
      <c r="L404" t="n">
        <v>0</v>
      </c>
      <c r="M404" t="n">
        <v>0</v>
      </c>
      <c r="N404" t="n">
        <v>0</v>
      </c>
      <c r="O404" t="n">
        <v>0</v>
      </c>
      <c r="P404" t="n">
        <v>0</v>
      </c>
      <c r="Q404" t="n">
        <v>0</v>
      </c>
      <c r="R404" s="2" t="inlineStr"/>
    </row>
    <row r="405" ht="15" customHeight="1">
      <c r="A405" t="inlineStr">
        <is>
          <t>A 53614-2024</t>
        </is>
      </c>
      <c r="B405" s="1" t="n">
        <v>45611</v>
      </c>
      <c r="C405" s="1" t="n">
        <v>46195</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784-2024</t>
        </is>
      </c>
      <c r="B406" s="1" t="n">
        <v>45300</v>
      </c>
      <c r="C406" s="1" t="n">
        <v>46195</v>
      </c>
      <c r="D406" t="inlineStr">
        <is>
          <t>UPPSALA LÄN</t>
        </is>
      </c>
      <c r="E406" t="inlineStr">
        <is>
          <t>UPPSALA</t>
        </is>
      </c>
      <c r="G406" t="n">
        <v>6.6</v>
      </c>
      <c r="H406" t="n">
        <v>0</v>
      </c>
      <c r="I406" t="n">
        <v>0</v>
      </c>
      <c r="J406" t="n">
        <v>0</v>
      </c>
      <c r="K406" t="n">
        <v>0</v>
      </c>
      <c r="L406" t="n">
        <v>0</v>
      </c>
      <c r="M406" t="n">
        <v>0</v>
      </c>
      <c r="N406" t="n">
        <v>0</v>
      </c>
      <c r="O406" t="n">
        <v>0</v>
      </c>
      <c r="P406" t="n">
        <v>0</v>
      </c>
      <c r="Q406" t="n">
        <v>0</v>
      </c>
      <c r="R406" s="2" t="inlineStr"/>
    </row>
    <row r="407" ht="15" customHeight="1">
      <c r="A407" t="inlineStr">
        <is>
          <t>A 48153-2024</t>
        </is>
      </c>
      <c r="B407" s="1" t="n">
        <v>45589</v>
      </c>
      <c r="C407" s="1" t="n">
        <v>46195</v>
      </c>
      <c r="D407" t="inlineStr">
        <is>
          <t>UPPSALA LÄN</t>
        </is>
      </c>
      <c r="E407" t="inlineStr">
        <is>
          <t>UPPSALA</t>
        </is>
      </c>
      <c r="G407" t="n">
        <v>3.4</v>
      </c>
      <c r="H407" t="n">
        <v>0</v>
      </c>
      <c r="I407" t="n">
        <v>0</v>
      </c>
      <c r="J407" t="n">
        <v>0</v>
      </c>
      <c r="K407" t="n">
        <v>0</v>
      </c>
      <c r="L407" t="n">
        <v>0</v>
      </c>
      <c r="M407" t="n">
        <v>0</v>
      </c>
      <c r="N407" t="n">
        <v>0</v>
      </c>
      <c r="O407" t="n">
        <v>0</v>
      </c>
      <c r="P407" t="n">
        <v>0</v>
      </c>
      <c r="Q407" t="n">
        <v>0</v>
      </c>
      <c r="R407" s="2" t="inlineStr"/>
    </row>
    <row r="408" ht="15" customHeight="1">
      <c r="A408" t="inlineStr">
        <is>
          <t>A 27442-2024</t>
        </is>
      </c>
      <c r="B408" s="1" t="n">
        <v>45474</v>
      </c>
      <c r="C408" s="1" t="n">
        <v>46195</v>
      </c>
      <c r="D408" t="inlineStr">
        <is>
          <t>UPPSALA LÄN</t>
        </is>
      </c>
      <c r="E408" t="inlineStr">
        <is>
          <t>UPPSALA</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6677-2024</t>
        </is>
      </c>
      <c r="B409" s="1" t="n">
        <v>45341</v>
      </c>
      <c r="C409" s="1" t="n">
        <v>46195</v>
      </c>
      <c r="D409" t="inlineStr">
        <is>
          <t>UPPSALA LÄN</t>
        </is>
      </c>
      <c r="E409" t="inlineStr">
        <is>
          <t>UPPSALA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8132-2022</t>
        </is>
      </c>
      <c r="B410" s="1" t="n">
        <v>44609</v>
      </c>
      <c r="C410" s="1" t="n">
        <v>46195</v>
      </c>
      <c r="D410" t="inlineStr">
        <is>
          <t>UPPSALA LÄN</t>
        </is>
      </c>
      <c r="E410" t="inlineStr">
        <is>
          <t>UPPSALA</t>
        </is>
      </c>
      <c r="F410" t="inlineStr">
        <is>
          <t>Kommuner</t>
        </is>
      </c>
      <c r="G410" t="n">
        <v>1.2</v>
      </c>
      <c r="H410" t="n">
        <v>0</v>
      </c>
      <c r="I410" t="n">
        <v>0</v>
      </c>
      <c r="J410" t="n">
        <v>0</v>
      </c>
      <c r="K410" t="n">
        <v>0</v>
      </c>
      <c r="L410" t="n">
        <v>0</v>
      </c>
      <c r="M410" t="n">
        <v>0</v>
      </c>
      <c r="N410" t="n">
        <v>0</v>
      </c>
      <c r="O410" t="n">
        <v>0</v>
      </c>
      <c r="P410" t="n">
        <v>0</v>
      </c>
      <c r="Q410" t="n">
        <v>0</v>
      </c>
      <c r="R410" s="2" t="inlineStr"/>
    </row>
    <row r="411" ht="15" customHeight="1">
      <c r="A411" t="inlineStr">
        <is>
          <t>A 62471-2021</t>
        </is>
      </c>
      <c r="B411" s="1" t="n">
        <v>44503</v>
      </c>
      <c r="C411" s="1" t="n">
        <v>46195</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10565-2022</t>
        </is>
      </c>
      <c r="B412" s="1" t="n">
        <v>44624</v>
      </c>
      <c r="C412" s="1" t="n">
        <v>46195</v>
      </c>
      <c r="D412" t="inlineStr">
        <is>
          <t>UPPSALA LÄN</t>
        </is>
      </c>
      <c r="E412" t="inlineStr">
        <is>
          <t>UPPSALA</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6630-2024</t>
        </is>
      </c>
      <c r="B413" s="1" t="n">
        <v>45341</v>
      </c>
      <c r="C413" s="1" t="n">
        <v>46195</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1032-2023</t>
        </is>
      </c>
      <c r="B414" s="1" t="n">
        <v>44935</v>
      </c>
      <c r="C414" s="1" t="n">
        <v>46195</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row>
    <row r="415" ht="15" customHeight="1">
      <c r="A415" t="inlineStr">
        <is>
          <t>A 12284-2025</t>
        </is>
      </c>
      <c r="B415" s="1" t="n">
        <v>45729</v>
      </c>
      <c r="C415" s="1" t="n">
        <v>46195</v>
      </c>
      <c r="D415" t="inlineStr">
        <is>
          <t>UPPSALA LÄN</t>
        </is>
      </c>
      <c r="E415" t="inlineStr">
        <is>
          <t>UPPSALA</t>
        </is>
      </c>
      <c r="G415" t="n">
        <v>6.7</v>
      </c>
      <c r="H415" t="n">
        <v>0</v>
      </c>
      <c r="I415" t="n">
        <v>0</v>
      </c>
      <c r="J415" t="n">
        <v>0</v>
      </c>
      <c r="K415" t="n">
        <v>0</v>
      </c>
      <c r="L415" t="n">
        <v>0</v>
      </c>
      <c r="M415" t="n">
        <v>0</v>
      </c>
      <c r="N415" t="n">
        <v>0</v>
      </c>
      <c r="O415" t="n">
        <v>0</v>
      </c>
      <c r="P415" t="n">
        <v>0</v>
      </c>
      <c r="Q415" t="n">
        <v>0</v>
      </c>
      <c r="R415" s="2" t="inlineStr"/>
    </row>
    <row r="416" ht="15" customHeight="1">
      <c r="A416" t="inlineStr">
        <is>
          <t>A 12287-2025</t>
        </is>
      </c>
      <c r="B416" s="1" t="n">
        <v>45729</v>
      </c>
      <c r="C416" s="1" t="n">
        <v>46195</v>
      </c>
      <c r="D416" t="inlineStr">
        <is>
          <t>UPPSALA LÄN</t>
        </is>
      </c>
      <c r="E416" t="inlineStr">
        <is>
          <t>UPPSALA</t>
        </is>
      </c>
      <c r="G416" t="n">
        <v>4.6</v>
      </c>
      <c r="H416" t="n">
        <v>0</v>
      </c>
      <c r="I416" t="n">
        <v>0</v>
      </c>
      <c r="J416" t="n">
        <v>0</v>
      </c>
      <c r="K416" t="n">
        <v>0</v>
      </c>
      <c r="L416" t="n">
        <v>0</v>
      </c>
      <c r="M416" t="n">
        <v>0</v>
      </c>
      <c r="N416" t="n">
        <v>0</v>
      </c>
      <c r="O416" t="n">
        <v>0</v>
      </c>
      <c r="P416" t="n">
        <v>0</v>
      </c>
      <c r="Q416" t="n">
        <v>0</v>
      </c>
      <c r="R416" s="2" t="inlineStr"/>
    </row>
    <row r="417" ht="15" customHeight="1">
      <c r="A417" t="inlineStr">
        <is>
          <t>A 63011-2021</t>
        </is>
      </c>
      <c r="B417" s="1" t="n">
        <v>44504</v>
      </c>
      <c r="C417" s="1" t="n">
        <v>46195</v>
      </c>
      <c r="D417" t="inlineStr">
        <is>
          <t>UPPSALA LÄN</t>
        </is>
      </c>
      <c r="E417" t="inlineStr">
        <is>
          <t>UPPSALA</t>
        </is>
      </c>
      <c r="G417" t="n">
        <v>11.2</v>
      </c>
      <c r="H417" t="n">
        <v>0</v>
      </c>
      <c r="I417" t="n">
        <v>0</v>
      </c>
      <c r="J417" t="n">
        <v>0</v>
      </c>
      <c r="K417" t="n">
        <v>0</v>
      </c>
      <c r="L417" t="n">
        <v>0</v>
      </c>
      <c r="M417" t="n">
        <v>0</v>
      </c>
      <c r="N417" t="n">
        <v>0</v>
      </c>
      <c r="O417" t="n">
        <v>0</v>
      </c>
      <c r="P417" t="n">
        <v>0</v>
      </c>
      <c r="Q417" t="n">
        <v>0</v>
      </c>
      <c r="R417" s="2" t="inlineStr"/>
    </row>
    <row r="418" ht="15" customHeight="1">
      <c r="A418" t="inlineStr">
        <is>
          <t>A 31157-2023</t>
        </is>
      </c>
      <c r="B418" s="1" t="n">
        <v>45113</v>
      </c>
      <c r="C418" s="1" t="n">
        <v>46195</v>
      </c>
      <c r="D418" t="inlineStr">
        <is>
          <t>UPPSALA LÄN</t>
        </is>
      </c>
      <c r="E418" t="inlineStr">
        <is>
          <t>UPPSALA</t>
        </is>
      </c>
      <c r="G418" t="n">
        <v>1.6</v>
      </c>
      <c r="H418" t="n">
        <v>0</v>
      </c>
      <c r="I418" t="n">
        <v>0</v>
      </c>
      <c r="J418" t="n">
        <v>0</v>
      </c>
      <c r="K418" t="n">
        <v>0</v>
      </c>
      <c r="L418" t="n">
        <v>0</v>
      </c>
      <c r="M418" t="n">
        <v>0</v>
      </c>
      <c r="N418" t="n">
        <v>0</v>
      </c>
      <c r="O418" t="n">
        <v>0</v>
      </c>
      <c r="P418" t="n">
        <v>0</v>
      </c>
      <c r="Q418" t="n">
        <v>0</v>
      </c>
      <c r="R418" s="2" t="inlineStr"/>
    </row>
    <row r="419" ht="15" customHeight="1">
      <c r="A419" t="inlineStr">
        <is>
          <t>A 31161-2023</t>
        </is>
      </c>
      <c r="B419" s="1" t="n">
        <v>45113</v>
      </c>
      <c r="C419" s="1" t="n">
        <v>46195</v>
      </c>
      <c r="D419" t="inlineStr">
        <is>
          <t>UPPSALA LÄN</t>
        </is>
      </c>
      <c r="E419" t="inlineStr">
        <is>
          <t>UPPSALA</t>
        </is>
      </c>
      <c r="G419" t="n">
        <v>0.6</v>
      </c>
      <c r="H419" t="n">
        <v>0</v>
      </c>
      <c r="I419" t="n">
        <v>0</v>
      </c>
      <c r="J419" t="n">
        <v>0</v>
      </c>
      <c r="K419" t="n">
        <v>0</v>
      </c>
      <c r="L419" t="n">
        <v>0</v>
      </c>
      <c r="M419" t="n">
        <v>0</v>
      </c>
      <c r="N419" t="n">
        <v>0</v>
      </c>
      <c r="O419" t="n">
        <v>0</v>
      </c>
      <c r="P419" t="n">
        <v>0</v>
      </c>
      <c r="Q419" t="n">
        <v>0</v>
      </c>
      <c r="R419" s="2" t="inlineStr"/>
    </row>
    <row r="420" ht="15" customHeight="1">
      <c r="A420" t="inlineStr">
        <is>
          <t>A 4461-2024</t>
        </is>
      </c>
      <c r="B420" s="1" t="n">
        <v>45327</v>
      </c>
      <c r="C420" s="1" t="n">
        <v>46195</v>
      </c>
      <c r="D420" t="inlineStr">
        <is>
          <t>UPPSALA LÄN</t>
        </is>
      </c>
      <c r="E420" t="inlineStr">
        <is>
          <t>UPPSALA</t>
        </is>
      </c>
      <c r="G420" t="n">
        <v>0.6</v>
      </c>
      <c r="H420" t="n">
        <v>0</v>
      </c>
      <c r="I420" t="n">
        <v>0</v>
      </c>
      <c r="J420" t="n">
        <v>0</v>
      </c>
      <c r="K420" t="n">
        <v>0</v>
      </c>
      <c r="L420" t="n">
        <v>0</v>
      </c>
      <c r="M420" t="n">
        <v>0</v>
      </c>
      <c r="N420" t="n">
        <v>0</v>
      </c>
      <c r="O420" t="n">
        <v>0</v>
      </c>
      <c r="P420" t="n">
        <v>0</v>
      </c>
      <c r="Q420" t="n">
        <v>0</v>
      </c>
      <c r="R420" s="2" t="inlineStr"/>
    </row>
    <row r="421" ht="15" customHeight="1">
      <c r="A421" t="inlineStr">
        <is>
          <t>A 14784-2023</t>
        </is>
      </c>
      <c r="B421" s="1" t="n">
        <v>45014</v>
      </c>
      <c r="C421" s="1" t="n">
        <v>46195</v>
      </c>
      <c r="D421" t="inlineStr">
        <is>
          <t>UPPSALA LÄN</t>
        </is>
      </c>
      <c r="E421" t="inlineStr">
        <is>
          <t>UPPSALA</t>
        </is>
      </c>
      <c r="G421" t="n">
        <v>4.7</v>
      </c>
      <c r="H421" t="n">
        <v>0</v>
      </c>
      <c r="I421" t="n">
        <v>0</v>
      </c>
      <c r="J421" t="n">
        <v>0</v>
      </c>
      <c r="K421" t="n">
        <v>0</v>
      </c>
      <c r="L421" t="n">
        <v>0</v>
      </c>
      <c r="M421" t="n">
        <v>0</v>
      </c>
      <c r="N421" t="n">
        <v>0</v>
      </c>
      <c r="O421" t="n">
        <v>0</v>
      </c>
      <c r="P421" t="n">
        <v>0</v>
      </c>
      <c r="Q421" t="n">
        <v>0</v>
      </c>
      <c r="R421" s="2" t="inlineStr"/>
    </row>
    <row r="422" ht="15" customHeight="1">
      <c r="A422" t="inlineStr">
        <is>
          <t>A 44315-2021</t>
        </is>
      </c>
      <c r="B422" s="1" t="n">
        <v>44435</v>
      </c>
      <c r="C422" s="1" t="n">
        <v>46195</v>
      </c>
      <c r="D422" t="inlineStr">
        <is>
          <t>UPPSALA LÄN</t>
        </is>
      </c>
      <c r="E422" t="inlineStr">
        <is>
          <t>UPPSALA</t>
        </is>
      </c>
      <c r="G422" t="n">
        <v>5.2</v>
      </c>
      <c r="H422" t="n">
        <v>0</v>
      </c>
      <c r="I422" t="n">
        <v>0</v>
      </c>
      <c r="J422" t="n">
        <v>0</v>
      </c>
      <c r="K422" t="n">
        <v>0</v>
      </c>
      <c r="L422" t="n">
        <v>0</v>
      </c>
      <c r="M422" t="n">
        <v>0</v>
      </c>
      <c r="N422" t="n">
        <v>0</v>
      </c>
      <c r="O422" t="n">
        <v>0</v>
      </c>
      <c r="P422" t="n">
        <v>0</v>
      </c>
      <c r="Q422" t="n">
        <v>0</v>
      </c>
      <c r="R422" s="2" t="inlineStr"/>
    </row>
    <row r="423" ht="15" customHeight="1">
      <c r="A423" t="inlineStr">
        <is>
          <t>A 6851-2022</t>
        </is>
      </c>
      <c r="B423" s="1" t="n">
        <v>44602</v>
      </c>
      <c r="C423" s="1" t="n">
        <v>46195</v>
      </c>
      <c r="D423" t="inlineStr">
        <is>
          <t>UPPSALA LÄN</t>
        </is>
      </c>
      <c r="E423" t="inlineStr">
        <is>
          <t>UPPSALA</t>
        </is>
      </c>
      <c r="G423" t="n">
        <v>1.1</v>
      </c>
      <c r="H423" t="n">
        <v>0</v>
      </c>
      <c r="I423" t="n">
        <v>0</v>
      </c>
      <c r="J423" t="n">
        <v>0</v>
      </c>
      <c r="K423" t="n">
        <v>0</v>
      </c>
      <c r="L423" t="n">
        <v>0</v>
      </c>
      <c r="M423" t="n">
        <v>0</v>
      </c>
      <c r="N423" t="n">
        <v>0</v>
      </c>
      <c r="O423" t="n">
        <v>0</v>
      </c>
      <c r="P423" t="n">
        <v>0</v>
      </c>
      <c r="Q423" t="n">
        <v>0</v>
      </c>
      <c r="R423" s="2" t="inlineStr"/>
    </row>
    <row r="424" ht="15" customHeight="1">
      <c r="A424" t="inlineStr">
        <is>
          <t>A 4929-2022</t>
        </is>
      </c>
      <c r="B424" s="1" t="n">
        <v>44593</v>
      </c>
      <c r="C424" s="1" t="n">
        <v>46195</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17593-2025</t>
        </is>
      </c>
      <c r="B425" s="1" t="n">
        <v>45757</v>
      </c>
      <c r="C425" s="1" t="n">
        <v>46195</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4240-2025</t>
        </is>
      </c>
      <c r="B426" s="1" t="n">
        <v>45685</v>
      </c>
      <c r="C426" s="1" t="n">
        <v>46195</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24787-2024</t>
        </is>
      </c>
      <c r="B427" s="1" t="n">
        <v>45460</v>
      </c>
      <c r="C427" s="1" t="n">
        <v>46195</v>
      </c>
      <c r="D427" t="inlineStr">
        <is>
          <t>UPPSALA LÄN</t>
        </is>
      </c>
      <c r="E427" t="inlineStr">
        <is>
          <t>UPPSALA</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7388-2024</t>
        </is>
      </c>
      <c r="B428" s="1" t="n">
        <v>45345</v>
      </c>
      <c r="C428" s="1" t="n">
        <v>46195</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60984-2022</t>
        </is>
      </c>
      <c r="B429" s="1" t="n">
        <v>44914</v>
      </c>
      <c r="C429" s="1" t="n">
        <v>46195</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21052-2023</t>
        </is>
      </c>
      <c r="B430" s="1" t="n">
        <v>45061</v>
      </c>
      <c r="C430" s="1" t="n">
        <v>46195</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40504-2025</t>
        </is>
      </c>
      <c r="B431" s="1" t="n">
        <v>45896</v>
      </c>
      <c r="C431" s="1" t="n">
        <v>46195</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13128-2022</t>
        </is>
      </c>
      <c r="B432" s="1" t="n">
        <v>44644</v>
      </c>
      <c r="C432" s="1" t="n">
        <v>46195</v>
      </c>
      <c r="D432" t="inlineStr">
        <is>
          <t>UPPSALA LÄN</t>
        </is>
      </c>
      <c r="E432" t="inlineStr">
        <is>
          <t>UPPSALA</t>
        </is>
      </c>
      <c r="F432" t="inlineStr">
        <is>
          <t>Övriga Aktiebolag</t>
        </is>
      </c>
      <c r="G432" t="n">
        <v>3.7</v>
      </c>
      <c r="H432" t="n">
        <v>0</v>
      </c>
      <c r="I432" t="n">
        <v>0</v>
      </c>
      <c r="J432" t="n">
        <v>0</v>
      </c>
      <c r="K432" t="n">
        <v>0</v>
      </c>
      <c r="L432" t="n">
        <v>0</v>
      </c>
      <c r="M432" t="n">
        <v>0</v>
      </c>
      <c r="N432" t="n">
        <v>0</v>
      </c>
      <c r="O432" t="n">
        <v>0</v>
      </c>
      <c r="P432" t="n">
        <v>0</v>
      </c>
      <c r="Q432" t="n">
        <v>0</v>
      </c>
      <c r="R432" s="2" t="inlineStr"/>
    </row>
    <row r="433" ht="15" customHeight="1">
      <c r="A433" t="inlineStr">
        <is>
          <t>A 60701-2022</t>
        </is>
      </c>
      <c r="B433" s="1" t="n">
        <v>44912</v>
      </c>
      <c r="C433" s="1" t="n">
        <v>46195</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37763-2021</t>
        </is>
      </c>
      <c r="B434" s="1" t="n">
        <v>44400</v>
      </c>
      <c r="C434" s="1" t="n">
        <v>46195</v>
      </c>
      <c r="D434" t="inlineStr">
        <is>
          <t>UPPSALA LÄN</t>
        </is>
      </c>
      <c r="E434" t="inlineStr">
        <is>
          <t>UPPSALA</t>
        </is>
      </c>
      <c r="F434" t="inlineStr">
        <is>
          <t>Bergvik skog öst AB</t>
        </is>
      </c>
      <c r="G434" t="n">
        <v>1</v>
      </c>
      <c r="H434" t="n">
        <v>0</v>
      </c>
      <c r="I434" t="n">
        <v>0</v>
      </c>
      <c r="J434" t="n">
        <v>0</v>
      </c>
      <c r="K434" t="n">
        <v>0</v>
      </c>
      <c r="L434" t="n">
        <v>0</v>
      </c>
      <c r="M434" t="n">
        <v>0</v>
      </c>
      <c r="N434" t="n">
        <v>0</v>
      </c>
      <c r="O434" t="n">
        <v>0</v>
      </c>
      <c r="P434" t="n">
        <v>0</v>
      </c>
      <c r="Q434" t="n">
        <v>0</v>
      </c>
      <c r="R434" s="2" t="inlineStr"/>
    </row>
    <row r="435" ht="15" customHeight="1">
      <c r="A435" t="inlineStr">
        <is>
          <t>A 37820-2021</t>
        </is>
      </c>
      <c r="B435" s="1" t="n">
        <v>44403</v>
      </c>
      <c r="C435" s="1" t="n">
        <v>46195</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42084-2025</t>
        </is>
      </c>
      <c r="B436" s="1" t="n">
        <v>45903</v>
      </c>
      <c r="C436" s="1" t="n">
        <v>46195</v>
      </c>
      <c r="D436" t="inlineStr">
        <is>
          <t>UPPSALA LÄN</t>
        </is>
      </c>
      <c r="E436" t="inlineStr">
        <is>
          <t>UPPSALA</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42085-2025</t>
        </is>
      </c>
      <c r="B437" s="1" t="n">
        <v>45903</v>
      </c>
      <c r="C437" s="1" t="n">
        <v>46195</v>
      </c>
      <c r="D437" t="inlineStr">
        <is>
          <t>UPPSALA LÄN</t>
        </is>
      </c>
      <c r="E437" t="inlineStr">
        <is>
          <t>UPPSALA</t>
        </is>
      </c>
      <c r="F437" t="inlineStr">
        <is>
          <t>Bergvik skog öst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41444-2025</t>
        </is>
      </c>
      <c r="B438" s="1" t="n">
        <v>45901</v>
      </c>
      <c r="C438" s="1" t="n">
        <v>46195</v>
      </c>
      <c r="D438" t="inlineStr">
        <is>
          <t>UPPSALA LÄN</t>
        </is>
      </c>
      <c r="E438" t="inlineStr">
        <is>
          <t>UPPSALA</t>
        </is>
      </c>
      <c r="F438" t="inlineStr">
        <is>
          <t>Kyrkan</t>
        </is>
      </c>
      <c r="G438" t="n">
        <v>4.5</v>
      </c>
      <c r="H438" t="n">
        <v>0</v>
      </c>
      <c r="I438" t="n">
        <v>0</v>
      </c>
      <c r="J438" t="n">
        <v>0</v>
      </c>
      <c r="K438" t="n">
        <v>0</v>
      </c>
      <c r="L438" t="n">
        <v>0</v>
      </c>
      <c r="M438" t="n">
        <v>0</v>
      </c>
      <c r="N438" t="n">
        <v>0</v>
      </c>
      <c r="O438" t="n">
        <v>0</v>
      </c>
      <c r="P438" t="n">
        <v>0</v>
      </c>
      <c r="Q438" t="n">
        <v>0</v>
      </c>
      <c r="R438" s="2" t="inlineStr"/>
    </row>
    <row r="439" ht="15" customHeight="1">
      <c r="A439" t="inlineStr">
        <is>
          <t>A 42347-2025</t>
        </is>
      </c>
      <c r="B439" s="1" t="n">
        <v>45904</v>
      </c>
      <c r="C439" s="1" t="n">
        <v>46195</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6997-2023</t>
        </is>
      </c>
      <c r="B440" s="1" t="n">
        <v>44967</v>
      </c>
      <c r="C440" s="1" t="n">
        <v>46195</v>
      </c>
      <c r="D440" t="inlineStr">
        <is>
          <t>UPPSALA LÄN</t>
        </is>
      </c>
      <c r="E440" t="inlineStr">
        <is>
          <t>UPPSALA</t>
        </is>
      </c>
      <c r="G440" t="n">
        <v>3.9</v>
      </c>
      <c r="H440" t="n">
        <v>0</v>
      </c>
      <c r="I440" t="n">
        <v>0</v>
      </c>
      <c r="J440" t="n">
        <v>0</v>
      </c>
      <c r="K440" t="n">
        <v>0</v>
      </c>
      <c r="L440" t="n">
        <v>0</v>
      </c>
      <c r="M440" t="n">
        <v>0</v>
      </c>
      <c r="N440" t="n">
        <v>0</v>
      </c>
      <c r="O440" t="n">
        <v>0</v>
      </c>
      <c r="P440" t="n">
        <v>0</v>
      </c>
      <c r="Q440" t="n">
        <v>0</v>
      </c>
      <c r="R440" s="2" t="inlineStr"/>
    </row>
    <row r="441" ht="15" customHeight="1">
      <c r="A441" t="inlineStr">
        <is>
          <t>A 42541-2025</t>
        </is>
      </c>
      <c r="B441" s="1" t="n">
        <v>45905</v>
      </c>
      <c r="C441" s="1" t="n">
        <v>46195</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23157-2023</t>
        </is>
      </c>
      <c r="B442" s="1" t="n">
        <v>45075</v>
      </c>
      <c r="C442" s="1" t="n">
        <v>46195</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63307-2021</t>
        </is>
      </c>
      <c r="B443" s="1" t="n">
        <v>44508</v>
      </c>
      <c r="C443" s="1" t="n">
        <v>46195</v>
      </c>
      <c r="D443" t="inlineStr">
        <is>
          <t>UPPSALA LÄN</t>
        </is>
      </c>
      <c r="E443" t="inlineStr">
        <is>
          <t>UPPSALA</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20499-2026</t>
        </is>
      </c>
      <c r="B444" s="1" t="n">
        <v>46140</v>
      </c>
      <c r="C444" s="1" t="n">
        <v>46195</v>
      </c>
      <c r="D444" t="inlineStr">
        <is>
          <t>UPPSALA LÄN</t>
        </is>
      </c>
      <c r="E444" t="inlineStr">
        <is>
          <t>UPPSALA</t>
        </is>
      </c>
      <c r="F444" t="inlineStr">
        <is>
          <t>Allmännings- och besparingsskogar</t>
        </is>
      </c>
      <c r="G444" t="n">
        <v>13.5</v>
      </c>
      <c r="H444" t="n">
        <v>0</v>
      </c>
      <c r="I444" t="n">
        <v>0</v>
      </c>
      <c r="J444" t="n">
        <v>0</v>
      </c>
      <c r="K444" t="n">
        <v>0</v>
      </c>
      <c r="L444" t="n">
        <v>0</v>
      </c>
      <c r="M444" t="n">
        <v>0</v>
      </c>
      <c r="N444" t="n">
        <v>0</v>
      </c>
      <c r="O444" t="n">
        <v>0</v>
      </c>
      <c r="P444" t="n">
        <v>0</v>
      </c>
      <c r="Q444" t="n">
        <v>0</v>
      </c>
      <c r="R444" s="2" t="inlineStr"/>
    </row>
    <row r="445" ht="15" customHeight="1">
      <c r="A445" t="inlineStr">
        <is>
          <t>A 66690-2021</t>
        </is>
      </c>
      <c r="B445" s="1" t="n">
        <v>44519</v>
      </c>
      <c r="C445" s="1" t="n">
        <v>46195</v>
      </c>
      <c r="D445" t="inlineStr">
        <is>
          <t>UPPSALA LÄN</t>
        </is>
      </c>
      <c r="E445" t="inlineStr">
        <is>
          <t>UPPSALA</t>
        </is>
      </c>
      <c r="G445" t="n">
        <v>2.2</v>
      </c>
      <c r="H445" t="n">
        <v>0</v>
      </c>
      <c r="I445" t="n">
        <v>0</v>
      </c>
      <c r="J445" t="n">
        <v>0</v>
      </c>
      <c r="K445" t="n">
        <v>0</v>
      </c>
      <c r="L445" t="n">
        <v>0</v>
      </c>
      <c r="M445" t="n">
        <v>0</v>
      </c>
      <c r="N445" t="n">
        <v>0</v>
      </c>
      <c r="O445" t="n">
        <v>0</v>
      </c>
      <c r="P445" t="n">
        <v>0</v>
      </c>
      <c r="Q445" t="n">
        <v>0</v>
      </c>
      <c r="R445" s="2" t="inlineStr"/>
    </row>
    <row r="446" ht="15" customHeight="1">
      <c r="A446" t="inlineStr">
        <is>
          <t>A 6549-2025</t>
        </is>
      </c>
      <c r="B446" s="1" t="n">
        <v>45699</v>
      </c>
      <c r="C446" s="1" t="n">
        <v>46195</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12830-2025</t>
        </is>
      </c>
      <c r="B447" s="1" t="n">
        <v>45733</v>
      </c>
      <c r="C447" s="1" t="n">
        <v>46195</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18808-2024</t>
        </is>
      </c>
      <c r="B448" s="1" t="n">
        <v>45426</v>
      </c>
      <c r="C448" s="1" t="n">
        <v>46195</v>
      </c>
      <c r="D448" t="inlineStr">
        <is>
          <t>UPPSALA LÄN</t>
        </is>
      </c>
      <c r="E448" t="inlineStr">
        <is>
          <t>UPPSALA</t>
        </is>
      </c>
      <c r="G448" t="n">
        <v>11.5</v>
      </c>
      <c r="H448" t="n">
        <v>0</v>
      </c>
      <c r="I448" t="n">
        <v>0</v>
      </c>
      <c r="J448" t="n">
        <v>0</v>
      </c>
      <c r="K448" t="n">
        <v>0</v>
      </c>
      <c r="L448" t="n">
        <v>0</v>
      </c>
      <c r="M448" t="n">
        <v>0</v>
      </c>
      <c r="N448" t="n">
        <v>0</v>
      </c>
      <c r="O448" t="n">
        <v>0</v>
      </c>
      <c r="P448" t="n">
        <v>0</v>
      </c>
      <c r="Q448" t="n">
        <v>0</v>
      </c>
      <c r="R448" s="2" t="inlineStr"/>
    </row>
    <row r="449" ht="15" customHeight="1">
      <c r="A449" t="inlineStr">
        <is>
          <t>A 43893-2025</t>
        </is>
      </c>
      <c r="B449" s="1" t="n">
        <v>45912</v>
      </c>
      <c r="C449" s="1" t="n">
        <v>46195</v>
      </c>
      <c r="D449" t="inlineStr">
        <is>
          <t>UPPSALA LÄN</t>
        </is>
      </c>
      <c r="E449" t="inlineStr">
        <is>
          <t>UPPSALA</t>
        </is>
      </c>
      <c r="F449" t="inlineStr">
        <is>
          <t>Kyrkan</t>
        </is>
      </c>
      <c r="G449" t="n">
        <v>5.7</v>
      </c>
      <c r="H449" t="n">
        <v>0</v>
      </c>
      <c r="I449" t="n">
        <v>0</v>
      </c>
      <c r="J449" t="n">
        <v>0</v>
      </c>
      <c r="K449" t="n">
        <v>0</v>
      </c>
      <c r="L449" t="n">
        <v>0</v>
      </c>
      <c r="M449" t="n">
        <v>0</v>
      </c>
      <c r="N449" t="n">
        <v>0</v>
      </c>
      <c r="O449" t="n">
        <v>0</v>
      </c>
      <c r="P449" t="n">
        <v>0</v>
      </c>
      <c r="Q449" t="n">
        <v>0</v>
      </c>
      <c r="R449" s="2" t="inlineStr"/>
    </row>
    <row r="450" ht="15" customHeight="1">
      <c r="A450" t="inlineStr">
        <is>
          <t>A 28782-2024</t>
        </is>
      </c>
      <c r="B450" s="1" t="n">
        <v>45478</v>
      </c>
      <c r="C450" s="1" t="n">
        <v>46195</v>
      </c>
      <c r="D450" t="inlineStr">
        <is>
          <t>UPPSALA LÄN</t>
        </is>
      </c>
      <c r="E450" t="inlineStr">
        <is>
          <t>UPPSALA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36781-2023</t>
        </is>
      </c>
      <c r="B451" s="1" t="n">
        <v>45154</v>
      </c>
      <c r="C451" s="1" t="n">
        <v>46195</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27912-2023</t>
        </is>
      </c>
      <c r="B452" s="1" t="n">
        <v>45098</v>
      </c>
      <c r="C452" s="1" t="n">
        <v>46195</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6550-2025</t>
        </is>
      </c>
      <c r="B453" s="1" t="n">
        <v>45699</v>
      </c>
      <c r="C453" s="1" t="n">
        <v>46195</v>
      </c>
      <c r="D453" t="inlineStr">
        <is>
          <t>UPPSALA LÄN</t>
        </is>
      </c>
      <c r="E453" t="inlineStr">
        <is>
          <t>UPPSALA</t>
        </is>
      </c>
      <c r="G453" t="n">
        <v>2.4</v>
      </c>
      <c r="H453" t="n">
        <v>0</v>
      </c>
      <c r="I453" t="n">
        <v>0</v>
      </c>
      <c r="J453" t="n">
        <v>0</v>
      </c>
      <c r="K453" t="n">
        <v>0</v>
      </c>
      <c r="L453" t="n">
        <v>0</v>
      </c>
      <c r="M453" t="n">
        <v>0</v>
      </c>
      <c r="N453" t="n">
        <v>0</v>
      </c>
      <c r="O453" t="n">
        <v>0</v>
      </c>
      <c r="P453" t="n">
        <v>0</v>
      </c>
      <c r="Q453" t="n">
        <v>0</v>
      </c>
      <c r="R453" s="2" t="inlineStr"/>
    </row>
    <row r="454" ht="15" customHeight="1">
      <c r="A454" t="inlineStr">
        <is>
          <t>A 12282-2025</t>
        </is>
      </c>
      <c r="B454" s="1" t="n">
        <v>45729</v>
      </c>
      <c r="C454" s="1" t="n">
        <v>46195</v>
      </c>
      <c r="D454" t="inlineStr">
        <is>
          <t>UPPSALA LÄN</t>
        </is>
      </c>
      <c r="E454" t="inlineStr">
        <is>
          <t>UPPSALA</t>
        </is>
      </c>
      <c r="G454" t="n">
        <v>3.3</v>
      </c>
      <c r="H454" t="n">
        <v>0</v>
      </c>
      <c r="I454" t="n">
        <v>0</v>
      </c>
      <c r="J454" t="n">
        <v>0</v>
      </c>
      <c r="K454" t="n">
        <v>0</v>
      </c>
      <c r="L454" t="n">
        <v>0</v>
      </c>
      <c r="M454" t="n">
        <v>0</v>
      </c>
      <c r="N454" t="n">
        <v>0</v>
      </c>
      <c r="O454" t="n">
        <v>0</v>
      </c>
      <c r="P454" t="n">
        <v>0</v>
      </c>
      <c r="Q454" t="n">
        <v>0</v>
      </c>
      <c r="R454" s="2" t="inlineStr"/>
    </row>
    <row r="455" ht="15" customHeight="1">
      <c r="A455" t="inlineStr">
        <is>
          <t>A 5764-2025</t>
        </is>
      </c>
      <c r="B455" s="1" t="n">
        <v>45694</v>
      </c>
      <c r="C455" s="1" t="n">
        <v>46195</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14907-2025</t>
        </is>
      </c>
      <c r="B456" s="1" t="n">
        <v>45743</v>
      </c>
      <c r="C456" s="1" t="n">
        <v>46195</v>
      </c>
      <c r="D456" t="inlineStr">
        <is>
          <t>UPPSALA LÄN</t>
        </is>
      </c>
      <c r="E456" t="inlineStr">
        <is>
          <t>UPPSALA</t>
        </is>
      </c>
      <c r="G456" t="n">
        <v>7</v>
      </c>
      <c r="H456" t="n">
        <v>0</v>
      </c>
      <c r="I456" t="n">
        <v>0</v>
      </c>
      <c r="J456" t="n">
        <v>0</v>
      </c>
      <c r="K456" t="n">
        <v>0</v>
      </c>
      <c r="L456" t="n">
        <v>0</v>
      </c>
      <c r="M456" t="n">
        <v>0</v>
      </c>
      <c r="N456" t="n">
        <v>0</v>
      </c>
      <c r="O456" t="n">
        <v>0</v>
      </c>
      <c r="P456" t="n">
        <v>0</v>
      </c>
      <c r="Q456" t="n">
        <v>0</v>
      </c>
      <c r="R456" s="2" t="inlineStr"/>
    </row>
    <row r="457" ht="15" customHeight="1">
      <c r="A457" t="inlineStr">
        <is>
          <t>A 41545-2023</t>
        </is>
      </c>
      <c r="B457" s="1" t="n">
        <v>45175</v>
      </c>
      <c r="C457" s="1" t="n">
        <v>46195</v>
      </c>
      <c r="D457" t="inlineStr">
        <is>
          <t>UPPSALA LÄN</t>
        </is>
      </c>
      <c r="E457" t="inlineStr">
        <is>
          <t>UPPSALA</t>
        </is>
      </c>
      <c r="G457" t="n">
        <v>6.6</v>
      </c>
      <c r="H457" t="n">
        <v>0</v>
      </c>
      <c r="I457" t="n">
        <v>0</v>
      </c>
      <c r="J457" t="n">
        <v>0</v>
      </c>
      <c r="K457" t="n">
        <v>0</v>
      </c>
      <c r="L457" t="n">
        <v>0</v>
      </c>
      <c r="M457" t="n">
        <v>0</v>
      </c>
      <c r="N457" t="n">
        <v>0</v>
      </c>
      <c r="O457" t="n">
        <v>0</v>
      </c>
      <c r="P457" t="n">
        <v>0</v>
      </c>
      <c r="Q457" t="n">
        <v>0</v>
      </c>
      <c r="R457" s="2" t="inlineStr"/>
    </row>
    <row r="458" ht="15" customHeight="1">
      <c r="A458" t="inlineStr">
        <is>
          <t>A 44226-2025</t>
        </is>
      </c>
      <c r="B458" s="1" t="n">
        <v>45915</v>
      </c>
      <c r="C458" s="1" t="n">
        <v>46195</v>
      </c>
      <c r="D458" t="inlineStr">
        <is>
          <t>UPPSALA LÄN</t>
        </is>
      </c>
      <c r="E458" t="inlineStr">
        <is>
          <t>UPPSALA</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40100-2022</t>
        </is>
      </c>
      <c r="B459" s="1" t="n">
        <v>44820</v>
      </c>
      <c r="C459" s="1" t="n">
        <v>46195</v>
      </c>
      <c r="D459" t="inlineStr">
        <is>
          <t>UPPSALA LÄN</t>
        </is>
      </c>
      <c r="E459" t="inlineStr">
        <is>
          <t>UPPSALA</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60691-2024</t>
        </is>
      </c>
      <c r="B460" s="1" t="n">
        <v>45644</v>
      </c>
      <c r="C460" s="1" t="n">
        <v>46195</v>
      </c>
      <c r="D460" t="inlineStr">
        <is>
          <t>UPPSALA LÄN</t>
        </is>
      </c>
      <c r="E460" t="inlineStr">
        <is>
          <t>UPPSALA</t>
        </is>
      </c>
      <c r="G460" t="n">
        <v>1.4</v>
      </c>
      <c r="H460" t="n">
        <v>0</v>
      </c>
      <c r="I460" t="n">
        <v>0</v>
      </c>
      <c r="J460" t="n">
        <v>0</v>
      </c>
      <c r="K460" t="n">
        <v>0</v>
      </c>
      <c r="L460" t="n">
        <v>0</v>
      </c>
      <c r="M460" t="n">
        <v>0</v>
      </c>
      <c r="N460" t="n">
        <v>0</v>
      </c>
      <c r="O460" t="n">
        <v>0</v>
      </c>
      <c r="P460" t="n">
        <v>0</v>
      </c>
      <c r="Q460" t="n">
        <v>0</v>
      </c>
      <c r="R460" s="2" t="inlineStr"/>
    </row>
    <row r="461" ht="15" customHeight="1">
      <c r="A461" t="inlineStr">
        <is>
          <t>A 13526-2023</t>
        </is>
      </c>
      <c r="B461" s="1" t="n">
        <v>45006</v>
      </c>
      <c r="C461" s="1" t="n">
        <v>46195</v>
      </c>
      <c r="D461" t="inlineStr">
        <is>
          <t>UPPSALA LÄN</t>
        </is>
      </c>
      <c r="E461" t="inlineStr">
        <is>
          <t>UPPSALA</t>
        </is>
      </c>
      <c r="G461" t="n">
        <v>0.7</v>
      </c>
      <c r="H461" t="n">
        <v>0</v>
      </c>
      <c r="I461" t="n">
        <v>0</v>
      </c>
      <c r="J461" t="n">
        <v>0</v>
      </c>
      <c r="K461" t="n">
        <v>0</v>
      </c>
      <c r="L461" t="n">
        <v>0</v>
      </c>
      <c r="M461" t="n">
        <v>0</v>
      </c>
      <c r="N461" t="n">
        <v>0</v>
      </c>
      <c r="O461" t="n">
        <v>0</v>
      </c>
      <c r="P461" t="n">
        <v>0</v>
      </c>
      <c r="Q461" t="n">
        <v>0</v>
      </c>
      <c r="R461" s="2" t="inlineStr"/>
    </row>
    <row r="462" ht="15" customHeight="1">
      <c r="A462" t="inlineStr">
        <is>
          <t>A 1825-2024</t>
        </is>
      </c>
      <c r="B462" s="1" t="n">
        <v>45307</v>
      </c>
      <c r="C462" s="1" t="n">
        <v>46195</v>
      </c>
      <c r="D462" t="inlineStr">
        <is>
          <t>UPPSALA LÄN</t>
        </is>
      </c>
      <c r="E462" t="inlineStr">
        <is>
          <t>UPPSALA</t>
        </is>
      </c>
      <c r="G462" t="n">
        <v>4.2</v>
      </c>
      <c r="H462" t="n">
        <v>0</v>
      </c>
      <c r="I462" t="n">
        <v>0</v>
      </c>
      <c r="J462" t="n">
        <v>0</v>
      </c>
      <c r="K462" t="n">
        <v>0</v>
      </c>
      <c r="L462" t="n">
        <v>0</v>
      </c>
      <c r="M462" t="n">
        <v>0</v>
      </c>
      <c r="N462" t="n">
        <v>0</v>
      </c>
      <c r="O462" t="n">
        <v>0</v>
      </c>
      <c r="P462" t="n">
        <v>0</v>
      </c>
      <c r="Q462" t="n">
        <v>0</v>
      </c>
      <c r="R462" s="2" t="inlineStr"/>
    </row>
    <row r="463" ht="15" customHeight="1">
      <c r="A463" t="inlineStr">
        <is>
          <t>A 44470-2025</t>
        </is>
      </c>
      <c r="B463" s="1" t="n">
        <v>45916</v>
      </c>
      <c r="C463" s="1" t="n">
        <v>46195</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21727-2023</t>
        </is>
      </c>
      <c r="B464" s="1" t="n">
        <v>45065</v>
      </c>
      <c r="C464" s="1" t="n">
        <v>46195</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59116-2024</t>
        </is>
      </c>
      <c r="B465" s="1" t="n">
        <v>45637</v>
      </c>
      <c r="C465" s="1" t="n">
        <v>46195</v>
      </c>
      <c r="D465" t="inlineStr">
        <is>
          <t>UPPSALA LÄN</t>
        </is>
      </c>
      <c r="E465" t="inlineStr">
        <is>
          <t>UPPSALA</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4412-2024</t>
        </is>
      </c>
      <c r="B466" s="1" t="n">
        <v>45327</v>
      </c>
      <c r="C466" s="1" t="n">
        <v>46195</v>
      </c>
      <c r="D466" t="inlineStr">
        <is>
          <t>UPPSALA LÄN</t>
        </is>
      </c>
      <c r="E466" t="inlineStr">
        <is>
          <t>UPPSALA</t>
        </is>
      </c>
      <c r="G466" t="n">
        <v>5.4</v>
      </c>
      <c r="H466" t="n">
        <v>0</v>
      </c>
      <c r="I466" t="n">
        <v>0</v>
      </c>
      <c r="J466" t="n">
        <v>0</v>
      </c>
      <c r="K466" t="n">
        <v>0</v>
      </c>
      <c r="L466" t="n">
        <v>0</v>
      </c>
      <c r="M466" t="n">
        <v>0</v>
      </c>
      <c r="N466" t="n">
        <v>0</v>
      </c>
      <c r="O466" t="n">
        <v>0</v>
      </c>
      <c r="P466" t="n">
        <v>0</v>
      </c>
      <c r="Q466" t="n">
        <v>0</v>
      </c>
      <c r="R466" s="2" t="inlineStr"/>
    </row>
    <row r="467" ht="15" customHeight="1">
      <c r="A467" t="inlineStr">
        <is>
          <t>A 69698-2021</t>
        </is>
      </c>
      <c r="B467" s="1" t="n">
        <v>44532</v>
      </c>
      <c r="C467" s="1" t="n">
        <v>46195</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44813-2025</t>
        </is>
      </c>
      <c r="B468" s="1" t="n">
        <v>45918</v>
      </c>
      <c r="C468" s="1" t="n">
        <v>46195</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787-2024</t>
        </is>
      </c>
      <c r="B469" s="1" t="n">
        <v>45300</v>
      </c>
      <c r="C469" s="1" t="n">
        <v>46195</v>
      </c>
      <c r="D469" t="inlineStr">
        <is>
          <t>UPPSALA LÄN</t>
        </is>
      </c>
      <c r="E469" t="inlineStr">
        <is>
          <t>UPPSALA</t>
        </is>
      </c>
      <c r="G469" t="n">
        <v>3</v>
      </c>
      <c r="H469" t="n">
        <v>0</v>
      </c>
      <c r="I469" t="n">
        <v>0</v>
      </c>
      <c r="J469" t="n">
        <v>0</v>
      </c>
      <c r="K469" t="n">
        <v>0</v>
      </c>
      <c r="L469" t="n">
        <v>0</v>
      </c>
      <c r="M469" t="n">
        <v>0</v>
      </c>
      <c r="N469" t="n">
        <v>0</v>
      </c>
      <c r="O469" t="n">
        <v>0</v>
      </c>
      <c r="P469" t="n">
        <v>0</v>
      </c>
      <c r="Q469" t="n">
        <v>0</v>
      </c>
      <c r="R469" s="2" t="inlineStr"/>
    </row>
    <row r="470" ht="15" customHeight="1">
      <c r="A470" t="inlineStr">
        <is>
          <t>A 45405-2025</t>
        </is>
      </c>
      <c r="B470" s="1" t="n">
        <v>45922</v>
      </c>
      <c r="C470" s="1" t="n">
        <v>46195</v>
      </c>
      <c r="D470" t="inlineStr">
        <is>
          <t>UPPSALA LÄN</t>
        </is>
      </c>
      <c r="E470" t="inlineStr">
        <is>
          <t>UPPSALA</t>
        </is>
      </c>
      <c r="G470" t="n">
        <v>1.6</v>
      </c>
      <c r="H470" t="n">
        <v>0</v>
      </c>
      <c r="I470" t="n">
        <v>0</v>
      </c>
      <c r="J470" t="n">
        <v>0</v>
      </c>
      <c r="K470" t="n">
        <v>0</v>
      </c>
      <c r="L470" t="n">
        <v>0</v>
      </c>
      <c r="M470" t="n">
        <v>0</v>
      </c>
      <c r="N470" t="n">
        <v>0</v>
      </c>
      <c r="O470" t="n">
        <v>0</v>
      </c>
      <c r="P470" t="n">
        <v>0</v>
      </c>
      <c r="Q470" t="n">
        <v>0</v>
      </c>
      <c r="R470" s="2" t="inlineStr"/>
    </row>
    <row r="471" ht="15" customHeight="1">
      <c r="A471" t="inlineStr">
        <is>
          <t>A 29815-2023</t>
        </is>
      </c>
      <c r="B471" s="1" t="n">
        <v>45107</v>
      </c>
      <c r="C471" s="1" t="n">
        <v>46195</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45519-2025</t>
        </is>
      </c>
      <c r="B472" s="1" t="n">
        <v>45922</v>
      </c>
      <c r="C472" s="1" t="n">
        <v>46195</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20102-2023</t>
        </is>
      </c>
      <c r="B473" s="1" t="n">
        <v>45054</v>
      </c>
      <c r="C473" s="1" t="n">
        <v>46195</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21033-2025</t>
        </is>
      </c>
      <c r="B474" s="1" t="n">
        <v>45777</v>
      </c>
      <c r="C474" s="1" t="n">
        <v>46195</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33667-2024</t>
        </is>
      </c>
      <c r="B475" s="1" t="n">
        <v>45520</v>
      </c>
      <c r="C475" s="1" t="n">
        <v>46195</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37759-2025</t>
        </is>
      </c>
      <c r="B476" s="1" t="n">
        <v>45880</v>
      </c>
      <c r="C476" s="1" t="n">
        <v>46195</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44847-2024</t>
        </is>
      </c>
      <c r="B477" s="1" t="n">
        <v>45574</v>
      </c>
      <c r="C477" s="1" t="n">
        <v>46195</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43-2024</t>
        </is>
      </c>
      <c r="B478" s="1" t="n">
        <v>45293</v>
      </c>
      <c r="C478" s="1" t="n">
        <v>46195</v>
      </c>
      <c r="D478" t="inlineStr">
        <is>
          <t>UPPSALA LÄN</t>
        </is>
      </c>
      <c r="E478" t="inlineStr">
        <is>
          <t>UPPSALA</t>
        </is>
      </c>
      <c r="G478" t="n">
        <v>2.8</v>
      </c>
      <c r="H478" t="n">
        <v>0</v>
      </c>
      <c r="I478" t="n">
        <v>0</v>
      </c>
      <c r="J478" t="n">
        <v>0</v>
      </c>
      <c r="K478" t="n">
        <v>0</v>
      </c>
      <c r="L478" t="n">
        <v>0</v>
      </c>
      <c r="M478" t="n">
        <v>0</v>
      </c>
      <c r="N478" t="n">
        <v>0</v>
      </c>
      <c r="O478" t="n">
        <v>0</v>
      </c>
      <c r="P478" t="n">
        <v>0</v>
      </c>
      <c r="Q478" t="n">
        <v>0</v>
      </c>
      <c r="R478" s="2" t="inlineStr"/>
    </row>
    <row r="479" ht="15" customHeight="1">
      <c r="A479" t="inlineStr">
        <is>
          <t>A 45904-2025</t>
        </is>
      </c>
      <c r="B479" s="1" t="n">
        <v>45923</v>
      </c>
      <c r="C479" s="1" t="n">
        <v>46195</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21279-2025</t>
        </is>
      </c>
      <c r="B480" s="1" t="n">
        <v>45779</v>
      </c>
      <c r="C480" s="1" t="n">
        <v>46195</v>
      </c>
      <c r="D480" t="inlineStr">
        <is>
          <t>UPPSALA LÄN</t>
        </is>
      </c>
      <c r="E480" t="inlineStr">
        <is>
          <t>UPPSALA</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19017-2023</t>
        </is>
      </c>
      <c r="B481" s="1" t="n">
        <v>45047</v>
      </c>
      <c r="C481" s="1" t="n">
        <v>46195</v>
      </c>
      <c r="D481" t="inlineStr">
        <is>
          <t>UPPSALA LÄN</t>
        </is>
      </c>
      <c r="E481" t="inlineStr">
        <is>
          <t>UPPSALA</t>
        </is>
      </c>
      <c r="G481" t="n">
        <v>0.6</v>
      </c>
      <c r="H481" t="n">
        <v>0</v>
      </c>
      <c r="I481" t="n">
        <v>0</v>
      </c>
      <c r="J481" t="n">
        <v>0</v>
      </c>
      <c r="K481" t="n">
        <v>0</v>
      </c>
      <c r="L481" t="n">
        <v>0</v>
      </c>
      <c r="M481" t="n">
        <v>0</v>
      </c>
      <c r="N481" t="n">
        <v>0</v>
      </c>
      <c r="O481" t="n">
        <v>0</v>
      </c>
      <c r="P481" t="n">
        <v>0</v>
      </c>
      <c r="Q481" t="n">
        <v>0</v>
      </c>
      <c r="R481" s="2" t="inlineStr"/>
    </row>
    <row r="482" ht="15" customHeight="1">
      <c r="A482" t="inlineStr">
        <is>
          <t>A 45903-2025</t>
        </is>
      </c>
      <c r="B482" s="1" t="n">
        <v>45923</v>
      </c>
      <c r="C482" s="1" t="n">
        <v>46195</v>
      </c>
      <c r="D482" t="inlineStr">
        <is>
          <t>UPPSALA LÄN</t>
        </is>
      </c>
      <c r="E482" t="inlineStr">
        <is>
          <t>UPPSALA</t>
        </is>
      </c>
      <c r="F482" t="inlineStr">
        <is>
          <t>Kyrkan</t>
        </is>
      </c>
      <c r="G482" t="n">
        <v>1.4</v>
      </c>
      <c r="H482" t="n">
        <v>0</v>
      </c>
      <c r="I482" t="n">
        <v>0</v>
      </c>
      <c r="J482" t="n">
        <v>0</v>
      </c>
      <c r="K482" t="n">
        <v>0</v>
      </c>
      <c r="L482" t="n">
        <v>0</v>
      </c>
      <c r="M482" t="n">
        <v>0</v>
      </c>
      <c r="N482" t="n">
        <v>0</v>
      </c>
      <c r="O482" t="n">
        <v>0</v>
      </c>
      <c r="P482" t="n">
        <v>0</v>
      </c>
      <c r="Q482" t="n">
        <v>0</v>
      </c>
      <c r="R482" s="2" t="inlineStr"/>
    </row>
    <row r="483" ht="15" customHeight="1">
      <c r="A483" t="inlineStr">
        <is>
          <t>A 55862-2022</t>
        </is>
      </c>
      <c r="B483" s="1" t="n">
        <v>44888</v>
      </c>
      <c r="C483" s="1" t="n">
        <v>46195</v>
      </c>
      <c r="D483" t="inlineStr">
        <is>
          <t>UPPSALA LÄN</t>
        </is>
      </c>
      <c r="E483" t="inlineStr">
        <is>
          <t>UPPSALA</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26000-2026</t>
        </is>
      </c>
      <c r="B484" s="1" t="n">
        <v>46181</v>
      </c>
      <c r="C484" s="1" t="n">
        <v>46195</v>
      </c>
      <c r="D484" t="inlineStr">
        <is>
          <t>UPPSALA LÄN</t>
        </is>
      </c>
      <c r="E484" t="inlineStr">
        <is>
          <t>UPPSALA</t>
        </is>
      </c>
      <c r="F484" t="inlineStr">
        <is>
          <t>Sveaskog</t>
        </is>
      </c>
      <c r="G484" t="n">
        <v>9.9</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v>
      </c>
      <c r="C485" s="1" t="n">
        <v>46195</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49989-2025</t>
        </is>
      </c>
      <c r="B486" s="1" t="n">
        <v>45942</v>
      </c>
      <c r="C486" s="1" t="n">
        <v>46195</v>
      </c>
      <c r="D486" t="inlineStr">
        <is>
          <t>UPPSALA LÄN</t>
        </is>
      </c>
      <c r="E486" t="inlineStr">
        <is>
          <t>UPPSALA</t>
        </is>
      </c>
      <c r="G486" t="n">
        <v>2.4</v>
      </c>
      <c r="H486" t="n">
        <v>0</v>
      </c>
      <c r="I486" t="n">
        <v>0</v>
      </c>
      <c r="J486" t="n">
        <v>0</v>
      </c>
      <c r="K486" t="n">
        <v>0</v>
      </c>
      <c r="L486" t="n">
        <v>0</v>
      </c>
      <c r="M486" t="n">
        <v>0</v>
      </c>
      <c r="N486" t="n">
        <v>0</v>
      </c>
      <c r="O486" t="n">
        <v>0</v>
      </c>
      <c r="P486" t="n">
        <v>0</v>
      </c>
      <c r="Q486" t="n">
        <v>0</v>
      </c>
      <c r="R486" s="2" t="inlineStr"/>
    </row>
    <row r="487" ht="15" customHeight="1">
      <c r="A487" t="inlineStr">
        <is>
          <t>A 33191-2023</t>
        </is>
      </c>
      <c r="B487" s="1" t="n">
        <v>45127</v>
      </c>
      <c r="C487" s="1" t="n">
        <v>46195</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34265-2021</t>
        </is>
      </c>
      <c r="B488" s="1" t="n">
        <v>44379</v>
      </c>
      <c r="C488" s="1" t="n">
        <v>46195</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46571-2025</t>
        </is>
      </c>
      <c r="B489" s="1" t="n">
        <v>45926</v>
      </c>
      <c r="C489" s="1" t="n">
        <v>46195</v>
      </c>
      <c r="D489" t="inlineStr">
        <is>
          <t>UPPSALA LÄN</t>
        </is>
      </c>
      <c r="E489" t="inlineStr">
        <is>
          <t>UPPSALA</t>
        </is>
      </c>
      <c r="F489" t="inlineStr">
        <is>
          <t>Bergvik skog öst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v>
      </c>
      <c r="C490" s="1" t="n">
        <v>46195</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v>
      </c>
      <c r="C491" s="1" t="n">
        <v>46195</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53384-2024</t>
        </is>
      </c>
      <c r="B492" s="1" t="n">
        <v>45614</v>
      </c>
      <c r="C492" s="1" t="n">
        <v>46195</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46775-2025</t>
        </is>
      </c>
      <c r="B493" s="1" t="n">
        <v>45926</v>
      </c>
      <c r="C493" s="1" t="n">
        <v>46195</v>
      </c>
      <c r="D493" t="inlineStr">
        <is>
          <t>UPPSALA LÄN</t>
        </is>
      </c>
      <c r="E493" t="inlineStr">
        <is>
          <t>UPPSALA</t>
        </is>
      </c>
      <c r="F493" t="inlineStr">
        <is>
          <t>Kyrkan</t>
        </is>
      </c>
      <c r="G493" t="n">
        <v>0.9</v>
      </c>
      <c r="H493" t="n">
        <v>0</v>
      </c>
      <c r="I493" t="n">
        <v>0</v>
      </c>
      <c r="J493" t="n">
        <v>0</v>
      </c>
      <c r="K493" t="n">
        <v>0</v>
      </c>
      <c r="L493" t="n">
        <v>0</v>
      </c>
      <c r="M493" t="n">
        <v>0</v>
      </c>
      <c r="N493" t="n">
        <v>0</v>
      </c>
      <c r="O493" t="n">
        <v>0</v>
      </c>
      <c r="P493" t="n">
        <v>0</v>
      </c>
      <c r="Q493" t="n">
        <v>0</v>
      </c>
      <c r="R493" s="2" t="inlineStr"/>
    </row>
    <row r="494" ht="15" customHeight="1">
      <c r="A494" t="inlineStr">
        <is>
          <t>A 46772-2025</t>
        </is>
      </c>
      <c r="B494" s="1" t="n">
        <v>45926</v>
      </c>
      <c r="C494" s="1" t="n">
        <v>46195</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36253-2025</t>
        </is>
      </c>
      <c r="B495" s="1" t="n">
        <v>45867</v>
      </c>
      <c r="C495" s="1" t="n">
        <v>46195</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62054-2024</t>
        </is>
      </c>
      <c r="B496" s="1" t="n">
        <v>45656</v>
      </c>
      <c r="C496" s="1" t="n">
        <v>46195</v>
      </c>
      <c r="D496" t="inlineStr">
        <is>
          <t>UPPSALA LÄN</t>
        </is>
      </c>
      <c r="E496" t="inlineStr">
        <is>
          <t>UPPSALA</t>
        </is>
      </c>
      <c r="F496" t="inlineStr">
        <is>
          <t>Övriga statliga verk och myndigheter</t>
        </is>
      </c>
      <c r="G496" t="n">
        <v>29.3</v>
      </c>
      <c r="H496" t="n">
        <v>0</v>
      </c>
      <c r="I496" t="n">
        <v>0</v>
      </c>
      <c r="J496" t="n">
        <v>0</v>
      </c>
      <c r="K496" t="n">
        <v>0</v>
      </c>
      <c r="L496" t="n">
        <v>0</v>
      </c>
      <c r="M496" t="n">
        <v>0</v>
      </c>
      <c r="N496" t="n">
        <v>0</v>
      </c>
      <c r="O496" t="n">
        <v>0</v>
      </c>
      <c r="P496" t="n">
        <v>0</v>
      </c>
      <c r="Q496" t="n">
        <v>0</v>
      </c>
      <c r="R496" s="2" t="inlineStr"/>
    </row>
    <row r="497" ht="15" customHeight="1">
      <c r="A497" t="inlineStr">
        <is>
          <t>A 5204-2025</t>
        </is>
      </c>
      <c r="B497" s="1" t="n">
        <v>45691</v>
      </c>
      <c r="C497" s="1" t="n">
        <v>46195</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19139-2023</t>
        </is>
      </c>
      <c r="B498" s="1" t="n">
        <v>45048</v>
      </c>
      <c r="C498" s="1" t="n">
        <v>46195</v>
      </c>
      <c r="D498" t="inlineStr">
        <is>
          <t>UPPSALA LÄN</t>
        </is>
      </c>
      <c r="E498" t="inlineStr">
        <is>
          <t>UPPSALA</t>
        </is>
      </c>
      <c r="G498" t="n">
        <v>3</v>
      </c>
      <c r="H498" t="n">
        <v>0</v>
      </c>
      <c r="I498" t="n">
        <v>0</v>
      </c>
      <c r="J498" t="n">
        <v>0</v>
      </c>
      <c r="K498" t="n">
        <v>0</v>
      </c>
      <c r="L498" t="n">
        <v>0</v>
      </c>
      <c r="M498" t="n">
        <v>0</v>
      </c>
      <c r="N498" t="n">
        <v>0</v>
      </c>
      <c r="O498" t="n">
        <v>0</v>
      </c>
      <c r="P498" t="n">
        <v>0</v>
      </c>
      <c r="Q498" t="n">
        <v>0</v>
      </c>
      <c r="R498" s="2" t="inlineStr"/>
    </row>
    <row r="499" ht="15" customHeight="1">
      <c r="A499" t="inlineStr">
        <is>
          <t>A 47316-2025</t>
        </is>
      </c>
      <c r="B499" s="1" t="n">
        <v>45930</v>
      </c>
      <c r="C499" s="1" t="n">
        <v>46195</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750-2022</t>
        </is>
      </c>
      <c r="B500" s="1" t="n">
        <v>44569</v>
      </c>
      <c r="C500" s="1" t="n">
        <v>46195</v>
      </c>
      <c r="D500" t="inlineStr">
        <is>
          <t>UPPSALA LÄN</t>
        </is>
      </c>
      <c r="E500" t="inlineStr">
        <is>
          <t>UPPSALA</t>
        </is>
      </c>
      <c r="F500" t="inlineStr">
        <is>
          <t>Holmen skog AB</t>
        </is>
      </c>
      <c r="G500" t="n">
        <v>6</v>
      </c>
      <c r="H500" t="n">
        <v>0</v>
      </c>
      <c r="I500" t="n">
        <v>0</v>
      </c>
      <c r="J500" t="n">
        <v>0</v>
      </c>
      <c r="K500" t="n">
        <v>0</v>
      </c>
      <c r="L500" t="n">
        <v>0</v>
      </c>
      <c r="M500" t="n">
        <v>0</v>
      </c>
      <c r="N500" t="n">
        <v>0</v>
      </c>
      <c r="O500" t="n">
        <v>0</v>
      </c>
      <c r="P500" t="n">
        <v>0</v>
      </c>
      <c r="Q500" t="n">
        <v>0</v>
      </c>
      <c r="R500" s="2" t="inlineStr"/>
    </row>
    <row r="501" ht="15" customHeight="1">
      <c r="A501" t="inlineStr">
        <is>
          <t>A 22018-2025</t>
        </is>
      </c>
      <c r="B501" s="1" t="n">
        <v>45784</v>
      </c>
      <c r="C501" s="1" t="n">
        <v>46195</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4980-2024</t>
        </is>
      </c>
      <c r="B502" s="1" t="n">
        <v>45329</v>
      </c>
      <c r="C502" s="1" t="n">
        <v>46195</v>
      </c>
      <c r="D502" t="inlineStr">
        <is>
          <t>UPPSALA LÄN</t>
        </is>
      </c>
      <c r="E502" t="inlineStr">
        <is>
          <t>UPPSALA</t>
        </is>
      </c>
      <c r="G502" t="n">
        <v>10.8</v>
      </c>
      <c r="H502" t="n">
        <v>0</v>
      </c>
      <c r="I502" t="n">
        <v>0</v>
      </c>
      <c r="J502" t="n">
        <v>0</v>
      </c>
      <c r="K502" t="n">
        <v>0</v>
      </c>
      <c r="L502" t="n">
        <v>0</v>
      </c>
      <c r="M502" t="n">
        <v>0</v>
      </c>
      <c r="N502" t="n">
        <v>0</v>
      </c>
      <c r="O502" t="n">
        <v>0</v>
      </c>
      <c r="P502" t="n">
        <v>0</v>
      </c>
      <c r="Q502" t="n">
        <v>0</v>
      </c>
      <c r="R502" s="2" t="inlineStr"/>
    </row>
    <row r="503" ht="15" customHeight="1">
      <c r="A503" t="inlineStr">
        <is>
          <t>A 42131-2023</t>
        </is>
      </c>
      <c r="B503" s="1" t="n">
        <v>45177</v>
      </c>
      <c r="C503" s="1" t="n">
        <v>46195</v>
      </c>
      <c r="D503" t="inlineStr">
        <is>
          <t>UPPSALA LÄN</t>
        </is>
      </c>
      <c r="E503" t="inlineStr">
        <is>
          <t>UPPSALA</t>
        </is>
      </c>
      <c r="F503" t="inlineStr">
        <is>
          <t>Allmännings- och besparingsskogar</t>
        </is>
      </c>
      <c r="G503" t="n">
        <v>6.3</v>
      </c>
      <c r="H503" t="n">
        <v>0</v>
      </c>
      <c r="I503" t="n">
        <v>0</v>
      </c>
      <c r="J503" t="n">
        <v>0</v>
      </c>
      <c r="K503" t="n">
        <v>0</v>
      </c>
      <c r="L503" t="n">
        <v>0</v>
      </c>
      <c r="M503" t="n">
        <v>0</v>
      </c>
      <c r="N503" t="n">
        <v>0</v>
      </c>
      <c r="O503" t="n">
        <v>0</v>
      </c>
      <c r="P503" t="n">
        <v>0</v>
      </c>
      <c r="Q503" t="n">
        <v>0</v>
      </c>
      <c r="R503" s="2" t="inlineStr"/>
    </row>
    <row r="504" ht="15" customHeight="1">
      <c r="A504" t="inlineStr">
        <is>
          <t>A 40701-2024</t>
        </is>
      </c>
      <c r="B504" s="1" t="n">
        <v>45558</v>
      </c>
      <c r="C504" s="1" t="n">
        <v>46195</v>
      </c>
      <c r="D504" t="inlineStr">
        <is>
          <t>UPPSALA LÄN</t>
        </is>
      </c>
      <c r="E504" t="inlineStr">
        <is>
          <t>UPPSALA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42276-2024</t>
        </is>
      </c>
      <c r="B505" s="1" t="n">
        <v>45562</v>
      </c>
      <c r="C505" s="1" t="n">
        <v>46195</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46807-2022</t>
        </is>
      </c>
      <c r="B506" s="1" t="n">
        <v>44848</v>
      </c>
      <c r="C506" s="1" t="n">
        <v>46195</v>
      </c>
      <c r="D506" t="inlineStr">
        <is>
          <t>UPPSALA LÄN</t>
        </is>
      </c>
      <c r="E506" t="inlineStr">
        <is>
          <t>UPPSALA</t>
        </is>
      </c>
      <c r="G506" t="n">
        <v>2</v>
      </c>
      <c r="H506" t="n">
        <v>0</v>
      </c>
      <c r="I506" t="n">
        <v>0</v>
      </c>
      <c r="J506" t="n">
        <v>0</v>
      </c>
      <c r="K506" t="n">
        <v>0</v>
      </c>
      <c r="L506" t="n">
        <v>0</v>
      </c>
      <c r="M506" t="n">
        <v>0</v>
      </c>
      <c r="N506" t="n">
        <v>0</v>
      </c>
      <c r="O506" t="n">
        <v>0</v>
      </c>
      <c r="P506" t="n">
        <v>0</v>
      </c>
      <c r="Q506" t="n">
        <v>0</v>
      </c>
      <c r="R506" s="2" t="inlineStr"/>
    </row>
    <row r="507" ht="15" customHeight="1">
      <c r="A507" t="inlineStr">
        <is>
          <t>A 47131-2025</t>
        </is>
      </c>
      <c r="B507" s="1" t="n">
        <v>45929</v>
      </c>
      <c r="C507" s="1" t="n">
        <v>46195</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47132-2025</t>
        </is>
      </c>
      <c r="B508" s="1" t="n">
        <v>45929</v>
      </c>
      <c r="C508" s="1" t="n">
        <v>46195</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60814-2023</t>
        </is>
      </c>
      <c r="B509" s="1" t="n">
        <v>45259</v>
      </c>
      <c r="C509" s="1" t="n">
        <v>46195</v>
      </c>
      <c r="D509" t="inlineStr">
        <is>
          <t>UPPSALA LÄN</t>
        </is>
      </c>
      <c r="E509" t="inlineStr">
        <is>
          <t>UPPSALA</t>
        </is>
      </c>
      <c r="G509" t="n">
        <v>5.9</v>
      </c>
      <c r="H509" t="n">
        <v>0</v>
      </c>
      <c r="I509" t="n">
        <v>0</v>
      </c>
      <c r="J509" t="n">
        <v>0</v>
      </c>
      <c r="K509" t="n">
        <v>0</v>
      </c>
      <c r="L509" t="n">
        <v>0</v>
      </c>
      <c r="M509" t="n">
        <v>0</v>
      </c>
      <c r="N509" t="n">
        <v>0</v>
      </c>
      <c r="O509" t="n">
        <v>0</v>
      </c>
      <c r="P509" t="n">
        <v>0</v>
      </c>
      <c r="Q509" t="n">
        <v>0</v>
      </c>
      <c r="R509" s="2" t="inlineStr"/>
    </row>
    <row r="510" ht="15" customHeight="1">
      <c r="A510" t="inlineStr">
        <is>
          <t>A 43795-2023</t>
        </is>
      </c>
      <c r="B510" s="1" t="n">
        <v>45182</v>
      </c>
      <c r="C510" s="1" t="n">
        <v>46195</v>
      </c>
      <c r="D510" t="inlineStr">
        <is>
          <t>UPPSALA LÄN</t>
        </is>
      </c>
      <c r="E510" t="inlineStr">
        <is>
          <t>UPPSALA</t>
        </is>
      </c>
      <c r="G510" t="n">
        <v>4.7</v>
      </c>
      <c r="H510" t="n">
        <v>0</v>
      </c>
      <c r="I510" t="n">
        <v>0</v>
      </c>
      <c r="J510" t="n">
        <v>0</v>
      </c>
      <c r="K510" t="n">
        <v>0</v>
      </c>
      <c r="L510" t="n">
        <v>0</v>
      </c>
      <c r="M510" t="n">
        <v>0</v>
      </c>
      <c r="N510" t="n">
        <v>0</v>
      </c>
      <c r="O510" t="n">
        <v>0</v>
      </c>
      <c r="P510" t="n">
        <v>0</v>
      </c>
      <c r="Q510" t="n">
        <v>0</v>
      </c>
      <c r="R510" s="2" t="inlineStr"/>
    </row>
    <row r="511" ht="15" customHeight="1">
      <c r="A511" t="inlineStr">
        <is>
          <t>A 10650-2024</t>
        </is>
      </c>
      <c r="B511" s="1" t="n">
        <v>45368</v>
      </c>
      <c r="C511" s="1" t="n">
        <v>46195</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758-2022</t>
        </is>
      </c>
      <c r="B512" s="1" t="n">
        <v>44569</v>
      </c>
      <c r="C512" s="1" t="n">
        <v>46195</v>
      </c>
      <c r="D512" t="inlineStr">
        <is>
          <t>UPPSALA LÄN</t>
        </is>
      </c>
      <c r="E512" t="inlineStr">
        <is>
          <t>UPPSALA</t>
        </is>
      </c>
      <c r="F512" t="inlineStr">
        <is>
          <t>Holmen skog AB</t>
        </is>
      </c>
      <c r="G512" t="n">
        <v>5.2</v>
      </c>
      <c r="H512" t="n">
        <v>0</v>
      </c>
      <c r="I512" t="n">
        <v>0</v>
      </c>
      <c r="J512" t="n">
        <v>0</v>
      </c>
      <c r="K512" t="n">
        <v>0</v>
      </c>
      <c r="L512" t="n">
        <v>0</v>
      </c>
      <c r="M512" t="n">
        <v>0</v>
      </c>
      <c r="N512" t="n">
        <v>0</v>
      </c>
      <c r="O512" t="n">
        <v>0</v>
      </c>
      <c r="P512" t="n">
        <v>0</v>
      </c>
      <c r="Q512" t="n">
        <v>0</v>
      </c>
      <c r="R512" s="2" t="inlineStr"/>
    </row>
    <row r="513" ht="15" customHeight="1">
      <c r="A513" t="inlineStr">
        <is>
          <t>A 47840-2025</t>
        </is>
      </c>
      <c r="B513" s="1" t="n">
        <v>45932</v>
      </c>
      <c r="C513" s="1" t="n">
        <v>46195</v>
      </c>
      <c r="D513" t="inlineStr">
        <is>
          <t>UPPSALA LÄN</t>
        </is>
      </c>
      <c r="E513" t="inlineStr">
        <is>
          <t>UPPSALA</t>
        </is>
      </c>
      <c r="G513" t="n">
        <v>1.8</v>
      </c>
      <c r="H513" t="n">
        <v>0</v>
      </c>
      <c r="I513" t="n">
        <v>0</v>
      </c>
      <c r="J513" t="n">
        <v>0</v>
      </c>
      <c r="K513" t="n">
        <v>0</v>
      </c>
      <c r="L513" t="n">
        <v>0</v>
      </c>
      <c r="M513" t="n">
        <v>0</v>
      </c>
      <c r="N513" t="n">
        <v>0</v>
      </c>
      <c r="O513" t="n">
        <v>0</v>
      </c>
      <c r="P513" t="n">
        <v>0</v>
      </c>
      <c r="Q513" t="n">
        <v>0</v>
      </c>
      <c r="R513" s="2" t="inlineStr"/>
    </row>
    <row r="514" ht="15" customHeight="1">
      <c r="A514" t="inlineStr">
        <is>
          <t>A 47557-2025</t>
        </is>
      </c>
      <c r="B514" s="1" t="n">
        <v>45931</v>
      </c>
      <c r="C514" s="1" t="n">
        <v>46195</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v>
      </c>
      <c r="C515" s="1" t="n">
        <v>46195</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3973-2025</t>
        </is>
      </c>
      <c r="B516" s="1" t="n">
        <v>45684</v>
      </c>
      <c r="C516" s="1" t="n">
        <v>46195</v>
      </c>
      <c r="D516" t="inlineStr">
        <is>
          <t>UPPSALA LÄN</t>
        </is>
      </c>
      <c r="E516" t="inlineStr">
        <is>
          <t>UPPSALA</t>
        </is>
      </c>
      <c r="G516" t="n">
        <v>8</v>
      </c>
      <c r="H516" t="n">
        <v>0</v>
      </c>
      <c r="I516" t="n">
        <v>0</v>
      </c>
      <c r="J516" t="n">
        <v>0</v>
      </c>
      <c r="K516" t="n">
        <v>0</v>
      </c>
      <c r="L516" t="n">
        <v>0</v>
      </c>
      <c r="M516" t="n">
        <v>0</v>
      </c>
      <c r="N516" t="n">
        <v>0</v>
      </c>
      <c r="O516" t="n">
        <v>0</v>
      </c>
      <c r="P516" t="n">
        <v>0</v>
      </c>
      <c r="Q516" t="n">
        <v>0</v>
      </c>
      <c r="R516" s="2" t="inlineStr"/>
    </row>
    <row r="517" ht="15" customHeight="1">
      <c r="A517" t="inlineStr">
        <is>
          <t>A 47558-2025</t>
        </is>
      </c>
      <c r="B517" s="1" t="n">
        <v>45931</v>
      </c>
      <c r="C517" s="1" t="n">
        <v>46195</v>
      </c>
      <c r="D517" t="inlineStr">
        <is>
          <t>UPPSALA LÄN</t>
        </is>
      </c>
      <c r="E517" t="inlineStr">
        <is>
          <t>UPPSALA</t>
        </is>
      </c>
      <c r="F517" t="inlineStr">
        <is>
          <t>Kyrkan</t>
        </is>
      </c>
      <c r="G517" t="n">
        <v>1.9</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v>
      </c>
      <c r="C518" s="1" t="n">
        <v>46195</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59570-2023</t>
        </is>
      </c>
      <c r="B519" s="1" t="n">
        <v>45254</v>
      </c>
      <c r="C519" s="1" t="n">
        <v>46195</v>
      </c>
      <c r="D519" t="inlineStr">
        <is>
          <t>UPPSALA LÄN</t>
        </is>
      </c>
      <c r="E519" t="inlineStr">
        <is>
          <t>UPPSALA</t>
        </is>
      </c>
      <c r="G519" t="n">
        <v>6.7</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46195</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11744-2023</t>
        </is>
      </c>
      <c r="B521" s="1" t="n">
        <v>44993</v>
      </c>
      <c r="C521" s="1" t="n">
        <v>46195</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11260-2024</t>
        </is>
      </c>
      <c r="B522" s="1" t="n">
        <v>45371</v>
      </c>
      <c r="C522" s="1" t="n">
        <v>46195</v>
      </c>
      <c r="D522" t="inlineStr">
        <is>
          <t>UPPSALA LÄN</t>
        </is>
      </c>
      <c r="E522" t="inlineStr">
        <is>
          <t>UPPSALA</t>
        </is>
      </c>
      <c r="G522" t="n">
        <v>1.9</v>
      </c>
      <c r="H522" t="n">
        <v>0</v>
      </c>
      <c r="I522" t="n">
        <v>0</v>
      </c>
      <c r="J522" t="n">
        <v>0</v>
      </c>
      <c r="K522" t="n">
        <v>0</v>
      </c>
      <c r="L522" t="n">
        <v>0</v>
      </c>
      <c r="M522" t="n">
        <v>0</v>
      </c>
      <c r="N522" t="n">
        <v>0</v>
      </c>
      <c r="O522" t="n">
        <v>0</v>
      </c>
      <c r="P522" t="n">
        <v>0</v>
      </c>
      <c r="Q522" t="n">
        <v>0</v>
      </c>
      <c r="R522" s="2" t="inlineStr"/>
    </row>
    <row r="523" ht="15" customHeight="1">
      <c r="A523" t="inlineStr">
        <is>
          <t>A 26208-2023</t>
        </is>
      </c>
      <c r="B523" s="1" t="n">
        <v>45091</v>
      </c>
      <c r="C523" s="1" t="n">
        <v>46195</v>
      </c>
      <c r="D523" t="inlineStr">
        <is>
          <t>UPPSALA LÄN</t>
        </is>
      </c>
      <c r="E523" t="inlineStr">
        <is>
          <t>UPPSALA</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46751-2024</t>
        </is>
      </c>
      <c r="B524" s="1" t="n">
        <v>45583</v>
      </c>
      <c r="C524" s="1" t="n">
        <v>46195</v>
      </c>
      <c r="D524" t="inlineStr">
        <is>
          <t>UPPSALA LÄN</t>
        </is>
      </c>
      <c r="E524" t="inlineStr">
        <is>
          <t>UPPSALA</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46925-2024</t>
        </is>
      </c>
      <c r="B525" s="1" t="n">
        <v>45584</v>
      </c>
      <c r="C525" s="1" t="n">
        <v>46195</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69432-2021</t>
        </is>
      </c>
      <c r="B526" s="1" t="n">
        <v>44531</v>
      </c>
      <c r="C526" s="1" t="n">
        <v>46195</v>
      </c>
      <c r="D526" t="inlineStr">
        <is>
          <t>UPPSALA LÄN</t>
        </is>
      </c>
      <c r="E526" t="inlineStr">
        <is>
          <t>UPPSALA</t>
        </is>
      </c>
      <c r="G526" t="n">
        <v>1.7</v>
      </c>
      <c r="H526" t="n">
        <v>0</v>
      </c>
      <c r="I526" t="n">
        <v>0</v>
      </c>
      <c r="J526" t="n">
        <v>0</v>
      </c>
      <c r="K526" t="n">
        <v>0</v>
      </c>
      <c r="L526" t="n">
        <v>0</v>
      </c>
      <c r="M526" t="n">
        <v>0</v>
      </c>
      <c r="N526" t="n">
        <v>0</v>
      </c>
      <c r="O526" t="n">
        <v>0</v>
      </c>
      <c r="P526" t="n">
        <v>0</v>
      </c>
      <c r="Q526" t="n">
        <v>0</v>
      </c>
      <c r="R526" s="2" t="inlineStr"/>
    </row>
    <row r="527" ht="15" customHeight="1">
      <c r="A527" t="inlineStr">
        <is>
          <t>A 49098-2025</t>
        </is>
      </c>
      <c r="B527" s="1" t="n">
        <v>45937</v>
      </c>
      <c r="C527" s="1" t="n">
        <v>46195</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69691-2021</t>
        </is>
      </c>
      <c r="B528" s="1" t="n">
        <v>44532</v>
      </c>
      <c r="C528" s="1" t="n">
        <v>46195</v>
      </c>
      <c r="D528" t="inlineStr">
        <is>
          <t>UPPSALA LÄN</t>
        </is>
      </c>
      <c r="E528" t="inlineStr">
        <is>
          <t>UPPSALA</t>
        </is>
      </c>
      <c r="G528" t="n">
        <v>2.3</v>
      </c>
      <c r="H528" t="n">
        <v>0</v>
      </c>
      <c r="I528" t="n">
        <v>0</v>
      </c>
      <c r="J528" t="n">
        <v>0</v>
      </c>
      <c r="K528" t="n">
        <v>0</v>
      </c>
      <c r="L528" t="n">
        <v>0</v>
      </c>
      <c r="M528" t="n">
        <v>0</v>
      </c>
      <c r="N528" t="n">
        <v>0</v>
      </c>
      <c r="O528" t="n">
        <v>0</v>
      </c>
      <c r="P528" t="n">
        <v>0</v>
      </c>
      <c r="Q528" t="n">
        <v>0</v>
      </c>
      <c r="R528" s="2" t="inlineStr"/>
    </row>
    <row r="529" ht="15" customHeight="1">
      <c r="A529" t="inlineStr">
        <is>
          <t>A 49160-2025</t>
        </is>
      </c>
      <c r="B529" s="1" t="n">
        <v>45938</v>
      </c>
      <c r="C529" s="1" t="n">
        <v>46195</v>
      </c>
      <c r="D529" t="inlineStr">
        <is>
          <t>UPPSALA LÄN</t>
        </is>
      </c>
      <c r="E529" t="inlineStr">
        <is>
          <t>UPPSALA</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34520-2024</t>
        </is>
      </c>
      <c r="B530" s="1" t="n">
        <v>45525</v>
      </c>
      <c r="C530" s="1" t="n">
        <v>46195</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5876-2024</t>
        </is>
      </c>
      <c r="B531" s="1" t="n">
        <v>45335</v>
      </c>
      <c r="C531" s="1" t="n">
        <v>46195</v>
      </c>
      <c r="D531" t="inlineStr">
        <is>
          <t>UPPSALA LÄN</t>
        </is>
      </c>
      <c r="E531" t="inlineStr">
        <is>
          <t>UPPSALA</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49940-2025</t>
        </is>
      </c>
      <c r="B532" s="1" t="n">
        <v>45940</v>
      </c>
      <c r="C532" s="1" t="n">
        <v>46195</v>
      </c>
      <c r="D532" t="inlineStr">
        <is>
          <t>UPPSALA LÄN</t>
        </is>
      </c>
      <c r="E532" t="inlineStr">
        <is>
          <t>UPPSALA</t>
        </is>
      </c>
      <c r="G532" t="n">
        <v>0.8</v>
      </c>
      <c r="H532" t="n">
        <v>0</v>
      </c>
      <c r="I532" t="n">
        <v>0</v>
      </c>
      <c r="J532" t="n">
        <v>0</v>
      </c>
      <c r="K532" t="n">
        <v>0</v>
      </c>
      <c r="L532" t="n">
        <v>0</v>
      </c>
      <c r="M532" t="n">
        <v>0</v>
      </c>
      <c r="N532" t="n">
        <v>0</v>
      </c>
      <c r="O532" t="n">
        <v>0</v>
      </c>
      <c r="P532" t="n">
        <v>0</v>
      </c>
      <c r="Q532" t="n">
        <v>0</v>
      </c>
      <c r="R532" s="2" t="inlineStr"/>
    </row>
    <row r="533" ht="15" customHeight="1">
      <c r="A533" t="inlineStr">
        <is>
          <t>A 45885-2023</t>
        </is>
      </c>
      <c r="B533" s="1" t="n">
        <v>45195</v>
      </c>
      <c r="C533" s="1" t="n">
        <v>46195</v>
      </c>
      <c r="D533" t="inlineStr">
        <is>
          <t>UPPSALA LÄN</t>
        </is>
      </c>
      <c r="E533" t="inlineStr">
        <is>
          <t>UPPSALA</t>
        </is>
      </c>
      <c r="G533" t="n">
        <v>6.5</v>
      </c>
      <c r="H533" t="n">
        <v>0</v>
      </c>
      <c r="I533" t="n">
        <v>0</v>
      </c>
      <c r="J533" t="n">
        <v>0</v>
      </c>
      <c r="K533" t="n">
        <v>0</v>
      </c>
      <c r="L533" t="n">
        <v>0</v>
      </c>
      <c r="M533" t="n">
        <v>0</v>
      </c>
      <c r="N533" t="n">
        <v>0</v>
      </c>
      <c r="O533" t="n">
        <v>0</v>
      </c>
      <c r="P533" t="n">
        <v>0</v>
      </c>
      <c r="Q533" t="n">
        <v>0</v>
      </c>
      <c r="R533" s="2" t="inlineStr"/>
    </row>
    <row r="534" ht="15" customHeight="1">
      <c r="A534" t="inlineStr">
        <is>
          <t>A 59098-2024</t>
        </is>
      </c>
      <c r="B534" s="1" t="n">
        <v>45636</v>
      </c>
      <c r="C534" s="1" t="n">
        <v>46195</v>
      </c>
      <c r="D534" t="inlineStr">
        <is>
          <t>UPPSALA LÄN</t>
        </is>
      </c>
      <c r="E534" t="inlineStr">
        <is>
          <t>UPPSALA</t>
        </is>
      </c>
      <c r="G534" t="n">
        <v>2.2</v>
      </c>
      <c r="H534" t="n">
        <v>0</v>
      </c>
      <c r="I534" t="n">
        <v>0</v>
      </c>
      <c r="J534" t="n">
        <v>0</v>
      </c>
      <c r="K534" t="n">
        <v>0</v>
      </c>
      <c r="L534" t="n">
        <v>0</v>
      </c>
      <c r="M534" t="n">
        <v>0</v>
      </c>
      <c r="N534" t="n">
        <v>0</v>
      </c>
      <c r="O534" t="n">
        <v>0</v>
      </c>
      <c r="P534" t="n">
        <v>0</v>
      </c>
      <c r="Q534" t="n">
        <v>0</v>
      </c>
      <c r="R534" s="2" t="inlineStr"/>
    </row>
    <row r="535" ht="15" customHeight="1">
      <c r="A535" t="inlineStr">
        <is>
          <t>A 49990-2025</t>
        </is>
      </c>
      <c r="B535" s="1" t="n">
        <v>45942</v>
      </c>
      <c r="C535" s="1" t="n">
        <v>46195</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50232-2025</t>
        </is>
      </c>
      <c r="B536" s="1" t="n">
        <v>45943</v>
      </c>
      <c r="C536" s="1" t="n">
        <v>46195</v>
      </c>
      <c r="D536" t="inlineStr">
        <is>
          <t>UPPSALA LÄN</t>
        </is>
      </c>
      <c r="E536" t="inlineStr">
        <is>
          <t>UPPSALA</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17587-2025</t>
        </is>
      </c>
      <c r="B537" s="1" t="n">
        <v>45757</v>
      </c>
      <c r="C537" s="1" t="n">
        <v>46195</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30319-2024</t>
        </is>
      </c>
      <c r="B538" s="1" t="n">
        <v>45490</v>
      </c>
      <c r="C538" s="1" t="n">
        <v>46195</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24012-2023</t>
        </is>
      </c>
      <c r="B539" s="1" t="n">
        <v>45078</v>
      </c>
      <c r="C539" s="1" t="n">
        <v>46195</v>
      </c>
      <c r="D539" t="inlineStr">
        <is>
          <t>UPPSALA LÄN</t>
        </is>
      </c>
      <c r="E539" t="inlineStr">
        <is>
          <t>UPPSALA</t>
        </is>
      </c>
      <c r="F539" t="inlineStr">
        <is>
          <t>Kyrkan</t>
        </is>
      </c>
      <c r="G539" t="n">
        <v>1.6</v>
      </c>
      <c r="H539" t="n">
        <v>0</v>
      </c>
      <c r="I539" t="n">
        <v>0</v>
      </c>
      <c r="J539" t="n">
        <v>0</v>
      </c>
      <c r="K539" t="n">
        <v>0</v>
      </c>
      <c r="L539" t="n">
        <v>0</v>
      </c>
      <c r="M539" t="n">
        <v>0</v>
      </c>
      <c r="N539" t="n">
        <v>0</v>
      </c>
      <c r="O539" t="n">
        <v>0</v>
      </c>
      <c r="P539" t="n">
        <v>0</v>
      </c>
      <c r="Q539" t="n">
        <v>0</v>
      </c>
      <c r="R539" s="2" t="inlineStr"/>
    </row>
    <row r="540" ht="15" customHeight="1">
      <c r="A540" t="inlineStr">
        <is>
          <t>A 33797-2021</t>
        </is>
      </c>
      <c r="B540" s="1" t="n">
        <v>44378</v>
      </c>
      <c r="C540" s="1" t="n">
        <v>46195</v>
      </c>
      <c r="D540" t="inlineStr">
        <is>
          <t>UPPSALA LÄN</t>
        </is>
      </c>
      <c r="E540" t="inlineStr">
        <is>
          <t>UPPSALA</t>
        </is>
      </c>
      <c r="G540" t="n">
        <v>1</v>
      </c>
      <c r="H540" t="n">
        <v>0</v>
      </c>
      <c r="I540" t="n">
        <v>0</v>
      </c>
      <c r="J540" t="n">
        <v>0</v>
      </c>
      <c r="K540" t="n">
        <v>0</v>
      </c>
      <c r="L540" t="n">
        <v>0</v>
      </c>
      <c r="M540" t="n">
        <v>0</v>
      </c>
      <c r="N540" t="n">
        <v>0</v>
      </c>
      <c r="O540" t="n">
        <v>0</v>
      </c>
      <c r="P540" t="n">
        <v>0</v>
      </c>
      <c r="Q540" t="n">
        <v>0</v>
      </c>
      <c r="R540" s="2" t="inlineStr"/>
    </row>
    <row r="541" ht="15" customHeight="1">
      <c r="A541" t="inlineStr">
        <is>
          <t>A 20903-2024</t>
        </is>
      </c>
      <c r="B541" s="1" t="n">
        <v>45439</v>
      </c>
      <c r="C541" s="1" t="n">
        <v>46195</v>
      </c>
      <c r="D541" t="inlineStr">
        <is>
          <t>UPPSALA LÄN</t>
        </is>
      </c>
      <c r="E541" t="inlineStr">
        <is>
          <t>UPPSALA</t>
        </is>
      </c>
      <c r="F541" t="inlineStr">
        <is>
          <t>Holmen skog AB</t>
        </is>
      </c>
      <c r="G541" t="n">
        <v>2.7</v>
      </c>
      <c r="H541" t="n">
        <v>0</v>
      </c>
      <c r="I541" t="n">
        <v>0</v>
      </c>
      <c r="J541" t="n">
        <v>0</v>
      </c>
      <c r="K541" t="n">
        <v>0</v>
      </c>
      <c r="L541" t="n">
        <v>0</v>
      </c>
      <c r="M541" t="n">
        <v>0</v>
      </c>
      <c r="N541" t="n">
        <v>0</v>
      </c>
      <c r="O541" t="n">
        <v>0</v>
      </c>
      <c r="P541" t="n">
        <v>0</v>
      </c>
      <c r="Q541" t="n">
        <v>0</v>
      </c>
      <c r="R541" s="2" t="inlineStr"/>
    </row>
    <row r="542" ht="15" customHeight="1">
      <c r="A542" t="inlineStr">
        <is>
          <t>A 41112-2025</t>
        </is>
      </c>
      <c r="B542" s="1" t="n">
        <v>45898</v>
      </c>
      <c r="C542" s="1" t="n">
        <v>46195</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50708-2025</t>
        </is>
      </c>
      <c r="B543" s="1" t="n">
        <v>45946</v>
      </c>
      <c r="C543" s="1" t="n">
        <v>46195</v>
      </c>
      <c r="D543" t="inlineStr">
        <is>
          <t>UPPSALA LÄN</t>
        </is>
      </c>
      <c r="E543" t="inlineStr">
        <is>
          <t>UPPSALA</t>
        </is>
      </c>
      <c r="G543" t="n">
        <v>6.7</v>
      </c>
      <c r="H543" t="n">
        <v>0</v>
      </c>
      <c r="I543" t="n">
        <v>0</v>
      </c>
      <c r="J543" t="n">
        <v>0</v>
      </c>
      <c r="K543" t="n">
        <v>0</v>
      </c>
      <c r="L543" t="n">
        <v>0</v>
      </c>
      <c r="M543" t="n">
        <v>0</v>
      </c>
      <c r="N543" t="n">
        <v>0</v>
      </c>
      <c r="O543" t="n">
        <v>0</v>
      </c>
      <c r="P543" t="n">
        <v>0</v>
      </c>
      <c r="Q543" t="n">
        <v>0</v>
      </c>
      <c r="R543" s="2" t="inlineStr"/>
    </row>
    <row r="544" ht="15" customHeight="1">
      <c r="A544" t="inlineStr">
        <is>
          <t>A 51433-2025</t>
        </is>
      </c>
      <c r="B544" s="1" t="n">
        <v>45950</v>
      </c>
      <c r="C544" s="1" t="n">
        <v>46195</v>
      </c>
      <c r="D544" t="inlineStr">
        <is>
          <t>UPPSALA LÄN</t>
        </is>
      </c>
      <c r="E544" t="inlineStr">
        <is>
          <t>UPPSALA</t>
        </is>
      </c>
      <c r="F544" t="inlineStr">
        <is>
          <t>Bergvik skog öst AB</t>
        </is>
      </c>
      <c r="G544" t="n">
        <v>14.7</v>
      </c>
      <c r="H544" t="n">
        <v>0</v>
      </c>
      <c r="I544" t="n">
        <v>0</v>
      </c>
      <c r="J544" t="n">
        <v>0</v>
      </c>
      <c r="K544" t="n">
        <v>0</v>
      </c>
      <c r="L544" t="n">
        <v>0</v>
      </c>
      <c r="M544" t="n">
        <v>0</v>
      </c>
      <c r="N544" t="n">
        <v>0</v>
      </c>
      <c r="O544" t="n">
        <v>0</v>
      </c>
      <c r="P544" t="n">
        <v>0</v>
      </c>
      <c r="Q544" t="n">
        <v>0</v>
      </c>
      <c r="R544" s="2" t="inlineStr"/>
    </row>
    <row r="545" ht="15" customHeight="1">
      <c r="A545" t="inlineStr">
        <is>
          <t>A 24525-2025</t>
        </is>
      </c>
      <c r="B545" s="1" t="n">
        <v>45798</v>
      </c>
      <c r="C545" s="1" t="n">
        <v>46195</v>
      </c>
      <c r="D545" t="inlineStr">
        <is>
          <t>UPPSALA LÄN</t>
        </is>
      </c>
      <c r="E545" t="inlineStr">
        <is>
          <t>UPPSALA</t>
        </is>
      </c>
      <c r="G545" t="n">
        <v>3.2</v>
      </c>
      <c r="H545" t="n">
        <v>0</v>
      </c>
      <c r="I545" t="n">
        <v>0</v>
      </c>
      <c r="J545" t="n">
        <v>0</v>
      </c>
      <c r="K545" t="n">
        <v>0</v>
      </c>
      <c r="L545" t="n">
        <v>0</v>
      </c>
      <c r="M545" t="n">
        <v>0</v>
      </c>
      <c r="N545" t="n">
        <v>0</v>
      </c>
      <c r="O545" t="n">
        <v>0</v>
      </c>
      <c r="P545" t="n">
        <v>0</v>
      </c>
      <c r="Q545" t="n">
        <v>0</v>
      </c>
      <c r="R545" s="2" t="inlineStr"/>
    </row>
    <row r="546" ht="15" customHeight="1">
      <c r="A546" t="inlineStr">
        <is>
          <t>A 20777-2026</t>
        </is>
      </c>
      <c r="B546" s="1" t="n">
        <v>46141</v>
      </c>
      <c r="C546" s="1" t="n">
        <v>46195</v>
      </c>
      <c r="D546" t="inlineStr">
        <is>
          <t>UPPSALA LÄN</t>
        </is>
      </c>
      <c r="E546" t="inlineStr">
        <is>
          <t>UPPSALA</t>
        </is>
      </c>
      <c r="F546" t="inlineStr">
        <is>
          <t>Holmen skog AB</t>
        </is>
      </c>
      <c r="G546" t="n">
        <v>5.3</v>
      </c>
      <c r="H546" t="n">
        <v>0</v>
      </c>
      <c r="I546" t="n">
        <v>0</v>
      </c>
      <c r="J546" t="n">
        <v>0</v>
      </c>
      <c r="K546" t="n">
        <v>0</v>
      </c>
      <c r="L546" t="n">
        <v>0</v>
      </c>
      <c r="M546" t="n">
        <v>0</v>
      </c>
      <c r="N546" t="n">
        <v>0</v>
      </c>
      <c r="O546" t="n">
        <v>0</v>
      </c>
      <c r="P546" t="n">
        <v>0</v>
      </c>
      <c r="Q546" t="n">
        <v>0</v>
      </c>
      <c r="R546" s="2" t="inlineStr"/>
    </row>
    <row r="547" ht="15" customHeight="1">
      <c r="A547" t="inlineStr">
        <is>
          <t>A 51090-2025</t>
        </is>
      </c>
      <c r="B547" s="1" t="n">
        <v>45947</v>
      </c>
      <c r="C547" s="1" t="n">
        <v>46195</v>
      </c>
      <c r="D547" t="inlineStr">
        <is>
          <t>UPPSALA LÄN</t>
        </is>
      </c>
      <c r="E547" t="inlineStr">
        <is>
          <t>UPPSALA</t>
        </is>
      </c>
      <c r="F547" t="inlineStr">
        <is>
          <t>Övriga Aktiebolag</t>
        </is>
      </c>
      <c r="G547" t="n">
        <v>17.5</v>
      </c>
      <c r="H547" t="n">
        <v>0</v>
      </c>
      <c r="I547" t="n">
        <v>0</v>
      </c>
      <c r="J547" t="n">
        <v>0</v>
      </c>
      <c r="K547" t="n">
        <v>0</v>
      </c>
      <c r="L547" t="n">
        <v>0</v>
      </c>
      <c r="M547" t="n">
        <v>0</v>
      </c>
      <c r="N547" t="n">
        <v>0</v>
      </c>
      <c r="O547" t="n">
        <v>0</v>
      </c>
      <c r="P547" t="n">
        <v>0</v>
      </c>
      <c r="Q547" t="n">
        <v>0</v>
      </c>
      <c r="R547" s="2" t="inlineStr"/>
    </row>
    <row r="548" ht="15" customHeight="1">
      <c r="A548" t="inlineStr">
        <is>
          <t>A 47221-2023</t>
        </is>
      </c>
      <c r="B548" s="1" t="n">
        <v>45202</v>
      </c>
      <c r="C548" s="1" t="n">
        <v>46195</v>
      </c>
      <c r="D548" t="inlineStr">
        <is>
          <t>UPPSALA LÄN</t>
        </is>
      </c>
      <c r="E548" t="inlineStr">
        <is>
          <t>UPPSALA</t>
        </is>
      </c>
      <c r="G548" t="n">
        <v>8.6</v>
      </c>
      <c r="H548" t="n">
        <v>0</v>
      </c>
      <c r="I548" t="n">
        <v>0</v>
      </c>
      <c r="J548" t="n">
        <v>0</v>
      </c>
      <c r="K548" t="n">
        <v>0</v>
      </c>
      <c r="L548" t="n">
        <v>0</v>
      </c>
      <c r="M548" t="n">
        <v>0</v>
      </c>
      <c r="N548" t="n">
        <v>0</v>
      </c>
      <c r="O548" t="n">
        <v>0</v>
      </c>
      <c r="P548" t="n">
        <v>0</v>
      </c>
      <c r="Q548" t="n">
        <v>0</v>
      </c>
      <c r="R548" s="2" t="inlineStr"/>
    </row>
    <row r="549" ht="15" customHeight="1">
      <c r="A549" t="inlineStr">
        <is>
          <t>A 50949-2025</t>
        </is>
      </c>
      <c r="B549" s="1" t="n">
        <v>45946</v>
      </c>
      <c r="C549" s="1" t="n">
        <v>46195</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50951-2025</t>
        </is>
      </c>
      <c r="B550" s="1" t="n">
        <v>45946</v>
      </c>
      <c r="C550" s="1" t="n">
        <v>46195</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51505-2025</t>
        </is>
      </c>
      <c r="B551" s="1" t="n">
        <v>45950</v>
      </c>
      <c r="C551" s="1" t="n">
        <v>46195</v>
      </c>
      <c r="D551" t="inlineStr">
        <is>
          <t>UPPSALA LÄN</t>
        </is>
      </c>
      <c r="E551" t="inlineStr">
        <is>
          <t>UPPSALA</t>
        </is>
      </c>
      <c r="G551" t="n">
        <v>6.7</v>
      </c>
      <c r="H551" t="n">
        <v>0</v>
      </c>
      <c r="I551" t="n">
        <v>0</v>
      </c>
      <c r="J551" t="n">
        <v>0</v>
      </c>
      <c r="K551" t="n">
        <v>0</v>
      </c>
      <c r="L551" t="n">
        <v>0</v>
      </c>
      <c r="M551" t="n">
        <v>0</v>
      </c>
      <c r="N551" t="n">
        <v>0</v>
      </c>
      <c r="O551" t="n">
        <v>0</v>
      </c>
      <c r="P551" t="n">
        <v>0</v>
      </c>
      <c r="Q551" t="n">
        <v>0</v>
      </c>
      <c r="R551" s="2" t="inlineStr"/>
    </row>
    <row r="552" ht="15" customHeight="1">
      <c r="A552" t="inlineStr">
        <is>
          <t>A 24916-2025</t>
        </is>
      </c>
      <c r="B552" s="1" t="n">
        <v>45799</v>
      </c>
      <c r="C552" s="1" t="n">
        <v>46195</v>
      </c>
      <c r="D552" t="inlineStr">
        <is>
          <t>UPPSALA LÄN</t>
        </is>
      </c>
      <c r="E552" t="inlineStr">
        <is>
          <t>UPPSALA</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24961-2025</t>
        </is>
      </c>
      <c r="B553" s="1" t="n">
        <v>45799</v>
      </c>
      <c r="C553" s="1" t="n">
        <v>46195</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51275-2025</t>
        </is>
      </c>
      <c r="B554" s="1" t="n">
        <v>45949</v>
      </c>
      <c r="C554" s="1" t="n">
        <v>46195</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12828-2025</t>
        </is>
      </c>
      <c r="B555" s="1" t="n">
        <v>45733</v>
      </c>
      <c r="C555" s="1" t="n">
        <v>46195</v>
      </c>
      <c r="D555" t="inlineStr">
        <is>
          <t>UPPSALA LÄN</t>
        </is>
      </c>
      <c r="E555" t="inlineStr">
        <is>
          <t>UPPSALA</t>
        </is>
      </c>
      <c r="G555" t="n">
        <v>5.3</v>
      </c>
      <c r="H555" t="n">
        <v>0</v>
      </c>
      <c r="I555" t="n">
        <v>0</v>
      </c>
      <c r="J555" t="n">
        <v>0</v>
      </c>
      <c r="K555" t="n">
        <v>0</v>
      </c>
      <c r="L555" t="n">
        <v>0</v>
      </c>
      <c r="M555" t="n">
        <v>0</v>
      </c>
      <c r="N555" t="n">
        <v>0</v>
      </c>
      <c r="O555" t="n">
        <v>0</v>
      </c>
      <c r="P555" t="n">
        <v>0</v>
      </c>
      <c r="Q555" t="n">
        <v>0</v>
      </c>
      <c r="R555" s="2" t="inlineStr"/>
    </row>
    <row r="556" ht="15" customHeight="1">
      <c r="A556" t="inlineStr">
        <is>
          <t>A 51493-2025</t>
        </is>
      </c>
      <c r="B556" s="1" t="n">
        <v>45950</v>
      </c>
      <c r="C556" s="1" t="n">
        <v>46195</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58023-2022</t>
        </is>
      </c>
      <c r="B557" s="1" t="n">
        <v>44900</v>
      </c>
      <c r="C557" s="1" t="n">
        <v>46195</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45878-2024</t>
        </is>
      </c>
      <c r="B558" s="1" t="n">
        <v>45580</v>
      </c>
      <c r="C558" s="1" t="n">
        <v>46195</v>
      </c>
      <c r="D558" t="inlineStr">
        <is>
          <t>UPPSALA LÄN</t>
        </is>
      </c>
      <c r="E558" t="inlineStr">
        <is>
          <t>UPPSALA</t>
        </is>
      </c>
      <c r="G558" t="n">
        <v>2.8</v>
      </c>
      <c r="H558" t="n">
        <v>0</v>
      </c>
      <c r="I558" t="n">
        <v>0</v>
      </c>
      <c r="J558" t="n">
        <v>0</v>
      </c>
      <c r="K558" t="n">
        <v>0</v>
      </c>
      <c r="L558" t="n">
        <v>0</v>
      </c>
      <c r="M558" t="n">
        <v>0</v>
      </c>
      <c r="N558" t="n">
        <v>0</v>
      </c>
      <c r="O558" t="n">
        <v>0</v>
      </c>
      <c r="P558" t="n">
        <v>0</v>
      </c>
      <c r="Q558" t="n">
        <v>0</v>
      </c>
      <c r="R558" s="2" t="inlineStr"/>
    </row>
    <row r="559" ht="15" customHeight="1">
      <c r="A559" t="inlineStr">
        <is>
          <t>A 24913-2025</t>
        </is>
      </c>
      <c r="B559" s="1" t="n">
        <v>45799</v>
      </c>
      <c r="C559" s="1" t="n">
        <v>46195</v>
      </c>
      <c r="D559" t="inlineStr">
        <is>
          <t>UPPSALA LÄN</t>
        </is>
      </c>
      <c r="E559" t="inlineStr">
        <is>
          <t>UPPSALA</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5374-2023</t>
        </is>
      </c>
      <c r="B560" s="1" t="n">
        <v>44944</v>
      </c>
      <c r="C560" s="1" t="n">
        <v>46195</v>
      </c>
      <c r="D560" t="inlineStr">
        <is>
          <t>UPPSALA LÄN</t>
        </is>
      </c>
      <c r="E560" t="inlineStr">
        <is>
          <t>UPPSALA</t>
        </is>
      </c>
      <c r="G560" t="n">
        <v>3.5</v>
      </c>
      <c r="H560" t="n">
        <v>0</v>
      </c>
      <c r="I560" t="n">
        <v>0</v>
      </c>
      <c r="J560" t="n">
        <v>0</v>
      </c>
      <c r="K560" t="n">
        <v>0</v>
      </c>
      <c r="L560" t="n">
        <v>0</v>
      </c>
      <c r="M560" t="n">
        <v>0</v>
      </c>
      <c r="N560" t="n">
        <v>0</v>
      </c>
      <c r="O560" t="n">
        <v>0</v>
      </c>
      <c r="P560" t="n">
        <v>0</v>
      </c>
      <c r="Q560" t="n">
        <v>0</v>
      </c>
      <c r="R560" s="2" t="inlineStr"/>
    </row>
    <row r="561" ht="15" customHeight="1">
      <c r="A561" t="inlineStr">
        <is>
          <t>A 25030-2025</t>
        </is>
      </c>
      <c r="B561" s="1" t="n">
        <v>45799</v>
      </c>
      <c r="C561" s="1" t="n">
        <v>46195</v>
      </c>
      <c r="D561" t="inlineStr">
        <is>
          <t>UPPSALA LÄN</t>
        </is>
      </c>
      <c r="E561" t="inlineStr">
        <is>
          <t>UPPSALA</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25280-2023</t>
        </is>
      </c>
      <c r="B562" s="1" t="n">
        <v>45086</v>
      </c>
      <c r="C562" s="1" t="n">
        <v>46195</v>
      </c>
      <c r="D562" t="inlineStr">
        <is>
          <t>UPPSALA LÄN</t>
        </is>
      </c>
      <c r="E562" t="inlineStr">
        <is>
          <t>UPPSALA</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341-2024</t>
        </is>
      </c>
      <c r="B563" s="1" t="n">
        <v>45295</v>
      </c>
      <c r="C563" s="1" t="n">
        <v>46195</v>
      </c>
      <c r="D563" t="inlineStr">
        <is>
          <t>UPPSALA LÄN</t>
        </is>
      </c>
      <c r="E563" t="inlineStr">
        <is>
          <t>UPPSALA</t>
        </is>
      </c>
      <c r="F563" t="inlineStr">
        <is>
          <t>Allmännings- och besparingsskogar</t>
        </is>
      </c>
      <c r="G563" t="n">
        <v>1.8</v>
      </c>
      <c r="H563" t="n">
        <v>0</v>
      </c>
      <c r="I563" t="n">
        <v>0</v>
      </c>
      <c r="J563" t="n">
        <v>0</v>
      </c>
      <c r="K563" t="n">
        <v>0</v>
      </c>
      <c r="L563" t="n">
        <v>0</v>
      </c>
      <c r="M563" t="n">
        <v>0</v>
      </c>
      <c r="N563" t="n">
        <v>0</v>
      </c>
      <c r="O563" t="n">
        <v>0</v>
      </c>
      <c r="P563" t="n">
        <v>0</v>
      </c>
      <c r="Q563" t="n">
        <v>0</v>
      </c>
      <c r="R563" s="2" t="inlineStr"/>
    </row>
    <row r="564" ht="15" customHeight="1">
      <c r="A564" t="inlineStr">
        <is>
          <t>A 15264-2025</t>
        </is>
      </c>
      <c r="B564" s="1" t="n">
        <v>45744</v>
      </c>
      <c r="C564" s="1" t="n">
        <v>46195</v>
      </c>
      <c r="D564" t="inlineStr">
        <is>
          <t>UPPSALA LÄN</t>
        </is>
      </c>
      <c r="E564" t="inlineStr">
        <is>
          <t>UPPSALA</t>
        </is>
      </c>
      <c r="G564" t="n">
        <v>3.5</v>
      </c>
      <c r="H564" t="n">
        <v>0</v>
      </c>
      <c r="I564" t="n">
        <v>0</v>
      </c>
      <c r="J564" t="n">
        <v>0</v>
      </c>
      <c r="K564" t="n">
        <v>0</v>
      </c>
      <c r="L564" t="n">
        <v>0</v>
      </c>
      <c r="M564" t="n">
        <v>0</v>
      </c>
      <c r="N564" t="n">
        <v>0</v>
      </c>
      <c r="O564" t="n">
        <v>0</v>
      </c>
      <c r="P564" t="n">
        <v>0</v>
      </c>
      <c r="Q564" t="n">
        <v>0</v>
      </c>
      <c r="R564" s="2" t="inlineStr"/>
    </row>
    <row r="565" ht="15" customHeight="1">
      <c r="A565" t="inlineStr">
        <is>
          <t>A 6628-2024</t>
        </is>
      </c>
      <c r="B565" s="1" t="n">
        <v>45341</v>
      </c>
      <c r="C565" s="1" t="n">
        <v>46195</v>
      </c>
      <c r="D565" t="inlineStr">
        <is>
          <t>UPPSALA LÄN</t>
        </is>
      </c>
      <c r="E565" t="inlineStr">
        <is>
          <t>UPPSALA</t>
        </is>
      </c>
      <c r="G565" t="n">
        <v>4.3</v>
      </c>
      <c r="H565" t="n">
        <v>0</v>
      </c>
      <c r="I565" t="n">
        <v>0</v>
      </c>
      <c r="J565" t="n">
        <v>0</v>
      </c>
      <c r="K565" t="n">
        <v>0</v>
      </c>
      <c r="L565" t="n">
        <v>0</v>
      </c>
      <c r="M565" t="n">
        <v>0</v>
      </c>
      <c r="N565" t="n">
        <v>0</v>
      </c>
      <c r="O565" t="n">
        <v>0</v>
      </c>
      <c r="P565" t="n">
        <v>0</v>
      </c>
      <c r="Q565" t="n">
        <v>0</v>
      </c>
      <c r="R565" s="2" t="inlineStr"/>
    </row>
    <row r="566" ht="15" customHeight="1">
      <c r="A566" t="inlineStr">
        <is>
          <t>A 52197-2024</t>
        </is>
      </c>
      <c r="B566" s="1" t="n">
        <v>45608</v>
      </c>
      <c r="C566" s="1" t="n">
        <v>46195</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25674-2025</t>
        </is>
      </c>
      <c r="B567" s="1" t="n">
        <v>45803</v>
      </c>
      <c r="C567" s="1" t="n">
        <v>46195</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26742-2026</t>
        </is>
      </c>
      <c r="B568" s="1" t="n">
        <v>46184</v>
      </c>
      <c r="C568" s="1" t="n">
        <v>46195</v>
      </c>
      <c r="D568" t="inlineStr">
        <is>
          <t>UPPSALA LÄN</t>
        </is>
      </c>
      <c r="E568" t="inlineStr">
        <is>
          <t>UPPSALA</t>
        </is>
      </c>
      <c r="F568" t="inlineStr">
        <is>
          <t>Kyrkan</t>
        </is>
      </c>
      <c r="G568" t="n">
        <v>8.1</v>
      </c>
      <c r="H568" t="n">
        <v>0</v>
      </c>
      <c r="I568" t="n">
        <v>0</v>
      </c>
      <c r="J568" t="n">
        <v>0</v>
      </c>
      <c r="K568" t="n">
        <v>0</v>
      </c>
      <c r="L568" t="n">
        <v>0</v>
      </c>
      <c r="M568" t="n">
        <v>0</v>
      </c>
      <c r="N568" t="n">
        <v>0</v>
      </c>
      <c r="O568" t="n">
        <v>0</v>
      </c>
      <c r="P568" t="n">
        <v>0</v>
      </c>
      <c r="Q568" t="n">
        <v>0</v>
      </c>
      <c r="R568" s="2" t="inlineStr"/>
    </row>
    <row r="569" ht="15" customHeight="1">
      <c r="A569" t="inlineStr">
        <is>
          <t>A 40111-2024</t>
        </is>
      </c>
      <c r="B569" s="1" t="n">
        <v>45554</v>
      </c>
      <c r="C569" s="1" t="n">
        <v>46195</v>
      </c>
      <c r="D569" t="inlineStr">
        <is>
          <t>UPPSALA LÄN</t>
        </is>
      </c>
      <c r="E569" t="inlineStr">
        <is>
          <t>UPPSALA</t>
        </is>
      </c>
      <c r="G569" t="n">
        <v>3.7</v>
      </c>
      <c r="H569" t="n">
        <v>0</v>
      </c>
      <c r="I569" t="n">
        <v>0</v>
      </c>
      <c r="J569" t="n">
        <v>0</v>
      </c>
      <c r="K569" t="n">
        <v>0</v>
      </c>
      <c r="L569" t="n">
        <v>0</v>
      </c>
      <c r="M569" t="n">
        <v>0</v>
      </c>
      <c r="N569" t="n">
        <v>0</v>
      </c>
      <c r="O569" t="n">
        <v>0</v>
      </c>
      <c r="P569" t="n">
        <v>0</v>
      </c>
      <c r="Q569" t="n">
        <v>0</v>
      </c>
      <c r="R569" s="2" t="inlineStr"/>
    </row>
    <row r="570" ht="15" customHeight="1">
      <c r="A570" t="inlineStr">
        <is>
          <t>A 52517-2025</t>
        </is>
      </c>
      <c r="B570" s="1" t="n">
        <v>45954</v>
      </c>
      <c r="C570" s="1" t="n">
        <v>46195</v>
      </c>
      <c r="D570" t="inlineStr">
        <is>
          <t>UPPSALA LÄN</t>
        </is>
      </c>
      <c r="E570" t="inlineStr">
        <is>
          <t>UPPSALA</t>
        </is>
      </c>
      <c r="G570" t="n">
        <v>10.3</v>
      </c>
      <c r="H570" t="n">
        <v>0</v>
      </c>
      <c r="I570" t="n">
        <v>0</v>
      </c>
      <c r="J570" t="n">
        <v>0</v>
      </c>
      <c r="K570" t="n">
        <v>0</v>
      </c>
      <c r="L570" t="n">
        <v>0</v>
      </c>
      <c r="M570" t="n">
        <v>0</v>
      </c>
      <c r="N570" t="n">
        <v>0</v>
      </c>
      <c r="O570" t="n">
        <v>0</v>
      </c>
      <c r="P570" t="n">
        <v>0</v>
      </c>
      <c r="Q570" t="n">
        <v>0</v>
      </c>
      <c r="R570" s="2" t="inlineStr"/>
    </row>
    <row r="571" ht="15" customHeight="1">
      <c r="A571" t="inlineStr">
        <is>
          <t>A 26139-2025</t>
        </is>
      </c>
      <c r="B571" s="1" t="n">
        <v>45805</v>
      </c>
      <c r="C571" s="1" t="n">
        <v>46195</v>
      </c>
      <c r="D571" t="inlineStr">
        <is>
          <t>UPPSALA LÄN</t>
        </is>
      </c>
      <c r="E571" t="inlineStr">
        <is>
          <t>UPPSALA</t>
        </is>
      </c>
      <c r="F571" t="inlineStr">
        <is>
          <t>Holmen skog AB</t>
        </is>
      </c>
      <c r="G571" t="n">
        <v>0.7</v>
      </c>
      <c r="H571" t="n">
        <v>0</v>
      </c>
      <c r="I571" t="n">
        <v>0</v>
      </c>
      <c r="J571" t="n">
        <v>0</v>
      </c>
      <c r="K571" t="n">
        <v>0</v>
      </c>
      <c r="L571" t="n">
        <v>0</v>
      </c>
      <c r="M571" t="n">
        <v>0</v>
      </c>
      <c r="N571" t="n">
        <v>0</v>
      </c>
      <c r="O571" t="n">
        <v>0</v>
      </c>
      <c r="P571" t="n">
        <v>0</v>
      </c>
      <c r="Q571" t="n">
        <v>0</v>
      </c>
      <c r="R571" s="2" t="inlineStr"/>
    </row>
    <row r="572" ht="15" customHeight="1">
      <c r="A572" t="inlineStr">
        <is>
          <t>A 52523-2025</t>
        </is>
      </c>
      <c r="B572" s="1" t="n">
        <v>45954</v>
      </c>
      <c r="C572" s="1" t="n">
        <v>46195</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26155-2025</t>
        </is>
      </c>
      <c r="B573" s="1" t="n">
        <v>45805</v>
      </c>
      <c r="C573" s="1" t="n">
        <v>46195</v>
      </c>
      <c r="D573" t="inlineStr">
        <is>
          <t>UPPSALA LÄN</t>
        </is>
      </c>
      <c r="E573" t="inlineStr">
        <is>
          <t>UPPSALA</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52429-2025</t>
        </is>
      </c>
      <c r="B574" s="1" t="n">
        <v>45954</v>
      </c>
      <c r="C574" s="1" t="n">
        <v>46195</v>
      </c>
      <c r="D574" t="inlineStr">
        <is>
          <t>UPPSALA LÄN</t>
        </is>
      </c>
      <c r="E574" t="inlineStr">
        <is>
          <t>UPPSALA</t>
        </is>
      </c>
      <c r="G574" t="n">
        <v>16.6</v>
      </c>
      <c r="H574" t="n">
        <v>0</v>
      </c>
      <c r="I574" t="n">
        <v>0</v>
      </c>
      <c r="J574" t="n">
        <v>0</v>
      </c>
      <c r="K574" t="n">
        <v>0</v>
      </c>
      <c r="L574" t="n">
        <v>0</v>
      </c>
      <c r="M574" t="n">
        <v>0</v>
      </c>
      <c r="N574" t="n">
        <v>0</v>
      </c>
      <c r="O574" t="n">
        <v>0</v>
      </c>
      <c r="P574" t="n">
        <v>0</v>
      </c>
      <c r="Q574" t="n">
        <v>0</v>
      </c>
      <c r="R574" s="2" t="inlineStr"/>
    </row>
    <row r="575" ht="15" customHeight="1">
      <c r="A575" t="inlineStr">
        <is>
          <t>A 26141-2025</t>
        </is>
      </c>
      <c r="B575" s="1" t="n">
        <v>45805</v>
      </c>
      <c r="C575" s="1" t="n">
        <v>46195</v>
      </c>
      <c r="D575" t="inlineStr">
        <is>
          <t>UPPSALA LÄN</t>
        </is>
      </c>
      <c r="E575" t="inlineStr">
        <is>
          <t>UPPSALA</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38865-2022</t>
        </is>
      </c>
      <c r="B576" s="1" t="n">
        <v>44816</v>
      </c>
      <c r="C576" s="1" t="n">
        <v>46195</v>
      </c>
      <c r="D576" t="inlineStr">
        <is>
          <t>UPPSALA LÄN</t>
        </is>
      </c>
      <c r="E576" t="inlineStr">
        <is>
          <t>UPPSALA</t>
        </is>
      </c>
      <c r="G576" t="n">
        <v>14.6</v>
      </c>
      <c r="H576" t="n">
        <v>0</v>
      </c>
      <c r="I576" t="n">
        <v>0</v>
      </c>
      <c r="J576" t="n">
        <v>0</v>
      </c>
      <c r="K576" t="n">
        <v>0</v>
      </c>
      <c r="L576" t="n">
        <v>0</v>
      </c>
      <c r="M576" t="n">
        <v>0</v>
      </c>
      <c r="N576" t="n">
        <v>0</v>
      </c>
      <c r="O576" t="n">
        <v>0</v>
      </c>
      <c r="P576" t="n">
        <v>0</v>
      </c>
      <c r="Q576" t="n">
        <v>0</v>
      </c>
      <c r="R576" s="2" t="inlineStr"/>
    </row>
    <row r="577" ht="15" customHeight="1">
      <c r="A577" t="inlineStr">
        <is>
          <t>A 53161-2025</t>
        </is>
      </c>
      <c r="B577" s="1" t="n">
        <v>45958</v>
      </c>
      <c r="C577" s="1" t="n">
        <v>46195</v>
      </c>
      <c r="D577" t="inlineStr">
        <is>
          <t>UPPSALA LÄN</t>
        </is>
      </c>
      <c r="E577" t="inlineStr">
        <is>
          <t>UPPSALA</t>
        </is>
      </c>
      <c r="F577" t="inlineStr">
        <is>
          <t>Bergvik skog väst AB</t>
        </is>
      </c>
      <c r="G577" t="n">
        <v>14.5</v>
      </c>
      <c r="H577" t="n">
        <v>0</v>
      </c>
      <c r="I577" t="n">
        <v>0</v>
      </c>
      <c r="J577" t="n">
        <v>0</v>
      </c>
      <c r="K577" t="n">
        <v>0</v>
      </c>
      <c r="L577" t="n">
        <v>0</v>
      </c>
      <c r="M577" t="n">
        <v>0</v>
      </c>
      <c r="N577" t="n">
        <v>0</v>
      </c>
      <c r="O577" t="n">
        <v>0</v>
      </c>
      <c r="P577" t="n">
        <v>0</v>
      </c>
      <c r="Q577" t="n">
        <v>0</v>
      </c>
      <c r="R577" s="2" t="inlineStr"/>
    </row>
    <row r="578" ht="15" customHeight="1">
      <c r="A578" t="inlineStr">
        <is>
          <t>A 53248-2025</t>
        </is>
      </c>
      <c r="B578" s="1" t="n">
        <v>45958</v>
      </c>
      <c r="C578" s="1" t="n">
        <v>46195</v>
      </c>
      <c r="D578" t="inlineStr">
        <is>
          <t>UPPSALA LÄN</t>
        </is>
      </c>
      <c r="E578" t="inlineStr">
        <is>
          <t>UPPSALA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32127-2024</t>
        </is>
      </c>
      <c r="B579" s="1" t="n">
        <v>45511</v>
      </c>
      <c r="C579" s="1" t="n">
        <v>46195</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18717-2025</t>
        </is>
      </c>
      <c r="B580" s="1" t="n">
        <v>45763</v>
      </c>
      <c r="C580" s="1" t="n">
        <v>46195</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3261-2024</t>
        </is>
      </c>
      <c r="B581" s="1" t="n">
        <v>45317</v>
      </c>
      <c r="C581" s="1" t="n">
        <v>46195</v>
      </c>
      <c r="D581" t="inlineStr">
        <is>
          <t>UPPSALA LÄN</t>
        </is>
      </c>
      <c r="E581" t="inlineStr">
        <is>
          <t>UPPSALA</t>
        </is>
      </c>
      <c r="G581" t="n">
        <v>2.8</v>
      </c>
      <c r="H581" t="n">
        <v>0</v>
      </c>
      <c r="I581" t="n">
        <v>0</v>
      </c>
      <c r="J581" t="n">
        <v>0</v>
      </c>
      <c r="K581" t="n">
        <v>0</v>
      </c>
      <c r="L581" t="n">
        <v>0</v>
      </c>
      <c r="M581" t="n">
        <v>0</v>
      </c>
      <c r="N581" t="n">
        <v>0</v>
      </c>
      <c r="O581" t="n">
        <v>0</v>
      </c>
      <c r="P581" t="n">
        <v>0</v>
      </c>
      <c r="Q581" t="n">
        <v>0</v>
      </c>
      <c r="R581" s="2" t="inlineStr"/>
    </row>
    <row r="582" ht="15" customHeight="1">
      <c r="A582" t="inlineStr">
        <is>
          <t>A 49996-2023</t>
        </is>
      </c>
      <c r="B582" s="1" t="n">
        <v>45215</v>
      </c>
      <c r="C582" s="1" t="n">
        <v>46195</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1838-2024</t>
        </is>
      </c>
      <c r="B583" s="1" t="n">
        <v>45307</v>
      </c>
      <c r="C583" s="1" t="n">
        <v>46195</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29019-2023</t>
        </is>
      </c>
      <c r="B584" s="1" t="n">
        <v>45104</v>
      </c>
      <c r="C584" s="1" t="n">
        <v>46195</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53224-2025</t>
        </is>
      </c>
      <c r="B585" s="1" t="n">
        <v>45958</v>
      </c>
      <c r="C585" s="1" t="n">
        <v>46195</v>
      </c>
      <c r="D585" t="inlineStr">
        <is>
          <t>UPPSALA LÄN</t>
        </is>
      </c>
      <c r="E585" t="inlineStr">
        <is>
          <t>UPPSALA</t>
        </is>
      </c>
      <c r="F585" t="inlineStr">
        <is>
          <t>Bergvik skog väst AB</t>
        </is>
      </c>
      <c r="G585" t="n">
        <v>3.7</v>
      </c>
      <c r="H585" t="n">
        <v>0</v>
      </c>
      <c r="I585" t="n">
        <v>0</v>
      </c>
      <c r="J585" t="n">
        <v>0</v>
      </c>
      <c r="K585" t="n">
        <v>0</v>
      </c>
      <c r="L585" t="n">
        <v>0</v>
      </c>
      <c r="M585" t="n">
        <v>0</v>
      </c>
      <c r="N585" t="n">
        <v>0</v>
      </c>
      <c r="O585" t="n">
        <v>0</v>
      </c>
      <c r="P585" t="n">
        <v>0</v>
      </c>
      <c r="Q585" t="n">
        <v>0</v>
      </c>
      <c r="R585" s="2" t="inlineStr"/>
    </row>
    <row r="586" ht="15" customHeight="1">
      <c r="A586" t="inlineStr">
        <is>
          <t>A 53230-2025</t>
        </is>
      </c>
      <c r="B586" s="1" t="n">
        <v>45958</v>
      </c>
      <c r="C586" s="1" t="n">
        <v>46195</v>
      </c>
      <c r="D586" t="inlineStr">
        <is>
          <t>UPPSALA LÄN</t>
        </is>
      </c>
      <c r="E586" t="inlineStr">
        <is>
          <t>UPPSALA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53242-2025</t>
        </is>
      </c>
      <c r="B587" s="1" t="n">
        <v>45958</v>
      </c>
      <c r="C587" s="1" t="n">
        <v>46195</v>
      </c>
      <c r="D587" t="inlineStr">
        <is>
          <t>UPPSALA LÄN</t>
        </is>
      </c>
      <c r="E587" t="inlineStr">
        <is>
          <t>UPPSALA</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53234-2025</t>
        </is>
      </c>
      <c r="B588" s="1" t="n">
        <v>45958</v>
      </c>
      <c r="C588" s="1" t="n">
        <v>46195</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53235-2025</t>
        </is>
      </c>
      <c r="B589" s="1" t="n">
        <v>45958</v>
      </c>
      <c r="C589" s="1" t="n">
        <v>46195</v>
      </c>
      <c r="D589" t="inlineStr">
        <is>
          <t>UPPSALA LÄN</t>
        </is>
      </c>
      <c r="E589" t="inlineStr">
        <is>
          <t>UPPSALA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53228-2025</t>
        </is>
      </c>
      <c r="B590" s="1" t="n">
        <v>45958</v>
      </c>
      <c r="C590" s="1" t="n">
        <v>46195</v>
      </c>
      <c r="D590" t="inlineStr">
        <is>
          <t>UPPSALA LÄN</t>
        </is>
      </c>
      <c r="E590" t="inlineStr">
        <is>
          <t>UPPSALA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53238-2025</t>
        </is>
      </c>
      <c r="B591" s="1" t="n">
        <v>45958</v>
      </c>
      <c r="C591" s="1" t="n">
        <v>46195</v>
      </c>
      <c r="D591" t="inlineStr">
        <is>
          <t>UPPSALA LÄN</t>
        </is>
      </c>
      <c r="E591" t="inlineStr">
        <is>
          <t>UPPSALA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33689-2023</t>
        </is>
      </c>
      <c r="B592" s="1" t="n">
        <v>45119</v>
      </c>
      <c r="C592" s="1" t="n">
        <v>46195</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27362-2026</t>
        </is>
      </c>
      <c r="B593" s="1" t="n">
        <v>46188</v>
      </c>
      <c r="C593" s="1" t="n">
        <v>46195</v>
      </c>
      <c r="D593" t="inlineStr">
        <is>
          <t>UPPSALA LÄN</t>
        </is>
      </c>
      <c r="E593" t="inlineStr">
        <is>
          <t>UPPSALA</t>
        </is>
      </c>
      <c r="G593" t="n">
        <v>1.7</v>
      </c>
      <c r="H593" t="n">
        <v>0</v>
      </c>
      <c r="I593" t="n">
        <v>0</v>
      </c>
      <c r="J593" t="n">
        <v>0</v>
      </c>
      <c r="K593" t="n">
        <v>0</v>
      </c>
      <c r="L593" t="n">
        <v>0</v>
      </c>
      <c r="M593" t="n">
        <v>0</v>
      </c>
      <c r="N593" t="n">
        <v>0</v>
      </c>
      <c r="O593" t="n">
        <v>0</v>
      </c>
      <c r="P593" t="n">
        <v>0</v>
      </c>
      <c r="Q593" t="n">
        <v>0</v>
      </c>
      <c r="R593" s="2" t="inlineStr"/>
    </row>
    <row r="594" ht="15" customHeight="1">
      <c r="A594" t="inlineStr">
        <is>
          <t>A 27107-2026</t>
        </is>
      </c>
      <c r="B594" s="1" t="n">
        <v>46188</v>
      </c>
      <c r="C594" s="1" t="n">
        <v>46195</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53423-2025</t>
        </is>
      </c>
      <c r="B595" s="1" t="n">
        <v>45959</v>
      </c>
      <c r="C595" s="1" t="n">
        <v>46195</v>
      </c>
      <c r="D595" t="inlineStr">
        <is>
          <t>UPPSALA LÄN</t>
        </is>
      </c>
      <c r="E595" t="inlineStr">
        <is>
          <t>UPPSALA</t>
        </is>
      </c>
      <c r="F595" t="inlineStr">
        <is>
          <t>Övriga Aktiebolag</t>
        </is>
      </c>
      <c r="G595" t="n">
        <v>23.6</v>
      </c>
      <c r="H595" t="n">
        <v>0</v>
      </c>
      <c r="I595" t="n">
        <v>0</v>
      </c>
      <c r="J595" t="n">
        <v>0</v>
      </c>
      <c r="K595" t="n">
        <v>0</v>
      </c>
      <c r="L595" t="n">
        <v>0</v>
      </c>
      <c r="M595" t="n">
        <v>0</v>
      </c>
      <c r="N595" t="n">
        <v>0</v>
      </c>
      <c r="O595" t="n">
        <v>0</v>
      </c>
      <c r="P595" t="n">
        <v>0</v>
      </c>
      <c r="Q595" t="n">
        <v>0</v>
      </c>
      <c r="R595" s="2" t="inlineStr"/>
    </row>
    <row r="596" ht="15" customHeight="1">
      <c r="A596" t="inlineStr">
        <is>
          <t>A 26740-2025</t>
        </is>
      </c>
      <c r="B596" s="1" t="n">
        <v>45809</v>
      </c>
      <c r="C596" s="1" t="n">
        <v>46195</v>
      </c>
      <c r="D596" t="inlineStr">
        <is>
          <t>UPPSALA LÄN</t>
        </is>
      </c>
      <c r="E596" t="inlineStr">
        <is>
          <t>UPPSALA</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23494-2024</t>
        </is>
      </c>
      <c r="B597" s="1" t="n">
        <v>45453</v>
      </c>
      <c r="C597" s="1" t="n">
        <v>46195</v>
      </c>
      <c r="D597" t="inlineStr">
        <is>
          <t>UPPSALA LÄN</t>
        </is>
      </c>
      <c r="E597" t="inlineStr">
        <is>
          <t>UPPSALA</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26713-2025</t>
        </is>
      </c>
      <c r="B598" s="1" t="n">
        <v>45809</v>
      </c>
      <c r="C598" s="1" t="n">
        <v>46195</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61805-2021</t>
        </is>
      </c>
      <c r="B599" s="1" t="n">
        <v>44501</v>
      </c>
      <c r="C599" s="1" t="n">
        <v>46195</v>
      </c>
      <c r="D599" t="inlineStr">
        <is>
          <t>UPPSALA LÄN</t>
        </is>
      </c>
      <c r="E599" t="inlineStr">
        <is>
          <t>UPPSALA</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27265-2025</t>
        </is>
      </c>
      <c r="B600" s="1" t="n">
        <v>45812</v>
      </c>
      <c r="C600" s="1" t="n">
        <v>46195</v>
      </c>
      <c r="D600" t="inlineStr">
        <is>
          <t>UPPSALA LÄN</t>
        </is>
      </c>
      <c r="E600" t="inlineStr">
        <is>
          <t>UPPSALA</t>
        </is>
      </c>
      <c r="G600" t="n">
        <v>0.5</v>
      </c>
      <c r="H600" t="n">
        <v>0</v>
      </c>
      <c r="I600" t="n">
        <v>0</v>
      </c>
      <c r="J600" t="n">
        <v>0</v>
      </c>
      <c r="K600" t="n">
        <v>0</v>
      </c>
      <c r="L600" t="n">
        <v>0</v>
      </c>
      <c r="M600" t="n">
        <v>0</v>
      </c>
      <c r="N600" t="n">
        <v>0</v>
      </c>
      <c r="O600" t="n">
        <v>0</v>
      </c>
      <c r="P600" t="n">
        <v>0</v>
      </c>
      <c r="Q600" t="n">
        <v>0</v>
      </c>
      <c r="R600" s="2" t="inlineStr"/>
    </row>
    <row r="601" ht="15" customHeight="1">
      <c r="A601" t="inlineStr">
        <is>
          <t>A 17211-2025</t>
        </is>
      </c>
      <c r="B601" s="1" t="n">
        <v>45756</v>
      </c>
      <c r="C601" s="1" t="n">
        <v>46195</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53891-2025</t>
        </is>
      </c>
      <c r="B602" s="1" t="n">
        <v>45961</v>
      </c>
      <c r="C602" s="1" t="n">
        <v>46195</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53886-2025</t>
        </is>
      </c>
      <c r="B603" s="1" t="n">
        <v>45961</v>
      </c>
      <c r="C603" s="1" t="n">
        <v>46195</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10489-2025</t>
        </is>
      </c>
      <c r="B604" s="1" t="n">
        <v>45721</v>
      </c>
      <c r="C604" s="1" t="n">
        <v>46195</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46195</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46195</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9313-2023</t>
        </is>
      </c>
      <c r="B607" s="1" t="n">
        <v>44980</v>
      </c>
      <c r="C607" s="1" t="n">
        <v>46195</v>
      </c>
      <c r="D607" t="inlineStr">
        <is>
          <t>UPPSALA LÄN</t>
        </is>
      </c>
      <c r="E607" t="inlineStr">
        <is>
          <t>UPPSALA</t>
        </is>
      </c>
      <c r="G607" t="n">
        <v>2.6</v>
      </c>
      <c r="H607" t="n">
        <v>0</v>
      </c>
      <c r="I607" t="n">
        <v>0</v>
      </c>
      <c r="J607" t="n">
        <v>0</v>
      </c>
      <c r="K607" t="n">
        <v>0</v>
      </c>
      <c r="L607" t="n">
        <v>0</v>
      </c>
      <c r="M607" t="n">
        <v>0</v>
      </c>
      <c r="N607" t="n">
        <v>0</v>
      </c>
      <c r="O607" t="n">
        <v>0</v>
      </c>
      <c r="P607" t="n">
        <v>0</v>
      </c>
      <c r="Q607" t="n">
        <v>0</v>
      </c>
      <c r="R607" s="2" t="inlineStr"/>
    </row>
    <row r="608" ht="15" customHeight="1">
      <c r="A608" t="inlineStr">
        <is>
          <t>A 54393-2025</t>
        </is>
      </c>
      <c r="B608" s="1" t="n">
        <v>45965</v>
      </c>
      <c r="C608" s="1" t="n">
        <v>46195</v>
      </c>
      <c r="D608" t="inlineStr">
        <is>
          <t>UPPSALA LÄN</t>
        </is>
      </c>
      <c r="E608" t="inlineStr">
        <is>
          <t>UPPSALA</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59521-2023</t>
        </is>
      </c>
      <c r="B609" s="1" t="n">
        <v>45254</v>
      </c>
      <c r="C609" s="1" t="n">
        <v>46195</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28121-2025</t>
        </is>
      </c>
      <c r="B610" s="1" t="n">
        <v>45817</v>
      </c>
      <c r="C610" s="1" t="n">
        <v>46195</v>
      </c>
      <c r="D610" t="inlineStr">
        <is>
          <t>UPPSALA LÄN</t>
        </is>
      </c>
      <c r="E610" t="inlineStr">
        <is>
          <t>UPPSALA</t>
        </is>
      </c>
      <c r="G610" t="n">
        <v>5.6</v>
      </c>
      <c r="H610" t="n">
        <v>0</v>
      </c>
      <c r="I610" t="n">
        <v>0</v>
      </c>
      <c r="J610" t="n">
        <v>0</v>
      </c>
      <c r="K610" t="n">
        <v>0</v>
      </c>
      <c r="L610" t="n">
        <v>0</v>
      </c>
      <c r="M610" t="n">
        <v>0</v>
      </c>
      <c r="N610" t="n">
        <v>0</v>
      </c>
      <c r="O610" t="n">
        <v>0</v>
      </c>
      <c r="P610" t="n">
        <v>0</v>
      </c>
      <c r="Q610" t="n">
        <v>0</v>
      </c>
      <c r="R610" s="2" t="inlineStr"/>
    </row>
    <row r="611" ht="15" customHeight="1">
      <c r="A611" t="inlineStr">
        <is>
          <t>A 53615-2024</t>
        </is>
      </c>
      <c r="B611" s="1" t="n">
        <v>45611</v>
      </c>
      <c r="C611" s="1" t="n">
        <v>46195</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7226-2024</t>
        </is>
      </c>
      <c r="B612" s="1" t="n">
        <v>45344</v>
      </c>
      <c r="C612" s="1" t="n">
        <v>46195</v>
      </c>
      <c r="D612" t="inlineStr">
        <is>
          <t>UPPSALA LÄN</t>
        </is>
      </c>
      <c r="E612" t="inlineStr">
        <is>
          <t>UPPSALA</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27922-2025</t>
        </is>
      </c>
      <c r="B613" s="1" t="n">
        <v>45817</v>
      </c>
      <c r="C613" s="1" t="n">
        <v>46195</v>
      </c>
      <c r="D613" t="inlineStr">
        <is>
          <t>UPPSALA LÄN</t>
        </is>
      </c>
      <c r="E613" t="inlineStr">
        <is>
          <t>UPPSALA</t>
        </is>
      </c>
      <c r="F613" t="inlineStr">
        <is>
          <t>Övriga Aktiebolag</t>
        </is>
      </c>
      <c r="G613" t="n">
        <v>0.1</v>
      </c>
      <c r="H613" t="n">
        <v>0</v>
      </c>
      <c r="I613" t="n">
        <v>0</v>
      </c>
      <c r="J613" t="n">
        <v>0</v>
      </c>
      <c r="K613" t="n">
        <v>0</v>
      </c>
      <c r="L613" t="n">
        <v>0</v>
      </c>
      <c r="M613" t="n">
        <v>0</v>
      </c>
      <c r="N613" t="n">
        <v>0</v>
      </c>
      <c r="O613" t="n">
        <v>0</v>
      </c>
      <c r="P613" t="n">
        <v>0</v>
      </c>
      <c r="Q613" t="n">
        <v>0</v>
      </c>
      <c r="R613" s="2" t="inlineStr"/>
    </row>
    <row r="614" ht="15" customHeight="1">
      <c r="A614" t="inlineStr">
        <is>
          <t>A 29901-2023</t>
        </is>
      </c>
      <c r="B614" s="1" t="n">
        <v>45107</v>
      </c>
      <c r="C614" s="1" t="n">
        <v>46195</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29926-2023</t>
        </is>
      </c>
      <c r="B615" s="1" t="n">
        <v>45107</v>
      </c>
      <c r="C615" s="1" t="n">
        <v>46195</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29927-2023</t>
        </is>
      </c>
      <c r="B616" s="1" t="n">
        <v>45107</v>
      </c>
      <c r="C616" s="1" t="n">
        <v>46195</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7253-2024</t>
        </is>
      </c>
      <c r="B617" s="1" t="n">
        <v>45344</v>
      </c>
      <c r="C617" s="1" t="n">
        <v>46195</v>
      </c>
      <c r="D617" t="inlineStr">
        <is>
          <t>UPPSALA LÄN</t>
        </is>
      </c>
      <c r="E617" t="inlineStr">
        <is>
          <t>UPPSALA</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39148-2022</t>
        </is>
      </c>
      <c r="B618" s="1" t="n">
        <v>44816</v>
      </c>
      <c r="C618" s="1" t="n">
        <v>46195</v>
      </c>
      <c r="D618" t="inlineStr">
        <is>
          <t>UPPSALA LÄN</t>
        </is>
      </c>
      <c r="E618" t="inlineStr">
        <is>
          <t>UPPSALA</t>
        </is>
      </c>
      <c r="F618" t="inlineStr">
        <is>
          <t>Övriga statliga verk och myndigheter</t>
        </is>
      </c>
      <c r="G618" t="n">
        <v>1.7</v>
      </c>
      <c r="H618" t="n">
        <v>0</v>
      </c>
      <c r="I618" t="n">
        <v>0</v>
      </c>
      <c r="J618" t="n">
        <v>0</v>
      </c>
      <c r="K618" t="n">
        <v>0</v>
      </c>
      <c r="L618" t="n">
        <v>0</v>
      </c>
      <c r="M618" t="n">
        <v>0</v>
      </c>
      <c r="N618" t="n">
        <v>0</v>
      </c>
      <c r="O618" t="n">
        <v>0</v>
      </c>
      <c r="P618" t="n">
        <v>0</v>
      </c>
      <c r="Q618" t="n">
        <v>0</v>
      </c>
      <c r="R618" s="2" t="inlineStr"/>
    </row>
    <row r="619" ht="15" customHeight="1">
      <c r="A619" t="inlineStr">
        <is>
          <t>A 28876-2025</t>
        </is>
      </c>
      <c r="B619" s="1" t="n">
        <v>45820</v>
      </c>
      <c r="C619" s="1" t="n">
        <v>46195</v>
      </c>
      <c r="D619" t="inlineStr">
        <is>
          <t>UPPSALA LÄN</t>
        </is>
      </c>
      <c r="E619" t="inlineStr">
        <is>
          <t>UPPSALA</t>
        </is>
      </c>
      <c r="G619" t="n">
        <v>4</v>
      </c>
      <c r="H619" t="n">
        <v>0</v>
      </c>
      <c r="I619" t="n">
        <v>0</v>
      </c>
      <c r="J619" t="n">
        <v>0</v>
      </c>
      <c r="K619" t="n">
        <v>0</v>
      </c>
      <c r="L619" t="n">
        <v>0</v>
      </c>
      <c r="M619" t="n">
        <v>0</v>
      </c>
      <c r="N619" t="n">
        <v>0</v>
      </c>
      <c r="O619" t="n">
        <v>0</v>
      </c>
      <c r="P619" t="n">
        <v>0</v>
      </c>
      <c r="Q619" t="n">
        <v>0</v>
      </c>
      <c r="R619" s="2" t="inlineStr"/>
    </row>
    <row r="620" ht="15" customHeight="1">
      <c r="A620" t="inlineStr">
        <is>
          <t>A 34509-2023</t>
        </is>
      </c>
      <c r="B620" s="1" t="n">
        <v>45133</v>
      </c>
      <c r="C620" s="1" t="n">
        <v>46195</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27118-2026</t>
        </is>
      </c>
      <c r="B621" s="1" t="n">
        <v>46188</v>
      </c>
      <c r="C621" s="1" t="n">
        <v>46195</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55357-2025</t>
        </is>
      </c>
      <c r="B622" s="1" t="n">
        <v>45971</v>
      </c>
      <c r="C622" s="1" t="n">
        <v>46195</v>
      </c>
      <c r="D622" t="inlineStr">
        <is>
          <t>UPPSALA LÄN</t>
        </is>
      </c>
      <c r="E622" t="inlineStr">
        <is>
          <t>UPPSALA</t>
        </is>
      </c>
      <c r="G622" t="n">
        <v>6</v>
      </c>
      <c r="H622" t="n">
        <v>0</v>
      </c>
      <c r="I622" t="n">
        <v>0</v>
      </c>
      <c r="J622" t="n">
        <v>0</v>
      </c>
      <c r="K622" t="n">
        <v>0</v>
      </c>
      <c r="L622" t="n">
        <v>0</v>
      </c>
      <c r="M622" t="n">
        <v>0</v>
      </c>
      <c r="N622" t="n">
        <v>0</v>
      </c>
      <c r="O622" t="n">
        <v>0</v>
      </c>
      <c r="P622" t="n">
        <v>0</v>
      </c>
      <c r="Q622" t="n">
        <v>0</v>
      </c>
      <c r="R622" s="2" t="inlineStr"/>
    </row>
    <row r="623" ht="15" customHeight="1">
      <c r="A623" t="inlineStr">
        <is>
          <t>A 27119-2023</t>
        </is>
      </c>
      <c r="B623" s="1" t="n">
        <v>45096</v>
      </c>
      <c r="C623" s="1" t="n">
        <v>46195</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27903-2023</t>
        </is>
      </c>
      <c r="B624" s="1" t="n">
        <v>45098</v>
      </c>
      <c r="C624" s="1" t="n">
        <v>46195</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29047-2025</t>
        </is>
      </c>
      <c r="B625" s="1" t="n">
        <v>45821</v>
      </c>
      <c r="C625" s="1" t="n">
        <v>46195</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29030-2025</t>
        </is>
      </c>
      <c r="B626" s="1" t="n">
        <v>45821</v>
      </c>
      <c r="C626" s="1" t="n">
        <v>46195</v>
      </c>
      <c r="D626" t="inlineStr">
        <is>
          <t>UPPSALA LÄN</t>
        </is>
      </c>
      <c r="E626" t="inlineStr">
        <is>
          <t>UPPSALA</t>
        </is>
      </c>
      <c r="G626" t="n">
        <v>3.9</v>
      </c>
      <c r="H626" t="n">
        <v>0</v>
      </c>
      <c r="I626" t="n">
        <v>0</v>
      </c>
      <c r="J626" t="n">
        <v>0</v>
      </c>
      <c r="K626" t="n">
        <v>0</v>
      </c>
      <c r="L626" t="n">
        <v>0</v>
      </c>
      <c r="M626" t="n">
        <v>0</v>
      </c>
      <c r="N626" t="n">
        <v>0</v>
      </c>
      <c r="O626" t="n">
        <v>0</v>
      </c>
      <c r="P626" t="n">
        <v>0</v>
      </c>
      <c r="Q626" t="n">
        <v>0</v>
      </c>
      <c r="R626" s="2" t="inlineStr"/>
    </row>
    <row r="627" ht="15" customHeight="1">
      <c r="A627" t="inlineStr">
        <is>
          <t>A 55594-2025</t>
        </is>
      </c>
      <c r="B627" s="1" t="n">
        <v>45971</v>
      </c>
      <c r="C627" s="1" t="n">
        <v>46195</v>
      </c>
      <c r="D627" t="inlineStr">
        <is>
          <t>UPPSALA LÄN</t>
        </is>
      </c>
      <c r="E627" t="inlineStr">
        <is>
          <t>UPPSALA</t>
        </is>
      </c>
      <c r="F627" t="inlineStr">
        <is>
          <t>Allmännings- och besparingsskogar</t>
        </is>
      </c>
      <c r="G627" t="n">
        <v>3.2</v>
      </c>
      <c r="H627" t="n">
        <v>0</v>
      </c>
      <c r="I627" t="n">
        <v>0</v>
      </c>
      <c r="J627" t="n">
        <v>0</v>
      </c>
      <c r="K627" t="n">
        <v>0</v>
      </c>
      <c r="L627" t="n">
        <v>0</v>
      </c>
      <c r="M627" t="n">
        <v>0</v>
      </c>
      <c r="N627" t="n">
        <v>0</v>
      </c>
      <c r="O627" t="n">
        <v>0</v>
      </c>
      <c r="P627" t="n">
        <v>0</v>
      </c>
      <c r="Q627" t="n">
        <v>0</v>
      </c>
      <c r="R627" s="2" t="inlineStr"/>
    </row>
    <row r="628" ht="15" customHeight="1">
      <c r="A628" t="inlineStr">
        <is>
          <t>A 55732-2025</t>
        </is>
      </c>
      <c r="B628" s="1" t="n">
        <v>45972</v>
      </c>
      <c r="C628" s="1" t="n">
        <v>46195</v>
      </c>
      <c r="D628" t="inlineStr">
        <is>
          <t>UPPSALA LÄN</t>
        </is>
      </c>
      <c r="E628" t="inlineStr">
        <is>
          <t>UPPSALA</t>
        </is>
      </c>
      <c r="G628" t="n">
        <v>10.9</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46195</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66686-2021</t>
        </is>
      </c>
      <c r="B630" s="1" t="n">
        <v>44519</v>
      </c>
      <c r="C630" s="1" t="n">
        <v>46195</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38934-2023</t>
        </is>
      </c>
      <c r="B631" s="1" t="n">
        <v>45163</v>
      </c>
      <c r="C631" s="1" t="n">
        <v>46195</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27125-2023</t>
        </is>
      </c>
      <c r="B632" s="1" t="n">
        <v>45096</v>
      </c>
      <c r="C632" s="1" t="n">
        <v>46195</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30429-2025</t>
        </is>
      </c>
      <c r="B633" s="1" t="n">
        <v>45827</v>
      </c>
      <c r="C633" s="1" t="n">
        <v>46195</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30585-2025</t>
        </is>
      </c>
      <c r="B634" s="1" t="n">
        <v>45831</v>
      </c>
      <c r="C634" s="1" t="n">
        <v>46195</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30839-2025</t>
        </is>
      </c>
      <c r="B635" s="1" t="n">
        <v>45831</v>
      </c>
      <c r="C635" s="1" t="n">
        <v>46195</v>
      </c>
      <c r="D635" t="inlineStr">
        <is>
          <t>UPPSALA LÄN</t>
        </is>
      </c>
      <c r="E635" t="inlineStr">
        <is>
          <t>UPPSALA</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30898-2025</t>
        </is>
      </c>
      <c r="B636" s="1" t="n">
        <v>45832</v>
      </c>
      <c r="C636" s="1" t="n">
        <v>46195</v>
      </c>
      <c r="D636" t="inlineStr">
        <is>
          <t>UPPSALA LÄN</t>
        </is>
      </c>
      <c r="E636" t="inlineStr">
        <is>
          <t>UPPSALA</t>
        </is>
      </c>
      <c r="F636" t="inlineStr">
        <is>
          <t>Kyrkan</t>
        </is>
      </c>
      <c r="G636" t="n">
        <v>2.8</v>
      </c>
      <c r="H636" t="n">
        <v>0</v>
      </c>
      <c r="I636" t="n">
        <v>0</v>
      </c>
      <c r="J636" t="n">
        <v>0</v>
      </c>
      <c r="K636" t="n">
        <v>0</v>
      </c>
      <c r="L636" t="n">
        <v>0</v>
      </c>
      <c r="M636" t="n">
        <v>0</v>
      </c>
      <c r="N636" t="n">
        <v>0</v>
      </c>
      <c r="O636" t="n">
        <v>0</v>
      </c>
      <c r="P636" t="n">
        <v>0</v>
      </c>
      <c r="Q636" t="n">
        <v>0</v>
      </c>
      <c r="R636" s="2" t="inlineStr"/>
    </row>
    <row r="637" ht="15" customHeight="1">
      <c r="A637" t="inlineStr">
        <is>
          <t>A 30567-2025</t>
        </is>
      </c>
      <c r="B637" s="1" t="n">
        <v>45831</v>
      </c>
      <c r="C637" s="1" t="n">
        <v>46195</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56620-2025</t>
        </is>
      </c>
      <c r="B638" s="1" t="n">
        <v>45975</v>
      </c>
      <c r="C638" s="1" t="n">
        <v>46195</v>
      </c>
      <c r="D638" t="inlineStr">
        <is>
          <t>UPPSALA LÄN</t>
        </is>
      </c>
      <c r="E638" t="inlineStr">
        <is>
          <t>UPPSALA</t>
        </is>
      </c>
      <c r="G638" t="n">
        <v>3.6</v>
      </c>
      <c r="H638" t="n">
        <v>0</v>
      </c>
      <c r="I638" t="n">
        <v>0</v>
      </c>
      <c r="J638" t="n">
        <v>0</v>
      </c>
      <c r="K638" t="n">
        <v>0</v>
      </c>
      <c r="L638" t="n">
        <v>0</v>
      </c>
      <c r="M638" t="n">
        <v>0</v>
      </c>
      <c r="N638" t="n">
        <v>0</v>
      </c>
      <c r="O638" t="n">
        <v>0</v>
      </c>
      <c r="P638" t="n">
        <v>0</v>
      </c>
      <c r="Q638" t="n">
        <v>0</v>
      </c>
      <c r="R638" s="2" t="inlineStr"/>
    </row>
    <row r="639" ht="15" customHeight="1">
      <c r="A639" t="inlineStr">
        <is>
          <t>A 30897-2025</t>
        </is>
      </c>
      <c r="B639" s="1" t="n">
        <v>45832</v>
      </c>
      <c r="C639" s="1" t="n">
        <v>46195</v>
      </c>
      <c r="D639" t="inlineStr">
        <is>
          <t>UPPSALA LÄN</t>
        </is>
      </c>
      <c r="E639" t="inlineStr">
        <is>
          <t>UPPSALA</t>
        </is>
      </c>
      <c r="F639" t="inlineStr">
        <is>
          <t>Kyrkan</t>
        </is>
      </c>
      <c r="G639" t="n">
        <v>2.8</v>
      </c>
      <c r="H639" t="n">
        <v>0</v>
      </c>
      <c r="I639" t="n">
        <v>0</v>
      </c>
      <c r="J639" t="n">
        <v>0</v>
      </c>
      <c r="K639" t="n">
        <v>0</v>
      </c>
      <c r="L639" t="n">
        <v>0</v>
      </c>
      <c r="M639" t="n">
        <v>0</v>
      </c>
      <c r="N639" t="n">
        <v>0</v>
      </c>
      <c r="O639" t="n">
        <v>0</v>
      </c>
      <c r="P639" t="n">
        <v>0</v>
      </c>
      <c r="Q639" t="n">
        <v>0</v>
      </c>
      <c r="R639" s="2" t="inlineStr"/>
    </row>
    <row r="640" ht="15" customHeight="1">
      <c r="A640" t="inlineStr">
        <is>
          <t>A 30838-2025</t>
        </is>
      </c>
      <c r="B640" s="1" t="n">
        <v>45831</v>
      </c>
      <c r="C640" s="1" t="n">
        <v>46195</v>
      </c>
      <c r="D640" t="inlineStr">
        <is>
          <t>UPPSALA LÄN</t>
        </is>
      </c>
      <c r="E640" t="inlineStr">
        <is>
          <t>UPPSALA</t>
        </is>
      </c>
      <c r="F640" t="inlineStr">
        <is>
          <t>Kyrkan</t>
        </is>
      </c>
      <c r="G640" t="n">
        <v>2.2</v>
      </c>
      <c r="H640" t="n">
        <v>0</v>
      </c>
      <c r="I640" t="n">
        <v>0</v>
      </c>
      <c r="J640" t="n">
        <v>0</v>
      </c>
      <c r="K640" t="n">
        <v>0</v>
      </c>
      <c r="L640" t="n">
        <v>0</v>
      </c>
      <c r="M640" t="n">
        <v>0</v>
      </c>
      <c r="N640" t="n">
        <v>0</v>
      </c>
      <c r="O640" t="n">
        <v>0</v>
      </c>
      <c r="P640" t="n">
        <v>0</v>
      </c>
      <c r="Q640" t="n">
        <v>0</v>
      </c>
      <c r="R640" s="2" t="inlineStr"/>
    </row>
    <row r="641" ht="15" customHeight="1">
      <c r="A641" t="inlineStr">
        <is>
          <t>A 56656-2025</t>
        </is>
      </c>
      <c r="B641" s="1" t="n">
        <v>45975</v>
      </c>
      <c r="C641" s="1" t="n">
        <v>46195</v>
      </c>
      <c r="D641" t="inlineStr">
        <is>
          <t>UPPSALA LÄN</t>
        </is>
      </c>
      <c r="E641" t="inlineStr">
        <is>
          <t>UPPSALA</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6989-2022</t>
        </is>
      </c>
      <c r="B642" s="1" t="n">
        <v>44603</v>
      </c>
      <c r="C642" s="1" t="n">
        <v>46195</v>
      </c>
      <c r="D642" t="inlineStr">
        <is>
          <t>UPPSALA LÄN</t>
        </is>
      </c>
      <c r="E642" t="inlineStr">
        <is>
          <t>UPPSALA</t>
        </is>
      </c>
      <c r="G642" t="n">
        <v>3.1</v>
      </c>
      <c r="H642" t="n">
        <v>0</v>
      </c>
      <c r="I642" t="n">
        <v>0</v>
      </c>
      <c r="J642" t="n">
        <v>0</v>
      </c>
      <c r="K642" t="n">
        <v>0</v>
      </c>
      <c r="L642" t="n">
        <v>0</v>
      </c>
      <c r="M642" t="n">
        <v>0</v>
      </c>
      <c r="N642" t="n">
        <v>0</v>
      </c>
      <c r="O642" t="n">
        <v>0</v>
      </c>
      <c r="P642" t="n">
        <v>0</v>
      </c>
      <c r="Q642" t="n">
        <v>0</v>
      </c>
      <c r="R642" s="2" t="inlineStr"/>
    </row>
    <row r="643" ht="15" customHeight="1">
      <c r="A643" t="inlineStr">
        <is>
          <t>A 56466-2025</t>
        </is>
      </c>
      <c r="B643" s="1" t="n">
        <v>45975</v>
      </c>
      <c r="C643" s="1" t="n">
        <v>46195</v>
      </c>
      <c r="D643" t="inlineStr">
        <is>
          <t>UPPSALA LÄN</t>
        </is>
      </c>
      <c r="E643" t="inlineStr">
        <is>
          <t>UPPSALA</t>
        </is>
      </c>
      <c r="F643" t="inlineStr">
        <is>
          <t>Holmen skog AB</t>
        </is>
      </c>
      <c r="G643" t="n">
        <v>3.4</v>
      </c>
      <c r="H643" t="n">
        <v>0</v>
      </c>
      <c r="I643" t="n">
        <v>0</v>
      </c>
      <c r="J643" t="n">
        <v>0</v>
      </c>
      <c r="K643" t="n">
        <v>0</v>
      </c>
      <c r="L643" t="n">
        <v>0</v>
      </c>
      <c r="M643" t="n">
        <v>0</v>
      </c>
      <c r="N643" t="n">
        <v>0</v>
      </c>
      <c r="O643" t="n">
        <v>0</v>
      </c>
      <c r="P643" t="n">
        <v>0</v>
      </c>
      <c r="Q643" t="n">
        <v>0</v>
      </c>
      <c r="R643" s="2" t="inlineStr"/>
    </row>
    <row r="644" ht="15" customHeight="1">
      <c r="A644" t="inlineStr">
        <is>
          <t>A 38190-2023</t>
        </is>
      </c>
      <c r="B644" s="1" t="n">
        <v>45161</v>
      </c>
      <c r="C644" s="1" t="n">
        <v>46195</v>
      </c>
      <c r="D644" t="inlineStr">
        <is>
          <t>UPPSALA LÄN</t>
        </is>
      </c>
      <c r="E644" t="inlineStr">
        <is>
          <t>UPPSALA</t>
        </is>
      </c>
      <c r="G644" t="n">
        <v>0.4</v>
      </c>
      <c r="H644" t="n">
        <v>0</v>
      </c>
      <c r="I644" t="n">
        <v>0</v>
      </c>
      <c r="J644" t="n">
        <v>0</v>
      </c>
      <c r="K644" t="n">
        <v>0</v>
      </c>
      <c r="L644" t="n">
        <v>0</v>
      </c>
      <c r="M644" t="n">
        <v>0</v>
      </c>
      <c r="N644" t="n">
        <v>0</v>
      </c>
      <c r="O644" t="n">
        <v>0</v>
      </c>
      <c r="P644" t="n">
        <v>0</v>
      </c>
      <c r="Q644" t="n">
        <v>0</v>
      </c>
      <c r="R644" s="2" t="inlineStr"/>
    </row>
    <row r="645" ht="15" customHeight="1">
      <c r="A645" t="inlineStr">
        <is>
          <t>A 34147-2024</t>
        </is>
      </c>
      <c r="B645" s="1" t="n">
        <v>45524</v>
      </c>
      <c r="C645" s="1" t="n">
        <v>46195</v>
      </c>
      <c r="D645" t="inlineStr">
        <is>
          <t>UPPSALA LÄN</t>
        </is>
      </c>
      <c r="E645" t="inlineStr">
        <is>
          <t>UPPSALA</t>
        </is>
      </c>
      <c r="F645" t="inlineStr">
        <is>
          <t>Allmännings- och besparingsskogar</t>
        </is>
      </c>
      <c r="G645" t="n">
        <v>0.2</v>
      </c>
      <c r="H645" t="n">
        <v>0</v>
      </c>
      <c r="I645" t="n">
        <v>0</v>
      </c>
      <c r="J645" t="n">
        <v>0</v>
      </c>
      <c r="K645" t="n">
        <v>0</v>
      </c>
      <c r="L645" t="n">
        <v>0</v>
      </c>
      <c r="M645" t="n">
        <v>0</v>
      </c>
      <c r="N645" t="n">
        <v>0</v>
      </c>
      <c r="O645" t="n">
        <v>0</v>
      </c>
      <c r="P645" t="n">
        <v>0</v>
      </c>
      <c r="Q645" t="n">
        <v>0</v>
      </c>
      <c r="R645" s="2" t="inlineStr"/>
    </row>
    <row r="646" ht="15" customHeight="1">
      <c r="A646" t="inlineStr">
        <is>
          <t>A 11224-2022</t>
        </is>
      </c>
      <c r="B646" s="1" t="n">
        <v>44629</v>
      </c>
      <c r="C646" s="1" t="n">
        <v>46195</v>
      </c>
      <c r="D646" t="inlineStr">
        <is>
          <t>UPPSALA LÄN</t>
        </is>
      </c>
      <c r="E646" t="inlineStr">
        <is>
          <t>UPPSALA</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26099-2024</t>
        </is>
      </c>
      <c r="B647" s="1" t="n">
        <v>45468</v>
      </c>
      <c r="C647" s="1" t="n">
        <v>46195</v>
      </c>
      <c r="D647" t="inlineStr">
        <is>
          <t>UPPSALA LÄN</t>
        </is>
      </c>
      <c r="E647" t="inlineStr">
        <is>
          <t>UPPSALA</t>
        </is>
      </c>
      <c r="G647" t="n">
        <v>0.3</v>
      </c>
      <c r="H647" t="n">
        <v>0</v>
      </c>
      <c r="I647" t="n">
        <v>0</v>
      </c>
      <c r="J647" t="n">
        <v>0</v>
      </c>
      <c r="K647" t="n">
        <v>0</v>
      </c>
      <c r="L647" t="n">
        <v>0</v>
      </c>
      <c r="M647" t="n">
        <v>0</v>
      </c>
      <c r="N647" t="n">
        <v>0</v>
      </c>
      <c r="O647" t="n">
        <v>0</v>
      </c>
      <c r="P647" t="n">
        <v>0</v>
      </c>
      <c r="Q647" t="n">
        <v>0</v>
      </c>
      <c r="R647" s="2" t="inlineStr"/>
    </row>
    <row r="648" ht="15" customHeight="1">
      <c r="A648" t="inlineStr">
        <is>
          <t>A 17788-2023</t>
        </is>
      </c>
      <c r="B648" s="1" t="n">
        <v>45037</v>
      </c>
      <c r="C648" s="1" t="n">
        <v>46195</v>
      </c>
      <c r="D648" t="inlineStr">
        <is>
          <t>UPPSALA LÄN</t>
        </is>
      </c>
      <c r="E648" t="inlineStr">
        <is>
          <t>UPPSALA</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27320-2026</t>
        </is>
      </c>
      <c r="B649" s="1" t="n">
        <v>46188</v>
      </c>
      <c r="C649" s="1" t="n">
        <v>46195</v>
      </c>
      <c r="D649" t="inlineStr">
        <is>
          <t>UPPSALA LÄN</t>
        </is>
      </c>
      <c r="E649" t="inlineStr">
        <is>
          <t>UPPSALA</t>
        </is>
      </c>
      <c r="G649" t="n">
        <v>0.3</v>
      </c>
      <c r="H649" t="n">
        <v>0</v>
      </c>
      <c r="I649" t="n">
        <v>0</v>
      </c>
      <c r="J649" t="n">
        <v>0</v>
      </c>
      <c r="K649" t="n">
        <v>0</v>
      </c>
      <c r="L649" t="n">
        <v>0</v>
      </c>
      <c r="M649" t="n">
        <v>0</v>
      </c>
      <c r="N649" t="n">
        <v>0</v>
      </c>
      <c r="O649" t="n">
        <v>0</v>
      </c>
      <c r="P649" t="n">
        <v>0</v>
      </c>
      <c r="Q649" t="n">
        <v>0</v>
      </c>
      <c r="R649" s="2" t="inlineStr"/>
    </row>
    <row r="650" ht="15" customHeight="1">
      <c r="A650" t="inlineStr">
        <is>
          <t>A 33941-2023</t>
        </is>
      </c>
      <c r="B650" s="1" t="n">
        <v>45134</v>
      </c>
      <c r="C650" s="1" t="n">
        <v>46195</v>
      </c>
      <c r="D650" t="inlineStr">
        <is>
          <t>UPPSALA LÄN</t>
        </is>
      </c>
      <c r="E650" t="inlineStr">
        <is>
          <t>UPPSALA</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70031-2021</t>
        </is>
      </c>
      <c r="B651" s="1" t="n">
        <v>44533</v>
      </c>
      <c r="C651" s="1" t="n">
        <v>46195</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58104-2025</t>
        </is>
      </c>
      <c r="B652" s="1" t="n">
        <v>45982</v>
      </c>
      <c r="C652" s="1" t="n">
        <v>46195</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28958-2025</t>
        </is>
      </c>
      <c r="B653" s="1" t="n">
        <v>45821</v>
      </c>
      <c r="C653" s="1" t="n">
        <v>46195</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57796-2025</t>
        </is>
      </c>
      <c r="B654" s="1" t="n">
        <v>45981</v>
      </c>
      <c r="C654" s="1" t="n">
        <v>46195</v>
      </c>
      <c r="D654" t="inlineStr">
        <is>
          <t>UPPSALA LÄN</t>
        </is>
      </c>
      <c r="E654" t="inlineStr">
        <is>
          <t>UPPSALA</t>
        </is>
      </c>
      <c r="G654" t="n">
        <v>2.6</v>
      </c>
      <c r="H654" t="n">
        <v>0</v>
      </c>
      <c r="I654" t="n">
        <v>0</v>
      </c>
      <c r="J654" t="n">
        <v>0</v>
      </c>
      <c r="K654" t="n">
        <v>0</v>
      </c>
      <c r="L654" t="n">
        <v>0</v>
      </c>
      <c r="M654" t="n">
        <v>0</v>
      </c>
      <c r="N654" t="n">
        <v>0</v>
      </c>
      <c r="O654" t="n">
        <v>0</v>
      </c>
      <c r="P654" t="n">
        <v>0</v>
      </c>
      <c r="Q654" t="n">
        <v>0</v>
      </c>
      <c r="R654" s="2" t="inlineStr"/>
    </row>
    <row r="655" ht="15" customHeight="1">
      <c r="A655" t="inlineStr">
        <is>
          <t>A 33261-2025</t>
        </is>
      </c>
      <c r="B655" s="1" t="n">
        <v>45840</v>
      </c>
      <c r="C655" s="1" t="n">
        <v>46195</v>
      </c>
      <c r="D655" t="inlineStr">
        <is>
          <t>UPPSALA LÄN</t>
        </is>
      </c>
      <c r="E655" t="inlineStr">
        <is>
          <t>UPPSALA</t>
        </is>
      </c>
      <c r="G655" t="n">
        <v>3.4</v>
      </c>
      <c r="H655" t="n">
        <v>0</v>
      </c>
      <c r="I655" t="n">
        <v>0</v>
      </c>
      <c r="J655" t="n">
        <v>0</v>
      </c>
      <c r="K655" t="n">
        <v>0</v>
      </c>
      <c r="L655" t="n">
        <v>0</v>
      </c>
      <c r="M655" t="n">
        <v>0</v>
      </c>
      <c r="N655" t="n">
        <v>0</v>
      </c>
      <c r="O655" t="n">
        <v>0</v>
      </c>
      <c r="P655" t="n">
        <v>0</v>
      </c>
      <c r="Q655" t="n">
        <v>0</v>
      </c>
      <c r="R655" s="2" t="inlineStr"/>
    </row>
    <row r="656" ht="15" customHeight="1">
      <c r="A656" t="inlineStr">
        <is>
          <t>A 57827-2025</t>
        </is>
      </c>
      <c r="B656" s="1" t="n">
        <v>45981</v>
      </c>
      <c r="C656" s="1" t="n">
        <v>46195</v>
      </c>
      <c r="D656" t="inlineStr">
        <is>
          <t>UPPSALA LÄN</t>
        </is>
      </c>
      <c r="E656" t="inlineStr">
        <is>
          <t>UPPSALA</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57836-2025</t>
        </is>
      </c>
      <c r="B657" s="1" t="n">
        <v>45981</v>
      </c>
      <c r="C657" s="1" t="n">
        <v>46195</v>
      </c>
      <c r="D657" t="inlineStr">
        <is>
          <t>UPPSALA LÄN</t>
        </is>
      </c>
      <c r="E657" t="inlineStr">
        <is>
          <t>UPPSALA</t>
        </is>
      </c>
      <c r="F657" t="inlineStr">
        <is>
          <t>Kyrkan</t>
        </is>
      </c>
      <c r="G657" t="n">
        <v>0.8</v>
      </c>
      <c r="H657" t="n">
        <v>0</v>
      </c>
      <c r="I657" t="n">
        <v>0</v>
      </c>
      <c r="J657" t="n">
        <v>0</v>
      </c>
      <c r="K657" t="n">
        <v>0</v>
      </c>
      <c r="L657" t="n">
        <v>0</v>
      </c>
      <c r="M657" t="n">
        <v>0</v>
      </c>
      <c r="N657" t="n">
        <v>0</v>
      </c>
      <c r="O657" t="n">
        <v>0</v>
      </c>
      <c r="P657" t="n">
        <v>0</v>
      </c>
      <c r="Q657" t="n">
        <v>0</v>
      </c>
      <c r="R657" s="2" t="inlineStr"/>
    </row>
    <row r="658" ht="15" customHeight="1">
      <c r="A658" t="inlineStr">
        <is>
          <t>A 70228-2021</t>
        </is>
      </c>
      <c r="B658" s="1" t="n">
        <v>44535</v>
      </c>
      <c r="C658" s="1" t="n">
        <v>46195</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12221-2022</t>
        </is>
      </c>
      <c r="B659" s="1" t="n">
        <v>44637</v>
      </c>
      <c r="C659" s="1" t="n">
        <v>46195</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53206-2025</t>
        </is>
      </c>
      <c r="B660" s="1" t="n">
        <v>45958</v>
      </c>
      <c r="C660" s="1" t="n">
        <v>46195</v>
      </c>
      <c r="D660" t="inlineStr">
        <is>
          <t>UPPSALA LÄN</t>
        </is>
      </c>
      <c r="E660" t="inlineStr">
        <is>
          <t>UPPSALA</t>
        </is>
      </c>
      <c r="F660" t="inlineStr">
        <is>
          <t>Bergvik skog väst AB</t>
        </is>
      </c>
      <c r="G660" t="n">
        <v>18.6</v>
      </c>
      <c r="H660" t="n">
        <v>0</v>
      </c>
      <c r="I660" t="n">
        <v>0</v>
      </c>
      <c r="J660" t="n">
        <v>0</v>
      </c>
      <c r="K660" t="n">
        <v>0</v>
      </c>
      <c r="L660" t="n">
        <v>0</v>
      </c>
      <c r="M660" t="n">
        <v>0</v>
      </c>
      <c r="N660" t="n">
        <v>0</v>
      </c>
      <c r="O660" t="n">
        <v>0</v>
      </c>
      <c r="P660" t="n">
        <v>0</v>
      </c>
      <c r="Q660" t="n">
        <v>0</v>
      </c>
      <c r="R660" s="2" t="inlineStr"/>
    </row>
    <row r="661" ht="15" customHeight="1">
      <c r="A661" t="inlineStr">
        <is>
          <t>A 57789-2025</t>
        </is>
      </c>
      <c r="B661" s="1" t="n">
        <v>45981</v>
      </c>
      <c r="C661" s="1" t="n">
        <v>46195</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27113-2026</t>
        </is>
      </c>
      <c r="B662" s="1" t="n">
        <v>46188</v>
      </c>
      <c r="C662" s="1" t="n">
        <v>46195</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3314-2025</t>
        </is>
      </c>
      <c r="B663" s="1" t="n">
        <v>45679</v>
      </c>
      <c r="C663" s="1" t="n">
        <v>46195</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21453-2026</t>
        </is>
      </c>
      <c r="B664" s="1" t="n">
        <v>46146</v>
      </c>
      <c r="C664" s="1" t="n">
        <v>46195</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18625-2025</t>
        </is>
      </c>
      <c r="B665" s="1" t="n">
        <v>45763</v>
      </c>
      <c r="C665" s="1" t="n">
        <v>46195</v>
      </c>
      <c r="D665" t="inlineStr">
        <is>
          <t>UPPSALA LÄN</t>
        </is>
      </c>
      <c r="E665" t="inlineStr">
        <is>
          <t>UPPSALA</t>
        </is>
      </c>
      <c r="G665" t="n">
        <v>1.8</v>
      </c>
      <c r="H665" t="n">
        <v>0</v>
      </c>
      <c r="I665" t="n">
        <v>0</v>
      </c>
      <c r="J665" t="n">
        <v>0</v>
      </c>
      <c r="K665" t="n">
        <v>0</v>
      </c>
      <c r="L665" t="n">
        <v>0</v>
      </c>
      <c r="M665" t="n">
        <v>0</v>
      </c>
      <c r="N665" t="n">
        <v>0</v>
      </c>
      <c r="O665" t="n">
        <v>0</v>
      </c>
      <c r="P665" t="n">
        <v>0</v>
      </c>
      <c r="Q665" t="n">
        <v>0</v>
      </c>
      <c r="R665" s="2" t="inlineStr"/>
    </row>
    <row r="666" ht="15" customHeight="1">
      <c r="A666" t="inlineStr">
        <is>
          <t>A 36478-2023</t>
        </is>
      </c>
      <c r="B666" s="1" t="n">
        <v>45152</v>
      </c>
      <c r="C666" s="1" t="n">
        <v>46195</v>
      </c>
      <c r="D666" t="inlineStr">
        <is>
          <t>UPPSALA LÄN</t>
        </is>
      </c>
      <c r="E666" t="inlineStr">
        <is>
          <t>UPPSALA</t>
        </is>
      </c>
      <c r="F666" t="inlineStr">
        <is>
          <t>Allmännings- och besparingsskogar</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38493-2023</t>
        </is>
      </c>
      <c r="B667" s="1" t="n">
        <v>45162</v>
      </c>
      <c r="C667" s="1" t="n">
        <v>46195</v>
      </c>
      <c r="D667" t="inlineStr">
        <is>
          <t>UPPSALA LÄN</t>
        </is>
      </c>
      <c r="E667" t="inlineStr">
        <is>
          <t>UPPSALA</t>
        </is>
      </c>
      <c r="F667" t="inlineStr">
        <is>
          <t>Allmännings- och besparingsskogar</t>
        </is>
      </c>
      <c r="G667" t="n">
        <v>3.5</v>
      </c>
      <c r="H667" t="n">
        <v>0</v>
      </c>
      <c r="I667" t="n">
        <v>0</v>
      </c>
      <c r="J667" t="n">
        <v>0</v>
      </c>
      <c r="K667" t="n">
        <v>0</v>
      </c>
      <c r="L667" t="n">
        <v>0</v>
      </c>
      <c r="M667" t="n">
        <v>0</v>
      </c>
      <c r="N667" t="n">
        <v>0</v>
      </c>
      <c r="O667" t="n">
        <v>0</v>
      </c>
      <c r="P667" t="n">
        <v>0</v>
      </c>
      <c r="Q667" t="n">
        <v>0</v>
      </c>
      <c r="R667" s="2" t="inlineStr"/>
    </row>
    <row r="668" ht="15" customHeight="1">
      <c r="A668" t="inlineStr">
        <is>
          <t>A 58193-2025</t>
        </is>
      </c>
      <c r="B668" s="1" t="n">
        <v>45983</v>
      </c>
      <c r="C668" s="1" t="n">
        <v>46195</v>
      </c>
      <c r="D668" t="inlineStr">
        <is>
          <t>UPPSALA LÄN</t>
        </is>
      </c>
      <c r="E668" t="inlineStr">
        <is>
          <t>UPPSALA</t>
        </is>
      </c>
      <c r="G668" t="n">
        <v>2.7</v>
      </c>
      <c r="H668" t="n">
        <v>0</v>
      </c>
      <c r="I668" t="n">
        <v>0</v>
      </c>
      <c r="J668" t="n">
        <v>0</v>
      </c>
      <c r="K668" t="n">
        <v>0</v>
      </c>
      <c r="L668" t="n">
        <v>0</v>
      </c>
      <c r="M668" t="n">
        <v>0</v>
      </c>
      <c r="N668" t="n">
        <v>0</v>
      </c>
      <c r="O668" t="n">
        <v>0</v>
      </c>
      <c r="P668" t="n">
        <v>0</v>
      </c>
      <c r="Q668" t="n">
        <v>0</v>
      </c>
      <c r="R668" s="2" t="inlineStr"/>
    </row>
    <row r="669" ht="15" customHeight="1">
      <c r="A669" t="inlineStr">
        <is>
          <t>A 35142-2023</t>
        </is>
      </c>
      <c r="B669" s="1" t="n">
        <v>45145</v>
      </c>
      <c r="C669" s="1" t="n">
        <v>46195</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59207-2025</t>
        </is>
      </c>
      <c r="B670" s="1" t="n">
        <v>45988</v>
      </c>
      <c r="C670" s="1" t="n">
        <v>46195</v>
      </c>
      <c r="D670" t="inlineStr">
        <is>
          <t>UPPSALA LÄN</t>
        </is>
      </c>
      <c r="E670" t="inlineStr">
        <is>
          <t>UPPSALA</t>
        </is>
      </c>
      <c r="F670" t="inlineStr">
        <is>
          <t>Kyrkan</t>
        </is>
      </c>
      <c r="G670" t="n">
        <v>1.5</v>
      </c>
      <c r="H670" t="n">
        <v>0</v>
      </c>
      <c r="I670" t="n">
        <v>0</v>
      </c>
      <c r="J670" t="n">
        <v>0</v>
      </c>
      <c r="K670" t="n">
        <v>0</v>
      </c>
      <c r="L670" t="n">
        <v>0</v>
      </c>
      <c r="M670" t="n">
        <v>0</v>
      </c>
      <c r="N670" t="n">
        <v>0</v>
      </c>
      <c r="O670" t="n">
        <v>0</v>
      </c>
      <c r="P670" t="n">
        <v>0</v>
      </c>
      <c r="Q670" t="n">
        <v>0</v>
      </c>
      <c r="R670" s="2" t="inlineStr"/>
    </row>
    <row r="671" ht="15" customHeight="1">
      <c r="A671" t="inlineStr">
        <is>
          <t>A 47083-2023</t>
        </is>
      </c>
      <c r="B671" s="1" t="n">
        <v>45201</v>
      </c>
      <c r="C671" s="1" t="n">
        <v>46195</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26844-2026</t>
        </is>
      </c>
      <c r="B672" s="1" t="n">
        <v>46185</v>
      </c>
      <c r="C672" s="1" t="n">
        <v>46195</v>
      </c>
      <c r="D672" t="inlineStr">
        <is>
          <t>UPPSALA LÄN</t>
        </is>
      </c>
      <c r="E672" t="inlineStr">
        <is>
          <t>UPPSALA</t>
        </is>
      </c>
      <c r="G672" t="n">
        <v>5.1</v>
      </c>
      <c r="H672" t="n">
        <v>0</v>
      </c>
      <c r="I672" t="n">
        <v>0</v>
      </c>
      <c r="J672" t="n">
        <v>0</v>
      </c>
      <c r="K672" t="n">
        <v>0</v>
      </c>
      <c r="L672" t="n">
        <v>0</v>
      </c>
      <c r="M672" t="n">
        <v>0</v>
      </c>
      <c r="N672" t="n">
        <v>0</v>
      </c>
      <c r="O672" t="n">
        <v>0</v>
      </c>
      <c r="P672" t="n">
        <v>0</v>
      </c>
      <c r="Q672" t="n">
        <v>0</v>
      </c>
      <c r="R672" s="2" t="inlineStr"/>
    </row>
    <row r="673" ht="15" customHeight="1">
      <c r="A673" t="inlineStr">
        <is>
          <t>A 9255-2024</t>
        </is>
      </c>
      <c r="B673" s="1" t="n">
        <v>45358</v>
      </c>
      <c r="C673" s="1" t="n">
        <v>46195</v>
      </c>
      <c r="D673" t="inlineStr">
        <is>
          <t>UPPSALA LÄN</t>
        </is>
      </c>
      <c r="E673" t="inlineStr">
        <is>
          <t>UPPSALA</t>
        </is>
      </c>
      <c r="G673" t="n">
        <v>1.8</v>
      </c>
      <c r="H673" t="n">
        <v>0</v>
      </c>
      <c r="I673" t="n">
        <v>0</v>
      </c>
      <c r="J673" t="n">
        <v>0</v>
      </c>
      <c r="K673" t="n">
        <v>0</v>
      </c>
      <c r="L673" t="n">
        <v>0</v>
      </c>
      <c r="M673" t="n">
        <v>0</v>
      </c>
      <c r="N673" t="n">
        <v>0</v>
      </c>
      <c r="O673" t="n">
        <v>0</v>
      </c>
      <c r="P673" t="n">
        <v>0</v>
      </c>
      <c r="Q673" t="n">
        <v>0</v>
      </c>
      <c r="R673" s="2" t="inlineStr"/>
    </row>
    <row r="674" ht="15" customHeight="1">
      <c r="A674" t="inlineStr">
        <is>
          <t>A 59779-2025</t>
        </is>
      </c>
      <c r="B674" s="1" t="n">
        <v>45992</v>
      </c>
      <c r="C674" s="1" t="n">
        <v>46195</v>
      </c>
      <c r="D674" t="inlineStr">
        <is>
          <t>UPPSALA LÄN</t>
        </is>
      </c>
      <c r="E674" t="inlineStr">
        <is>
          <t>UPPSALA</t>
        </is>
      </c>
      <c r="G674" t="n">
        <v>1.4</v>
      </c>
      <c r="H674" t="n">
        <v>0</v>
      </c>
      <c r="I674" t="n">
        <v>0</v>
      </c>
      <c r="J674" t="n">
        <v>0</v>
      </c>
      <c r="K674" t="n">
        <v>0</v>
      </c>
      <c r="L674" t="n">
        <v>0</v>
      </c>
      <c r="M674" t="n">
        <v>0</v>
      </c>
      <c r="N674" t="n">
        <v>0</v>
      </c>
      <c r="O674" t="n">
        <v>0</v>
      </c>
      <c r="P674" t="n">
        <v>0</v>
      </c>
      <c r="Q674" t="n">
        <v>0</v>
      </c>
      <c r="R674" s="2" t="inlineStr"/>
    </row>
    <row r="675" ht="15" customHeight="1">
      <c r="A675" t="inlineStr">
        <is>
          <t>A 59688-2025</t>
        </is>
      </c>
      <c r="B675" s="1" t="n">
        <v>45992</v>
      </c>
      <c r="C675" s="1" t="n">
        <v>46195</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21194-2026</t>
        </is>
      </c>
      <c r="B676" s="1" t="n">
        <v>46146</v>
      </c>
      <c r="C676" s="1" t="n">
        <v>46195</v>
      </c>
      <c r="D676" t="inlineStr">
        <is>
          <t>UPPSALA LÄN</t>
        </is>
      </c>
      <c r="E676" t="inlineStr">
        <is>
          <t>UPPSALA</t>
        </is>
      </c>
      <c r="G676" t="n">
        <v>2.5</v>
      </c>
      <c r="H676" t="n">
        <v>0</v>
      </c>
      <c r="I676" t="n">
        <v>0</v>
      </c>
      <c r="J676" t="n">
        <v>0</v>
      </c>
      <c r="K676" t="n">
        <v>0</v>
      </c>
      <c r="L676" t="n">
        <v>0</v>
      </c>
      <c r="M676" t="n">
        <v>0</v>
      </c>
      <c r="N676" t="n">
        <v>0</v>
      </c>
      <c r="O676" t="n">
        <v>0</v>
      </c>
      <c r="P676" t="n">
        <v>0</v>
      </c>
      <c r="Q676" t="n">
        <v>0</v>
      </c>
      <c r="R676" s="2" t="inlineStr"/>
    </row>
    <row r="677" ht="15" customHeight="1">
      <c r="A677" t="inlineStr">
        <is>
          <t>A 66983-2021</t>
        </is>
      </c>
      <c r="B677" s="1" t="n">
        <v>44522</v>
      </c>
      <c r="C677" s="1" t="n">
        <v>46195</v>
      </c>
      <c r="D677" t="inlineStr">
        <is>
          <t>UPPSALA LÄN</t>
        </is>
      </c>
      <c r="E677" t="inlineStr">
        <is>
          <t>UPPSALA</t>
        </is>
      </c>
      <c r="G677" t="n">
        <v>2.5</v>
      </c>
      <c r="H677" t="n">
        <v>0</v>
      </c>
      <c r="I677" t="n">
        <v>0</v>
      </c>
      <c r="J677" t="n">
        <v>0</v>
      </c>
      <c r="K677" t="n">
        <v>0</v>
      </c>
      <c r="L677" t="n">
        <v>0</v>
      </c>
      <c r="M677" t="n">
        <v>0</v>
      </c>
      <c r="N677" t="n">
        <v>0</v>
      </c>
      <c r="O677" t="n">
        <v>0</v>
      </c>
      <c r="P677" t="n">
        <v>0</v>
      </c>
      <c r="Q677" t="n">
        <v>0</v>
      </c>
      <c r="R677" s="2" t="inlineStr"/>
    </row>
    <row r="678" ht="15" customHeight="1">
      <c r="A678" t="inlineStr">
        <is>
          <t>A 35014-2025</t>
        </is>
      </c>
      <c r="B678" s="1" t="n">
        <v>45851</v>
      </c>
      <c r="C678" s="1" t="n">
        <v>46195</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9242-2022</t>
        </is>
      </c>
      <c r="B679" s="1" t="n">
        <v>44616</v>
      </c>
      <c r="C679" s="1" t="n">
        <v>46195</v>
      </c>
      <c r="D679" t="inlineStr">
        <is>
          <t>UPPSALA LÄN</t>
        </is>
      </c>
      <c r="E679" t="inlineStr">
        <is>
          <t>UPPSALA</t>
        </is>
      </c>
      <c r="F679" t="inlineStr">
        <is>
          <t>Övriga Aktiebolag</t>
        </is>
      </c>
      <c r="G679" t="n">
        <v>5.9</v>
      </c>
      <c r="H679" t="n">
        <v>0</v>
      </c>
      <c r="I679" t="n">
        <v>0</v>
      </c>
      <c r="J679" t="n">
        <v>0</v>
      </c>
      <c r="K679" t="n">
        <v>0</v>
      </c>
      <c r="L679" t="n">
        <v>0</v>
      </c>
      <c r="M679" t="n">
        <v>0</v>
      </c>
      <c r="N679" t="n">
        <v>0</v>
      </c>
      <c r="O679" t="n">
        <v>0</v>
      </c>
      <c r="P679" t="n">
        <v>0</v>
      </c>
      <c r="Q679" t="n">
        <v>0</v>
      </c>
      <c r="R679" s="2" t="inlineStr"/>
    </row>
    <row r="680" ht="15" customHeight="1">
      <c r="A680" t="inlineStr">
        <is>
          <t>A 60820-2024</t>
        </is>
      </c>
      <c r="B680" s="1" t="n">
        <v>45644</v>
      </c>
      <c r="C680" s="1" t="n">
        <v>46195</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18675-2024</t>
        </is>
      </c>
      <c r="B681" s="1" t="n">
        <v>45426</v>
      </c>
      <c r="C681" s="1" t="n">
        <v>46195</v>
      </c>
      <c r="D681" t="inlineStr">
        <is>
          <t>UPPSALA LÄN</t>
        </is>
      </c>
      <c r="E681" t="inlineStr">
        <is>
          <t>UPPSALA</t>
        </is>
      </c>
      <c r="G681" t="n">
        <v>8.1</v>
      </c>
      <c r="H681" t="n">
        <v>0</v>
      </c>
      <c r="I681" t="n">
        <v>0</v>
      </c>
      <c r="J681" t="n">
        <v>0</v>
      </c>
      <c r="K681" t="n">
        <v>0</v>
      </c>
      <c r="L681" t="n">
        <v>0</v>
      </c>
      <c r="M681" t="n">
        <v>0</v>
      </c>
      <c r="N681" t="n">
        <v>0</v>
      </c>
      <c r="O681" t="n">
        <v>0</v>
      </c>
      <c r="P681" t="n">
        <v>0</v>
      </c>
      <c r="Q681" t="n">
        <v>0</v>
      </c>
      <c r="R681" s="2" t="inlineStr"/>
    </row>
    <row r="682" ht="15" customHeight="1">
      <c r="A682" t="inlineStr">
        <is>
          <t>A 34893-2025</t>
        </is>
      </c>
      <c r="B682" s="1" t="n">
        <v>45849</v>
      </c>
      <c r="C682" s="1" t="n">
        <v>46195</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35148-2025</t>
        </is>
      </c>
      <c r="B683" s="1" t="n">
        <v>45852</v>
      </c>
      <c r="C683" s="1" t="n">
        <v>46195</v>
      </c>
      <c r="D683" t="inlineStr">
        <is>
          <t>UPPSALA LÄN</t>
        </is>
      </c>
      <c r="E683" t="inlineStr">
        <is>
          <t>UPPSALA</t>
        </is>
      </c>
      <c r="F683" t="inlineStr">
        <is>
          <t>Holmen skog AB</t>
        </is>
      </c>
      <c r="G683" t="n">
        <v>2.2</v>
      </c>
      <c r="H683" t="n">
        <v>0</v>
      </c>
      <c r="I683" t="n">
        <v>0</v>
      </c>
      <c r="J683" t="n">
        <v>0</v>
      </c>
      <c r="K683" t="n">
        <v>0</v>
      </c>
      <c r="L683" t="n">
        <v>0</v>
      </c>
      <c r="M683" t="n">
        <v>0</v>
      </c>
      <c r="N683" t="n">
        <v>0</v>
      </c>
      <c r="O683" t="n">
        <v>0</v>
      </c>
      <c r="P683" t="n">
        <v>0</v>
      </c>
      <c r="Q683" t="n">
        <v>0</v>
      </c>
      <c r="R683" s="2" t="inlineStr"/>
    </row>
    <row r="684" ht="15" customHeight="1">
      <c r="A684" t="inlineStr">
        <is>
          <t>A 35056-2025</t>
        </is>
      </c>
      <c r="B684" s="1" t="n">
        <v>45852</v>
      </c>
      <c r="C684" s="1" t="n">
        <v>46195</v>
      </c>
      <c r="D684" t="inlineStr">
        <is>
          <t>UPPSALA LÄN</t>
        </is>
      </c>
      <c r="E684" t="inlineStr">
        <is>
          <t>UPPSALA</t>
        </is>
      </c>
      <c r="G684" t="n">
        <v>2.6</v>
      </c>
      <c r="H684" t="n">
        <v>0</v>
      </c>
      <c r="I684" t="n">
        <v>0</v>
      </c>
      <c r="J684" t="n">
        <v>0</v>
      </c>
      <c r="K684" t="n">
        <v>0</v>
      </c>
      <c r="L684" t="n">
        <v>0</v>
      </c>
      <c r="M684" t="n">
        <v>0</v>
      </c>
      <c r="N684" t="n">
        <v>0</v>
      </c>
      <c r="O684" t="n">
        <v>0</v>
      </c>
      <c r="P684" t="n">
        <v>0</v>
      </c>
      <c r="Q684" t="n">
        <v>0</v>
      </c>
      <c r="R684" s="2" t="inlineStr"/>
    </row>
    <row r="685" ht="15" customHeight="1">
      <c r="A685" t="inlineStr">
        <is>
          <t>A 35053-2025</t>
        </is>
      </c>
      <c r="B685" s="1" t="n">
        <v>45852</v>
      </c>
      <c r="C685" s="1" t="n">
        <v>46195</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35150-2025</t>
        </is>
      </c>
      <c r="B686" s="1" t="n">
        <v>45852</v>
      </c>
      <c r="C686" s="1" t="n">
        <v>46195</v>
      </c>
      <c r="D686" t="inlineStr">
        <is>
          <t>UPPSALA LÄN</t>
        </is>
      </c>
      <c r="E686" t="inlineStr">
        <is>
          <t>UPPSALA</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35510-2025</t>
        </is>
      </c>
      <c r="B687" s="1" t="n">
        <v>45856</v>
      </c>
      <c r="C687" s="1" t="n">
        <v>46195</v>
      </c>
      <c r="D687" t="inlineStr">
        <is>
          <t>UPPSALA LÄN</t>
        </is>
      </c>
      <c r="E687" t="inlineStr">
        <is>
          <t>UPPSALA</t>
        </is>
      </c>
      <c r="F687" t="inlineStr">
        <is>
          <t>Bergvik skog öst AB</t>
        </is>
      </c>
      <c r="G687" t="n">
        <v>0.3</v>
      </c>
      <c r="H687" t="n">
        <v>0</v>
      </c>
      <c r="I687" t="n">
        <v>0</v>
      </c>
      <c r="J687" t="n">
        <v>0</v>
      </c>
      <c r="K687" t="n">
        <v>0</v>
      </c>
      <c r="L687" t="n">
        <v>0</v>
      </c>
      <c r="M687" t="n">
        <v>0</v>
      </c>
      <c r="N687" t="n">
        <v>0</v>
      </c>
      <c r="O687" t="n">
        <v>0</v>
      </c>
      <c r="P687" t="n">
        <v>0</v>
      </c>
      <c r="Q687" t="n">
        <v>0</v>
      </c>
      <c r="R687" s="2" t="inlineStr"/>
    </row>
    <row r="688" ht="15" customHeight="1">
      <c r="A688" t="inlineStr">
        <is>
          <t>A 42063-2023</t>
        </is>
      </c>
      <c r="B688" s="1" t="n">
        <v>45177</v>
      </c>
      <c r="C688" s="1" t="n">
        <v>46195</v>
      </c>
      <c r="D688" t="inlineStr">
        <is>
          <t>UPPSALA LÄN</t>
        </is>
      </c>
      <c r="E688" t="inlineStr">
        <is>
          <t>UPPSALA</t>
        </is>
      </c>
      <c r="G688" t="n">
        <v>5.6</v>
      </c>
      <c r="H688" t="n">
        <v>0</v>
      </c>
      <c r="I688" t="n">
        <v>0</v>
      </c>
      <c r="J688" t="n">
        <v>0</v>
      </c>
      <c r="K688" t="n">
        <v>0</v>
      </c>
      <c r="L688" t="n">
        <v>0</v>
      </c>
      <c r="M688" t="n">
        <v>0</v>
      </c>
      <c r="N688" t="n">
        <v>0</v>
      </c>
      <c r="O688" t="n">
        <v>0</v>
      </c>
      <c r="P688" t="n">
        <v>0</v>
      </c>
      <c r="Q688" t="n">
        <v>0</v>
      </c>
      <c r="R688" s="2" t="inlineStr"/>
    </row>
    <row r="689" ht="15" customHeight="1">
      <c r="A689" t="inlineStr">
        <is>
          <t>A 60356-2025</t>
        </is>
      </c>
      <c r="B689" s="1" t="n">
        <v>45995</v>
      </c>
      <c r="C689" s="1" t="n">
        <v>46195</v>
      </c>
      <c r="D689" t="inlineStr">
        <is>
          <t>UPPSALA LÄN</t>
        </is>
      </c>
      <c r="E689" t="inlineStr">
        <is>
          <t>UPPSALA</t>
        </is>
      </c>
      <c r="G689" t="n">
        <v>1</v>
      </c>
      <c r="H689" t="n">
        <v>0</v>
      </c>
      <c r="I689" t="n">
        <v>0</v>
      </c>
      <c r="J689" t="n">
        <v>0</v>
      </c>
      <c r="K689" t="n">
        <v>0</v>
      </c>
      <c r="L689" t="n">
        <v>0</v>
      </c>
      <c r="M689" t="n">
        <v>0</v>
      </c>
      <c r="N689" t="n">
        <v>0</v>
      </c>
      <c r="O689" t="n">
        <v>0</v>
      </c>
      <c r="P689" t="n">
        <v>0</v>
      </c>
      <c r="Q689" t="n">
        <v>0</v>
      </c>
      <c r="R689" s="2" t="inlineStr"/>
    </row>
    <row r="690" ht="15" customHeight="1">
      <c r="A690" t="inlineStr">
        <is>
          <t>A 7727-2024</t>
        </is>
      </c>
      <c r="B690" s="1" t="n">
        <v>45349</v>
      </c>
      <c r="C690" s="1" t="n">
        <v>46195</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60512-2025</t>
        </is>
      </c>
      <c r="B691" s="1" t="n">
        <v>45995</v>
      </c>
      <c r="C691" s="1" t="n">
        <v>46195</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18781-2025</t>
        </is>
      </c>
      <c r="B692" s="1" t="n">
        <v>45763</v>
      </c>
      <c r="C692" s="1" t="n">
        <v>46195</v>
      </c>
      <c r="D692" t="inlineStr">
        <is>
          <t>UPPSALA LÄN</t>
        </is>
      </c>
      <c r="E692" t="inlineStr">
        <is>
          <t>UPPSALA</t>
        </is>
      </c>
      <c r="G692" t="n">
        <v>0.8</v>
      </c>
      <c r="H692" t="n">
        <v>0</v>
      </c>
      <c r="I692" t="n">
        <v>0</v>
      </c>
      <c r="J692" t="n">
        <v>0</v>
      </c>
      <c r="K692" t="n">
        <v>0</v>
      </c>
      <c r="L692" t="n">
        <v>0</v>
      </c>
      <c r="M692" t="n">
        <v>0</v>
      </c>
      <c r="N692" t="n">
        <v>0</v>
      </c>
      <c r="O692" t="n">
        <v>0</v>
      </c>
      <c r="P692" t="n">
        <v>0</v>
      </c>
      <c r="Q692" t="n">
        <v>0</v>
      </c>
      <c r="R692" s="2" t="inlineStr"/>
    </row>
    <row r="693" ht="15" customHeight="1">
      <c r="A693" t="inlineStr">
        <is>
          <t>A 60735-2024</t>
        </is>
      </c>
      <c r="B693" s="1" t="n">
        <v>45644</v>
      </c>
      <c r="C693" s="1" t="n">
        <v>46195</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37626-2023</t>
        </is>
      </c>
      <c r="B694" s="1" t="n">
        <v>45159</v>
      </c>
      <c r="C694" s="1" t="n">
        <v>46195</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30616-2025</t>
        </is>
      </c>
      <c r="B695" s="1" t="n">
        <v>45831</v>
      </c>
      <c r="C695" s="1" t="n">
        <v>46195</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60445-2024</t>
        </is>
      </c>
      <c r="B696" s="1" t="n">
        <v>45643</v>
      </c>
      <c r="C696" s="1" t="n">
        <v>46195</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46195</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46195</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53921-2024</t>
        </is>
      </c>
      <c r="B699" s="1" t="n">
        <v>45615</v>
      </c>
      <c r="C699" s="1" t="n">
        <v>46195</v>
      </c>
      <c r="D699" t="inlineStr">
        <is>
          <t>UPPSALA LÄN</t>
        </is>
      </c>
      <c r="E699" t="inlineStr">
        <is>
          <t>UPPSALA</t>
        </is>
      </c>
      <c r="G699" t="n">
        <v>8.1</v>
      </c>
      <c r="H699" t="n">
        <v>0</v>
      </c>
      <c r="I699" t="n">
        <v>0</v>
      </c>
      <c r="J699" t="n">
        <v>0</v>
      </c>
      <c r="K699" t="n">
        <v>0</v>
      </c>
      <c r="L699" t="n">
        <v>0</v>
      </c>
      <c r="M699" t="n">
        <v>0</v>
      </c>
      <c r="N699" t="n">
        <v>0</v>
      </c>
      <c r="O699" t="n">
        <v>0</v>
      </c>
      <c r="P699" t="n">
        <v>0</v>
      </c>
      <c r="Q699" t="n">
        <v>0</v>
      </c>
      <c r="R699" s="2" t="inlineStr"/>
    </row>
    <row r="700" ht="15" customHeight="1">
      <c r="A700" t="inlineStr">
        <is>
          <t>A 59562-2024</t>
        </is>
      </c>
      <c r="B700" s="1" t="n">
        <v>45638</v>
      </c>
      <c r="C700" s="1" t="n">
        <v>46195</v>
      </c>
      <c r="D700" t="inlineStr">
        <is>
          <t>UPPSALA LÄN</t>
        </is>
      </c>
      <c r="E700" t="inlineStr">
        <is>
          <t>UPPSALA</t>
        </is>
      </c>
      <c r="G700" t="n">
        <v>1.1</v>
      </c>
      <c r="H700" t="n">
        <v>0</v>
      </c>
      <c r="I700" t="n">
        <v>0</v>
      </c>
      <c r="J700" t="n">
        <v>0</v>
      </c>
      <c r="K700" t="n">
        <v>0</v>
      </c>
      <c r="L700" t="n">
        <v>0</v>
      </c>
      <c r="M700" t="n">
        <v>0</v>
      </c>
      <c r="N700" t="n">
        <v>0</v>
      </c>
      <c r="O700" t="n">
        <v>0</v>
      </c>
      <c r="P700" t="n">
        <v>0</v>
      </c>
      <c r="Q700" t="n">
        <v>0</v>
      </c>
      <c r="R700" s="2" t="inlineStr"/>
    </row>
    <row r="701" ht="15" customHeight="1">
      <c r="A701" t="inlineStr">
        <is>
          <t>A 58965-2025</t>
        </is>
      </c>
      <c r="B701" s="1" t="n">
        <v>45987</v>
      </c>
      <c r="C701" s="1" t="n">
        <v>46195</v>
      </c>
      <c r="D701" t="inlineStr">
        <is>
          <t>UPPSALA LÄN</t>
        </is>
      </c>
      <c r="E701" t="inlineStr">
        <is>
          <t>UPPSALA</t>
        </is>
      </c>
      <c r="G701" t="n">
        <v>7.7</v>
      </c>
      <c r="H701" t="n">
        <v>0</v>
      </c>
      <c r="I701" t="n">
        <v>0</v>
      </c>
      <c r="J701" t="n">
        <v>0</v>
      </c>
      <c r="K701" t="n">
        <v>0</v>
      </c>
      <c r="L701" t="n">
        <v>0</v>
      </c>
      <c r="M701" t="n">
        <v>0</v>
      </c>
      <c r="N701" t="n">
        <v>0</v>
      </c>
      <c r="O701" t="n">
        <v>0</v>
      </c>
      <c r="P701" t="n">
        <v>0</v>
      </c>
      <c r="Q701" t="n">
        <v>0</v>
      </c>
      <c r="R701" s="2" t="inlineStr"/>
    </row>
    <row r="702" ht="15" customHeight="1">
      <c r="A702" t="inlineStr">
        <is>
          <t>A 60698-2024</t>
        </is>
      </c>
      <c r="B702" s="1" t="n">
        <v>45644</v>
      </c>
      <c r="C702" s="1" t="n">
        <v>46195</v>
      </c>
      <c r="D702" t="inlineStr">
        <is>
          <t>UPPSALA LÄN</t>
        </is>
      </c>
      <c r="E702" t="inlineStr">
        <is>
          <t>UPPSALA</t>
        </is>
      </c>
      <c r="G702" t="n">
        <v>2</v>
      </c>
      <c r="H702" t="n">
        <v>0</v>
      </c>
      <c r="I702" t="n">
        <v>0</v>
      </c>
      <c r="J702" t="n">
        <v>0</v>
      </c>
      <c r="K702" t="n">
        <v>0</v>
      </c>
      <c r="L702" t="n">
        <v>0</v>
      </c>
      <c r="M702" t="n">
        <v>0</v>
      </c>
      <c r="N702" t="n">
        <v>0</v>
      </c>
      <c r="O702" t="n">
        <v>0</v>
      </c>
      <c r="P702" t="n">
        <v>0</v>
      </c>
      <c r="Q702" t="n">
        <v>0</v>
      </c>
      <c r="R702" s="2" t="inlineStr"/>
    </row>
    <row r="703" ht="15" customHeight="1">
      <c r="A703" t="inlineStr">
        <is>
          <t>A 44115-2023</t>
        </is>
      </c>
      <c r="B703" s="1" t="n">
        <v>45188</v>
      </c>
      <c r="C703" s="1" t="n">
        <v>46195</v>
      </c>
      <c r="D703" t="inlineStr">
        <is>
          <t>UPPSALA LÄN</t>
        </is>
      </c>
      <c r="E703" t="inlineStr">
        <is>
          <t>UPPSALA</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42772-2022</t>
        </is>
      </c>
      <c r="B704" s="1" t="n">
        <v>44832</v>
      </c>
      <c r="C704" s="1" t="n">
        <v>46195</v>
      </c>
      <c r="D704" t="inlineStr">
        <is>
          <t>UPPSALA LÄN</t>
        </is>
      </c>
      <c r="E704" t="inlineStr">
        <is>
          <t>UPPSALA</t>
        </is>
      </c>
      <c r="G704" t="n">
        <v>17.7</v>
      </c>
      <c r="H704" t="n">
        <v>0</v>
      </c>
      <c r="I704" t="n">
        <v>0</v>
      </c>
      <c r="J704" t="n">
        <v>0</v>
      </c>
      <c r="K704" t="n">
        <v>0</v>
      </c>
      <c r="L704" t="n">
        <v>0</v>
      </c>
      <c r="M704" t="n">
        <v>0</v>
      </c>
      <c r="N704" t="n">
        <v>0</v>
      </c>
      <c r="O704" t="n">
        <v>0</v>
      </c>
      <c r="P704" t="n">
        <v>0</v>
      </c>
      <c r="Q704" t="n">
        <v>0</v>
      </c>
      <c r="R704" s="2" t="inlineStr"/>
    </row>
    <row r="705" ht="15" customHeight="1">
      <c r="A705" t="inlineStr">
        <is>
          <t>A 6363-2024</t>
        </is>
      </c>
      <c r="B705" s="1" t="n">
        <v>45338</v>
      </c>
      <c r="C705" s="1" t="n">
        <v>46195</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10490-2025</t>
        </is>
      </c>
      <c r="B706" s="1" t="n">
        <v>45721</v>
      </c>
      <c r="C706" s="1" t="n">
        <v>46195</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35906-2023</t>
        </is>
      </c>
      <c r="B707" s="1" t="n">
        <v>45148</v>
      </c>
      <c r="C707" s="1" t="n">
        <v>46195</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35914-2023</t>
        </is>
      </c>
      <c r="B708" s="1" t="n">
        <v>45148</v>
      </c>
      <c r="C708" s="1" t="n">
        <v>46195</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35916-2023</t>
        </is>
      </c>
      <c r="B709" s="1" t="n">
        <v>45148</v>
      </c>
      <c r="C709" s="1" t="n">
        <v>46195</v>
      </c>
      <c r="D709" t="inlineStr">
        <is>
          <t>UPPSALA LÄN</t>
        </is>
      </c>
      <c r="E709" t="inlineStr">
        <is>
          <t>UPPSALA</t>
        </is>
      </c>
      <c r="G709" t="n">
        <v>3.1</v>
      </c>
      <c r="H709" t="n">
        <v>0</v>
      </c>
      <c r="I709" t="n">
        <v>0</v>
      </c>
      <c r="J709" t="n">
        <v>0</v>
      </c>
      <c r="K709" t="n">
        <v>0</v>
      </c>
      <c r="L709" t="n">
        <v>0</v>
      </c>
      <c r="M709" t="n">
        <v>0</v>
      </c>
      <c r="N709" t="n">
        <v>0</v>
      </c>
      <c r="O709" t="n">
        <v>0</v>
      </c>
      <c r="P709" t="n">
        <v>0</v>
      </c>
      <c r="Q709" t="n">
        <v>0</v>
      </c>
      <c r="R709" s="2" t="inlineStr"/>
    </row>
    <row r="710" ht="15" customHeight="1">
      <c r="A710" t="inlineStr">
        <is>
          <t>A 4312-2022</t>
        </is>
      </c>
      <c r="B710" s="1" t="n">
        <v>44588</v>
      </c>
      <c r="C710" s="1" t="n">
        <v>46195</v>
      </c>
      <c r="D710" t="inlineStr">
        <is>
          <t>UPPSALA LÄN</t>
        </is>
      </c>
      <c r="E710" t="inlineStr">
        <is>
          <t>UPPSALA</t>
        </is>
      </c>
      <c r="G710" t="n">
        <v>1.1</v>
      </c>
      <c r="H710" t="n">
        <v>0</v>
      </c>
      <c r="I710" t="n">
        <v>0</v>
      </c>
      <c r="J710" t="n">
        <v>0</v>
      </c>
      <c r="K710" t="n">
        <v>0</v>
      </c>
      <c r="L710" t="n">
        <v>0</v>
      </c>
      <c r="M710" t="n">
        <v>0</v>
      </c>
      <c r="N710" t="n">
        <v>0</v>
      </c>
      <c r="O710" t="n">
        <v>0</v>
      </c>
      <c r="P710" t="n">
        <v>0</v>
      </c>
      <c r="Q710" t="n">
        <v>0</v>
      </c>
      <c r="R710" s="2" t="inlineStr"/>
    </row>
    <row r="711" ht="15" customHeight="1">
      <c r="A711" t="inlineStr">
        <is>
          <t>A 57770-2025</t>
        </is>
      </c>
      <c r="B711" s="1" t="n">
        <v>45981</v>
      </c>
      <c r="C711" s="1" t="n">
        <v>46195</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4065-2024</t>
        </is>
      </c>
      <c r="B712" s="1" t="n">
        <v>45323</v>
      </c>
      <c r="C712" s="1" t="n">
        <v>46195</v>
      </c>
      <c r="D712" t="inlineStr">
        <is>
          <t>UPPSALA LÄN</t>
        </is>
      </c>
      <c r="E712" t="inlineStr">
        <is>
          <t>UPPSALA</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45662-2023</t>
        </is>
      </c>
      <c r="B713" s="1" t="n">
        <v>45194</v>
      </c>
      <c r="C713" s="1" t="n">
        <v>46195</v>
      </c>
      <c r="D713" t="inlineStr">
        <is>
          <t>UPPSALA LÄN</t>
        </is>
      </c>
      <c r="E713" t="inlineStr">
        <is>
          <t>UPPSALA</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37010-2025</t>
        </is>
      </c>
      <c r="B714" s="1" t="n">
        <v>45874</v>
      </c>
      <c r="C714" s="1" t="n">
        <v>46195</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50463-2024</t>
        </is>
      </c>
      <c r="B715" s="1" t="n">
        <v>45601</v>
      </c>
      <c r="C715" s="1" t="n">
        <v>46195</v>
      </c>
      <c r="D715" t="inlineStr">
        <is>
          <t>UPPSALA LÄN</t>
        </is>
      </c>
      <c r="E715" t="inlineStr">
        <is>
          <t>UPPSALA</t>
        </is>
      </c>
      <c r="F715" t="inlineStr">
        <is>
          <t>Allmännings- och besparingsskogar</t>
        </is>
      </c>
      <c r="G715" t="n">
        <v>12.6</v>
      </c>
      <c r="H715" t="n">
        <v>0</v>
      </c>
      <c r="I715" t="n">
        <v>0</v>
      </c>
      <c r="J715" t="n">
        <v>0</v>
      </c>
      <c r="K715" t="n">
        <v>0</v>
      </c>
      <c r="L715" t="n">
        <v>0</v>
      </c>
      <c r="M715" t="n">
        <v>0</v>
      </c>
      <c r="N715" t="n">
        <v>0</v>
      </c>
      <c r="O715" t="n">
        <v>0</v>
      </c>
      <c r="P715" t="n">
        <v>0</v>
      </c>
      <c r="Q715" t="n">
        <v>0</v>
      </c>
      <c r="R715" s="2" t="inlineStr"/>
    </row>
    <row r="716" ht="15" customHeight="1">
      <c r="A716" t="inlineStr">
        <is>
          <t>A 5189-2022</t>
        </is>
      </c>
      <c r="B716" s="1" t="n">
        <v>44594</v>
      </c>
      <c r="C716" s="1" t="n">
        <v>46195</v>
      </c>
      <c r="D716" t="inlineStr">
        <is>
          <t>UPPSALA LÄN</t>
        </is>
      </c>
      <c r="E716" t="inlineStr">
        <is>
          <t>UPPSALA</t>
        </is>
      </c>
      <c r="G716" t="n">
        <v>5.9</v>
      </c>
      <c r="H716" t="n">
        <v>0</v>
      </c>
      <c r="I716" t="n">
        <v>0</v>
      </c>
      <c r="J716" t="n">
        <v>0</v>
      </c>
      <c r="K716" t="n">
        <v>0</v>
      </c>
      <c r="L716" t="n">
        <v>0</v>
      </c>
      <c r="M716" t="n">
        <v>0</v>
      </c>
      <c r="N716" t="n">
        <v>0</v>
      </c>
      <c r="O716" t="n">
        <v>0</v>
      </c>
      <c r="P716" t="n">
        <v>0</v>
      </c>
      <c r="Q716" t="n">
        <v>0</v>
      </c>
      <c r="R716" s="2" t="inlineStr"/>
    </row>
    <row r="717" ht="15" customHeight="1">
      <c r="A717" t="inlineStr">
        <is>
          <t>A 11201-2024</t>
        </is>
      </c>
      <c r="B717" s="1" t="n">
        <v>45371</v>
      </c>
      <c r="C717" s="1" t="n">
        <v>46195</v>
      </c>
      <c r="D717" t="inlineStr">
        <is>
          <t>UPPSALA LÄN</t>
        </is>
      </c>
      <c r="E717" t="inlineStr">
        <is>
          <t>UPPSALA</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37561-2025</t>
        </is>
      </c>
      <c r="B718" s="1" t="n">
        <v>45880</v>
      </c>
      <c r="C718" s="1" t="n">
        <v>46195</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63059-2025</t>
        </is>
      </c>
      <c r="B719" s="1" t="n">
        <v>46009</v>
      </c>
      <c r="C719" s="1" t="n">
        <v>46195</v>
      </c>
      <c r="D719" t="inlineStr">
        <is>
          <t>UPPSALA LÄN</t>
        </is>
      </c>
      <c r="E719" t="inlineStr">
        <is>
          <t>UPPSALA</t>
        </is>
      </c>
      <c r="G719" t="n">
        <v>15.4</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46195</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11162-2022</t>
        </is>
      </c>
      <c r="B721" s="1" t="n">
        <v>44629</v>
      </c>
      <c r="C721" s="1" t="n">
        <v>46195</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37856-2025</t>
        </is>
      </c>
      <c r="B722" s="1" t="n">
        <v>45881</v>
      </c>
      <c r="C722" s="1" t="n">
        <v>46195</v>
      </c>
      <c r="D722" t="inlineStr">
        <is>
          <t>UPPSALA LÄN</t>
        </is>
      </c>
      <c r="E722" t="inlineStr">
        <is>
          <t>UPPSALA</t>
        </is>
      </c>
      <c r="G722" t="n">
        <v>1.7</v>
      </c>
      <c r="H722" t="n">
        <v>0</v>
      </c>
      <c r="I722" t="n">
        <v>0</v>
      </c>
      <c r="J722" t="n">
        <v>0</v>
      </c>
      <c r="K722" t="n">
        <v>0</v>
      </c>
      <c r="L722" t="n">
        <v>0</v>
      </c>
      <c r="M722" t="n">
        <v>0</v>
      </c>
      <c r="N722" t="n">
        <v>0</v>
      </c>
      <c r="O722" t="n">
        <v>0</v>
      </c>
      <c r="P722" t="n">
        <v>0</v>
      </c>
      <c r="Q722" t="n">
        <v>0</v>
      </c>
      <c r="R722" s="2" t="inlineStr"/>
    </row>
    <row r="723" ht="15" customHeight="1">
      <c r="A723" t="inlineStr">
        <is>
          <t>A 63527-2025</t>
        </is>
      </c>
      <c r="B723" s="1" t="n">
        <v>46013</v>
      </c>
      <c r="C723" s="1" t="n">
        <v>46195</v>
      </c>
      <c r="D723" t="inlineStr">
        <is>
          <t>UPPSALA LÄN</t>
        </is>
      </c>
      <c r="E723" t="inlineStr">
        <is>
          <t>UPPSALA</t>
        </is>
      </c>
      <c r="G723" t="n">
        <v>6.3</v>
      </c>
      <c r="H723" t="n">
        <v>0</v>
      </c>
      <c r="I723" t="n">
        <v>0</v>
      </c>
      <c r="J723" t="n">
        <v>0</v>
      </c>
      <c r="K723" t="n">
        <v>0</v>
      </c>
      <c r="L723" t="n">
        <v>0</v>
      </c>
      <c r="M723" t="n">
        <v>0</v>
      </c>
      <c r="N723" t="n">
        <v>0</v>
      </c>
      <c r="O723" t="n">
        <v>0</v>
      </c>
      <c r="P723" t="n">
        <v>0</v>
      </c>
      <c r="Q723" t="n">
        <v>0</v>
      </c>
      <c r="R723" s="2" t="inlineStr"/>
    </row>
    <row r="724" ht="15" customHeight="1">
      <c r="A724" t="inlineStr">
        <is>
          <t>A 38113-2025</t>
        </is>
      </c>
      <c r="B724" s="1" t="n">
        <v>45882</v>
      </c>
      <c r="C724" s="1" t="n">
        <v>46195</v>
      </c>
      <c r="D724" t="inlineStr">
        <is>
          <t>UPPSALA LÄN</t>
        </is>
      </c>
      <c r="E724" t="inlineStr">
        <is>
          <t>UPPSALA</t>
        </is>
      </c>
      <c r="G724" t="n">
        <v>5.8</v>
      </c>
      <c r="H724" t="n">
        <v>0</v>
      </c>
      <c r="I724" t="n">
        <v>0</v>
      </c>
      <c r="J724" t="n">
        <v>0</v>
      </c>
      <c r="K724" t="n">
        <v>0</v>
      </c>
      <c r="L724" t="n">
        <v>0</v>
      </c>
      <c r="M724" t="n">
        <v>0</v>
      </c>
      <c r="N724" t="n">
        <v>0</v>
      </c>
      <c r="O724" t="n">
        <v>0</v>
      </c>
      <c r="P724" t="n">
        <v>0</v>
      </c>
      <c r="Q724" t="n">
        <v>0</v>
      </c>
      <c r="R724" s="2" t="inlineStr"/>
    </row>
    <row r="725" ht="15" customHeight="1">
      <c r="A725" t="inlineStr">
        <is>
          <t>A 8132-2024</t>
        </is>
      </c>
      <c r="B725" s="1" t="n">
        <v>45351</v>
      </c>
      <c r="C725" s="1" t="n">
        <v>46195</v>
      </c>
      <c r="D725" t="inlineStr">
        <is>
          <t>UPPSALA LÄN</t>
        </is>
      </c>
      <c r="E725" t="inlineStr">
        <is>
          <t>UPPSALA</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63389-2025</t>
        </is>
      </c>
      <c r="B726" s="1" t="n">
        <v>46011</v>
      </c>
      <c r="C726" s="1" t="n">
        <v>46195</v>
      </c>
      <c r="D726" t="inlineStr">
        <is>
          <t>UPPSALA LÄN</t>
        </is>
      </c>
      <c r="E726" t="inlineStr">
        <is>
          <t>UPPSALA</t>
        </is>
      </c>
      <c r="G726" t="n">
        <v>1.8</v>
      </c>
      <c r="H726" t="n">
        <v>0</v>
      </c>
      <c r="I726" t="n">
        <v>0</v>
      </c>
      <c r="J726" t="n">
        <v>0</v>
      </c>
      <c r="K726" t="n">
        <v>0</v>
      </c>
      <c r="L726" t="n">
        <v>0</v>
      </c>
      <c r="M726" t="n">
        <v>0</v>
      </c>
      <c r="N726" t="n">
        <v>0</v>
      </c>
      <c r="O726" t="n">
        <v>0</v>
      </c>
      <c r="P726" t="n">
        <v>0</v>
      </c>
      <c r="Q726" t="n">
        <v>0</v>
      </c>
      <c r="R726" s="2" t="inlineStr"/>
    </row>
    <row r="727" ht="15" customHeight="1">
      <c r="A727" t="inlineStr">
        <is>
          <t>A 63530-2025</t>
        </is>
      </c>
      <c r="B727" s="1" t="n">
        <v>46013</v>
      </c>
      <c r="C727" s="1" t="n">
        <v>46195</v>
      </c>
      <c r="D727" t="inlineStr">
        <is>
          <t>UPPSALA LÄN</t>
        </is>
      </c>
      <c r="E727" t="inlineStr">
        <is>
          <t>UPPSALA</t>
        </is>
      </c>
      <c r="G727" t="n">
        <v>1.9</v>
      </c>
      <c r="H727" t="n">
        <v>0</v>
      </c>
      <c r="I727" t="n">
        <v>0</v>
      </c>
      <c r="J727" t="n">
        <v>0</v>
      </c>
      <c r="K727" t="n">
        <v>0</v>
      </c>
      <c r="L727" t="n">
        <v>0</v>
      </c>
      <c r="M727" t="n">
        <v>0</v>
      </c>
      <c r="N727" t="n">
        <v>0</v>
      </c>
      <c r="O727" t="n">
        <v>0</v>
      </c>
      <c r="P727" t="n">
        <v>0</v>
      </c>
      <c r="Q727" t="n">
        <v>0</v>
      </c>
      <c r="R727" s="2" t="inlineStr"/>
    </row>
    <row r="728" ht="15" customHeight="1">
      <c r="A728" t="inlineStr">
        <is>
          <t>A 63532-2025</t>
        </is>
      </c>
      <c r="B728" s="1" t="n">
        <v>46013</v>
      </c>
      <c r="C728" s="1" t="n">
        <v>46195</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20087-2023</t>
        </is>
      </c>
      <c r="B729" s="1" t="n">
        <v>45054</v>
      </c>
      <c r="C729" s="1" t="n">
        <v>46195</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63669-2025</t>
        </is>
      </c>
      <c r="B730" s="1" t="n">
        <v>46014</v>
      </c>
      <c r="C730" s="1" t="n">
        <v>46195</v>
      </c>
      <c r="D730" t="inlineStr">
        <is>
          <t>UPPSALA LÄN</t>
        </is>
      </c>
      <c r="E730" t="inlineStr">
        <is>
          <t>UPPSALA</t>
        </is>
      </c>
      <c r="G730" t="n">
        <v>5.4</v>
      </c>
      <c r="H730" t="n">
        <v>0</v>
      </c>
      <c r="I730" t="n">
        <v>0</v>
      </c>
      <c r="J730" t="n">
        <v>0</v>
      </c>
      <c r="K730" t="n">
        <v>0</v>
      </c>
      <c r="L730" t="n">
        <v>0</v>
      </c>
      <c r="M730" t="n">
        <v>0</v>
      </c>
      <c r="N730" t="n">
        <v>0</v>
      </c>
      <c r="O730" t="n">
        <v>0</v>
      </c>
      <c r="P730" t="n">
        <v>0</v>
      </c>
      <c r="Q730" t="n">
        <v>0</v>
      </c>
      <c r="R730" s="2" t="inlineStr"/>
    </row>
    <row r="731" ht="15" customHeight="1">
      <c r="A731" t="inlineStr">
        <is>
          <t>A 61463-2024</t>
        </is>
      </c>
      <c r="B731" s="1" t="n">
        <v>45646</v>
      </c>
      <c r="C731" s="1" t="n">
        <v>46195</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45575-2023</t>
        </is>
      </c>
      <c r="B732" s="1" t="n">
        <v>45194</v>
      </c>
      <c r="C732" s="1" t="n">
        <v>46195</v>
      </c>
      <c r="D732" t="inlineStr">
        <is>
          <t>UPPSALA LÄN</t>
        </is>
      </c>
      <c r="E732" t="inlineStr">
        <is>
          <t>UPPSALA</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27893-2026</t>
        </is>
      </c>
      <c r="B733" s="1" t="n">
        <v>46191</v>
      </c>
      <c r="C733" s="1" t="n">
        <v>46195</v>
      </c>
      <c r="D733" t="inlineStr">
        <is>
          <t>UPPSALA LÄN</t>
        </is>
      </c>
      <c r="E733" t="inlineStr">
        <is>
          <t>UPPSALA</t>
        </is>
      </c>
      <c r="F733" t="inlineStr">
        <is>
          <t>Allmännings- och besparingsskogar</t>
        </is>
      </c>
      <c r="G733" t="n">
        <v>3.9</v>
      </c>
      <c r="H733" t="n">
        <v>0</v>
      </c>
      <c r="I733" t="n">
        <v>0</v>
      </c>
      <c r="J733" t="n">
        <v>0</v>
      </c>
      <c r="K733" t="n">
        <v>0</v>
      </c>
      <c r="L733" t="n">
        <v>0</v>
      </c>
      <c r="M733" t="n">
        <v>0</v>
      </c>
      <c r="N733" t="n">
        <v>0</v>
      </c>
      <c r="O733" t="n">
        <v>0</v>
      </c>
      <c r="P733" t="n">
        <v>0</v>
      </c>
      <c r="Q733" t="n">
        <v>0</v>
      </c>
      <c r="R733" s="2" t="inlineStr"/>
    </row>
    <row r="734" ht="15" customHeight="1">
      <c r="A734" t="inlineStr">
        <is>
          <t>A 27903-2026</t>
        </is>
      </c>
      <c r="B734" s="1" t="n">
        <v>46191</v>
      </c>
      <c r="C734" s="1" t="n">
        <v>46195</v>
      </c>
      <c r="D734" t="inlineStr">
        <is>
          <t>UPPSALA LÄN</t>
        </is>
      </c>
      <c r="E734" t="inlineStr">
        <is>
          <t>UPPSALA</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55275-2025</t>
        </is>
      </c>
      <c r="B735" s="1" t="n">
        <v>45968</v>
      </c>
      <c r="C735" s="1" t="n">
        <v>46195</v>
      </c>
      <c r="D735" t="inlineStr">
        <is>
          <t>UPPSALA LÄN</t>
        </is>
      </c>
      <c r="E735" t="inlineStr">
        <is>
          <t>UPPSALA</t>
        </is>
      </c>
      <c r="F735" t="inlineStr">
        <is>
          <t>Allmännings- och besparingsskogar</t>
        </is>
      </c>
      <c r="G735" t="n">
        <v>13.2</v>
      </c>
      <c r="H735" t="n">
        <v>0</v>
      </c>
      <c r="I735" t="n">
        <v>0</v>
      </c>
      <c r="J735" t="n">
        <v>0</v>
      </c>
      <c r="K735" t="n">
        <v>0</v>
      </c>
      <c r="L735" t="n">
        <v>0</v>
      </c>
      <c r="M735" t="n">
        <v>0</v>
      </c>
      <c r="N735" t="n">
        <v>0</v>
      </c>
      <c r="O735" t="n">
        <v>0</v>
      </c>
      <c r="P735" t="n">
        <v>0</v>
      </c>
      <c r="Q735" t="n">
        <v>0</v>
      </c>
      <c r="R735" s="2" t="inlineStr"/>
    </row>
    <row r="736" ht="15" customHeight="1">
      <c r="A736" t="inlineStr">
        <is>
          <t>A 39865-2022</t>
        </is>
      </c>
      <c r="B736" s="1" t="n">
        <v>44819</v>
      </c>
      <c r="C736" s="1" t="n">
        <v>46195</v>
      </c>
      <c r="D736" t="inlineStr">
        <is>
          <t>UPPSALA LÄN</t>
        </is>
      </c>
      <c r="E736" t="inlineStr">
        <is>
          <t>UPPSALA</t>
        </is>
      </c>
      <c r="G736" t="n">
        <v>2.5</v>
      </c>
      <c r="H736" t="n">
        <v>0</v>
      </c>
      <c r="I736" t="n">
        <v>0</v>
      </c>
      <c r="J736" t="n">
        <v>0</v>
      </c>
      <c r="K736" t="n">
        <v>0</v>
      </c>
      <c r="L736" t="n">
        <v>0</v>
      </c>
      <c r="M736" t="n">
        <v>0</v>
      </c>
      <c r="N736" t="n">
        <v>0</v>
      </c>
      <c r="O736" t="n">
        <v>0</v>
      </c>
      <c r="P736" t="n">
        <v>0</v>
      </c>
      <c r="Q736" t="n">
        <v>0</v>
      </c>
      <c r="R736" s="2" t="inlineStr"/>
    </row>
    <row r="737" ht="15" customHeight="1">
      <c r="A737" t="inlineStr">
        <is>
          <t>A 20206-2023</t>
        </is>
      </c>
      <c r="B737" s="1" t="n">
        <v>45055</v>
      </c>
      <c r="C737" s="1" t="n">
        <v>46195</v>
      </c>
      <c r="D737" t="inlineStr">
        <is>
          <t>UPPSALA LÄN</t>
        </is>
      </c>
      <c r="E737" t="inlineStr">
        <is>
          <t>UPPSALA</t>
        </is>
      </c>
      <c r="G737" t="n">
        <v>5.7</v>
      </c>
      <c r="H737" t="n">
        <v>0</v>
      </c>
      <c r="I737" t="n">
        <v>0</v>
      </c>
      <c r="J737" t="n">
        <v>0</v>
      </c>
      <c r="K737" t="n">
        <v>0</v>
      </c>
      <c r="L737" t="n">
        <v>0</v>
      </c>
      <c r="M737" t="n">
        <v>0</v>
      </c>
      <c r="N737" t="n">
        <v>0</v>
      </c>
      <c r="O737" t="n">
        <v>0</v>
      </c>
      <c r="P737" t="n">
        <v>0</v>
      </c>
      <c r="Q737" t="n">
        <v>0</v>
      </c>
      <c r="R737" s="2" t="inlineStr"/>
    </row>
    <row r="738" ht="15" customHeight="1">
      <c r="A738" t="inlineStr">
        <is>
          <t>A 43029-2023</t>
        </is>
      </c>
      <c r="B738" s="1" t="n">
        <v>45182</v>
      </c>
      <c r="C738" s="1" t="n">
        <v>46195</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43031-2023</t>
        </is>
      </c>
      <c r="B739" s="1" t="n">
        <v>45182</v>
      </c>
      <c r="C739" s="1" t="n">
        <v>46195</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26762-2023</t>
        </is>
      </c>
      <c r="B740" s="1" t="n">
        <v>45093</v>
      </c>
      <c r="C740" s="1" t="n">
        <v>46195</v>
      </c>
      <c r="D740" t="inlineStr">
        <is>
          <t>UPPSALA LÄN</t>
        </is>
      </c>
      <c r="E740" t="inlineStr">
        <is>
          <t>UPPSALA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21864-2026</t>
        </is>
      </c>
      <c r="B741" s="1" t="n">
        <v>46150</v>
      </c>
      <c r="C741" s="1" t="n">
        <v>46195</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16434-2024</t>
        </is>
      </c>
      <c r="B742" s="1" t="n">
        <v>45407</v>
      </c>
      <c r="C742" s="1" t="n">
        <v>46195</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44080-2023</t>
        </is>
      </c>
      <c r="B743" s="1" t="n">
        <v>45188</v>
      </c>
      <c r="C743" s="1" t="n">
        <v>46195</v>
      </c>
      <c r="D743" t="inlineStr">
        <is>
          <t>UPPSALA LÄN</t>
        </is>
      </c>
      <c r="E743" t="inlineStr">
        <is>
          <t>UPPSALA</t>
        </is>
      </c>
      <c r="G743" t="n">
        <v>13.3</v>
      </c>
      <c r="H743" t="n">
        <v>0</v>
      </c>
      <c r="I743" t="n">
        <v>0</v>
      </c>
      <c r="J743" t="n">
        <v>0</v>
      </c>
      <c r="K743" t="n">
        <v>0</v>
      </c>
      <c r="L743" t="n">
        <v>0</v>
      </c>
      <c r="M743" t="n">
        <v>0</v>
      </c>
      <c r="N743" t="n">
        <v>0</v>
      </c>
      <c r="O743" t="n">
        <v>0</v>
      </c>
      <c r="P743" t="n">
        <v>0</v>
      </c>
      <c r="Q743" t="n">
        <v>0</v>
      </c>
      <c r="R743" s="2" t="inlineStr"/>
    </row>
    <row r="744" ht="15" customHeight="1">
      <c r="A744" t="inlineStr">
        <is>
          <t>A 53963-2023</t>
        </is>
      </c>
      <c r="B744" s="1" t="n">
        <v>45231</v>
      </c>
      <c r="C744" s="1" t="n">
        <v>46195</v>
      </c>
      <c r="D744" t="inlineStr">
        <is>
          <t>UPPSALA LÄN</t>
        </is>
      </c>
      <c r="E744" t="inlineStr">
        <is>
          <t>UPPSALA</t>
        </is>
      </c>
      <c r="G744" t="n">
        <v>1.9</v>
      </c>
      <c r="H744" t="n">
        <v>0</v>
      </c>
      <c r="I744" t="n">
        <v>0</v>
      </c>
      <c r="J744" t="n">
        <v>0</v>
      </c>
      <c r="K744" t="n">
        <v>0</v>
      </c>
      <c r="L744" t="n">
        <v>0</v>
      </c>
      <c r="M744" t="n">
        <v>0</v>
      </c>
      <c r="N744" t="n">
        <v>0</v>
      </c>
      <c r="O744" t="n">
        <v>0</v>
      </c>
      <c r="P744" t="n">
        <v>0</v>
      </c>
      <c r="Q744" t="n">
        <v>0</v>
      </c>
      <c r="R744" s="2" t="inlineStr"/>
    </row>
    <row r="745" ht="15" customHeight="1">
      <c r="A745" t="inlineStr">
        <is>
          <t>A 2897-2025</t>
        </is>
      </c>
      <c r="B745" s="1" t="n">
        <v>45677</v>
      </c>
      <c r="C745" s="1" t="n">
        <v>46195</v>
      </c>
      <c r="D745" t="inlineStr">
        <is>
          <t>UPPSALA LÄN</t>
        </is>
      </c>
      <c r="E745" t="inlineStr">
        <is>
          <t>UPPSALA</t>
        </is>
      </c>
      <c r="G745" t="n">
        <v>2.7</v>
      </c>
      <c r="H745" t="n">
        <v>0</v>
      </c>
      <c r="I745" t="n">
        <v>0</v>
      </c>
      <c r="J745" t="n">
        <v>0</v>
      </c>
      <c r="K745" t="n">
        <v>0</v>
      </c>
      <c r="L745" t="n">
        <v>0</v>
      </c>
      <c r="M745" t="n">
        <v>0</v>
      </c>
      <c r="N745" t="n">
        <v>0</v>
      </c>
      <c r="O745" t="n">
        <v>0</v>
      </c>
      <c r="P745" t="n">
        <v>0</v>
      </c>
      <c r="Q745" t="n">
        <v>0</v>
      </c>
      <c r="R745" s="2" t="inlineStr"/>
    </row>
    <row r="746" ht="15" customHeight="1">
      <c r="A746" t="inlineStr">
        <is>
          <t>A 918-2026</t>
        </is>
      </c>
      <c r="B746" s="1" t="n">
        <v>46030</v>
      </c>
      <c r="C746" s="1" t="n">
        <v>46195</v>
      </c>
      <c r="D746" t="inlineStr">
        <is>
          <t>UPPSALA LÄN</t>
        </is>
      </c>
      <c r="E746" t="inlineStr">
        <is>
          <t>UPPSALA</t>
        </is>
      </c>
      <c r="F746" t="inlineStr">
        <is>
          <t>Övriga statliga verk och myndigheter</t>
        </is>
      </c>
      <c r="G746" t="n">
        <v>15.1</v>
      </c>
      <c r="H746" t="n">
        <v>0</v>
      </c>
      <c r="I746" t="n">
        <v>0</v>
      </c>
      <c r="J746" t="n">
        <v>0</v>
      </c>
      <c r="K746" t="n">
        <v>0</v>
      </c>
      <c r="L746" t="n">
        <v>0</v>
      </c>
      <c r="M746" t="n">
        <v>0</v>
      </c>
      <c r="N746" t="n">
        <v>0</v>
      </c>
      <c r="O746" t="n">
        <v>0</v>
      </c>
      <c r="P746" t="n">
        <v>0</v>
      </c>
      <c r="Q746" t="n">
        <v>0</v>
      </c>
      <c r="R746" s="2" t="inlineStr"/>
    </row>
    <row r="747" ht="15" customHeight="1">
      <c r="A747" t="inlineStr">
        <is>
          <t>A 6059-2025</t>
        </is>
      </c>
      <c r="B747" s="1" t="n">
        <v>45695</v>
      </c>
      <c r="C747" s="1" t="n">
        <v>46195</v>
      </c>
      <c r="D747" t="inlineStr">
        <is>
          <t>UPPSALA LÄN</t>
        </is>
      </c>
      <c r="E747" t="inlineStr">
        <is>
          <t>UPPSALA</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968-2026</t>
        </is>
      </c>
      <c r="B748" s="1" t="n">
        <v>46030</v>
      </c>
      <c r="C748" s="1" t="n">
        <v>46195</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482-2026</t>
        </is>
      </c>
      <c r="B749" s="1" t="n">
        <v>46029</v>
      </c>
      <c r="C749" s="1" t="n">
        <v>46195</v>
      </c>
      <c r="D749" t="inlineStr">
        <is>
          <t>UPPSALA LÄN</t>
        </is>
      </c>
      <c r="E749" t="inlineStr">
        <is>
          <t>UPPSALA</t>
        </is>
      </c>
      <c r="G749" t="n">
        <v>3.4</v>
      </c>
      <c r="H749" t="n">
        <v>0</v>
      </c>
      <c r="I749" t="n">
        <v>0</v>
      </c>
      <c r="J749" t="n">
        <v>0</v>
      </c>
      <c r="K749" t="n">
        <v>0</v>
      </c>
      <c r="L749" t="n">
        <v>0</v>
      </c>
      <c r="M749" t="n">
        <v>0</v>
      </c>
      <c r="N749" t="n">
        <v>0</v>
      </c>
      <c r="O749" t="n">
        <v>0</v>
      </c>
      <c r="P749" t="n">
        <v>0</v>
      </c>
      <c r="Q749" t="n">
        <v>0</v>
      </c>
      <c r="R749" s="2" t="inlineStr"/>
    </row>
    <row r="750" ht="15" customHeight="1">
      <c r="A750" t="inlineStr">
        <is>
          <t>A 27817-2026</t>
        </is>
      </c>
      <c r="B750" s="1" t="n">
        <v>46191</v>
      </c>
      <c r="C750" s="1" t="n">
        <v>46195</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1390-2026</t>
        </is>
      </c>
      <c r="B751" s="1" t="n">
        <v>46031</v>
      </c>
      <c r="C751" s="1" t="n">
        <v>46195</v>
      </c>
      <c r="D751" t="inlineStr">
        <is>
          <t>UPPSALA LÄN</t>
        </is>
      </c>
      <c r="E751" t="inlineStr">
        <is>
          <t>UPPSALA</t>
        </is>
      </c>
      <c r="G751" t="n">
        <v>7.9</v>
      </c>
      <c r="H751" t="n">
        <v>0</v>
      </c>
      <c r="I751" t="n">
        <v>0</v>
      </c>
      <c r="J751" t="n">
        <v>0</v>
      </c>
      <c r="K751" t="n">
        <v>0</v>
      </c>
      <c r="L751" t="n">
        <v>0</v>
      </c>
      <c r="M751" t="n">
        <v>0</v>
      </c>
      <c r="N751" t="n">
        <v>0</v>
      </c>
      <c r="O751" t="n">
        <v>0</v>
      </c>
      <c r="P751" t="n">
        <v>0</v>
      </c>
      <c r="Q751" t="n">
        <v>0</v>
      </c>
      <c r="R751" s="2" t="inlineStr"/>
    </row>
    <row r="752" ht="15" customHeight="1">
      <c r="A752" t="inlineStr">
        <is>
          <t>A 50395-2023</t>
        </is>
      </c>
      <c r="B752" s="1" t="n">
        <v>45216</v>
      </c>
      <c r="C752" s="1" t="n">
        <v>46195</v>
      </c>
      <c r="D752" t="inlineStr">
        <is>
          <t>UPPSALA LÄN</t>
        </is>
      </c>
      <c r="E752" t="inlineStr">
        <is>
          <t>UPPSALA</t>
        </is>
      </c>
      <c r="G752" t="n">
        <v>2.3</v>
      </c>
      <c r="H752" t="n">
        <v>0</v>
      </c>
      <c r="I752" t="n">
        <v>0</v>
      </c>
      <c r="J752" t="n">
        <v>0</v>
      </c>
      <c r="K752" t="n">
        <v>0</v>
      </c>
      <c r="L752" t="n">
        <v>0</v>
      </c>
      <c r="M752" t="n">
        <v>0</v>
      </c>
      <c r="N752" t="n">
        <v>0</v>
      </c>
      <c r="O752" t="n">
        <v>0</v>
      </c>
      <c r="P752" t="n">
        <v>0</v>
      </c>
      <c r="Q752" t="n">
        <v>0</v>
      </c>
      <c r="R752" s="2" t="inlineStr"/>
    </row>
    <row r="753" ht="15" customHeight="1">
      <c r="A753" t="inlineStr">
        <is>
          <t>A 50473-2023</t>
        </is>
      </c>
      <c r="B753" s="1" t="n">
        <v>45216</v>
      </c>
      <c r="C753" s="1" t="n">
        <v>46195</v>
      </c>
      <c r="D753" t="inlineStr">
        <is>
          <t>UPPSALA LÄN</t>
        </is>
      </c>
      <c r="E753" t="inlineStr">
        <is>
          <t>UPPSALA</t>
        </is>
      </c>
      <c r="F753" t="inlineStr">
        <is>
          <t>Allmännings- och besparingsskogar</t>
        </is>
      </c>
      <c r="G753" t="n">
        <v>7.6</v>
      </c>
      <c r="H753" t="n">
        <v>0</v>
      </c>
      <c r="I753" t="n">
        <v>0</v>
      </c>
      <c r="J753" t="n">
        <v>0</v>
      </c>
      <c r="K753" t="n">
        <v>0</v>
      </c>
      <c r="L753" t="n">
        <v>0</v>
      </c>
      <c r="M753" t="n">
        <v>0</v>
      </c>
      <c r="N753" t="n">
        <v>0</v>
      </c>
      <c r="O753" t="n">
        <v>0</v>
      </c>
      <c r="P753" t="n">
        <v>0</v>
      </c>
      <c r="Q753" t="n">
        <v>0</v>
      </c>
      <c r="R753" s="2" t="inlineStr"/>
    </row>
    <row r="754" ht="15" customHeight="1">
      <c r="A754" t="inlineStr">
        <is>
          <t>A 27900-2026</t>
        </is>
      </c>
      <c r="B754" s="1" t="n">
        <v>46191</v>
      </c>
      <c r="C754" s="1" t="n">
        <v>46195</v>
      </c>
      <c r="D754" t="inlineStr">
        <is>
          <t>UPPSALA LÄN</t>
        </is>
      </c>
      <c r="E754" t="inlineStr">
        <is>
          <t>UPPSALA</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5725-2025</t>
        </is>
      </c>
      <c r="B755" s="1" t="n">
        <v>45694</v>
      </c>
      <c r="C755" s="1" t="n">
        <v>46195</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4059-2022</t>
        </is>
      </c>
      <c r="B756" s="1" t="n">
        <v>44588</v>
      </c>
      <c r="C756" s="1" t="n">
        <v>46195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48564-2023</t>
        </is>
      </c>
      <c r="B757" s="1" t="n">
        <v>45208</v>
      </c>
      <c r="C757" s="1" t="n">
        <v>46195</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7501-2025</t>
        </is>
      </c>
      <c r="B758" s="1" t="n">
        <v>45705</v>
      </c>
      <c r="C758" s="1" t="n">
        <v>46195</v>
      </c>
      <c r="D758" t="inlineStr">
        <is>
          <t>UPPSALA LÄN</t>
        </is>
      </c>
      <c r="E758" t="inlineStr">
        <is>
          <t>UPPSALA</t>
        </is>
      </c>
      <c r="G758" t="n">
        <v>4.2</v>
      </c>
      <c r="H758" t="n">
        <v>0</v>
      </c>
      <c r="I758" t="n">
        <v>0</v>
      </c>
      <c r="J758" t="n">
        <v>0</v>
      </c>
      <c r="K758" t="n">
        <v>0</v>
      </c>
      <c r="L758" t="n">
        <v>0</v>
      </c>
      <c r="M758" t="n">
        <v>0</v>
      </c>
      <c r="N758" t="n">
        <v>0</v>
      </c>
      <c r="O758" t="n">
        <v>0</v>
      </c>
      <c r="P758" t="n">
        <v>0</v>
      </c>
      <c r="Q758" t="n">
        <v>0</v>
      </c>
      <c r="R758" s="2" t="inlineStr"/>
    </row>
    <row r="759" ht="15" customHeight="1">
      <c r="A759" t="inlineStr">
        <is>
          <t>A 42273-2023</t>
        </is>
      </c>
      <c r="B759" s="1" t="n">
        <v>45180</v>
      </c>
      <c r="C759" s="1" t="n">
        <v>46195</v>
      </c>
      <c r="D759" t="inlineStr">
        <is>
          <t>UPPSALA LÄN</t>
        </is>
      </c>
      <c r="E759" t="inlineStr">
        <is>
          <t>UPPSALA</t>
        </is>
      </c>
      <c r="F759" t="inlineStr">
        <is>
          <t>Bergvik skog öst AB</t>
        </is>
      </c>
      <c r="G759" t="n">
        <v>0.9</v>
      </c>
      <c r="H759" t="n">
        <v>0</v>
      </c>
      <c r="I759" t="n">
        <v>0</v>
      </c>
      <c r="J759" t="n">
        <v>0</v>
      </c>
      <c r="K759" t="n">
        <v>0</v>
      </c>
      <c r="L759" t="n">
        <v>0</v>
      </c>
      <c r="M759" t="n">
        <v>0</v>
      </c>
      <c r="N759" t="n">
        <v>0</v>
      </c>
      <c r="O759" t="n">
        <v>0</v>
      </c>
      <c r="P759" t="n">
        <v>0</v>
      </c>
      <c r="Q759" t="n">
        <v>0</v>
      </c>
      <c r="R759" s="2" t="inlineStr"/>
    </row>
    <row r="760" ht="15" customHeight="1">
      <c r="A760" t="inlineStr">
        <is>
          <t>A 8877-2022</t>
        </is>
      </c>
      <c r="B760" s="1" t="n">
        <v>44614</v>
      </c>
      <c r="C760" s="1" t="n">
        <v>46195</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27904-2026</t>
        </is>
      </c>
      <c r="B761" s="1" t="n">
        <v>46191</v>
      </c>
      <c r="C761" s="1" t="n">
        <v>46195</v>
      </c>
      <c r="D761" t="inlineStr">
        <is>
          <t>UPPSALA LÄN</t>
        </is>
      </c>
      <c r="E761" t="inlineStr">
        <is>
          <t>UPPSALA</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17562-2022</t>
        </is>
      </c>
      <c r="B762" s="1" t="n">
        <v>44679</v>
      </c>
      <c r="C762" s="1" t="n">
        <v>46195</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36123-2023</t>
        </is>
      </c>
      <c r="B763" s="1" t="n">
        <v>45149</v>
      </c>
      <c r="C763" s="1" t="n">
        <v>46195</v>
      </c>
      <c r="D763" t="inlineStr">
        <is>
          <t>UPPSALA LÄN</t>
        </is>
      </c>
      <c r="E763" t="inlineStr">
        <is>
          <t>UPPSALA</t>
        </is>
      </c>
      <c r="F763" t="inlineStr">
        <is>
          <t>Allmännings- och besparingsskogar</t>
        </is>
      </c>
      <c r="G763" t="n">
        <v>4.2</v>
      </c>
      <c r="H763" t="n">
        <v>0</v>
      </c>
      <c r="I763" t="n">
        <v>0</v>
      </c>
      <c r="J763" t="n">
        <v>0</v>
      </c>
      <c r="K763" t="n">
        <v>0</v>
      </c>
      <c r="L763" t="n">
        <v>0</v>
      </c>
      <c r="M763" t="n">
        <v>0</v>
      </c>
      <c r="N763" t="n">
        <v>0</v>
      </c>
      <c r="O763" t="n">
        <v>0</v>
      </c>
      <c r="P763" t="n">
        <v>0</v>
      </c>
      <c r="Q763" t="n">
        <v>0</v>
      </c>
      <c r="R763" s="2" t="inlineStr"/>
    </row>
    <row r="764" ht="15" customHeight="1">
      <c r="A764" t="inlineStr">
        <is>
          <t>A 42543-2023</t>
        </is>
      </c>
      <c r="B764" s="1" t="n">
        <v>45181</v>
      </c>
      <c r="C764" s="1" t="n">
        <v>46195</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17558-2022</t>
        </is>
      </c>
      <c r="B765" s="1" t="n">
        <v>44679</v>
      </c>
      <c r="C765" s="1" t="n">
        <v>46195</v>
      </c>
      <c r="D765" t="inlineStr">
        <is>
          <t>UPPSALA LÄN</t>
        </is>
      </c>
      <c r="E765" t="inlineStr">
        <is>
          <t>UPPSALA</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43818-2023</t>
        </is>
      </c>
      <c r="B766" s="1" t="n">
        <v>45182</v>
      </c>
      <c r="C766" s="1" t="n">
        <v>46195</v>
      </c>
      <c r="D766" t="inlineStr">
        <is>
          <t>UPPSALA LÄN</t>
        </is>
      </c>
      <c r="E766" t="inlineStr">
        <is>
          <t>UPPSALA</t>
        </is>
      </c>
      <c r="G766" t="n">
        <v>10.8</v>
      </c>
      <c r="H766" t="n">
        <v>0</v>
      </c>
      <c r="I766" t="n">
        <v>0</v>
      </c>
      <c r="J766" t="n">
        <v>0</v>
      </c>
      <c r="K766" t="n">
        <v>0</v>
      </c>
      <c r="L766" t="n">
        <v>0</v>
      </c>
      <c r="M766" t="n">
        <v>0</v>
      </c>
      <c r="N766" t="n">
        <v>0</v>
      </c>
      <c r="O766" t="n">
        <v>0</v>
      </c>
      <c r="P766" t="n">
        <v>0</v>
      </c>
      <c r="Q766" t="n">
        <v>0</v>
      </c>
      <c r="R766" s="2" t="inlineStr"/>
    </row>
    <row r="767" ht="15" customHeight="1">
      <c r="A767" t="inlineStr">
        <is>
          <t>A 5729-2025</t>
        </is>
      </c>
      <c r="B767" s="1" t="n">
        <v>45694</v>
      </c>
      <c r="C767" s="1" t="n">
        <v>46195</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20497-2022</t>
        </is>
      </c>
      <c r="B768" s="1" t="n">
        <v>44699</v>
      </c>
      <c r="C768" s="1" t="n">
        <v>46195</v>
      </c>
      <c r="D768" t="inlineStr">
        <is>
          <t>UPPSALA LÄN</t>
        </is>
      </c>
      <c r="E768" t="inlineStr">
        <is>
          <t>UPPSALA</t>
        </is>
      </c>
      <c r="F768" t="inlineStr">
        <is>
          <t>Övriga statliga verk och myndigheter</t>
        </is>
      </c>
      <c r="G768" t="n">
        <v>1</v>
      </c>
      <c r="H768" t="n">
        <v>0</v>
      </c>
      <c r="I768" t="n">
        <v>0</v>
      </c>
      <c r="J768" t="n">
        <v>0</v>
      </c>
      <c r="K768" t="n">
        <v>0</v>
      </c>
      <c r="L768" t="n">
        <v>0</v>
      </c>
      <c r="M768" t="n">
        <v>0</v>
      </c>
      <c r="N768" t="n">
        <v>0</v>
      </c>
      <c r="O768" t="n">
        <v>0</v>
      </c>
      <c r="P768" t="n">
        <v>0</v>
      </c>
      <c r="Q768" t="n">
        <v>0</v>
      </c>
      <c r="R768" s="2" t="inlineStr"/>
    </row>
    <row r="769" ht="15" customHeight="1">
      <c r="A769" t="inlineStr">
        <is>
          <t>A 52503-2023</t>
        </is>
      </c>
      <c r="B769" s="1" t="n">
        <v>45225</v>
      </c>
      <c r="C769" s="1" t="n">
        <v>46195</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33562-2023</t>
        </is>
      </c>
      <c r="B770" s="1" t="n">
        <v>45131</v>
      </c>
      <c r="C770" s="1" t="n">
        <v>46195</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60447-2023</t>
        </is>
      </c>
      <c r="B771" s="1" t="n">
        <v>45259</v>
      </c>
      <c r="C771" s="1" t="n">
        <v>46195</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54783-2023</t>
        </is>
      </c>
      <c r="B772" s="1" t="n">
        <v>45236</v>
      </c>
      <c r="C772" s="1" t="n">
        <v>46195</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5629-2026</t>
        </is>
      </c>
      <c r="B773" s="1" t="n">
        <v>46051</v>
      </c>
      <c r="C773" s="1" t="n">
        <v>46195</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600-2024</t>
        </is>
      </c>
      <c r="B774" s="1" t="n">
        <v>45299</v>
      </c>
      <c r="C774" s="1" t="n">
        <v>46195</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62287-2023</t>
        </is>
      </c>
      <c r="B775" s="1" t="n">
        <v>45267</v>
      </c>
      <c r="C775" s="1" t="n">
        <v>46195</v>
      </c>
      <c r="D775" t="inlineStr">
        <is>
          <t>UPPSALA LÄN</t>
        </is>
      </c>
      <c r="E775" t="inlineStr">
        <is>
          <t>UPPSALA</t>
        </is>
      </c>
      <c r="F775" t="inlineStr">
        <is>
          <t>Allmännings- och besparingsskogar</t>
        </is>
      </c>
      <c r="G775" t="n">
        <v>2.8</v>
      </c>
      <c r="H775" t="n">
        <v>0</v>
      </c>
      <c r="I775" t="n">
        <v>0</v>
      </c>
      <c r="J775" t="n">
        <v>0</v>
      </c>
      <c r="K775" t="n">
        <v>0</v>
      </c>
      <c r="L775" t="n">
        <v>0</v>
      </c>
      <c r="M775" t="n">
        <v>0</v>
      </c>
      <c r="N775" t="n">
        <v>0</v>
      </c>
      <c r="O775" t="n">
        <v>0</v>
      </c>
      <c r="P775" t="n">
        <v>0</v>
      </c>
      <c r="Q775" t="n">
        <v>0</v>
      </c>
      <c r="R775" s="2" t="inlineStr"/>
    </row>
    <row r="776" ht="15" customHeight="1">
      <c r="A776" t="inlineStr">
        <is>
          <t>A 5687-2026</t>
        </is>
      </c>
      <c r="B776" s="1" t="n">
        <v>46051</v>
      </c>
      <c r="C776" s="1" t="n">
        <v>46195</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54808-2023</t>
        </is>
      </c>
      <c r="B777" s="1" t="n">
        <v>45236</v>
      </c>
      <c r="C777" s="1" t="n">
        <v>46195</v>
      </c>
      <c r="D777" t="inlineStr">
        <is>
          <t>UPPSALA LÄN</t>
        </is>
      </c>
      <c r="E777" t="inlineStr">
        <is>
          <t>UPPSALA</t>
        </is>
      </c>
      <c r="G777" t="n">
        <v>4.1</v>
      </c>
      <c r="H777" t="n">
        <v>0</v>
      </c>
      <c r="I777" t="n">
        <v>0</v>
      </c>
      <c r="J777" t="n">
        <v>0</v>
      </c>
      <c r="K777" t="n">
        <v>0</v>
      </c>
      <c r="L777" t="n">
        <v>0</v>
      </c>
      <c r="M777" t="n">
        <v>0</v>
      </c>
      <c r="N777" t="n">
        <v>0</v>
      </c>
      <c r="O777" t="n">
        <v>0</v>
      </c>
      <c r="P777" t="n">
        <v>0</v>
      </c>
      <c r="Q777" t="n">
        <v>0</v>
      </c>
      <c r="R777" s="2" t="inlineStr"/>
    </row>
    <row r="778" ht="15" customHeight="1">
      <c r="A778" t="inlineStr">
        <is>
          <t>A 6360-2026</t>
        </is>
      </c>
      <c r="B778" s="1" t="n">
        <v>46055</v>
      </c>
      <c r="C778" s="1" t="n">
        <v>46195</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6187-2026</t>
        </is>
      </c>
      <c r="B779" s="1" t="n">
        <v>46055</v>
      </c>
      <c r="C779" s="1" t="n">
        <v>46195</v>
      </c>
      <c r="D779" t="inlineStr">
        <is>
          <t>UPPSALA LÄN</t>
        </is>
      </c>
      <c r="E779" t="inlineStr">
        <is>
          <t>UPPSALA</t>
        </is>
      </c>
      <c r="F779" t="inlineStr">
        <is>
          <t>Allmännings- och besparingsskogar</t>
        </is>
      </c>
      <c r="G779" t="n">
        <v>10.6</v>
      </c>
      <c r="H779" t="n">
        <v>0</v>
      </c>
      <c r="I779" t="n">
        <v>0</v>
      </c>
      <c r="J779" t="n">
        <v>0</v>
      </c>
      <c r="K779" t="n">
        <v>0</v>
      </c>
      <c r="L779" t="n">
        <v>0</v>
      </c>
      <c r="M779" t="n">
        <v>0</v>
      </c>
      <c r="N779" t="n">
        <v>0</v>
      </c>
      <c r="O779" t="n">
        <v>0</v>
      </c>
      <c r="P779" t="n">
        <v>0</v>
      </c>
      <c r="Q779" t="n">
        <v>0</v>
      </c>
      <c r="R779" s="2" t="inlineStr"/>
    </row>
    <row r="780" ht="15" customHeight="1">
      <c r="A780" t="inlineStr">
        <is>
          <t>A 7002-2026</t>
        </is>
      </c>
      <c r="B780" s="1" t="n">
        <v>46057</v>
      </c>
      <c r="C780" s="1" t="n">
        <v>46195</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6991-2026</t>
        </is>
      </c>
      <c r="B781" s="1" t="n">
        <v>46057</v>
      </c>
      <c r="C781" s="1" t="n">
        <v>46195</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46195</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7429-2026</t>
        </is>
      </c>
      <c r="B783" s="1" t="n">
        <v>46059</v>
      </c>
      <c r="C783" s="1" t="n">
        <v>46195</v>
      </c>
      <c r="D783" t="inlineStr">
        <is>
          <t>UPPSALA LÄN</t>
        </is>
      </c>
      <c r="E783" t="inlineStr">
        <is>
          <t>UPPSALA</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7555-2026</t>
        </is>
      </c>
      <c r="B784" s="1" t="n">
        <v>46059</v>
      </c>
      <c r="C784" s="1" t="n">
        <v>46195</v>
      </c>
      <c r="D784" t="inlineStr">
        <is>
          <t>UPPSALA LÄN</t>
        </is>
      </c>
      <c r="E784" t="inlineStr">
        <is>
          <t>UPPSALA</t>
        </is>
      </c>
      <c r="F784" t="inlineStr">
        <is>
          <t>Bergvik skog öst AB</t>
        </is>
      </c>
      <c r="G784" t="n">
        <v>4.4</v>
      </c>
      <c r="H784" t="n">
        <v>0</v>
      </c>
      <c r="I784" t="n">
        <v>0</v>
      </c>
      <c r="J784" t="n">
        <v>0</v>
      </c>
      <c r="K784" t="n">
        <v>0</v>
      </c>
      <c r="L784" t="n">
        <v>0</v>
      </c>
      <c r="M784" t="n">
        <v>0</v>
      </c>
      <c r="N784" t="n">
        <v>0</v>
      </c>
      <c r="O784" t="n">
        <v>0</v>
      </c>
      <c r="P784" t="n">
        <v>0</v>
      </c>
      <c r="Q784" t="n">
        <v>0</v>
      </c>
      <c r="R784" s="2" t="inlineStr"/>
    </row>
    <row r="785" ht="15" customHeight="1">
      <c r="A785" t="inlineStr">
        <is>
          <t>A 59585-2023</t>
        </is>
      </c>
      <c r="B785" s="1" t="n">
        <v>45254</v>
      </c>
      <c r="C785" s="1" t="n">
        <v>46195</v>
      </c>
      <c r="D785" t="inlineStr">
        <is>
          <t>UPPSALA LÄN</t>
        </is>
      </c>
      <c r="E785" t="inlineStr">
        <is>
          <t>UPPSALA</t>
        </is>
      </c>
      <c r="G785" t="n">
        <v>4.4</v>
      </c>
      <c r="H785" t="n">
        <v>0</v>
      </c>
      <c r="I785" t="n">
        <v>0</v>
      </c>
      <c r="J785" t="n">
        <v>0</v>
      </c>
      <c r="K785" t="n">
        <v>0</v>
      </c>
      <c r="L785" t="n">
        <v>0</v>
      </c>
      <c r="M785" t="n">
        <v>0</v>
      </c>
      <c r="N785" t="n">
        <v>0</v>
      </c>
      <c r="O785" t="n">
        <v>0</v>
      </c>
      <c r="P785" t="n">
        <v>0</v>
      </c>
      <c r="Q785" t="n">
        <v>0</v>
      </c>
      <c r="R785" s="2" t="inlineStr"/>
    </row>
    <row r="786" ht="15" customHeight="1">
      <c r="A786" t="inlineStr">
        <is>
          <t>A 3813-2024</t>
        </is>
      </c>
      <c r="B786" s="1" t="n">
        <v>45321</v>
      </c>
      <c r="C786" s="1" t="n">
        <v>46195</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7739-2026</t>
        </is>
      </c>
      <c r="B787" s="1" t="n">
        <v>46062</v>
      </c>
      <c r="C787" s="1" t="n">
        <v>46195</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3260-2024</t>
        </is>
      </c>
      <c r="B788" s="1" t="n">
        <v>45317</v>
      </c>
      <c r="C788" s="1" t="n">
        <v>46195</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7865-2026</t>
        </is>
      </c>
      <c r="B789" s="1" t="n">
        <v>46062</v>
      </c>
      <c r="C789" s="1" t="n">
        <v>46195</v>
      </c>
      <c r="D789" t="inlineStr">
        <is>
          <t>UPPSALA LÄN</t>
        </is>
      </c>
      <c r="E789" t="inlineStr">
        <is>
          <t>UPPSALA</t>
        </is>
      </c>
      <c r="F789" t="inlineStr">
        <is>
          <t>Bergvik skog öst AB</t>
        </is>
      </c>
      <c r="G789" t="n">
        <v>4.4</v>
      </c>
      <c r="H789" t="n">
        <v>0</v>
      </c>
      <c r="I789" t="n">
        <v>0</v>
      </c>
      <c r="J789" t="n">
        <v>0</v>
      </c>
      <c r="K789" t="n">
        <v>0</v>
      </c>
      <c r="L789" t="n">
        <v>0</v>
      </c>
      <c r="M789" t="n">
        <v>0</v>
      </c>
      <c r="N789" t="n">
        <v>0</v>
      </c>
      <c r="O789" t="n">
        <v>0</v>
      </c>
      <c r="P789" t="n">
        <v>0</v>
      </c>
      <c r="Q789" t="n">
        <v>0</v>
      </c>
      <c r="R789" s="2" t="inlineStr"/>
    </row>
    <row r="790" ht="15" customHeight="1">
      <c r="A790" t="inlineStr">
        <is>
          <t>A 7866-2026</t>
        </is>
      </c>
      <c r="B790" s="1" t="n">
        <v>46062</v>
      </c>
      <c r="C790" s="1" t="n">
        <v>46195</v>
      </c>
      <c r="D790" t="inlineStr">
        <is>
          <t>UPPSALA LÄN</t>
        </is>
      </c>
      <c r="E790" t="inlineStr">
        <is>
          <t>UPPSALA</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9611-2024</t>
        </is>
      </c>
      <c r="B791" s="1" t="n">
        <v>45361</v>
      </c>
      <c r="C791" s="1" t="n">
        <v>46195</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7436-2026</t>
        </is>
      </c>
      <c r="B792" s="1" t="n">
        <v>46059</v>
      </c>
      <c r="C792" s="1" t="n">
        <v>46195</v>
      </c>
      <c r="D792" t="inlineStr">
        <is>
          <t>UPPSALA LÄN</t>
        </is>
      </c>
      <c r="E792" t="inlineStr">
        <is>
          <t>UPPSALA</t>
        </is>
      </c>
      <c r="F792" t="inlineStr">
        <is>
          <t>Bergvik skog öst AB</t>
        </is>
      </c>
      <c r="G792" t="n">
        <v>2.9</v>
      </c>
      <c r="H792" t="n">
        <v>0</v>
      </c>
      <c r="I792" t="n">
        <v>0</v>
      </c>
      <c r="J792" t="n">
        <v>0</v>
      </c>
      <c r="K792" t="n">
        <v>0</v>
      </c>
      <c r="L792" t="n">
        <v>0</v>
      </c>
      <c r="M792" t="n">
        <v>0</v>
      </c>
      <c r="N792" t="n">
        <v>0</v>
      </c>
      <c r="O792" t="n">
        <v>0</v>
      </c>
      <c r="P792" t="n">
        <v>0</v>
      </c>
      <c r="Q792" t="n">
        <v>0</v>
      </c>
      <c r="R792" s="2" t="inlineStr"/>
    </row>
    <row r="793" ht="15" customHeight="1">
      <c r="A793" t="inlineStr">
        <is>
          <t>A 7867-2026</t>
        </is>
      </c>
      <c r="B793" s="1" t="n">
        <v>46062</v>
      </c>
      <c r="C793" s="1" t="n">
        <v>46195</v>
      </c>
      <c r="D793" t="inlineStr">
        <is>
          <t>UPPSALA LÄN</t>
        </is>
      </c>
      <c r="E793" t="inlineStr">
        <is>
          <t>UPPSALA</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8364-2026</t>
        </is>
      </c>
      <c r="B794" s="1" t="n">
        <v>46064</v>
      </c>
      <c r="C794" s="1" t="n">
        <v>46195</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39107-2023</t>
        </is>
      </c>
      <c r="B795" s="1" t="n">
        <v>45164</v>
      </c>
      <c r="C795" s="1" t="n">
        <v>46195</v>
      </c>
      <c r="D795" t="inlineStr">
        <is>
          <t>UPPSALA LÄN</t>
        </is>
      </c>
      <c r="E795" t="inlineStr">
        <is>
          <t>UPPSALA</t>
        </is>
      </c>
      <c r="F795" t="inlineStr">
        <is>
          <t>Bergvik skog öst AB</t>
        </is>
      </c>
      <c r="G795" t="n">
        <v>1</v>
      </c>
      <c r="H795" t="n">
        <v>0</v>
      </c>
      <c r="I795" t="n">
        <v>0</v>
      </c>
      <c r="J795" t="n">
        <v>0</v>
      </c>
      <c r="K795" t="n">
        <v>0</v>
      </c>
      <c r="L795" t="n">
        <v>0</v>
      </c>
      <c r="M795" t="n">
        <v>0</v>
      </c>
      <c r="N795" t="n">
        <v>0</v>
      </c>
      <c r="O795" t="n">
        <v>0</v>
      </c>
      <c r="P795" t="n">
        <v>0</v>
      </c>
      <c r="Q795" t="n">
        <v>0</v>
      </c>
      <c r="R795" s="2" t="inlineStr"/>
    </row>
    <row r="796" ht="15" customHeight="1">
      <c r="A796" t="inlineStr">
        <is>
          <t>A 8109-2024</t>
        </is>
      </c>
      <c r="B796" s="1" t="n">
        <v>45351</v>
      </c>
      <c r="C796" s="1" t="n">
        <v>46195</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8582-2026</t>
        </is>
      </c>
      <c r="B797" s="1" t="n">
        <v>46065</v>
      </c>
      <c r="C797" s="1" t="n">
        <v>46195</v>
      </c>
      <c r="D797" t="inlineStr">
        <is>
          <t>UPPSALA LÄN</t>
        </is>
      </c>
      <c r="E797" t="inlineStr">
        <is>
          <t>UPPSALA</t>
        </is>
      </c>
      <c r="G797" t="n">
        <v>1.4</v>
      </c>
      <c r="H797" t="n">
        <v>0</v>
      </c>
      <c r="I797" t="n">
        <v>0</v>
      </c>
      <c r="J797" t="n">
        <v>0</v>
      </c>
      <c r="K797" t="n">
        <v>0</v>
      </c>
      <c r="L797" t="n">
        <v>0</v>
      </c>
      <c r="M797" t="n">
        <v>0</v>
      </c>
      <c r="N797" t="n">
        <v>0</v>
      </c>
      <c r="O797" t="n">
        <v>0</v>
      </c>
      <c r="P797" t="n">
        <v>0</v>
      </c>
      <c r="Q797" t="n">
        <v>0</v>
      </c>
      <c r="R797" s="2" t="inlineStr"/>
    </row>
    <row r="798" ht="15" customHeight="1">
      <c r="A798" t="inlineStr">
        <is>
          <t>A 554-2023</t>
        </is>
      </c>
      <c r="B798" s="1" t="n">
        <v>44930</v>
      </c>
      <c r="C798" s="1" t="n">
        <v>46195</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2357-2024</t>
        </is>
      </c>
      <c r="B799" s="1" t="n">
        <v>45310</v>
      </c>
      <c r="C799" s="1" t="n">
        <v>46195</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44781-2021</t>
        </is>
      </c>
      <c r="B800" s="1" t="n">
        <v>44438</v>
      </c>
      <c r="C800" s="1" t="n">
        <v>46195</v>
      </c>
      <c r="D800" t="inlineStr">
        <is>
          <t>UPPSALA LÄN</t>
        </is>
      </c>
      <c r="E800" t="inlineStr">
        <is>
          <t>UPPSALA</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8377-2026</t>
        </is>
      </c>
      <c r="B801" s="1" t="n">
        <v>46064</v>
      </c>
      <c r="C801" s="1" t="n">
        <v>46195</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8500-2026</t>
        </is>
      </c>
      <c r="B802" s="1" t="n">
        <v>46065</v>
      </c>
      <c r="C802" s="1" t="n">
        <v>46195</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26323-2023</t>
        </is>
      </c>
      <c r="B803" s="1" t="n">
        <v>45091</v>
      </c>
      <c r="C803" s="1" t="n">
        <v>46195</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10223-2026</t>
        </is>
      </c>
      <c r="B804" s="1" t="n">
        <v>46076</v>
      </c>
      <c r="C804" s="1" t="n">
        <v>46195</v>
      </c>
      <c r="D804" t="inlineStr">
        <is>
          <t>UPPSALA LÄN</t>
        </is>
      </c>
      <c r="E804" t="inlineStr">
        <is>
          <t>UPPSALA</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46195</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18054-2025</t>
        </is>
      </c>
      <c r="B806" s="1" t="n">
        <v>45761</v>
      </c>
      <c r="C806" s="1" t="n">
        <v>46195</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18058-2025</t>
        </is>
      </c>
      <c r="B807" s="1" t="n">
        <v>45761</v>
      </c>
      <c r="C807" s="1" t="n">
        <v>46195</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46195</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50267-2023</t>
        </is>
      </c>
      <c r="B809" s="1" t="n">
        <v>45216</v>
      </c>
      <c r="C809" s="1" t="n">
        <v>46195</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11276-2026</t>
        </is>
      </c>
      <c r="B810" s="1" t="n">
        <v>46080</v>
      </c>
      <c r="C810" s="1" t="n">
        <v>46195</v>
      </c>
      <c r="D810" t="inlineStr">
        <is>
          <t>UPPSALA LÄN</t>
        </is>
      </c>
      <c r="E810" t="inlineStr">
        <is>
          <t>UPPSALA</t>
        </is>
      </c>
      <c r="G810" t="n">
        <v>2.3</v>
      </c>
      <c r="H810" t="n">
        <v>0</v>
      </c>
      <c r="I810" t="n">
        <v>0</v>
      </c>
      <c r="J810" t="n">
        <v>0</v>
      </c>
      <c r="K810" t="n">
        <v>0</v>
      </c>
      <c r="L810" t="n">
        <v>0</v>
      </c>
      <c r="M810" t="n">
        <v>0</v>
      </c>
      <c r="N810" t="n">
        <v>0</v>
      </c>
      <c r="O810" t="n">
        <v>0</v>
      </c>
      <c r="P810" t="n">
        <v>0</v>
      </c>
      <c r="Q810" t="n">
        <v>0</v>
      </c>
      <c r="R810" s="2" t="inlineStr"/>
    </row>
    <row r="811" ht="15" customHeight="1">
      <c r="A811" t="inlineStr">
        <is>
          <t>A 11915-2026</t>
        </is>
      </c>
      <c r="B811" s="1" t="n">
        <v>46085</v>
      </c>
      <c r="C811" s="1" t="n">
        <v>46195</v>
      </c>
      <c r="D811" t="inlineStr">
        <is>
          <t>UPPSALA LÄN</t>
        </is>
      </c>
      <c r="E811" t="inlineStr">
        <is>
          <t>UPPSALA</t>
        </is>
      </c>
      <c r="G811" t="n">
        <v>7.3</v>
      </c>
      <c r="H811" t="n">
        <v>0</v>
      </c>
      <c r="I811" t="n">
        <v>0</v>
      </c>
      <c r="J811" t="n">
        <v>0</v>
      </c>
      <c r="K811" t="n">
        <v>0</v>
      </c>
      <c r="L811" t="n">
        <v>0</v>
      </c>
      <c r="M811" t="n">
        <v>0</v>
      </c>
      <c r="N811" t="n">
        <v>0</v>
      </c>
      <c r="O811" t="n">
        <v>0</v>
      </c>
      <c r="P811" t="n">
        <v>0</v>
      </c>
      <c r="Q811" t="n">
        <v>0</v>
      </c>
      <c r="R811" s="2" t="inlineStr"/>
    </row>
    <row r="812" ht="15" customHeight="1">
      <c r="A812" t="inlineStr">
        <is>
          <t>A 50037-2024</t>
        </is>
      </c>
      <c r="B812" s="1" t="n">
        <v>45599</v>
      </c>
      <c r="C812" s="1" t="n">
        <v>46195</v>
      </c>
      <c r="D812" t="inlineStr">
        <is>
          <t>UPPSALA LÄN</t>
        </is>
      </c>
      <c r="E812" t="inlineStr">
        <is>
          <t>UPPSALA</t>
        </is>
      </c>
      <c r="G812" t="n">
        <v>13.7</v>
      </c>
      <c r="H812" t="n">
        <v>0</v>
      </c>
      <c r="I812" t="n">
        <v>0</v>
      </c>
      <c r="J812" t="n">
        <v>0</v>
      </c>
      <c r="K812" t="n">
        <v>0</v>
      </c>
      <c r="L812" t="n">
        <v>0</v>
      </c>
      <c r="M812" t="n">
        <v>0</v>
      </c>
      <c r="N812" t="n">
        <v>0</v>
      </c>
      <c r="O812" t="n">
        <v>0</v>
      </c>
      <c r="P812" t="n">
        <v>0</v>
      </c>
      <c r="Q812" t="n">
        <v>0</v>
      </c>
      <c r="R812" s="2" t="inlineStr"/>
    </row>
    <row r="813" ht="15" customHeight="1">
      <c r="A813" t="inlineStr">
        <is>
          <t>A 8498-2026</t>
        </is>
      </c>
      <c r="B813" s="1" t="n">
        <v>46065</v>
      </c>
      <c r="C813" s="1" t="n">
        <v>46195</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9820-2023</t>
        </is>
      </c>
      <c r="B814" s="1" t="n">
        <v>44984</v>
      </c>
      <c r="C814" s="1" t="n">
        <v>46195</v>
      </c>
      <c r="D814" t="inlineStr">
        <is>
          <t>UPPSALA LÄN</t>
        </is>
      </c>
      <c r="E814" t="inlineStr">
        <is>
          <t>UPPSALA</t>
        </is>
      </c>
      <c r="F814" t="inlineStr">
        <is>
          <t>Kyrkan</t>
        </is>
      </c>
      <c r="G814" t="n">
        <v>2</v>
      </c>
      <c r="H814" t="n">
        <v>0</v>
      </c>
      <c r="I814" t="n">
        <v>0</v>
      </c>
      <c r="J814" t="n">
        <v>0</v>
      </c>
      <c r="K814" t="n">
        <v>0</v>
      </c>
      <c r="L814" t="n">
        <v>0</v>
      </c>
      <c r="M814" t="n">
        <v>0</v>
      </c>
      <c r="N814" t="n">
        <v>0</v>
      </c>
      <c r="O814" t="n">
        <v>0</v>
      </c>
      <c r="P814" t="n">
        <v>0</v>
      </c>
      <c r="Q814" t="n">
        <v>0</v>
      </c>
      <c r="R814" s="2" t="inlineStr"/>
    </row>
    <row r="815" ht="15" customHeight="1">
      <c r="A815" t="inlineStr">
        <is>
          <t>A 34243-2021</t>
        </is>
      </c>
      <c r="B815" s="1" t="n">
        <v>44379</v>
      </c>
      <c r="C815" s="1" t="n">
        <v>46195</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12416-2026</t>
        </is>
      </c>
      <c r="B816" s="1" t="n">
        <v>46090</v>
      </c>
      <c r="C816" s="1" t="n">
        <v>46195</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13799-2024</t>
        </is>
      </c>
      <c r="B817" s="1" t="n">
        <v>45391</v>
      </c>
      <c r="C817" s="1" t="n">
        <v>46195</v>
      </c>
      <c r="D817" t="inlineStr">
        <is>
          <t>UPPSALA LÄN</t>
        </is>
      </c>
      <c r="E817" t="inlineStr">
        <is>
          <t>UPPSALA</t>
        </is>
      </c>
      <c r="G817" t="n">
        <v>1.9</v>
      </c>
      <c r="H817" t="n">
        <v>0</v>
      </c>
      <c r="I817" t="n">
        <v>0</v>
      </c>
      <c r="J817" t="n">
        <v>0</v>
      </c>
      <c r="K817" t="n">
        <v>0</v>
      </c>
      <c r="L817" t="n">
        <v>0</v>
      </c>
      <c r="M817" t="n">
        <v>0</v>
      </c>
      <c r="N817" t="n">
        <v>0</v>
      </c>
      <c r="O817" t="n">
        <v>0</v>
      </c>
      <c r="P817" t="n">
        <v>0</v>
      </c>
      <c r="Q817" t="n">
        <v>0</v>
      </c>
      <c r="R817" s="2" t="inlineStr"/>
    </row>
    <row r="818" ht="15" customHeight="1">
      <c r="A818" t="inlineStr">
        <is>
          <t>A 12770-2026</t>
        </is>
      </c>
      <c r="B818" s="1" t="n">
        <v>46091</v>
      </c>
      <c r="C818" s="1" t="n">
        <v>46195</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12772-2026</t>
        </is>
      </c>
      <c r="B819" s="1" t="n">
        <v>46091</v>
      </c>
      <c r="C819" s="1" t="n">
        <v>46195</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7556-2026</t>
        </is>
      </c>
      <c r="B820" s="1" t="n">
        <v>46059</v>
      </c>
      <c r="C820" s="1" t="n">
        <v>46195</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33816-2024</t>
        </is>
      </c>
      <c r="B821" s="1" t="n">
        <v>45520</v>
      </c>
      <c r="C821" s="1" t="n">
        <v>46195</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12409-2026</t>
        </is>
      </c>
      <c r="B822" s="1" t="n">
        <v>46090</v>
      </c>
      <c r="C822" s="1" t="n">
        <v>46195</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2927-2022</t>
        </is>
      </c>
      <c r="B823" s="1" t="n">
        <v>44581</v>
      </c>
      <c r="C823" s="1" t="n">
        <v>46195</v>
      </c>
      <c r="D823" t="inlineStr">
        <is>
          <t>UPPSALA LÄN</t>
        </is>
      </c>
      <c r="E823" t="inlineStr">
        <is>
          <t>UPPSALA</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12702-2026</t>
        </is>
      </c>
      <c r="B824" s="1" t="n">
        <v>46091</v>
      </c>
      <c r="C824" s="1" t="n">
        <v>46195</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733-2022</t>
        </is>
      </c>
      <c r="B825" s="1" t="n">
        <v>44568</v>
      </c>
      <c r="C825" s="1" t="n">
        <v>46195</v>
      </c>
      <c r="D825" t="inlineStr">
        <is>
          <t>UPPSALA LÄN</t>
        </is>
      </c>
      <c r="E825" t="inlineStr">
        <is>
          <t>UPPSALA</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12769-2026</t>
        </is>
      </c>
      <c r="B826" s="1" t="n">
        <v>46091</v>
      </c>
      <c r="C826" s="1" t="n">
        <v>46195</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12771-2026</t>
        </is>
      </c>
      <c r="B827" s="1" t="n">
        <v>46091</v>
      </c>
      <c r="C827" s="1" t="n">
        <v>46195</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12697-2026</t>
        </is>
      </c>
      <c r="B828" s="1" t="n">
        <v>46091</v>
      </c>
      <c r="C828" s="1" t="n">
        <v>46195</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59719-2022</t>
        </is>
      </c>
      <c r="B829" s="1" t="n">
        <v>44908</v>
      </c>
      <c r="C829" s="1" t="n">
        <v>46195</v>
      </c>
      <c r="D829" t="inlineStr">
        <is>
          <t>UPPSALA LÄN</t>
        </is>
      </c>
      <c r="E829" t="inlineStr">
        <is>
          <t>UPPSALA</t>
        </is>
      </c>
      <c r="G829" t="n">
        <v>3.6</v>
      </c>
      <c r="H829" t="n">
        <v>0</v>
      </c>
      <c r="I829" t="n">
        <v>0</v>
      </c>
      <c r="J829" t="n">
        <v>0</v>
      </c>
      <c r="K829" t="n">
        <v>0</v>
      </c>
      <c r="L829" t="n">
        <v>0</v>
      </c>
      <c r="M829" t="n">
        <v>0</v>
      </c>
      <c r="N829" t="n">
        <v>0</v>
      </c>
      <c r="O829" t="n">
        <v>0</v>
      </c>
      <c r="P829" t="n">
        <v>0</v>
      </c>
      <c r="Q829" t="n">
        <v>0</v>
      </c>
      <c r="R829" s="2" t="inlineStr"/>
    </row>
    <row r="830" ht="15" customHeight="1">
      <c r="A830" t="inlineStr">
        <is>
          <t>A 13075-2026</t>
        </is>
      </c>
      <c r="B830" s="1" t="n">
        <v>46093</v>
      </c>
      <c r="C830" s="1" t="n">
        <v>46195</v>
      </c>
      <c r="D830" t="inlineStr">
        <is>
          <t>UPPSALA LÄN</t>
        </is>
      </c>
      <c r="E830" t="inlineStr">
        <is>
          <t>UPPSALA</t>
        </is>
      </c>
      <c r="G830" t="n">
        <v>2.7</v>
      </c>
      <c r="H830" t="n">
        <v>0</v>
      </c>
      <c r="I830" t="n">
        <v>0</v>
      </c>
      <c r="J830" t="n">
        <v>0</v>
      </c>
      <c r="K830" t="n">
        <v>0</v>
      </c>
      <c r="L830" t="n">
        <v>0</v>
      </c>
      <c r="M830" t="n">
        <v>0</v>
      </c>
      <c r="N830" t="n">
        <v>0</v>
      </c>
      <c r="O830" t="n">
        <v>0</v>
      </c>
      <c r="P830" t="n">
        <v>0</v>
      </c>
      <c r="Q830" t="n">
        <v>0</v>
      </c>
      <c r="R830" s="2" t="inlineStr"/>
    </row>
    <row r="831" ht="15" customHeight="1">
      <c r="A831" t="inlineStr">
        <is>
          <t>A 3353-2023</t>
        </is>
      </c>
      <c r="B831" s="1" t="n">
        <v>44949</v>
      </c>
      <c r="C831" s="1" t="n">
        <v>46195</v>
      </c>
      <c r="D831" t="inlineStr">
        <is>
          <t>UPPSALA LÄN</t>
        </is>
      </c>
      <c r="E831" t="inlineStr">
        <is>
          <t>UPPSALA</t>
        </is>
      </c>
      <c r="G831" t="n">
        <v>3</v>
      </c>
      <c r="H831" t="n">
        <v>0</v>
      </c>
      <c r="I831" t="n">
        <v>0</v>
      </c>
      <c r="J831" t="n">
        <v>0</v>
      </c>
      <c r="K831" t="n">
        <v>0</v>
      </c>
      <c r="L831" t="n">
        <v>0</v>
      </c>
      <c r="M831" t="n">
        <v>0</v>
      </c>
      <c r="N831" t="n">
        <v>0</v>
      </c>
      <c r="O831" t="n">
        <v>0</v>
      </c>
      <c r="P831" t="n">
        <v>0</v>
      </c>
      <c r="Q831" t="n">
        <v>0</v>
      </c>
      <c r="R831" s="2" t="inlineStr"/>
    </row>
    <row r="832" ht="15" customHeight="1">
      <c r="A832" t="inlineStr">
        <is>
          <t>A 37819-2021</t>
        </is>
      </c>
      <c r="B832" s="1" t="n">
        <v>44403</v>
      </c>
      <c r="C832" s="1" t="n">
        <v>46195</v>
      </c>
      <c r="D832" t="inlineStr">
        <is>
          <t>UPPSALA LÄN</t>
        </is>
      </c>
      <c r="E832" t="inlineStr">
        <is>
          <t>UPPSALA</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13404-2026</t>
        </is>
      </c>
      <c r="B833" s="1" t="n">
        <v>46094</v>
      </c>
      <c r="C833" s="1" t="n">
        <v>46195</v>
      </c>
      <c r="D833" t="inlineStr">
        <is>
          <t>UPPSALA LÄN</t>
        </is>
      </c>
      <c r="E833" t="inlineStr">
        <is>
          <t>UPPSALA</t>
        </is>
      </c>
      <c r="G833" t="n">
        <v>5.3</v>
      </c>
      <c r="H833" t="n">
        <v>0</v>
      </c>
      <c r="I833" t="n">
        <v>0</v>
      </c>
      <c r="J833" t="n">
        <v>0</v>
      </c>
      <c r="K833" t="n">
        <v>0</v>
      </c>
      <c r="L833" t="n">
        <v>0</v>
      </c>
      <c r="M833" t="n">
        <v>0</v>
      </c>
      <c r="N833" t="n">
        <v>0</v>
      </c>
      <c r="O833" t="n">
        <v>0</v>
      </c>
      <c r="P833" t="n">
        <v>0</v>
      </c>
      <c r="Q833" t="n">
        <v>0</v>
      </c>
      <c r="R833" s="2" t="inlineStr"/>
    </row>
    <row r="834" ht="15" customHeight="1">
      <c r="A834" t="inlineStr">
        <is>
          <t>A 13485-2026</t>
        </is>
      </c>
      <c r="B834" s="1" t="n">
        <v>46094</v>
      </c>
      <c r="C834" s="1" t="n">
        <v>46195</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3086-2023</t>
        </is>
      </c>
      <c r="B835" s="1" t="n">
        <v>44946</v>
      </c>
      <c r="C835" s="1" t="n">
        <v>46195</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16811-2023</t>
        </is>
      </c>
      <c r="B836" s="1" t="n">
        <v>45033</v>
      </c>
      <c r="C836" s="1" t="n">
        <v>46195</v>
      </c>
      <c r="D836" t="inlineStr">
        <is>
          <t>UPPSALA LÄN</t>
        </is>
      </c>
      <c r="E836" t="inlineStr">
        <is>
          <t>UPPSALA</t>
        </is>
      </c>
      <c r="G836" t="n">
        <v>10.1</v>
      </c>
      <c r="H836" t="n">
        <v>0</v>
      </c>
      <c r="I836" t="n">
        <v>0</v>
      </c>
      <c r="J836" t="n">
        <v>0</v>
      </c>
      <c r="K836" t="n">
        <v>0</v>
      </c>
      <c r="L836" t="n">
        <v>0</v>
      </c>
      <c r="M836" t="n">
        <v>0</v>
      </c>
      <c r="N836" t="n">
        <v>0</v>
      </c>
      <c r="O836" t="n">
        <v>0</v>
      </c>
      <c r="P836" t="n">
        <v>0</v>
      </c>
      <c r="Q836" t="n">
        <v>0</v>
      </c>
      <c r="R836" s="2" t="inlineStr"/>
    </row>
    <row r="837" ht="15" customHeight="1">
      <c r="A837" t="inlineStr">
        <is>
          <t>A 13337-2026</t>
        </is>
      </c>
      <c r="B837" s="1" t="n">
        <v>46094</v>
      </c>
      <c r="C837" s="1" t="n">
        <v>46195</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13433-2026</t>
        </is>
      </c>
      <c r="B838" s="1" t="n">
        <v>46094</v>
      </c>
      <c r="C838" s="1" t="n">
        <v>46195</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69436-2021</t>
        </is>
      </c>
      <c r="B839" s="1" t="n">
        <v>44531</v>
      </c>
      <c r="C839" s="1" t="n">
        <v>46195</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13607-2026</t>
        </is>
      </c>
      <c r="B840" s="1" t="n">
        <v>46097</v>
      </c>
      <c r="C840" s="1" t="n">
        <v>46195</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13434-2026</t>
        </is>
      </c>
      <c r="B841" s="1" t="n">
        <v>46094</v>
      </c>
      <c r="C841" s="1" t="n">
        <v>46195</v>
      </c>
      <c r="D841" t="inlineStr">
        <is>
          <t>UPPSALA LÄN</t>
        </is>
      </c>
      <c r="E841" t="inlineStr">
        <is>
          <t>UPPSALA</t>
        </is>
      </c>
      <c r="G841" t="n">
        <v>0.3</v>
      </c>
      <c r="H841" t="n">
        <v>0</v>
      </c>
      <c r="I841" t="n">
        <v>0</v>
      </c>
      <c r="J841" t="n">
        <v>0</v>
      </c>
      <c r="K841" t="n">
        <v>0</v>
      </c>
      <c r="L841" t="n">
        <v>0</v>
      </c>
      <c r="M841" t="n">
        <v>0</v>
      </c>
      <c r="N841" t="n">
        <v>0</v>
      </c>
      <c r="O841" t="n">
        <v>0</v>
      </c>
      <c r="P841" t="n">
        <v>0</v>
      </c>
      <c r="Q841" t="n">
        <v>0</v>
      </c>
      <c r="R841" s="2" t="inlineStr"/>
    </row>
    <row r="842" ht="15" customHeight="1">
      <c r="A842" t="inlineStr">
        <is>
          <t>A 13536-2026</t>
        </is>
      </c>
      <c r="B842" s="1" t="n">
        <v>46094</v>
      </c>
      <c r="C842" s="1" t="n">
        <v>46195</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13934-2026</t>
        </is>
      </c>
      <c r="B843" s="1" t="n">
        <v>46098</v>
      </c>
      <c r="C843" s="1" t="n">
        <v>46195</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5678-2023</t>
        </is>
      </c>
      <c r="B844" s="1" t="n">
        <v>44960</v>
      </c>
      <c r="C844" s="1" t="n">
        <v>46195</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15935-2026</t>
        </is>
      </c>
      <c r="B845" s="1" t="n">
        <v>46107</v>
      </c>
      <c r="C845" s="1" t="n">
        <v>46195</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15940-2026</t>
        </is>
      </c>
      <c r="B846" s="1" t="n">
        <v>46107</v>
      </c>
      <c r="C846" s="1" t="n">
        <v>46195</v>
      </c>
      <c r="D846" t="inlineStr">
        <is>
          <t>UPPSALA LÄN</t>
        </is>
      </c>
      <c r="E846" t="inlineStr">
        <is>
          <t>UPPSALA</t>
        </is>
      </c>
      <c r="G846" t="n">
        <v>19.9</v>
      </c>
      <c r="H846" t="n">
        <v>0</v>
      </c>
      <c r="I846" t="n">
        <v>0</v>
      </c>
      <c r="J846" t="n">
        <v>0</v>
      </c>
      <c r="K846" t="n">
        <v>0</v>
      </c>
      <c r="L846" t="n">
        <v>0</v>
      </c>
      <c r="M846" t="n">
        <v>0</v>
      </c>
      <c r="N846" t="n">
        <v>0</v>
      </c>
      <c r="O846" t="n">
        <v>0</v>
      </c>
      <c r="P846" t="n">
        <v>0</v>
      </c>
      <c r="Q846" t="n">
        <v>0</v>
      </c>
      <c r="R846" s="2" t="inlineStr"/>
    </row>
    <row r="847" ht="15" customHeight="1">
      <c r="A847" t="inlineStr">
        <is>
          <t>A 15753-2026</t>
        </is>
      </c>
      <c r="B847" s="1" t="n">
        <v>46107</v>
      </c>
      <c r="C847" s="1" t="n">
        <v>46195</v>
      </c>
      <c r="D847" t="inlineStr">
        <is>
          <t>UPPSALA LÄN</t>
        </is>
      </c>
      <c r="E847" t="inlineStr">
        <is>
          <t>UPPSALA</t>
        </is>
      </c>
      <c r="F847" t="inlineStr">
        <is>
          <t>Allmännings- och besparingsskogar</t>
        </is>
      </c>
      <c r="G847" t="n">
        <v>2.7</v>
      </c>
      <c r="H847" t="n">
        <v>0</v>
      </c>
      <c r="I847" t="n">
        <v>0</v>
      </c>
      <c r="J847" t="n">
        <v>0</v>
      </c>
      <c r="K847" t="n">
        <v>0</v>
      </c>
      <c r="L847" t="n">
        <v>0</v>
      </c>
      <c r="M847" t="n">
        <v>0</v>
      </c>
      <c r="N847" t="n">
        <v>0</v>
      </c>
      <c r="O847" t="n">
        <v>0</v>
      </c>
      <c r="P847" t="n">
        <v>0</v>
      </c>
      <c r="Q847" t="n">
        <v>0</v>
      </c>
      <c r="R847" s="2" t="inlineStr"/>
      <c r="U847">
        <f>HYPERLINK("https://klasma.github.io/Logging_0380/knärot/A 15753-2026 karta knärot.png", "A 15753-2026")</f>
        <v/>
      </c>
      <c r="V847">
        <f>HYPERLINK("https://klasma.github.io/Logging_0380/klagomål/A 15753-2026 FSC-klagomål.docx", "A 15753-2026")</f>
        <v/>
      </c>
      <c r="W847">
        <f>HYPERLINK("https://klasma.github.io/Logging_0380/klagomålsmail/A 15753-2026 FSC-klagomål mail.docx", "A 15753-2026")</f>
        <v/>
      </c>
      <c r="X847">
        <f>HYPERLINK("https://klasma.github.io/Logging_0380/tillsyn/A 15753-2026 tillsynsbegäran.docx", "A 15753-2026")</f>
        <v/>
      </c>
      <c r="Y847">
        <f>HYPERLINK("https://klasma.github.io/Logging_0380/tillsynsmail/A 15753-2026 tillsynsbegäran mail.docx", "A 15753-2026")</f>
        <v/>
      </c>
    </row>
    <row r="848" ht="15" customHeight="1">
      <c r="A848" t="inlineStr">
        <is>
          <t>A 16396-2026</t>
        </is>
      </c>
      <c r="B848" s="1" t="n">
        <v>46111</v>
      </c>
      <c r="C848" s="1" t="n">
        <v>46195</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16403-2026</t>
        </is>
      </c>
      <c r="B849" s="1" t="n">
        <v>46111</v>
      </c>
      <c r="C849" s="1" t="n">
        <v>46195</v>
      </c>
      <c r="D849" t="inlineStr">
        <is>
          <t>UPPSALA LÄN</t>
        </is>
      </c>
      <c r="E849" t="inlineStr">
        <is>
          <t>UPPSALA</t>
        </is>
      </c>
      <c r="G849" t="n">
        <v>4.5</v>
      </c>
      <c r="H849" t="n">
        <v>0</v>
      </c>
      <c r="I849" t="n">
        <v>0</v>
      </c>
      <c r="J849" t="n">
        <v>0</v>
      </c>
      <c r="K849" t="n">
        <v>0</v>
      </c>
      <c r="L849" t="n">
        <v>0</v>
      </c>
      <c r="M849" t="n">
        <v>0</v>
      </c>
      <c r="N849" t="n">
        <v>0</v>
      </c>
      <c r="O849" t="n">
        <v>0</v>
      </c>
      <c r="P849" t="n">
        <v>0</v>
      </c>
      <c r="Q849" t="n">
        <v>0</v>
      </c>
      <c r="R849" s="2" t="inlineStr"/>
    </row>
    <row r="850" ht="15" customHeight="1">
      <c r="A850" t="inlineStr">
        <is>
          <t>A 16390-2026</t>
        </is>
      </c>
      <c r="B850" s="1" t="n">
        <v>46111</v>
      </c>
      <c r="C850" s="1" t="n">
        <v>46195</v>
      </c>
      <c r="D850" t="inlineStr">
        <is>
          <t>UPPSALA LÄN</t>
        </is>
      </c>
      <c r="E850" t="inlineStr">
        <is>
          <t>UPPSALA</t>
        </is>
      </c>
      <c r="G850" t="n">
        <v>4.5</v>
      </c>
      <c r="H850" t="n">
        <v>0</v>
      </c>
      <c r="I850" t="n">
        <v>0</v>
      </c>
      <c r="J850" t="n">
        <v>0</v>
      </c>
      <c r="K850" t="n">
        <v>0</v>
      </c>
      <c r="L850" t="n">
        <v>0</v>
      </c>
      <c r="M850" t="n">
        <v>0</v>
      </c>
      <c r="N850" t="n">
        <v>0</v>
      </c>
      <c r="O850" t="n">
        <v>0</v>
      </c>
      <c r="P850" t="n">
        <v>0</v>
      </c>
      <c r="Q850" t="n">
        <v>0</v>
      </c>
      <c r="R850" s="2" t="inlineStr"/>
    </row>
    <row r="851" ht="15" customHeight="1">
      <c r="A851" t="inlineStr">
        <is>
          <t>A 16139-2026</t>
        </is>
      </c>
      <c r="B851" s="1" t="n">
        <v>46108</v>
      </c>
      <c r="C851" s="1" t="n">
        <v>46195</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16673-2026</t>
        </is>
      </c>
      <c r="B852" s="1" t="n">
        <v>46112</v>
      </c>
      <c r="C852" s="1" t="n">
        <v>46195</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22523-2026</t>
        </is>
      </c>
      <c r="B853" s="1" t="n">
        <v>46155</v>
      </c>
      <c r="C853" s="1" t="n">
        <v>46195</v>
      </c>
      <c r="D853" t="inlineStr">
        <is>
          <t>UPPSALA LÄN</t>
        </is>
      </c>
      <c r="E853" t="inlineStr">
        <is>
          <t>UPPSALA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22531-2026</t>
        </is>
      </c>
      <c r="B854" s="1" t="n">
        <v>46155</v>
      </c>
      <c r="C854" s="1" t="n">
        <v>46195</v>
      </c>
      <c r="D854" t="inlineStr">
        <is>
          <t>UPPSALA LÄN</t>
        </is>
      </c>
      <c r="E854" t="inlineStr">
        <is>
          <t>UPPSALA</t>
        </is>
      </c>
      <c r="F854" t="inlineStr">
        <is>
          <t>Allmännings- och besparingsskogar</t>
        </is>
      </c>
      <c r="G854" t="n">
        <v>3</v>
      </c>
      <c r="H854" t="n">
        <v>0</v>
      </c>
      <c r="I854" t="n">
        <v>0</v>
      </c>
      <c r="J854" t="n">
        <v>0</v>
      </c>
      <c r="K854" t="n">
        <v>0</v>
      </c>
      <c r="L854" t="n">
        <v>0</v>
      </c>
      <c r="M854" t="n">
        <v>0</v>
      </c>
      <c r="N854" t="n">
        <v>0</v>
      </c>
      <c r="O854" t="n">
        <v>0</v>
      </c>
      <c r="P854" t="n">
        <v>0</v>
      </c>
      <c r="Q854" t="n">
        <v>0</v>
      </c>
      <c r="R854" s="2" t="inlineStr"/>
    </row>
    <row r="855" ht="15" customHeight="1">
      <c r="A855" t="inlineStr">
        <is>
          <t>A 16676-2026</t>
        </is>
      </c>
      <c r="B855" s="1" t="n">
        <v>46112</v>
      </c>
      <c r="C855" s="1" t="n">
        <v>46195</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22557-2026</t>
        </is>
      </c>
      <c r="B856" s="1" t="n">
        <v>46155</v>
      </c>
      <c r="C856" s="1" t="n">
        <v>46195</v>
      </c>
      <c r="D856" t="inlineStr">
        <is>
          <t>UPPSALA LÄN</t>
        </is>
      </c>
      <c r="E856" t="inlineStr">
        <is>
          <t>UPPSALA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17127-2026</t>
        </is>
      </c>
      <c r="B857" s="1" t="n">
        <v>46114</v>
      </c>
      <c r="C857" s="1" t="n">
        <v>46195</v>
      </c>
      <c r="D857" t="inlineStr">
        <is>
          <t>UPPSALA LÄN</t>
        </is>
      </c>
      <c r="E857" t="inlineStr">
        <is>
          <t>UPPSALA</t>
        </is>
      </c>
      <c r="F857" t="inlineStr">
        <is>
          <t>Bergvik skog öst AB</t>
        </is>
      </c>
      <c r="G857" t="n">
        <v>2.6</v>
      </c>
      <c r="H857" t="n">
        <v>0</v>
      </c>
      <c r="I857" t="n">
        <v>0</v>
      </c>
      <c r="J857" t="n">
        <v>0</v>
      </c>
      <c r="K857" t="n">
        <v>0</v>
      </c>
      <c r="L857" t="n">
        <v>0</v>
      </c>
      <c r="M857" t="n">
        <v>0</v>
      </c>
      <c r="N857" t="n">
        <v>0</v>
      </c>
      <c r="O857" t="n">
        <v>0</v>
      </c>
      <c r="P857" t="n">
        <v>0</v>
      </c>
      <c r="Q857" t="n">
        <v>0</v>
      </c>
      <c r="R857" s="2" t="inlineStr"/>
    </row>
    <row r="858" ht="15" customHeight="1">
      <c r="A858" t="inlineStr">
        <is>
          <t>A 17133-2026</t>
        </is>
      </c>
      <c r="B858" s="1" t="n">
        <v>46114</v>
      </c>
      <c r="C858" s="1" t="n">
        <v>46195</v>
      </c>
      <c r="D858" t="inlineStr">
        <is>
          <t>UPPSALA LÄN</t>
        </is>
      </c>
      <c r="E858" t="inlineStr">
        <is>
          <t>UPPSALA</t>
        </is>
      </c>
      <c r="F858" t="inlineStr">
        <is>
          <t>Bergvik skog öst AB</t>
        </is>
      </c>
      <c r="G858" t="n">
        <v>1</v>
      </c>
      <c r="H858" t="n">
        <v>0</v>
      </c>
      <c r="I858" t="n">
        <v>0</v>
      </c>
      <c r="J858" t="n">
        <v>0</v>
      </c>
      <c r="K858" t="n">
        <v>0</v>
      </c>
      <c r="L858" t="n">
        <v>0</v>
      </c>
      <c r="M858" t="n">
        <v>0</v>
      </c>
      <c r="N858" t="n">
        <v>0</v>
      </c>
      <c r="O858" t="n">
        <v>0</v>
      </c>
      <c r="P858" t="n">
        <v>0</v>
      </c>
      <c r="Q858" t="n">
        <v>0</v>
      </c>
      <c r="R858" s="2" t="inlineStr"/>
    </row>
    <row r="859" ht="15" customHeight="1">
      <c r="A859" t="inlineStr">
        <is>
          <t>A 17125-2026</t>
        </is>
      </c>
      <c r="B859" s="1" t="n">
        <v>46114</v>
      </c>
      <c r="C859" s="1" t="n">
        <v>46195</v>
      </c>
      <c r="D859" t="inlineStr">
        <is>
          <t>UPPSALA LÄN</t>
        </is>
      </c>
      <c r="E859" t="inlineStr">
        <is>
          <t>UPPSALA</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17131-2026</t>
        </is>
      </c>
      <c r="B860" s="1" t="n">
        <v>46114</v>
      </c>
      <c r="C860" s="1" t="n">
        <v>46195</v>
      </c>
      <c r="D860" t="inlineStr">
        <is>
          <t>UPPSALA LÄN</t>
        </is>
      </c>
      <c r="E860" t="inlineStr">
        <is>
          <t>UPPSALA</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22807-2026</t>
        </is>
      </c>
      <c r="B861" s="1" t="n">
        <v>46160</v>
      </c>
      <c r="C861" s="1" t="n">
        <v>46195</v>
      </c>
      <c r="D861" t="inlineStr">
        <is>
          <t>UPPSALA LÄN</t>
        </is>
      </c>
      <c r="E861" t="inlineStr">
        <is>
          <t>UPPSALA</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17217-2026</t>
        </is>
      </c>
      <c r="B862" s="1" t="n">
        <v>46119</v>
      </c>
      <c r="C862" s="1" t="n">
        <v>46195</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22900-2026</t>
        </is>
      </c>
      <c r="B863" s="1" t="n">
        <v>46160</v>
      </c>
      <c r="C863" s="1" t="n">
        <v>46195</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23124-2026</t>
        </is>
      </c>
      <c r="B864" s="1" t="n">
        <v>46161</v>
      </c>
      <c r="C864" s="1" t="n">
        <v>46195</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17218-2026</t>
        </is>
      </c>
      <c r="B865" s="1" t="n">
        <v>46119</v>
      </c>
      <c r="C865" s="1" t="n">
        <v>46195</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17073-2026</t>
        </is>
      </c>
      <c r="B866" s="1" t="n">
        <v>46114</v>
      </c>
      <c r="C866" s="1" t="n">
        <v>46195</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23413-2026</t>
        </is>
      </c>
      <c r="B867" s="1" t="n">
        <v>46162</v>
      </c>
      <c r="C867" s="1" t="n">
        <v>46195</v>
      </c>
      <c r="D867" t="inlineStr">
        <is>
          <t>UPPSALA LÄN</t>
        </is>
      </c>
      <c r="E867" t="inlineStr">
        <is>
          <t>UPPSALA</t>
        </is>
      </c>
      <c r="F867" t="inlineStr">
        <is>
          <t>Bergvik skog öst AB</t>
        </is>
      </c>
      <c r="G867" t="n">
        <v>9.6</v>
      </c>
      <c r="H867" t="n">
        <v>0</v>
      </c>
      <c r="I867" t="n">
        <v>0</v>
      </c>
      <c r="J867" t="n">
        <v>0</v>
      </c>
      <c r="K867" t="n">
        <v>0</v>
      </c>
      <c r="L867" t="n">
        <v>0</v>
      </c>
      <c r="M867" t="n">
        <v>0</v>
      </c>
      <c r="N867" t="n">
        <v>0</v>
      </c>
      <c r="O867" t="n">
        <v>0</v>
      </c>
      <c r="P867" t="n">
        <v>0</v>
      </c>
      <c r="Q867" t="n">
        <v>0</v>
      </c>
      <c r="R867" s="2" t="inlineStr"/>
    </row>
    <row r="868" ht="15" customHeight="1">
      <c r="A868" t="inlineStr">
        <is>
          <t>A 23584-2026</t>
        </is>
      </c>
      <c r="B868" s="1" t="n">
        <v>46163</v>
      </c>
      <c r="C868" s="1" t="n">
        <v>46195</v>
      </c>
      <c r="D868" t="inlineStr">
        <is>
          <t>UPPSALA LÄN</t>
        </is>
      </c>
      <c r="E868" t="inlineStr">
        <is>
          <t>UPPSALA</t>
        </is>
      </c>
      <c r="G868" t="n">
        <v>12.7</v>
      </c>
      <c r="H868" t="n">
        <v>0</v>
      </c>
      <c r="I868" t="n">
        <v>0</v>
      </c>
      <c r="J868" t="n">
        <v>0</v>
      </c>
      <c r="K868" t="n">
        <v>0</v>
      </c>
      <c r="L868" t="n">
        <v>0</v>
      </c>
      <c r="M868" t="n">
        <v>0</v>
      </c>
      <c r="N868" t="n">
        <v>0</v>
      </c>
      <c r="O868" t="n">
        <v>0</v>
      </c>
      <c r="P868" t="n">
        <v>0</v>
      </c>
      <c r="Q868" t="n">
        <v>0</v>
      </c>
      <c r="R868" s="2" t="inlineStr"/>
    </row>
    <row r="869" ht="15" customHeight="1">
      <c r="A869" t="inlineStr">
        <is>
          <t>A 23412-2026</t>
        </is>
      </c>
      <c r="B869" s="1" t="n">
        <v>46162</v>
      </c>
      <c r="C869" s="1" t="n">
        <v>46195</v>
      </c>
      <c r="D869" t="inlineStr">
        <is>
          <t>UPPSALA LÄN</t>
        </is>
      </c>
      <c r="E869" t="inlineStr">
        <is>
          <t>UPPSALA</t>
        </is>
      </c>
      <c r="F869" t="inlineStr">
        <is>
          <t>Bergvik skog öst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23614-2026</t>
        </is>
      </c>
      <c r="B870" s="1" t="n">
        <v>46163</v>
      </c>
      <c r="C870" s="1" t="n">
        <v>46195</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23976-2026</t>
        </is>
      </c>
      <c r="B871" s="1" t="n">
        <v>46167</v>
      </c>
      <c r="C871" s="1" t="n">
        <v>46195</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17899-2026</t>
        </is>
      </c>
      <c r="B872" s="1" t="n">
        <v>46122</v>
      </c>
      <c r="C872" s="1" t="n">
        <v>46195</v>
      </c>
      <c r="D872" t="inlineStr">
        <is>
          <t>UPPSALA LÄN</t>
        </is>
      </c>
      <c r="E872" t="inlineStr">
        <is>
          <t>UPPSALA</t>
        </is>
      </c>
      <c r="G872" t="n">
        <v>1.8</v>
      </c>
      <c r="H872" t="n">
        <v>0</v>
      </c>
      <c r="I872" t="n">
        <v>0</v>
      </c>
      <c r="J872" t="n">
        <v>0</v>
      </c>
      <c r="K872" t="n">
        <v>0</v>
      </c>
      <c r="L872" t="n">
        <v>0</v>
      </c>
      <c r="M872" t="n">
        <v>0</v>
      </c>
      <c r="N872" t="n">
        <v>0</v>
      </c>
      <c r="O872" t="n">
        <v>0</v>
      </c>
      <c r="P872" t="n">
        <v>0</v>
      </c>
      <c r="Q872" t="n">
        <v>0</v>
      </c>
      <c r="R872" s="2" t="inlineStr"/>
    </row>
    <row r="873" ht="15" customHeight="1">
      <c r="A873" t="inlineStr">
        <is>
          <t>A 22838-2026</t>
        </is>
      </c>
      <c r="B873" s="1" t="n">
        <v>46160</v>
      </c>
      <c r="C873" s="1" t="n">
        <v>46195</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23978-2026</t>
        </is>
      </c>
      <c r="B874" s="1" t="n">
        <v>46167</v>
      </c>
      <c r="C874" s="1" t="n">
        <v>46195</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23971-2026</t>
        </is>
      </c>
      <c r="B875" s="1" t="n">
        <v>46167</v>
      </c>
      <c r="C875" s="1" t="n">
        <v>46195</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17898-2026</t>
        </is>
      </c>
      <c r="B876" s="1" t="n">
        <v>46122</v>
      </c>
      <c r="C876" s="1" t="n">
        <v>46195</v>
      </c>
      <c r="D876" t="inlineStr">
        <is>
          <t>UPPSALA LÄN</t>
        </is>
      </c>
      <c r="E876" t="inlineStr">
        <is>
          <t>UPPSALA</t>
        </is>
      </c>
      <c r="G876" t="n">
        <v>1.7</v>
      </c>
      <c r="H876" t="n">
        <v>0</v>
      </c>
      <c r="I876" t="n">
        <v>0</v>
      </c>
      <c r="J876" t="n">
        <v>0</v>
      </c>
      <c r="K876" t="n">
        <v>0</v>
      </c>
      <c r="L876" t="n">
        <v>0</v>
      </c>
      <c r="M876" t="n">
        <v>0</v>
      </c>
      <c r="N876" t="n">
        <v>0</v>
      </c>
      <c r="O876" t="n">
        <v>0</v>
      </c>
      <c r="P876" t="n">
        <v>0</v>
      </c>
      <c r="Q876" t="n">
        <v>0</v>
      </c>
      <c r="R876" s="2" t="inlineStr"/>
    </row>
    <row r="877" ht="15" customHeight="1">
      <c r="A877" t="inlineStr">
        <is>
          <t>A 17786-2026</t>
        </is>
      </c>
      <c r="B877" s="1" t="n">
        <v>46122</v>
      </c>
      <c r="C877" s="1" t="n">
        <v>46195</v>
      </c>
      <c r="D877" t="inlineStr">
        <is>
          <t>UPPSALA LÄN</t>
        </is>
      </c>
      <c r="E877" t="inlineStr">
        <is>
          <t>UPPSALA</t>
        </is>
      </c>
      <c r="F877" t="inlineStr">
        <is>
          <t>Bergvik skog öst AB</t>
        </is>
      </c>
      <c r="G877" t="n">
        <v>4.3</v>
      </c>
      <c r="H877" t="n">
        <v>0</v>
      </c>
      <c r="I877" t="n">
        <v>0</v>
      </c>
      <c r="J877" t="n">
        <v>0</v>
      </c>
      <c r="K877" t="n">
        <v>0</v>
      </c>
      <c r="L877" t="n">
        <v>0</v>
      </c>
      <c r="M877" t="n">
        <v>0</v>
      </c>
      <c r="N877" t="n">
        <v>0</v>
      </c>
      <c r="O877" t="n">
        <v>0</v>
      </c>
      <c r="P877" t="n">
        <v>0</v>
      </c>
      <c r="Q877" t="n">
        <v>0</v>
      </c>
      <c r="R877" s="2" t="inlineStr"/>
    </row>
    <row r="878" ht="15" customHeight="1">
      <c r="A878" t="inlineStr">
        <is>
          <t>A 23893-2026</t>
        </is>
      </c>
      <c r="B878" s="1" t="n">
        <v>46167</v>
      </c>
      <c r="C878" s="1" t="n">
        <v>46195</v>
      </c>
      <c r="D878" t="inlineStr">
        <is>
          <t>UPPSALA LÄN</t>
        </is>
      </c>
      <c r="E878" t="inlineStr">
        <is>
          <t>UPPSALA</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24734-2026</t>
        </is>
      </c>
      <c r="B879" s="1" t="n">
        <v>46171</v>
      </c>
      <c r="C879" s="1" t="n">
        <v>46195</v>
      </c>
      <c r="D879" t="inlineStr">
        <is>
          <t>UPPSALA LÄN</t>
        </is>
      </c>
      <c r="E879" t="inlineStr">
        <is>
          <t>UPPSALA</t>
        </is>
      </c>
      <c r="G879" t="n">
        <v>3.6</v>
      </c>
      <c r="H879" t="n">
        <v>0</v>
      </c>
      <c r="I879" t="n">
        <v>0</v>
      </c>
      <c r="J879" t="n">
        <v>0</v>
      </c>
      <c r="K879" t="n">
        <v>0</v>
      </c>
      <c r="L879" t="n">
        <v>0</v>
      </c>
      <c r="M879" t="n">
        <v>0</v>
      </c>
      <c r="N879" t="n">
        <v>0</v>
      </c>
      <c r="O879" t="n">
        <v>0</v>
      </c>
      <c r="P879" t="n">
        <v>0</v>
      </c>
      <c r="Q879" t="n">
        <v>0</v>
      </c>
      <c r="R879" s="2" t="inlineStr"/>
    </row>
    <row r="880" ht="15" customHeight="1">
      <c r="A880" t="inlineStr">
        <is>
          <t>A 24685-2026</t>
        </is>
      </c>
      <c r="B880" s="1" t="n">
        <v>46171</v>
      </c>
      <c r="C880" s="1" t="n">
        <v>46195</v>
      </c>
      <c r="D880" t="inlineStr">
        <is>
          <t>UPPSALA LÄN</t>
        </is>
      </c>
      <c r="E880" t="inlineStr">
        <is>
          <t>UPPSALA</t>
        </is>
      </c>
      <c r="F880" t="inlineStr">
        <is>
          <t>Allmännings- och besparingsskogar</t>
        </is>
      </c>
      <c r="G880" t="n">
        <v>8.5</v>
      </c>
      <c r="H880" t="n">
        <v>0</v>
      </c>
      <c r="I880" t="n">
        <v>0</v>
      </c>
      <c r="J880" t="n">
        <v>0</v>
      </c>
      <c r="K880" t="n">
        <v>0</v>
      </c>
      <c r="L880" t="n">
        <v>0</v>
      </c>
      <c r="M880" t="n">
        <v>0</v>
      </c>
      <c r="N880" t="n">
        <v>0</v>
      </c>
      <c r="O880" t="n">
        <v>0</v>
      </c>
      <c r="P880" t="n">
        <v>0</v>
      </c>
      <c r="Q880" t="n">
        <v>0</v>
      </c>
      <c r="R880" s="2" t="inlineStr"/>
    </row>
    <row r="881" ht="15" customHeight="1">
      <c r="A881" t="inlineStr">
        <is>
          <t>A 24737-2026</t>
        </is>
      </c>
      <c r="B881" s="1" t="n">
        <v>46171</v>
      </c>
      <c r="C881" s="1" t="n">
        <v>46195</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19257-2026</t>
        </is>
      </c>
      <c r="B882" s="1" t="n">
        <v>46132</v>
      </c>
      <c r="C882" s="1" t="n">
        <v>46195</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17080-2026</t>
        </is>
      </c>
      <c r="B883" s="1" t="n">
        <v>46114</v>
      </c>
      <c r="C883" s="1" t="n">
        <v>46195</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19229-2026</t>
        </is>
      </c>
      <c r="B884" s="1" t="n">
        <v>46132</v>
      </c>
      <c r="C884" s="1" t="n">
        <v>46195</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24807-2026</t>
        </is>
      </c>
      <c r="B885" s="1" t="n">
        <v>46172</v>
      </c>
      <c r="C885" s="1" t="n">
        <v>46195</v>
      </c>
      <c r="D885" t="inlineStr">
        <is>
          <t>UPPSALA LÄN</t>
        </is>
      </c>
      <c r="E885" t="inlineStr">
        <is>
          <t>UPPSALA</t>
        </is>
      </c>
      <c r="F885" t="inlineStr">
        <is>
          <t>Bergvik skog öst AB</t>
        </is>
      </c>
      <c r="G885" t="n">
        <v>2.6</v>
      </c>
      <c r="H885" t="n">
        <v>0</v>
      </c>
      <c r="I885" t="n">
        <v>0</v>
      </c>
      <c r="J885" t="n">
        <v>0</v>
      </c>
      <c r="K885" t="n">
        <v>0</v>
      </c>
      <c r="L885" t="n">
        <v>0</v>
      </c>
      <c r="M885" t="n">
        <v>0</v>
      </c>
      <c r="N885" t="n">
        <v>0</v>
      </c>
      <c r="O885" t="n">
        <v>0</v>
      </c>
      <c r="P885" t="n">
        <v>0</v>
      </c>
      <c r="Q885" t="n">
        <v>0</v>
      </c>
      <c r="R885" s="2" t="inlineStr"/>
    </row>
    <row r="886" ht="15" customHeight="1">
      <c r="A886" t="inlineStr">
        <is>
          <t>A 24808-2026</t>
        </is>
      </c>
      <c r="B886" s="1" t="n">
        <v>46172</v>
      </c>
      <c r="C886" s="1" t="n">
        <v>46195</v>
      </c>
      <c r="D886" t="inlineStr">
        <is>
          <t>UPPSALA LÄN</t>
        </is>
      </c>
      <c r="E886" t="inlineStr">
        <is>
          <t>UPPSALA</t>
        </is>
      </c>
      <c r="F886" t="inlineStr">
        <is>
          <t>Bergvik skog öst AB</t>
        </is>
      </c>
      <c r="G886" t="n">
        <v>3.6</v>
      </c>
      <c r="H886" t="n">
        <v>0</v>
      </c>
      <c r="I886" t="n">
        <v>0</v>
      </c>
      <c r="J886" t="n">
        <v>0</v>
      </c>
      <c r="K886" t="n">
        <v>0</v>
      </c>
      <c r="L886" t="n">
        <v>0</v>
      </c>
      <c r="M886" t="n">
        <v>0</v>
      </c>
      <c r="N886" t="n">
        <v>0</v>
      </c>
      <c r="O886" t="n">
        <v>0</v>
      </c>
      <c r="P886" t="n">
        <v>0</v>
      </c>
      <c r="Q886" t="n">
        <v>0</v>
      </c>
      <c r="R886" s="2" t="inlineStr"/>
    </row>
    <row r="887" ht="15" customHeight="1">
      <c r="A887" t="inlineStr">
        <is>
          <t>A 19342-2026</t>
        </is>
      </c>
      <c r="B887" s="1" t="n">
        <v>46133</v>
      </c>
      <c r="C887" s="1" t="n">
        <v>46195</v>
      </c>
      <c r="D887" t="inlineStr">
        <is>
          <t>UPPSALA LÄN</t>
        </is>
      </c>
      <c r="E887" t="inlineStr">
        <is>
          <t>UPPSALA</t>
        </is>
      </c>
      <c r="G887" t="n">
        <v>6</v>
      </c>
      <c r="H887" t="n">
        <v>0</v>
      </c>
      <c r="I887" t="n">
        <v>0</v>
      </c>
      <c r="J887" t="n">
        <v>0</v>
      </c>
      <c r="K887" t="n">
        <v>0</v>
      </c>
      <c r="L887" t="n">
        <v>0</v>
      </c>
      <c r="M887" t="n">
        <v>0</v>
      </c>
      <c r="N887" t="n">
        <v>0</v>
      </c>
      <c r="O887" t="n">
        <v>0</v>
      </c>
      <c r="P887" t="n">
        <v>0</v>
      </c>
      <c r="Q887" t="n">
        <v>0</v>
      </c>
      <c r="R887" s="2" t="inlineStr"/>
    </row>
    <row r="888" ht="15" customHeight="1">
      <c r="A888" t="inlineStr">
        <is>
          <t>A 19264-2026</t>
        </is>
      </c>
      <c r="B888" s="1" t="n">
        <v>46132</v>
      </c>
      <c r="C888" s="1" t="n">
        <v>46195</v>
      </c>
      <c r="D888" t="inlineStr">
        <is>
          <t>UPPSALA LÄN</t>
        </is>
      </c>
      <c r="E888" t="inlineStr">
        <is>
          <t>UPPSALA</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25376-2026</t>
        </is>
      </c>
      <c r="B889" s="1" t="n">
        <v>46176</v>
      </c>
      <c r="C889" s="1" t="n">
        <v>46195</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19263-2026</t>
        </is>
      </c>
      <c r="B890" s="1" t="n">
        <v>46132</v>
      </c>
      <c r="C890" s="1" t="n">
        <v>46195</v>
      </c>
      <c r="D890" t="inlineStr">
        <is>
          <t>UPPSALA LÄN</t>
        </is>
      </c>
      <c r="E890" t="inlineStr">
        <is>
          <t>UPPSALA</t>
        </is>
      </c>
      <c r="F890" t="inlineStr">
        <is>
          <t>Bergvik skog öst AB</t>
        </is>
      </c>
      <c r="G890" t="n">
        <v>2.4</v>
      </c>
      <c r="H890" t="n">
        <v>0</v>
      </c>
      <c r="I890" t="n">
        <v>0</v>
      </c>
      <c r="J890" t="n">
        <v>0</v>
      </c>
      <c r="K890" t="n">
        <v>0</v>
      </c>
      <c r="L890" t="n">
        <v>0</v>
      </c>
      <c r="M890" t="n">
        <v>0</v>
      </c>
      <c r="N890" t="n">
        <v>0</v>
      </c>
      <c r="O890" t="n">
        <v>0</v>
      </c>
      <c r="P890" t="n">
        <v>0</v>
      </c>
      <c r="Q890" t="n">
        <v>0</v>
      </c>
      <c r="R890" s="2" t="inlineStr"/>
    </row>
    <row r="891" ht="15" customHeight="1">
      <c r="A891" t="inlineStr">
        <is>
          <t>A 19329-2026</t>
        </is>
      </c>
      <c r="B891" s="1" t="n">
        <v>46133</v>
      </c>
      <c r="C891" s="1" t="n">
        <v>46195</v>
      </c>
      <c r="D891" t="inlineStr">
        <is>
          <t>UPPSALA LÄN</t>
        </is>
      </c>
      <c r="E891" t="inlineStr">
        <is>
          <t>UPPSALA</t>
        </is>
      </c>
      <c r="F891" t="inlineStr">
        <is>
          <t>Bergvik skog öst AB</t>
        </is>
      </c>
      <c r="G891" t="n">
        <v>7.8</v>
      </c>
      <c r="H891" t="n">
        <v>0</v>
      </c>
      <c r="I891" t="n">
        <v>0</v>
      </c>
      <c r="J891" t="n">
        <v>0</v>
      </c>
      <c r="K891" t="n">
        <v>0</v>
      </c>
      <c r="L891" t="n">
        <v>0</v>
      </c>
      <c r="M891" t="n">
        <v>0</v>
      </c>
      <c r="N891" t="n">
        <v>0</v>
      </c>
      <c r="O891" t="n">
        <v>0</v>
      </c>
      <c r="P891" t="n">
        <v>0</v>
      </c>
      <c r="Q891" t="n">
        <v>0</v>
      </c>
      <c r="R891" s="2" t="inlineStr"/>
    </row>
    <row r="892" ht="15" customHeight="1">
      <c r="A892" t="inlineStr">
        <is>
          <t>A 19265-2026</t>
        </is>
      </c>
      <c r="B892" s="1" t="n">
        <v>46132</v>
      </c>
      <c r="C892" s="1" t="n">
        <v>46195</v>
      </c>
      <c r="D892" t="inlineStr">
        <is>
          <t>UPPSALA LÄN</t>
        </is>
      </c>
      <c r="E892" t="inlineStr">
        <is>
          <t>UPPSALA</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49463-2025</t>
        </is>
      </c>
      <c r="B893" s="1" t="n">
        <v>45939</v>
      </c>
      <c r="C893" s="1" t="n">
        <v>46195</v>
      </c>
      <c r="D893" t="inlineStr">
        <is>
          <t>UPPSALA LÄN</t>
        </is>
      </c>
      <c r="E893" t="inlineStr">
        <is>
          <t>UPPSALA</t>
        </is>
      </c>
      <c r="G893" t="n">
        <v>3.4</v>
      </c>
      <c r="H893" t="n">
        <v>0</v>
      </c>
      <c r="I893" t="n">
        <v>0</v>
      </c>
      <c r="J893" t="n">
        <v>0</v>
      </c>
      <c r="K893" t="n">
        <v>0</v>
      </c>
      <c r="L893" t="n">
        <v>0</v>
      </c>
      <c r="M893" t="n">
        <v>0</v>
      </c>
      <c r="N893" t="n">
        <v>0</v>
      </c>
      <c r="O893" t="n">
        <v>0</v>
      </c>
      <c r="P893" t="n">
        <v>0</v>
      </c>
      <c r="Q893" t="n">
        <v>0</v>
      </c>
      <c r="R893" s="2" t="inlineStr"/>
    </row>
    <row r="894" ht="15" customHeight="1">
      <c r="A894" t="inlineStr">
        <is>
          <t>A 38034-2025</t>
        </is>
      </c>
      <c r="B894" s="1" t="n">
        <v>45882</v>
      </c>
      <c r="C894" s="1" t="n">
        <v>46195</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17596-2025</t>
        </is>
      </c>
      <c r="B895" s="1" t="n">
        <v>45757</v>
      </c>
      <c r="C895" s="1" t="n">
        <v>46195</v>
      </c>
      <c r="D895" t="inlineStr">
        <is>
          <t>UPPSALA LÄN</t>
        </is>
      </c>
      <c r="E895" t="inlineStr">
        <is>
          <t>UPPSALA</t>
        </is>
      </c>
      <c r="G895" t="n">
        <v>4.8</v>
      </c>
      <c r="H895" t="n">
        <v>0</v>
      </c>
      <c r="I895" t="n">
        <v>0</v>
      </c>
      <c r="J895" t="n">
        <v>0</v>
      </c>
      <c r="K895" t="n">
        <v>0</v>
      </c>
      <c r="L895" t="n">
        <v>0</v>
      </c>
      <c r="M895" t="n">
        <v>0</v>
      </c>
      <c r="N895" t="n">
        <v>0</v>
      </c>
      <c r="O895" t="n">
        <v>0</v>
      </c>
      <c r="P895" t="n">
        <v>0</v>
      </c>
      <c r="Q895" t="n">
        <v>0</v>
      </c>
      <c r="R895" s="2" t="inlineStr"/>
    </row>
    <row r="896" ht="15" customHeight="1">
      <c r="A896" t="inlineStr">
        <is>
          <t>A 37851-2025</t>
        </is>
      </c>
      <c r="B896" s="1" t="n">
        <v>45881</v>
      </c>
      <c r="C896" s="1" t="n">
        <v>46195</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25756-2026</t>
        </is>
      </c>
      <c r="B897" s="1" t="n">
        <v>46178</v>
      </c>
      <c r="C897" s="1" t="n">
        <v>46195</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19885-2026</t>
        </is>
      </c>
      <c r="B898" s="1" t="n">
        <v>46135</v>
      </c>
      <c r="C898" s="1" t="n">
        <v>46195</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39529-2025</t>
        </is>
      </c>
      <c r="B899" s="1" t="n">
        <v>45890</v>
      </c>
      <c r="C899" s="1" t="n">
        <v>46195</v>
      </c>
      <c r="D899" t="inlineStr">
        <is>
          <t>UPPSALA LÄN</t>
        </is>
      </c>
      <c r="E899" t="inlineStr">
        <is>
          <t>UPPSALA</t>
        </is>
      </c>
      <c r="F899" t="inlineStr">
        <is>
          <t>Allmännings- och besparingsskogar</t>
        </is>
      </c>
      <c r="G899" t="n">
        <v>3.9</v>
      </c>
      <c r="H899" t="n">
        <v>0</v>
      </c>
      <c r="I899" t="n">
        <v>0</v>
      </c>
      <c r="J899" t="n">
        <v>0</v>
      </c>
      <c r="K899" t="n">
        <v>0</v>
      </c>
      <c r="L899" t="n">
        <v>0</v>
      </c>
      <c r="M899" t="n">
        <v>0</v>
      </c>
      <c r="N899" t="n">
        <v>0</v>
      </c>
      <c r="O899" t="n">
        <v>0</v>
      </c>
      <c r="P899" t="n">
        <v>0</v>
      </c>
      <c r="Q899" t="n">
        <v>0</v>
      </c>
      <c r="R899" s="2" t="inlineStr"/>
    </row>
    <row r="900" ht="15" customHeight="1">
      <c r="A900" t="inlineStr">
        <is>
          <t>A 5814-2026</t>
        </is>
      </c>
      <c r="B900" s="1" t="n">
        <v>46051</v>
      </c>
      <c r="C900" s="1" t="n">
        <v>46195</v>
      </c>
      <c r="D900" t="inlineStr">
        <is>
          <t>UPPSALA LÄN</t>
        </is>
      </c>
      <c r="E900" t="inlineStr">
        <is>
          <t>UPPSALA</t>
        </is>
      </c>
      <c r="F900" t="inlineStr">
        <is>
          <t>Kommuner</t>
        </is>
      </c>
      <c r="G900" t="n">
        <v>3.4</v>
      </c>
      <c r="H900" t="n">
        <v>0</v>
      </c>
      <c r="I900" t="n">
        <v>0</v>
      </c>
      <c r="J900" t="n">
        <v>0</v>
      </c>
      <c r="K900" t="n">
        <v>0</v>
      </c>
      <c r="L900" t="n">
        <v>0</v>
      </c>
      <c r="M900" t="n">
        <v>0</v>
      </c>
      <c r="N900" t="n">
        <v>0</v>
      </c>
      <c r="O900" t="n">
        <v>0</v>
      </c>
      <c r="P900" t="n">
        <v>0</v>
      </c>
      <c r="Q900" t="n">
        <v>0</v>
      </c>
      <c r="R900" s="2" t="inlineStr"/>
    </row>
    <row r="901" ht="15" customHeight="1">
      <c r="A901" t="inlineStr">
        <is>
          <t>A 35978-2025</t>
        </is>
      </c>
      <c r="B901" s="1" t="n">
        <v>45863</v>
      </c>
      <c r="C901" s="1" t="n">
        <v>46195</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37352-2025</t>
        </is>
      </c>
      <c r="B902" s="1" t="n">
        <v>45876</v>
      </c>
      <c r="C902" s="1" t="n">
        <v>46195</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6541-2025</t>
        </is>
      </c>
      <c r="B903" s="1" t="n">
        <v>45699</v>
      </c>
      <c r="C903" s="1" t="n">
        <v>46195</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20137-2026</t>
        </is>
      </c>
      <c r="B904" s="1" t="n">
        <v>46136</v>
      </c>
      <c r="C904" s="1" t="n">
        <v>46195</v>
      </c>
      <c r="D904" t="inlineStr">
        <is>
          <t>UPPSALA LÄN</t>
        </is>
      </c>
      <c r="E904" t="inlineStr">
        <is>
          <t>UPPSALA</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49937-2025</t>
        </is>
      </c>
      <c r="B905" s="1" t="n">
        <v>45940</v>
      </c>
      <c r="C905" s="1" t="n">
        <v>46195</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6012-2025</t>
        </is>
      </c>
      <c r="B906" s="1" t="n">
        <v>45695</v>
      </c>
      <c r="C906" s="1" t="n">
        <v>46195</v>
      </c>
      <c r="D906" t="inlineStr">
        <is>
          <t>UPPSALA LÄN</t>
        </is>
      </c>
      <c r="E906" t="inlineStr">
        <is>
          <t>UPPSALA</t>
        </is>
      </c>
      <c r="F906" t="inlineStr">
        <is>
          <t>Övriga Aktiebolag</t>
        </is>
      </c>
      <c r="G906" t="n">
        <v>14.3</v>
      </c>
      <c r="H906" t="n">
        <v>0</v>
      </c>
      <c r="I906" t="n">
        <v>0</v>
      </c>
      <c r="J906" t="n">
        <v>0</v>
      </c>
      <c r="K906" t="n">
        <v>0</v>
      </c>
      <c r="L906" t="n">
        <v>0</v>
      </c>
      <c r="M906" t="n">
        <v>0</v>
      </c>
      <c r="N906" t="n">
        <v>0</v>
      </c>
      <c r="O906" t="n">
        <v>0</v>
      </c>
      <c r="P906" t="n">
        <v>0</v>
      </c>
      <c r="Q906" t="n">
        <v>0</v>
      </c>
      <c r="R906" s="2" t="inlineStr"/>
    </row>
    <row r="907" ht="15" customHeight="1">
      <c r="A907" t="inlineStr">
        <is>
          <t>A 19345-2025</t>
        </is>
      </c>
      <c r="B907" s="1" t="n">
        <v>45769</v>
      </c>
      <c r="C907" s="1" t="n">
        <v>46195</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20146-2026</t>
        </is>
      </c>
      <c r="B908" s="1" t="n">
        <v>46137</v>
      </c>
      <c r="C908" s="1" t="n">
        <v>46195</v>
      </c>
      <c r="D908" t="inlineStr">
        <is>
          <t>UPPSALA LÄN</t>
        </is>
      </c>
      <c r="E908" t="inlineStr">
        <is>
          <t>UPPSALA</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20147-2026</t>
        </is>
      </c>
      <c r="B909" s="1" t="n">
        <v>46137</v>
      </c>
      <c r="C909" s="1" t="n">
        <v>46195</v>
      </c>
      <c r="D909" t="inlineStr">
        <is>
          <t>UPPSALA LÄN</t>
        </is>
      </c>
      <c r="E909" t="inlineStr">
        <is>
          <t>UPPSALA</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35155-2025</t>
        </is>
      </c>
      <c r="B910" s="1" t="n">
        <v>45852</v>
      </c>
      <c r="C910" s="1" t="n">
        <v>46195</v>
      </c>
      <c r="D910" t="inlineStr">
        <is>
          <t>UPPSALA LÄN</t>
        </is>
      </c>
      <c r="E910" t="inlineStr">
        <is>
          <t>UPPSALA</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32479-2025</t>
        </is>
      </c>
      <c r="B911" s="1" t="n">
        <v>45838</v>
      </c>
      <c r="C911" s="1" t="n">
        <v>46195</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24098-2024</t>
        </is>
      </c>
      <c r="B912" s="1" t="n">
        <v>45456</v>
      </c>
      <c r="C912" s="1" t="n">
        <v>46195</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54724-2025</t>
        </is>
      </c>
      <c r="B913" s="1" t="n">
        <v>45966</v>
      </c>
      <c r="C913" s="1" t="n">
        <v>46195</v>
      </c>
      <c r="D913" t="inlineStr">
        <is>
          <t>UPPSALA LÄN</t>
        </is>
      </c>
      <c r="E913" t="inlineStr">
        <is>
          <t>UPPSALA</t>
        </is>
      </c>
      <c r="F913" t="inlineStr">
        <is>
          <t>Bergvik skog öst AB</t>
        </is>
      </c>
      <c r="G913" t="n">
        <v>3.9</v>
      </c>
      <c r="H913" t="n">
        <v>0</v>
      </c>
      <c r="I913" t="n">
        <v>0</v>
      </c>
      <c r="J913" t="n">
        <v>0</v>
      </c>
      <c r="K913" t="n">
        <v>0</v>
      </c>
      <c r="L913" t="n">
        <v>0</v>
      </c>
      <c r="M913" t="n">
        <v>0</v>
      </c>
      <c r="N913" t="n">
        <v>0</v>
      </c>
      <c r="O913" t="n">
        <v>0</v>
      </c>
      <c r="P913" t="n">
        <v>0</v>
      </c>
      <c r="Q913" t="n">
        <v>0</v>
      </c>
      <c r="R913" s="2" t="inlineStr"/>
    </row>
    <row r="914">
      <c r="A914" t="inlineStr">
        <is>
          <t>A 46202-2024</t>
        </is>
      </c>
      <c r="B914" s="1" t="n">
        <v>45581</v>
      </c>
      <c r="C914" s="1" t="n">
        <v>46195</v>
      </c>
      <c r="D914" t="inlineStr">
        <is>
          <t>UPPSALA LÄN</t>
        </is>
      </c>
      <c r="E914" t="inlineStr">
        <is>
          <t>UPPSALA</t>
        </is>
      </c>
      <c r="G914" t="n">
        <v>3.2</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2026-06-22T00:43:43Z</dcterms:created>
  <dcterms:modified xmlns:dcterms="http://purl.org/dc/terms/" xmlns:xsi="http://www.w3.org/2001/XMLSchema-instance" xsi:type="dcterms:W3CDTF">2026-06-22T00:43:44Z</dcterms:modified>
</cp:coreProperties>
</file>