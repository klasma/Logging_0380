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45680</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45680</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45680</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45680</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45680</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45680</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45680</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45680</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45680</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45680</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45680</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45680</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45680</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45680</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45680</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45680</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45680</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45680</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45680</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45680</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45680</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45680</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45680</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45680</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45680</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45680</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45680</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45680</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45680</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45680</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45680</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45680</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45680</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45680</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45680</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45680</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45680</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45680</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45680</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45680</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45680</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45680</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45680</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45680</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45680</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45680</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45680</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45680</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45680</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45680</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45680</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45680</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45680</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45680</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45680</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45680</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45680</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45680</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45680</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45680</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45680</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45680</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45680</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45680</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45680</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45680</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45680</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45680</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45680</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45680</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45680</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45680</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45680</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45680</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45680</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45680</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45680</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45680</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45680</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45680</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45680</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45680</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45680</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45680</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45680</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45680</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45680</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45680</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45680</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45680</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45680</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45680</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45680</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45680</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45680</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45680</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45680</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45680</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45680</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45680</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45680</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45680</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45680</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45680</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45680</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45680</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45680</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45680</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45680</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45680</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45680</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45680</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45680</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45680</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45680</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45680</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45680</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45680</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45680</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45680</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45680</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45680</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45680</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45680</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45680</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3304-2025</t>
        </is>
      </c>
      <c r="B186" s="1" t="n">
        <v>45679</v>
      </c>
      <c r="C186" s="1" t="n">
        <v>45680</v>
      </c>
      <c r="D186" t="inlineStr">
        <is>
          <t>UPPSALA LÄN</t>
        </is>
      </c>
      <c r="E186" t="inlineStr">
        <is>
          <t>UPPSALA</t>
        </is>
      </c>
      <c r="F186" t="inlineStr">
        <is>
          <t>Övriga statliga verk och myndigheter</t>
        </is>
      </c>
      <c r="G186" t="n">
        <v>3.8</v>
      </c>
      <c r="H186" t="n">
        <v>1</v>
      </c>
      <c r="I186" t="n">
        <v>0</v>
      </c>
      <c r="J186" t="n">
        <v>0</v>
      </c>
      <c r="K186" t="n">
        <v>0</v>
      </c>
      <c r="L186" t="n">
        <v>0</v>
      </c>
      <c r="M186" t="n">
        <v>0</v>
      </c>
      <c r="N186" t="n">
        <v>0</v>
      </c>
      <c r="O186" t="n">
        <v>0</v>
      </c>
      <c r="P186" t="n">
        <v>0</v>
      </c>
      <c r="Q186" t="n">
        <v>1</v>
      </c>
      <c r="R186" s="2" t="inlineStr">
        <is>
          <t>Blåsippa</t>
        </is>
      </c>
      <c r="S186">
        <f>HYPERLINK("https://klasma.github.io/Logging_0380/artfynd/A 3304-2025 artfynd.xlsx", "A 3304-2025")</f>
        <v/>
      </c>
      <c r="T186">
        <f>HYPERLINK("https://klasma.github.io/Logging_0380/kartor/A 3304-2025 karta.png", "A 3304-2025")</f>
        <v/>
      </c>
      <c r="V186">
        <f>HYPERLINK("https://klasma.github.io/Logging_0380/klagomål/A 3304-2025 FSC-klagomål.docx", "A 3304-2025")</f>
        <v/>
      </c>
      <c r="W186">
        <f>HYPERLINK("https://klasma.github.io/Logging_0380/klagomålsmail/A 3304-2025 FSC-klagomål mail.docx", "A 3304-2025")</f>
        <v/>
      </c>
      <c r="X186">
        <f>HYPERLINK("https://klasma.github.io/Logging_0380/tillsyn/A 3304-2025 tillsynsbegäran.docx", "A 3304-2025")</f>
        <v/>
      </c>
      <c r="Y186">
        <f>HYPERLINK("https://klasma.github.io/Logging_0380/tillsynsmail/A 3304-2025 tillsynsbegäran mail.docx", "A 3304-2025")</f>
        <v/>
      </c>
    </row>
    <row r="187" ht="15" customHeight="1">
      <c r="A187" t="inlineStr">
        <is>
          <t>A 17828-2019</t>
        </is>
      </c>
      <c r="B187" s="1" t="n">
        <v>43556</v>
      </c>
      <c r="C187" s="1" t="n">
        <v>45680</v>
      </c>
      <c r="D187" t="inlineStr">
        <is>
          <t>UPPSALA LÄN</t>
        </is>
      </c>
      <c r="E187" t="inlineStr">
        <is>
          <t>UPPSALA</t>
        </is>
      </c>
      <c r="G187" t="n">
        <v>2.8</v>
      </c>
      <c r="H187" t="n">
        <v>0</v>
      </c>
      <c r="I187" t="n">
        <v>0</v>
      </c>
      <c r="J187" t="n">
        <v>0</v>
      </c>
      <c r="K187" t="n">
        <v>0</v>
      </c>
      <c r="L187" t="n">
        <v>0</v>
      </c>
      <c r="M187" t="n">
        <v>0</v>
      </c>
      <c r="N187" t="n">
        <v>0</v>
      </c>
      <c r="O187" t="n">
        <v>0</v>
      </c>
      <c r="P187" t="n">
        <v>0</v>
      </c>
      <c r="Q187" t="n">
        <v>0</v>
      </c>
      <c r="R187" s="2" t="inlineStr"/>
    </row>
    <row r="188" ht="15" customHeight="1">
      <c r="A188" t="inlineStr">
        <is>
          <t>A 18446-2019</t>
        </is>
      </c>
      <c r="B188" s="1" t="n">
        <v>43559</v>
      </c>
      <c r="C188" s="1" t="n">
        <v>45680</v>
      </c>
      <c r="D188" t="inlineStr">
        <is>
          <t>UPPSALA LÄN</t>
        </is>
      </c>
      <c r="E188" t="inlineStr">
        <is>
          <t>UPPSALA</t>
        </is>
      </c>
      <c r="G188" t="n">
        <v>9.1</v>
      </c>
      <c r="H188" t="n">
        <v>0</v>
      </c>
      <c r="I188" t="n">
        <v>0</v>
      </c>
      <c r="J188" t="n">
        <v>0</v>
      </c>
      <c r="K188" t="n">
        <v>0</v>
      </c>
      <c r="L188" t="n">
        <v>0</v>
      </c>
      <c r="M188" t="n">
        <v>0</v>
      </c>
      <c r="N188" t="n">
        <v>0</v>
      </c>
      <c r="O188" t="n">
        <v>0</v>
      </c>
      <c r="P188" t="n">
        <v>0</v>
      </c>
      <c r="Q188" t="n">
        <v>0</v>
      </c>
      <c r="R188" s="2" t="inlineStr"/>
    </row>
    <row r="189" ht="15" customHeight="1">
      <c r="A189" t="inlineStr">
        <is>
          <t>A 18554-2019</t>
        </is>
      </c>
      <c r="B189" s="1" t="n">
        <v>43559</v>
      </c>
      <c r="C189" s="1" t="n">
        <v>45680</v>
      </c>
      <c r="D189" t="inlineStr">
        <is>
          <t>UPPSALA LÄN</t>
        </is>
      </c>
      <c r="E189" t="inlineStr">
        <is>
          <t>UPPSALA</t>
        </is>
      </c>
      <c r="G189" t="n">
        <v>5.6</v>
      </c>
      <c r="H189" t="n">
        <v>0</v>
      </c>
      <c r="I189" t="n">
        <v>0</v>
      </c>
      <c r="J189" t="n">
        <v>0</v>
      </c>
      <c r="K189" t="n">
        <v>0</v>
      </c>
      <c r="L189" t="n">
        <v>0</v>
      </c>
      <c r="M189" t="n">
        <v>0</v>
      </c>
      <c r="N189" t="n">
        <v>0</v>
      </c>
      <c r="O189" t="n">
        <v>0</v>
      </c>
      <c r="P189" t="n">
        <v>0</v>
      </c>
      <c r="Q189" t="n">
        <v>0</v>
      </c>
      <c r="R189" s="2" t="inlineStr"/>
    </row>
    <row r="190" ht="15" customHeight="1">
      <c r="A190" t="inlineStr">
        <is>
          <t>A 18810-2019</t>
        </is>
      </c>
      <c r="B190" s="1" t="n">
        <v>43560</v>
      </c>
      <c r="C190" s="1" t="n">
        <v>45680</v>
      </c>
      <c r="D190" t="inlineStr">
        <is>
          <t>UPPSALA LÄN</t>
        </is>
      </c>
      <c r="E190" t="inlineStr">
        <is>
          <t>UPPSALA</t>
        </is>
      </c>
      <c r="G190" t="n">
        <v>4</v>
      </c>
      <c r="H190" t="n">
        <v>0</v>
      </c>
      <c r="I190" t="n">
        <v>0</v>
      </c>
      <c r="J190" t="n">
        <v>0</v>
      </c>
      <c r="K190" t="n">
        <v>0</v>
      </c>
      <c r="L190" t="n">
        <v>0</v>
      </c>
      <c r="M190" t="n">
        <v>0</v>
      </c>
      <c r="N190" t="n">
        <v>0</v>
      </c>
      <c r="O190" t="n">
        <v>0</v>
      </c>
      <c r="P190" t="n">
        <v>0</v>
      </c>
      <c r="Q190" t="n">
        <v>0</v>
      </c>
      <c r="R190" s="2" t="inlineStr"/>
    </row>
    <row r="191" ht="15" customHeight="1">
      <c r="A191" t="inlineStr">
        <is>
          <t>A 20011-2019</t>
        </is>
      </c>
      <c r="B191" s="1" t="n">
        <v>43570</v>
      </c>
      <c r="C191" s="1" t="n">
        <v>45680</v>
      </c>
      <c r="D191" t="inlineStr">
        <is>
          <t>UPPSALA LÄN</t>
        </is>
      </c>
      <c r="E191" t="inlineStr">
        <is>
          <t>UPPSALA</t>
        </is>
      </c>
      <c r="G191" t="n">
        <v>6.3</v>
      </c>
      <c r="H191" t="n">
        <v>0</v>
      </c>
      <c r="I191" t="n">
        <v>0</v>
      </c>
      <c r="J191" t="n">
        <v>0</v>
      </c>
      <c r="K191" t="n">
        <v>0</v>
      </c>
      <c r="L191" t="n">
        <v>0</v>
      </c>
      <c r="M191" t="n">
        <v>0</v>
      </c>
      <c r="N191" t="n">
        <v>0</v>
      </c>
      <c r="O191" t="n">
        <v>0</v>
      </c>
      <c r="P191" t="n">
        <v>0</v>
      </c>
      <c r="Q191" t="n">
        <v>0</v>
      </c>
      <c r="R191" s="2" t="inlineStr"/>
    </row>
    <row r="192" ht="15" customHeight="1">
      <c r="A192" t="inlineStr">
        <is>
          <t>A 21087-2019</t>
        </is>
      </c>
      <c r="B192" s="1" t="n">
        <v>43578</v>
      </c>
      <c r="C192" s="1" t="n">
        <v>45680</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21082-2019</t>
        </is>
      </c>
      <c r="B193" s="1" t="n">
        <v>43578</v>
      </c>
      <c r="C193" s="1" t="n">
        <v>45680</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22153-2019</t>
        </is>
      </c>
      <c r="B194" s="1" t="n">
        <v>43585</v>
      </c>
      <c r="C194" s="1" t="n">
        <v>45680</v>
      </c>
      <c r="D194" t="inlineStr">
        <is>
          <t>UPPSALA LÄN</t>
        </is>
      </c>
      <c r="E194" t="inlineStr">
        <is>
          <t>UPPSALA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23042-2019</t>
        </is>
      </c>
      <c r="B195" s="1" t="n">
        <v>43591</v>
      </c>
      <c r="C195" s="1" t="n">
        <v>45680</v>
      </c>
      <c r="D195" t="inlineStr">
        <is>
          <t>UPPSALA LÄN</t>
        </is>
      </c>
      <c r="E195" t="inlineStr">
        <is>
          <t>UPPSALA</t>
        </is>
      </c>
      <c r="G195" t="n">
        <v>2.7</v>
      </c>
      <c r="H195" t="n">
        <v>0</v>
      </c>
      <c r="I195" t="n">
        <v>0</v>
      </c>
      <c r="J195" t="n">
        <v>0</v>
      </c>
      <c r="K195" t="n">
        <v>0</v>
      </c>
      <c r="L195" t="n">
        <v>0</v>
      </c>
      <c r="M195" t="n">
        <v>0</v>
      </c>
      <c r="N195" t="n">
        <v>0</v>
      </c>
      <c r="O195" t="n">
        <v>0</v>
      </c>
      <c r="P195" t="n">
        <v>0</v>
      </c>
      <c r="Q195" t="n">
        <v>0</v>
      </c>
      <c r="R195" s="2" t="inlineStr"/>
    </row>
    <row r="196" ht="15" customHeight="1">
      <c r="A196" t="inlineStr">
        <is>
          <t>A 23262-2019</t>
        </is>
      </c>
      <c r="B196" s="1" t="n">
        <v>43592</v>
      </c>
      <c r="C196" s="1" t="n">
        <v>45680</v>
      </c>
      <c r="D196" t="inlineStr">
        <is>
          <t>UPPSALA LÄN</t>
        </is>
      </c>
      <c r="E196" t="inlineStr">
        <is>
          <t>UPPSALA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24998-2019</t>
        </is>
      </c>
      <c r="B197" s="1" t="n">
        <v>43600</v>
      </c>
      <c r="C197" s="1" t="n">
        <v>45680</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25164-2019</t>
        </is>
      </c>
      <c r="B198" s="1" t="n">
        <v>43605</v>
      </c>
      <c r="C198" s="1" t="n">
        <v>45680</v>
      </c>
      <c r="D198" t="inlineStr">
        <is>
          <t>UPPSALA LÄN</t>
        </is>
      </c>
      <c r="E198" t="inlineStr">
        <is>
          <t>UPPSALA</t>
        </is>
      </c>
      <c r="G198" t="n">
        <v>1.6</v>
      </c>
      <c r="H198" t="n">
        <v>0</v>
      </c>
      <c r="I198" t="n">
        <v>0</v>
      </c>
      <c r="J198" t="n">
        <v>0</v>
      </c>
      <c r="K198" t="n">
        <v>0</v>
      </c>
      <c r="L198" t="n">
        <v>0</v>
      </c>
      <c r="M198" t="n">
        <v>0</v>
      </c>
      <c r="N198" t="n">
        <v>0</v>
      </c>
      <c r="O198" t="n">
        <v>0</v>
      </c>
      <c r="P198" t="n">
        <v>0</v>
      </c>
      <c r="Q198" t="n">
        <v>0</v>
      </c>
      <c r="R198" s="2" t="inlineStr"/>
    </row>
    <row r="199" ht="15" customHeight="1">
      <c r="A199" t="inlineStr">
        <is>
          <t>A 25157-2019</t>
        </is>
      </c>
      <c r="B199" s="1" t="n">
        <v>43605</v>
      </c>
      <c r="C199" s="1" t="n">
        <v>45680</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25667-2019</t>
        </is>
      </c>
      <c r="B200" s="1" t="n">
        <v>43607</v>
      </c>
      <c r="C200" s="1" t="n">
        <v>45680</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29105-2019</t>
        </is>
      </c>
      <c r="B201" s="1" t="n">
        <v>43628</v>
      </c>
      <c r="C201" s="1" t="n">
        <v>45680</v>
      </c>
      <c r="D201" t="inlineStr">
        <is>
          <t>UPPSALA LÄN</t>
        </is>
      </c>
      <c r="E201" t="inlineStr">
        <is>
          <t>UPPSALA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29183-2019</t>
        </is>
      </c>
      <c r="B202" s="1" t="n">
        <v>43628</v>
      </c>
      <c r="C202" s="1" t="n">
        <v>45680</v>
      </c>
      <c r="D202" t="inlineStr">
        <is>
          <t>UPPSALA LÄN</t>
        </is>
      </c>
      <c r="E202" t="inlineStr">
        <is>
          <t>UPPSALA</t>
        </is>
      </c>
      <c r="F202" t="inlineStr">
        <is>
          <t>Allmännings- och besparingsskogar</t>
        </is>
      </c>
      <c r="G202" t="n">
        <v>6.3</v>
      </c>
      <c r="H202" t="n">
        <v>0</v>
      </c>
      <c r="I202" t="n">
        <v>0</v>
      </c>
      <c r="J202" t="n">
        <v>0</v>
      </c>
      <c r="K202" t="n">
        <v>0</v>
      </c>
      <c r="L202" t="n">
        <v>0</v>
      </c>
      <c r="M202" t="n">
        <v>0</v>
      </c>
      <c r="N202" t="n">
        <v>0</v>
      </c>
      <c r="O202" t="n">
        <v>0</v>
      </c>
      <c r="P202" t="n">
        <v>0</v>
      </c>
      <c r="Q202" t="n">
        <v>0</v>
      </c>
      <c r="R202" s="2" t="inlineStr"/>
    </row>
    <row r="203" ht="15" customHeight="1">
      <c r="A203" t="inlineStr">
        <is>
          <t>A 29081-2019</t>
        </is>
      </c>
      <c r="B203" s="1" t="n">
        <v>43628</v>
      </c>
      <c r="C203" s="1" t="n">
        <v>45680</v>
      </c>
      <c r="D203" t="inlineStr">
        <is>
          <t>UPPSALA LÄN</t>
        </is>
      </c>
      <c r="E203" t="inlineStr">
        <is>
          <t>UPPSALA</t>
        </is>
      </c>
      <c r="G203" t="n">
        <v>8.4</v>
      </c>
      <c r="H203" t="n">
        <v>0</v>
      </c>
      <c r="I203" t="n">
        <v>0</v>
      </c>
      <c r="J203" t="n">
        <v>0</v>
      </c>
      <c r="K203" t="n">
        <v>0</v>
      </c>
      <c r="L203" t="n">
        <v>0</v>
      </c>
      <c r="M203" t="n">
        <v>0</v>
      </c>
      <c r="N203" t="n">
        <v>0</v>
      </c>
      <c r="O203" t="n">
        <v>0</v>
      </c>
      <c r="P203" t="n">
        <v>0</v>
      </c>
      <c r="Q203" t="n">
        <v>0</v>
      </c>
      <c r="R203" s="2" t="inlineStr"/>
    </row>
    <row r="204" ht="15" customHeight="1">
      <c r="A204" t="inlineStr">
        <is>
          <t>A 29719-2019</t>
        </is>
      </c>
      <c r="B204" s="1" t="n">
        <v>43630</v>
      </c>
      <c r="C204" s="1" t="n">
        <v>45680</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29713-2019</t>
        </is>
      </c>
      <c r="B205" s="1" t="n">
        <v>43630</v>
      </c>
      <c r="C205" s="1" t="n">
        <v>45680</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32558-2019</t>
        </is>
      </c>
      <c r="B206" s="1" t="n">
        <v>43647</v>
      </c>
      <c r="C206" s="1" t="n">
        <v>45680</v>
      </c>
      <c r="D206" t="inlineStr">
        <is>
          <t>UPPSALA LÄN</t>
        </is>
      </c>
      <c r="E206" t="inlineStr">
        <is>
          <t>UPPSALA</t>
        </is>
      </c>
      <c r="G206" t="n">
        <v>4.2</v>
      </c>
      <c r="H206" t="n">
        <v>0</v>
      </c>
      <c r="I206" t="n">
        <v>0</v>
      </c>
      <c r="J206" t="n">
        <v>0</v>
      </c>
      <c r="K206" t="n">
        <v>0</v>
      </c>
      <c r="L206" t="n">
        <v>0</v>
      </c>
      <c r="M206" t="n">
        <v>0</v>
      </c>
      <c r="N206" t="n">
        <v>0</v>
      </c>
      <c r="O206" t="n">
        <v>0</v>
      </c>
      <c r="P206" t="n">
        <v>0</v>
      </c>
      <c r="Q206" t="n">
        <v>0</v>
      </c>
      <c r="R206" s="2" t="inlineStr"/>
    </row>
    <row r="207" ht="15" customHeight="1">
      <c r="A207" t="inlineStr">
        <is>
          <t>A 34560-2019</t>
        </is>
      </c>
      <c r="B207" s="1" t="n">
        <v>43647</v>
      </c>
      <c r="C207" s="1" t="n">
        <v>45680</v>
      </c>
      <c r="D207" t="inlineStr">
        <is>
          <t>UPPSALA LÄN</t>
        </is>
      </c>
      <c r="E207" t="inlineStr">
        <is>
          <t>UPPSALA</t>
        </is>
      </c>
      <c r="G207" t="n">
        <v>8.6</v>
      </c>
      <c r="H207" t="n">
        <v>0</v>
      </c>
      <c r="I207" t="n">
        <v>0</v>
      </c>
      <c r="J207" t="n">
        <v>0</v>
      </c>
      <c r="K207" t="n">
        <v>0</v>
      </c>
      <c r="L207" t="n">
        <v>0</v>
      </c>
      <c r="M207" t="n">
        <v>0</v>
      </c>
      <c r="N207" t="n">
        <v>0</v>
      </c>
      <c r="O207" t="n">
        <v>0</v>
      </c>
      <c r="P207" t="n">
        <v>0</v>
      </c>
      <c r="Q207" t="n">
        <v>0</v>
      </c>
      <c r="R207" s="2" t="inlineStr"/>
    </row>
    <row r="208" ht="15" customHeight="1">
      <c r="A208" t="inlineStr">
        <is>
          <t>A 32830-2019</t>
        </is>
      </c>
      <c r="B208" s="1" t="n">
        <v>43648</v>
      </c>
      <c r="C208" s="1" t="n">
        <v>45680</v>
      </c>
      <c r="D208" t="inlineStr">
        <is>
          <t>UPPSALA LÄN</t>
        </is>
      </c>
      <c r="E208" t="inlineStr">
        <is>
          <t>UPPSALA</t>
        </is>
      </c>
      <c r="G208" t="n">
        <v>13.6</v>
      </c>
      <c r="H208" t="n">
        <v>0</v>
      </c>
      <c r="I208" t="n">
        <v>0</v>
      </c>
      <c r="J208" t="n">
        <v>0</v>
      </c>
      <c r="K208" t="n">
        <v>0</v>
      </c>
      <c r="L208" t="n">
        <v>0</v>
      </c>
      <c r="M208" t="n">
        <v>0</v>
      </c>
      <c r="N208" t="n">
        <v>0</v>
      </c>
      <c r="O208" t="n">
        <v>0</v>
      </c>
      <c r="P208" t="n">
        <v>0</v>
      </c>
      <c r="Q208" t="n">
        <v>0</v>
      </c>
      <c r="R208" s="2" t="inlineStr"/>
    </row>
    <row r="209" ht="15" customHeight="1">
      <c r="A209" t="inlineStr">
        <is>
          <t>A 33602-2019</t>
        </is>
      </c>
      <c r="B209" s="1" t="n">
        <v>43651</v>
      </c>
      <c r="C209" s="1" t="n">
        <v>45680</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33614-2019</t>
        </is>
      </c>
      <c r="B210" s="1" t="n">
        <v>43651</v>
      </c>
      <c r="C210" s="1" t="n">
        <v>45680</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33615-2019</t>
        </is>
      </c>
      <c r="B211" s="1" t="n">
        <v>43651</v>
      </c>
      <c r="C211" s="1" t="n">
        <v>45680</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33596-2019</t>
        </is>
      </c>
      <c r="B212" s="1" t="n">
        <v>43651</v>
      </c>
      <c r="C212" s="1" t="n">
        <v>45680</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34007-2019</t>
        </is>
      </c>
      <c r="B213" s="1" t="n">
        <v>43654</v>
      </c>
      <c r="C213" s="1" t="n">
        <v>45680</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34063-2019</t>
        </is>
      </c>
      <c r="B214" s="1" t="n">
        <v>43654</v>
      </c>
      <c r="C214" s="1" t="n">
        <v>45680</v>
      </c>
      <c r="D214" t="inlineStr">
        <is>
          <t>UPPSALA LÄN</t>
        </is>
      </c>
      <c r="E214" t="inlineStr">
        <is>
          <t>UPPSALA</t>
        </is>
      </c>
      <c r="G214" t="n">
        <v>1.5</v>
      </c>
      <c r="H214" t="n">
        <v>0</v>
      </c>
      <c r="I214" t="n">
        <v>0</v>
      </c>
      <c r="J214" t="n">
        <v>0</v>
      </c>
      <c r="K214" t="n">
        <v>0</v>
      </c>
      <c r="L214" t="n">
        <v>0</v>
      </c>
      <c r="M214" t="n">
        <v>0</v>
      </c>
      <c r="N214" t="n">
        <v>0</v>
      </c>
      <c r="O214" t="n">
        <v>0</v>
      </c>
      <c r="P214" t="n">
        <v>0</v>
      </c>
      <c r="Q214" t="n">
        <v>0</v>
      </c>
      <c r="R214" s="2" t="inlineStr"/>
    </row>
    <row r="215" ht="15" customHeight="1">
      <c r="A215" t="inlineStr">
        <is>
          <t>A 34331-2019</t>
        </is>
      </c>
      <c r="B215" s="1" t="n">
        <v>43656</v>
      </c>
      <c r="C215" s="1" t="n">
        <v>45680</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36345-2019</t>
        </is>
      </c>
      <c r="B216" s="1" t="n">
        <v>43661</v>
      </c>
      <c r="C216" s="1" t="n">
        <v>45680</v>
      </c>
      <c r="D216" t="inlineStr">
        <is>
          <t>UPPSALA LÄN</t>
        </is>
      </c>
      <c r="E216" t="inlineStr">
        <is>
          <t>UPPSALA</t>
        </is>
      </c>
      <c r="G216" t="n">
        <v>5.3</v>
      </c>
      <c r="H216" t="n">
        <v>0</v>
      </c>
      <c r="I216" t="n">
        <v>0</v>
      </c>
      <c r="J216" t="n">
        <v>0</v>
      </c>
      <c r="K216" t="n">
        <v>0</v>
      </c>
      <c r="L216" t="n">
        <v>0</v>
      </c>
      <c r="M216" t="n">
        <v>0</v>
      </c>
      <c r="N216" t="n">
        <v>0</v>
      </c>
      <c r="O216" t="n">
        <v>0</v>
      </c>
      <c r="P216" t="n">
        <v>0</v>
      </c>
      <c r="Q216" t="n">
        <v>0</v>
      </c>
      <c r="R216" s="2" t="inlineStr"/>
    </row>
    <row r="217" ht="15" customHeight="1">
      <c r="A217" t="inlineStr">
        <is>
          <t>A 36394-2019</t>
        </is>
      </c>
      <c r="B217" s="1" t="n">
        <v>43663</v>
      </c>
      <c r="C217" s="1" t="n">
        <v>45680</v>
      </c>
      <c r="D217" t="inlineStr">
        <is>
          <t>UPPSALA LÄN</t>
        </is>
      </c>
      <c r="E217" t="inlineStr">
        <is>
          <t>UPPSALA</t>
        </is>
      </c>
      <c r="G217" t="n">
        <v>2.4</v>
      </c>
      <c r="H217" t="n">
        <v>0</v>
      </c>
      <c r="I217" t="n">
        <v>0</v>
      </c>
      <c r="J217" t="n">
        <v>0</v>
      </c>
      <c r="K217" t="n">
        <v>0</v>
      </c>
      <c r="L217" t="n">
        <v>0</v>
      </c>
      <c r="M217" t="n">
        <v>0</v>
      </c>
      <c r="N217" t="n">
        <v>0</v>
      </c>
      <c r="O217" t="n">
        <v>0</v>
      </c>
      <c r="P217" t="n">
        <v>0</v>
      </c>
      <c r="Q217" t="n">
        <v>0</v>
      </c>
      <c r="R217" s="2" t="inlineStr"/>
    </row>
    <row r="218" ht="15" customHeight="1">
      <c r="A218" t="inlineStr">
        <is>
          <t>A 37234-2019</t>
        </is>
      </c>
      <c r="B218" s="1" t="n">
        <v>43677</v>
      </c>
      <c r="C218" s="1" t="n">
        <v>45680</v>
      </c>
      <c r="D218" t="inlineStr">
        <is>
          <t>UPPSALA LÄN</t>
        </is>
      </c>
      <c r="E218" t="inlineStr">
        <is>
          <t>UPPSALA</t>
        </is>
      </c>
      <c r="G218" t="n">
        <v>3.2</v>
      </c>
      <c r="H218" t="n">
        <v>0</v>
      </c>
      <c r="I218" t="n">
        <v>0</v>
      </c>
      <c r="J218" t="n">
        <v>0</v>
      </c>
      <c r="K218" t="n">
        <v>0</v>
      </c>
      <c r="L218" t="n">
        <v>0</v>
      </c>
      <c r="M218" t="n">
        <v>0</v>
      </c>
      <c r="N218" t="n">
        <v>0</v>
      </c>
      <c r="O218" t="n">
        <v>0</v>
      </c>
      <c r="P218" t="n">
        <v>0</v>
      </c>
      <c r="Q218" t="n">
        <v>0</v>
      </c>
      <c r="R218" s="2" t="inlineStr"/>
    </row>
    <row r="219" ht="15" customHeight="1">
      <c r="A219" t="inlineStr">
        <is>
          <t>A 37711-2019</t>
        </is>
      </c>
      <c r="B219" s="1" t="n">
        <v>43682</v>
      </c>
      <c r="C219" s="1" t="n">
        <v>45680</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38684-2019</t>
        </is>
      </c>
      <c r="B220" s="1" t="n">
        <v>43686</v>
      </c>
      <c r="C220" s="1" t="n">
        <v>45680</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40151-2019</t>
        </is>
      </c>
      <c r="B221" s="1" t="n">
        <v>43693</v>
      </c>
      <c r="C221" s="1" t="n">
        <v>45680</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41609-2019</t>
        </is>
      </c>
      <c r="B222" s="1" t="n">
        <v>43696</v>
      </c>
      <c r="C222" s="1" t="n">
        <v>45680</v>
      </c>
      <c r="D222" t="inlineStr">
        <is>
          <t>UPPSALA LÄN</t>
        </is>
      </c>
      <c r="E222" t="inlineStr">
        <is>
          <t>UPPSALA</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41653-2019</t>
        </is>
      </c>
      <c r="B223" s="1" t="n">
        <v>43696</v>
      </c>
      <c r="C223" s="1" t="n">
        <v>45680</v>
      </c>
      <c r="D223" t="inlineStr">
        <is>
          <t>UPPSALA LÄN</t>
        </is>
      </c>
      <c r="E223" t="inlineStr">
        <is>
          <t>UPPSALA</t>
        </is>
      </c>
      <c r="G223" t="n">
        <v>5.2</v>
      </c>
      <c r="H223" t="n">
        <v>0</v>
      </c>
      <c r="I223" t="n">
        <v>0</v>
      </c>
      <c r="J223" t="n">
        <v>0</v>
      </c>
      <c r="K223" t="n">
        <v>0</v>
      </c>
      <c r="L223" t="n">
        <v>0</v>
      </c>
      <c r="M223" t="n">
        <v>0</v>
      </c>
      <c r="N223" t="n">
        <v>0</v>
      </c>
      <c r="O223" t="n">
        <v>0</v>
      </c>
      <c r="P223" t="n">
        <v>0</v>
      </c>
      <c r="Q223" t="n">
        <v>0</v>
      </c>
      <c r="R223" s="2" t="inlineStr"/>
    </row>
    <row r="224" ht="15" customHeight="1">
      <c r="A224" t="inlineStr">
        <is>
          <t>A 41524-2019</t>
        </is>
      </c>
      <c r="B224" s="1" t="n">
        <v>43699</v>
      </c>
      <c r="C224" s="1" t="n">
        <v>45680</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41535-2019</t>
        </is>
      </c>
      <c r="B225" s="1" t="n">
        <v>43699</v>
      </c>
      <c r="C225" s="1" t="n">
        <v>45680</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41695-2019</t>
        </is>
      </c>
      <c r="B226" s="1" t="n">
        <v>43699</v>
      </c>
      <c r="C226" s="1" t="n">
        <v>45680</v>
      </c>
      <c r="D226" t="inlineStr">
        <is>
          <t>UPPSALA LÄN</t>
        </is>
      </c>
      <c r="E226" t="inlineStr">
        <is>
          <t>UPPSALA</t>
        </is>
      </c>
      <c r="G226" t="n">
        <v>3.1</v>
      </c>
      <c r="H226" t="n">
        <v>0</v>
      </c>
      <c r="I226" t="n">
        <v>0</v>
      </c>
      <c r="J226" t="n">
        <v>0</v>
      </c>
      <c r="K226" t="n">
        <v>0</v>
      </c>
      <c r="L226" t="n">
        <v>0</v>
      </c>
      <c r="M226" t="n">
        <v>0</v>
      </c>
      <c r="N226" t="n">
        <v>0</v>
      </c>
      <c r="O226" t="n">
        <v>0</v>
      </c>
      <c r="P226" t="n">
        <v>0</v>
      </c>
      <c r="Q226" t="n">
        <v>0</v>
      </c>
      <c r="R226" s="2" t="inlineStr"/>
    </row>
    <row r="227" ht="15" customHeight="1">
      <c r="A227" t="inlineStr">
        <is>
          <t>A 42111-2019</t>
        </is>
      </c>
      <c r="B227" s="1" t="n">
        <v>43703</v>
      </c>
      <c r="C227" s="1" t="n">
        <v>45680</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42986-2019</t>
        </is>
      </c>
      <c r="B228" s="1" t="n">
        <v>43705</v>
      </c>
      <c r="C228" s="1" t="n">
        <v>45680</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43222-2019</t>
        </is>
      </c>
      <c r="B229" s="1" t="n">
        <v>43706</v>
      </c>
      <c r="C229" s="1" t="n">
        <v>45680</v>
      </c>
      <c r="D229" t="inlineStr">
        <is>
          <t>UPPSALA LÄN</t>
        </is>
      </c>
      <c r="E229" t="inlineStr">
        <is>
          <t>UPPSALA</t>
        </is>
      </c>
      <c r="F229" t="inlineStr">
        <is>
          <t>Bergvik skog öst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43410-2019</t>
        </is>
      </c>
      <c r="B230" s="1" t="n">
        <v>43706</v>
      </c>
      <c r="C230" s="1" t="n">
        <v>45680</v>
      </c>
      <c r="D230" t="inlineStr">
        <is>
          <t>UPPSALA LÄN</t>
        </is>
      </c>
      <c r="E230" t="inlineStr">
        <is>
          <t>UPPSALA</t>
        </is>
      </c>
      <c r="F230" t="inlineStr">
        <is>
          <t>Övriga statliga verk och myndigheter</t>
        </is>
      </c>
      <c r="G230" t="n">
        <v>8.6</v>
      </c>
      <c r="H230" t="n">
        <v>0</v>
      </c>
      <c r="I230" t="n">
        <v>0</v>
      </c>
      <c r="J230" t="n">
        <v>0</v>
      </c>
      <c r="K230" t="n">
        <v>0</v>
      </c>
      <c r="L230" t="n">
        <v>0</v>
      </c>
      <c r="M230" t="n">
        <v>0</v>
      </c>
      <c r="N230" t="n">
        <v>0</v>
      </c>
      <c r="O230" t="n">
        <v>0</v>
      </c>
      <c r="P230" t="n">
        <v>0</v>
      </c>
      <c r="Q230" t="n">
        <v>0</v>
      </c>
      <c r="R230" s="2" t="inlineStr"/>
    </row>
    <row r="231" ht="15" customHeight="1">
      <c r="A231" t="inlineStr">
        <is>
          <t>A 43715-2019</t>
        </is>
      </c>
      <c r="B231" s="1" t="n">
        <v>43706</v>
      </c>
      <c r="C231" s="1" t="n">
        <v>45680</v>
      </c>
      <c r="D231" t="inlineStr">
        <is>
          <t>UPPSALA LÄN</t>
        </is>
      </c>
      <c r="E231" t="inlineStr">
        <is>
          <t>UPPSALA</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43224-2019</t>
        </is>
      </c>
      <c r="B232" s="1" t="n">
        <v>43706</v>
      </c>
      <c r="C232" s="1" t="n">
        <v>45680</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43435-2019</t>
        </is>
      </c>
      <c r="B233" s="1" t="n">
        <v>43706</v>
      </c>
      <c r="C233" s="1" t="n">
        <v>45680</v>
      </c>
      <c r="D233" t="inlineStr">
        <is>
          <t>UPPSALA LÄN</t>
        </is>
      </c>
      <c r="E233" t="inlineStr">
        <is>
          <t>UPPSALA</t>
        </is>
      </c>
      <c r="G233" t="n">
        <v>5.4</v>
      </c>
      <c r="H233" t="n">
        <v>0</v>
      </c>
      <c r="I233" t="n">
        <v>0</v>
      </c>
      <c r="J233" t="n">
        <v>0</v>
      </c>
      <c r="K233" t="n">
        <v>0</v>
      </c>
      <c r="L233" t="n">
        <v>0</v>
      </c>
      <c r="M233" t="n">
        <v>0</v>
      </c>
      <c r="N233" t="n">
        <v>0</v>
      </c>
      <c r="O233" t="n">
        <v>0</v>
      </c>
      <c r="P233" t="n">
        <v>0</v>
      </c>
      <c r="Q233" t="n">
        <v>0</v>
      </c>
      <c r="R233" s="2" t="inlineStr"/>
    </row>
    <row r="234" ht="15" customHeight="1">
      <c r="A234" t="inlineStr">
        <is>
          <t>A 43722-2019</t>
        </is>
      </c>
      <c r="B234" s="1" t="n">
        <v>43706</v>
      </c>
      <c r="C234" s="1" t="n">
        <v>45680</v>
      </c>
      <c r="D234" t="inlineStr">
        <is>
          <t>UPPSALA LÄN</t>
        </is>
      </c>
      <c r="E234" t="inlineStr">
        <is>
          <t>UPPSALA</t>
        </is>
      </c>
      <c r="F234" t="inlineStr">
        <is>
          <t>Övriga statliga verk och myndigheter</t>
        </is>
      </c>
      <c r="G234" t="n">
        <v>0.6</v>
      </c>
      <c r="H234" t="n">
        <v>0</v>
      </c>
      <c r="I234" t="n">
        <v>0</v>
      </c>
      <c r="J234" t="n">
        <v>0</v>
      </c>
      <c r="K234" t="n">
        <v>0</v>
      </c>
      <c r="L234" t="n">
        <v>0</v>
      </c>
      <c r="M234" t="n">
        <v>0</v>
      </c>
      <c r="N234" t="n">
        <v>0</v>
      </c>
      <c r="O234" t="n">
        <v>0</v>
      </c>
      <c r="P234" t="n">
        <v>0</v>
      </c>
      <c r="Q234" t="n">
        <v>0</v>
      </c>
      <c r="R234" s="2" t="inlineStr"/>
    </row>
    <row r="235" ht="15" customHeight="1">
      <c r="A235" t="inlineStr">
        <is>
          <t>A 43704-2019</t>
        </is>
      </c>
      <c r="B235" s="1" t="n">
        <v>43707</v>
      </c>
      <c r="C235" s="1" t="n">
        <v>45680</v>
      </c>
      <c r="D235" t="inlineStr">
        <is>
          <t>UPPSALA LÄN</t>
        </is>
      </c>
      <c r="E235" t="inlineStr">
        <is>
          <t>UPPSALA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43725-2019</t>
        </is>
      </c>
      <c r="B236" s="1" t="n">
        <v>43707</v>
      </c>
      <c r="C236" s="1" t="n">
        <v>45680</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44109-2019</t>
        </is>
      </c>
      <c r="B237" s="1" t="n">
        <v>43707</v>
      </c>
      <c r="C237" s="1" t="n">
        <v>45680</v>
      </c>
      <c r="D237" t="inlineStr">
        <is>
          <t>UPPSALA LÄN</t>
        </is>
      </c>
      <c r="E237" t="inlineStr">
        <is>
          <t>UPPSALA</t>
        </is>
      </c>
      <c r="F237" t="inlineStr">
        <is>
          <t>Allmännings- och besparingsskogar</t>
        </is>
      </c>
      <c r="G237" t="n">
        <v>81.3</v>
      </c>
      <c r="H237" t="n">
        <v>0</v>
      </c>
      <c r="I237" t="n">
        <v>0</v>
      </c>
      <c r="J237" t="n">
        <v>0</v>
      </c>
      <c r="K237" t="n">
        <v>0</v>
      </c>
      <c r="L237" t="n">
        <v>0</v>
      </c>
      <c r="M237" t="n">
        <v>0</v>
      </c>
      <c r="N237" t="n">
        <v>0</v>
      </c>
      <c r="O237" t="n">
        <v>0</v>
      </c>
      <c r="P237" t="n">
        <v>0</v>
      </c>
      <c r="Q237" t="n">
        <v>0</v>
      </c>
      <c r="R237" s="2" t="inlineStr"/>
    </row>
    <row r="238" ht="15" customHeight="1">
      <c r="A238" t="inlineStr">
        <is>
          <t>A 43713-2019</t>
        </is>
      </c>
      <c r="B238" s="1" t="n">
        <v>43707</v>
      </c>
      <c r="C238" s="1" t="n">
        <v>45680</v>
      </c>
      <c r="D238" t="inlineStr">
        <is>
          <t>UPPSALA LÄN</t>
        </is>
      </c>
      <c r="E238" t="inlineStr">
        <is>
          <t>UPPSALA</t>
        </is>
      </c>
      <c r="F238" t="inlineStr">
        <is>
          <t>Bergvik skog öst AB</t>
        </is>
      </c>
      <c r="G238" t="n">
        <v>7.9</v>
      </c>
      <c r="H238" t="n">
        <v>0</v>
      </c>
      <c r="I238" t="n">
        <v>0</v>
      </c>
      <c r="J238" t="n">
        <v>0</v>
      </c>
      <c r="K238" t="n">
        <v>0</v>
      </c>
      <c r="L238" t="n">
        <v>0</v>
      </c>
      <c r="M238" t="n">
        <v>0</v>
      </c>
      <c r="N238" t="n">
        <v>0</v>
      </c>
      <c r="O238" t="n">
        <v>0</v>
      </c>
      <c r="P238" t="n">
        <v>0</v>
      </c>
      <c r="Q238" t="n">
        <v>0</v>
      </c>
      <c r="R238" s="2" t="inlineStr"/>
    </row>
    <row r="239" ht="15" customHeight="1">
      <c r="A239" t="inlineStr">
        <is>
          <t>A 43853-2019</t>
        </is>
      </c>
      <c r="B239" s="1" t="n">
        <v>43707</v>
      </c>
      <c r="C239" s="1" t="n">
        <v>45680</v>
      </c>
      <c r="D239" t="inlineStr">
        <is>
          <t>UPPSALA LÄN</t>
        </is>
      </c>
      <c r="E239" t="inlineStr">
        <is>
          <t>UPPSALA</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44141-2019</t>
        </is>
      </c>
      <c r="B240" s="1" t="n">
        <v>43710</v>
      </c>
      <c r="C240" s="1" t="n">
        <v>45680</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44701-2019</t>
        </is>
      </c>
      <c r="B241" s="1" t="n">
        <v>43712</v>
      </c>
      <c r="C241" s="1" t="n">
        <v>45680</v>
      </c>
      <c r="D241" t="inlineStr">
        <is>
          <t>UPPSALA LÄN</t>
        </is>
      </c>
      <c r="E241" t="inlineStr">
        <is>
          <t>UPPSALA</t>
        </is>
      </c>
      <c r="G241" t="n">
        <v>3.4</v>
      </c>
      <c r="H241" t="n">
        <v>0</v>
      </c>
      <c r="I241" t="n">
        <v>0</v>
      </c>
      <c r="J241" t="n">
        <v>0</v>
      </c>
      <c r="K241" t="n">
        <v>0</v>
      </c>
      <c r="L241" t="n">
        <v>0</v>
      </c>
      <c r="M241" t="n">
        <v>0</v>
      </c>
      <c r="N241" t="n">
        <v>0</v>
      </c>
      <c r="O241" t="n">
        <v>0</v>
      </c>
      <c r="P241" t="n">
        <v>0</v>
      </c>
      <c r="Q241" t="n">
        <v>0</v>
      </c>
      <c r="R241" s="2" t="inlineStr"/>
    </row>
    <row r="242" ht="15" customHeight="1">
      <c r="A242" t="inlineStr">
        <is>
          <t>A 44687-2019</t>
        </is>
      </c>
      <c r="B242" s="1" t="n">
        <v>43712</v>
      </c>
      <c r="C242" s="1" t="n">
        <v>45680</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45010-2019</t>
        </is>
      </c>
      <c r="B243" s="1" t="n">
        <v>43713</v>
      </c>
      <c r="C243" s="1" t="n">
        <v>45680</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45574-2019</t>
        </is>
      </c>
      <c r="B244" s="1" t="n">
        <v>43716</v>
      </c>
      <c r="C244" s="1" t="n">
        <v>45680</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46311-2019</t>
        </is>
      </c>
      <c r="B245" s="1" t="n">
        <v>43718</v>
      </c>
      <c r="C245" s="1" t="n">
        <v>45680</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46307-2019</t>
        </is>
      </c>
      <c r="B246" s="1" t="n">
        <v>43718</v>
      </c>
      <c r="C246" s="1" t="n">
        <v>45680</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46151-2019</t>
        </is>
      </c>
      <c r="B247" s="1" t="n">
        <v>43718</v>
      </c>
      <c r="C247" s="1" t="n">
        <v>45680</v>
      </c>
      <c r="D247" t="inlineStr">
        <is>
          <t>UPPSALA LÄN</t>
        </is>
      </c>
      <c r="E247" t="inlineStr">
        <is>
          <t>UPPSALA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46157-2019</t>
        </is>
      </c>
      <c r="B248" s="1" t="n">
        <v>43718</v>
      </c>
      <c r="C248" s="1" t="n">
        <v>45680</v>
      </c>
      <c r="D248" t="inlineStr">
        <is>
          <t>UPPSALA LÄN</t>
        </is>
      </c>
      <c r="E248" t="inlineStr">
        <is>
          <t>UPPSALA</t>
        </is>
      </c>
      <c r="F248" t="inlineStr">
        <is>
          <t>Övriga Aktiebolag</t>
        </is>
      </c>
      <c r="G248" t="n">
        <v>4.5</v>
      </c>
      <c r="H248" t="n">
        <v>0</v>
      </c>
      <c r="I248" t="n">
        <v>0</v>
      </c>
      <c r="J248" t="n">
        <v>0</v>
      </c>
      <c r="K248" t="n">
        <v>0</v>
      </c>
      <c r="L248" t="n">
        <v>0</v>
      </c>
      <c r="M248" t="n">
        <v>0</v>
      </c>
      <c r="N248" t="n">
        <v>0</v>
      </c>
      <c r="O248" t="n">
        <v>0</v>
      </c>
      <c r="P248" t="n">
        <v>0</v>
      </c>
      <c r="Q248" t="n">
        <v>0</v>
      </c>
      <c r="R248" s="2" t="inlineStr"/>
    </row>
    <row r="249" ht="15" customHeight="1">
      <c r="A249" t="inlineStr">
        <is>
          <t>A 46310-2019</t>
        </is>
      </c>
      <c r="B249" s="1" t="n">
        <v>43718</v>
      </c>
      <c r="C249" s="1" t="n">
        <v>45680</v>
      </c>
      <c r="D249" t="inlineStr">
        <is>
          <t>UPPSALA LÄN</t>
        </is>
      </c>
      <c r="E249" t="inlineStr">
        <is>
          <t>UPPSALA</t>
        </is>
      </c>
      <c r="G249" t="n">
        <v>7</v>
      </c>
      <c r="H249" t="n">
        <v>0</v>
      </c>
      <c r="I249" t="n">
        <v>0</v>
      </c>
      <c r="J249" t="n">
        <v>0</v>
      </c>
      <c r="K249" t="n">
        <v>0</v>
      </c>
      <c r="L249" t="n">
        <v>0</v>
      </c>
      <c r="M249" t="n">
        <v>0</v>
      </c>
      <c r="N249" t="n">
        <v>0</v>
      </c>
      <c r="O249" t="n">
        <v>0</v>
      </c>
      <c r="P249" t="n">
        <v>0</v>
      </c>
      <c r="Q249" t="n">
        <v>0</v>
      </c>
      <c r="R249" s="2" t="inlineStr"/>
    </row>
    <row r="250" ht="15" customHeight="1">
      <c r="A250" t="inlineStr">
        <is>
          <t>A 46147-2019</t>
        </is>
      </c>
      <c r="B250" s="1" t="n">
        <v>43718</v>
      </c>
      <c r="C250" s="1" t="n">
        <v>45680</v>
      </c>
      <c r="D250" t="inlineStr">
        <is>
          <t>UPPSALA LÄN</t>
        </is>
      </c>
      <c r="E250" t="inlineStr">
        <is>
          <t>UPPSALA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46877-2019</t>
        </is>
      </c>
      <c r="B251" s="1" t="n">
        <v>43720</v>
      </c>
      <c r="C251" s="1" t="n">
        <v>45680</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46896-2019</t>
        </is>
      </c>
      <c r="B252" s="1" t="n">
        <v>43720</v>
      </c>
      <c r="C252" s="1" t="n">
        <v>45680</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48485-2019</t>
        </is>
      </c>
      <c r="B253" s="1" t="n">
        <v>43727</v>
      </c>
      <c r="C253" s="1" t="n">
        <v>45680</v>
      </c>
      <c r="D253" t="inlineStr">
        <is>
          <t>UPPSALA LÄN</t>
        </is>
      </c>
      <c r="E253" t="inlineStr">
        <is>
          <t>UPPSALA</t>
        </is>
      </c>
      <c r="G253" t="n">
        <v>3</v>
      </c>
      <c r="H253" t="n">
        <v>0</v>
      </c>
      <c r="I253" t="n">
        <v>0</v>
      </c>
      <c r="J253" t="n">
        <v>0</v>
      </c>
      <c r="K253" t="n">
        <v>0</v>
      </c>
      <c r="L253" t="n">
        <v>0</v>
      </c>
      <c r="M253" t="n">
        <v>0</v>
      </c>
      <c r="N253" t="n">
        <v>0</v>
      </c>
      <c r="O253" t="n">
        <v>0</v>
      </c>
      <c r="P253" t="n">
        <v>0</v>
      </c>
      <c r="Q253" t="n">
        <v>0</v>
      </c>
      <c r="R253" s="2" t="inlineStr"/>
    </row>
    <row r="254" ht="15" customHeight="1">
      <c r="A254" t="inlineStr">
        <is>
          <t>A 49567-2019</t>
        </is>
      </c>
      <c r="B254" s="1" t="n">
        <v>43730</v>
      </c>
      <c r="C254" s="1" t="n">
        <v>45680</v>
      </c>
      <c r="D254" t="inlineStr">
        <is>
          <t>UPPSALA LÄN</t>
        </is>
      </c>
      <c r="E254" t="inlineStr">
        <is>
          <t>UPPSALA</t>
        </is>
      </c>
      <c r="G254" t="n">
        <v>6</v>
      </c>
      <c r="H254" t="n">
        <v>0</v>
      </c>
      <c r="I254" t="n">
        <v>0</v>
      </c>
      <c r="J254" t="n">
        <v>0</v>
      </c>
      <c r="K254" t="n">
        <v>0</v>
      </c>
      <c r="L254" t="n">
        <v>0</v>
      </c>
      <c r="M254" t="n">
        <v>0</v>
      </c>
      <c r="N254" t="n">
        <v>0</v>
      </c>
      <c r="O254" t="n">
        <v>0</v>
      </c>
      <c r="P254" t="n">
        <v>0</v>
      </c>
      <c r="Q254" t="n">
        <v>0</v>
      </c>
      <c r="R254" s="2" t="inlineStr"/>
    </row>
    <row r="255" ht="15" customHeight="1">
      <c r="A255" t="inlineStr">
        <is>
          <t>A 50180-2019</t>
        </is>
      </c>
      <c r="B255" s="1" t="n">
        <v>43733</v>
      </c>
      <c r="C255" s="1" t="n">
        <v>45680</v>
      </c>
      <c r="D255" t="inlineStr">
        <is>
          <t>UPPSALA LÄN</t>
        </is>
      </c>
      <c r="E255" t="inlineStr">
        <is>
          <t>UPPSALA</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50387-2019</t>
        </is>
      </c>
      <c r="B256" s="1" t="n">
        <v>43735</v>
      </c>
      <c r="C256" s="1" t="n">
        <v>45680</v>
      </c>
      <c r="D256" t="inlineStr">
        <is>
          <t>UPPSALA LÄN</t>
        </is>
      </c>
      <c r="E256" t="inlineStr">
        <is>
          <t>UPPSALA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50415-2019</t>
        </is>
      </c>
      <c r="B257" s="1" t="n">
        <v>43735</v>
      </c>
      <c r="C257" s="1" t="n">
        <v>45680</v>
      </c>
      <c r="D257" t="inlineStr">
        <is>
          <t>UPPSALA LÄN</t>
        </is>
      </c>
      <c r="E257" t="inlineStr">
        <is>
          <t>UPPSALA</t>
        </is>
      </c>
      <c r="F257" t="inlineStr">
        <is>
          <t>Kyrkan</t>
        </is>
      </c>
      <c r="G257" t="n">
        <v>13.6</v>
      </c>
      <c r="H257" t="n">
        <v>0</v>
      </c>
      <c r="I257" t="n">
        <v>0</v>
      </c>
      <c r="J257" t="n">
        <v>0</v>
      </c>
      <c r="K257" t="n">
        <v>0</v>
      </c>
      <c r="L257" t="n">
        <v>0</v>
      </c>
      <c r="M257" t="n">
        <v>0</v>
      </c>
      <c r="N257" t="n">
        <v>0</v>
      </c>
      <c r="O257" t="n">
        <v>0</v>
      </c>
      <c r="P257" t="n">
        <v>0</v>
      </c>
      <c r="Q257" t="n">
        <v>0</v>
      </c>
      <c r="R257" s="2" t="inlineStr"/>
    </row>
    <row r="258" ht="15" customHeight="1">
      <c r="A258" t="inlineStr">
        <is>
          <t>A 50616-2019</t>
        </is>
      </c>
      <c r="B258" s="1" t="n">
        <v>43736</v>
      </c>
      <c r="C258" s="1" t="n">
        <v>45680</v>
      </c>
      <c r="D258" t="inlineStr">
        <is>
          <t>UPPSALA LÄN</t>
        </is>
      </c>
      <c r="E258" t="inlineStr">
        <is>
          <t>UPPSALA</t>
        </is>
      </c>
      <c r="G258" t="n">
        <v>4.8</v>
      </c>
      <c r="H258" t="n">
        <v>0</v>
      </c>
      <c r="I258" t="n">
        <v>0</v>
      </c>
      <c r="J258" t="n">
        <v>0</v>
      </c>
      <c r="K258" t="n">
        <v>0</v>
      </c>
      <c r="L258" t="n">
        <v>0</v>
      </c>
      <c r="M258" t="n">
        <v>0</v>
      </c>
      <c r="N258" t="n">
        <v>0</v>
      </c>
      <c r="O258" t="n">
        <v>0</v>
      </c>
      <c r="P258" t="n">
        <v>0</v>
      </c>
      <c r="Q258" t="n">
        <v>0</v>
      </c>
      <c r="R258" s="2" t="inlineStr"/>
    </row>
    <row r="259" ht="15" customHeight="1">
      <c r="A259" t="inlineStr">
        <is>
          <t>A 52386-2019</t>
        </is>
      </c>
      <c r="B259" s="1" t="n">
        <v>43745</v>
      </c>
      <c r="C259" s="1" t="n">
        <v>45680</v>
      </c>
      <c r="D259" t="inlineStr">
        <is>
          <t>UPPSALA LÄN</t>
        </is>
      </c>
      <c r="E259" t="inlineStr">
        <is>
          <t>UPPSALA</t>
        </is>
      </c>
      <c r="G259" t="n">
        <v>15.7</v>
      </c>
      <c r="H259" t="n">
        <v>0</v>
      </c>
      <c r="I259" t="n">
        <v>0</v>
      </c>
      <c r="J259" t="n">
        <v>0</v>
      </c>
      <c r="K259" t="n">
        <v>0</v>
      </c>
      <c r="L259" t="n">
        <v>0</v>
      </c>
      <c r="M259" t="n">
        <v>0</v>
      </c>
      <c r="N259" t="n">
        <v>0</v>
      </c>
      <c r="O259" t="n">
        <v>0</v>
      </c>
      <c r="P259" t="n">
        <v>0</v>
      </c>
      <c r="Q259" t="n">
        <v>0</v>
      </c>
      <c r="R259" s="2" t="inlineStr"/>
    </row>
    <row r="260" ht="15" customHeight="1">
      <c r="A260" t="inlineStr">
        <is>
          <t>A 52419-2019</t>
        </is>
      </c>
      <c r="B260" s="1" t="n">
        <v>43745</v>
      </c>
      <c r="C260" s="1" t="n">
        <v>45680</v>
      </c>
      <c r="D260" t="inlineStr">
        <is>
          <t>UPPSALA LÄN</t>
        </is>
      </c>
      <c r="E260" t="inlineStr">
        <is>
          <t>UPPSALA</t>
        </is>
      </c>
      <c r="F260" t="inlineStr">
        <is>
          <t>Allmännings- och besparingsskogar</t>
        </is>
      </c>
      <c r="G260" t="n">
        <v>5.3</v>
      </c>
      <c r="H260" t="n">
        <v>0</v>
      </c>
      <c r="I260" t="n">
        <v>0</v>
      </c>
      <c r="J260" t="n">
        <v>0</v>
      </c>
      <c r="K260" t="n">
        <v>0</v>
      </c>
      <c r="L260" t="n">
        <v>0</v>
      </c>
      <c r="M260" t="n">
        <v>0</v>
      </c>
      <c r="N260" t="n">
        <v>0</v>
      </c>
      <c r="O260" t="n">
        <v>0</v>
      </c>
      <c r="P260" t="n">
        <v>0</v>
      </c>
      <c r="Q260" t="n">
        <v>0</v>
      </c>
      <c r="R260" s="2" t="inlineStr"/>
    </row>
    <row r="261" ht="15" customHeight="1">
      <c r="A261" t="inlineStr">
        <is>
          <t>A 52950-2019</t>
        </is>
      </c>
      <c r="B261" s="1" t="n">
        <v>43747</v>
      </c>
      <c r="C261" s="1" t="n">
        <v>45680</v>
      </c>
      <c r="D261" t="inlineStr">
        <is>
          <t>UPPSALA LÄN</t>
        </is>
      </c>
      <c r="E261" t="inlineStr">
        <is>
          <t>UPPSALA</t>
        </is>
      </c>
      <c r="G261" t="n">
        <v>0.2</v>
      </c>
      <c r="H261" t="n">
        <v>0</v>
      </c>
      <c r="I261" t="n">
        <v>0</v>
      </c>
      <c r="J261" t="n">
        <v>0</v>
      </c>
      <c r="K261" t="n">
        <v>0</v>
      </c>
      <c r="L261" t="n">
        <v>0</v>
      </c>
      <c r="M261" t="n">
        <v>0</v>
      </c>
      <c r="N261" t="n">
        <v>0</v>
      </c>
      <c r="O261" t="n">
        <v>0</v>
      </c>
      <c r="P261" t="n">
        <v>0</v>
      </c>
      <c r="Q261" t="n">
        <v>0</v>
      </c>
      <c r="R261" s="2" t="inlineStr"/>
    </row>
    <row r="262" ht="15" customHeight="1">
      <c r="A262" t="inlineStr">
        <is>
          <t>A 53303-2019</t>
        </is>
      </c>
      <c r="B262" s="1" t="n">
        <v>43747</v>
      </c>
      <c r="C262" s="1" t="n">
        <v>45680</v>
      </c>
      <c r="D262" t="inlineStr">
        <is>
          <t>UPPSALA LÄN</t>
        </is>
      </c>
      <c r="E262" t="inlineStr">
        <is>
          <t>UPPSALA</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53316-2019</t>
        </is>
      </c>
      <c r="B263" s="1" t="n">
        <v>43748</v>
      </c>
      <c r="C263" s="1" t="n">
        <v>45680</v>
      </c>
      <c r="D263" t="inlineStr">
        <is>
          <t>UPPSALA LÄN</t>
        </is>
      </c>
      <c r="E263" t="inlineStr">
        <is>
          <t>UPPSALA</t>
        </is>
      </c>
      <c r="G263" t="n">
        <v>2.3</v>
      </c>
      <c r="H263" t="n">
        <v>0</v>
      </c>
      <c r="I263" t="n">
        <v>0</v>
      </c>
      <c r="J263" t="n">
        <v>0</v>
      </c>
      <c r="K263" t="n">
        <v>0</v>
      </c>
      <c r="L263" t="n">
        <v>0</v>
      </c>
      <c r="M263" t="n">
        <v>0</v>
      </c>
      <c r="N263" t="n">
        <v>0</v>
      </c>
      <c r="O263" t="n">
        <v>0</v>
      </c>
      <c r="P263" t="n">
        <v>0</v>
      </c>
      <c r="Q263" t="n">
        <v>0</v>
      </c>
      <c r="R263" s="2" t="inlineStr"/>
    </row>
    <row r="264" ht="15" customHeight="1">
      <c r="A264" t="inlineStr">
        <is>
          <t>A 54757-2019</t>
        </is>
      </c>
      <c r="B264" s="1" t="n">
        <v>43755</v>
      </c>
      <c r="C264" s="1" t="n">
        <v>45680</v>
      </c>
      <c r="D264" t="inlineStr">
        <is>
          <t>UPPSALA LÄN</t>
        </is>
      </c>
      <c r="E264" t="inlineStr">
        <is>
          <t>UPPSALA</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56041-2019</t>
        </is>
      </c>
      <c r="B265" s="1" t="n">
        <v>43759</v>
      </c>
      <c r="C265" s="1" t="n">
        <v>45680</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56634-2019</t>
        </is>
      </c>
      <c r="B266" s="1" t="n">
        <v>43763</v>
      </c>
      <c r="C266" s="1" t="n">
        <v>45680</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58445-2019</t>
        </is>
      </c>
      <c r="B267" s="1" t="n">
        <v>43773</v>
      </c>
      <c r="C267" s="1" t="n">
        <v>45680</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58527-2019</t>
        </is>
      </c>
      <c r="B268" s="1" t="n">
        <v>43773</v>
      </c>
      <c r="C268" s="1" t="n">
        <v>45680</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58903-2019</t>
        </is>
      </c>
      <c r="B269" s="1" t="n">
        <v>43773</v>
      </c>
      <c r="C269" s="1" t="n">
        <v>45680</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60011-2019</t>
        </is>
      </c>
      <c r="B270" s="1" t="n">
        <v>43777</v>
      </c>
      <c r="C270" s="1" t="n">
        <v>45680</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60159-2019</t>
        </is>
      </c>
      <c r="B271" s="1" t="n">
        <v>43777</v>
      </c>
      <c r="C271" s="1" t="n">
        <v>45680</v>
      </c>
      <c r="D271" t="inlineStr">
        <is>
          <t>UPPSALA LÄN</t>
        </is>
      </c>
      <c r="E271" t="inlineStr">
        <is>
          <t>UPPSALA</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60163-2019</t>
        </is>
      </c>
      <c r="B272" s="1" t="n">
        <v>43780</v>
      </c>
      <c r="C272" s="1" t="n">
        <v>45680</v>
      </c>
      <c r="D272" t="inlineStr">
        <is>
          <t>UPPSALA LÄN</t>
        </is>
      </c>
      <c r="E272" t="inlineStr">
        <is>
          <t>UPPSALA</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60579-2019</t>
        </is>
      </c>
      <c r="B273" s="1" t="n">
        <v>43780</v>
      </c>
      <c r="C273" s="1" t="n">
        <v>45680</v>
      </c>
      <c r="D273" t="inlineStr">
        <is>
          <t>UPPSALA LÄN</t>
        </is>
      </c>
      <c r="E273" t="inlineStr">
        <is>
          <t>UPPSALA</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62308-2019</t>
        </is>
      </c>
      <c r="B274" s="1" t="n">
        <v>43782</v>
      </c>
      <c r="C274" s="1" t="n">
        <v>45680</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61667-2019</t>
        </is>
      </c>
      <c r="B275" s="1" t="n">
        <v>43784</v>
      </c>
      <c r="C275" s="1" t="n">
        <v>45680</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63145-2019</t>
        </is>
      </c>
      <c r="B276" s="1" t="n">
        <v>43791</v>
      </c>
      <c r="C276" s="1" t="n">
        <v>45680</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63091-2019</t>
        </is>
      </c>
      <c r="B277" s="1" t="n">
        <v>43791</v>
      </c>
      <c r="C277" s="1" t="n">
        <v>45680</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63099-2019</t>
        </is>
      </c>
      <c r="B278" s="1" t="n">
        <v>43791</v>
      </c>
      <c r="C278" s="1" t="n">
        <v>45680</v>
      </c>
      <c r="D278" t="inlineStr">
        <is>
          <t>UPPSALA LÄN</t>
        </is>
      </c>
      <c r="E278" t="inlineStr">
        <is>
          <t>UPPSALA</t>
        </is>
      </c>
      <c r="G278" t="n">
        <v>4.4</v>
      </c>
      <c r="H278" t="n">
        <v>0</v>
      </c>
      <c r="I278" t="n">
        <v>0</v>
      </c>
      <c r="J278" t="n">
        <v>0</v>
      </c>
      <c r="K278" t="n">
        <v>0</v>
      </c>
      <c r="L278" t="n">
        <v>0</v>
      </c>
      <c r="M278" t="n">
        <v>0</v>
      </c>
      <c r="N278" t="n">
        <v>0</v>
      </c>
      <c r="O278" t="n">
        <v>0</v>
      </c>
      <c r="P278" t="n">
        <v>0</v>
      </c>
      <c r="Q278" t="n">
        <v>0</v>
      </c>
      <c r="R278" s="2" t="inlineStr"/>
    </row>
    <row r="279" ht="15" customHeight="1">
      <c r="A279" t="inlineStr">
        <is>
          <t>A 63118-2019</t>
        </is>
      </c>
      <c r="B279" s="1" t="n">
        <v>43791</v>
      </c>
      <c r="C279" s="1" t="n">
        <v>45680</v>
      </c>
      <c r="D279" t="inlineStr">
        <is>
          <t>UPPSALA LÄN</t>
        </is>
      </c>
      <c r="E279" t="inlineStr">
        <is>
          <t>UPPSALA</t>
        </is>
      </c>
      <c r="G279" t="n">
        <v>2.7</v>
      </c>
      <c r="H279" t="n">
        <v>0</v>
      </c>
      <c r="I279" t="n">
        <v>0</v>
      </c>
      <c r="J279" t="n">
        <v>0</v>
      </c>
      <c r="K279" t="n">
        <v>0</v>
      </c>
      <c r="L279" t="n">
        <v>0</v>
      </c>
      <c r="M279" t="n">
        <v>0</v>
      </c>
      <c r="N279" t="n">
        <v>0</v>
      </c>
      <c r="O279" t="n">
        <v>0</v>
      </c>
      <c r="P279" t="n">
        <v>0</v>
      </c>
      <c r="Q279" t="n">
        <v>0</v>
      </c>
      <c r="R279" s="2" t="inlineStr"/>
    </row>
    <row r="280" ht="15" customHeight="1">
      <c r="A280" t="inlineStr">
        <is>
          <t>A 63589-2019</t>
        </is>
      </c>
      <c r="B280" s="1" t="n">
        <v>43795</v>
      </c>
      <c r="C280" s="1" t="n">
        <v>45680</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63757-2019</t>
        </is>
      </c>
      <c r="B281" s="1" t="n">
        <v>43795</v>
      </c>
      <c r="C281" s="1" t="n">
        <v>45680</v>
      </c>
      <c r="D281" t="inlineStr">
        <is>
          <t>UPPSALA LÄN</t>
        </is>
      </c>
      <c r="E281" t="inlineStr">
        <is>
          <t>UPPSALA</t>
        </is>
      </c>
      <c r="G281" t="n">
        <v>6.9</v>
      </c>
      <c r="H281" t="n">
        <v>0</v>
      </c>
      <c r="I281" t="n">
        <v>0</v>
      </c>
      <c r="J281" t="n">
        <v>0</v>
      </c>
      <c r="K281" t="n">
        <v>0</v>
      </c>
      <c r="L281" t="n">
        <v>0</v>
      </c>
      <c r="M281" t="n">
        <v>0</v>
      </c>
      <c r="N281" t="n">
        <v>0</v>
      </c>
      <c r="O281" t="n">
        <v>0</v>
      </c>
      <c r="P281" t="n">
        <v>0</v>
      </c>
      <c r="Q281" t="n">
        <v>0</v>
      </c>
      <c r="R281" s="2" t="inlineStr"/>
    </row>
    <row r="282" ht="15" customHeight="1">
      <c r="A282" t="inlineStr">
        <is>
          <t>A 63756-2019</t>
        </is>
      </c>
      <c r="B282" s="1" t="n">
        <v>43795</v>
      </c>
      <c r="C282" s="1" t="n">
        <v>45680</v>
      </c>
      <c r="D282" t="inlineStr">
        <is>
          <t>UPPSALA LÄN</t>
        </is>
      </c>
      <c r="E282" t="inlineStr">
        <is>
          <t>UPPSALA</t>
        </is>
      </c>
      <c r="G282" t="n">
        <v>6.5</v>
      </c>
      <c r="H282" t="n">
        <v>0</v>
      </c>
      <c r="I282" t="n">
        <v>0</v>
      </c>
      <c r="J282" t="n">
        <v>0</v>
      </c>
      <c r="K282" t="n">
        <v>0</v>
      </c>
      <c r="L282" t="n">
        <v>0</v>
      </c>
      <c r="M282" t="n">
        <v>0</v>
      </c>
      <c r="N282" t="n">
        <v>0</v>
      </c>
      <c r="O282" t="n">
        <v>0</v>
      </c>
      <c r="P282" t="n">
        <v>0</v>
      </c>
      <c r="Q282" t="n">
        <v>0</v>
      </c>
      <c r="R282" s="2" t="inlineStr"/>
    </row>
    <row r="283" ht="15" customHeight="1">
      <c r="A283" t="inlineStr">
        <is>
          <t>A 64836-2019</t>
        </is>
      </c>
      <c r="B283" s="1" t="n">
        <v>43801</v>
      </c>
      <c r="C283" s="1" t="n">
        <v>45680</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64834-2019</t>
        </is>
      </c>
      <c r="B284" s="1" t="n">
        <v>43801</v>
      </c>
      <c r="C284" s="1" t="n">
        <v>45680</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65527-2019</t>
        </is>
      </c>
      <c r="B285" s="1" t="n">
        <v>43803</v>
      </c>
      <c r="C285" s="1" t="n">
        <v>45680</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65668-2019</t>
        </is>
      </c>
      <c r="B286" s="1" t="n">
        <v>43804</v>
      </c>
      <c r="C286" s="1" t="n">
        <v>45680</v>
      </c>
      <c r="D286" t="inlineStr">
        <is>
          <t>UPPSALA LÄN</t>
        </is>
      </c>
      <c r="E286" t="inlineStr">
        <is>
          <t>UPPSALA</t>
        </is>
      </c>
      <c r="G286" t="n">
        <v>7.6</v>
      </c>
      <c r="H286" t="n">
        <v>0</v>
      </c>
      <c r="I286" t="n">
        <v>0</v>
      </c>
      <c r="J286" t="n">
        <v>0</v>
      </c>
      <c r="K286" t="n">
        <v>0</v>
      </c>
      <c r="L286" t="n">
        <v>0</v>
      </c>
      <c r="M286" t="n">
        <v>0</v>
      </c>
      <c r="N286" t="n">
        <v>0</v>
      </c>
      <c r="O286" t="n">
        <v>0</v>
      </c>
      <c r="P286" t="n">
        <v>0</v>
      </c>
      <c r="Q286" t="n">
        <v>0</v>
      </c>
      <c r="R286" s="2" t="inlineStr"/>
    </row>
    <row r="287" ht="15" customHeight="1">
      <c r="A287" t="inlineStr">
        <is>
          <t>A 66167-2019</t>
        </is>
      </c>
      <c r="B287" s="1" t="n">
        <v>43808</v>
      </c>
      <c r="C287" s="1" t="n">
        <v>45680</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66270-2019</t>
        </is>
      </c>
      <c r="B288" s="1" t="n">
        <v>43808</v>
      </c>
      <c r="C288" s="1" t="n">
        <v>45680</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67108-2019</t>
        </is>
      </c>
      <c r="B289" s="1" t="n">
        <v>43811</v>
      </c>
      <c r="C289" s="1" t="n">
        <v>45680</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67281-2019</t>
        </is>
      </c>
      <c r="B290" s="1" t="n">
        <v>43812</v>
      </c>
      <c r="C290" s="1" t="n">
        <v>45680</v>
      </c>
      <c r="D290" t="inlineStr">
        <is>
          <t>UPPSALA LÄN</t>
        </is>
      </c>
      <c r="E290" t="inlineStr">
        <is>
          <t>UPPSALA</t>
        </is>
      </c>
      <c r="F290" t="inlineStr">
        <is>
          <t>Allmännings- och besparingsskogar</t>
        </is>
      </c>
      <c r="G290" t="n">
        <v>1.2</v>
      </c>
      <c r="H290" t="n">
        <v>0</v>
      </c>
      <c r="I290" t="n">
        <v>0</v>
      </c>
      <c r="J290" t="n">
        <v>0</v>
      </c>
      <c r="K290" t="n">
        <v>0</v>
      </c>
      <c r="L290" t="n">
        <v>0</v>
      </c>
      <c r="M290" t="n">
        <v>0</v>
      </c>
      <c r="N290" t="n">
        <v>0</v>
      </c>
      <c r="O290" t="n">
        <v>0</v>
      </c>
      <c r="P290" t="n">
        <v>0</v>
      </c>
      <c r="Q290" t="n">
        <v>0</v>
      </c>
      <c r="R290" s="2" t="inlineStr"/>
    </row>
    <row r="291" ht="15" customHeight="1">
      <c r="A291" t="inlineStr">
        <is>
          <t>A 67508-2019</t>
        </is>
      </c>
      <c r="B291" s="1" t="n">
        <v>43814</v>
      </c>
      <c r="C291" s="1" t="n">
        <v>45680</v>
      </c>
      <c r="D291" t="inlineStr">
        <is>
          <t>UPPSALA LÄN</t>
        </is>
      </c>
      <c r="E291" t="inlineStr">
        <is>
          <t>UPPSALA</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67504-2019</t>
        </is>
      </c>
      <c r="B292" s="1" t="n">
        <v>43814</v>
      </c>
      <c r="C292" s="1" t="n">
        <v>45680</v>
      </c>
      <c r="D292" t="inlineStr">
        <is>
          <t>UPPSALA LÄN</t>
        </is>
      </c>
      <c r="E292" t="inlineStr">
        <is>
          <t>UPPSALA</t>
        </is>
      </c>
      <c r="F292" t="inlineStr">
        <is>
          <t>Allmännings- och besparingsskogar</t>
        </is>
      </c>
      <c r="G292" t="n">
        <v>21.9</v>
      </c>
      <c r="H292" t="n">
        <v>0</v>
      </c>
      <c r="I292" t="n">
        <v>0</v>
      </c>
      <c r="J292" t="n">
        <v>0</v>
      </c>
      <c r="K292" t="n">
        <v>0</v>
      </c>
      <c r="L292" t="n">
        <v>0</v>
      </c>
      <c r="M292" t="n">
        <v>0</v>
      </c>
      <c r="N292" t="n">
        <v>0</v>
      </c>
      <c r="O292" t="n">
        <v>0</v>
      </c>
      <c r="P292" t="n">
        <v>0</v>
      </c>
      <c r="Q292" t="n">
        <v>0</v>
      </c>
      <c r="R292" s="2" t="inlineStr"/>
    </row>
    <row r="293" ht="15" customHeight="1">
      <c r="A293" t="inlineStr">
        <is>
          <t>A 67720-2019</t>
        </is>
      </c>
      <c r="B293" s="1" t="n">
        <v>43815</v>
      </c>
      <c r="C293" s="1" t="n">
        <v>45680</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67592-2019</t>
        </is>
      </c>
      <c r="B294" s="1" t="n">
        <v>43815</v>
      </c>
      <c r="C294" s="1" t="n">
        <v>45680</v>
      </c>
      <c r="D294" t="inlineStr">
        <is>
          <t>UPPSALA LÄN</t>
        </is>
      </c>
      <c r="E294" t="inlineStr">
        <is>
          <t>UPPSALA</t>
        </is>
      </c>
      <c r="F294" t="inlineStr">
        <is>
          <t>Övriga statliga verk och myndigheter</t>
        </is>
      </c>
      <c r="G294" t="n">
        <v>0.8</v>
      </c>
      <c r="H294" t="n">
        <v>0</v>
      </c>
      <c r="I294" t="n">
        <v>0</v>
      </c>
      <c r="J294" t="n">
        <v>0</v>
      </c>
      <c r="K294" t="n">
        <v>0</v>
      </c>
      <c r="L294" t="n">
        <v>0</v>
      </c>
      <c r="M294" t="n">
        <v>0</v>
      </c>
      <c r="N294" t="n">
        <v>0</v>
      </c>
      <c r="O294" t="n">
        <v>0</v>
      </c>
      <c r="P294" t="n">
        <v>0</v>
      </c>
      <c r="Q294" t="n">
        <v>0</v>
      </c>
      <c r="R294" s="2" t="inlineStr"/>
    </row>
    <row r="295" ht="15" customHeight="1">
      <c r="A295" t="inlineStr">
        <is>
          <t>A 68264-2019</t>
        </is>
      </c>
      <c r="B295" s="1" t="n">
        <v>43817</v>
      </c>
      <c r="C295" s="1" t="n">
        <v>45680</v>
      </c>
      <c r="D295" t="inlineStr">
        <is>
          <t>UPPSALA LÄN</t>
        </is>
      </c>
      <c r="E295" t="inlineStr">
        <is>
          <t>UPPSALA</t>
        </is>
      </c>
      <c r="G295" t="n">
        <v>2.9</v>
      </c>
      <c r="H295" t="n">
        <v>0</v>
      </c>
      <c r="I295" t="n">
        <v>0</v>
      </c>
      <c r="J295" t="n">
        <v>0</v>
      </c>
      <c r="K295" t="n">
        <v>0</v>
      </c>
      <c r="L295" t="n">
        <v>0</v>
      </c>
      <c r="M295" t="n">
        <v>0</v>
      </c>
      <c r="N295" t="n">
        <v>0</v>
      </c>
      <c r="O295" t="n">
        <v>0</v>
      </c>
      <c r="P295" t="n">
        <v>0</v>
      </c>
      <c r="Q295" t="n">
        <v>0</v>
      </c>
      <c r="R295" s="2" t="inlineStr"/>
    </row>
    <row r="296" ht="15" customHeight="1">
      <c r="A296" t="inlineStr">
        <is>
          <t>A 68265-2019</t>
        </is>
      </c>
      <c r="B296" s="1" t="n">
        <v>43817</v>
      </c>
      <c r="C296" s="1" t="n">
        <v>45680</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68317-2019</t>
        </is>
      </c>
      <c r="B297" s="1" t="n">
        <v>43818</v>
      </c>
      <c r="C297" s="1" t="n">
        <v>45680</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68316-2019</t>
        </is>
      </c>
      <c r="B298" s="1" t="n">
        <v>43818</v>
      </c>
      <c r="C298" s="1" t="n">
        <v>45680</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68908-2019</t>
        </is>
      </c>
      <c r="B299" s="1" t="n">
        <v>43822</v>
      </c>
      <c r="C299" s="1" t="n">
        <v>45680</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529-2020</t>
        </is>
      </c>
      <c r="B300" s="1" t="n">
        <v>43837</v>
      </c>
      <c r="C300" s="1" t="n">
        <v>45680</v>
      </c>
      <c r="D300" t="inlineStr">
        <is>
          <t>UPPSALA LÄN</t>
        </is>
      </c>
      <c r="E300" t="inlineStr">
        <is>
          <t>UPPSALA</t>
        </is>
      </c>
      <c r="G300" t="n">
        <v>1.6</v>
      </c>
      <c r="H300" t="n">
        <v>0</v>
      </c>
      <c r="I300" t="n">
        <v>0</v>
      </c>
      <c r="J300" t="n">
        <v>0</v>
      </c>
      <c r="K300" t="n">
        <v>0</v>
      </c>
      <c r="L300" t="n">
        <v>0</v>
      </c>
      <c r="M300" t="n">
        <v>0</v>
      </c>
      <c r="N300" t="n">
        <v>0</v>
      </c>
      <c r="O300" t="n">
        <v>0</v>
      </c>
      <c r="P300" t="n">
        <v>0</v>
      </c>
      <c r="Q300" t="n">
        <v>0</v>
      </c>
      <c r="R300" s="2" t="inlineStr"/>
    </row>
    <row r="301" ht="15" customHeight="1">
      <c r="A301" t="inlineStr">
        <is>
          <t>A 1891-2020</t>
        </is>
      </c>
      <c r="B301" s="1" t="n">
        <v>43837</v>
      </c>
      <c r="C301" s="1" t="n">
        <v>45680</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701-2020</t>
        </is>
      </c>
      <c r="B302" s="1" t="n">
        <v>43838</v>
      </c>
      <c r="C302" s="1" t="n">
        <v>45680</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1171-2020</t>
        </is>
      </c>
      <c r="B303" s="1" t="n">
        <v>43840</v>
      </c>
      <c r="C303" s="1" t="n">
        <v>45680</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1688-2020</t>
        </is>
      </c>
      <c r="B304" s="1" t="n">
        <v>43844</v>
      </c>
      <c r="C304" s="1" t="n">
        <v>45680</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2162-2020</t>
        </is>
      </c>
      <c r="B305" s="1" t="n">
        <v>43846</v>
      </c>
      <c r="C305" s="1" t="n">
        <v>45680</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2895-2020</t>
        </is>
      </c>
      <c r="B306" s="1" t="n">
        <v>43850</v>
      </c>
      <c r="C306" s="1" t="n">
        <v>45680</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3693-2020</t>
        </is>
      </c>
      <c r="B307" s="1" t="n">
        <v>43853</v>
      </c>
      <c r="C307" s="1" t="n">
        <v>45680</v>
      </c>
      <c r="D307" t="inlineStr">
        <is>
          <t>UPPSALA LÄN</t>
        </is>
      </c>
      <c r="E307" t="inlineStr">
        <is>
          <t>UPPSALA</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3516-2020</t>
        </is>
      </c>
      <c r="B308" s="1" t="n">
        <v>43853</v>
      </c>
      <c r="C308" s="1" t="n">
        <v>45680</v>
      </c>
      <c r="D308" t="inlineStr">
        <is>
          <t>UPPSALA LÄN</t>
        </is>
      </c>
      <c r="E308" t="inlineStr">
        <is>
          <t>UPPSALA</t>
        </is>
      </c>
      <c r="G308" t="n">
        <v>9.4</v>
      </c>
      <c r="H308" t="n">
        <v>0</v>
      </c>
      <c r="I308" t="n">
        <v>0</v>
      </c>
      <c r="J308" t="n">
        <v>0</v>
      </c>
      <c r="K308" t="n">
        <v>0</v>
      </c>
      <c r="L308" t="n">
        <v>0</v>
      </c>
      <c r="M308" t="n">
        <v>0</v>
      </c>
      <c r="N308" t="n">
        <v>0</v>
      </c>
      <c r="O308" t="n">
        <v>0</v>
      </c>
      <c r="P308" t="n">
        <v>0</v>
      </c>
      <c r="Q308" t="n">
        <v>0</v>
      </c>
      <c r="R308" s="2" t="inlineStr"/>
    </row>
    <row r="309" ht="15" customHeight="1">
      <c r="A309" t="inlineStr">
        <is>
          <t>A 6313-2020</t>
        </is>
      </c>
      <c r="B309" s="1" t="n">
        <v>43866</v>
      </c>
      <c r="C309" s="1" t="n">
        <v>45680</v>
      </c>
      <c r="D309" t="inlineStr">
        <is>
          <t>UPPSALA LÄN</t>
        </is>
      </c>
      <c r="E309" t="inlineStr">
        <is>
          <t>UPPSALA</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6315-2020</t>
        </is>
      </c>
      <c r="B310" s="1" t="n">
        <v>43866</v>
      </c>
      <c r="C310" s="1" t="n">
        <v>45680</v>
      </c>
      <c r="D310" t="inlineStr">
        <is>
          <t>UPPSALA LÄN</t>
        </is>
      </c>
      <c r="E310" t="inlineStr">
        <is>
          <t>UPPSALA</t>
        </is>
      </c>
      <c r="F310" t="inlineStr">
        <is>
          <t>Övriga statliga verk och myndigheter</t>
        </is>
      </c>
      <c r="G310" t="n">
        <v>1.9</v>
      </c>
      <c r="H310" t="n">
        <v>0</v>
      </c>
      <c r="I310" t="n">
        <v>0</v>
      </c>
      <c r="J310" t="n">
        <v>0</v>
      </c>
      <c r="K310" t="n">
        <v>0</v>
      </c>
      <c r="L310" t="n">
        <v>0</v>
      </c>
      <c r="M310" t="n">
        <v>0</v>
      </c>
      <c r="N310" t="n">
        <v>0</v>
      </c>
      <c r="O310" t="n">
        <v>0</v>
      </c>
      <c r="P310" t="n">
        <v>0</v>
      </c>
      <c r="Q310" t="n">
        <v>0</v>
      </c>
      <c r="R310" s="2" t="inlineStr"/>
    </row>
    <row r="311" ht="15" customHeight="1">
      <c r="A311" t="inlineStr">
        <is>
          <t>A 6655-2020</t>
        </is>
      </c>
      <c r="B311" s="1" t="n">
        <v>43867</v>
      </c>
      <c r="C311" s="1" t="n">
        <v>45680</v>
      </c>
      <c r="D311" t="inlineStr">
        <is>
          <t>UPPSALA LÄN</t>
        </is>
      </c>
      <c r="E311" t="inlineStr">
        <is>
          <t>UPPSALA</t>
        </is>
      </c>
      <c r="G311" t="n">
        <v>7.3</v>
      </c>
      <c r="H311" t="n">
        <v>0</v>
      </c>
      <c r="I311" t="n">
        <v>0</v>
      </c>
      <c r="J311" t="n">
        <v>0</v>
      </c>
      <c r="K311" t="n">
        <v>0</v>
      </c>
      <c r="L311" t="n">
        <v>0</v>
      </c>
      <c r="M311" t="n">
        <v>0</v>
      </c>
      <c r="N311" t="n">
        <v>0</v>
      </c>
      <c r="O311" t="n">
        <v>0</v>
      </c>
      <c r="P311" t="n">
        <v>0</v>
      </c>
      <c r="Q311" t="n">
        <v>0</v>
      </c>
      <c r="R311" s="2" t="inlineStr"/>
    </row>
    <row r="312" ht="15" customHeight="1">
      <c r="A312" t="inlineStr">
        <is>
          <t>A 8261-2020</t>
        </is>
      </c>
      <c r="B312" s="1" t="n">
        <v>43874</v>
      </c>
      <c r="C312" s="1" t="n">
        <v>45680</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8646-2020</t>
        </is>
      </c>
      <c r="B313" s="1" t="n">
        <v>43878</v>
      </c>
      <c r="C313" s="1" t="n">
        <v>45680</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8902-2020</t>
        </is>
      </c>
      <c r="B314" s="1" t="n">
        <v>43878</v>
      </c>
      <c r="C314" s="1" t="n">
        <v>45680</v>
      </c>
      <c r="D314" t="inlineStr">
        <is>
          <t>UPPSALA LÄN</t>
        </is>
      </c>
      <c r="E314" t="inlineStr">
        <is>
          <t>UPPSALA</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9011-2020</t>
        </is>
      </c>
      <c r="B315" s="1" t="n">
        <v>43879</v>
      </c>
      <c r="C315" s="1" t="n">
        <v>45680</v>
      </c>
      <c r="D315" t="inlineStr">
        <is>
          <t>UPPSALA LÄN</t>
        </is>
      </c>
      <c r="E315" t="inlineStr">
        <is>
          <t>UPPSALA</t>
        </is>
      </c>
      <c r="F315" t="inlineStr">
        <is>
          <t>Övriga statliga verk och myndigheter</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9084-2020</t>
        </is>
      </c>
      <c r="B316" s="1" t="n">
        <v>43879</v>
      </c>
      <c r="C316" s="1" t="n">
        <v>45680</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9257-2020</t>
        </is>
      </c>
      <c r="B317" s="1" t="n">
        <v>43879</v>
      </c>
      <c r="C317" s="1" t="n">
        <v>45680</v>
      </c>
      <c r="D317" t="inlineStr">
        <is>
          <t>UPPSALA LÄN</t>
        </is>
      </c>
      <c r="E317" t="inlineStr">
        <is>
          <t>UPPSALA</t>
        </is>
      </c>
      <c r="F317" t="inlineStr">
        <is>
          <t>Bergvik skog öst AB</t>
        </is>
      </c>
      <c r="G317" t="n">
        <v>5.8</v>
      </c>
      <c r="H317" t="n">
        <v>0</v>
      </c>
      <c r="I317" t="n">
        <v>0</v>
      </c>
      <c r="J317" t="n">
        <v>0</v>
      </c>
      <c r="K317" t="n">
        <v>0</v>
      </c>
      <c r="L317" t="n">
        <v>0</v>
      </c>
      <c r="M317" t="n">
        <v>0</v>
      </c>
      <c r="N317" t="n">
        <v>0</v>
      </c>
      <c r="O317" t="n">
        <v>0</v>
      </c>
      <c r="P317" t="n">
        <v>0</v>
      </c>
      <c r="Q317" t="n">
        <v>0</v>
      </c>
      <c r="R317" s="2" t="inlineStr"/>
    </row>
    <row r="318" ht="15" customHeight="1">
      <c r="A318" t="inlineStr">
        <is>
          <t>A 9658-2020</t>
        </is>
      </c>
      <c r="B318" s="1" t="n">
        <v>43881</v>
      </c>
      <c r="C318" s="1" t="n">
        <v>45680</v>
      </c>
      <c r="D318" t="inlineStr">
        <is>
          <t>UPPSALA LÄN</t>
        </is>
      </c>
      <c r="E318" t="inlineStr">
        <is>
          <t>UPPSALA</t>
        </is>
      </c>
      <c r="G318" t="n">
        <v>3.6</v>
      </c>
      <c r="H318" t="n">
        <v>0</v>
      </c>
      <c r="I318" t="n">
        <v>0</v>
      </c>
      <c r="J318" t="n">
        <v>0</v>
      </c>
      <c r="K318" t="n">
        <v>0</v>
      </c>
      <c r="L318" t="n">
        <v>0</v>
      </c>
      <c r="M318" t="n">
        <v>0</v>
      </c>
      <c r="N318" t="n">
        <v>0</v>
      </c>
      <c r="O318" t="n">
        <v>0</v>
      </c>
      <c r="P318" t="n">
        <v>0</v>
      </c>
      <c r="Q318" t="n">
        <v>0</v>
      </c>
      <c r="R318" s="2" t="inlineStr"/>
    </row>
    <row r="319" ht="15" customHeight="1">
      <c r="A319" t="inlineStr">
        <is>
          <t>A 10003-2020</t>
        </is>
      </c>
      <c r="B319" s="1" t="n">
        <v>43882</v>
      </c>
      <c r="C319" s="1" t="n">
        <v>45680</v>
      </c>
      <c r="D319" t="inlineStr">
        <is>
          <t>UPPSALA LÄN</t>
        </is>
      </c>
      <c r="E319" t="inlineStr">
        <is>
          <t>UPPSALA</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9949-2020</t>
        </is>
      </c>
      <c r="B320" s="1" t="n">
        <v>43882</v>
      </c>
      <c r="C320" s="1" t="n">
        <v>45680</v>
      </c>
      <c r="D320" t="inlineStr">
        <is>
          <t>UPPSALA LÄN</t>
        </is>
      </c>
      <c r="E320" t="inlineStr">
        <is>
          <t>UPPSALA</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10033-2020</t>
        </is>
      </c>
      <c r="B321" s="1" t="n">
        <v>43882</v>
      </c>
      <c r="C321" s="1" t="n">
        <v>45680</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10478-2020</t>
        </is>
      </c>
      <c r="B322" s="1" t="n">
        <v>43886</v>
      </c>
      <c r="C322" s="1" t="n">
        <v>45680</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11540-2020</t>
        </is>
      </c>
      <c r="B323" s="1" t="n">
        <v>43887</v>
      </c>
      <c r="C323" s="1" t="n">
        <v>45680</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11174-2020</t>
        </is>
      </c>
      <c r="B324" s="1" t="n">
        <v>43891</v>
      </c>
      <c r="C324" s="1" t="n">
        <v>45680</v>
      </c>
      <c r="D324" t="inlineStr">
        <is>
          <t>UPPSALA LÄN</t>
        </is>
      </c>
      <c r="E324" t="inlineStr">
        <is>
          <t>UPPSALA</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12626-2020</t>
        </is>
      </c>
      <c r="B325" s="1" t="n">
        <v>43892</v>
      </c>
      <c r="C325" s="1" t="n">
        <v>45680</v>
      </c>
      <c r="D325" t="inlineStr">
        <is>
          <t>UPPSALA LÄN</t>
        </is>
      </c>
      <c r="E325" t="inlineStr">
        <is>
          <t>UPPSALA</t>
        </is>
      </c>
      <c r="G325" t="n">
        <v>11.4</v>
      </c>
      <c r="H325" t="n">
        <v>0</v>
      </c>
      <c r="I325" t="n">
        <v>0</v>
      </c>
      <c r="J325" t="n">
        <v>0</v>
      </c>
      <c r="K325" t="n">
        <v>0</v>
      </c>
      <c r="L325" t="n">
        <v>0</v>
      </c>
      <c r="M325" t="n">
        <v>0</v>
      </c>
      <c r="N325" t="n">
        <v>0</v>
      </c>
      <c r="O325" t="n">
        <v>0</v>
      </c>
      <c r="P325" t="n">
        <v>0</v>
      </c>
      <c r="Q325" t="n">
        <v>0</v>
      </c>
      <c r="R325" s="2" t="inlineStr"/>
    </row>
    <row r="326" ht="15" customHeight="1">
      <c r="A326" t="inlineStr">
        <is>
          <t>A 11336-2020</t>
        </is>
      </c>
      <c r="B326" s="1" t="n">
        <v>43892</v>
      </c>
      <c r="C326" s="1" t="n">
        <v>45680</v>
      </c>
      <c r="D326" t="inlineStr">
        <is>
          <t>UPPSALA LÄN</t>
        </is>
      </c>
      <c r="E326" t="inlineStr">
        <is>
          <t>UPPSALA</t>
        </is>
      </c>
      <c r="F326" t="inlineStr">
        <is>
          <t>Kyrkan</t>
        </is>
      </c>
      <c r="G326" t="n">
        <v>3.2</v>
      </c>
      <c r="H326" t="n">
        <v>0</v>
      </c>
      <c r="I326" t="n">
        <v>0</v>
      </c>
      <c r="J326" t="n">
        <v>0</v>
      </c>
      <c r="K326" t="n">
        <v>0</v>
      </c>
      <c r="L326" t="n">
        <v>0</v>
      </c>
      <c r="M326" t="n">
        <v>0</v>
      </c>
      <c r="N326" t="n">
        <v>0</v>
      </c>
      <c r="O326" t="n">
        <v>0</v>
      </c>
      <c r="P326" t="n">
        <v>0</v>
      </c>
      <c r="Q326" t="n">
        <v>0</v>
      </c>
      <c r="R326" s="2" t="inlineStr"/>
    </row>
    <row r="327" ht="15" customHeight="1">
      <c r="A327" t="inlineStr">
        <is>
          <t>A 11320-2020</t>
        </is>
      </c>
      <c r="B327" s="1" t="n">
        <v>43892</v>
      </c>
      <c r="C327" s="1" t="n">
        <v>45680</v>
      </c>
      <c r="D327" t="inlineStr">
        <is>
          <t>UPPSALA LÄN</t>
        </is>
      </c>
      <c r="E327" t="inlineStr">
        <is>
          <t>UPPSALA</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12028-2020</t>
        </is>
      </c>
      <c r="B328" s="1" t="n">
        <v>43894</v>
      </c>
      <c r="C328" s="1" t="n">
        <v>45680</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12055-2020</t>
        </is>
      </c>
      <c r="B329" s="1" t="n">
        <v>43894</v>
      </c>
      <c r="C329" s="1" t="n">
        <v>45680</v>
      </c>
      <c r="D329" t="inlineStr">
        <is>
          <t>UPPSALA LÄN</t>
        </is>
      </c>
      <c r="E329" t="inlineStr">
        <is>
          <t>UPPSALA</t>
        </is>
      </c>
      <c r="G329" t="n">
        <v>6.2</v>
      </c>
      <c r="H329" t="n">
        <v>0</v>
      </c>
      <c r="I329" t="n">
        <v>0</v>
      </c>
      <c r="J329" t="n">
        <v>0</v>
      </c>
      <c r="K329" t="n">
        <v>0</v>
      </c>
      <c r="L329" t="n">
        <v>0</v>
      </c>
      <c r="M329" t="n">
        <v>0</v>
      </c>
      <c r="N329" t="n">
        <v>0</v>
      </c>
      <c r="O329" t="n">
        <v>0</v>
      </c>
      <c r="P329" t="n">
        <v>0</v>
      </c>
      <c r="Q329" t="n">
        <v>0</v>
      </c>
      <c r="R329" s="2" t="inlineStr"/>
    </row>
    <row r="330" ht="15" customHeight="1">
      <c r="A330" t="inlineStr">
        <is>
          <t>A 12848-2020</t>
        </is>
      </c>
      <c r="B330" s="1" t="n">
        <v>43899</v>
      </c>
      <c r="C330" s="1" t="n">
        <v>45680</v>
      </c>
      <c r="D330" t="inlineStr">
        <is>
          <t>UPPSALA LÄN</t>
        </is>
      </c>
      <c r="E330" t="inlineStr">
        <is>
          <t>UPPSALA</t>
        </is>
      </c>
      <c r="G330" t="n">
        <v>10.3</v>
      </c>
      <c r="H330" t="n">
        <v>0</v>
      </c>
      <c r="I330" t="n">
        <v>0</v>
      </c>
      <c r="J330" t="n">
        <v>0</v>
      </c>
      <c r="K330" t="n">
        <v>0</v>
      </c>
      <c r="L330" t="n">
        <v>0</v>
      </c>
      <c r="M330" t="n">
        <v>0</v>
      </c>
      <c r="N330" t="n">
        <v>0</v>
      </c>
      <c r="O330" t="n">
        <v>0</v>
      </c>
      <c r="P330" t="n">
        <v>0</v>
      </c>
      <c r="Q330" t="n">
        <v>0</v>
      </c>
      <c r="R330" s="2" t="inlineStr"/>
    </row>
    <row r="331" ht="15" customHeight="1">
      <c r="A331" t="inlineStr">
        <is>
          <t>A 12781-2020</t>
        </is>
      </c>
      <c r="B331" s="1" t="n">
        <v>43899</v>
      </c>
      <c r="C331" s="1" t="n">
        <v>45680</v>
      </c>
      <c r="D331" t="inlineStr">
        <is>
          <t>UPPSALA LÄN</t>
        </is>
      </c>
      <c r="E331" t="inlineStr">
        <is>
          <t>UPPSALA</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13636-2020</t>
        </is>
      </c>
      <c r="B332" s="1" t="n">
        <v>43903</v>
      </c>
      <c r="C332" s="1" t="n">
        <v>45680</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14469-2020</t>
        </is>
      </c>
      <c r="B333" s="1" t="n">
        <v>43908</v>
      </c>
      <c r="C333" s="1" t="n">
        <v>45680</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14423-2020</t>
        </is>
      </c>
      <c r="B334" s="1" t="n">
        <v>43908</v>
      </c>
      <c r="C334" s="1" t="n">
        <v>45680</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14472-2020</t>
        </is>
      </c>
      <c r="B335" s="1" t="n">
        <v>43908</v>
      </c>
      <c r="C335" s="1" t="n">
        <v>45680</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14427-2020</t>
        </is>
      </c>
      <c r="B336" s="1" t="n">
        <v>43908</v>
      </c>
      <c r="C336" s="1" t="n">
        <v>45680</v>
      </c>
      <c r="D336" t="inlineStr">
        <is>
          <t>UPPSALA LÄN</t>
        </is>
      </c>
      <c r="E336" t="inlineStr">
        <is>
          <t>UPPSALA</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15344-2020</t>
        </is>
      </c>
      <c r="B337" s="1" t="n">
        <v>43913</v>
      </c>
      <c r="C337" s="1" t="n">
        <v>45680</v>
      </c>
      <c r="D337" t="inlineStr">
        <is>
          <t>UPPSALA LÄN</t>
        </is>
      </c>
      <c r="E337" t="inlineStr">
        <is>
          <t>UPPSALA</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18106-2020</t>
        </is>
      </c>
      <c r="B338" s="1" t="n">
        <v>43927</v>
      </c>
      <c r="C338" s="1" t="n">
        <v>45680</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18114-2020</t>
        </is>
      </c>
      <c r="B339" s="1" t="n">
        <v>43927</v>
      </c>
      <c r="C339" s="1" t="n">
        <v>45680</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18469-2020</t>
        </is>
      </c>
      <c r="B340" s="1" t="n">
        <v>43929</v>
      </c>
      <c r="C340" s="1" t="n">
        <v>45680</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19210-2020</t>
        </is>
      </c>
      <c r="B341" s="1" t="n">
        <v>43937</v>
      </c>
      <c r="C341" s="1" t="n">
        <v>45680</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20218-2020</t>
        </is>
      </c>
      <c r="B342" s="1" t="n">
        <v>43944</v>
      </c>
      <c r="C342" s="1" t="n">
        <v>45680</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20506-2020</t>
        </is>
      </c>
      <c r="B343" s="1" t="n">
        <v>43948</v>
      </c>
      <c r="C343" s="1" t="n">
        <v>45680</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20490-2020</t>
        </is>
      </c>
      <c r="B344" s="1" t="n">
        <v>43948</v>
      </c>
      <c r="C344" s="1" t="n">
        <v>45680</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20960-2020</t>
        </is>
      </c>
      <c r="B345" s="1" t="n">
        <v>43950</v>
      </c>
      <c r="C345" s="1" t="n">
        <v>45680</v>
      </c>
      <c r="D345" t="inlineStr">
        <is>
          <t>UPPSALA LÄN</t>
        </is>
      </c>
      <c r="E345" t="inlineStr">
        <is>
          <t>UPPSALA</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24300-2020</t>
        </is>
      </c>
      <c r="B346" s="1" t="n">
        <v>43973</v>
      </c>
      <c r="C346" s="1" t="n">
        <v>45680</v>
      </c>
      <c r="D346" t="inlineStr">
        <is>
          <t>UPPSALA LÄN</t>
        </is>
      </c>
      <c r="E346" t="inlineStr">
        <is>
          <t>UPPSALA</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24287-2020</t>
        </is>
      </c>
      <c r="B347" s="1" t="n">
        <v>43976</v>
      </c>
      <c r="C347" s="1" t="n">
        <v>45680</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25798-2020</t>
        </is>
      </c>
      <c r="B348" s="1" t="n">
        <v>43984</v>
      </c>
      <c r="C348" s="1" t="n">
        <v>45680</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26488-2020</t>
        </is>
      </c>
      <c r="B349" s="1" t="n">
        <v>43987</v>
      </c>
      <c r="C349" s="1" t="n">
        <v>45680</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26492-2020</t>
        </is>
      </c>
      <c r="B350" s="1" t="n">
        <v>43987</v>
      </c>
      <c r="C350" s="1" t="n">
        <v>45680</v>
      </c>
      <c r="D350" t="inlineStr">
        <is>
          <t>UPPSALA LÄN</t>
        </is>
      </c>
      <c r="E350" t="inlineStr">
        <is>
          <t>UPPSALA</t>
        </is>
      </c>
      <c r="G350" t="n">
        <v>9.5</v>
      </c>
      <c r="H350" t="n">
        <v>0</v>
      </c>
      <c r="I350" t="n">
        <v>0</v>
      </c>
      <c r="J350" t="n">
        <v>0</v>
      </c>
      <c r="K350" t="n">
        <v>0</v>
      </c>
      <c r="L350" t="n">
        <v>0</v>
      </c>
      <c r="M350" t="n">
        <v>0</v>
      </c>
      <c r="N350" t="n">
        <v>0</v>
      </c>
      <c r="O350" t="n">
        <v>0</v>
      </c>
      <c r="P350" t="n">
        <v>0</v>
      </c>
      <c r="Q350" t="n">
        <v>0</v>
      </c>
      <c r="R350" s="2" t="inlineStr"/>
    </row>
    <row r="351" ht="15" customHeight="1">
      <c r="A351" t="inlineStr">
        <is>
          <t>A 26856-2020</t>
        </is>
      </c>
      <c r="B351" s="1" t="n">
        <v>43990</v>
      </c>
      <c r="C351" s="1" t="n">
        <v>45680</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28565-2020</t>
        </is>
      </c>
      <c r="B352" s="1" t="n">
        <v>43999</v>
      </c>
      <c r="C352" s="1" t="n">
        <v>45680</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28514-2020</t>
        </is>
      </c>
      <c r="B353" s="1" t="n">
        <v>43999</v>
      </c>
      <c r="C353" s="1" t="n">
        <v>45680</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28993-2020</t>
        </is>
      </c>
      <c r="B354" s="1" t="n">
        <v>44000</v>
      </c>
      <c r="C354" s="1" t="n">
        <v>45680</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29034-2020</t>
        </is>
      </c>
      <c r="B355" s="1" t="n">
        <v>44000</v>
      </c>
      <c r="C355" s="1" t="n">
        <v>45680</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30196-2020</t>
        </is>
      </c>
      <c r="B356" s="1" t="n">
        <v>44007</v>
      </c>
      <c r="C356" s="1" t="n">
        <v>45680</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30208-2020</t>
        </is>
      </c>
      <c r="B357" s="1" t="n">
        <v>44007</v>
      </c>
      <c r="C357" s="1" t="n">
        <v>45680</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31219-2020</t>
        </is>
      </c>
      <c r="B358" s="1" t="n">
        <v>44012</v>
      </c>
      <c r="C358" s="1" t="n">
        <v>45680</v>
      </c>
      <c r="D358" t="inlineStr">
        <is>
          <t>UPPSALA LÄN</t>
        </is>
      </c>
      <c r="E358" t="inlineStr">
        <is>
          <t>UPPSALA</t>
        </is>
      </c>
      <c r="F358" t="inlineStr">
        <is>
          <t>Bergvik skog öst AB</t>
        </is>
      </c>
      <c r="G358" t="n">
        <v>7.4</v>
      </c>
      <c r="H358" t="n">
        <v>0</v>
      </c>
      <c r="I358" t="n">
        <v>0</v>
      </c>
      <c r="J358" t="n">
        <v>0</v>
      </c>
      <c r="K358" t="n">
        <v>0</v>
      </c>
      <c r="L358" t="n">
        <v>0</v>
      </c>
      <c r="M358" t="n">
        <v>0</v>
      </c>
      <c r="N358" t="n">
        <v>0</v>
      </c>
      <c r="O358" t="n">
        <v>0</v>
      </c>
      <c r="P358" t="n">
        <v>0</v>
      </c>
      <c r="Q358" t="n">
        <v>0</v>
      </c>
      <c r="R358" s="2" t="inlineStr"/>
    </row>
    <row r="359" ht="15" customHeight="1">
      <c r="A359" t="inlineStr">
        <is>
          <t>A 31430-2020</t>
        </is>
      </c>
      <c r="B359" s="1" t="n">
        <v>44013</v>
      </c>
      <c r="C359" s="1" t="n">
        <v>45680</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31932-2020</t>
        </is>
      </c>
      <c r="B360" s="1" t="n">
        <v>44014</v>
      </c>
      <c r="C360" s="1" t="n">
        <v>45680</v>
      </c>
      <c r="D360" t="inlineStr">
        <is>
          <t>UPPSALA LÄN</t>
        </is>
      </c>
      <c r="E360" t="inlineStr">
        <is>
          <t>UPPSALA</t>
        </is>
      </c>
      <c r="G360" t="n">
        <v>5.6</v>
      </c>
      <c r="H360" t="n">
        <v>0</v>
      </c>
      <c r="I360" t="n">
        <v>0</v>
      </c>
      <c r="J360" t="n">
        <v>0</v>
      </c>
      <c r="K360" t="n">
        <v>0</v>
      </c>
      <c r="L360" t="n">
        <v>0</v>
      </c>
      <c r="M360" t="n">
        <v>0</v>
      </c>
      <c r="N360" t="n">
        <v>0</v>
      </c>
      <c r="O360" t="n">
        <v>0</v>
      </c>
      <c r="P360" t="n">
        <v>0</v>
      </c>
      <c r="Q360" t="n">
        <v>0</v>
      </c>
      <c r="R360" s="2" t="inlineStr"/>
    </row>
    <row r="361" ht="15" customHeight="1">
      <c r="A361" t="inlineStr">
        <is>
          <t>A 32235-2020</t>
        </is>
      </c>
      <c r="B361" s="1" t="n">
        <v>44015</v>
      </c>
      <c r="C361" s="1" t="n">
        <v>45680</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32340-2020</t>
        </is>
      </c>
      <c r="B362" s="1" t="n">
        <v>44016</v>
      </c>
      <c r="C362" s="1" t="n">
        <v>45680</v>
      </c>
      <c r="D362" t="inlineStr">
        <is>
          <t>UPPSALA LÄN</t>
        </is>
      </c>
      <c r="E362" t="inlineStr">
        <is>
          <t>UPPSALA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32608-2020</t>
        </is>
      </c>
      <c r="B363" s="1" t="n">
        <v>44019</v>
      </c>
      <c r="C363" s="1" t="n">
        <v>45680</v>
      </c>
      <c r="D363" t="inlineStr">
        <is>
          <t>UPPSALA LÄN</t>
        </is>
      </c>
      <c r="E363" t="inlineStr">
        <is>
          <t>UPPSALA</t>
        </is>
      </c>
      <c r="F363" t="inlineStr">
        <is>
          <t>Bergvik skog öst AB</t>
        </is>
      </c>
      <c r="G363" t="n">
        <v>5.7</v>
      </c>
      <c r="H363" t="n">
        <v>0</v>
      </c>
      <c r="I363" t="n">
        <v>0</v>
      </c>
      <c r="J363" t="n">
        <v>0</v>
      </c>
      <c r="K363" t="n">
        <v>0</v>
      </c>
      <c r="L363" t="n">
        <v>0</v>
      </c>
      <c r="M363" t="n">
        <v>0</v>
      </c>
      <c r="N363" t="n">
        <v>0</v>
      </c>
      <c r="O363" t="n">
        <v>0</v>
      </c>
      <c r="P363" t="n">
        <v>0</v>
      </c>
      <c r="Q363" t="n">
        <v>0</v>
      </c>
      <c r="R363" s="2" t="inlineStr"/>
    </row>
    <row r="364" ht="15" customHeight="1">
      <c r="A364" t="inlineStr">
        <is>
          <t>A 33658-2020</t>
        </is>
      </c>
      <c r="B364" s="1" t="n">
        <v>44026</v>
      </c>
      <c r="C364" s="1" t="n">
        <v>45680</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34205-2020</t>
        </is>
      </c>
      <c r="B365" s="1" t="n">
        <v>44029</v>
      </c>
      <c r="C365" s="1" t="n">
        <v>45680</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34565-2020</t>
        </is>
      </c>
      <c r="B366" s="1" t="n">
        <v>44033</v>
      </c>
      <c r="C366" s="1" t="n">
        <v>45680</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34753-2020</t>
        </is>
      </c>
      <c r="B367" s="1" t="n">
        <v>44035</v>
      </c>
      <c r="C367" s="1" t="n">
        <v>45680</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34749-2020</t>
        </is>
      </c>
      <c r="B368" s="1" t="n">
        <v>44035</v>
      </c>
      <c r="C368" s="1" t="n">
        <v>45680</v>
      </c>
      <c r="D368" t="inlineStr">
        <is>
          <t>UPPSALA LÄN</t>
        </is>
      </c>
      <c r="E368" t="inlineStr">
        <is>
          <t>UPPSALA</t>
        </is>
      </c>
      <c r="G368" t="n">
        <v>5.5</v>
      </c>
      <c r="H368" t="n">
        <v>0</v>
      </c>
      <c r="I368" t="n">
        <v>0</v>
      </c>
      <c r="J368" t="n">
        <v>0</v>
      </c>
      <c r="K368" t="n">
        <v>0</v>
      </c>
      <c r="L368" t="n">
        <v>0</v>
      </c>
      <c r="M368" t="n">
        <v>0</v>
      </c>
      <c r="N368" t="n">
        <v>0</v>
      </c>
      <c r="O368" t="n">
        <v>0</v>
      </c>
      <c r="P368" t="n">
        <v>0</v>
      </c>
      <c r="Q368" t="n">
        <v>0</v>
      </c>
      <c r="R368" s="2" t="inlineStr"/>
    </row>
    <row r="369" ht="15" customHeight="1">
      <c r="A369" t="inlineStr">
        <is>
          <t>A 35281-2020</t>
        </is>
      </c>
      <c r="B369" s="1" t="n">
        <v>44041</v>
      </c>
      <c r="C369" s="1" t="n">
        <v>45680</v>
      </c>
      <c r="D369" t="inlineStr">
        <is>
          <t>UPPSALA LÄN</t>
        </is>
      </c>
      <c r="E369" t="inlineStr">
        <is>
          <t>UPPSALA</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36035-2020</t>
        </is>
      </c>
      <c r="B370" s="1" t="n">
        <v>44048</v>
      </c>
      <c r="C370" s="1" t="n">
        <v>45680</v>
      </c>
      <c r="D370" t="inlineStr">
        <is>
          <t>UPPSALA LÄN</t>
        </is>
      </c>
      <c r="E370" t="inlineStr">
        <is>
          <t>UPPSALA</t>
        </is>
      </c>
      <c r="F370" t="inlineStr">
        <is>
          <t>Bergvik skog öst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36202-2020</t>
        </is>
      </c>
      <c r="B371" s="1" t="n">
        <v>44048</v>
      </c>
      <c r="C371" s="1" t="n">
        <v>45680</v>
      </c>
      <c r="D371" t="inlineStr">
        <is>
          <t>UPPSALA LÄN</t>
        </is>
      </c>
      <c r="E371" t="inlineStr">
        <is>
          <t>UPPSALA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36198-2020</t>
        </is>
      </c>
      <c r="B372" s="1" t="n">
        <v>44048</v>
      </c>
      <c r="C372" s="1" t="n">
        <v>45680</v>
      </c>
      <c r="D372" t="inlineStr">
        <is>
          <t>UPPSALA LÄN</t>
        </is>
      </c>
      <c r="E372" t="inlineStr">
        <is>
          <t>UPPSALA</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36350-2020</t>
        </is>
      </c>
      <c r="B373" s="1" t="n">
        <v>44049</v>
      </c>
      <c r="C373" s="1" t="n">
        <v>45680</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36512-2020</t>
        </is>
      </c>
      <c r="B374" s="1" t="n">
        <v>44050</v>
      </c>
      <c r="C374" s="1" t="n">
        <v>45680</v>
      </c>
      <c r="D374" t="inlineStr">
        <is>
          <t>UPPSALA LÄN</t>
        </is>
      </c>
      <c r="E374" t="inlineStr">
        <is>
          <t>UPPSALA</t>
        </is>
      </c>
      <c r="G374" t="n">
        <v>5.8</v>
      </c>
      <c r="H374" t="n">
        <v>0</v>
      </c>
      <c r="I374" t="n">
        <v>0</v>
      </c>
      <c r="J374" t="n">
        <v>0</v>
      </c>
      <c r="K374" t="n">
        <v>0</v>
      </c>
      <c r="L374" t="n">
        <v>0</v>
      </c>
      <c r="M374" t="n">
        <v>0</v>
      </c>
      <c r="N374" t="n">
        <v>0</v>
      </c>
      <c r="O374" t="n">
        <v>0</v>
      </c>
      <c r="P374" t="n">
        <v>0</v>
      </c>
      <c r="Q374" t="n">
        <v>0</v>
      </c>
      <c r="R374" s="2" t="inlineStr"/>
    </row>
    <row r="375" ht="15" customHeight="1">
      <c r="A375" t="inlineStr">
        <is>
          <t>A 37276-2020</t>
        </is>
      </c>
      <c r="B375" s="1" t="n">
        <v>44055</v>
      </c>
      <c r="C375" s="1" t="n">
        <v>45680</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37669-2020</t>
        </is>
      </c>
      <c r="B376" s="1" t="n">
        <v>44056</v>
      </c>
      <c r="C376" s="1" t="n">
        <v>45680</v>
      </c>
      <c r="D376" t="inlineStr">
        <is>
          <t>UPPSALA LÄN</t>
        </is>
      </c>
      <c r="E376" t="inlineStr">
        <is>
          <t>UPPSALA</t>
        </is>
      </c>
      <c r="G376" t="n">
        <v>5.1</v>
      </c>
      <c r="H376" t="n">
        <v>0</v>
      </c>
      <c r="I376" t="n">
        <v>0</v>
      </c>
      <c r="J376" t="n">
        <v>0</v>
      </c>
      <c r="K376" t="n">
        <v>0</v>
      </c>
      <c r="L376" t="n">
        <v>0</v>
      </c>
      <c r="M376" t="n">
        <v>0</v>
      </c>
      <c r="N376" t="n">
        <v>0</v>
      </c>
      <c r="O376" t="n">
        <v>0</v>
      </c>
      <c r="P376" t="n">
        <v>0</v>
      </c>
      <c r="Q376" t="n">
        <v>0</v>
      </c>
      <c r="R376" s="2" t="inlineStr"/>
    </row>
    <row r="377" ht="15" customHeight="1">
      <c r="A377" t="inlineStr">
        <is>
          <t>A 39233-2020</t>
        </is>
      </c>
      <c r="B377" s="1" t="n">
        <v>44063</v>
      </c>
      <c r="C377" s="1" t="n">
        <v>45680</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39178-2020</t>
        </is>
      </c>
      <c r="B378" s="1" t="n">
        <v>44063</v>
      </c>
      <c r="C378" s="1" t="n">
        <v>45680</v>
      </c>
      <c r="D378" t="inlineStr">
        <is>
          <t>UPPSALA LÄN</t>
        </is>
      </c>
      <c r="E378" t="inlineStr">
        <is>
          <t>UPPSALA</t>
        </is>
      </c>
      <c r="F378" t="inlineStr">
        <is>
          <t>Bergvik skog öst AB</t>
        </is>
      </c>
      <c r="G378" t="n">
        <v>2.6</v>
      </c>
      <c r="H378" t="n">
        <v>0</v>
      </c>
      <c r="I378" t="n">
        <v>0</v>
      </c>
      <c r="J378" t="n">
        <v>0</v>
      </c>
      <c r="K378" t="n">
        <v>0</v>
      </c>
      <c r="L378" t="n">
        <v>0</v>
      </c>
      <c r="M378" t="n">
        <v>0</v>
      </c>
      <c r="N378" t="n">
        <v>0</v>
      </c>
      <c r="O378" t="n">
        <v>0</v>
      </c>
      <c r="P378" t="n">
        <v>0</v>
      </c>
      <c r="Q378" t="n">
        <v>0</v>
      </c>
      <c r="R378" s="2" t="inlineStr"/>
    </row>
    <row r="379" ht="15" customHeight="1">
      <c r="A379" t="inlineStr">
        <is>
          <t>A 39236-2020</t>
        </is>
      </c>
      <c r="B379" s="1" t="n">
        <v>44063</v>
      </c>
      <c r="C379" s="1" t="n">
        <v>45680</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39272-2020</t>
        </is>
      </c>
      <c r="B380" s="1" t="n">
        <v>44063</v>
      </c>
      <c r="C380" s="1" t="n">
        <v>45680</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40894-2020</t>
        </is>
      </c>
      <c r="B381" s="1" t="n">
        <v>44070</v>
      </c>
      <c r="C381" s="1" t="n">
        <v>45680</v>
      </c>
      <c r="D381" t="inlineStr">
        <is>
          <t>UPPSALA LÄN</t>
        </is>
      </c>
      <c r="E381" t="inlineStr">
        <is>
          <t>UPPSALA</t>
        </is>
      </c>
      <c r="G381" t="n">
        <v>7.1</v>
      </c>
      <c r="H381" t="n">
        <v>0</v>
      </c>
      <c r="I381" t="n">
        <v>0</v>
      </c>
      <c r="J381" t="n">
        <v>0</v>
      </c>
      <c r="K381" t="n">
        <v>0</v>
      </c>
      <c r="L381" t="n">
        <v>0</v>
      </c>
      <c r="M381" t="n">
        <v>0</v>
      </c>
      <c r="N381" t="n">
        <v>0</v>
      </c>
      <c r="O381" t="n">
        <v>0</v>
      </c>
      <c r="P381" t="n">
        <v>0</v>
      </c>
      <c r="Q381" t="n">
        <v>0</v>
      </c>
      <c r="R381" s="2" t="inlineStr"/>
    </row>
    <row r="382" ht="15" customHeight="1">
      <c r="A382" t="inlineStr">
        <is>
          <t>A 42341-2020</t>
        </is>
      </c>
      <c r="B382" s="1" t="n">
        <v>44076</v>
      </c>
      <c r="C382" s="1" t="n">
        <v>45680</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43968-2020</t>
        </is>
      </c>
      <c r="B383" s="1" t="n">
        <v>44083</v>
      </c>
      <c r="C383" s="1" t="n">
        <v>45680</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45930-2020</t>
        </is>
      </c>
      <c r="B384" s="1" t="n">
        <v>44091</v>
      </c>
      <c r="C384" s="1" t="n">
        <v>45680</v>
      </c>
      <c r="D384" t="inlineStr">
        <is>
          <t>UPPSALA LÄN</t>
        </is>
      </c>
      <c r="E384" t="inlineStr">
        <is>
          <t>UPPSALA</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45680</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46647-2020</t>
        </is>
      </c>
      <c r="B386" s="1" t="n">
        <v>44095</v>
      </c>
      <c r="C386" s="1" t="n">
        <v>45680</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48786-2020</t>
        </is>
      </c>
      <c r="B387" s="1" t="n">
        <v>44103</v>
      </c>
      <c r="C387" s="1" t="n">
        <v>45680</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49363-2020</t>
        </is>
      </c>
      <c r="B388" s="1" t="n">
        <v>44105</v>
      </c>
      <c r="C388" s="1" t="n">
        <v>45680</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49409-2020</t>
        </is>
      </c>
      <c r="B389" s="1" t="n">
        <v>44105</v>
      </c>
      <c r="C389" s="1" t="n">
        <v>45680</v>
      </c>
      <c r="D389" t="inlineStr">
        <is>
          <t>UPPSALA LÄN</t>
        </is>
      </c>
      <c r="E389" t="inlineStr">
        <is>
          <t>UPPSALA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49404-2020</t>
        </is>
      </c>
      <c r="B390" s="1" t="n">
        <v>44105</v>
      </c>
      <c r="C390" s="1" t="n">
        <v>45680</v>
      </c>
      <c r="D390" t="inlineStr">
        <is>
          <t>UPPSALA LÄN</t>
        </is>
      </c>
      <c r="E390" t="inlineStr">
        <is>
          <t>UPPSALA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49821-2020</t>
        </is>
      </c>
      <c r="B391" s="1" t="n">
        <v>44106</v>
      </c>
      <c r="C391" s="1" t="n">
        <v>45680</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49931-2020</t>
        </is>
      </c>
      <c r="B392" s="1" t="n">
        <v>44109</v>
      </c>
      <c r="C392" s="1" t="n">
        <v>45680</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52717-2020</t>
        </is>
      </c>
      <c r="B393" s="1" t="n">
        <v>44119</v>
      </c>
      <c r="C393" s="1" t="n">
        <v>45680</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53346-2020</t>
        </is>
      </c>
      <c r="B394" s="1" t="n">
        <v>44123</v>
      </c>
      <c r="C394" s="1" t="n">
        <v>45680</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53379-2020</t>
        </is>
      </c>
      <c r="B395" s="1" t="n">
        <v>44123</v>
      </c>
      <c r="C395" s="1" t="n">
        <v>45680</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54742-2020</t>
        </is>
      </c>
      <c r="B396" s="1" t="n">
        <v>44126</v>
      </c>
      <c r="C396" s="1" t="n">
        <v>45680</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55220-2020</t>
        </is>
      </c>
      <c r="B397" s="1" t="n">
        <v>44130</v>
      </c>
      <c r="C397" s="1" t="n">
        <v>45680</v>
      </c>
      <c r="D397" t="inlineStr">
        <is>
          <t>UPPSALA LÄN</t>
        </is>
      </c>
      <c r="E397" t="inlineStr">
        <is>
          <t>UPPSALA</t>
        </is>
      </c>
      <c r="G397" t="n">
        <v>2.8</v>
      </c>
      <c r="H397" t="n">
        <v>0</v>
      </c>
      <c r="I397" t="n">
        <v>0</v>
      </c>
      <c r="J397" t="n">
        <v>0</v>
      </c>
      <c r="K397" t="n">
        <v>0</v>
      </c>
      <c r="L397" t="n">
        <v>0</v>
      </c>
      <c r="M397" t="n">
        <v>0</v>
      </c>
      <c r="N397" t="n">
        <v>0</v>
      </c>
      <c r="O397" t="n">
        <v>0</v>
      </c>
      <c r="P397" t="n">
        <v>0</v>
      </c>
      <c r="Q397" t="n">
        <v>0</v>
      </c>
      <c r="R397" s="2" t="inlineStr"/>
    </row>
    <row r="398" ht="15" customHeight="1">
      <c r="A398" t="inlineStr">
        <is>
          <t>A 55953-2020</t>
        </is>
      </c>
      <c r="B398" s="1" t="n">
        <v>44131</v>
      </c>
      <c r="C398" s="1" t="n">
        <v>45680</v>
      </c>
      <c r="D398" t="inlineStr">
        <is>
          <t>UPPSALA LÄN</t>
        </is>
      </c>
      <c r="E398" t="inlineStr">
        <is>
          <t>UPPSALA</t>
        </is>
      </c>
      <c r="F398" t="inlineStr">
        <is>
          <t>Allmännings- och besparingsskogar</t>
        </is>
      </c>
      <c r="G398" t="n">
        <v>74.40000000000001</v>
      </c>
      <c r="H398" t="n">
        <v>0</v>
      </c>
      <c r="I398" t="n">
        <v>0</v>
      </c>
      <c r="J398" t="n">
        <v>0</v>
      </c>
      <c r="K398" t="n">
        <v>0</v>
      </c>
      <c r="L398" t="n">
        <v>0</v>
      </c>
      <c r="M398" t="n">
        <v>0</v>
      </c>
      <c r="N398" t="n">
        <v>0</v>
      </c>
      <c r="O398" t="n">
        <v>0</v>
      </c>
      <c r="P398" t="n">
        <v>0</v>
      </c>
      <c r="Q398" t="n">
        <v>0</v>
      </c>
      <c r="R398" s="2" t="inlineStr"/>
    </row>
    <row r="399" ht="15" customHeight="1">
      <c r="A399" t="inlineStr">
        <is>
          <t>A 56097-2020</t>
        </is>
      </c>
      <c r="B399" s="1" t="n">
        <v>44131</v>
      </c>
      <c r="C399" s="1" t="n">
        <v>45680</v>
      </c>
      <c r="D399" t="inlineStr">
        <is>
          <t>UPPSALA LÄN</t>
        </is>
      </c>
      <c r="E399" t="inlineStr">
        <is>
          <t>UPPSALA</t>
        </is>
      </c>
      <c r="F399" t="inlineStr">
        <is>
          <t>Allmännings- och besparingsskogar</t>
        </is>
      </c>
      <c r="G399" t="n">
        <v>10.6</v>
      </c>
      <c r="H399" t="n">
        <v>0</v>
      </c>
      <c r="I399" t="n">
        <v>0</v>
      </c>
      <c r="J399" t="n">
        <v>0</v>
      </c>
      <c r="K399" t="n">
        <v>0</v>
      </c>
      <c r="L399" t="n">
        <v>0</v>
      </c>
      <c r="M399" t="n">
        <v>0</v>
      </c>
      <c r="N399" t="n">
        <v>0</v>
      </c>
      <c r="O399" t="n">
        <v>0</v>
      </c>
      <c r="P399" t="n">
        <v>0</v>
      </c>
      <c r="Q399" t="n">
        <v>0</v>
      </c>
      <c r="R399" s="2" t="inlineStr"/>
    </row>
    <row r="400" ht="15" customHeight="1">
      <c r="A400" t="inlineStr">
        <is>
          <t>A 56466-2020</t>
        </is>
      </c>
      <c r="B400" s="1" t="n">
        <v>44134</v>
      </c>
      <c r="C400" s="1" t="n">
        <v>45680</v>
      </c>
      <c r="D400" t="inlineStr">
        <is>
          <t>UPPSALA LÄN</t>
        </is>
      </c>
      <c r="E400" t="inlineStr">
        <is>
          <t>UPPSALA</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57041-2020</t>
        </is>
      </c>
      <c r="B401" s="1" t="n">
        <v>44137</v>
      </c>
      <c r="C401" s="1" t="n">
        <v>45680</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57271-2020</t>
        </is>
      </c>
      <c r="B402" s="1" t="n">
        <v>44139</v>
      </c>
      <c r="C402" s="1" t="n">
        <v>45680</v>
      </c>
      <c r="D402" t="inlineStr">
        <is>
          <t>UPPSALA LÄN</t>
        </is>
      </c>
      <c r="E402" t="inlineStr">
        <is>
          <t>UPPSALA</t>
        </is>
      </c>
      <c r="G402" t="n">
        <v>3.8</v>
      </c>
      <c r="H402" t="n">
        <v>0</v>
      </c>
      <c r="I402" t="n">
        <v>0</v>
      </c>
      <c r="J402" t="n">
        <v>0</v>
      </c>
      <c r="K402" t="n">
        <v>0</v>
      </c>
      <c r="L402" t="n">
        <v>0</v>
      </c>
      <c r="M402" t="n">
        <v>0</v>
      </c>
      <c r="N402" t="n">
        <v>0</v>
      </c>
      <c r="O402" t="n">
        <v>0</v>
      </c>
      <c r="P402" t="n">
        <v>0</v>
      </c>
      <c r="Q402" t="n">
        <v>0</v>
      </c>
      <c r="R402" s="2" t="inlineStr"/>
    </row>
    <row r="403" ht="15" customHeight="1">
      <c r="A403" t="inlineStr">
        <is>
          <t>A 57451-2020</t>
        </is>
      </c>
      <c r="B403" s="1" t="n">
        <v>44139</v>
      </c>
      <c r="C403" s="1" t="n">
        <v>45680</v>
      </c>
      <c r="D403" t="inlineStr">
        <is>
          <t>UPPSALA LÄN</t>
        </is>
      </c>
      <c r="E403" t="inlineStr">
        <is>
          <t>UPPSALA</t>
        </is>
      </c>
      <c r="G403" t="n">
        <v>1.5</v>
      </c>
      <c r="H403" t="n">
        <v>0</v>
      </c>
      <c r="I403" t="n">
        <v>0</v>
      </c>
      <c r="J403" t="n">
        <v>0</v>
      </c>
      <c r="K403" t="n">
        <v>0</v>
      </c>
      <c r="L403" t="n">
        <v>0</v>
      </c>
      <c r="M403" t="n">
        <v>0</v>
      </c>
      <c r="N403" t="n">
        <v>0</v>
      </c>
      <c r="O403" t="n">
        <v>0</v>
      </c>
      <c r="P403" t="n">
        <v>0</v>
      </c>
      <c r="Q403" t="n">
        <v>0</v>
      </c>
      <c r="R403" s="2" t="inlineStr"/>
    </row>
    <row r="404" ht="15" customHeight="1">
      <c r="A404" t="inlineStr">
        <is>
          <t>A 57466-2020</t>
        </is>
      </c>
      <c r="B404" s="1" t="n">
        <v>44139</v>
      </c>
      <c r="C404" s="1" t="n">
        <v>45680</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58070-2020</t>
        </is>
      </c>
      <c r="B405" s="1" t="n">
        <v>44140</v>
      </c>
      <c r="C405" s="1" t="n">
        <v>45680</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58058-2020</t>
        </is>
      </c>
      <c r="B406" s="1" t="n">
        <v>44144</v>
      </c>
      <c r="C406" s="1" t="n">
        <v>45680</v>
      </c>
      <c r="D406" t="inlineStr">
        <is>
          <t>UPPSALA LÄN</t>
        </is>
      </c>
      <c r="E406" t="inlineStr">
        <is>
          <t>UPPSALA</t>
        </is>
      </c>
      <c r="G406" t="n">
        <v>4.4</v>
      </c>
      <c r="H406" t="n">
        <v>0</v>
      </c>
      <c r="I406" t="n">
        <v>0</v>
      </c>
      <c r="J406" t="n">
        <v>0</v>
      </c>
      <c r="K406" t="n">
        <v>0</v>
      </c>
      <c r="L406" t="n">
        <v>0</v>
      </c>
      <c r="M406" t="n">
        <v>0</v>
      </c>
      <c r="N406" t="n">
        <v>0</v>
      </c>
      <c r="O406" t="n">
        <v>0</v>
      </c>
      <c r="P406" t="n">
        <v>0</v>
      </c>
      <c r="Q406" t="n">
        <v>0</v>
      </c>
      <c r="R406" s="2" t="inlineStr"/>
    </row>
    <row r="407" ht="15" customHeight="1">
      <c r="A407" t="inlineStr">
        <is>
          <t>A 58056-2020</t>
        </is>
      </c>
      <c r="B407" s="1" t="n">
        <v>44144</v>
      </c>
      <c r="C407" s="1" t="n">
        <v>45680</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58288-2020</t>
        </is>
      </c>
      <c r="B408" s="1" t="n">
        <v>44144</v>
      </c>
      <c r="C408" s="1" t="n">
        <v>45680</v>
      </c>
      <c r="D408" t="inlineStr">
        <is>
          <t>UPPSALA LÄN</t>
        </is>
      </c>
      <c r="E408" t="inlineStr">
        <is>
          <t>UPPSALA</t>
        </is>
      </c>
      <c r="G408" t="n">
        <v>0.3</v>
      </c>
      <c r="H408" t="n">
        <v>0</v>
      </c>
      <c r="I408" t="n">
        <v>0</v>
      </c>
      <c r="J408" t="n">
        <v>0</v>
      </c>
      <c r="K408" t="n">
        <v>0</v>
      </c>
      <c r="L408" t="n">
        <v>0</v>
      </c>
      <c r="M408" t="n">
        <v>0</v>
      </c>
      <c r="N408" t="n">
        <v>0</v>
      </c>
      <c r="O408" t="n">
        <v>0</v>
      </c>
      <c r="P408" t="n">
        <v>0</v>
      </c>
      <c r="Q408" t="n">
        <v>0</v>
      </c>
      <c r="R408" s="2" t="inlineStr"/>
    </row>
    <row r="409" ht="15" customHeight="1">
      <c r="A409" t="inlineStr">
        <is>
          <t>A 58928-2020</t>
        </is>
      </c>
      <c r="B409" s="1" t="n">
        <v>44146</v>
      </c>
      <c r="C409" s="1" t="n">
        <v>45680</v>
      </c>
      <c r="D409" t="inlineStr">
        <is>
          <t>UPPSALA LÄN</t>
        </is>
      </c>
      <c r="E409" t="inlineStr">
        <is>
          <t>UPPSALA</t>
        </is>
      </c>
      <c r="G409" t="n">
        <v>10.6</v>
      </c>
      <c r="H409" t="n">
        <v>0</v>
      </c>
      <c r="I409" t="n">
        <v>0</v>
      </c>
      <c r="J409" t="n">
        <v>0</v>
      </c>
      <c r="K409" t="n">
        <v>0</v>
      </c>
      <c r="L409" t="n">
        <v>0</v>
      </c>
      <c r="M409" t="n">
        <v>0</v>
      </c>
      <c r="N409" t="n">
        <v>0</v>
      </c>
      <c r="O409" t="n">
        <v>0</v>
      </c>
      <c r="P409" t="n">
        <v>0</v>
      </c>
      <c r="Q409" t="n">
        <v>0</v>
      </c>
      <c r="R409" s="2" t="inlineStr"/>
    </row>
    <row r="410" ht="15" customHeight="1">
      <c r="A410" t="inlineStr">
        <is>
          <t>A 59952-2020</t>
        </is>
      </c>
      <c r="B410" s="1" t="n">
        <v>44151</v>
      </c>
      <c r="C410" s="1" t="n">
        <v>45680</v>
      </c>
      <c r="D410" t="inlineStr">
        <is>
          <t>UPPSALA LÄN</t>
        </is>
      </c>
      <c r="E410" t="inlineStr">
        <is>
          <t>UPPSALA</t>
        </is>
      </c>
      <c r="G410" t="n">
        <v>25.8</v>
      </c>
      <c r="H410" t="n">
        <v>0</v>
      </c>
      <c r="I410" t="n">
        <v>0</v>
      </c>
      <c r="J410" t="n">
        <v>0</v>
      </c>
      <c r="K410" t="n">
        <v>0</v>
      </c>
      <c r="L410" t="n">
        <v>0</v>
      </c>
      <c r="M410" t="n">
        <v>0</v>
      </c>
      <c r="N410" t="n">
        <v>0</v>
      </c>
      <c r="O410" t="n">
        <v>0</v>
      </c>
      <c r="P410" t="n">
        <v>0</v>
      </c>
      <c r="Q410" t="n">
        <v>0</v>
      </c>
      <c r="R410" s="2" t="inlineStr"/>
    </row>
    <row r="411" ht="15" customHeight="1">
      <c r="A411" t="inlineStr">
        <is>
          <t>A 60702-2020</t>
        </is>
      </c>
      <c r="B411" s="1" t="n">
        <v>44153</v>
      </c>
      <c r="C411" s="1" t="n">
        <v>45680</v>
      </c>
      <c r="D411" t="inlineStr">
        <is>
          <t>UPPSALA LÄN</t>
        </is>
      </c>
      <c r="E411" t="inlineStr">
        <is>
          <t>UPPSALA</t>
        </is>
      </c>
      <c r="F411" t="inlineStr">
        <is>
          <t>Övriga statliga verk och myndigheter</t>
        </is>
      </c>
      <c r="G411" t="n">
        <v>1.4</v>
      </c>
      <c r="H411" t="n">
        <v>0</v>
      </c>
      <c r="I411" t="n">
        <v>0</v>
      </c>
      <c r="J411" t="n">
        <v>0</v>
      </c>
      <c r="K411" t="n">
        <v>0</v>
      </c>
      <c r="L411" t="n">
        <v>0</v>
      </c>
      <c r="M411" t="n">
        <v>0</v>
      </c>
      <c r="N411" t="n">
        <v>0</v>
      </c>
      <c r="O411" t="n">
        <v>0</v>
      </c>
      <c r="P411" t="n">
        <v>0</v>
      </c>
      <c r="Q411" t="n">
        <v>0</v>
      </c>
      <c r="R411" s="2" t="inlineStr"/>
    </row>
    <row r="412" ht="15" customHeight="1">
      <c r="A412" t="inlineStr">
        <is>
          <t>A 61265-2020</t>
        </is>
      </c>
      <c r="B412" s="1" t="n">
        <v>44155</v>
      </c>
      <c r="C412" s="1" t="n">
        <v>45680</v>
      </c>
      <c r="D412" t="inlineStr">
        <is>
          <t>UPPSALA LÄN</t>
        </is>
      </c>
      <c r="E412" t="inlineStr">
        <is>
          <t>UPPSALA</t>
        </is>
      </c>
      <c r="G412" t="n">
        <v>4.7</v>
      </c>
      <c r="H412" t="n">
        <v>0</v>
      </c>
      <c r="I412" t="n">
        <v>0</v>
      </c>
      <c r="J412" t="n">
        <v>0</v>
      </c>
      <c r="K412" t="n">
        <v>0</v>
      </c>
      <c r="L412" t="n">
        <v>0</v>
      </c>
      <c r="M412" t="n">
        <v>0</v>
      </c>
      <c r="N412" t="n">
        <v>0</v>
      </c>
      <c r="O412" t="n">
        <v>0</v>
      </c>
      <c r="P412" t="n">
        <v>0</v>
      </c>
      <c r="Q412" t="n">
        <v>0</v>
      </c>
      <c r="R412" s="2" t="inlineStr"/>
    </row>
    <row r="413" ht="15" customHeight="1">
      <c r="A413" t="inlineStr">
        <is>
          <t>A 61271-2020</t>
        </is>
      </c>
      <c r="B413" s="1" t="n">
        <v>44155</v>
      </c>
      <c r="C413" s="1" t="n">
        <v>45680</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62094-2020</t>
        </is>
      </c>
      <c r="B414" s="1" t="n">
        <v>44159</v>
      </c>
      <c r="C414" s="1" t="n">
        <v>45680</v>
      </c>
      <c r="D414" t="inlineStr">
        <is>
          <t>UPPSALA LÄN</t>
        </is>
      </c>
      <c r="E414" t="inlineStr">
        <is>
          <t>UPPSALA</t>
        </is>
      </c>
      <c r="F414" t="inlineStr">
        <is>
          <t>Bergvik skog öst AB</t>
        </is>
      </c>
      <c r="G414" t="n">
        <v>3.4</v>
      </c>
      <c r="H414" t="n">
        <v>0</v>
      </c>
      <c r="I414" t="n">
        <v>0</v>
      </c>
      <c r="J414" t="n">
        <v>0</v>
      </c>
      <c r="K414" t="n">
        <v>0</v>
      </c>
      <c r="L414" t="n">
        <v>0</v>
      </c>
      <c r="M414" t="n">
        <v>0</v>
      </c>
      <c r="N414" t="n">
        <v>0</v>
      </c>
      <c r="O414" t="n">
        <v>0</v>
      </c>
      <c r="P414" t="n">
        <v>0</v>
      </c>
      <c r="Q414" t="n">
        <v>0</v>
      </c>
      <c r="R414" s="2" t="inlineStr"/>
    </row>
    <row r="415" ht="15" customHeight="1">
      <c r="A415" t="inlineStr">
        <is>
          <t>A 62352-2020</t>
        </is>
      </c>
      <c r="B415" s="1" t="n">
        <v>44159</v>
      </c>
      <c r="C415" s="1" t="n">
        <v>45680</v>
      </c>
      <c r="D415" t="inlineStr">
        <is>
          <t>UPPSALA LÄN</t>
        </is>
      </c>
      <c r="E415" t="inlineStr">
        <is>
          <t>UPPSALA</t>
        </is>
      </c>
      <c r="F415" t="inlineStr">
        <is>
          <t>Allmännings- och besparingsskogar</t>
        </is>
      </c>
      <c r="G415" t="n">
        <v>12.9</v>
      </c>
      <c r="H415" t="n">
        <v>0</v>
      </c>
      <c r="I415" t="n">
        <v>0</v>
      </c>
      <c r="J415" t="n">
        <v>0</v>
      </c>
      <c r="K415" t="n">
        <v>0</v>
      </c>
      <c r="L415" t="n">
        <v>0</v>
      </c>
      <c r="M415" t="n">
        <v>0</v>
      </c>
      <c r="N415" t="n">
        <v>0</v>
      </c>
      <c r="O415" t="n">
        <v>0</v>
      </c>
      <c r="P415" t="n">
        <v>0</v>
      </c>
      <c r="Q415" t="n">
        <v>0</v>
      </c>
      <c r="R415" s="2" t="inlineStr"/>
    </row>
    <row r="416" ht="15" customHeight="1">
      <c r="A416" t="inlineStr">
        <is>
          <t>A 62504-2020</t>
        </is>
      </c>
      <c r="B416" s="1" t="n">
        <v>44160</v>
      </c>
      <c r="C416" s="1" t="n">
        <v>45680</v>
      </c>
      <c r="D416" t="inlineStr">
        <is>
          <t>UPPSALA LÄN</t>
        </is>
      </c>
      <c r="E416" t="inlineStr">
        <is>
          <t>UPPSALA</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62729-2020</t>
        </is>
      </c>
      <c r="B417" s="1" t="n">
        <v>44161</v>
      </c>
      <c r="C417" s="1" t="n">
        <v>45680</v>
      </c>
      <c r="D417" t="inlineStr">
        <is>
          <t>UPPSALA LÄN</t>
        </is>
      </c>
      <c r="E417" t="inlineStr">
        <is>
          <t>UPPSALA</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62655-2020</t>
        </is>
      </c>
      <c r="B418" s="1" t="n">
        <v>44161</v>
      </c>
      <c r="C418" s="1" t="n">
        <v>45680</v>
      </c>
      <c r="D418" t="inlineStr">
        <is>
          <t>UPPSALA LÄN</t>
        </is>
      </c>
      <c r="E418" t="inlineStr">
        <is>
          <t>UPPSALA</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63145-2020</t>
        </is>
      </c>
      <c r="B419" s="1" t="n">
        <v>44162</v>
      </c>
      <c r="C419" s="1" t="n">
        <v>45680</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63529-2020</t>
        </is>
      </c>
      <c r="B420" s="1" t="n">
        <v>44165</v>
      </c>
      <c r="C420" s="1" t="n">
        <v>45680</v>
      </c>
      <c r="D420" t="inlineStr">
        <is>
          <t>UPPSALA LÄN</t>
        </is>
      </c>
      <c r="E420" t="inlineStr">
        <is>
          <t>UPPSALA</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63749-2020</t>
        </is>
      </c>
      <c r="B421" s="1" t="n">
        <v>44166</v>
      </c>
      <c r="C421" s="1" t="n">
        <v>45680</v>
      </c>
      <c r="D421" t="inlineStr">
        <is>
          <t>UPPSALA LÄN</t>
        </is>
      </c>
      <c r="E421" t="inlineStr">
        <is>
          <t>UPPSALA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64128-2020</t>
        </is>
      </c>
      <c r="B422" s="1" t="n">
        <v>44167</v>
      </c>
      <c r="C422" s="1" t="n">
        <v>45680</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64353-2020</t>
        </is>
      </c>
      <c r="B423" s="1" t="n">
        <v>44168</v>
      </c>
      <c r="C423" s="1" t="n">
        <v>45680</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64333-2020</t>
        </is>
      </c>
      <c r="B424" s="1" t="n">
        <v>44168</v>
      </c>
      <c r="C424" s="1" t="n">
        <v>45680</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66984-2020</t>
        </is>
      </c>
      <c r="B425" s="1" t="n">
        <v>44180</v>
      </c>
      <c r="C425" s="1" t="n">
        <v>45680</v>
      </c>
      <c r="D425" t="inlineStr">
        <is>
          <t>UPPSALA LÄN</t>
        </is>
      </c>
      <c r="E425" t="inlineStr">
        <is>
          <t>UPPSALA</t>
        </is>
      </c>
      <c r="F425" t="inlineStr">
        <is>
          <t>Övriga statliga verk och myndigheter</t>
        </is>
      </c>
      <c r="G425" t="n">
        <v>2.1</v>
      </c>
      <c r="H425" t="n">
        <v>0</v>
      </c>
      <c r="I425" t="n">
        <v>0</v>
      </c>
      <c r="J425" t="n">
        <v>0</v>
      </c>
      <c r="K425" t="n">
        <v>0</v>
      </c>
      <c r="L425" t="n">
        <v>0</v>
      </c>
      <c r="M425" t="n">
        <v>0</v>
      </c>
      <c r="N425" t="n">
        <v>0</v>
      </c>
      <c r="O425" t="n">
        <v>0</v>
      </c>
      <c r="P425" t="n">
        <v>0</v>
      </c>
      <c r="Q425" t="n">
        <v>0</v>
      </c>
      <c r="R425" s="2" t="inlineStr"/>
    </row>
    <row r="426" ht="15" customHeight="1">
      <c r="A426" t="inlineStr">
        <is>
          <t>A 265-2021</t>
        </is>
      </c>
      <c r="B426" s="1" t="n">
        <v>44200</v>
      </c>
      <c r="C426" s="1" t="n">
        <v>45680</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1020-2021</t>
        </is>
      </c>
      <c r="B427" s="1" t="n">
        <v>44207</v>
      </c>
      <c r="C427" s="1" t="n">
        <v>45680</v>
      </c>
      <c r="D427" t="inlineStr">
        <is>
          <t>UPPSALA LÄN</t>
        </is>
      </c>
      <c r="E427" t="inlineStr">
        <is>
          <t>UPPSALA</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1573-2021</t>
        </is>
      </c>
      <c r="B428" s="1" t="n">
        <v>44209</v>
      </c>
      <c r="C428" s="1" t="n">
        <v>45680</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45680</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1855-2021</t>
        </is>
      </c>
      <c r="B430" s="1" t="n">
        <v>44210</v>
      </c>
      <c r="C430" s="1" t="n">
        <v>45680</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2169-2021</t>
        </is>
      </c>
      <c r="B431" s="1" t="n">
        <v>44211</v>
      </c>
      <c r="C431" s="1" t="n">
        <v>45680</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3864-2021</t>
        </is>
      </c>
      <c r="B432" s="1" t="n">
        <v>44216</v>
      </c>
      <c r="C432" s="1" t="n">
        <v>45680</v>
      </c>
      <c r="D432" t="inlineStr">
        <is>
          <t>UPPSALA LÄN</t>
        </is>
      </c>
      <c r="E432" t="inlineStr">
        <is>
          <t>UPPSALA</t>
        </is>
      </c>
      <c r="G432" t="n">
        <v>2.9</v>
      </c>
      <c r="H432" t="n">
        <v>0</v>
      </c>
      <c r="I432" t="n">
        <v>0</v>
      </c>
      <c r="J432" t="n">
        <v>0</v>
      </c>
      <c r="K432" t="n">
        <v>0</v>
      </c>
      <c r="L432" t="n">
        <v>0</v>
      </c>
      <c r="M432" t="n">
        <v>0</v>
      </c>
      <c r="N432" t="n">
        <v>0</v>
      </c>
      <c r="O432" t="n">
        <v>0</v>
      </c>
      <c r="P432" t="n">
        <v>0</v>
      </c>
      <c r="Q432" t="n">
        <v>0</v>
      </c>
      <c r="R432" s="2" t="inlineStr"/>
    </row>
    <row r="433" ht="15" customHeight="1">
      <c r="A433" t="inlineStr">
        <is>
          <t>A 3874-2021</t>
        </is>
      </c>
      <c r="B433" s="1" t="n">
        <v>44216</v>
      </c>
      <c r="C433" s="1" t="n">
        <v>45680</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3955-2021</t>
        </is>
      </c>
      <c r="B434" s="1" t="n">
        <v>44222</v>
      </c>
      <c r="C434" s="1" t="n">
        <v>45680</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4875-2021</t>
        </is>
      </c>
      <c r="B435" s="1" t="n">
        <v>44223</v>
      </c>
      <c r="C435" s="1" t="n">
        <v>45680</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5663-2021</t>
        </is>
      </c>
      <c r="B436" s="1" t="n">
        <v>44230</v>
      </c>
      <c r="C436" s="1" t="n">
        <v>45680</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8114-2021</t>
        </is>
      </c>
      <c r="B437" s="1" t="n">
        <v>44243</v>
      </c>
      <c r="C437" s="1" t="n">
        <v>45680</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8494-2021</t>
        </is>
      </c>
      <c r="B438" s="1" t="n">
        <v>44245</v>
      </c>
      <c r="C438" s="1" t="n">
        <v>45680</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9700-2021</t>
        </is>
      </c>
      <c r="B439" s="1" t="n">
        <v>44252</v>
      </c>
      <c r="C439" s="1" t="n">
        <v>45680</v>
      </c>
      <c r="D439" t="inlineStr">
        <is>
          <t>UPPSALA LÄN</t>
        </is>
      </c>
      <c r="E439" t="inlineStr">
        <is>
          <t>UPPSALA</t>
        </is>
      </c>
      <c r="G439" t="n">
        <v>3.3</v>
      </c>
      <c r="H439" t="n">
        <v>0</v>
      </c>
      <c r="I439" t="n">
        <v>0</v>
      </c>
      <c r="J439" t="n">
        <v>0</v>
      </c>
      <c r="K439" t="n">
        <v>0</v>
      </c>
      <c r="L439" t="n">
        <v>0</v>
      </c>
      <c r="M439" t="n">
        <v>0</v>
      </c>
      <c r="N439" t="n">
        <v>0</v>
      </c>
      <c r="O439" t="n">
        <v>0</v>
      </c>
      <c r="P439" t="n">
        <v>0</v>
      </c>
      <c r="Q439" t="n">
        <v>0</v>
      </c>
      <c r="R439" s="2" t="inlineStr"/>
    </row>
    <row r="440" ht="15" customHeight="1">
      <c r="A440" t="inlineStr">
        <is>
          <t>A 9712-2021</t>
        </is>
      </c>
      <c r="B440" s="1" t="n">
        <v>44252</v>
      </c>
      <c r="C440" s="1" t="n">
        <v>45680</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12225-2021</t>
        </is>
      </c>
      <c r="B441" s="1" t="n">
        <v>44266</v>
      </c>
      <c r="C441" s="1" t="n">
        <v>45680</v>
      </c>
      <c r="D441" t="inlineStr">
        <is>
          <t>UPPSALA LÄN</t>
        </is>
      </c>
      <c r="E441" t="inlineStr">
        <is>
          <t>UPPSALA</t>
        </is>
      </c>
      <c r="F441" t="inlineStr">
        <is>
          <t>Bergvik skog öst AB</t>
        </is>
      </c>
      <c r="G441" t="n">
        <v>4.8</v>
      </c>
      <c r="H441" t="n">
        <v>0</v>
      </c>
      <c r="I441" t="n">
        <v>0</v>
      </c>
      <c r="J441" t="n">
        <v>0</v>
      </c>
      <c r="K441" t="n">
        <v>0</v>
      </c>
      <c r="L441" t="n">
        <v>0</v>
      </c>
      <c r="M441" t="n">
        <v>0</v>
      </c>
      <c r="N441" t="n">
        <v>0</v>
      </c>
      <c r="O441" t="n">
        <v>0</v>
      </c>
      <c r="P441" t="n">
        <v>0</v>
      </c>
      <c r="Q441" t="n">
        <v>0</v>
      </c>
      <c r="R441" s="2" t="inlineStr"/>
    </row>
    <row r="442" ht="15" customHeight="1">
      <c r="A442" t="inlineStr">
        <is>
          <t>A 12152-2021</t>
        </is>
      </c>
      <c r="B442" s="1" t="n">
        <v>44266</v>
      </c>
      <c r="C442" s="1" t="n">
        <v>45680</v>
      </c>
      <c r="D442" t="inlineStr">
        <is>
          <t>UPPSALA LÄN</t>
        </is>
      </c>
      <c r="E442" t="inlineStr">
        <is>
          <t>UPPSALA</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12172-2021</t>
        </is>
      </c>
      <c r="B443" s="1" t="n">
        <v>44266</v>
      </c>
      <c r="C443" s="1" t="n">
        <v>45680</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12194-2021</t>
        </is>
      </c>
      <c r="B444" s="1" t="n">
        <v>44266</v>
      </c>
      <c r="C444" s="1" t="n">
        <v>45680</v>
      </c>
      <c r="D444" t="inlineStr">
        <is>
          <t>UPPSALA LÄN</t>
        </is>
      </c>
      <c r="E444" t="inlineStr">
        <is>
          <t>UPPSALA</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12313-2021</t>
        </is>
      </c>
      <c r="B445" s="1" t="n">
        <v>44266</v>
      </c>
      <c r="C445" s="1" t="n">
        <v>45680</v>
      </c>
      <c r="D445" t="inlineStr">
        <is>
          <t>UPPSALA LÄN</t>
        </is>
      </c>
      <c r="E445" t="inlineStr">
        <is>
          <t>UPPSALA</t>
        </is>
      </c>
      <c r="G445" t="n">
        <v>23.6</v>
      </c>
      <c r="H445" t="n">
        <v>0</v>
      </c>
      <c r="I445" t="n">
        <v>0</v>
      </c>
      <c r="J445" t="n">
        <v>0</v>
      </c>
      <c r="K445" t="n">
        <v>0</v>
      </c>
      <c r="L445" t="n">
        <v>0</v>
      </c>
      <c r="M445" t="n">
        <v>0</v>
      </c>
      <c r="N445" t="n">
        <v>0</v>
      </c>
      <c r="O445" t="n">
        <v>0</v>
      </c>
      <c r="P445" t="n">
        <v>0</v>
      </c>
      <c r="Q445" t="n">
        <v>0</v>
      </c>
      <c r="R445" s="2" t="inlineStr"/>
    </row>
    <row r="446" ht="15" customHeight="1">
      <c r="A446" t="inlineStr">
        <is>
          <t>A 13010-2021</t>
        </is>
      </c>
      <c r="B446" s="1" t="n">
        <v>44271</v>
      </c>
      <c r="C446" s="1" t="n">
        <v>45680</v>
      </c>
      <c r="D446" t="inlineStr">
        <is>
          <t>UPPSALA LÄN</t>
        </is>
      </c>
      <c r="E446" t="inlineStr">
        <is>
          <t>UPPSALA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13420-2021</t>
        </is>
      </c>
      <c r="B447" s="1" t="n">
        <v>44273</v>
      </c>
      <c r="C447" s="1" t="n">
        <v>45680</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14026-2021</t>
        </is>
      </c>
      <c r="B448" s="1" t="n">
        <v>44277</v>
      </c>
      <c r="C448" s="1" t="n">
        <v>45680</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14022-2021</t>
        </is>
      </c>
      <c r="B449" s="1" t="n">
        <v>44277</v>
      </c>
      <c r="C449" s="1" t="n">
        <v>45680</v>
      </c>
      <c r="D449" t="inlineStr">
        <is>
          <t>UPPSALA LÄN</t>
        </is>
      </c>
      <c r="E449" t="inlineStr">
        <is>
          <t>UPPSALA</t>
        </is>
      </c>
      <c r="G449" t="n">
        <v>11.1</v>
      </c>
      <c r="H449" t="n">
        <v>0</v>
      </c>
      <c r="I449" t="n">
        <v>0</v>
      </c>
      <c r="J449" t="n">
        <v>0</v>
      </c>
      <c r="K449" t="n">
        <v>0</v>
      </c>
      <c r="L449" t="n">
        <v>0</v>
      </c>
      <c r="M449" t="n">
        <v>0</v>
      </c>
      <c r="N449" t="n">
        <v>0</v>
      </c>
      <c r="O449" t="n">
        <v>0</v>
      </c>
      <c r="P449" t="n">
        <v>0</v>
      </c>
      <c r="Q449" t="n">
        <v>0</v>
      </c>
      <c r="R449" s="2" t="inlineStr"/>
    </row>
    <row r="450" ht="15" customHeight="1">
      <c r="A450" t="inlineStr">
        <is>
          <t>A 14341-2021</t>
        </is>
      </c>
      <c r="B450" s="1" t="n">
        <v>44279</v>
      </c>
      <c r="C450" s="1" t="n">
        <v>45680</v>
      </c>
      <c r="D450" t="inlineStr">
        <is>
          <t>UPPSALA LÄN</t>
        </is>
      </c>
      <c r="E450" t="inlineStr">
        <is>
          <t>UPPSALA</t>
        </is>
      </c>
      <c r="G450" t="n">
        <v>8.9</v>
      </c>
      <c r="H450" t="n">
        <v>0</v>
      </c>
      <c r="I450" t="n">
        <v>0</v>
      </c>
      <c r="J450" t="n">
        <v>0</v>
      </c>
      <c r="K450" t="n">
        <v>0</v>
      </c>
      <c r="L450" t="n">
        <v>0</v>
      </c>
      <c r="M450" t="n">
        <v>0</v>
      </c>
      <c r="N450" t="n">
        <v>0</v>
      </c>
      <c r="O450" t="n">
        <v>0</v>
      </c>
      <c r="P450" t="n">
        <v>0</v>
      </c>
      <c r="Q450" t="n">
        <v>0</v>
      </c>
      <c r="R450" s="2" t="inlineStr"/>
    </row>
    <row r="451" ht="15" customHeight="1">
      <c r="A451" t="inlineStr">
        <is>
          <t>A 14941-2021</t>
        </is>
      </c>
      <c r="B451" s="1" t="n">
        <v>44281</v>
      </c>
      <c r="C451" s="1" t="n">
        <v>45680</v>
      </c>
      <c r="D451" t="inlineStr">
        <is>
          <t>UPPSALA LÄN</t>
        </is>
      </c>
      <c r="E451" t="inlineStr">
        <is>
          <t>UPPSALA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15816-2021</t>
        </is>
      </c>
      <c r="B452" s="1" t="n">
        <v>44286</v>
      </c>
      <c r="C452" s="1" t="n">
        <v>45680</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15820-2021</t>
        </is>
      </c>
      <c r="B453" s="1" t="n">
        <v>44286</v>
      </c>
      <c r="C453" s="1" t="n">
        <v>45680</v>
      </c>
      <c r="D453" t="inlineStr">
        <is>
          <t>UPPSALA LÄN</t>
        </is>
      </c>
      <c r="E453" t="inlineStr">
        <is>
          <t>UPPSALA</t>
        </is>
      </c>
      <c r="G453" t="n">
        <v>2.1</v>
      </c>
      <c r="H453" t="n">
        <v>0</v>
      </c>
      <c r="I453" t="n">
        <v>0</v>
      </c>
      <c r="J453" t="n">
        <v>0</v>
      </c>
      <c r="K453" t="n">
        <v>0</v>
      </c>
      <c r="L453" t="n">
        <v>0</v>
      </c>
      <c r="M453" t="n">
        <v>0</v>
      </c>
      <c r="N453" t="n">
        <v>0</v>
      </c>
      <c r="O453" t="n">
        <v>0</v>
      </c>
      <c r="P453" t="n">
        <v>0</v>
      </c>
      <c r="Q453" t="n">
        <v>0</v>
      </c>
      <c r="R453" s="2" t="inlineStr"/>
    </row>
    <row r="454" ht="15" customHeight="1">
      <c r="A454" t="inlineStr">
        <is>
          <t>A 16592-2021</t>
        </is>
      </c>
      <c r="B454" s="1" t="n">
        <v>44294</v>
      </c>
      <c r="C454" s="1" t="n">
        <v>45680</v>
      </c>
      <c r="D454" t="inlineStr">
        <is>
          <t>UPPSALA LÄN</t>
        </is>
      </c>
      <c r="E454" t="inlineStr">
        <is>
          <t>UPPSALA</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16615-2021</t>
        </is>
      </c>
      <c r="B455" s="1" t="n">
        <v>44294</v>
      </c>
      <c r="C455" s="1" t="n">
        <v>45680</v>
      </c>
      <c r="D455" t="inlineStr">
        <is>
          <t>UPPSALA LÄN</t>
        </is>
      </c>
      <c r="E455" t="inlineStr">
        <is>
          <t>UPPSALA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16684-2021</t>
        </is>
      </c>
      <c r="B456" s="1" t="n">
        <v>44294</v>
      </c>
      <c r="C456" s="1" t="n">
        <v>45680</v>
      </c>
      <c r="D456" t="inlineStr">
        <is>
          <t>UPPSALA LÄN</t>
        </is>
      </c>
      <c r="E456" t="inlineStr">
        <is>
          <t>UPPSALA</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17262-2021</t>
        </is>
      </c>
      <c r="B457" s="1" t="n">
        <v>44297</v>
      </c>
      <c r="C457" s="1" t="n">
        <v>45680</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17250-2021</t>
        </is>
      </c>
      <c r="B458" s="1" t="n">
        <v>44297</v>
      </c>
      <c r="C458" s="1" t="n">
        <v>45680</v>
      </c>
      <c r="D458" t="inlineStr">
        <is>
          <t>UPPSALA LÄN</t>
        </is>
      </c>
      <c r="E458" t="inlineStr">
        <is>
          <t>UPPSALA</t>
        </is>
      </c>
      <c r="G458" t="n">
        <v>3.6</v>
      </c>
      <c r="H458" t="n">
        <v>0</v>
      </c>
      <c r="I458" t="n">
        <v>0</v>
      </c>
      <c r="J458" t="n">
        <v>0</v>
      </c>
      <c r="K458" t="n">
        <v>0</v>
      </c>
      <c r="L458" t="n">
        <v>0</v>
      </c>
      <c r="M458" t="n">
        <v>0</v>
      </c>
      <c r="N458" t="n">
        <v>0</v>
      </c>
      <c r="O458" t="n">
        <v>0</v>
      </c>
      <c r="P458" t="n">
        <v>0</v>
      </c>
      <c r="Q458" t="n">
        <v>0</v>
      </c>
      <c r="R458" s="2" t="inlineStr"/>
    </row>
    <row r="459" ht="15" customHeight="1">
      <c r="A459" t="inlineStr">
        <is>
          <t>A 17536-2021</t>
        </is>
      </c>
      <c r="B459" s="1" t="n">
        <v>44299</v>
      </c>
      <c r="C459" s="1" t="n">
        <v>45680</v>
      </c>
      <c r="D459" t="inlineStr">
        <is>
          <t>UPPSALA LÄN</t>
        </is>
      </c>
      <c r="E459" t="inlineStr">
        <is>
          <t>UPPSALA</t>
        </is>
      </c>
      <c r="F459" t="inlineStr">
        <is>
          <t>Holmen skog AB</t>
        </is>
      </c>
      <c r="G459" t="n">
        <v>7.6</v>
      </c>
      <c r="H459" t="n">
        <v>0</v>
      </c>
      <c r="I459" t="n">
        <v>0</v>
      </c>
      <c r="J459" t="n">
        <v>0</v>
      </c>
      <c r="K459" t="n">
        <v>0</v>
      </c>
      <c r="L459" t="n">
        <v>0</v>
      </c>
      <c r="M459" t="n">
        <v>0</v>
      </c>
      <c r="N459" t="n">
        <v>0</v>
      </c>
      <c r="O459" t="n">
        <v>0</v>
      </c>
      <c r="P459" t="n">
        <v>0</v>
      </c>
      <c r="Q459" t="n">
        <v>0</v>
      </c>
      <c r="R459" s="2" t="inlineStr"/>
    </row>
    <row r="460" ht="15" customHeight="1">
      <c r="A460" t="inlineStr">
        <is>
          <t>A 18906-2021</t>
        </is>
      </c>
      <c r="B460" s="1" t="n">
        <v>44308</v>
      </c>
      <c r="C460" s="1" t="n">
        <v>45680</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19927-2021</t>
        </is>
      </c>
      <c r="B461" s="1" t="n">
        <v>44313</v>
      </c>
      <c r="C461" s="1" t="n">
        <v>45680</v>
      </c>
      <c r="D461" t="inlineStr">
        <is>
          <t>UPPSALA LÄN</t>
        </is>
      </c>
      <c r="E461" t="inlineStr">
        <is>
          <t>UPPSALA</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19947-2021</t>
        </is>
      </c>
      <c r="B462" s="1" t="n">
        <v>44313</v>
      </c>
      <c r="C462" s="1" t="n">
        <v>45680</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20276-2021</t>
        </is>
      </c>
      <c r="B463" s="1" t="n">
        <v>44314</v>
      </c>
      <c r="C463" s="1" t="n">
        <v>45680</v>
      </c>
      <c r="D463" t="inlineStr">
        <is>
          <t>UPPSALA LÄN</t>
        </is>
      </c>
      <c r="E463" t="inlineStr">
        <is>
          <t>UPPSALA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20271-2021</t>
        </is>
      </c>
      <c r="B464" s="1" t="n">
        <v>44314</v>
      </c>
      <c r="C464" s="1" t="n">
        <v>45680</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20609-2021</t>
        </is>
      </c>
      <c r="B465" s="1" t="n">
        <v>44316</v>
      </c>
      <c r="C465" s="1" t="n">
        <v>45680</v>
      </c>
      <c r="D465" t="inlineStr">
        <is>
          <t>UPPSALA LÄN</t>
        </is>
      </c>
      <c r="E465" t="inlineStr">
        <is>
          <t>UPPSALA</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22070-2021</t>
        </is>
      </c>
      <c r="B466" s="1" t="n">
        <v>44323</v>
      </c>
      <c r="C466" s="1" t="n">
        <v>45680</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22946-2021</t>
        </is>
      </c>
      <c r="B467" s="1" t="n">
        <v>44328</v>
      </c>
      <c r="C467" s="1" t="n">
        <v>45680</v>
      </c>
      <c r="D467" t="inlineStr">
        <is>
          <t>UPPSALA LÄN</t>
        </is>
      </c>
      <c r="E467" t="inlineStr">
        <is>
          <t>UPPSALA</t>
        </is>
      </c>
      <c r="G467" t="n">
        <v>2.3</v>
      </c>
      <c r="H467" t="n">
        <v>0</v>
      </c>
      <c r="I467" t="n">
        <v>0</v>
      </c>
      <c r="J467" t="n">
        <v>0</v>
      </c>
      <c r="K467" t="n">
        <v>0</v>
      </c>
      <c r="L467" t="n">
        <v>0</v>
      </c>
      <c r="M467" t="n">
        <v>0</v>
      </c>
      <c r="N467" t="n">
        <v>0</v>
      </c>
      <c r="O467" t="n">
        <v>0</v>
      </c>
      <c r="P467" t="n">
        <v>0</v>
      </c>
      <c r="Q467" t="n">
        <v>0</v>
      </c>
      <c r="R467" s="2" t="inlineStr"/>
    </row>
    <row r="468" ht="15" customHeight="1">
      <c r="A468" t="inlineStr">
        <is>
          <t>A 23877-2021</t>
        </is>
      </c>
      <c r="B468" s="1" t="n">
        <v>44335</v>
      </c>
      <c r="C468" s="1" t="n">
        <v>45680</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25613-2021</t>
        </is>
      </c>
      <c r="B469" s="1" t="n">
        <v>44343</v>
      </c>
      <c r="C469" s="1" t="n">
        <v>45680</v>
      </c>
      <c r="D469" t="inlineStr">
        <is>
          <t>UPPSALA LÄN</t>
        </is>
      </c>
      <c r="E469" t="inlineStr">
        <is>
          <t>UPPSALA</t>
        </is>
      </c>
      <c r="G469" t="n">
        <v>2.1</v>
      </c>
      <c r="H469" t="n">
        <v>0</v>
      </c>
      <c r="I469" t="n">
        <v>0</v>
      </c>
      <c r="J469" t="n">
        <v>0</v>
      </c>
      <c r="K469" t="n">
        <v>0</v>
      </c>
      <c r="L469" t="n">
        <v>0</v>
      </c>
      <c r="M469" t="n">
        <v>0</v>
      </c>
      <c r="N469" t="n">
        <v>0</v>
      </c>
      <c r="O469" t="n">
        <v>0</v>
      </c>
      <c r="P469" t="n">
        <v>0</v>
      </c>
      <c r="Q469" t="n">
        <v>0</v>
      </c>
      <c r="R469" s="2" t="inlineStr"/>
    </row>
    <row r="470" ht="15" customHeight="1">
      <c r="A470" t="inlineStr">
        <is>
          <t>A 26785-2021</t>
        </is>
      </c>
      <c r="B470" s="1" t="n">
        <v>44349</v>
      </c>
      <c r="C470" s="1" t="n">
        <v>45680</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27365-2021</t>
        </is>
      </c>
      <c r="B471" s="1" t="n">
        <v>44351</v>
      </c>
      <c r="C471" s="1" t="n">
        <v>45680</v>
      </c>
      <c r="D471" t="inlineStr">
        <is>
          <t>UPPSALA LÄN</t>
        </is>
      </c>
      <c r="E471" t="inlineStr">
        <is>
          <t>UPPSALA</t>
        </is>
      </c>
      <c r="F471" t="inlineStr">
        <is>
          <t>Allmännings- och besparingsskogar</t>
        </is>
      </c>
      <c r="G471" t="n">
        <v>20.5</v>
      </c>
      <c r="H471" t="n">
        <v>0</v>
      </c>
      <c r="I471" t="n">
        <v>0</v>
      </c>
      <c r="J471" t="n">
        <v>0</v>
      </c>
      <c r="K471" t="n">
        <v>0</v>
      </c>
      <c r="L471" t="n">
        <v>0</v>
      </c>
      <c r="M471" t="n">
        <v>0</v>
      </c>
      <c r="N471" t="n">
        <v>0</v>
      </c>
      <c r="O471" t="n">
        <v>0</v>
      </c>
      <c r="P471" t="n">
        <v>0</v>
      </c>
      <c r="Q471" t="n">
        <v>0</v>
      </c>
      <c r="R471" s="2" t="inlineStr"/>
    </row>
    <row r="472" ht="15" customHeight="1">
      <c r="A472" t="inlineStr">
        <is>
          <t>A 28694-2021</t>
        </is>
      </c>
      <c r="B472" s="1" t="n">
        <v>44357</v>
      </c>
      <c r="C472" s="1" t="n">
        <v>45680</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29145-2021</t>
        </is>
      </c>
      <c r="B473" s="1" t="n">
        <v>44358</v>
      </c>
      <c r="C473" s="1" t="n">
        <v>45680</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30655-2021</t>
        </is>
      </c>
      <c r="B474" s="1" t="n">
        <v>44365</v>
      </c>
      <c r="C474" s="1" t="n">
        <v>45680</v>
      </c>
      <c r="D474" t="inlineStr">
        <is>
          <t>UPPSALA LÄN</t>
        </is>
      </c>
      <c r="E474" t="inlineStr">
        <is>
          <t>UPPSALA</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30656-2021</t>
        </is>
      </c>
      <c r="B475" s="1" t="n">
        <v>44365</v>
      </c>
      <c r="C475" s="1" t="n">
        <v>45680</v>
      </c>
      <c r="D475" t="inlineStr">
        <is>
          <t>UPPSALA LÄN</t>
        </is>
      </c>
      <c r="E475" t="inlineStr">
        <is>
          <t>UPPSALA</t>
        </is>
      </c>
      <c r="G475" t="n">
        <v>6.7</v>
      </c>
      <c r="H475" t="n">
        <v>0</v>
      </c>
      <c r="I475" t="n">
        <v>0</v>
      </c>
      <c r="J475" t="n">
        <v>0</v>
      </c>
      <c r="K475" t="n">
        <v>0</v>
      </c>
      <c r="L475" t="n">
        <v>0</v>
      </c>
      <c r="M475" t="n">
        <v>0</v>
      </c>
      <c r="N475" t="n">
        <v>0</v>
      </c>
      <c r="O475" t="n">
        <v>0</v>
      </c>
      <c r="P475" t="n">
        <v>0</v>
      </c>
      <c r="Q475" t="n">
        <v>0</v>
      </c>
      <c r="R475" s="2" t="inlineStr"/>
    </row>
    <row r="476" ht="15" customHeight="1">
      <c r="A476" t="inlineStr">
        <is>
          <t>A 31646-2021</t>
        </is>
      </c>
      <c r="B476" s="1" t="n">
        <v>44369</v>
      </c>
      <c r="C476" s="1" t="n">
        <v>45680</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31662-2021</t>
        </is>
      </c>
      <c r="B477" s="1" t="n">
        <v>44369</v>
      </c>
      <c r="C477" s="1" t="n">
        <v>45680</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31829-2021</t>
        </is>
      </c>
      <c r="B478" s="1" t="n">
        <v>44370</v>
      </c>
      <c r="C478" s="1" t="n">
        <v>45680</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32276-2021</t>
        </is>
      </c>
      <c r="B479" s="1" t="n">
        <v>44371</v>
      </c>
      <c r="C479" s="1" t="n">
        <v>45680</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32428-2021</t>
        </is>
      </c>
      <c r="B480" s="1" t="n">
        <v>44371</v>
      </c>
      <c r="C480" s="1" t="n">
        <v>45680</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32955-2021</t>
        </is>
      </c>
      <c r="B481" s="1" t="n">
        <v>44376</v>
      </c>
      <c r="C481" s="1" t="n">
        <v>45680</v>
      </c>
      <c r="D481" t="inlineStr">
        <is>
          <t>UPPSALA LÄN</t>
        </is>
      </c>
      <c r="E481" t="inlineStr">
        <is>
          <t>UPPSALA</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33797-2021</t>
        </is>
      </c>
      <c r="B482" s="1" t="n">
        <v>44378</v>
      </c>
      <c r="C482" s="1" t="n">
        <v>45680</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33920-2021</t>
        </is>
      </c>
      <c r="B483" s="1" t="n">
        <v>44378</v>
      </c>
      <c r="C483" s="1" t="n">
        <v>45680</v>
      </c>
      <c r="D483" t="inlineStr">
        <is>
          <t>UPPSALA LÄN</t>
        </is>
      </c>
      <c r="E483" t="inlineStr">
        <is>
          <t>UPPSALA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34020-2021</t>
        </is>
      </c>
      <c r="B484" s="1" t="n">
        <v>44379</v>
      </c>
      <c r="C484" s="1" t="n">
        <v>45680</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34039-2021</t>
        </is>
      </c>
      <c r="B485" s="1" t="n">
        <v>44379</v>
      </c>
      <c r="C485" s="1" t="n">
        <v>45680</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34043-2021</t>
        </is>
      </c>
      <c r="B486" s="1" t="n">
        <v>44379</v>
      </c>
      <c r="C486" s="1" t="n">
        <v>45680</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34265-2021</t>
        </is>
      </c>
      <c r="B487" s="1" t="n">
        <v>44379</v>
      </c>
      <c r="C487" s="1" t="n">
        <v>45680</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34249-2021</t>
        </is>
      </c>
      <c r="B488" s="1" t="n">
        <v>44379</v>
      </c>
      <c r="C488" s="1" t="n">
        <v>45680</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34243-2021</t>
        </is>
      </c>
      <c r="B489" s="1" t="n">
        <v>44379</v>
      </c>
      <c r="C489" s="1" t="n">
        <v>45680</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34263-2021</t>
        </is>
      </c>
      <c r="B490" s="1" t="n">
        <v>44379</v>
      </c>
      <c r="C490" s="1" t="n">
        <v>45680</v>
      </c>
      <c r="D490" t="inlineStr">
        <is>
          <t>UPPSALA LÄN</t>
        </is>
      </c>
      <c r="E490" t="inlineStr">
        <is>
          <t>UPPSALA</t>
        </is>
      </c>
      <c r="G490" t="n">
        <v>5.8</v>
      </c>
      <c r="H490" t="n">
        <v>0</v>
      </c>
      <c r="I490" t="n">
        <v>0</v>
      </c>
      <c r="J490" t="n">
        <v>0</v>
      </c>
      <c r="K490" t="n">
        <v>0</v>
      </c>
      <c r="L490" t="n">
        <v>0</v>
      </c>
      <c r="M490" t="n">
        <v>0</v>
      </c>
      <c r="N490" t="n">
        <v>0</v>
      </c>
      <c r="O490" t="n">
        <v>0</v>
      </c>
      <c r="P490" t="n">
        <v>0</v>
      </c>
      <c r="Q490" t="n">
        <v>0</v>
      </c>
      <c r="R490" s="2" t="inlineStr"/>
    </row>
    <row r="491" ht="15" customHeight="1">
      <c r="A491" t="inlineStr">
        <is>
          <t>A 34838-2021</t>
        </is>
      </c>
      <c r="B491" s="1" t="n">
        <v>44383</v>
      </c>
      <c r="C491" s="1" t="n">
        <v>45680</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34825-2021</t>
        </is>
      </c>
      <c r="B492" s="1" t="n">
        <v>44383</v>
      </c>
      <c r="C492" s="1" t="n">
        <v>45680</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35630-2021</t>
        </is>
      </c>
      <c r="B493" s="1" t="n">
        <v>44386</v>
      </c>
      <c r="C493" s="1" t="n">
        <v>45680</v>
      </c>
      <c r="D493" t="inlineStr">
        <is>
          <t>UPPSALA LÄN</t>
        </is>
      </c>
      <c r="E493" t="inlineStr">
        <is>
          <t>UPPSALA</t>
        </is>
      </c>
      <c r="G493" t="n">
        <v>6</v>
      </c>
      <c r="H493" t="n">
        <v>0</v>
      </c>
      <c r="I493" t="n">
        <v>0</v>
      </c>
      <c r="J493" t="n">
        <v>0</v>
      </c>
      <c r="K493" t="n">
        <v>0</v>
      </c>
      <c r="L493" t="n">
        <v>0</v>
      </c>
      <c r="M493" t="n">
        <v>0</v>
      </c>
      <c r="N493" t="n">
        <v>0</v>
      </c>
      <c r="O493" t="n">
        <v>0</v>
      </c>
      <c r="P493" t="n">
        <v>0</v>
      </c>
      <c r="Q493" t="n">
        <v>0</v>
      </c>
      <c r="R493" s="2" t="inlineStr"/>
    </row>
    <row r="494" ht="15" customHeight="1">
      <c r="A494" t="inlineStr">
        <is>
          <t>A 36304-2021</t>
        </is>
      </c>
      <c r="B494" s="1" t="n">
        <v>44390</v>
      </c>
      <c r="C494" s="1" t="n">
        <v>45680</v>
      </c>
      <c r="D494" t="inlineStr">
        <is>
          <t>UPPSALA LÄN</t>
        </is>
      </c>
      <c r="E494" t="inlineStr">
        <is>
          <t>UPPSALA</t>
        </is>
      </c>
      <c r="G494" t="n">
        <v>7.4</v>
      </c>
      <c r="H494" t="n">
        <v>0</v>
      </c>
      <c r="I494" t="n">
        <v>0</v>
      </c>
      <c r="J494" t="n">
        <v>0</v>
      </c>
      <c r="K494" t="n">
        <v>0</v>
      </c>
      <c r="L494" t="n">
        <v>0</v>
      </c>
      <c r="M494" t="n">
        <v>0</v>
      </c>
      <c r="N494" t="n">
        <v>0</v>
      </c>
      <c r="O494" t="n">
        <v>0</v>
      </c>
      <c r="P494" t="n">
        <v>0</v>
      </c>
      <c r="Q494" t="n">
        <v>0</v>
      </c>
      <c r="R494" s="2" t="inlineStr"/>
    </row>
    <row r="495" ht="15" customHeight="1">
      <c r="A495" t="inlineStr">
        <is>
          <t>A 36721-2021</t>
        </is>
      </c>
      <c r="B495" s="1" t="n">
        <v>44392</v>
      </c>
      <c r="C495" s="1" t="n">
        <v>45680</v>
      </c>
      <c r="D495" t="inlineStr">
        <is>
          <t>UPPSALA LÄN</t>
        </is>
      </c>
      <c r="E495" t="inlineStr">
        <is>
          <t>UPPSALA</t>
        </is>
      </c>
      <c r="F495" t="inlineStr">
        <is>
          <t>Bergvik skog öst AB</t>
        </is>
      </c>
      <c r="G495" t="n">
        <v>5.8</v>
      </c>
      <c r="H495" t="n">
        <v>0</v>
      </c>
      <c r="I495" t="n">
        <v>0</v>
      </c>
      <c r="J495" t="n">
        <v>0</v>
      </c>
      <c r="K495" t="n">
        <v>0</v>
      </c>
      <c r="L495" t="n">
        <v>0</v>
      </c>
      <c r="M495" t="n">
        <v>0</v>
      </c>
      <c r="N495" t="n">
        <v>0</v>
      </c>
      <c r="O495" t="n">
        <v>0</v>
      </c>
      <c r="P495" t="n">
        <v>0</v>
      </c>
      <c r="Q495" t="n">
        <v>0</v>
      </c>
      <c r="R495" s="2" t="inlineStr"/>
    </row>
    <row r="496" ht="15" customHeight="1">
      <c r="A496" t="inlineStr">
        <is>
          <t>A 36998-2021</t>
        </is>
      </c>
      <c r="B496" s="1" t="n">
        <v>44393</v>
      </c>
      <c r="C496" s="1" t="n">
        <v>45680</v>
      </c>
      <c r="D496" t="inlineStr">
        <is>
          <t>UPPSALA LÄN</t>
        </is>
      </c>
      <c r="E496" t="inlineStr">
        <is>
          <t>UPPSALA</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37162-2021</t>
        </is>
      </c>
      <c r="B497" s="1" t="n">
        <v>44395</v>
      </c>
      <c r="C497" s="1" t="n">
        <v>45680</v>
      </c>
      <c r="D497" t="inlineStr">
        <is>
          <t>UPPSALA LÄN</t>
        </is>
      </c>
      <c r="E497" t="inlineStr">
        <is>
          <t>UPPSALA</t>
        </is>
      </c>
      <c r="G497" t="n">
        <v>3.5</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v>
      </c>
      <c r="C498" s="1" t="n">
        <v>45680</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37819-2021</t>
        </is>
      </c>
      <c r="B499" s="1" t="n">
        <v>44403</v>
      </c>
      <c r="C499" s="1" t="n">
        <v>45680</v>
      </c>
      <c r="D499" t="inlineStr">
        <is>
          <t>UPPSALA LÄN</t>
        </is>
      </c>
      <c r="E499" t="inlineStr">
        <is>
          <t>UPPSALA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37820-2021</t>
        </is>
      </c>
      <c r="B500" s="1" t="n">
        <v>44403</v>
      </c>
      <c r="C500" s="1" t="n">
        <v>45680</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38469-2021</t>
        </is>
      </c>
      <c r="B501" s="1" t="n">
        <v>44407</v>
      </c>
      <c r="C501" s="1" t="n">
        <v>45680</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38463-2021</t>
        </is>
      </c>
      <c r="B502" s="1" t="n">
        <v>44407</v>
      </c>
      <c r="C502" s="1" t="n">
        <v>45680</v>
      </c>
      <c r="D502" t="inlineStr">
        <is>
          <t>UPPSALA LÄN</t>
        </is>
      </c>
      <c r="E502" t="inlineStr">
        <is>
          <t>UPPSALA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40500-2021</t>
        </is>
      </c>
      <c r="B503" s="1" t="n">
        <v>44420</v>
      </c>
      <c r="C503" s="1" t="n">
        <v>45680</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40507-2021</t>
        </is>
      </c>
      <c r="B504" s="1" t="n">
        <v>44420</v>
      </c>
      <c r="C504" s="1" t="n">
        <v>45680</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42124-2021</t>
        </is>
      </c>
      <c r="B505" s="1" t="n">
        <v>44426</v>
      </c>
      <c r="C505" s="1" t="n">
        <v>45680</v>
      </c>
      <c r="D505" t="inlineStr">
        <is>
          <t>UPPSALA LÄN</t>
        </is>
      </c>
      <c r="E505" t="inlineStr">
        <is>
          <t>UPPSALA</t>
        </is>
      </c>
      <c r="G505" t="n">
        <v>6.3</v>
      </c>
      <c r="H505" t="n">
        <v>0</v>
      </c>
      <c r="I505" t="n">
        <v>0</v>
      </c>
      <c r="J505" t="n">
        <v>0</v>
      </c>
      <c r="K505" t="n">
        <v>0</v>
      </c>
      <c r="L505" t="n">
        <v>0</v>
      </c>
      <c r="M505" t="n">
        <v>0</v>
      </c>
      <c r="N505" t="n">
        <v>0</v>
      </c>
      <c r="O505" t="n">
        <v>0</v>
      </c>
      <c r="P505" t="n">
        <v>0</v>
      </c>
      <c r="Q505" t="n">
        <v>0</v>
      </c>
      <c r="R505" s="2" t="inlineStr"/>
    </row>
    <row r="506" ht="15" customHeight="1">
      <c r="A506" t="inlineStr">
        <is>
          <t>A 42294-2021</t>
        </is>
      </c>
      <c r="B506" s="1" t="n">
        <v>44427</v>
      </c>
      <c r="C506" s="1" t="n">
        <v>45680</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44315-2021</t>
        </is>
      </c>
      <c r="B507" s="1" t="n">
        <v>44435</v>
      </c>
      <c r="C507" s="1" t="n">
        <v>45680</v>
      </c>
      <c r="D507" t="inlineStr">
        <is>
          <t>UPPSALA LÄN</t>
        </is>
      </c>
      <c r="E507" t="inlineStr">
        <is>
          <t>UPPSALA</t>
        </is>
      </c>
      <c r="G507" t="n">
        <v>5.2</v>
      </c>
      <c r="H507" t="n">
        <v>0</v>
      </c>
      <c r="I507" t="n">
        <v>0</v>
      </c>
      <c r="J507" t="n">
        <v>0</v>
      </c>
      <c r="K507" t="n">
        <v>0</v>
      </c>
      <c r="L507" t="n">
        <v>0</v>
      </c>
      <c r="M507" t="n">
        <v>0</v>
      </c>
      <c r="N507" t="n">
        <v>0</v>
      </c>
      <c r="O507" t="n">
        <v>0</v>
      </c>
      <c r="P507" t="n">
        <v>0</v>
      </c>
      <c r="Q507" t="n">
        <v>0</v>
      </c>
      <c r="R507" s="2" t="inlineStr"/>
    </row>
    <row r="508" ht="15" customHeight="1">
      <c r="A508" t="inlineStr">
        <is>
          <t>A 44781-2021</t>
        </is>
      </c>
      <c r="B508" s="1" t="n">
        <v>44438</v>
      </c>
      <c r="C508" s="1" t="n">
        <v>45680</v>
      </c>
      <c r="D508" t="inlineStr">
        <is>
          <t>UPPSALA LÄN</t>
        </is>
      </c>
      <c r="E508" t="inlineStr">
        <is>
          <t>UPPSALA</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46097-2021</t>
        </is>
      </c>
      <c r="B509" s="1" t="n">
        <v>44442</v>
      </c>
      <c r="C509" s="1" t="n">
        <v>45680</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46099-2021</t>
        </is>
      </c>
      <c r="B510" s="1" t="n">
        <v>44442</v>
      </c>
      <c r="C510" s="1" t="n">
        <v>45680</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46553-2021</t>
        </is>
      </c>
      <c r="B511" s="1" t="n">
        <v>44445</v>
      </c>
      <c r="C511" s="1" t="n">
        <v>45680</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46920-2021</t>
        </is>
      </c>
      <c r="B512" s="1" t="n">
        <v>44446</v>
      </c>
      <c r="C512" s="1" t="n">
        <v>45680</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46916-2021</t>
        </is>
      </c>
      <c r="B513" s="1" t="n">
        <v>44446</v>
      </c>
      <c r="C513" s="1" t="n">
        <v>45680</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47367-2021</t>
        </is>
      </c>
      <c r="B514" s="1" t="n">
        <v>44447</v>
      </c>
      <c r="C514" s="1" t="n">
        <v>45680</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48918-2021</t>
        </is>
      </c>
      <c r="B515" s="1" t="n">
        <v>44453</v>
      </c>
      <c r="C515" s="1" t="n">
        <v>45680</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49274-2021</t>
        </is>
      </c>
      <c r="B516" s="1" t="n">
        <v>44454</v>
      </c>
      <c r="C516" s="1" t="n">
        <v>45680</v>
      </c>
      <c r="D516" t="inlineStr">
        <is>
          <t>UPPSALA LÄN</t>
        </is>
      </c>
      <c r="E516" t="inlineStr">
        <is>
          <t>UPPSALA</t>
        </is>
      </c>
      <c r="G516" t="n">
        <v>8.5</v>
      </c>
      <c r="H516" t="n">
        <v>0</v>
      </c>
      <c r="I516" t="n">
        <v>0</v>
      </c>
      <c r="J516" t="n">
        <v>0</v>
      </c>
      <c r="K516" t="n">
        <v>0</v>
      </c>
      <c r="L516" t="n">
        <v>0</v>
      </c>
      <c r="M516" t="n">
        <v>0</v>
      </c>
      <c r="N516" t="n">
        <v>0</v>
      </c>
      <c r="O516" t="n">
        <v>0</v>
      </c>
      <c r="P516" t="n">
        <v>0</v>
      </c>
      <c r="Q516" t="n">
        <v>0</v>
      </c>
      <c r="R516" s="2" t="inlineStr"/>
    </row>
    <row r="517" ht="15" customHeight="1">
      <c r="A517" t="inlineStr">
        <is>
          <t>A 51050-2021</t>
        </is>
      </c>
      <c r="B517" s="1" t="n">
        <v>44459</v>
      </c>
      <c r="C517" s="1" t="n">
        <v>45680</v>
      </c>
      <c r="D517" t="inlineStr">
        <is>
          <t>UPPSALA LÄN</t>
        </is>
      </c>
      <c r="E517" t="inlineStr">
        <is>
          <t>UPPSALA</t>
        </is>
      </c>
      <c r="F517" t="inlineStr">
        <is>
          <t>Övriga Aktiebolag</t>
        </is>
      </c>
      <c r="G517" t="n">
        <v>7.5</v>
      </c>
      <c r="H517" t="n">
        <v>0</v>
      </c>
      <c r="I517" t="n">
        <v>0</v>
      </c>
      <c r="J517" t="n">
        <v>0</v>
      </c>
      <c r="K517" t="n">
        <v>0</v>
      </c>
      <c r="L517" t="n">
        <v>0</v>
      </c>
      <c r="M517" t="n">
        <v>0</v>
      </c>
      <c r="N517" t="n">
        <v>0</v>
      </c>
      <c r="O517" t="n">
        <v>0</v>
      </c>
      <c r="P517" t="n">
        <v>0</v>
      </c>
      <c r="Q517" t="n">
        <v>0</v>
      </c>
      <c r="R517" s="2" t="inlineStr"/>
    </row>
    <row r="518" ht="15" customHeight="1">
      <c r="A518" t="inlineStr">
        <is>
          <t>A 51821-2021</t>
        </is>
      </c>
      <c r="B518" s="1" t="n">
        <v>44461</v>
      </c>
      <c r="C518" s="1" t="n">
        <v>45680</v>
      </c>
      <c r="D518" t="inlineStr">
        <is>
          <t>UPPSALA LÄN</t>
        </is>
      </c>
      <c r="E518" t="inlineStr">
        <is>
          <t>UPPSALA</t>
        </is>
      </c>
      <c r="F518" t="inlineStr">
        <is>
          <t>Övriga Aktiebolag</t>
        </is>
      </c>
      <c r="G518" t="n">
        <v>5.3</v>
      </c>
      <c r="H518" t="n">
        <v>0</v>
      </c>
      <c r="I518" t="n">
        <v>0</v>
      </c>
      <c r="J518" t="n">
        <v>0</v>
      </c>
      <c r="K518" t="n">
        <v>0</v>
      </c>
      <c r="L518" t="n">
        <v>0</v>
      </c>
      <c r="M518" t="n">
        <v>0</v>
      </c>
      <c r="N518" t="n">
        <v>0</v>
      </c>
      <c r="O518" t="n">
        <v>0</v>
      </c>
      <c r="P518" t="n">
        <v>0</v>
      </c>
      <c r="Q518" t="n">
        <v>0</v>
      </c>
      <c r="R518" s="2" t="inlineStr"/>
    </row>
    <row r="519" ht="15" customHeight="1">
      <c r="A519" t="inlineStr">
        <is>
          <t>A 51396-2021</t>
        </is>
      </c>
      <c r="B519" s="1" t="n">
        <v>44461</v>
      </c>
      <c r="C519" s="1" t="n">
        <v>45680</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52083-2021</t>
        </is>
      </c>
      <c r="B520" s="1" t="n">
        <v>44463</v>
      </c>
      <c r="C520" s="1" t="n">
        <v>45680</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54168-2021</t>
        </is>
      </c>
      <c r="B521" s="1" t="n">
        <v>44470</v>
      </c>
      <c r="C521" s="1" t="n">
        <v>45680</v>
      </c>
      <c r="D521" t="inlineStr">
        <is>
          <t>UPPSALA LÄN</t>
        </is>
      </c>
      <c r="E521" t="inlineStr">
        <is>
          <t>UPPSALA</t>
        </is>
      </c>
      <c r="G521" t="n">
        <v>7.5</v>
      </c>
      <c r="H521" t="n">
        <v>0</v>
      </c>
      <c r="I521" t="n">
        <v>0</v>
      </c>
      <c r="J521" t="n">
        <v>0</v>
      </c>
      <c r="K521" t="n">
        <v>0</v>
      </c>
      <c r="L521" t="n">
        <v>0</v>
      </c>
      <c r="M521" t="n">
        <v>0</v>
      </c>
      <c r="N521" t="n">
        <v>0</v>
      </c>
      <c r="O521" t="n">
        <v>0</v>
      </c>
      <c r="P521" t="n">
        <v>0</v>
      </c>
      <c r="Q521" t="n">
        <v>0</v>
      </c>
      <c r="R521" s="2" t="inlineStr"/>
    </row>
    <row r="522" ht="15" customHeight="1">
      <c r="A522" t="inlineStr">
        <is>
          <t>A 55823-2021</t>
        </is>
      </c>
      <c r="B522" s="1" t="n">
        <v>44476</v>
      </c>
      <c r="C522" s="1" t="n">
        <v>45680</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56042-2021</t>
        </is>
      </c>
      <c r="B523" s="1" t="n">
        <v>44477</v>
      </c>
      <c r="C523" s="1" t="n">
        <v>45680</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56049-2021</t>
        </is>
      </c>
      <c r="B524" s="1" t="n">
        <v>44477</v>
      </c>
      <c r="C524" s="1" t="n">
        <v>45680</v>
      </c>
      <c r="D524" t="inlineStr">
        <is>
          <t>UPPSALA LÄN</t>
        </is>
      </c>
      <c r="E524" t="inlineStr">
        <is>
          <t>UPPSALA</t>
        </is>
      </c>
      <c r="G524" t="n">
        <v>1.4</v>
      </c>
      <c r="H524" t="n">
        <v>0</v>
      </c>
      <c r="I524" t="n">
        <v>0</v>
      </c>
      <c r="J524" t="n">
        <v>0</v>
      </c>
      <c r="K524" t="n">
        <v>0</v>
      </c>
      <c r="L524" t="n">
        <v>0</v>
      </c>
      <c r="M524" t="n">
        <v>0</v>
      </c>
      <c r="N524" t="n">
        <v>0</v>
      </c>
      <c r="O524" t="n">
        <v>0</v>
      </c>
      <c r="P524" t="n">
        <v>0</v>
      </c>
      <c r="Q524" t="n">
        <v>0</v>
      </c>
      <c r="R524" s="2" t="inlineStr"/>
    </row>
    <row r="525" ht="15" customHeight="1">
      <c r="A525" t="inlineStr">
        <is>
          <t>A 56463-2021</t>
        </is>
      </c>
      <c r="B525" s="1" t="n">
        <v>44479</v>
      </c>
      <c r="C525" s="1" t="n">
        <v>45680</v>
      </c>
      <c r="D525" t="inlineStr">
        <is>
          <t>UPPSALA LÄN</t>
        </is>
      </c>
      <c r="E525" t="inlineStr">
        <is>
          <t>UPPSALA</t>
        </is>
      </c>
      <c r="G525" t="n">
        <v>6.4</v>
      </c>
      <c r="H525" t="n">
        <v>0</v>
      </c>
      <c r="I525" t="n">
        <v>0</v>
      </c>
      <c r="J525" t="n">
        <v>0</v>
      </c>
      <c r="K525" t="n">
        <v>0</v>
      </c>
      <c r="L525" t="n">
        <v>0</v>
      </c>
      <c r="M525" t="n">
        <v>0</v>
      </c>
      <c r="N525" t="n">
        <v>0</v>
      </c>
      <c r="O525" t="n">
        <v>0</v>
      </c>
      <c r="P525" t="n">
        <v>0</v>
      </c>
      <c r="Q525" t="n">
        <v>0</v>
      </c>
      <c r="R525" s="2" t="inlineStr"/>
    </row>
    <row r="526" ht="15" customHeight="1">
      <c r="A526" t="inlineStr">
        <is>
          <t>A 56769-2021</t>
        </is>
      </c>
      <c r="B526" s="1" t="n">
        <v>44481</v>
      </c>
      <c r="C526" s="1" t="n">
        <v>45680</v>
      </c>
      <c r="D526" t="inlineStr">
        <is>
          <t>UPPSALA LÄN</t>
        </is>
      </c>
      <c r="E526" t="inlineStr">
        <is>
          <t>UPPSALA</t>
        </is>
      </c>
      <c r="G526" t="n">
        <v>3.8</v>
      </c>
      <c r="H526" t="n">
        <v>0</v>
      </c>
      <c r="I526" t="n">
        <v>0</v>
      </c>
      <c r="J526" t="n">
        <v>0</v>
      </c>
      <c r="K526" t="n">
        <v>0</v>
      </c>
      <c r="L526" t="n">
        <v>0</v>
      </c>
      <c r="M526" t="n">
        <v>0</v>
      </c>
      <c r="N526" t="n">
        <v>0</v>
      </c>
      <c r="O526" t="n">
        <v>0</v>
      </c>
      <c r="P526" t="n">
        <v>0</v>
      </c>
      <c r="Q526" t="n">
        <v>0</v>
      </c>
      <c r="R526" s="2" t="inlineStr"/>
    </row>
    <row r="527" ht="15" customHeight="1">
      <c r="A527" t="inlineStr">
        <is>
          <t>A 57647-2021</t>
        </is>
      </c>
      <c r="B527" s="1" t="n">
        <v>44484</v>
      </c>
      <c r="C527" s="1" t="n">
        <v>45680</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57890-2021</t>
        </is>
      </c>
      <c r="B528" s="1" t="n">
        <v>44486</v>
      </c>
      <c r="C528" s="1" t="n">
        <v>45680</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58767-2021</t>
        </is>
      </c>
      <c r="B529" s="1" t="n">
        <v>44489</v>
      </c>
      <c r="C529" s="1" t="n">
        <v>45680</v>
      </c>
      <c r="D529" t="inlineStr">
        <is>
          <t>UPPSALA LÄN</t>
        </is>
      </c>
      <c r="E529" t="inlineStr">
        <is>
          <t>UPPSALA</t>
        </is>
      </c>
      <c r="G529" t="n">
        <v>4.8</v>
      </c>
      <c r="H529" t="n">
        <v>0</v>
      </c>
      <c r="I529" t="n">
        <v>0</v>
      </c>
      <c r="J529" t="n">
        <v>0</v>
      </c>
      <c r="K529" t="n">
        <v>0</v>
      </c>
      <c r="L529" t="n">
        <v>0</v>
      </c>
      <c r="M529" t="n">
        <v>0</v>
      </c>
      <c r="N529" t="n">
        <v>0</v>
      </c>
      <c r="O529" t="n">
        <v>0</v>
      </c>
      <c r="P529" t="n">
        <v>0</v>
      </c>
      <c r="Q529" t="n">
        <v>0</v>
      </c>
      <c r="R529" s="2" t="inlineStr"/>
    </row>
    <row r="530" ht="15" customHeight="1">
      <c r="A530" t="inlineStr">
        <is>
          <t>A 58897-2021</t>
        </is>
      </c>
      <c r="B530" s="1" t="n">
        <v>44489</v>
      </c>
      <c r="C530" s="1" t="n">
        <v>45680</v>
      </c>
      <c r="D530" t="inlineStr">
        <is>
          <t>UPPSALA LÄN</t>
        </is>
      </c>
      <c r="E530" t="inlineStr">
        <is>
          <t>UPPSALA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59241-2021</t>
        </is>
      </c>
      <c r="B531" s="1" t="n">
        <v>44490</v>
      </c>
      <c r="C531" s="1" t="n">
        <v>45680</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59484-2021</t>
        </is>
      </c>
      <c r="B532" s="1" t="n">
        <v>44491</v>
      </c>
      <c r="C532" s="1" t="n">
        <v>45680</v>
      </c>
      <c r="D532" t="inlineStr">
        <is>
          <t>UPPSALA LÄN</t>
        </is>
      </c>
      <c r="E532" t="inlineStr">
        <is>
          <t>UPPSALA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59500-2021</t>
        </is>
      </c>
      <c r="B533" s="1" t="n">
        <v>44491</v>
      </c>
      <c r="C533" s="1" t="n">
        <v>45680</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v>
      </c>
      <c r="C534" s="1" t="n">
        <v>45680</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59881-2021</t>
        </is>
      </c>
      <c r="B535" s="1" t="n">
        <v>44494</v>
      </c>
      <c r="C535" s="1" t="n">
        <v>45680</v>
      </c>
      <c r="D535" t="inlineStr">
        <is>
          <t>UPPSALA LÄN</t>
        </is>
      </c>
      <c r="E535" t="inlineStr">
        <is>
          <t>UPPSALA</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60032-2021</t>
        </is>
      </c>
      <c r="B536" s="1" t="n">
        <v>44495</v>
      </c>
      <c r="C536" s="1" t="n">
        <v>45680</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61008-2021</t>
        </is>
      </c>
      <c r="B537" s="1" t="n">
        <v>44497</v>
      </c>
      <c r="C537" s="1" t="n">
        <v>45680</v>
      </c>
      <c r="D537" t="inlineStr">
        <is>
          <t>UPPSALA LÄN</t>
        </is>
      </c>
      <c r="E537" t="inlineStr">
        <is>
          <t>UPPSALA</t>
        </is>
      </c>
      <c r="G537" t="n">
        <v>6.3</v>
      </c>
      <c r="H537" t="n">
        <v>0</v>
      </c>
      <c r="I537" t="n">
        <v>0</v>
      </c>
      <c r="J537" t="n">
        <v>0</v>
      </c>
      <c r="K537" t="n">
        <v>0</v>
      </c>
      <c r="L537" t="n">
        <v>0</v>
      </c>
      <c r="M537" t="n">
        <v>0</v>
      </c>
      <c r="N537" t="n">
        <v>0</v>
      </c>
      <c r="O537" t="n">
        <v>0</v>
      </c>
      <c r="P537" t="n">
        <v>0</v>
      </c>
      <c r="Q537" t="n">
        <v>0</v>
      </c>
      <c r="R537" s="2" t="inlineStr"/>
    </row>
    <row r="538" ht="15" customHeight="1">
      <c r="A538" t="inlineStr">
        <is>
          <t>A 60917-2021</t>
        </is>
      </c>
      <c r="B538" s="1" t="n">
        <v>44497</v>
      </c>
      <c r="C538" s="1" t="n">
        <v>45680</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60925-2021</t>
        </is>
      </c>
      <c r="B539" s="1" t="n">
        <v>44497</v>
      </c>
      <c r="C539" s="1" t="n">
        <v>45680</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61805-2021</t>
        </is>
      </c>
      <c r="B540" s="1" t="n">
        <v>44501</v>
      </c>
      <c r="C540" s="1" t="n">
        <v>45680</v>
      </c>
      <c r="D540" t="inlineStr">
        <is>
          <t>UPPSALA LÄN</t>
        </is>
      </c>
      <c r="E540" t="inlineStr">
        <is>
          <t>UPPSALA</t>
        </is>
      </c>
      <c r="F540" t="inlineStr">
        <is>
          <t>Bergvik skog öst AB</t>
        </is>
      </c>
      <c r="G540" t="n">
        <v>3.8</v>
      </c>
      <c r="H540" t="n">
        <v>0</v>
      </c>
      <c r="I540" t="n">
        <v>0</v>
      </c>
      <c r="J540" t="n">
        <v>0</v>
      </c>
      <c r="K540" t="n">
        <v>0</v>
      </c>
      <c r="L540" t="n">
        <v>0</v>
      </c>
      <c r="M540" t="n">
        <v>0</v>
      </c>
      <c r="N540" t="n">
        <v>0</v>
      </c>
      <c r="O540" t="n">
        <v>0</v>
      </c>
      <c r="P540" t="n">
        <v>0</v>
      </c>
      <c r="Q540" t="n">
        <v>0</v>
      </c>
      <c r="R540" s="2" t="inlineStr"/>
    </row>
    <row r="541" ht="15" customHeight="1">
      <c r="A541" t="inlineStr">
        <is>
          <t>A 62471-2021</t>
        </is>
      </c>
      <c r="B541" s="1" t="n">
        <v>44503</v>
      </c>
      <c r="C541" s="1" t="n">
        <v>45680</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62865-2021</t>
        </is>
      </c>
      <c r="B542" s="1" t="n">
        <v>44504</v>
      </c>
      <c r="C542" s="1" t="n">
        <v>45680</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63011-2021</t>
        </is>
      </c>
      <c r="B543" s="1" t="n">
        <v>44504</v>
      </c>
      <c r="C543" s="1" t="n">
        <v>45680</v>
      </c>
      <c r="D543" t="inlineStr">
        <is>
          <t>UPPSALA LÄN</t>
        </is>
      </c>
      <c r="E543" t="inlineStr">
        <is>
          <t>UPPSALA</t>
        </is>
      </c>
      <c r="G543" t="n">
        <v>11.2</v>
      </c>
      <c r="H543" t="n">
        <v>0</v>
      </c>
      <c r="I543" t="n">
        <v>0</v>
      </c>
      <c r="J543" t="n">
        <v>0</v>
      </c>
      <c r="K543" t="n">
        <v>0</v>
      </c>
      <c r="L543" t="n">
        <v>0</v>
      </c>
      <c r="M543" t="n">
        <v>0</v>
      </c>
      <c r="N543" t="n">
        <v>0</v>
      </c>
      <c r="O543" t="n">
        <v>0</v>
      </c>
      <c r="P543" t="n">
        <v>0</v>
      </c>
      <c r="Q543" t="n">
        <v>0</v>
      </c>
      <c r="R543" s="2" t="inlineStr"/>
    </row>
    <row r="544" ht="15" customHeight="1">
      <c r="A544" t="inlineStr">
        <is>
          <t>A 63307-2021</t>
        </is>
      </c>
      <c r="B544" s="1" t="n">
        <v>44508</v>
      </c>
      <c r="C544" s="1" t="n">
        <v>45680</v>
      </c>
      <c r="D544" t="inlineStr">
        <is>
          <t>UPPSALA LÄN</t>
        </is>
      </c>
      <c r="E544" t="inlineStr">
        <is>
          <t>UPPSALA</t>
        </is>
      </c>
      <c r="F544" t="inlineStr">
        <is>
          <t>Bergvik skog öst AB</t>
        </is>
      </c>
      <c r="G544" t="n">
        <v>2.8</v>
      </c>
      <c r="H544" t="n">
        <v>0</v>
      </c>
      <c r="I544" t="n">
        <v>0</v>
      </c>
      <c r="J544" t="n">
        <v>0</v>
      </c>
      <c r="K544" t="n">
        <v>0</v>
      </c>
      <c r="L544" t="n">
        <v>0</v>
      </c>
      <c r="M544" t="n">
        <v>0</v>
      </c>
      <c r="N544" t="n">
        <v>0</v>
      </c>
      <c r="O544" t="n">
        <v>0</v>
      </c>
      <c r="P544" t="n">
        <v>0</v>
      </c>
      <c r="Q544" t="n">
        <v>0</v>
      </c>
      <c r="R544" s="2" t="inlineStr"/>
    </row>
    <row r="545" ht="15" customHeight="1">
      <c r="A545" t="inlineStr">
        <is>
          <t>A 64016-2021</t>
        </is>
      </c>
      <c r="B545" s="1" t="n">
        <v>44510</v>
      </c>
      <c r="C545" s="1" t="n">
        <v>45680</v>
      </c>
      <c r="D545" t="inlineStr">
        <is>
          <t>UPPSALA LÄN</t>
        </is>
      </c>
      <c r="E545" t="inlineStr">
        <is>
          <t>UPPSALA</t>
        </is>
      </c>
      <c r="G545" t="n">
        <v>2.1</v>
      </c>
      <c r="H545" t="n">
        <v>0</v>
      </c>
      <c r="I545" t="n">
        <v>0</v>
      </c>
      <c r="J545" t="n">
        <v>0</v>
      </c>
      <c r="K545" t="n">
        <v>0</v>
      </c>
      <c r="L545" t="n">
        <v>0</v>
      </c>
      <c r="M545" t="n">
        <v>0</v>
      </c>
      <c r="N545" t="n">
        <v>0</v>
      </c>
      <c r="O545" t="n">
        <v>0</v>
      </c>
      <c r="P545" t="n">
        <v>0</v>
      </c>
      <c r="Q545" t="n">
        <v>0</v>
      </c>
      <c r="R545" s="2" t="inlineStr"/>
    </row>
    <row r="546" ht="15" customHeight="1">
      <c r="A546" t="inlineStr">
        <is>
          <t>A 64857-2021</t>
        </is>
      </c>
      <c r="B546" s="1" t="n">
        <v>44512</v>
      </c>
      <c r="C546" s="1" t="n">
        <v>45680</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64856-2021</t>
        </is>
      </c>
      <c r="B547" s="1" t="n">
        <v>44512</v>
      </c>
      <c r="C547" s="1" t="n">
        <v>45680</v>
      </c>
      <c r="D547" t="inlineStr">
        <is>
          <t>UPPSALA LÄN</t>
        </is>
      </c>
      <c r="E547" t="inlineStr">
        <is>
          <t>UPPSALA</t>
        </is>
      </c>
      <c r="G547" t="n">
        <v>4.1</v>
      </c>
      <c r="H547" t="n">
        <v>0</v>
      </c>
      <c r="I547" t="n">
        <v>0</v>
      </c>
      <c r="J547" t="n">
        <v>0</v>
      </c>
      <c r="K547" t="n">
        <v>0</v>
      </c>
      <c r="L547" t="n">
        <v>0</v>
      </c>
      <c r="M547" t="n">
        <v>0</v>
      </c>
      <c r="N547" t="n">
        <v>0</v>
      </c>
      <c r="O547" t="n">
        <v>0</v>
      </c>
      <c r="P547" t="n">
        <v>0</v>
      </c>
      <c r="Q547" t="n">
        <v>0</v>
      </c>
      <c r="R547" s="2" t="inlineStr"/>
    </row>
    <row r="548" ht="15" customHeight="1">
      <c r="A548" t="inlineStr">
        <is>
          <t>A 64858-2021</t>
        </is>
      </c>
      <c r="B548" s="1" t="n">
        <v>44512</v>
      </c>
      <c r="C548" s="1" t="n">
        <v>45680</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45680</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65132-2021</t>
        </is>
      </c>
      <c r="B550" s="1" t="n">
        <v>44515</v>
      </c>
      <c r="C550" s="1" t="n">
        <v>45680</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65659-2021</t>
        </is>
      </c>
      <c r="B551" s="1" t="n">
        <v>44516</v>
      </c>
      <c r="C551" s="1" t="n">
        <v>45680</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65695-2021</t>
        </is>
      </c>
      <c r="B552" s="1" t="n">
        <v>44516</v>
      </c>
      <c r="C552" s="1" t="n">
        <v>45680</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65809-2021</t>
        </is>
      </c>
      <c r="B553" s="1" t="n">
        <v>44517</v>
      </c>
      <c r="C553" s="1" t="n">
        <v>45680</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45680</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65964-2021</t>
        </is>
      </c>
      <c r="B555" s="1" t="n">
        <v>44517</v>
      </c>
      <c r="C555" s="1" t="n">
        <v>45680</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66239-2021</t>
        </is>
      </c>
      <c r="B556" s="1" t="n">
        <v>44518</v>
      </c>
      <c r="C556" s="1" t="n">
        <v>45680</v>
      </c>
      <c r="D556" t="inlineStr">
        <is>
          <t>UPPSALA LÄN</t>
        </is>
      </c>
      <c r="E556" t="inlineStr">
        <is>
          <t>UPPSALA</t>
        </is>
      </c>
      <c r="G556" t="n">
        <v>4.2</v>
      </c>
      <c r="H556" t="n">
        <v>0</v>
      </c>
      <c r="I556" t="n">
        <v>0</v>
      </c>
      <c r="J556" t="n">
        <v>0</v>
      </c>
      <c r="K556" t="n">
        <v>0</v>
      </c>
      <c r="L556" t="n">
        <v>0</v>
      </c>
      <c r="M556" t="n">
        <v>0</v>
      </c>
      <c r="N556" t="n">
        <v>0</v>
      </c>
      <c r="O556" t="n">
        <v>0</v>
      </c>
      <c r="P556" t="n">
        <v>0</v>
      </c>
      <c r="Q556" t="n">
        <v>0</v>
      </c>
      <c r="R556" s="2" t="inlineStr"/>
    </row>
    <row r="557" ht="15" customHeight="1">
      <c r="A557" t="inlineStr">
        <is>
          <t>A 66690-2021</t>
        </is>
      </c>
      <c r="B557" s="1" t="n">
        <v>44519</v>
      </c>
      <c r="C557" s="1" t="n">
        <v>45680</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66686-2021</t>
        </is>
      </c>
      <c r="B558" s="1" t="n">
        <v>44519</v>
      </c>
      <c r="C558" s="1" t="n">
        <v>45680</v>
      </c>
      <c r="D558" t="inlineStr">
        <is>
          <t>UPPSALA LÄN</t>
        </is>
      </c>
      <c r="E558" t="inlineStr">
        <is>
          <t>UPPSALA</t>
        </is>
      </c>
      <c r="G558" t="n">
        <v>6.4</v>
      </c>
      <c r="H558" t="n">
        <v>0</v>
      </c>
      <c r="I558" t="n">
        <v>0</v>
      </c>
      <c r="J558" t="n">
        <v>0</v>
      </c>
      <c r="K558" t="n">
        <v>0</v>
      </c>
      <c r="L558" t="n">
        <v>0</v>
      </c>
      <c r="M558" t="n">
        <v>0</v>
      </c>
      <c r="N558" t="n">
        <v>0</v>
      </c>
      <c r="O558" t="n">
        <v>0</v>
      </c>
      <c r="P558" t="n">
        <v>0</v>
      </c>
      <c r="Q558" t="n">
        <v>0</v>
      </c>
      <c r="R558" s="2" t="inlineStr"/>
    </row>
    <row r="559" ht="15" customHeight="1">
      <c r="A559" t="inlineStr">
        <is>
          <t>A 66794-2021</t>
        </is>
      </c>
      <c r="B559" s="1" t="n">
        <v>44522</v>
      </c>
      <c r="C559" s="1" t="n">
        <v>45680</v>
      </c>
      <c r="D559" t="inlineStr">
        <is>
          <t>UPPSALA LÄN</t>
        </is>
      </c>
      <c r="E559" t="inlineStr">
        <is>
          <t>UPPSALA</t>
        </is>
      </c>
      <c r="G559" t="n">
        <v>4.9</v>
      </c>
      <c r="H559" t="n">
        <v>0</v>
      </c>
      <c r="I559" t="n">
        <v>0</v>
      </c>
      <c r="J559" t="n">
        <v>0</v>
      </c>
      <c r="K559" t="n">
        <v>0</v>
      </c>
      <c r="L559" t="n">
        <v>0</v>
      </c>
      <c r="M559" t="n">
        <v>0</v>
      </c>
      <c r="N559" t="n">
        <v>0</v>
      </c>
      <c r="O559" t="n">
        <v>0</v>
      </c>
      <c r="P559" t="n">
        <v>0</v>
      </c>
      <c r="Q559" t="n">
        <v>0</v>
      </c>
      <c r="R559" s="2" t="inlineStr"/>
    </row>
    <row r="560" ht="15" customHeight="1">
      <c r="A560" t="inlineStr">
        <is>
          <t>A 66927-2021</t>
        </is>
      </c>
      <c r="B560" s="1" t="n">
        <v>44522</v>
      </c>
      <c r="C560" s="1" t="n">
        <v>45680</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66983-2021</t>
        </is>
      </c>
      <c r="B561" s="1" t="n">
        <v>44522</v>
      </c>
      <c r="C561" s="1" t="n">
        <v>45680</v>
      </c>
      <c r="D561" t="inlineStr">
        <is>
          <t>UPPSALA LÄN</t>
        </is>
      </c>
      <c r="E561" t="inlineStr">
        <is>
          <t>UPPSALA</t>
        </is>
      </c>
      <c r="G561" t="n">
        <v>2.5</v>
      </c>
      <c r="H561" t="n">
        <v>0</v>
      </c>
      <c r="I561" t="n">
        <v>0</v>
      </c>
      <c r="J561" t="n">
        <v>0</v>
      </c>
      <c r="K561" t="n">
        <v>0</v>
      </c>
      <c r="L561" t="n">
        <v>0</v>
      </c>
      <c r="M561" t="n">
        <v>0</v>
      </c>
      <c r="N561" t="n">
        <v>0</v>
      </c>
      <c r="O561" t="n">
        <v>0</v>
      </c>
      <c r="P561" t="n">
        <v>0</v>
      </c>
      <c r="Q561" t="n">
        <v>0</v>
      </c>
      <c r="R561" s="2" t="inlineStr"/>
    </row>
    <row r="562" ht="15" customHeight="1">
      <c r="A562" t="inlineStr">
        <is>
          <t>A 67991-2021</t>
        </is>
      </c>
      <c r="B562" s="1" t="n">
        <v>44525</v>
      </c>
      <c r="C562" s="1" t="n">
        <v>45680</v>
      </c>
      <c r="D562" t="inlineStr">
        <is>
          <t>UPPSALA LÄN</t>
        </is>
      </c>
      <c r="E562" t="inlineStr">
        <is>
          <t>UPPSALA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68696-2021</t>
        </is>
      </c>
      <c r="B563" s="1" t="n">
        <v>44526</v>
      </c>
      <c r="C563" s="1" t="n">
        <v>45680</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68139-2021</t>
        </is>
      </c>
      <c r="B564" s="1" t="n">
        <v>44526</v>
      </c>
      <c r="C564" s="1" t="n">
        <v>45680</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68296-2021</t>
        </is>
      </c>
      <c r="B565" s="1" t="n">
        <v>44526</v>
      </c>
      <c r="C565" s="1" t="n">
        <v>45680</v>
      </c>
      <c r="D565" t="inlineStr">
        <is>
          <t>UPPSALA LÄN</t>
        </is>
      </c>
      <c r="E565" t="inlineStr">
        <is>
          <t>UPPSALA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69067-2021</t>
        </is>
      </c>
      <c r="B566" s="1" t="n">
        <v>44530</v>
      </c>
      <c r="C566" s="1" t="n">
        <v>45680</v>
      </c>
      <c r="D566" t="inlineStr">
        <is>
          <t>UPPSALA LÄN</t>
        </is>
      </c>
      <c r="E566" t="inlineStr">
        <is>
          <t>UPPSALA</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45680</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69214-2021</t>
        </is>
      </c>
      <c r="B568" s="1" t="n">
        <v>44531</v>
      </c>
      <c r="C568" s="1" t="n">
        <v>45680</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69397-2021</t>
        </is>
      </c>
      <c r="B569" s="1" t="n">
        <v>44531</v>
      </c>
      <c r="C569" s="1" t="n">
        <v>45680</v>
      </c>
      <c r="D569" t="inlineStr">
        <is>
          <t>UPPSALA LÄN</t>
        </is>
      </c>
      <c r="E569" t="inlineStr">
        <is>
          <t>UPPSALA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69436-2021</t>
        </is>
      </c>
      <c r="B570" s="1" t="n">
        <v>44531</v>
      </c>
      <c r="C570" s="1" t="n">
        <v>45680</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69439-2021</t>
        </is>
      </c>
      <c r="B571" s="1" t="n">
        <v>44531</v>
      </c>
      <c r="C571" s="1" t="n">
        <v>45680</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69711-2021</t>
        </is>
      </c>
      <c r="B572" s="1" t="n">
        <v>44532</v>
      </c>
      <c r="C572" s="1" t="n">
        <v>45680</v>
      </c>
      <c r="D572" t="inlineStr">
        <is>
          <t>UPPSALA LÄN</t>
        </is>
      </c>
      <c r="E572" t="inlineStr">
        <is>
          <t>UPPSALA</t>
        </is>
      </c>
      <c r="G572" t="n">
        <v>10.2</v>
      </c>
      <c r="H572" t="n">
        <v>0</v>
      </c>
      <c r="I572" t="n">
        <v>0</v>
      </c>
      <c r="J572" t="n">
        <v>0</v>
      </c>
      <c r="K572" t="n">
        <v>0</v>
      </c>
      <c r="L572" t="n">
        <v>0</v>
      </c>
      <c r="M572" t="n">
        <v>0</v>
      </c>
      <c r="N572" t="n">
        <v>0</v>
      </c>
      <c r="O572" t="n">
        <v>0</v>
      </c>
      <c r="P572" t="n">
        <v>0</v>
      </c>
      <c r="Q572" t="n">
        <v>0</v>
      </c>
      <c r="R572" s="2" t="inlineStr"/>
    </row>
    <row r="573" ht="15" customHeight="1">
      <c r="A573" t="inlineStr">
        <is>
          <t>A 69595-2021</t>
        </is>
      </c>
      <c r="B573" s="1" t="n">
        <v>44532</v>
      </c>
      <c r="C573" s="1" t="n">
        <v>45680</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69698-2021</t>
        </is>
      </c>
      <c r="B574" s="1" t="n">
        <v>44532</v>
      </c>
      <c r="C574" s="1" t="n">
        <v>45680</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69691-2021</t>
        </is>
      </c>
      <c r="B575" s="1" t="n">
        <v>44532</v>
      </c>
      <c r="C575" s="1" t="n">
        <v>45680</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70032-2021</t>
        </is>
      </c>
      <c r="B576" s="1" t="n">
        <v>44533</v>
      </c>
      <c r="C576" s="1" t="n">
        <v>45680</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70031-2021</t>
        </is>
      </c>
      <c r="B577" s="1" t="n">
        <v>44533</v>
      </c>
      <c r="C577" s="1" t="n">
        <v>45680</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70359-2021</t>
        </is>
      </c>
      <c r="B578" s="1" t="n">
        <v>44535</v>
      </c>
      <c r="C578" s="1" t="n">
        <v>45680</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70228-2021</t>
        </is>
      </c>
      <c r="B579" s="1" t="n">
        <v>44535</v>
      </c>
      <c r="C579" s="1" t="n">
        <v>45680</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70996-2021</t>
        </is>
      </c>
      <c r="B580" s="1" t="n">
        <v>44538</v>
      </c>
      <c r="C580" s="1" t="n">
        <v>45680</v>
      </c>
      <c r="D580" t="inlineStr">
        <is>
          <t>UPPSALA LÄN</t>
        </is>
      </c>
      <c r="E580" t="inlineStr">
        <is>
          <t>UPPSALA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71563-2021</t>
        </is>
      </c>
      <c r="B581" s="1" t="n">
        <v>44540</v>
      </c>
      <c r="C581" s="1" t="n">
        <v>45680</v>
      </c>
      <c r="D581" t="inlineStr">
        <is>
          <t>UPPSALA LÄN</t>
        </is>
      </c>
      <c r="E581" t="inlineStr">
        <is>
          <t>UPPSALA</t>
        </is>
      </c>
      <c r="F581" t="inlineStr">
        <is>
          <t>Allmännings- och besparingsskogar</t>
        </is>
      </c>
      <c r="G581" t="n">
        <v>7.7</v>
      </c>
      <c r="H581" t="n">
        <v>0</v>
      </c>
      <c r="I581" t="n">
        <v>0</v>
      </c>
      <c r="J581" t="n">
        <v>0</v>
      </c>
      <c r="K581" t="n">
        <v>0</v>
      </c>
      <c r="L581" t="n">
        <v>0</v>
      </c>
      <c r="M581" t="n">
        <v>0</v>
      </c>
      <c r="N581" t="n">
        <v>0</v>
      </c>
      <c r="O581" t="n">
        <v>0</v>
      </c>
      <c r="P581" t="n">
        <v>0</v>
      </c>
      <c r="Q581" t="n">
        <v>0</v>
      </c>
      <c r="R581" s="2" t="inlineStr"/>
    </row>
    <row r="582" ht="15" customHeight="1">
      <c r="A582" t="inlineStr">
        <is>
          <t>A 71675-2021</t>
        </is>
      </c>
      <c r="B582" s="1" t="n">
        <v>44543</v>
      </c>
      <c r="C582" s="1" t="n">
        <v>45680</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71643-2021</t>
        </is>
      </c>
      <c r="B583" s="1" t="n">
        <v>44543</v>
      </c>
      <c r="C583" s="1" t="n">
        <v>45680</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71671-2021</t>
        </is>
      </c>
      <c r="B584" s="1" t="n">
        <v>44543</v>
      </c>
      <c r="C584" s="1" t="n">
        <v>45680</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72225-2021</t>
        </is>
      </c>
      <c r="B585" s="1" t="n">
        <v>44544</v>
      </c>
      <c r="C585" s="1" t="n">
        <v>45680</v>
      </c>
      <c r="D585" t="inlineStr">
        <is>
          <t>UPPSALA LÄN</t>
        </is>
      </c>
      <c r="E585" t="inlineStr">
        <is>
          <t>UPPSALA</t>
        </is>
      </c>
      <c r="G585" t="n">
        <v>6.2</v>
      </c>
      <c r="H585" t="n">
        <v>0</v>
      </c>
      <c r="I585" t="n">
        <v>0</v>
      </c>
      <c r="J585" t="n">
        <v>0</v>
      </c>
      <c r="K585" t="n">
        <v>0</v>
      </c>
      <c r="L585" t="n">
        <v>0</v>
      </c>
      <c r="M585" t="n">
        <v>0</v>
      </c>
      <c r="N585" t="n">
        <v>0</v>
      </c>
      <c r="O585" t="n">
        <v>0</v>
      </c>
      <c r="P585" t="n">
        <v>0</v>
      </c>
      <c r="Q585" t="n">
        <v>0</v>
      </c>
      <c r="R585" s="2" t="inlineStr"/>
    </row>
    <row r="586" ht="15" customHeight="1">
      <c r="A586" t="inlineStr">
        <is>
          <t>A 72224-2021</t>
        </is>
      </c>
      <c r="B586" s="1" t="n">
        <v>44544</v>
      </c>
      <c r="C586" s="1" t="n">
        <v>45680</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72973-2021</t>
        </is>
      </c>
      <c r="B587" s="1" t="n">
        <v>44548</v>
      </c>
      <c r="C587" s="1" t="n">
        <v>45680</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73326-2021</t>
        </is>
      </c>
      <c r="B588" s="1" t="n">
        <v>44548</v>
      </c>
      <c r="C588" s="1" t="n">
        <v>45680</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73044-2021</t>
        </is>
      </c>
      <c r="B589" s="1" t="n">
        <v>44550</v>
      </c>
      <c r="C589" s="1" t="n">
        <v>45680</v>
      </c>
      <c r="D589" t="inlineStr">
        <is>
          <t>UPPSALA LÄN</t>
        </is>
      </c>
      <c r="E589" t="inlineStr">
        <is>
          <t>UPPSALA</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73468-2021</t>
        </is>
      </c>
      <c r="B590" s="1" t="n">
        <v>44551</v>
      </c>
      <c r="C590" s="1" t="n">
        <v>45680</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73518-2021</t>
        </is>
      </c>
      <c r="B591" s="1" t="n">
        <v>44551</v>
      </c>
      <c r="C591" s="1" t="n">
        <v>45680</v>
      </c>
      <c r="D591" t="inlineStr">
        <is>
          <t>UPPSALA LÄN</t>
        </is>
      </c>
      <c r="E591" t="inlineStr">
        <is>
          <t>UPPSALA</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v>
      </c>
      <c r="C592" s="1" t="n">
        <v>45680</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74019-2021</t>
        </is>
      </c>
      <c r="B593" s="1" t="n">
        <v>44553</v>
      </c>
      <c r="C593" s="1" t="n">
        <v>45680</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74023-2021</t>
        </is>
      </c>
      <c r="B594" s="1" t="n">
        <v>44553</v>
      </c>
      <c r="C594" s="1" t="n">
        <v>45680</v>
      </c>
      <c r="D594" t="inlineStr">
        <is>
          <t>UPPSALA LÄN</t>
        </is>
      </c>
      <c r="E594" t="inlineStr">
        <is>
          <t>UPPSALA</t>
        </is>
      </c>
      <c r="G594" t="n">
        <v>5.4</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45680</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45680</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612-2022</t>
        </is>
      </c>
      <c r="B597" s="1" t="n">
        <v>44567</v>
      </c>
      <c r="C597" s="1" t="n">
        <v>45680</v>
      </c>
      <c r="D597" t="inlineStr">
        <is>
          <t>UPPSALA LÄN</t>
        </is>
      </c>
      <c r="E597" t="inlineStr">
        <is>
          <t>UPPSALA</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v>
      </c>
      <c r="C598" s="1" t="n">
        <v>45680</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v>
      </c>
      <c r="C599" s="1" t="n">
        <v>45680</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750-2022</t>
        </is>
      </c>
      <c r="B600" s="1" t="n">
        <v>44569</v>
      </c>
      <c r="C600" s="1" t="n">
        <v>45680</v>
      </c>
      <c r="D600" t="inlineStr">
        <is>
          <t>UPPSALA LÄN</t>
        </is>
      </c>
      <c r="E600" t="inlineStr">
        <is>
          <t>UPPSALA</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759-2022</t>
        </is>
      </c>
      <c r="B601" s="1" t="n">
        <v>44569</v>
      </c>
      <c r="C601" s="1" t="n">
        <v>45680</v>
      </c>
      <c r="D601" t="inlineStr">
        <is>
          <t>UPPSALA LÄN</t>
        </is>
      </c>
      <c r="E601" t="inlineStr">
        <is>
          <t>UPPSALA</t>
        </is>
      </c>
      <c r="F601" t="inlineStr">
        <is>
          <t>Holmen skog AB</t>
        </is>
      </c>
      <c r="G601" t="n">
        <v>3.6</v>
      </c>
      <c r="H601" t="n">
        <v>0</v>
      </c>
      <c r="I601" t="n">
        <v>0</v>
      </c>
      <c r="J601" t="n">
        <v>0</v>
      </c>
      <c r="K601" t="n">
        <v>0</v>
      </c>
      <c r="L601" t="n">
        <v>0</v>
      </c>
      <c r="M601" t="n">
        <v>0</v>
      </c>
      <c r="N601" t="n">
        <v>0</v>
      </c>
      <c r="O601" t="n">
        <v>0</v>
      </c>
      <c r="P601" t="n">
        <v>0</v>
      </c>
      <c r="Q601" t="n">
        <v>0</v>
      </c>
      <c r="R601" s="2" t="inlineStr"/>
    </row>
    <row r="602" ht="15" customHeight="1">
      <c r="A602" t="inlineStr">
        <is>
          <t>A 758-2022</t>
        </is>
      </c>
      <c r="B602" s="1" t="n">
        <v>44569</v>
      </c>
      <c r="C602" s="1" t="n">
        <v>45680</v>
      </c>
      <c r="D602" t="inlineStr">
        <is>
          <t>UPPSALA LÄN</t>
        </is>
      </c>
      <c r="E602" t="inlineStr">
        <is>
          <t>UPPSALA</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917-2022</t>
        </is>
      </c>
      <c r="B603" s="1" t="n">
        <v>44571</v>
      </c>
      <c r="C603" s="1" t="n">
        <v>45680</v>
      </c>
      <c r="D603" t="inlineStr">
        <is>
          <t>UPPSALA LÄN</t>
        </is>
      </c>
      <c r="E603" t="inlineStr">
        <is>
          <t>UPPSALA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874-2022</t>
        </is>
      </c>
      <c r="B604" s="1" t="n">
        <v>44571</v>
      </c>
      <c r="C604" s="1" t="n">
        <v>45680</v>
      </c>
      <c r="D604" t="inlineStr">
        <is>
          <t>UPPSALA LÄN</t>
        </is>
      </c>
      <c r="E604" t="inlineStr">
        <is>
          <t>UPPSALA</t>
        </is>
      </c>
      <c r="G604" t="n">
        <v>7.2</v>
      </c>
      <c r="H604" t="n">
        <v>0</v>
      </c>
      <c r="I604" t="n">
        <v>0</v>
      </c>
      <c r="J604" t="n">
        <v>0</v>
      </c>
      <c r="K604" t="n">
        <v>0</v>
      </c>
      <c r="L604" t="n">
        <v>0</v>
      </c>
      <c r="M604" t="n">
        <v>0</v>
      </c>
      <c r="N604" t="n">
        <v>0</v>
      </c>
      <c r="O604" t="n">
        <v>0</v>
      </c>
      <c r="P604" t="n">
        <v>0</v>
      </c>
      <c r="Q604" t="n">
        <v>0</v>
      </c>
      <c r="R604" s="2" t="inlineStr"/>
    </row>
    <row r="605" ht="15" customHeight="1">
      <c r="A605" t="inlineStr">
        <is>
          <t>A 1037-2022</t>
        </is>
      </c>
      <c r="B605" s="1" t="n">
        <v>44571</v>
      </c>
      <c r="C605" s="1" t="n">
        <v>45680</v>
      </c>
      <c r="D605" t="inlineStr">
        <is>
          <t>UPPSALA LÄN</t>
        </is>
      </c>
      <c r="E605" t="inlineStr">
        <is>
          <t>UPPSALA</t>
        </is>
      </c>
      <c r="F605" t="inlineStr">
        <is>
          <t>Holmen skog AB</t>
        </is>
      </c>
      <c r="G605" t="n">
        <v>2.7</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v>
      </c>
      <c r="C606" s="1" t="n">
        <v>45680</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1298-2022</t>
        </is>
      </c>
      <c r="B607" s="1" t="n">
        <v>44572</v>
      </c>
      <c r="C607" s="1" t="n">
        <v>45680</v>
      </c>
      <c r="D607" t="inlineStr">
        <is>
          <t>UPPSALA LÄN</t>
        </is>
      </c>
      <c r="E607" t="inlineStr">
        <is>
          <t>UPPSALA</t>
        </is>
      </c>
      <c r="F607" t="inlineStr">
        <is>
          <t>Holmen skog AB</t>
        </is>
      </c>
      <c r="G607" t="n">
        <v>5.3</v>
      </c>
      <c r="H607" t="n">
        <v>0</v>
      </c>
      <c r="I607" t="n">
        <v>0</v>
      </c>
      <c r="J607" t="n">
        <v>0</v>
      </c>
      <c r="K607" t="n">
        <v>0</v>
      </c>
      <c r="L607" t="n">
        <v>0</v>
      </c>
      <c r="M607" t="n">
        <v>0</v>
      </c>
      <c r="N607" t="n">
        <v>0</v>
      </c>
      <c r="O607" t="n">
        <v>0</v>
      </c>
      <c r="P607" t="n">
        <v>0</v>
      </c>
      <c r="Q607" t="n">
        <v>0</v>
      </c>
      <c r="R607" s="2" t="inlineStr"/>
    </row>
    <row r="608" ht="15" customHeight="1">
      <c r="A608" t="inlineStr">
        <is>
          <t>A 1731-2022</t>
        </is>
      </c>
      <c r="B608" s="1" t="n">
        <v>44574</v>
      </c>
      <c r="C608" s="1" t="n">
        <v>45680</v>
      </c>
      <c r="D608" t="inlineStr">
        <is>
          <t>UPPSALA LÄN</t>
        </is>
      </c>
      <c r="E608" t="inlineStr">
        <is>
          <t>UPPSALA</t>
        </is>
      </c>
      <c r="G608" t="n">
        <v>10.1</v>
      </c>
      <c r="H608" t="n">
        <v>0</v>
      </c>
      <c r="I608" t="n">
        <v>0</v>
      </c>
      <c r="J608" t="n">
        <v>0</v>
      </c>
      <c r="K608" t="n">
        <v>0</v>
      </c>
      <c r="L608" t="n">
        <v>0</v>
      </c>
      <c r="M608" t="n">
        <v>0</v>
      </c>
      <c r="N608" t="n">
        <v>0</v>
      </c>
      <c r="O608" t="n">
        <v>0</v>
      </c>
      <c r="P608" t="n">
        <v>0</v>
      </c>
      <c r="Q608" t="n">
        <v>0</v>
      </c>
      <c r="R608" s="2" t="inlineStr"/>
    </row>
    <row r="609" ht="15" customHeight="1">
      <c r="A609" t="inlineStr">
        <is>
          <t>A 1963-2022</t>
        </is>
      </c>
      <c r="B609" s="1" t="n">
        <v>44575</v>
      </c>
      <c r="C609" s="1" t="n">
        <v>45680</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1975-2022</t>
        </is>
      </c>
      <c r="B610" s="1" t="n">
        <v>44575</v>
      </c>
      <c r="C610" s="1" t="n">
        <v>45680</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1936-2022</t>
        </is>
      </c>
      <c r="B611" s="1" t="n">
        <v>44575</v>
      </c>
      <c r="C611" s="1" t="n">
        <v>45680</v>
      </c>
      <c r="D611" t="inlineStr">
        <is>
          <t>UPPSALA LÄN</t>
        </is>
      </c>
      <c r="E611" t="inlineStr">
        <is>
          <t>UPPSALA</t>
        </is>
      </c>
      <c r="F611" t="inlineStr">
        <is>
          <t>Bergvik skog öst AB</t>
        </is>
      </c>
      <c r="G611" t="n">
        <v>0.8</v>
      </c>
      <c r="H611" t="n">
        <v>0</v>
      </c>
      <c r="I611" t="n">
        <v>0</v>
      </c>
      <c r="J611" t="n">
        <v>0</v>
      </c>
      <c r="K611" t="n">
        <v>0</v>
      </c>
      <c r="L611" t="n">
        <v>0</v>
      </c>
      <c r="M611" t="n">
        <v>0</v>
      </c>
      <c r="N611" t="n">
        <v>0</v>
      </c>
      <c r="O611" t="n">
        <v>0</v>
      </c>
      <c r="P611" t="n">
        <v>0</v>
      </c>
      <c r="Q611" t="n">
        <v>0</v>
      </c>
      <c r="R611" s="2" t="inlineStr"/>
    </row>
    <row r="612" ht="15" customHeight="1">
      <c r="A612" t="inlineStr">
        <is>
          <t>A 1978-2022</t>
        </is>
      </c>
      <c r="B612" s="1" t="n">
        <v>44575</v>
      </c>
      <c r="C612" s="1" t="n">
        <v>45680</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2017-2022</t>
        </is>
      </c>
      <c r="B613" s="1" t="n">
        <v>44575</v>
      </c>
      <c r="C613" s="1" t="n">
        <v>45680</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2228-2022</t>
        </is>
      </c>
      <c r="B614" s="1" t="n">
        <v>44578</v>
      </c>
      <c r="C614" s="1" t="n">
        <v>45680</v>
      </c>
      <c r="D614" t="inlineStr">
        <is>
          <t>UPPSALA LÄN</t>
        </is>
      </c>
      <c r="E614" t="inlineStr">
        <is>
          <t>UPPSALA</t>
        </is>
      </c>
      <c r="F614" t="inlineStr">
        <is>
          <t>Bergvik skog öst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v>
      </c>
      <c r="C615" s="1" t="n">
        <v>45680</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3259-2022</t>
        </is>
      </c>
      <c r="B616" s="1" t="n">
        <v>44583</v>
      </c>
      <c r="C616" s="1" t="n">
        <v>45680</v>
      </c>
      <c r="D616" t="inlineStr">
        <is>
          <t>UPPSALA LÄN</t>
        </is>
      </c>
      <c r="E616" t="inlineStr">
        <is>
          <t>UPPSALA</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3261-2022</t>
        </is>
      </c>
      <c r="B617" s="1" t="n">
        <v>44583</v>
      </c>
      <c r="C617" s="1" t="n">
        <v>45680</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3252-2022</t>
        </is>
      </c>
      <c r="B618" s="1" t="n">
        <v>44583</v>
      </c>
      <c r="C618" s="1" t="n">
        <v>45680</v>
      </c>
      <c r="D618" t="inlineStr">
        <is>
          <t>UPPSALA LÄN</t>
        </is>
      </c>
      <c r="E618" t="inlineStr">
        <is>
          <t>UPPSALA</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3258-2022</t>
        </is>
      </c>
      <c r="B619" s="1" t="n">
        <v>44583</v>
      </c>
      <c r="C619" s="1" t="n">
        <v>45680</v>
      </c>
      <c r="D619" t="inlineStr">
        <is>
          <t>UPPSALA LÄN</t>
        </is>
      </c>
      <c r="E619" t="inlineStr">
        <is>
          <t>UPPSALA</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3262-2022</t>
        </is>
      </c>
      <c r="B620" s="1" t="n">
        <v>44583</v>
      </c>
      <c r="C620" s="1" t="n">
        <v>45680</v>
      </c>
      <c r="D620" t="inlineStr">
        <is>
          <t>UPPSALA LÄN</t>
        </is>
      </c>
      <c r="E620" t="inlineStr">
        <is>
          <t>UPPSALA</t>
        </is>
      </c>
      <c r="F620" t="inlineStr">
        <is>
          <t>Holmen skog AB</t>
        </is>
      </c>
      <c r="G620" t="n">
        <v>5.4</v>
      </c>
      <c r="H620" t="n">
        <v>0</v>
      </c>
      <c r="I620" t="n">
        <v>0</v>
      </c>
      <c r="J620" t="n">
        <v>0</v>
      </c>
      <c r="K620" t="n">
        <v>0</v>
      </c>
      <c r="L620" t="n">
        <v>0</v>
      </c>
      <c r="M620" t="n">
        <v>0</v>
      </c>
      <c r="N620" t="n">
        <v>0</v>
      </c>
      <c r="O620" t="n">
        <v>0</v>
      </c>
      <c r="P620" t="n">
        <v>0</v>
      </c>
      <c r="Q620" t="n">
        <v>0</v>
      </c>
      <c r="R620" s="2" t="inlineStr"/>
    </row>
    <row r="621" ht="15" customHeight="1">
      <c r="A621" t="inlineStr">
        <is>
          <t>A 3255-2022</t>
        </is>
      </c>
      <c r="B621" s="1" t="n">
        <v>44583</v>
      </c>
      <c r="C621" s="1" t="n">
        <v>45680</v>
      </c>
      <c r="D621" t="inlineStr">
        <is>
          <t>UPPSALA LÄN</t>
        </is>
      </c>
      <c r="E621" t="inlineStr">
        <is>
          <t>UPPSALA</t>
        </is>
      </c>
      <c r="F621" t="inlineStr">
        <is>
          <t>Holmen skog AB</t>
        </is>
      </c>
      <c r="G621" t="n">
        <v>5.6</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45680</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3284-2022</t>
        </is>
      </c>
      <c r="B623" s="1" t="n">
        <v>44584</v>
      </c>
      <c r="C623" s="1" t="n">
        <v>45680</v>
      </c>
      <c r="D623" t="inlineStr">
        <is>
          <t>UPPSALA LÄN</t>
        </is>
      </c>
      <c r="E623" t="inlineStr">
        <is>
          <t>UPPSALA</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3287-2022</t>
        </is>
      </c>
      <c r="B624" s="1" t="n">
        <v>44584</v>
      </c>
      <c r="C624" s="1" t="n">
        <v>45680</v>
      </c>
      <c r="D624" t="inlineStr">
        <is>
          <t>UPPSALA LÄN</t>
        </is>
      </c>
      <c r="E624" t="inlineStr">
        <is>
          <t>UPPSALA</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4059-2022</t>
        </is>
      </c>
      <c r="B625" s="1" t="n">
        <v>44588</v>
      </c>
      <c r="C625" s="1" t="n">
        <v>45680</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4312-2022</t>
        </is>
      </c>
      <c r="B626" s="1" t="n">
        <v>44588</v>
      </c>
      <c r="C626" s="1" t="n">
        <v>45680</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4444-2022</t>
        </is>
      </c>
      <c r="B627" s="1" t="n">
        <v>44589</v>
      </c>
      <c r="C627" s="1" t="n">
        <v>45680</v>
      </c>
      <c r="D627" t="inlineStr">
        <is>
          <t>UPPSALA LÄN</t>
        </is>
      </c>
      <c r="E627" t="inlineStr">
        <is>
          <t>UPPSALA</t>
        </is>
      </c>
      <c r="G627" t="n">
        <v>3.2</v>
      </c>
      <c r="H627" t="n">
        <v>0</v>
      </c>
      <c r="I627" t="n">
        <v>0</v>
      </c>
      <c r="J627" t="n">
        <v>0</v>
      </c>
      <c r="K627" t="n">
        <v>0</v>
      </c>
      <c r="L627" t="n">
        <v>0</v>
      </c>
      <c r="M627" t="n">
        <v>0</v>
      </c>
      <c r="N627" t="n">
        <v>0</v>
      </c>
      <c r="O627" t="n">
        <v>0</v>
      </c>
      <c r="P627" t="n">
        <v>0</v>
      </c>
      <c r="Q627" t="n">
        <v>0</v>
      </c>
      <c r="R627" s="2" t="inlineStr"/>
    </row>
    <row r="628" ht="15" customHeight="1">
      <c r="A628" t="inlineStr">
        <is>
          <t>A 4929-2022</t>
        </is>
      </c>
      <c r="B628" s="1" t="n">
        <v>44593</v>
      </c>
      <c r="C628" s="1" t="n">
        <v>45680</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5027-2022</t>
        </is>
      </c>
      <c r="B629" s="1" t="n">
        <v>44593</v>
      </c>
      <c r="C629" s="1" t="n">
        <v>45680</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5081-2022</t>
        </is>
      </c>
      <c r="B630" s="1" t="n">
        <v>44593</v>
      </c>
      <c r="C630" s="1" t="n">
        <v>45680</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5007-2022</t>
        </is>
      </c>
      <c r="B631" s="1" t="n">
        <v>44593</v>
      </c>
      <c r="C631" s="1" t="n">
        <v>45680</v>
      </c>
      <c r="D631" t="inlineStr">
        <is>
          <t>UPPSALA LÄN</t>
        </is>
      </c>
      <c r="E631" t="inlineStr">
        <is>
          <t>UPPSALA</t>
        </is>
      </c>
      <c r="F631" t="inlineStr">
        <is>
          <t>BillerudKorsnäs AB</t>
        </is>
      </c>
      <c r="G631" t="n">
        <v>3.6</v>
      </c>
      <c r="H631" t="n">
        <v>0</v>
      </c>
      <c r="I631" t="n">
        <v>0</v>
      </c>
      <c r="J631" t="n">
        <v>0</v>
      </c>
      <c r="K631" t="n">
        <v>0</v>
      </c>
      <c r="L631" t="n">
        <v>0</v>
      </c>
      <c r="M631" t="n">
        <v>0</v>
      </c>
      <c r="N631" t="n">
        <v>0</v>
      </c>
      <c r="O631" t="n">
        <v>0</v>
      </c>
      <c r="P631" t="n">
        <v>0</v>
      </c>
      <c r="Q631" t="n">
        <v>0</v>
      </c>
      <c r="R631" s="2" t="inlineStr"/>
    </row>
    <row r="632" ht="15" customHeight="1">
      <c r="A632" t="inlineStr">
        <is>
          <t>A 5006-2022</t>
        </is>
      </c>
      <c r="B632" s="1" t="n">
        <v>44593</v>
      </c>
      <c r="C632" s="1" t="n">
        <v>45680</v>
      </c>
      <c r="D632" t="inlineStr">
        <is>
          <t>UPPSALA LÄN</t>
        </is>
      </c>
      <c r="E632" t="inlineStr">
        <is>
          <t>UPPSALA</t>
        </is>
      </c>
      <c r="F632" t="inlineStr">
        <is>
          <t>BillerudKorsnäs AB</t>
        </is>
      </c>
      <c r="G632" t="n">
        <v>1.4</v>
      </c>
      <c r="H632" t="n">
        <v>0</v>
      </c>
      <c r="I632" t="n">
        <v>0</v>
      </c>
      <c r="J632" t="n">
        <v>0</v>
      </c>
      <c r="K632" t="n">
        <v>0</v>
      </c>
      <c r="L632" t="n">
        <v>0</v>
      </c>
      <c r="M632" t="n">
        <v>0</v>
      </c>
      <c r="N632" t="n">
        <v>0</v>
      </c>
      <c r="O632" t="n">
        <v>0</v>
      </c>
      <c r="P632" t="n">
        <v>0</v>
      </c>
      <c r="Q632" t="n">
        <v>0</v>
      </c>
      <c r="R632" s="2" t="inlineStr"/>
    </row>
    <row r="633" ht="15" customHeight="1">
      <c r="A633" t="inlineStr">
        <is>
          <t>A 5028-2022</t>
        </is>
      </c>
      <c r="B633" s="1" t="n">
        <v>44593</v>
      </c>
      <c r="C633" s="1" t="n">
        <v>45680</v>
      </c>
      <c r="D633" t="inlineStr">
        <is>
          <t>UPPSALA LÄN</t>
        </is>
      </c>
      <c r="E633" t="inlineStr">
        <is>
          <t>UPPSALA</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5309-2022</t>
        </is>
      </c>
      <c r="B634" s="1" t="n">
        <v>44594</v>
      </c>
      <c r="C634" s="1" t="n">
        <v>45680</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5189-2022</t>
        </is>
      </c>
      <c r="B635" s="1" t="n">
        <v>44594</v>
      </c>
      <c r="C635" s="1" t="n">
        <v>45680</v>
      </c>
      <c r="D635" t="inlineStr">
        <is>
          <t>UPPSALA LÄN</t>
        </is>
      </c>
      <c r="E635" t="inlineStr">
        <is>
          <t>UPPSALA</t>
        </is>
      </c>
      <c r="G635" t="n">
        <v>5.9</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45680</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5989-2022</t>
        </is>
      </c>
      <c r="B637" s="1" t="n">
        <v>44599</v>
      </c>
      <c r="C637" s="1" t="n">
        <v>45680</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6009-2022</t>
        </is>
      </c>
      <c r="B638" s="1" t="n">
        <v>44599</v>
      </c>
      <c r="C638" s="1" t="n">
        <v>45680</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5996-2022</t>
        </is>
      </c>
      <c r="B639" s="1" t="n">
        <v>44599</v>
      </c>
      <c r="C639" s="1" t="n">
        <v>45680</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6339-2022</t>
        </is>
      </c>
      <c r="B640" s="1" t="n">
        <v>44600</v>
      </c>
      <c r="C640" s="1" t="n">
        <v>45680</v>
      </c>
      <c r="D640" t="inlineStr">
        <is>
          <t>UPPSALA LÄN</t>
        </is>
      </c>
      <c r="E640" t="inlineStr">
        <is>
          <t>UPPSALA</t>
        </is>
      </c>
      <c r="G640" t="n">
        <v>18.7</v>
      </c>
      <c r="H640" t="n">
        <v>0</v>
      </c>
      <c r="I640" t="n">
        <v>0</v>
      </c>
      <c r="J640" t="n">
        <v>0</v>
      </c>
      <c r="K640" t="n">
        <v>0</v>
      </c>
      <c r="L640" t="n">
        <v>0</v>
      </c>
      <c r="M640" t="n">
        <v>0</v>
      </c>
      <c r="N640" t="n">
        <v>0</v>
      </c>
      <c r="O640" t="n">
        <v>0</v>
      </c>
      <c r="P640" t="n">
        <v>0</v>
      </c>
      <c r="Q640" t="n">
        <v>0</v>
      </c>
      <c r="R640" s="2" t="inlineStr"/>
    </row>
    <row r="641" ht="15" customHeight="1">
      <c r="A641" t="inlineStr">
        <is>
          <t>A 6408-2022</t>
        </is>
      </c>
      <c r="B641" s="1" t="n">
        <v>44600</v>
      </c>
      <c r="C641" s="1" t="n">
        <v>45680</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6717-2022</t>
        </is>
      </c>
      <c r="B642" s="1" t="n">
        <v>44602</v>
      </c>
      <c r="C642" s="1" t="n">
        <v>45680</v>
      </c>
      <c r="D642" t="inlineStr">
        <is>
          <t>UPPSALA LÄN</t>
        </is>
      </c>
      <c r="E642" t="inlineStr">
        <is>
          <t>UPPSALA</t>
        </is>
      </c>
      <c r="F642" t="inlineStr">
        <is>
          <t>Övriga Aktiebolag</t>
        </is>
      </c>
      <c r="G642" t="n">
        <v>6.7</v>
      </c>
      <c r="H642" t="n">
        <v>0</v>
      </c>
      <c r="I642" t="n">
        <v>0</v>
      </c>
      <c r="J642" t="n">
        <v>0</v>
      </c>
      <c r="K642" t="n">
        <v>0</v>
      </c>
      <c r="L642" t="n">
        <v>0</v>
      </c>
      <c r="M642" t="n">
        <v>0</v>
      </c>
      <c r="N642" t="n">
        <v>0</v>
      </c>
      <c r="O642" t="n">
        <v>0</v>
      </c>
      <c r="P642" t="n">
        <v>0</v>
      </c>
      <c r="Q642" t="n">
        <v>0</v>
      </c>
      <c r="R642" s="2" t="inlineStr"/>
    </row>
    <row r="643" ht="15" customHeight="1">
      <c r="A643" t="inlineStr">
        <is>
          <t>A 6853-2022</t>
        </is>
      </c>
      <c r="B643" s="1" t="n">
        <v>44602</v>
      </c>
      <c r="C643" s="1" t="n">
        <v>45680</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6863-2022</t>
        </is>
      </c>
      <c r="B644" s="1" t="n">
        <v>44602</v>
      </c>
      <c r="C644" s="1" t="n">
        <v>45680</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6850-2022</t>
        </is>
      </c>
      <c r="B645" s="1" t="n">
        <v>44602</v>
      </c>
      <c r="C645" s="1" t="n">
        <v>45680</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6851-2022</t>
        </is>
      </c>
      <c r="B646" s="1" t="n">
        <v>44602</v>
      </c>
      <c r="C646" s="1" t="n">
        <v>45680</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6855-2022</t>
        </is>
      </c>
      <c r="B647" s="1" t="n">
        <v>44602</v>
      </c>
      <c r="C647" s="1" t="n">
        <v>45680</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6860-2022</t>
        </is>
      </c>
      <c r="B648" s="1" t="n">
        <v>44602</v>
      </c>
      <c r="C648" s="1" t="n">
        <v>45680</v>
      </c>
      <c r="D648" t="inlineStr">
        <is>
          <t>UPPSALA LÄN</t>
        </is>
      </c>
      <c r="E648" t="inlineStr">
        <is>
          <t>UPPSALA</t>
        </is>
      </c>
      <c r="G648" t="n">
        <v>14.8</v>
      </c>
      <c r="H648" t="n">
        <v>0</v>
      </c>
      <c r="I648" t="n">
        <v>0</v>
      </c>
      <c r="J648" t="n">
        <v>0</v>
      </c>
      <c r="K648" t="n">
        <v>0</v>
      </c>
      <c r="L648" t="n">
        <v>0</v>
      </c>
      <c r="M648" t="n">
        <v>0</v>
      </c>
      <c r="N648" t="n">
        <v>0</v>
      </c>
      <c r="O648" t="n">
        <v>0</v>
      </c>
      <c r="P648" t="n">
        <v>0</v>
      </c>
      <c r="Q648" t="n">
        <v>0</v>
      </c>
      <c r="R648" s="2" t="inlineStr"/>
    </row>
    <row r="649" ht="15" customHeight="1">
      <c r="A649" t="inlineStr">
        <is>
          <t>A 6989-2022</t>
        </is>
      </c>
      <c r="B649" s="1" t="n">
        <v>44603</v>
      </c>
      <c r="C649" s="1" t="n">
        <v>45680</v>
      </c>
      <c r="D649" t="inlineStr">
        <is>
          <t>UPPSALA LÄN</t>
        </is>
      </c>
      <c r="E649" t="inlineStr">
        <is>
          <t>UPPSALA</t>
        </is>
      </c>
      <c r="G649" t="n">
        <v>3.1</v>
      </c>
      <c r="H649" t="n">
        <v>0</v>
      </c>
      <c r="I649" t="n">
        <v>0</v>
      </c>
      <c r="J649" t="n">
        <v>0</v>
      </c>
      <c r="K649" t="n">
        <v>0</v>
      </c>
      <c r="L649" t="n">
        <v>0</v>
      </c>
      <c r="M649" t="n">
        <v>0</v>
      </c>
      <c r="N649" t="n">
        <v>0</v>
      </c>
      <c r="O649" t="n">
        <v>0</v>
      </c>
      <c r="P649" t="n">
        <v>0</v>
      </c>
      <c r="Q649" t="n">
        <v>0</v>
      </c>
      <c r="R649" s="2" t="inlineStr"/>
    </row>
    <row r="650" ht="15" customHeight="1">
      <c r="A650" t="inlineStr">
        <is>
          <t>A 7040-2022</t>
        </is>
      </c>
      <c r="B650" s="1" t="n">
        <v>44603</v>
      </c>
      <c r="C650" s="1" t="n">
        <v>45680</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7124-2022</t>
        </is>
      </c>
      <c r="B651" s="1" t="n">
        <v>44603</v>
      </c>
      <c r="C651" s="1" t="n">
        <v>45680</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7409-2022</t>
        </is>
      </c>
      <c r="B652" s="1" t="n">
        <v>44606</v>
      </c>
      <c r="C652" s="1" t="n">
        <v>45680</v>
      </c>
      <c r="D652" t="inlineStr">
        <is>
          <t>UPPSALA LÄN</t>
        </is>
      </c>
      <c r="E652" t="inlineStr">
        <is>
          <t>UPPSALA</t>
        </is>
      </c>
      <c r="G652" t="n">
        <v>4.3</v>
      </c>
      <c r="H652" t="n">
        <v>0</v>
      </c>
      <c r="I652" t="n">
        <v>0</v>
      </c>
      <c r="J652" t="n">
        <v>0</v>
      </c>
      <c r="K652" t="n">
        <v>0</v>
      </c>
      <c r="L652" t="n">
        <v>0</v>
      </c>
      <c r="M652" t="n">
        <v>0</v>
      </c>
      <c r="N652" t="n">
        <v>0</v>
      </c>
      <c r="O652" t="n">
        <v>0</v>
      </c>
      <c r="P652" t="n">
        <v>0</v>
      </c>
      <c r="Q652" t="n">
        <v>0</v>
      </c>
      <c r="R652" s="2" t="inlineStr"/>
    </row>
    <row r="653" ht="15" customHeight="1">
      <c r="A653" t="inlineStr">
        <is>
          <t>A 7899-2022</t>
        </is>
      </c>
      <c r="B653" s="1" t="n">
        <v>44608</v>
      </c>
      <c r="C653" s="1" t="n">
        <v>45680</v>
      </c>
      <c r="D653" t="inlineStr">
        <is>
          <t>UPPSALA LÄN</t>
        </is>
      </c>
      <c r="E653" t="inlineStr">
        <is>
          <t>UPPSALA</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8090-2022</t>
        </is>
      </c>
      <c r="B654" s="1" t="n">
        <v>44608</v>
      </c>
      <c r="C654" s="1" t="n">
        <v>45680</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7996-2022</t>
        </is>
      </c>
      <c r="B655" s="1" t="n">
        <v>44609</v>
      </c>
      <c r="C655" s="1" t="n">
        <v>45680</v>
      </c>
      <c r="D655" t="inlineStr">
        <is>
          <t>UPPSALA LÄN</t>
        </is>
      </c>
      <c r="E655" t="inlineStr">
        <is>
          <t>UPPSALA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8007-2022</t>
        </is>
      </c>
      <c r="B656" s="1" t="n">
        <v>44609</v>
      </c>
      <c r="C656" s="1" t="n">
        <v>45680</v>
      </c>
      <c r="D656" t="inlineStr">
        <is>
          <t>UPPSALA LÄN</t>
        </is>
      </c>
      <c r="E656" t="inlineStr">
        <is>
          <t>UPPSALA</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8132-2022</t>
        </is>
      </c>
      <c r="B657" s="1" t="n">
        <v>44609</v>
      </c>
      <c r="C657" s="1" t="n">
        <v>45680</v>
      </c>
      <c r="D657" t="inlineStr">
        <is>
          <t>UPPSALA LÄN</t>
        </is>
      </c>
      <c r="E657" t="inlineStr">
        <is>
          <t>UPPSALA</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8139-2022</t>
        </is>
      </c>
      <c r="B658" s="1" t="n">
        <v>44609</v>
      </c>
      <c r="C658" s="1" t="n">
        <v>45680</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45680</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45680</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45680</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8451-2022</t>
        </is>
      </c>
      <c r="B662" s="1" t="n">
        <v>44612</v>
      </c>
      <c r="C662" s="1" t="n">
        <v>45680</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8877-2022</t>
        </is>
      </c>
      <c r="B663" s="1" t="n">
        <v>44614</v>
      </c>
      <c r="C663" s="1" t="n">
        <v>45680</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8933-2022</t>
        </is>
      </c>
      <c r="B664" s="1" t="n">
        <v>44614</v>
      </c>
      <c r="C664" s="1" t="n">
        <v>45680</v>
      </c>
      <c r="D664" t="inlineStr">
        <is>
          <t>UPPSALA LÄN</t>
        </is>
      </c>
      <c r="E664" t="inlineStr">
        <is>
          <t>UPPSALA</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9206-2022</t>
        </is>
      </c>
      <c r="B665" s="1" t="n">
        <v>44616</v>
      </c>
      <c r="C665" s="1" t="n">
        <v>45680</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9242-2022</t>
        </is>
      </c>
      <c r="B666" s="1" t="n">
        <v>44616</v>
      </c>
      <c r="C666" s="1" t="n">
        <v>45680</v>
      </c>
      <c r="D666" t="inlineStr">
        <is>
          <t>UPPSALA LÄN</t>
        </is>
      </c>
      <c r="E666" t="inlineStr">
        <is>
          <t>UPPSALA</t>
        </is>
      </c>
      <c r="F666" t="inlineStr">
        <is>
          <t>Övriga Aktiebolag</t>
        </is>
      </c>
      <c r="G666" t="n">
        <v>5.9</v>
      </c>
      <c r="H666" t="n">
        <v>0</v>
      </c>
      <c r="I666" t="n">
        <v>0</v>
      </c>
      <c r="J666" t="n">
        <v>0</v>
      </c>
      <c r="K666" t="n">
        <v>0</v>
      </c>
      <c r="L666" t="n">
        <v>0</v>
      </c>
      <c r="M666" t="n">
        <v>0</v>
      </c>
      <c r="N666" t="n">
        <v>0</v>
      </c>
      <c r="O666" t="n">
        <v>0</v>
      </c>
      <c r="P666" t="n">
        <v>0</v>
      </c>
      <c r="Q666" t="n">
        <v>0</v>
      </c>
      <c r="R666" s="2" t="inlineStr"/>
    </row>
    <row r="667" ht="15" customHeight="1">
      <c r="A667" t="inlineStr">
        <is>
          <t>A 9592-2022</t>
        </is>
      </c>
      <c r="B667" s="1" t="n">
        <v>44617</v>
      </c>
      <c r="C667" s="1" t="n">
        <v>45680</v>
      </c>
      <c r="D667" t="inlineStr">
        <is>
          <t>UPPSALA LÄN</t>
        </is>
      </c>
      <c r="E667" t="inlineStr">
        <is>
          <t>UPPSALA</t>
        </is>
      </c>
      <c r="G667" t="n">
        <v>7.5</v>
      </c>
      <c r="H667" t="n">
        <v>0</v>
      </c>
      <c r="I667" t="n">
        <v>0</v>
      </c>
      <c r="J667" t="n">
        <v>0</v>
      </c>
      <c r="K667" t="n">
        <v>0</v>
      </c>
      <c r="L667" t="n">
        <v>0</v>
      </c>
      <c r="M667" t="n">
        <v>0</v>
      </c>
      <c r="N667" t="n">
        <v>0</v>
      </c>
      <c r="O667" t="n">
        <v>0</v>
      </c>
      <c r="P667" t="n">
        <v>0</v>
      </c>
      <c r="Q667" t="n">
        <v>0</v>
      </c>
      <c r="R667" s="2" t="inlineStr"/>
    </row>
    <row r="668" ht="15" customHeight="1">
      <c r="A668" t="inlineStr">
        <is>
          <t>A 10411-2022</t>
        </is>
      </c>
      <c r="B668" s="1" t="n">
        <v>44623</v>
      </c>
      <c r="C668" s="1" t="n">
        <v>45680</v>
      </c>
      <c r="D668" t="inlineStr">
        <is>
          <t>UPPSALA LÄN</t>
        </is>
      </c>
      <c r="E668" t="inlineStr">
        <is>
          <t>UPPSALA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10383-2022</t>
        </is>
      </c>
      <c r="B669" s="1" t="n">
        <v>44623</v>
      </c>
      <c r="C669" s="1" t="n">
        <v>45680</v>
      </c>
      <c r="D669" t="inlineStr">
        <is>
          <t>UPPSALA LÄN</t>
        </is>
      </c>
      <c r="E669" t="inlineStr">
        <is>
          <t>UPPSALA</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10456-2022</t>
        </is>
      </c>
      <c r="B670" s="1" t="n">
        <v>44623</v>
      </c>
      <c r="C670" s="1" t="n">
        <v>45680</v>
      </c>
      <c r="D670" t="inlineStr">
        <is>
          <t>UPPSALA LÄN</t>
        </is>
      </c>
      <c r="E670" t="inlineStr">
        <is>
          <t>UPPSALA</t>
        </is>
      </c>
      <c r="F670" t="inlineStr">
        <is>
          <t>Övriga Aktiebolag</t>
        </is>
      </c>
      <c r="G670" t="n">
        <v>12.6</v>
      </c>
      <c r="H670" t="n">
        <v>0</v>
      </c>
      <c r="I670" t="n">
        <v>0</v>
      </c>
      <c r="J670" t="n">
        <v>0</v>
      </c>
      <c r="K670" t="n">
        <v>0</v>
      </c>
      <c r="L670" t="n">
        <v>0</v>
      </c>
      <c r="M670" t="n">
        <v>0</v>
      </c>
      <c r="N670" t="n">
        <v>0</v>
      </c>
      <c r="O670" t="n">
        <v>0</v>
      </c>
      <c r="P670" t="n">
        <v>0</v>
      </c>
      <c r="Q670" t="n">
        <v>0</v>
      </c>
      <c r="R670" s="2" t="inlineStr"/>
    </row>
    <row r="671" ht="15" customHeight="1">
      <c r="A671" t="inlineStr">
        <is>
          <t>A 10464-2022</t>
        </is>
      </c>
      <c r="B671" s="1" t="n">
        <v>44623</v>
      </c>
      <c r="C671" s="1" t="n">
        <v>45680</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10565-2022</t>
        </is>
      </c>
      <c r="B672" s="1" t="n">
        <v>44624</v>
      </c>
      <c r="C672" s="1" t="n">
        <v>45680</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10674-2022</t>
        </is>
      </c>
      <c r="B673" s="1" t="n">
        <v>44624</v>
      </c>
      <c r="C673" s="1" t="n">
        <v>45680</v>
      </c>
      <c r="D673" t="inlineStr">
        <is>
          <t>UPPSALA LÄN</t>
        </is>
      </c>
      <c r="E673" t="inlineStr">
        <is>
          <t>UPPSALA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v>
      </c>
      <c r="C674" s="1" t="n">
        <v>45680</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11224-2022</t>
        </is>
      </c>
      <c r="B675" s="1" t="n">
        <v>44629</v>
      </c>
      <c r="C675" s="1" t="n">
        <v>45680</v>
      </c>
      <c r="D675" t="inlineStr">
        <is>
          <t>UPPSALA LÄN</t>
        </is>
      </c>
      <c r="E675" t="inlineStr">
        <is>
          <t>UPPSALA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11787-2022</t>
        </is>
      </c>
      <c r="B676" s="1" t="n">
        <v>44634</v>
      </c>
      <c r="C676" s="1" t="n">
        <v>45680</v>
      </c>
      <c r="D676" t="inlineStr">
        <is>
          <t>UPPSALA LÄN</t>
        </is>
      </c>
      <c r="E676" t="inlineStr">
        <is>
          <t>UPPSALA</t>
        </is>
      </c>
      <c r="F676" t="inlineStr">
        <is>
          <t>Holmen skog AB</t>
        </is>
      </c>
      <c r="G676" t="n">
        <v>6.2</v>
      </c>
      <c r="H676" t="n">
        <v>0</v>
      </c>
      <c r="I676" t="n">
        <v>0</v>
      </c>
      <c r="J676" t="n">
        <v>0</v>
      </c>
      <c r="K676" t="n">
        <v>0</v>
      </c>
      <c r="L676" t="n">
        <v>0</v>
      </c>
      <c r="M676" t="n">
        <v>0</v>
      </c>
      <c r="N676" t="n">
        <v>0</v>
      </c>
      <c r="O676" t="n">
        <v>0</v>
      </c>
      <c r="P676" t="n">
        <v>0</v>
      </c>
      <c r="Q676" t="n">
        <v>0</v>
      </c>
      <c r="R676" s="2" t="inlineStr"/>
    </row>
    <row r="677" ht="15" customHeight="1">
      <c r="A677" t="inlineStr">
        <is>
          <t>A 11693-2022</t>
        </is>
      </c>
      <c r="B677" s="1" t="n">
        <v>44634</v>
      </c>
      <c r="C677" s="1" t="n">
        <v>45680</v>
      </c>
      <c r="D677" t="inlineStr">
        <is>
          <t>UPPSALA LÄN</t>
        </is>
      </c>
      <c r="E677" t="inlineStr">
        <is>
          <t>UPPSALA</t>
        </is>
      </c>
      <c r="G677" t="n">
        <v>4</v>
      </c>
      <c r="H677" t="n">
        <v>0</v>
      </c>
      <c r="I677" t="n">
        <v>0</v>
      </c>
      <c r="J677" t="n">
        <v>0</v>
      </c>
      <c r="K677" t="n">
        <v>0</v>
      </c>
      <c r="L677" t="n">
        <v>0</v>
      </c>
      <c r="M677" t="n">
        <v>0</v>
      </c>
      <c r="N677" t="n">
        <v>0</v>
      </c>
      <c r="O677" t="n">
        <v>0</v>
      </c>
      <c r="P677" t="n">
        <v>0</v>
      </c>
      <c r="Q677" t="n">
        <v>0</v>
      </c>
      <c r="R677" s="2" t="inlineStr"/>
    </row>
    <row r="678" ht="15" customHeight="1">
      <c r="A678" t="inlineStr">
        <is>
          <t>A 12221-2022</t>
        </is>
      </c>
      <c r="B678" s="1" t="n">
        <v>44637</v>
      </c>
      <c r="C678" s="1" t="n">
        <v>45680</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12293-2022</t>
        </is>
      </c>
      <c r="B679" s="1" t="n">
        <v>44637</v>
      </c>
      <c r="C679" s="1" t="n">
        <v>45680</v>
      </c>
      <c r="D679" t="inlineStr">
        <is>
          <t>UPPSALA LÄN</t>
        </is>
      </c>
      <c r="E679" t="inlineStr">
        <is>
          <t>UPPSALA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13009-2022</t>
        </is>
      </c>
      <c r="B680" s="1" t="n">
        <v>44643</v>
      </c>
      <c r="C680" s="1" t="n">
        <v>45680</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13134-2022</t>
        </is>
      </c>
      <c r="B681" s="1" t="n">
        <v>44644</v>
      </c>
      <c r="C681" s="1" t="n">
        <v>45680</v>
      </c>
      <c r="D681" t="inlineStr">
        <is>
          <t>UPPSALA LÄN</t>
        </is>
      </c>
      <c r="E681" t="inlineStr">
        <is>
          <t>UPPSALA</t>
        </is>
      </c>
      <c r="F681" t="inlineStr">
        <is>
          <t>Övriga Aktiebolag</t>
        </is>
      </c>
      <c r="G681" t="n">
        <v>3.2</v>
      </c>
      <c r="H681" t="n">
        <v>0</v>
      </c>
      <c r="I681" t="n">
        <v>0</v>
      </c>
      <c r="J681" t="n">
        <v>0</v>
      </c>
      <c r="K681" t="n">
        <v>0</v>
      </c>
      <c r="L681" t="n">
        <v>0</v>
      </c>
      <c r="M681" t="n">
        <v>0</v>
      </c>
      <c r="N681" t="n">
        <v>0</v>
      </c>
      <c r="O681" t="n">
        <v>0</v>
      </c>
      <c r="P681" t="n">
        <v>0</v>
      </c>
      <c r="Q681" t="n">
        <v>0</v>
      </c>
      <c r="R681" s="2" t="inlineStr"/>
    </row>
    <row r="682" ht="15" customHeight="1">
      <c r="A682" t="inlineStr">
        <is>
          <t>A 13128-2022</t>
        </is>
      </c>
      <c r="B682" s="1" t="n">
        <v>44644</v>
      </c>
      <c r="C682" s="1" t="n">
        <v>45680</v>
      </c>
      <c r="D682" t="inlineStr">
        <is>
          <t>UPPSALA LÄN</t>
        </is>
      </c>
      <c r="E682" t="inlineStr">
        <is>
          <t>UPPSALA</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13386-2022</t>
        </is>
      </c>
      <c r="B683" s="1" t="n">
        <v>44645</v>
      </c>
      <c r="C683" s="1" t="n">
        <v>45680</v>
      </c>
      <c r="D683" t="inlineStr">
        <is>
          <t>UPPSALA LÄN</t>
        </is>
      </c>
      <c r="E683" t="inlineStr">
        <is>
          <t>UPPSALA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13343-2022</t>
        </is>
      </c>
      <c r="B684" s="1" t="n">
        <v>44645</v>
      </c>
      <c r="C684" s="1" t="n">
        <v>45680</v>
      </c>
      <c r="D684" t="inlineStr">
        <is>
          <t>UPPSALA LÄN</t>
        </is>
      </c>
      <c r="E684" t="inlineStr">
        <is>
          <t>UPPSALA</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13892-2022</t>
        </is>
      </c>
      <c r="B685" s="1" t="n">
        <v>44649</v>
      </c>
      <c r="C685" s="1" t="n">
        <v>45680</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13901-2022</t>
        </is>
      </c>
      <c r="B686" s="1" t="n">
        <v>44649</v>
      </c>
      <c r="C686" s="1" t="n">
        <v>45680</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14337-2022</t>
        </is>
      </c>
      <c r="B687" s="1" t="n">
        <v>44652</v>
      </c>
      <c r="C687" s="1" t="n">
        <v>45680</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14355-2022</t>
        </is>
      </c>
      <c r="B688" s="1" t="n">
        <v>44652</v>
      </c>
      <c r="C688" s="1" t="n">
        <v>45680</v>
      </c>
      <c r="D688" t="inlineStr">
        <is>
          <t>UPPSALA LÄN</t>
        </is>
      </c>
      <c r="E688" t="inlineStr">
        <is>
          <t>UPPSALA</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14340-2022</t>
        </is>
      </c>
      <c r="B689" s="1" t="n">
        <v>44652</v>
      </c>
      <c r="C689" s="1" t="n">
        <v>45680</v>
      </c>
      <c r="D689" t="inlineStr">
        <is>
          <t>UPPSALA LÄN</t>
        </is>
      </c>
      <c r="E689" t="inlineStr">
        <is>
          <t>UPPSALA</t>
        </is>
      </c>
      <c r="F689" t="inlineStr">
        <is>
          <t>Bergvik skog öst AB</t>
        </is>
      </c>
      <c r="G689" t="n">
        <v>4</v>
      </c>
      <c r="H689" t="n">
        <v>0</v>
      </c>
      <c r="I689" t="n">
        <v>0</v>
      </c>
      <c r="J689" t="n">
        <v>0</v>
      </c>
      <c r="K689" t="n">
        <v>0</v>
      </c>
      <c r="L689" t="n">
        <v>0</v>
      </c>
      <c r="M689" t="n">
        <v>0</v>
      </c>
      <c r="N689" t="n">
        <v>0</v>
      </c>
      <c r="O689" t="n">
        <v>0</v>
      </c>
      <c r="P689" t="n">
        <v>0</v>
      </c>
      <c r="Q689" t="n">
        <v>0</v>
      </c>
      <c r="R689" s="2" t="inlineStr"/>
    </row>
    <row r="690" ht="15" customHeight="1">
      <c r="A690" t="inlineStr">
        <is>
          <t>A 14622-2022</t>
        </is>
      </c>
      <c r="B690" s="1" t="n">
        <v>44655</v>
      </c>
      <c r="C690" s="1" t="n">
        <v>45680</v>
      </c>
      <c r="D690" t="inlineStr">
        <is>
          <t>UPPSALA LÄN</t>
        </is>
      </c>
      <c r="E690" t="inlineStr">
        <is>
          <t>UPPSALA</t>
        </is>
      </c>
      <c r="F690" t="inlineStr">
        <is>
          <t>Övriga Aktiebolag</t>
        </is>
      </c>
      <c r="G690" t="n">
        <v>2.7</v>
      </c>
      <c r="H690" t="n">
        <v>0</v>
      </c>
      <c r="I690" t="n">
        <v>0</v>
      </c>
      <c r="J690" t="n">
        <v>0</v>
      </c>
      <c r="K690" t="n">
        <v>0</v>
      </c>
      <c r="L690" t="n">
        <v>0</v>
      </c>
      <c r="M690" t="n">
        <v>0</v>
      </c>
      <c r="N690" t="n">
        <v>0</v>
      </c>
      <c r="O690" t="n">
        <v>0</v>
      </c>
      <c r="P690" t="n">
        <v>0</v>
      </c>
      <c r="Q690" t="n">
        <v>0</v>
      </c>
      <c r="R690" s="2" t="inlineStr"/>
    </row>
    <row r="691" ht="15" customHeight="1">
      <c r="A691" t="inlineStr">
        <is>
          <t>A 15436-2022</t>
        </is>
      </c>
      <c r="B691" s="1" t="n">
        <v>44659</v>
      </c>
      <c r="C691" s="1" t="n">
        <v>45680</v>
      </c>
      <c r="D691" t="inlineStr">
        <is>
          <t>UPPSALA LÄN</t>
        </is>
      </c>
      <c r="E691" t="inlineStr">
        <is>
          <t>UPPSALA</t>
        </is>
      </c>
      <c r="G691" t="n">
        <v>14.4</v>
      </c>
      <c r="H691" t="n">
        <v>0</v>
      </c>
      <c r="I691" t="n">
        <v>0</v>
      </c>
      <c r="J691" t="n">
        <v>0</v>
      </c>
      <c r="K691" t="n">
        <v>0</v>
      </c>
      <c r="L691" t="n">
        <v>0</v>
      </c>
      <c r="M691" t="n">
        <v>0</v>
      </c>
      <c r="N691" t="n">
        <v>0</v>
      </c>
      <c r="O691" t="n">
        <v>0</v>
      </c>
      <c r="P691" t="n">
        <v>0</v>
      </c>
      <c r="Q691" t="n">
        <v>0</v>
      </c>
      <c r="R691" s="2" t="inlineStr"/>
    </row>
    <row r="692" ht="15" customHeight="1">
      <c r="A692" t="inlineStr">
        <is>
          <t>A 15377-2022</t>
        </is>
      </c>
      <c r="B692" s="1" t="n">
        <v>44659</v>
      </c>
      <c r="C692" s="1" t="n">
        <v>45680</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15310-2022</t>
        </is>
      </c>
      <c r="B693" s="1" t="n">
        <v>44659</v>
      </c>
      <c r="C693" s="1" t="n">
        <v>45680</v>
      </c>
      <c r="D693" t="inlineStr">
        <is>
          <t>UPPSALA LÄN</t>
        </is>
      </c>
      <c r="E693" t="inlineStr">
        <is>
          <t>UPPSALA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45680</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15735-2022</t>
        </is>
      </c>
      <c r="B695" s="1" t="n">
        <v>44663</v>
      </c>
      <c r="C695" s="1" t="n">
        <v>45680</v>
      </c>
      <c r="D695" t="inlineStr">
        <is>
          <t>UPPSALA LÄN</t>
        </is>
      </c>
      <c r="E695" t="inlineStr">
        <is>
          <t>UPPSALA</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16126-2022</t>
        </is>
      </c>
      <c r="B696" s="1" t="n">
        <v>44665</v>
      </c>
      <c r="C696" s="1" t="n">
        <v>45680</v>
      </c>
      <c r="D696" t="inlineStr">
        <is>
          <t>UPPSALA LÄN</t>
        </is>
      </c>
      <c r="E696" t="inlineStr">
        <is>
          <t>UPPSALA</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16804-2022</t>
        </is>
      </c>
      <c r="B697" s="1" t="n">
        <v>44673</v>
      </c>
      <c r="C697" s="1" t="n">
        <v>45680</v>
      </c>
      <c r="D697" t="inlineStr">
        <is>
          <t>UPPSALA LÄN</t>
        </is>
      </c>
      <c r="E697" t="inlineStr">
        <is>
          <t>UPPSALA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16828-2022</t>
        </is>
      </c>
      <c r="B698" s="1" t="n">
        <v>44673</v>
      </c>
      <c r="C698" s="1" t="n">
        <v>45680</v>
      </c>
      <c r="D698" t="inlineStr">
        <is>
          <t>UPPSALA LÄN</t>
        </is>
      </c>
      <c r="E698" t="inlineStr">
        <is>
          <t>UPPSALA</t>
        </is>
      </c>
      <c r="F698" t="inlineStr">
        <is>
          <t>Bergvik skog öst AB</t>
        </is>
      </c>
      <c r="G698" t="n">
        <v>4.1</v>
      </c>
      <c r="H698" t="n">
        <v>0</v>
      </c>
      <c r="I698" t="n">
        <v>0</v>
      </c>
      <c r="J698" t="n">
        <v>0</v>
      </c>
      <c r="K698" t="n">
        <v>0</v>
      </c>
      <c r="L698" t="n">
        <v>0</v>
      </c>
      <c r="M698" t="n">
        <v>0</v>
      </c>
      <c r="N698" t="n">
        <v>0</v>
      </c>
      <c r="O698" t="n">
        <v>0</v>
      </c>
      <c r="P698" t="n">
        <v>0</v>
      </c>
      <c r="Q698" t="n">
        <v>0</v>
      </c>
      <c r="R698" s="2" t="inlineStr"/>
    </row>
    <row r="699" ht="15" customHeight="1">
      <c r="A699" t="inlineStr">
        <is>
          <t>A 16827-2022</t>
        </is>
      </c>
      <c r="B699" s="1" t="n">
        <v>44673</v>
      </c>
      <c r="C699" s="1" t="n">
        <v>45680</v>
      </c>
      <c r="D699" t="inlineStr">
        <is>
          <t>UPPSALA LÄN</t>
        </is>
      </c>
      <c r="E699" t="inlineStr">
        <is>
          <t>UPPSALA</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16831-2022</t>
        </is>
      </c>
      <c r="B700" s="1" t="n">
        <v>44673</v>
      </c>
      <c r="C700" s="1" t="n">
        <v>45680</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16826-2022</t>
        </is>
      </c>
      <c r="B701" s="1" t="n">
        <v>44673</v>
      </c>
      <c r="C701" s="1" t="n">
        <v>45680</v>
      </c>
      <c r="D701" t="inlineStr">
        <is>
          <t>UPPSALA LÄN</t>
        </is>
      </c>
      <c r="E701" t="inlineStr">
        <is>
          <t>UPPSALA</t>
        </is>
      </c>
      <c r="F701" t="inlineStr">
        <is>
          <t>Bergvik skog öst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16761-2022</t>
        </is>
      </c>
      <c r="B702" s="1" t="n">
        <v>44673</v>
      </c>
      <c r="C702" s="1" t="n">
        <v>45680</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16942-2022</t>
        </is>
      </c>
      <c r="B703" s="1" t="n">
        <v>44676</v>
      </c>
      <c r="C703" s="1" t="n">
        <v>45680</v>
      </c>
      <c r="D703" t="inlineStr">
        <is>
          <t>UPPSALA LÄN</t>
        </is>
      </c>
      <c r="E703" t="inlineStr">
        <is>
          <t>UPPSALA</t>
        </is>
      </c>
      <c r="F703" t="inlineStr">
        <is>
          <t>Bergvik skog öst AB</t>
        </is>
      </c>
      <c r="G703" t="n">
        <v>3.7</v>
      </c>
      <c r="H703" t="n">
        <v>0</v>
      </c>
      <c r="I703" t="n">
        <v>0</v>
      </c>
      <c r="J703" t="n">
        <v>0</v>
      </c>
      <c r="K703" t="n">
        <v>0</v>
      </c>
      <c r="L703" t="n">
        <v>0</v>
      </c>
      <c r="M703" t="n">
        <v>0</v>
      </c>
      <c r="N703" t="n">
        <v>0</v>
      </c>
      <c r="O703" t="n">
        <v>0</v>
      </c>
      <c r="P703" t="n">
        <v>0</v>
      </c>
      <c r="Q703" t="n">
        <v>0</v>
      </c>
      <c r="R703" s="2" t="inlineStr"/>
    </row>
    <row r="704" ht="15" customHeight="1">
      <c r="A704" t="inlineStr">
        <is>
          <t>A 16892-2022</t>
        </is>
      </c>
      <c r="B704" s="1" t="n">
        <v>44676</v>
      </c>
      <c r="C704" s="1" t="n">
        <v>45680</v>
      </c>
      <c r="D704" t="inlineStr">
        <is>
          <t>UPPSALA LÄN</t>
        </is>
      </c>
      <c r="E704" t="inlineStr">
        <is>
          <t>UPPSALA</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16978-2022</t>
        </is>
      </c>
      <c r="B705" s="1" t="n">
        <v>44676</v>
      </c>
      <c r="C705" s="1" t="n">
        <v>45680</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16898-2022</t>
        </is>
      </c>
      <c r="B706" s="1" t="n">
        <v>44676</v>
      </c>
      <c r="C706" s="1" t="n">
        <v>45680</v>
      </c>
      <c r="D706" t="inlineStr">
        <is>
          <t>UPPSALA LÄN</t>
        </is>
      </c>
      <c r="E706" t="inlineStr">
        <is>
          <t>UPPSALA</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17232-2022</t>
        </is>
      </c>
      <c r="B707" s="1" t="n">
        <v>44678</v>
      </c>
      <c r="C707" s="1" t="n">
        <v>45680</v>
      </c>
      <c r="D707" t="inlineStr">
        <is>
          <t>UPPSALA LÄN</t>
        </is>
      </c>
      <c r="E707" t="inlineStr">
        <is>
          <t>UPPSALA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17562-2022</t>
        </is>
      </c>
      <c r="B708" s="1" t="n">
        <v>44679</v>
      </c>
      <c r="C708" s="1" t="n">
        <v>45680</v>
      </c>
      <c r="D708" t="inlineStr">
        <is>
          <t>UPPSALA LÄN</t>
        </is>
      </c>
      <c r="E708" t="inlineStr">
        <is>
          <t>UPPSALA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17558-2022</t>
        </is>
      </c>
      <c r="B709" s="1" t="n">
        <v>44679</v>
      </c>
      <c r="C709" s="1" t="n">
        <v>45680</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17981-2022</t>
        </is>
      </c>
      <c r="B710" s="1" t="n">
        <v>44683</v>
      </c>
      <c r="C710" s="1" t="n">
        <v>45680</v>
      </c>
      <c r="D710" t="inlineStr">
        <is>
          <t>UPPSALA LÄN</t>
        </is>
      </c>
      <c r="E710" t="inlineStr">
        <is>
          <t>UPPSALA</t>
        </is>
      </c>
      <c r="F710" t="inlineStr">
        <is>
          <t>Bergvik skog öst AB</t>
        </is>
      </c>
      <c r="G710" t="n">
        <v>6.7</v>
      </c>
      <c r="H710" t="n">
        <v>0</v>
      </c>
      <c r="I710" t="n">
        <v>0</v>
      </c>
      <c r="J710" t="n">
        <v>0</v>
      </c>
      <c r="K710" t="n">
        <v>0</v>
      </c>
      <c r="L710" t="n">
        <v>0</v>
      </c>
      <c r="M710" t="n">
        <v>0</v>
      </c>
      <c r="N710" t="n">
        <v>0</v>
      </c>
      <c r="O710" t="n">
        <v>0</v>
      </c>
      <c r="P710" t="n">
        <v>0</v>
      </c>
      <c r="Q710" t="n">
        <v>0</v>
      </c>
      <c r="R710" s="2" t="inlineStr"/>
    </row>
    <row r="711" ht="15" customHeight="1">
      <c r="A711" t="inlineStr">
        <is>
          <t>A 18330-2022</t>
        </is>
      </c>
      <c r="B711" s="1" t="n">
        <v>44685</v>
      </c>
      <c r="C711" s="1" t="n">
        <v>45680</v>
      </c>
      <c r="D711" t="inlineStr">
        <is>
          <t>UPPSALA LÄN</t>
        </is>
      </c>
      <c r="E711" t="inlineStr">
        <is>
          <t>UPPSALA</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18521-2022</t>
        </is>
      </c>
      <c r="B712" s="1" t="n">
        <v>44686</v>
      </c>
      <c r="C712" s="1" t="n">
        <v>45680</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18583-2022</t>
        </is>
      </c>
      <c r="B713" s="1" t="n">
        <v>44687</v>
      </c>
      <c r="C713" s="1" t="n">
        <v>45680</v>
      </c>
      <c r="D713" t="inlineStr">
        <is>
          <t>UPPSALA LÄN</t>
        </is>
      </c>
      <c r="E713" t="inlineStr">
        <is>
          <t>UPPSALA</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18960-2022</t>
        </is>
      </c>
      <c r="B714" s="1" t="n">
        <v>44690</v>
      </c>
      <c r="C714" s="1" t="n">
        <v>45680</v>
      </c>
      <c r="D714" t="inlineStr">
        <is>
          <t>UPPSALA LÄN</t>
        </is>
      </c>
      <c r="E714" t="inlineStr">
        <is>
          <t>UPPSALA</t>
        </is>
      </c>
      <c r="F714" t="inlineStr">
        <is>
          <t>Bergvik skog öst AB</t>
        </is>
      </c>
      <c r="G714" t="n">
        <v>2.7</v>
      </c>
      <c r="H714" t="n">
        <v>0</v>
      </c>
      <c r="I714" t="n">
        <v>0</v>
      </c>
      <c r="J714" t="n">
        <v>0</v>
      </c>
      <c r="K714" t="n">
        <v>0</v>
      </c>
      <c r="L714" t="n">
        <v>0</v>
      </c>
      <c r="M714" t="n">
        <v>0</v>
      </c>
      <c r="N714" t="n">
        <v>0</v>
      </c>
      <c r="O714" t="n">
        <v>0</v>
      </c>
      <c r="P714" t="n">
        <v>0</v>
      </c>
      <c r="Q714" t="n">
        <v>0</v>
      </c>
      <c r="R714" s="2" t="inlineStr"/>
    </row>
    <row r="715" ht="15" customHeight="1">
      <c r="A715" t="inlineStr">
        <is>
          <t>A 19034-2022</t>
        </is>
      </c>
      <c r="B715" s="1" t="n">
        <v>44691</v>
      </c>
      <c r="C715" s="1" t="n">
        <v>45680</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19240-2022</t>
        </is>
      </c>
      <c r="B716" s="1" t="n">
        <v>44692</v>
      </c>
      <c r="C716" s="1" t="n">
        <v>45680</v>
      </c>
      <c r="D716" t="inlineStr">
        <is>
          <t>UPPSALA LÄN</t>
        </is>
      </c>
      <c r="E716" t="inlineStr">
        <is>
          <t>UPPSALA</t>
        </is>
      </c>
      <c r="F716" t="inlineStr">
        <is>
          <t>Bergvik skog öst AB</t>
        </is>
      </c>
      <c r="G716" t="n">
        <v>3.6</v>
      </c>
      <c r="H716" t="n">
        <v>0</v>
      </c>
      <c r="I716" t="n">
        <v>0</v>
      </c>
      <c r="J716" t="n">
        <v>0</v>
      </c>
      <c r="K716" t="n">
        <v>0</v>
      </c>
      <c r="L716" t="n">
        <v>0</v>
      </c>
      <c r="M716" t="n">
        <v>0</v>
      </c>
      <c r="N716" t="n">
        <v>0</v>
      </c>
      <c r="O716" t="n">
        <v>0</v>
      </c>
      <c r="P716" t="n">
        <v>0</v>
      </c>
      <c r="Q716" t="n">
        <v>0</v>
      </c>
      <c r="R716" s="2" t="inlineStr"/>
    </row>
    <row r="717" ht="15" customHeight="1">
      <c r="A717" t="inlineStr">
        <is>
          <t>A 19375-2022</t>
        </is>
      </c>
      <c r="B717" s="1" t="n">
        <v>44692</v>
      </c>
      <c r="C717" s="1" t="n">
        <v>45680</v>
      </c>
      <c r="D717" t="inlineStr">
        <is>
          <t>UPPSALA LÄN</t>
        </is>
      </c>
      <c r="E717" t="inlineStr">
        <is>
          <t>UPPSALA</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19380-2022</t>
        </is>
      </c>
      <c r="B718" s="1" t="n">
        <v>44692</v>
      </c>
      <c r="C718" s="1" t="n">
        <v>45680</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19382-2022</t>
        </is>
      </c>
      <c r="B719" s="1" t="n">
        <v>44692</v>
      </c>
      <c r="C719" s="1" t="n">
        <v>45680</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20265-2022</t>
        </is>
      </c>
      <c r="B720" s="1" t="n">
        <v>44698</v>
      </c>
      <c r="C720" s="1" t="n">
        <v>45680</v>
      </c>
      <c r="D720" t="inlineStr">
        <is>
          <t>UPPSALA LÄN</t>
        </is>
      </c>
      <c r="E720" t="inlineStr">
        <is>
          <t>UPPSALA</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20497-2022</t>
        </is>
      </c>
      <c r="B721" s="1" t="n">
        <v>44699</v>
      </c>
      <c r="C721" s="1" t="n">
        <v>45680</v>
      </c>
      <c r="D721" t="inlineStr">
        <is>
          <t>UPPSALA LÄN</t>
        </is>
      </c>
      <c r="E721" t="inlineStr">
        <is>
          <t>UPPSALA</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20770-2022</t>
        </is>
      </c>
      <c r="B722" s="1" t="n">
        <v>44700</v>
      </c>
      <c r="C722" s="1" t="n">
        <v>45680</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20764-2022</t>
        </is>
      </c>
      <c r="B723" s="1" t="n">
        <v>44700</v>
      </c>
      <c r="C723" s="1" t="n">
        <v>45680</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20938-2022</t>
        </is>
      </c>
      <c r="B724" s="1" t="n">
        <v>44701</v>
      </c>
      <c r="C724" s="1" t="n">
        <v>45680</v>
      </c>
      <c r="D724" t="inlineStr">
        <is>
          <t>UPPSALA LÄN</t>
        </is>
      </c>
      <c r="E724" t="inlineStr">
        <is>
          <t>UPPSALA</t>
        </is>
      </c>
      <c r="F724" t="inlineStr">
        <is>
          <t>Bergvik skog öst AB</t>
        </is>
      </c>
      <c r="G724" t="n">
        <v>7.2</v>
      </c>
      <c r="H724" t="n">
        <v>0</v>
      </c>
      <c r="I724" t="n">
        <v>0</v>
      </c>
      <c r="J724" t="n">
        <v>0</v>
      </c>
      <c r="K724" t="n">
        <v>0</v>
      </c>
      <c r="L724" t="n">
        <v>0</v>
      </c>
      <c r="M724" t="n">
        <v>0</v>
      </c>
      <c r="N724" t="n">
        <v>0</v>
      </c>
      <c r="O724" t="n">
        <v>0</v>
      </c>
      <c r="P724" t="n">
        <v>0</v>
      </c>
      <c r="Q724" t="n">
        <v>0</v>
      </c>
      <c r="R724" s="2" t="inlineStr"/>
    </row>
    <row r="725" ht="15" customHeight="1">
      <c r="A725" t="inlineStr">
        <is>
          <t>A 20936-2022</t>
        </is>
      </c>
      <c r="B725" s="1" t="n">
        <v>44701</v>
      </c>
      <c r="C725" s="1" t="n">
        <v>45680</v>
      </c>
      <c r="D725" t="inlineStr">
        <is>
          <t>UPPSALA LÄN</t>
        </is>
      </c>
      <c r="E725" t="inlineStr">
        <is>
          <t>UPPSALA</t>
        </is>
      </c>
      <c r="G725" t="n">
        <v>4.8</v>
      </c>
      <c r="H725" t="n">
        <v>0</v>
      </c>
      <c r="I725" t="n">
        <v>0</v>
      </c>
      <c r="J725" t="n">
        <v>0</v>
      </c>
      <c r="K725" t="n">
        <v>0</v>
      </c>
      <c r="L725" t="n">
        <v>0</v>
      </c>
      <c r="M725" t="n">
        <v>0</v>
      </c>
      <c r="N725" t="n">
        <v>0</v>
      </c>
      <c r="O725" t="n">
        <v>0</v>
      </c>
      <c r="P725" t="n">
        <v>0</v>
      </c>
      <c r="Q725" t="n">
        <v>0</v>
      </c>
      <c r="R725" s="2" t="inlineStr"/>
    </row>
    <row r="726" ht="15" customHeight="1">
      <c r="A726" t="inlineStr">
        <is>
          <t>A 20980-2022</t>
        </is>
      </c>
      <c r="B726" s="1" t="n">
        <v>44702</v>
      </c>
      <c r="C726" s="1" t="n">
        <v>45680</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21181-2022</t>
        </is>
      </c>
      <c r="B727" s="1" t="n">
        <v>44704</v>
      </c>
      <c r="C727" s="1" t="n">
        <v>45680</v>
      </c>
      <c r="D727" t="inlineStr">
        <is>
          <t>UPPSALA LÄN</t>
        </is>
      </c>
      <c r="E727" t="inlineStr">
        <is>
          <t>UPPSALA</t>
        </is>
      </c>
      <c r="F727" t="inlineStr">
        <is>
          <t>Bergvik skog öst AB</t>
        </is>
      </c>
      <c r="G727" t="n">
        <v>2.8</v>
      </c>
      <c r="H727" t="n">
        <v>0</v>
      </c>
      <c r="I727" t="n">
        <v>0</v>
      </c>
      <c r="J727" t="n">
        <v>0</v>
      </c>
      <c r="K727" t="n">
        <v>0</v>
      </c>
      <c r="L727" t="n">
        <v>0</v>
      </c>
      <c r="M727" t="n">
        <v>0</v>
      </c>
      <c r="N727" t="n">
        <v>0</v>
      </c>
      <c r="O727" t="n">
        <v>0</v>
      </c>
      <c r="P727" t="n">
        <v>0</v>
      </c>
      <c r="Q727" t="n">
        <v>0</v>
      </c>
      <c r="R727" s="2" t="inlineStr"/>
    </row>
    <row r="728" ht="15" customHeight="1">
      <c r="A728" t="inlineStr">
        <is>
          <t>A 21228-2022</t>
        </is>
      </c>
      <c r="B728" s="1" t="n">
        <v>44704</v>
      </c>
      <c r="C728" s="1" t="n">
        <v>45680</v>
      </c>
      <c r="D728" t="inlineStr">
        <is>
          <t>UPPSALA LÄN</t>
        </is>
      </c>
      <c r="E728" t="inlineStr">
        <is>
          <t>UPPSALA</t>
        </is>
      </c>
      <c r="G728" t="n">
        <v>0.2</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v>
      </c>
      <c r="C729" s="1" t="n">
        <v>45680</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v>
      </c>
      <c r="C730" s="1" t="n">
        <v>45680</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21394-2022</t>
        </is>
      </c>
      <c r="B731" s="1" t="n">
        <v>44705</v>
      </c>
      <c r="C731" s="1" t="n">
        <v>45680</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22021-2022</t>
        </is>
      </c>
      <c r="B732" s="1" t="n">
        <v>44711</v>
      </c>
      <c r="C732" s="1" t="n">
        <v>45680</v>
      </c>
      <c r="D732" t="inlineStr">
        <is>
          <t>UPPSALA LÄN</t>
        </is>
      </c>
      <c r="E732" t="inlineStr">
        <is>
          <t>UPPSALA</t>
        </is>
      </c>
      <c r="F732" t="inlineStr">
        <is>
          <t>Allmännings- och besparingsskogar</t>
        </is>
      </c>
      <c r="G732" t="n">
        <v>2.1</v>
      </c>
      <c r="H732" t="n">
        <v>0</v>
      </c>
      <c r="I732" t="n">
        <v>0</v>
      </c>
      <c r="J732" t="n">
        <v>0</v>
      </c>
      <c r="K732" t="n">
        <v>0</v>
      </c>
      <c r="L732" t="n">
        <v>0</v>
      </c>
      <c r="M732" t="n">
        <v>0</v>
      </c>
      <c r="N732" t="n">
        <v>0</v>
      </c>
      <c r="O732" t="n">
        <v>0</v>
      </c>
      <c r="P732" t="n">
        <v>0</v>
      </c>
      <c r="Q732" t="n">
        <v>0</v>
      </c>
      <c r="R732" s="2" t="inlineStr"/>
    </row>
    <row r="733" ht="15" customHeight="1">
      <c r="A733" t="inlineStr">
        <is>
          <t>A 22390-2022</t>
        </is>
      </c>
      <c r="B733" s="1" t="n">
        <v>44713</v>
      </c>
      <c r="C733" s="1" t="n">
        <v>45680</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22429-2022</t>
        </is>
      </c>
      <c r="B734" s="1" t="n">
        <v>44713</v>
      </c>
      <c r="C734" s="1" t="n">
        <v>45680</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22645-2022</t>
        </is>
      </c>
      <c r="B735" s="1" t="n">
        <v>44714</v>
      </c>
      <c r="C735" s="1" t="n">
        <v>45680</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23324-2022</t>
        </is>
      </c>
      <c r="B736" s="1" t="n">
        <v>44720</v>
      </c>
      <c r="C736" s="1" t="n">
        <v>45680</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23289-2022</t>
        </is>
      </c>
      <c r="B737" s="1" t="n">
        <v>44720</v>
      </c>
      <c r="C737" s="1" t="n">
        <v>45680</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23761-2022</t>
        </is>
      </c>
      <c r="B738" s="1" t="n">
        <v>44722</v>
      </c>
      <c r="C738" s="1" t="n">
        <v>45680</v>
      </c>
      <c r="D738" t="inlineStr">
        <is>
          <t>UPPSALA LÄN</t>
        </is>
      </c>
      <c r="E738" t="inlineStr">
        <is>
          <t>UPPSALA</t>
        </is>
      </c>
      <c r="F738" t="inlineStr">
        <is>
          <t>Bergvik skog öst AB</t>
        </is>
      </c>
      <c r="G738" t="n">
        <v>7.3</v>
      </c>
      <c r="H738" t="n">
        <v>0</v>
      </c>
      <c r="I738" t="n">
        <v>0</v>
      </c>
      <c r="J738" t="n">
        <v>0</v>
      </c>
      <c r="K738" t="n">
        <v>0</v>
      </c>
      <c r="L738" t="n">
        <v>0</v>
      </c>
      <c r="M738" t="n">
        <v>0</v>
      </c>
      <c r="N738" t="n">
        <v>0</v>
      </c>
      <c r="O738" t="n">
        <v>0</v>
      </c>
      <c r="P738" t="n">
        <v>0</v>
      </c>
      <c r="Q738" t="n">
        <v>0</v>
      </c>
      <c r="R738" s="2" t="inlineStr"/>
    </row>
    <row r="739" ht="15" customHeight="1">
      <c r="A739" t="inlineStr">
        <is>
          <t>A 23713-2022</t>
        </is>
      </c>
      <c r="B739" s="1" t="n">
        <v>44722</v>
      </c>
      <c r="C739" s="1" t="n">
        <v>45680</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23717-2022</t>
        </is>
      </c>
      <c r="B740" s="1" t="n">
        <v>44722</v>
      </c>
      <c r="C740" s="1" t="n">
        <v>45680</v>
      </c>
      <c r="D740" t="inlineStr">
        <is>
          <t>UPPSALA LÄN</t>
        </is>
      </c>
      <c r="E740" t="inlineStr">
        <is>
          <t>UPPSALA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23730-2022</t>
        </is>
      </c>
      <c r="B741" s="1" t="n">
        <v>44722</v>
      </c>
      <c r="C741" s="1" t="n">
        <v>45680</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24420-2022</t>
        </is>
      </c>
      <c r="B742" s="1" t="n">
        <v>44726</v>
      </c>
      <c r="C742" s="1" t="n">
        <v>45680</v>
      </c>
      <c r="D742" t="inlineStr">
        <is>
          <t>UPPSALA LÄN</t>
        </is>
      </c>
      <c r="E742" t="inlineStr">
        <is>
          <t>UPPSALA</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24401-2022</t>
        </is>
      </c>
      <c r="B743" s="1" t="n">
        <v>44726</v>
      </c>
      <c r="C743" s="1" t="n">
        <v>45680</v>
      </c>
      <c r="D743" t="inlineStr">
        <is>
          <t>UPPSALA LÄN</t>
        </is>
      </c>
      <c r="E743" t="inlineStr">
        <is>
          <t>UPPSALA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24409-2022</t>
        </is>
      </c>
      <c r="B744" s="1" t="n">
        <v>44726</v>
      </c>
      <c r="C744" s="1" t="n">
        <v>45680</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25178-2022</t>
        </is>
      </c>
      <c r="B745" s="1" t="n">
        <v>44729</v>
      </c>
      <c r="C745" s="1" t="n">
        <v>45680</v>
      </c>
      <c r="D745" t="inlineStr">
        <is>
          <t>UPPSALA LÄN</t>
        </is>
      </c>
      <c r="E745" t="inlineStr">
        <is>
          <t>UPPSALA</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25120-2022</t>
        </is>
      </c>
      <c r="B746" s="1" t="n">
        <v>44729</v>
      </c>
      <c r="C746" s="1" t="n">
        <v>45680</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25759-2022</t>
        </is>
      </c>
      <c r="B747" s="1" t="n">
        <v>44733</v>
      </c>
      <c r="C747" s="1" t="n">
        <v>45680</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25809-2022</t>
        </is>
      </c>
      <c r="B748" s="1" t="n">
        <v>44733</v>
      </c>
      <c r="C748" s="1" t="n">
        <v>45680</v>
      </c>
      <c r="D748" t="inlineStr">
        <is>
          <t>UPPSALA LÄN</t>
        </is>
      </c>
      <c r="E748" t="inlineStr">
        <is>
          <t>UPPSALA</t>
        </is>
      </c>
      <c r="F748" t="inlineStr">
        <is>
          <t>Bergvik skog öst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25745-2022</t>
        </is>
      </c>
      <c r="B749" s="1" t="n">
        <v>44733</v>
      </c>
      <c r="C749" s="1" t="n">
        <v>45680</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25776-2022</t>
        </is>
      </c>
      <c r="B750" s="1" t="n">
        <v>44733</v>
      </c>
      <c r="C750" s="1" t="n">
        <v>45680</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26609-2022</t>
        </is>
      </c>
      <c r="B751" s="1" t="n">
        <v>44739</v>
      </c>
      <c r="C751" s="1" t="n">
        <v>45680</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26958-2022</t>
        </is>
      </c>
      <c r="B752" s="1" t="n">
        <v>44740</v>
      </c>
      <c r="C752" s="1" t="n">
        <v>45680</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26972-2022</t>
        </is>
      </c>
      <c r="B753" s="1" t="n">
        <v>44740</v>
      </c>
      <c r="C753" s="1" t="n">
        <v>45680</v>
      </c>
      <c r="D753" t="inlineStr">
        <is>
          <t>UPPSALA LÄN</t>
        </is>
      </c>
      <c r="E753" t="inlineStr">
        <is>
          <t>UPPSALA</t>
        </is>
      </c>
      <c r="F753" t="inlineStr">
        <is>
          <t>Bergvik skog öst AB</t>
        </is>
      </c>
      <c r="G753" t="n">
        <v>1.2</v>
      </c>
      <c r="H753" t="n">
        <v>0</v>
      </c>
      <c r="I753" t="n">
        <v>0</v>
      </c>
      <c r="J753" t="n">
        <v>0</v>
      </c>
      <c r="K753" t="n">
        <v>0</v>
      </c>
      <c r="L753" t="n">
        <v>0</v>
      </c>
      <c r="M753" t="n">
        <v>0</v>
      </c>
      <c r="N753" t="n">
        <v>0</v>
      </c>
      <c r="O753" t="n">
        <v>0</v>
      </c>
      <c r="P753" t="n">
        <v>0</v>
      </c>
      <c r="Q753" t="n">
        <v>0</v>
      </c>
      <c r="R753" s="2" t="inlineStr"/>
    </row>
    <row r="754" ht="15" customHeight="1">
      <c r="A754" t="inlineStr">
        <is>
          <t>A 27372-2022</t>
        </is>
      </c>
      <c r="B754" s="1" t="n">
        <v>44742</v>
      </c>
      <c r="C754" s="1" t="n">
        <v>45680</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27369-2022</t>
        </is>
      </c>
      <c r="B755" s="1" t="n">
        <v>44742</v>
      </c>
      <c r="C755" s="1" t="n">
        <v>45680</v>
      </c>
      <c r="D755" t="inlineStr">
        <is>
          <t>UPPSALA LÄN</t>
        </is>
      </c>
      <c r="E755" t="inlineStr">
        <is>
          <t>UPPSALA</t>
        </is>
      </c>
      <c r="G755" t="n">
        <v>4.5</v>
      </c>
      <c r="H755" t="n">
        <v>0</v>
      </c>
      <c r="I755" t="n">
        <v>0</v>
      </c>
      <c r="J755" t="n">
        <v>0</v>
      </c>
      <c r="K755" t="n">
        <v>0</v>
      </c>
      <c r="L755" t="n">
        <v>0</v>
      </c>
      <c r="M755" t="n">
        <v>0</v>
      </c>
      <c r="N755" t="n">
        <v>0</v>
      </c>
      <c r="O755" t="n">
        <v>0</v>
      </c>
      <c r="P755" t="n">
        <v>0</v>
      </c>
      <c r="Q755" t="n">
        <v>0</v>
      </c>
      <c r="R755" s="2" t="inlineStr"/>
    </row>
    <row r="756" ht="15" customHeight="1">
      <c r="A756" t="inlineStr">
        <is>
          <t>A 27390-2022</t>
        </is>
      </c>
      <c r="B756" s="1" t="n">
        <v>44742</v>
      </c>
      <c r="C756" s="1" t="n">
        <v>45680</v>
      </c>
      <c r="D756" t="inlineStr">
        <is>
          <t>UPPSALA LÄN</t>
        </is>
      </c>
      <c r="E756" t="inlineStr">
        <is>
          <t>UPPSALA</t>
        </is>
      </c>
      <c r="G756" t="n">
        <v>3.3</v>
      </c>
      <c r="H756" t="n">
        <v>0</v>
      </c>
      <c r="I756" t="n">
        <v>0</v>
      </c>
      <c r="J756" t="n">
        <v>0</v>
      </c>
      <c r="K756" t="n">
        <v>0</v>
      </c>
      <c r="L756" t="n">
        <v>0</v>
      </c>
      <c r="M756" t="n">
        <v>0</v>
      </c>
      <c r="N756" t="n">
        <v>0</v>
      </c>
      <c r="O756" t="n">
        <v>0</v>
      </c>
      <c r="P756" t="n">
        <v>0</v>
      </c>
      <c r="Q756" t="n">
        <v>0</v>
      </c>
      <c r="R756" s="2" t="inlineStr"/>
    </row>
    <row r="757" ht="15" customHeight="1">
      <c r="A757" t="inlineStr">
        <is>
          <t>A 27397-2022</t>
        </is>
      </c>
      <c r="B757" s="1" t="n">
        <v>44742</v>
      </c>
      <c r="C757" s="1" t="n">
        <v>45680</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27546-2022</t>
        </is>
      </c>
      <c r="B758" s="1" t="n">
        <v>44742</v>
      </c>
      <c r="C758" s="1" t="n">
        <v>45680</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27543-2022</t>
        </is>
      </c>
      <c r="B759" s="1" t="n">
        <v>44742</v>
      </c>
      <c r="C759" s="1" t="n">
        <v>45680</v>
      </c>
      <c r="D759" t="inlineStr">
        <is>
          <t>UPPSALA LÄN</t>
        </is>
      </c>
      <c r="E759" t="inlineStr">
        <is>
          <t>UPPSALA</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27763-2022</t>
        </is>
      </c>
      <c r="B760" s="1" t="n">
        <v>44743</v>
      </c>
      <c r="C760" s="1" t="n">
        <v>45680</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27762-2022</t>
        </is>
      </c>
      <c r="B761" s="1" t="n">
        <v>44743</v>
      </c>
      <c r="C761" s="1" t="n">
        <v>45680</v>
      </c>
      <c r="D761" t="inlineStr">
        <is>
          <t>UPPSALA LÄN</t>
        </is>
      </c>
      <c r="E761" t="inlineStr">
        <is>
          <t>UPPSALA</t>
        </is>
      </c>
      <c r="G761" t="n">
        <v>3.5</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v>
      </c>
      <c r="C762" s="1" t="n">
        <v>45680</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29134-2022</t>
        </is>
      </c>
      <c r="B763" s="1" t="n">
        <v>44750</v>
      </c>
      <c r="C763" s="1" t="n">
        <v>45680</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29986-2022</t>
        </is>
      </c>
      <c r="B764" s="1" t="n">
        <v>44756</v>
      </c>
      <c r="C764" s="1" t="n">
        <v>45680</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29991-2022</t>
        </is>
      </c>
      <c r="B765" s="1" t="n">
        <v>44756</v>
      </c>
      <c r="C765" s="1" t="n">
        <v>45680</v>
      </c>
      <c r="D765" t="inlineStr">
        <is>
          <t>UPPSALA LÄN</t>
        </is>
      </c>
      <c r="E765" t="inlineStr">
        <is>
          <t>UPPSALA</t>
        </is>
      </c>
      <c r="F765" t="inlineStr">
        <is>
          <t>Bergvik skog öst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30052-2022</t>
        </is>
      </c>
      <c r="B766" s="1" t="n">
        <v>44757</v>
      </c>
      <c r="C766" s="1" t="n">
        <v>45680</v>
      </c>
      <c r="D766" t="inlineStr">
        <is>
          <t>UPPSALA LÄN</t>
        </is>
      </c>
      <c r="E766" t="inlineStr">
        <is>
          <t>UPPSALA</t>
        </is>
      </c>
      <c r="F766" t="inlineStr">
        <is>
          <t>Bergvik skog öst AB</t>
        </is>
      </c>
      <c r="G766" t="n">
        <v>9.6</v>
      </c>
      <c r="H766" t="n">
        <v>0</v>
      </c>
      <c r="I766" t="n">
        <v>0</v>
      </c>
      <c r="J766" t="n">
        <v>0</v>
      </c>
      <c r="K766" t="n">
        <v>0</v>
      </c>
      <c r="L766" t="n">
        <v>0</v>
      </c>
      <c r="M766" t="n">
        <v>0</v>
      </c>
      <c r="N766" t="n">
        <v>0</v>
      </c>
      <c r="O766" t="n">
        <v>0</v>
      </c>
      <c r="P766" t="n">
        <v>0</v>
      </c>
      <c r="Q766" t="n">
        <v>0</v>
      </c>
      <c r="R766" s="2" t="inlineStr"/>
    </row>
    <row r="767" ht="15" customHeight="1">
      <c r="A767" t="inlineStr">
        <is>
          <t>A 30580-2022</t>
        </is>
      </c>
      <c r="B767" s="1" t="n">
        <v>44762</v>
      </c>
      <c r="C767" s="1" t="n">
        <v>45680</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30783-2022</t>
        </is>
      </c>
      <c r="B768" s="1" t="n">
        <v>44764</v>
      </c>
      <c r="C768" s="1" t="n">
        <v>45680</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30775-2022</t>
        </is>
      </c>
      <c r="B769" s="1" t="n">
        <v>44764</v>
      </c>
      <c r="C769" s="1" t="n">
        <v>45680</v>
      </c>
      <c r="D769" t="inlineStr">
        <is>
          <t>UPPSALA LÄN</t>
        </is>
      </c>
      <c r="E769" t="inlineStr">
        <is>
          <t>UPPSALA</t>
        </is>
      </c>
      <c r="F769" t="inlineStr">
        <is>
          <t>Bergvik skog öst AB</t>
        </is>
      </c>
      <c r="G769" t="n">
        <v>4.5</v>
      </c>
      <c r="H769" t="n">
        <v>0</v>
      </c>
      <c r="I769" t="n">
        <v>0</v>
      </c>
      <c r="J769" t="n">
        <v>0</v>
      </c>
      <c r="K769" t="n">
        <v>0</v>
      </c>
      <c r="L769" t="n">
        <v>0</v>
      </c>
      <c r="M769" t="n">
        <v>0</v>
      </c>
      <c r="N769" t="n">
        <v>0</v>
      </c>
      <c r="O769" t="n">
        <v>0</v>
      </c>
      <c r="P769" t="n">
        <v>0</v>
      </c>
      <c r="Q769" t="n">
        <v>0</v>
      </c>
      <c r="R769" s="2" t="inlineStr"/>
    </row>
    <row r="770" ht="15" customHeight="1">
      <c r="A770" t="inlineStr">
        <is>
          <t>A 31113-2022</t>
        </is>
      </c>
      <c r="B770" s="1" t="n">
        <v>44769</v>
      </c>
      <c r="C770" s="1" t="n">
        <v>45680</v>
      </c>
      <c r="D770" t="inlineStr">
        <is>
          <t>UPPSALA LÄN</t>
        </is>
      </c>
      <c r="E770" t="inlineStr">
        <is>
          <t>UPPSALA</t>
        </is>
      </c>
      <c r="F770" t="inlineStr">
        <is>
          <t>Bergvik skog öst AB</t>
        </is>
      </c>
      <c r="G770" t="n">
        <v>4.7</v>
      </c>
      <c r="H770" t="n">
        <v>0</v>
      </c>
      <c r="I770" t="n">
        <v>0</v>
      </c>
      <c r="J770" t="n">
        <v>0</v>
      </c>
      <c r="K770" t="n">
        <v>0</v>
      </c>
      <c r="L770" t="n">
        <v>0</v>
      </c>
      <c r="M770" t="n">
        <v>0</v>
      </c>
      <c r="N770" t="n">
        <v>0</v>
      </c>
      <c r="O770" t="n">
        <v>0</v>
      </c>
      <c r="P770" t="n">
        <v>0</v>
      </c>
      <c r="Q770" t="n">
        <v>0</v>
      </c>
      <c r="R770" s="2" t="inlineStr"/>
    </row>
    <row r="771" ht="15" customHeight="1">
      <c r="A771" t="inlineStr">
        <is>
          <t>A 31263-2022</t>
        </is>
      </c>
      <c r="B771" s="1" t="n">
        <v>44771</v>
      </c>
      <c r="C771" s="1" t="n">
        <v>45680</v>
      </c>
      <c r="D771" t="inlineStr">
        <is>
          <t>UPPSALA LÄN</t>
        </is>
      </c>
      <c r="E771" t="inlineStr">
        <is>
          <t>UPPSALA</t>
        </is>
      </c>
      <c r="F771" t="inlineStr">
        <is>
          <t>Bergvik skog öst AB</t>
        </is>
      </c>
      <c r="G771" t="n">
        <v>2.5</v>
      </c>
      <c r="H771" t="n">
        <v>0</v>
      </c>
      <c r="I771" t="n">
        <v>0</v>
      </c>
      <c r="J771" t="n">
        <v>0</v>
      </c>
      <c r="K771" t="n">
        <v>0</v>
      </c>
      <c r="L771" t="n">
        <v>0</v>
      </c>
      <c r="M771" t="n">
        <v>0</v>
      </c>
      <c r="N771" t="n">
        <v>0</v>
      </c>
      <c r="O771" t="n">
        <v>0</v>
      </c>
      <c r="P771" t="n">
        <v>0</v>
      </c>
      <c r="Q771" t="n">
        <v>0</v>
      </c>
      <c r="R771" s="2" t="inlineStr"/>
    </row>
    <row r="772" ht="15" customHeight="1">
      <c r="A772" t="inlineStr">
        <is>
          <t>A 31261-2022</t>
        </is>
      </c>
      <c r="B772" s="1" t="n">
        <v>44771</v>
      </c>
      <c r="C772" s="1" t="n">
        <v>45680</v>
      </c>
      <c r="D772" t="inlineStr">
        <is>
          <t>UPPSALA LÄN</t>
        </is>
      </c>
      <c r="E772" t="inlineStr">
        <is>
          <t>UPPSALA</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31249-2022</t>
        </is>
      </c>
      <c r="B773" s="1" t="n">
        <v>44771</v>
      </c>
      <c r="C773" s="1" t="n">
        <v>45680</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31253-2022</t>
        </is>
      </c>
      <c r="B774" s="1" t="n">
        <v>44771</v>
      </c>
      <c r="C774" s="1" t="n">
        <v>45680</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32954-2022</t>
        </is>
      </c>
      <c r="B775" s="1" t="n">
        <v>44784</v>
      </c>
      <c r="C775" s="1" t="n">
        <v>45680</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33332-2022</t>
        </is>
      </c>
      <c r="B776" s="1" t="n">
        <v>44788</v>
      </c>
      <c r="C776" s="1" t="n">
        <v>45680</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33283-2022</t>
        </is>
      </c>
      <c r="B777" s="1" t="n">
        <v>44788</v>
      </c>
      <c r="C777" s="1" t="n">
        <v>45680</v>
      </c>
      <c r="D777" t="inlineStr">
        <is>
          <t>UPPSALA LÄN</t>
        </is>
      </c>
      <c r="E777" t="inlineStr">
        <is>
          <t>UPPSALA</t>
        </is>
      </c>
      <c r="G777" t="n">
        <v>20.2</v>
      </c>
      <c r="H777" t="n">
        <v>0</v>
      </c>
      <c r="I777" t="n">
        <v>0</v>
      </c>
      <c r="J777" t="n">
        <v>0</v>
      </c>
      <c r="K777" t="n">
        <v>0</v>
      </c>
      <c r="L777" t="n">
        <v>0</v>
      </c>
      <c r="M777" t="n">
        <v>0</v>
      </c>
      <c r="N777" t="n">
        <v>0</v>
      </c>
      <c r="O777" t="n">
        <v>0</v>
      </c>
      <c r="P777" t="n">
        <v>0</v>
      </c>
      <c r="Q777" t="n">
        <v>0</v>
      </c>
      <c r="R777" s="2" t="inlineStr"/>
    </row>
    <row r="778" ht="15" customHeight="1">
      <c r="A778" t="inlineStr">
        <is>
          <t>A 34061-2022</t>
        </is>
      </c>
      <c r="B778" s="1" t="n">
        <v>44791</v>
      </c>
      <c r="C778" s="1" t="n">
        <v>45680</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34770-2022</t>
        </is>
      </c>
      <c r="B779" s="1" t="n">
        <v>44795</v>
      </c>
      <c r="C779" s="1" t="n">
        <v>45680</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35212-2022</t>
        </is>
      </c>
      <c r="B780" s="1" t="n">
        <v>44797</v>
      </c>
      <c r="C780" s="1" t="n">
        <v>45680</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35411-2022</t>
        </is>
      </c>
      <c r="B781" s="1" t="n">
        <v>44798</v>
      </c>
      <c r="C781" s="1" t="n">
        <v>45680</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v>
      </c>
      <c r="C782" s="1" t="n">
        <v>45680</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35544-2022</t>
        </is>
      </c>
      <c r="B783" s="1" t="n">
        <v>44799</v>
      </c>
      <c r="C783" s="1" t="n">
        <v>45680</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35542-2022</t>
        </is>
      </c>
      <c r="B784" s="1" t="n">
        <v>44799</v>
      </c>
      <c r="C784" s="1" t="n">
        <v>45680</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37187-2022</t>
        </is>
      </c>
      <c r="B785" s="1" t="n">
        <v>44806</v>
      </c>
      <c r="C785" s="1" t="n">
        <v>45680</v>
      </c>
      <c r="D785" t="inlineStr">
        <is>
          <t>UPPSALA LÄN</t>
        </is>
      </c>
      <c r="E785" t="inlineStr">
        <is>
          <t>UPPSALA</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37316-2022</t>
        </is>
      </c>
      <c r="B786" s="1" t="n">
        <v>44806</v>
      </c>
      <c r="C786" s="1" t="n">
        <v>45680</v>
      </c>
      <c r="D786" t="inlineStr">
        <is>
          <t>UPPSALA LÄN</t>
        </is>
      </c>
      <c r="E786" t="inlineStr">
        <is>
          <t>UPPSALA</t>
        </is>
      </c>
      <c r="G786" t="n">
        <v>10.6</v>
      </c>
      <c r="H786" t="n">
        <v>0</v>
      </c>
      <c r="I786" t="n">
        <v>0</v>
      </c>
      <c r="J786" t="n">
        <v>0</v>
      </c>
      <c r="K786" t="n">
        <v>0</v>
      </c>
      <c r="L786" t="n">
        <v>0</v>
      </c>
      <c r="M786" t="n">
        <v>0</v>
      </c>
      <c r="N786" t="n">
        <v>0</v>
      </c>
      <c r="O786" t="n">
        <v>0</v>
      </c>
      <c r="P786" t="n">
        <v>0</v>
      </c>
      <c r="Q786" t="n">
        <v>0</v>
      </c>
      <c r="R786" s="2" t="inlineStr"/>
    </row>
    <row r="787" ht="15" customHeight="1">
      <c r="A787" t="inlineStr">
        <is>
          <t>A 37188-2022</t>
        </is>
      </c>
      <c r="B787" s="1" t="n">
        <v>44806</v>
      </c>
      <c r="C787" s="1" t="n">
        <v>45680</v>
      </c>
      <c r="D787" t="inlineStr">
        <is>
          <t>UPPSALA LÄN</t>
        </is>
      </c>
      <c r="E787" t="inlineStr">
        <is>
          <t>UPPSALA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37588-2022</t>
        </is>
      </c>
      <c r="B788" s="1" t="n">
        <v>44810</v>
      </c>
      <c r="C788" s="1" t="n">
        <v>45680</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37761-2022</t>
        </is>
      </c>
      <c r="B789" s="1" t="n">
        <v>44810</v>
      </c>
      <c r="C789" s="1" t="n">
        <v>45680</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37670-2022</t>
        </is>
      </c>
      <c r="B790" s="1" t="n">
        <v>44810</v>
      </c>
      <c r="C790" s="1" t="n">
        <v>45680</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38078-2022</t>
        </is>
      </c>
      <c r="B791" s="1" t="n">
        <v>44811</v>
      </c>
      <c r="C791" s="1" t="n">
        <v>45680</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38524-2022</t>
        </is>
      </c>
      <c r="B792" s="1" t="n">
        <v>44813</v>
      </c>
      <c r="C792" s="1" t="n">
        <v>45680</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38865-2022</t>
        </is>
      </c>
      <c r="B793" s="1" t="n">
        <v>44816</v>
      </c>
      <c r="C793" s="1" t="n">
        <v>45680</v>
      </c>
      <c r="D793" t="inlineStr">
        <is>
          <t>UPPSALA LÄN</t>
        </is>
      </c>
      <c r="E793" t="inlineStr">
        <is>
          <t>UPPSALA</t>
        </is>
      </c>
      <c r="G793" t="n">
        <v>14.6</v>
      </c>
      <c r="H793" t="n">
        <v>0</v>
      </c>
      <c r="I793" t="n">
        <v>0</v>
      </c>
      <c r="J793" t="n">
        <v>0</v>
      </c>
      <c r="K793" t="n">
        <v>0</v>
      </c>
      <c r="L793" t="n">
        <v>0</v>
      </c>
      <c r="M793" t="n">
        <v>0</v>
      </c>
      <c r="N793" t="n">
        <v>0</v>
      </c>
      <c r="O793" t="n">
        <v>0</v>
      </c>
      <c r="P793" t="n">
        <v>0</v>
      </c>
      <c r="Q793" t="n">
        <v>0</v>
      </c>
      <c r="R793" s="2" t="inlineStr"/>
    </row>
    <row r="794" ht="15" customHeight="1">
      <c r="A794" t="inlineStr">
        <is>
          <t>A 38892-2022</t>
        </is>
      </c>
      <c r="B794" s="1" t="n">
        <v>44816</v>
      </c>
      <c r="C794" s="1" t="n">
        <v>45680</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38909-2022</t>
        </is>
      </c>
      <c r="B795" s="1" t="n">
        <v>44816</v>
      </c>
      <c r="C795" s="1" t="n">
        <v>45680</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39148-2022</t>
        </is>
      </c>
      <c r="B796" s="1" t="n">
        <v>44816</v>
      </c>
      <c r="C796" s="1" t="n">
        <v>45680</v>
      </c>
      <c r="D796" t="inlineStr">
        <is>
          <t>UPPSALA LÄN</t>
        </is>
      </c>
      <c r="E796" t="inlineStr">
        <is>
          <t>UPPSALA</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39144-2022</t>
        </is>
      </c>
      <c r="B797" s="1" t="n">
        <v>44816</v>
      </c>
      <c r="C797" s="1" t="n">
        <v>45680</v>
      </c>
      <c r="D797" t="inlineStr">
        <is>
          <t>UPPSALA LÄN</t>
        </is>
      </c>
      <c r="E797" t="inlineStr">
        <is>
          <t>UPPSALA</t>
        </is>
      </c>
      <c r="G797" t="n">
        <v>8.4</v>
      </c>
      <c r="H797" t="n">
        <v>0</v>
      </c>
      <c r="I797" t="n">
        <v>0</v>
      </c>
      <c r="J797" t="n">
        <v>0</v>
      </c>
      <c r="K797" t="n">
        <v>0</v>
      </c>
      <c r="L797" t="n">
        <v>0</v>
      </c>
      <c r="M797" t="n">
        <v>0</v>
      </c>
      <c r="N797" t="n">
        <v>0</v>
      </c>
      <c r="O797" t="n">
        <v>0</v>
      </c>
      <c r="P797" t="n">
        <v>0</v>
      </c>
      <c r="Q797" t="n">
        <v>0</v>
      </c>
      <c r="R797" s="2" t="inlineStr"/>
    </row>
    <row r="798" ht="15" customHeight="1">
      <c r="A798" t="inlineStr">
        <is>
          <t>A 39454-2022</t>
        </is>
      </c>
      <c r="B798" s="1" t="n">
        <v>44817</v>
      </c>
      <c r="C798" s="1" t="n">
        <v>45680</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39608-2022</t>
        </is>
      </c>
      <c r="B799" s="1" t="n">
        <v>44817</v>
      </c>
      <c r="C799" s="1" t="n">
        <v>45680</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39599-2022</t>
        </is>
      </c>
      <c r="B800" s="1" t="n">
        <v>44817</v>
      </c>
      <c r="C800" s="1" t="n">
        <v>45680</v>
      </c>
      <c r="D800" t="inlineStr">
        <is>
          <t>UPPSALA LÄN</t>
        </is>
      </c>
      <c r="E800" t="inlineStr">
        <is>
          <t>UPPSALA</t>
        </is>
      </c>
      <c r="G800" t="n">
        <v>4.8</v>
      </c>
      <c r="H800" t="n">
        <v>0</v>
      </c>
      <c r="I800" t="n">
        <v>0</v>
      </c>
      <c r="J800" t="n">
        <v>0</v>
      </c>
      <c r="K800" t="n">
        <v>0</v>
      </c>
      <c r="L800" t="n">
        <v>0</v>
      </c>
      <c r="M800" t="n">
        <v>0</v>
      </c>
      <c r="N800" t="n">
        <v>0</v>
      </c>
      <c r="O800" t="n">
        <v>0</v>
      </c>
      <c r="P800" t="n">
        <v>0</v>
      </c>
      <c r="Q800" t="n">
        <v>0</v>
      </c>
      <c r="R800" s="2" t="inlineStr"/>
    </row>
    <row r="801" ht="15" customHeight="1">
      <c r="A801" t="inlineStr">
        <is>
          <t>A 39795-2022</t>
        </is>
      </c>
      <c r="B801" s="1" t="n">
        <v>44819</v>
      </c>
      <c r="C801" s="1" t="n">
        <v>45680</v>
      </c>
      <c r="D801" t="inlineStr">
        <is>
          <t>UPPSALA LÄN</t>
        </is>
      </c>
      <c r="E801" t="inlineStr">
        <is>
          <t>UPPSALA</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39915-2022</t>
        </is>
      </c>
      <c r="B802" s="1" t="n">
        <v>44819</v>
      </c>
      <c r="C802" s="1" t="n">
        <v>45680</v>
      </c>
      <c r="D802" t="inlineStr">
        <is>
          <t>UPPSALA LÄN</t>
        </is>
      </c>
      <c r="E802" t="inlineStr">
        <is>
          <t>UPPSALA</t>
        </is>
      </c>
      <c r="F802" t="inlineStr">
        <is>
          <t>Allmännings- och besparingsskogar</t>
        </is>
      </c>
      <c r="G802" t="n">
        <v>20.1</v>
      </c>
      <c r="H802" t="n">
        <v>0</v>
      </c>
      <c r="I802" t="n">
        <v>0</v>
      </c>
      <c r="J802" t="n">
        <v>0</v>
      </c>
      <c r="K802" t="n">
        <v>0</v>
      </c>
      <c r="L802" t="n">
        <v>0</v>
      </c>
      <c r="M802" t="n">
        <v>0</v>
      </c>
      <c r="N802" t="n">
        <v>0</v>
      </c>
      <c r="O802" t="n">
        <v>0</v>
      </c>
      <c r="P802" t="n">
        <v>0</v>
      </c>
      <c r="Q802" t="n">
        <v>0</v>
      </c>
      <c r="R802" s="2" t="inlineStr"/>
    </row>
    <row r="803" ht="15" customHeight="1">
      <c r="A803" t="inlineStr">
        <is>
          <t>A 39865-2022</t>
        </is>
      </c>
      <c r="B803" s="1" t="n">
        <v>44819</v>
      </c>
      <c r="C803" s="1" t="n">
        <v>45680</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40100-2022</t>
        </is>
      </c>
      <c r="B804" s="1" t="n">
        <v>44820</v>
      </c>
      <c r="C804" s="1" t="n">
        <v>45680</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42622-2022</t>
        </is>
      </c>
      <c r="B805" s="1" t="n">
        <v>44831</v>
      </c>
      <c r="C805" s="1" t="n">
        <v>45680</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v>
      </c>
      <c r="C806" s="1" t="n">
        <v>45680</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43032-2022</t>
        </is>
      </c>
      <c r="B807" s="1" t="n">
        <v>44832</v>
      </c>
      <c r="C807" s="1" t="n">
        <v>45680</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43850-2022</t>
        </is>
      </c>
      <c r="B808" s="1" t="n">
        <v>44838</v>
      </c>
      <c r="C808" s="1" t="n">
        <v>45680</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44265-2022</t>
        </is>
      </c>
      <c r="B809" s="1" t="n">
        <v>44839</v>
      </c>
      <c r="C809" s="1" t="n">
        <v>45680</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44817-2022</t>
        </is>
      </c>
      <c r="B810" s="1" t="n">
        <v>44841</v>
      </c>
      <c r="C810" s="1" t="n">
        <v>45680</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45195-2022</t>
        </is>
      </c>
      <c r="B811" s="1" t="n">
        <v>44844</v>
      </c>
      <c r="C811" s="1" t="n">
        <v>45680</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45780-2022</t>
        </is>
      </c>
      <c r="B812" s="1" t="n">
        <v>44846</v>
      </c>
      <c r="C812" s="1" t="n">
        <v>45680</v>
      </c>
      <c r="D812" t="inlineStr">
        <is>
          <t>UPPSALA LÄN</t>
        </is>
      </c>
      <c r="E812" t="inlineStr">
        <is>
          <t>UPPSALA</t>
        </is>
      </c>
      <c r="G812" t="n">
        <v>5.8</v>
      </c>
      <c r="H812" t="n">
        <v>0</v>
      </c>
      <c r="I812" t="n">
        <v>0</v>
      </c>
      <c r="J812" t="n">
        <v>0</v>
      </c>
      <c r="K812" t="n">
        <v>0</v>
      </c>
      <c r="L812" t="n">
        <v>0</v>
      </c>
      <c r="M812" t="n">
        <v>0</v>
      </c>
      <c r="N812" t="n">
        <v>0</v>
      </c>
      <c r="O812" t="n">
        <v>0</v>
      </c>
      <c r="P812" t="n">
        <v>0</v>
      </c>
      <c r="Q812" t="n">
        <v>0</v>
      </c>
      <c r="R812" s="2" t="inlineStr"/>
    </row>
    <row r="813" ht="15" customHeight="1">
      <c r="A813" t="inlineStr">
        <is>
          <t>A 45849-2022</t>
        </is>
      </c>
      <c r="B813" s="1" t="n">
        <v>44846</v>
      </c>
      <c r="C813" s="1" t="n">
        <v>45680</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46077-2022</t>
        </is>
      </c>
      <c r="B814" s="1" t="n">
        <v>44847</v>
      </c>
      <c r="C814" s="1" t="n">
        <v>45680</v>
      </c>
      <c r="D814" t="inlineStr">
        <is>
          <t>UPPSALA LÄN</t>
        </is>
      </c>
      <c r="E814" t="inlineStr">
        <is>
          <t>UPPSALA</t>
        </is>
      </c>
      <c r="G814" t="n">
        <v>2.1</v>
      </c>
      <c r="H814" t="n">
        <v>0</v>
      </c>
      <c r="I814" t="n">
        <v>0</v>
      </c>
      <c r="J814" t="n">
        <v>0</v>
      </c>
      <c r="K814" t="n">
        <v>0</v>
      </c>
      <c r="L814" t="n">
        <v>0</v>
      </c>
      <c r="M814" t="n">
        <v>0</v>
      </c>
      <c r="N814" t="n">
        <v>0</v>
      </c>
      <c r="O814" t="n">
        <v>0</v>
      </c>
      <c r="P814" t="n">
        <v>0</v>
      </c>
      <c r="Q814" t="n">
        <v>0</v>
      </c>
      <c r="R814" s="2" t="inlineStr"/>
    </row>
    <row r="815" ht="15" customHeight="1">
      <c r="A815" t="inlineStr">
        <is>
          <t>A 46069-2022</t>
        </is>
      </c>
      <c r="B815" s="1" t="n">
        <v>44847</v>
      </c>
      <c r="C815" s="1" t="n">
        <v>45680</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v>
      </c>
      <c r="C816" s="1" t="n">
        <v>45680</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46293-2022</t>
        </is>
      </c>
      <c r="B817" s="1" t="n">
        <v>44847</v>
      </c>
      <c r="C817" s="1" t="n">
        <v>45680</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46805-2022</t>
        </is>
      </c>
      <c r="B818" s="1" t="n">
        <v>44847</v>
      </c>
      <c r="C818" s="1" t="n">
        <v>45680</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46807-2022</t>
        </is>
      </c>
      <c r="B819" s="1" t="n">
        <v>44848</v>
      </c>
      <c r="C819" s="1" t="n">
        <v>45680</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45680</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47413-2022</t>
        </is>
      </c>
      <c r="B821" s="1" t="n">
        <v>44853</v>
      </c>
      <c r="C821" s="1" t="n">
        <v>45680</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48686-2022</t>
        </is>
      </c>
      <c r="B822" s="1" t="n">
        <v>44859</v>
      </c>
      <c r="C822" s="1" t="n">
        <v>45680</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48588-2022</t>
        </is>
      </c>
      <c r="B823" s="1" t="n">
        <v>44859</v>
      </c>
      <c r="C823" s="1" t="n">
        <v>45680</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48692-2022</t>
        </is>
      </c>
      <c r="B824" s="1" t="n">
        <v>44859</v>
      </c>
      <c r="C824" s="1" t="n">
        <v>45680</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48688-2022</t>
        </is>
      </c>
      <c r="B825" s="1" t="n">
        <v>44859</v>
      </c>
      <c r="C825" s="1" t="n">
        <v>45680</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50006-2022</t>
        </is>
      </c>
      <c r="B826" s="1" t="n">
        <v>44865</v>
      </c>
      <c r="C826" s="1" t="n">
        <v>45680</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45680</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50954-2022</t>
        </is>
      </c>
      <c r="B828" s="1" t="n">
        <v>44866</v>
      </c>
      <c r="C828" s="1" t="n">
        <v>45680</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51661-2022</t>
        </is>
      </c>
      <c r="B829" s="1" t="n">
        <v>44872</v>
      </c>
      <c r="C829" s="1" t="n">
        <v>45680</v>
      </c>
      <c r="D829" t="inlineStr">
        <is>
          <t>UPPSALA LÄN</t>
        </is>
      </c>
      <c r="E829" t="inlineStr">
        <is>
          <t>UPPSALA</t>
        </is>
      </c>
      <c r="G829" t="n">
        <v>8.9</v>
      </c>
      <c r="H829" t="n">
        <v>0</v>
      </c>
      <c r="I829" t="n">
        <v>0</v>
      </c>
      <c r="J829" t="n">
        <v>0</v>
      </c>
      <c r="K829" t="n">
        <v>0</v>
      </c>
      <c r="L829" t="n">
        <v>0</v>
      </c>
      <c r="M829" t="n">
        <v>0</v>
      </c>
      <c r="N829" t="n">
        <v>0</v>
      </c>
      <c r="O829" t="n">
        <v>0</v>
      </c>
      <c r="P829" t="n">
        <v>0</v>
      </c>
      <c r="Q829" t="n">
        <v>0</v>
      </c>
      <c r="R829" s="2" t="inlineStr"/>
    </row>
    <row r="830" ht="15" customHeight="1">
      <c r="A830" t="inlineStr">
        <is>
          <t>A 51899-2022</t>
        </is>
      </c>
      <c r="B830" s="1" t="n">
        <v>44872</v>
      </c>
      <c r="C830" s="1" t="n">
        <v>45680</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54715-2022</t>
        </is>
      </c>
      <c r="B831" s="1" t="n">
        <v>44883</v>
      </c>
      <c r="C831" s="1" t="n">
        <v>45680</v>
      </c>
      <c r="D831" t="inlineStr">
        <is>
          <t>UPPSALA LÄN</t>
        </is>
      </c>
      <c r="E831" t="inlineStr">
        <is>
          <t>UPPSALA</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54732-2022</t>
        </is>
      </c>
      <c r="B832" s="1" t="n">
        <v>44883</v>
      </c>
      <c r="C832" s="1" t="n">
        <v>45680</v>
      </c>
      <c r="D832" t="inlineStr">
        <is>
          <t>UPPSALA LÄN</t>
        </is>
      </c>
      <c r="E832" t="inlineStr">
        <is>
          <t>UPPSALA</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54813-2022</t>
        </is>
      </c>
      <c r="B833" s="1" t="n">
        <v>44883</v>
      </c>
      <c r="C833" s="1" t="n">
        <v>45680</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55021-2022</t>
        </is>
      </c>
      <c r="B834" s="1" t="n">
        <v>44886</v>
      </c>
      <c r="C834" s="1" t="n">
        <v>45680</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55040-2022</t>
        </is>
      </c>
      <c r="B835" s="1" t="n">
        <v>44886</v>
      </c>
      <c r="C835" s="1" t="n">
        <v>45680</v>
      </c>
      <c r="D835" t="inlineStr">
        <is>
          <t>UPPSALA LÄN</t>
        </is>
      </c>
      <c r="E835" t="inlineStr">
        <is>
          <t>UPPSALA</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55073-2022</t>
        </is>
      </c>
      <c r="B836" s="1" t="n">
        <v>44886</v>
      </c>
      <c r="C836" s="1" t="n">
        <v>45680</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v>
      </c>
      <c r="C837" s="1" t="n">
        <v>45680</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55401-2022</t>
        </is>
      </c>
      <c r="B838" s="1" t="n">
        <v>44887</v>
      </c>
      <c r="C838" s="1" t="n">
        <v>45680</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55862-2022</t>
        </is>
      </c>
      <c r="B839" s="1" t="n">
        <v>44888</v>
      </c>
      <c r="C839" s="1" t="n">
        <v>45680</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56679-2022</t>
        </is>
      </c>
      <c r="B840" s="1" t="n">
        <v>44893</v>
      </c>
      <c r="C840" s="1" t="n">
        <v>45680</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56889-2022</t>
        </is>
      </c>
      <c r="B841" s="1" t="n">
        <v>44894</v>
      </c>
      <c r="C841" s="1" t="n">
        <v>45680</v>
      </c>
      <c r="D841" t="inlineStr">
        <is>
          <t>UPPSALA LÄN</t>
        </is>
      </c>
      <c r="E841" t="inlineStr">
        <is>
          <t>UPPSALA</t>
        </is>
      </c>
      <c r="F841" t="inlineStr">
        <is>
          <t>Övriga Aktiebolag</t>
        </is>
      </c>
      <c r="G841" t="n">
        <v>21.6</v>
      </c>
      <c r="H841" t="n">
        <v>0</v>
      </c>
      <c r="I841" t="n">
        <v>0</v>
      </c>
      <c r="J841" t="n">
        <v>0</v>
      </c>
      <c r="K841" t="n">
        <v>0</v>
      </c>
      <c r="L841" t="n">
        <v>0</v>
      </c>
      <c r="M841" t="n">
        <v>0</v>
      </c>
      <c r="N841" t="n">
        <v>0</v>
      </c>
      <c r="O841" t="n">
        <v>0</v>
      </c>
      <c r="P841" t="n">
        <v>0</v>
      </c>
      <c r="Q841" t="n">
        <v>0</v>
      </c>
      <c r="R841" s="2" t="inlineStr"/>
    </row>
    <row r="842" ht="15" customHeight="1">
      <c r="A842" t="inlineStr">
        <is>
          <t>A 56795-2022</t>
        </is>
      </c>
      <c r="B842" s="1" t="n">
        <v>44894</v>
      </c>
      <c r="C842" s="1" t="n">
        <v>45680</v>
      </c>
      <c r="D842" t="inlineStr">
        <is>
          <t>UPPSALA LÄN</t>
        </is>
      </c>
      <c r="E842" t="inlineStr">
        <is>
          <t>UPPSALA</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56779-2022</t>
        </is>
      </c>
      <c r="B843" s="1" t="n">
        <v>44894</v>
      </c>
      <c r="C843" s="1" t="n">
        <v>45680</v>
      </c>
      <c r="D843" t="inlineStr">
        <is>
          <t>UPPSALA LÄN</t>
        </is>
      </c>
      <c r="E843" t="inlineStr">
        <is>
          <t>UPPSALA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57495-2022</t>
        </is>
      </c>
      <c r="B844" s="1" t="n">
        <v>44896</v>
      </c>
      <c r="C844" s="1" t="n">
        <v>45680</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45680</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57809-2022</t>
        </is>
      </c>
      <c r="B846" s="1" t="n">
        <v>44897</v>
      </c>
      <c r="C846" s="1" t="n">
        <v>45680</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58023-2022</t>
        </is>
      </c>
      <c r="B847" s="1" t="n">
        <v>44900</v>
      </c>
      <c r="C847" s="1" t="n">
        <v>45680</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58096-2022</t>
        </is>
      </c>
      <c r="B848" s="1" t="n">
        <v>44900</v>
      </c>
      <c r="C848" s="1" t="n">
        <v>45680</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58243-2022</t>
        </is>
      </c>
      <c r="B849" s="1" t="n">
        <v>44901</v>
      </c>
      <c r="C849" s="1" t="n">
        <v>45680</v>
      </c>
      <c r="D849" t="inlineStr">
        <is>
          <t>UPPSALA LÄN</t>
        </is>
      </c>
      <c r="E849" t="inlineStr">
        <is>
          <t>UPPSALA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59133-2022</t>
        </is>
      </c>
      <c r="B850" s="1" t="n">
        <v>44904</v>
      </c>
      <c r="C850" s="1" t="n">
        <v>45680</v>
      </c>
      <c r="D850" t="inlineStr">
        <is>
          <t>UPPSALA LÄN</t>
        </is>
      </c>
      <c r="E850" t="inlineStr">
        <is>
          <t>UPPSALA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59730-2022</t>
        </is>
      </c>
      <c r="B851" s="1" t="n">
        <v>44908</v>
      </c>
      <c r="C851" s="1" t="n">
        <v>45680</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59719-2022</t>
        </is>
      </c>
      <c r="B852" s="1" t="n">
        <v>44908</v>
      </c>
      <c r="C852" s="1" t="n">
        <v>45680</v>
      </c>
      <c r="D852" t="inlineStr">
        <is>
          <t>UPPSALA LÄN</t>
        </is>
      </c>
      <c r="E852" t="inlineStr">
        <is>
          <t>UPPSALA</t>
        </is>
      </c>
      <c r="G852" t="n">
        <v>3.6</v>
      </c>
      <c r="H852" t="n">
        <v>0</v>
      </c>
      <c r="I852" t="n">
        <v>0</v>
      </c>
      <c r="J852" t="n">
        <v>0</v>
      </c>
      <c r="K852" t="n">
        <v>0</v>
      </c>
      <c r="L852" t="n">
        <v>0</v>
      </c>
      <c r="M852" t="n">
        <v>0</v>
      </c>
      <c r="N852" t="n">
        <v>0</v>
      </c>
      <c r="O852" t="n">
        <v>0</v>
      </c>
      <c r="P852" t="n">
        <v>0</v>
      </c>
      <c r="Q852" t="n">
        <v>0</v>
      </c>
      <c r="R852" s="2" t="inlineStr"/>
    </row>
    <row r="853" ht="15" customHeight="1">
      <c r="A853" t="inlineStr">
        <is>
          <t>A 59727-2022</t>
        </is>
      </c>
      <c r="B853" s="1" t="n">
        <v>44908</v>
      </c>
      <c r="C853" s="1" t="n">
        <v>45680</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60056-2022</t>
        </is>
      </c>
      <c r="B854" s="1" t="n">
        <v>44909</v>
      </c>
      <c r="C854" s="1" t="n">
        <v>45680</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60047-2022</t>
        </is>
      </c>
      <c r="B855" s="1" t="n">
        <v>44909</v>
      </c>
      <c r="C855" s="1" t="n">
        <v>45680</v>
      </c>
      <c r="D855" t="inlineStr">
        <is>
          <t>UPPSALA LÄN</t>
        </is>
      </c>
      <c r="E855" t="inlineStr">
        <is>
          <t>UPPSALA</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60702-2022</t>
        </is>
      </c>
      <c r="B856" s="1" t="n">
        <v>44912</v>
      </c>
      <c r="C856" s="1" t="n">
        <v>45680</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60701-2022</t>
        </is>
      </c>
      <c r="B857" s="1" t="n">
        <v>44912</v>
      </c>
      <c r="C857" s="1" t="n">
        <v>45680</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60984-2022</t>
        </is>
      </c>
      <c r="B858" s="1" t="n">
        <v>44914</v>
      </c>
      <c r="C858" s="1" t="n">
        <v>45680</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60986-2022</t>
        </is>
      </c>
      <c r="B859" s="1" t="n">
        <v>44914</v>
      </c>
      <c r="C859" s="1" t="n">
        <v>45680</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60988-2022</t>
        </is>
      </c>
      <c r="B860" s="1" t="n">
        <v>44914</v>
      </c>
      <c r="C860" s="1" t="n">
        <v>45680</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61526-2022</t>
        </is>
      </c>
      <c r="B861" s="1" t="n">
        <v>44916</v>
      </c>
      <c r="C861" s="1" t="n">
        <v>45680</v>
      </c>
      <c r="D861" t="inlineStr">
        <is>
          <t>UPPSALA LÄN</t>
        </is>
      </c>
      <c r="E861" t="inlineStr">
        <is>
          <t>UPPSALA</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61578-2022</t>
        </is>
      </c>
      <c r="B862" s="1" t="n">
        <v>44916</v>
      </c>
      <c r="C862" s="1" t="n">
        <v>45680</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62311-2022</t>
        </is>
      </c>
      <c r="B863" s="1" t="n">
        <v>44916</v>
      </c>
      <c r="C863" s="1" t="n">
        <v>45680</v>
      </c>
      <c r="D863" t="inlineStr">
        <is>
          <t>UPPSALA LÄN</t>
        </is>
      </c>
      <c r="E863" t="inlineStr">
        <is>
          <t>UPPSALA</t>
        </is>
      </c>
      <c r="G863" t="n">
        <v>7.6</v>
      </c>
      <c r="H863" t="n">
        <v>0</v>
      </c>
      <c r="I863" t="n">
        <v>0</v>
      </c>
      <c r="J863" t="n">
        <v>0</v>
      </c>
      <c r="K863" t="n">
        <v>0</v>
      </c>
      <c r="L863" t="n">
        <v>0</v>
      </c>
      <c r="M863" t="n">
        <v>0</v>
      </c>
      <c r="N863" t="n">
        <v>0</v>
      </c>
      <c r="O863" t="n">
        <v>0</v>
      </c>
      <c r="P863" t="n">
        <v>0</v>
      </c>
      <c r="Q863" t="n">
        <v>0</v>
      </c>
      <c r="R863" s="2" t="inlineStr"/>
    </row>
    <row r="864" ht="15" customHeight="1">
      <c r="A864" t="inlineStr">
        <is>
          <t>A 111-2023</t>
        </is>
      </c>
      <c r="B864" s="1" t="n">
        <v>44928</v>
      </c>
      <c r="C864" s="1" t="n">
        <v>45680</v>
      </c>
      <c r="D864" t="inlineStr">
        <is>
          <t>UPPSALA LÄN</t>
        </is>
      </c>
      <c r="E864" t="inlineStr">
        <is>
          <t>UPPSALA</t>
        </is>
      </c>
      <c r="F864" t="inlineStr">
        <is>
          <t>Kommuner</t>
        </is>
      </c>
      <c r="G864" t="n">
        <v>4.8</v>
      </c>
      <c r="H864" t="n">
        <v>0</v>
      </c>
      <c r="I864" t="n">
        <v>0</v>
      </c>
      <c r="J864" t="n">
        <v>0</v>
      </c>
      <c r="K864" t="n">
        <v>0</v>
      </c>
      <c r="L864" t="n">
        <v>0</v>
      </c>
      <c r="M864" t="n">
        <v>0</v>
      </c>
      <c r="N864" t="n">
        <v>0</v>
      </c>
      <c r="O864" t="n">
        <v>0</v>
      </c>
      <c r="P864" t="n">
        <v>0</v>
      </c>
      <c r="Q864" t="n">
        <v>0</v>
      </c>
      <c r="R864" s="2" t="inlineStr"/>
    </row>
    <row r="865" ht="15" customHeight="1">
      <c r="A865" t="inlineStr">
        <is>
          <t>A 179-2023</t>
        </is>
      </c>
      <c r="B865" s="1" t="n">
        <v>44928</v>
      </c>
      <c r="C865" s="1" t="n">
        <v>45680</v>
      </c>
      <c r="D865" t="inlineStr">
        <is>
          <t>UPPSALA LÄN</t>
        </is>
      </c>
      <c r="E865" t="inlineStr">
        <is>
          <t>UPPSALA</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367-2023</t>
        </is>
      </c>
      <c r="B866" s="1" t="n">
        <v>44929</v>
      </c>
      <c r="C866" s="1" t="n">
        <v>45680</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45680</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686-2023</t>
        </is>
      </c>
      <c r="B868" s="1" t="n">
        <v>44930</v>
      </c>
      <c r="C868" s="1" t="n">
        <v>45680</v>
      </c>
      <c r="D868" t="inlineStr">
        <is>
          <t>UPPSALA LÄN</t>
        </is>
      </c>
      <c r="E868" t="inlineStr">
        <is>
          <t>UPPSALA</t>
        </is>
      </c>
      <c r="F868" t="inlineStr">
        <is>
          <t>Bergvik skog öst AB</t>
        </is>
      </c>
      <c r="G868" t="n">
        <v>4.6</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45680</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1357-2023</t>
        </is>
      </c>
      <c r="B870" s="1" t="n">
        <v>44936</v>
      </c>
      <c r="C870" s="1" t="n">
        <v>45680</v>
      </c>
      <c r="D870" t="inlineStr">
        <is>
          <t>UPPSALA LÄN</t>
        </is>
      </c>
      <c r="E870" t="inlineStr">
        <is>
          <t>UPPSALA</t>
        </is>
      </c>
      <c r="F870" t="inlineStr">
        <is>
          <t>Bergvik skog öst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2186-2023</t>
        </is>
      </c>
      <c r="B871" s="1" t="n">
        <v>44942</v>
      </c>
      <c r="C871" s="1" t="n">
        <v>45680</v>
      </c>
      <c r="D871" t="inlineStr">
        <is>
          <t>UPPSALA LÄN</t>
        </is>
      </c>
      <c r="E871" t="inlineStr">
        <is>
          <t>UPPSALA</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2622-2023</t>
        </is>
      </c>
      <c r="B872" s="1" t="n">
        <v>44944</v>
      </c>
      <c r="C872" s="1" t="n">
        <v>45680</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2624-2023</t>
        </is>
      </c>
      <c r="B873" s="1" t="n">
        <v>44944</v>
      </c>
      <c r="C873" s="1" t="n">
        <v>45680</v>
      </c>
      <c r="D873" t="inlineStr">
        <is>
          <t>UPPSALA LÄN</t>
        </is>
      </c>
      <c r="E873" t="inlineStr">
        <is>
          <t>UPPSALA</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5362-2023</t>
        </is>
      </c>
      <c r="B874" s="1" t="n">
        <v>44944</v>
      </c>
      <c r="C874" s="1" t="n">
        <v>45680</v>
      </c>
      <c r="D874" t="inlineStr">
        <is>
          <t>UPPSALA LÄN</t>
        </is>
      </c>
      <c r="E874" t="inlineStr">
        <is>
          <t>UPPSALA</t>
        </is>
      </c>
      <c r="G874" t="n">
        <v>2.3</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45680</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5374-2023</t>
        </is>
      </c>
      <c r="B876" s="1" t="n">
        <v>44944</v>
      </c>
      <c r="C876" s="1" t="n">
        <v>45680</v>
      </c>
      <c r="D876" t="inlineStr">
        <is>
          <t>UPPSALA LÄN</t>
        </is>
      </c>
      <c r="E876" t="inlineStr">
        <is>
          <t>UPPSALA</t>
        </is>
      </c>
      <c r="G876" t="n">
        <v>3.5</v>
      </c>
      <c r="H876" t="n">
        <v>0</v>
      </c>
      <c r="I876" t="n">
        <v>0</v>
      </c>
      <c r="J876" t="n">
        <v>0</v>
      </c>
      <c r="K876" t="n">
        <v>0</v>
      </c>
      <c r="L876" t="n">
        <v>0</v>
      </c>
      <c r="M876" t="n">
        <v>0</v>
      </c>
      <c r="N876" t="n">
        <v>0</v>
      </c>
      <c r="O876" t="n">
        <v>0</v>
      </c>
      <c r="P876" t="n">
        <v>0</v>
      </c>
      <c r="Q876" t="n">
        <v>0</v>
      </c>
      <c r="R876" s="2" t="inlineStr"/>
    </row>
    <row r="877" ht="15" customHeight="1">
      <c r="A877" t="inlineStr">
        <is>
          <t>A 2942-2023</t>
        </is>
      </c>
      <c r="B877" s="1" t="n">
        <v>44945</v>
      </c>
      <c r="C877" s="1" t="n">
        <v>45680</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3040-2023</t>
        </is>
      </c>
      <c r="B878" s="1" t="n">
        <v>44946</v>
      </c>
      <c r="C878" s="1" t="n">
        <v>45680</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3089-2023</t>
        </is>
      </c>
      <c r="B879" s="1" t="n">
        <v>44946</v>
      </c>
      <c r="C879" s="1" t="n">
        <v>45680</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3086-2023</t>
        </is>
      </c>
      <c r="B880" s="1" t="n">
        <v>44946</v>
      </c>
      <c r="C880" s="1" t="n">
        <v>45680</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3092-2023</t>
        </is>
      </c>
      <c r="B881" s="1" t="n">
        <v>44946</v>
      </c>
      <c r="C881" s="1" t="n">
        <v>45680</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3343-2023</t>
        </is>
      </c>
      <c r="B882" s="1" t="n">
        <v>44949</v>
      </c>
      <c r="C882" s="1" t="n">
        <v>45680</v>
      </c>
      <c r="D882" t="inlineStr">
        <is>
          <t>UPPSALA LÄN</t>
        </is>
      </c>
      <c r="E882" t="inlineStr">
        <is>
          <t>UPPSALA</t>
        </is>
      </c>
      <c r="F882" t="inlineStr">
        <is>
          <t>Allmännings- och besparingsskogar</t>
        </is>
      </c>
      <c r="G882" t="n">
        <v>2.3</v>
      </c>
      <c r="H882" t="n">
        <v>0</v>
      </c>
      <c r="I882" t="n">
        <v>0</v>
      </c>
      <c r="J882" t="n">
        <v>0</v>
      </c>
      <c r="K882" t="n">
        <v>0</v>
      </c>
      <c r="L882" t="n">
        <v>0</v>
      </c>
      <c r="M882" t="n">
        <v>0</v>
      </c>
      <c r="N882" t="n">
        <v>0</v>
      </c>
      <c r="O882" t="n">
        <v>0</v>
      </c>
      <c r="P882" t="n">
        <v>0</v>
      </c>
      <c r="Q882" t="n">
        <v>0</v>
      </c>
      <c r="R882" s="2" t="inlineStr"/>
    </row>
    <row r="883" ht="15" customHeight="1">
      <c r="A883" t="inlineStr">
        <is>
          <t>A 3353-2023</t>
        </is>
      </c>
      <c r="B883" s="1" t="n">
        <v>44949</v>
      </c>
      <c r="C883" s="1" t="n">
        <v>45680</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3661-2023</t>
        </is>
      </c>
      <c r="B884" s="1" t="n">
        <v>44950</v>
      </c>
      <c r="C884" s="1" t="n">
        <v>45680</v>
      </c>
      <c r="D884" t="inlineStr">
        <is>
          <t>UPPSALA LÄN</t>
        </is>
      </c>
      <c r="E884" t="inlineStr">
        <is>
          <t>UPPSALA</t>
        </is>
      </c>
      <c r="F884" t="inlineStr">
        <is>
          <t>Allmännings- och besparingsskogar</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3940-2023</t>
        </is>
      </c>
      <c r="B885" s="1" t="n">
        <v>44952</v>
      </c>
      <c r="C885" s="1" t="n">
        <v>45680</v>
      </c>
      <c r="D885" t="inlineStr">
        <is>
          <t>UPPSALA LÄN</t>
        </is>
      </c>
      <c r="E885" t="inlineStr">
        <is>
          <t>UPPSALA</t>
        </is>
      </c>
      <c r="F885" t="inlineStr">
        <is>
          <t>Bergvik skog öst AB</t>
        </is>
      </c>
      <c r="G885" t="n">
        <v>20.6</v>
      </c>
      <c r="H885" t="n">
        <v>0</v>
      </c>
      <c r="I885" t="n">
        <v>0</v>
      </c>
      <c r="J885" t="n">
        <v>0</v>
      </c>
      <c r="K885" t="n">
        <v>0</v>
      </c>
      <c r="L885" t="n">
        <v>0</v>
      </c>
      <c r="M885" t="n">
        <v>0</v>
      </c>
      <c r="N885" t="n">
        <v>0</v>
      </c>
      <c r="O885" t="n">
        <v>0</v>
      </c>
      <c r="P885" t="n">
        <v>0</v>
      </c>
      <c r="Q885" t="n">
        <v>0</v>
      </c>
      <c r="R885" s="2" t="inlineStr"/>
    </row>
    <row r="886" ht="15" customHeight="1">
      <c r="A886" t="inlineStr">
        <is>
          <t>A 3939-2023</t>
        </is>
      </c>
      <c r="B886" s="1" t="n">
        <v>44952</v>
      </c>
      <c r="C886" s="1" t="n">
        <v>45680</v>
      </c>
      <c r="D886" t="inlineStr">
        <is>
          <t>UPPSALA LÄN</t>
        </is>
      </c>
      <c r="E886" t="inlineStr">
        <is>
          <t>UPPSALA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5254-2023</t>
        </is>
      </c>
      <c r="B887" s="1" t="n">
        <v>44959</v>
      </c>
      <c r="C887" s="1" t="n">
        <v>45680</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5258-2023</t>
        </is>
      </c>
      <c r="B888" s="1" t="n">
        <v>44959</v>
      </c>
      <c r="C888" s="1" t="n">
        <v>45680</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5247-2023</t>
        </is>
      </c>
      <c r="B889" s="1" t="n">
        <v>44959</v>
      </c>
      <c r="C889" s="1" t="n">
        <v>45680</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5678-2023</t>
        </is>
      </c>
      <c r="B890" s="1" t="n">
        <v>44960</v>
      </c>
      <c r="C890" s="1" t="n">
        <v>45680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5682-2023</t>
        </is>
      </c>
      <c r="B891" s="1" t="n">
        <v>44960</v>
      </c>
      <c r="C891" s="1" t="n">
        <v>45680</v>
      </c>
      <c r="D891" t="inlineStr">
        <is>
          <t>UPPSALA LÄN</t>
        </is>
      </c>
      <c r="E891" t="inlineStr">
        <is>
          <t>UPPSALA</t>
        </is>
      </c>
      <c r="F891" t="inlineStr">
        <is>
          <t>Allmännings- och besparingsskogar</t>
        </is>
      </c>
      <c r="G891" t="n">
        <v>14.2</v>
      </c>
      <c r="H891" t="n">
        <v>0</v>
      </c>
      <c r="I891" t="n">
        <v>0</v>
      </c>
      <c r="J891" t="n">
        <v>0</v>
      </c>
      <c r="K891" t="n">
        <v>0</v>
      </c>
      <c r="L891" t="n">
        <v>0</v>
      </c>
      <c r="M891" t="n">
        <v>0</v>
      </c>
      <c r="N891" t="n">
        <v>0</v>
      </c>
      <c r="O891" t="n">
        <v>0</v>
      </c>
      <c r="P891" t="n">
        <v>0</v>
      </c>
      <c r="Q891" t="n">
        <v>0</v>
      </c>
      <c r="R891" s="2" t="inlineStr"/>
    </row>
    <row r="892" ht="15" customHeight="1">
      <c r="A892" t="inlineStr">
        <is>
          <t>A 5663-2023</t>
        </is>
      </c>
      <c r="B892" s="1" t="n">
        <v>44960</v>
      </c>
      <c r="C892" s="1" t="n">
        <v>45680</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5669-2023</t>
        </is>
      </c>
      <c r="B893" s="1" t="n">
        <v>44960</v>
      </c>
      <c r="C893" s="1" t="n">
        <v>45680</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5675-2023</t>
        </is>
      </c>
      <c r="B894" s="1" t="n">
        <v>44960</v>
      </c>
      <c r="C894" s="1" t="n">
        <v>45680</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6213-2023</t>
        </is>
      </c>
      <c r="B895" s="1" t="n">
        <v>44964</v>
      </c>
      <c r="C895" s="1" t="n">
        <v>45680</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6155-2023</t>
        </is>
      </c>
      <c r="B896" s="1" t="n">
        <v>44964</v>
      </c>
      <c r="C896" s="1" t="n">
        <v>45680</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6215-2023</t>
        </is>
      </c>
      <c r="B897" s="1" t="n">
        <v>44964</v>
      </c>
      <c r="C897" s="1" t="n">
        <v>45680</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6422-2023</t>
        </is>
      </c>
      <c r="B898" s="1" t="n">
        <v>44965</v>
      </c>
      <c r="C898" s="1" t="n">
        <v>45680</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ht="15" customHeight="1">
      <c r="A899" t="inlineStr">
        <is>
          <t>A 6423-2023</t>
        </is>
      </c>
      <c r="B899" s="1" t="n">
        <v>44965</v>
      </c>
      <c r="C899" s="1" t="n">
        <v>45680</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6602-2023</t>
        </is>
      </c>
      <c r="B900" s="1" t="n">
        <v>44966</v>
      </c>
      <c r="C900" s="1" t="n">
        <v>45680</v>
      </c>
      <c r="D900" t="inlineStr">
        <is>
          <t>UPPSALA LÄN</t>
        </is>
      </c>
      <c r="E900" t="inlineStr">
        <is>
          <t>UPPSALA</t>
        </is>
      </c>
      <c r="F900" t="inlineStr">
        <is>
          <t>Allmännings- och besparingsskogar</t>
        </is>
      </c>
      <c r="G900" t="n">
        <v>20.2</v>
      </c>
      <c r="H900" t="n">
        <v>0</v>
      </c>
      <c r="I900" t="n">
        <v>0</v>
      </c>
      <c r="J900" t="n">
        <v>0</v>
      </c>
      <c r="K900" t="n">
        <v>0</v>
      </c>
      <c r="L900" t="n">
        <v>0</v>
      </c>
      <c r="M900" t="n">
        <v>0</v>
      </c>
      <c r="N900" t="n">
        <v>0</v>
      </c>
      <c r="O900" t="n">
        <v>0</v>
      </c>
      <c r="P900" t="n">
        <v>0</v>
      </c>
      <c r="Q900" t="n">
        <v>0</v>
      </c>
      <c r="R900" s="2" t="inlineStr"/>
    </row>
    <row r="901" ht="15" customHeight="1">
      <c r="A901" t="inlineStr">
        <is>
          <t>A 6749-2023</t>
        </is>
      </c>
      <c r="B901" s="1" t="n">
        <v>44966</v>
      </c>
      <c r="C901" s="1" t="n">
        <v>45680</v>
      </c>
      <c r="D901" t="inlineStr">
        <is>
          <t>UPPSALA LÄN</t>
        </is>
      </c>
      <c r="E901" t="inlineStr">
        <is>
          <t>UPPSALA</t>
        </is>
      </c>
      <c r="F901" t="inlineStr">
        <is>
          <t>Allmännings- och besparingsskogar</t>
        </is>
      </c>
      <c r="G901" t="n">
        <v>13.5</v>
      </c>
      <c r="H901" t="n">
        <v>0</v>
      </c>
      <c r="I901" t="n">
        <v>0</v>
      </c>
      <c r="J901" t="n">
        <v>0</v>
      </c>
      <c r="K901" t="n">
        <v>0</v>
      </c>
      <c r="L901" t="n">
        <v>0</v>
      </c>
      <c r="M901" t="n">
        <v>0</v>
      </c>
      <c r="N901" t="n">
        <v>0</v>
      </c>
      <c r="O901" t="n">
        <v>0</v>
      </c>
      <c r="P901" t="n">
        <v>0</v>
      </c>
      <c r="Q901" t="n">
        <v>0</v>
      </c>
      <c r="R901" s="2" t="inlineStr"/>
    </row>
    <row r="902" ht="15" customHeight="1">
      <c r="A902" t="inlineStr">
        <is>
          <t>A 6930-2023</t>
        </is>
      </c>
      <c r="B902" s="1" t="n">
        <v>44967</v>
      </c>
      <c r="C902" s="1" t="n">
        <v>45680</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7000-2023</t>
        </is>
      </c>
      <c r="B903" s="1" t="n">
        <v>44967</v>
      </c>
      <c r="C903" s="1" t="n">
        <v>45680</v>
      </c>
      <c r="D903" t="inlineStr">
        <is>
          <t>UPPSALA LÄN</t>
        </is>
      </c>
      <c r="E903" t="inlineStr">
        <is>
          <t>UPPSALA</t>
        </is>
      </c>
      <c r="G903" t="n">
        <v>7.1</v>
      </c>
      <c r="H903" t="n">
        <v>0</v>
      </c>
      <c r="I903" t="n">
        <v>0</v>
      </c>
      <c r="J903" t="n">
        <v>0</v>
      </c>
      <c r="K903" t="n">
        <v>0</v>
      </c>
      <c r="L903" t="n">
        <v>0</v>
      </c>
      <c r="M903" t="n">
        <v>0</v>
      </c>
      <c r="N903" t="n">
        <v>0</v>
      </c>
      <c r="O903" t="n">
        <v>0</v>
      </c>
      <c r="P903" t="n">
        <v>0</v>
      </c>
      <c r="Q903" t="n">
        <v>0</v>
      </c>
      <c r="R903" s="2" t="inlineStr"/>
    </row>
    <row r="904" ht="15" customHeight="1">
      <c r="A904" t="inlineStr">
        <is>
          <t>A 6999-2023</t>
        </is>
      </c>
      <c r="B904" s="1" t="n">
        <v>44967</v>
      </c>
      <c r="C904" s="1" t="n">
        <v>45680</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6997-2023</t>
        </is>
      </c>
      <c r="B905" s="1" t="n">
        <v>44967</v>
      </c>
      <c r="C905" s="1" t="n">
        <v>45680</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7001-2023</t>
        </is>
      </c>
      <c r="B906" s="1" t="n">
        <v>44967</v>
      </c>
      <c r="C906" s="1" t="n">
        <v>45680</v>
      </c>
      <c r="D906" t="inlineStr">
        <is>
          <t>UPPSALA LÄN</t>
        </is>
      </c>
      <c r="E906" t="inlineStr">
        <is>
          <t>UPPSALA</t>
        </is>
      </c>
      <c r="G906" t="n">
        <v>4.3</v>
      </c>
      <c r="H906" t="n">
        <v>0</v>
      </c>
      <c r="I906" t="n">
        <v>0</v>
      </c>
      <c r="J906" t="n">
        <v>0</v>
      </c>
      <c r="K906" t="n">
        <v>0</v>
      </c>
      <c r="L906" t="n">
        <v>0</v>
      </c>
      <c r="M906" t="n">
        <v>0</v>
      </c>
      <c r="N906" t="n">
        <v>0</v>
      </c>
      <c r="O906" t="n">
        <v>0</v>
      </c>
      <c r="P906" t="n">
        <v>0</v>
      </c>
      <c r="Q906" t="n">
        <v>0</v>
      </c>
      <c r="R906" s="2" t="inlineStr"/>
    </row>
    <row r="907" ht="15" customHeight="1">
      <c r="A907" t="inlineStr">
        <is>
          <t>A 7002-2023</t>
        </is>
      </c>
      <c r="B907" s="1" t="n">
        <v>44967</v>
      </c>
      <c r="C907" s="1" t="n">
        <v>45680</v>
      </c>
      <c r="D907" t="inlineStr">
        <is>
          <t>UPPSALA LÄN</t>
        </is>
      </c>
      <c r="E907" t="inlineStr">
        <is>
          <t>UPPSALA</t>
        </is>
      </c>
      <c r="G907" t="n">
        <v>5</v>
      </c>
      <c r="H907" t="n">
        <v>0</v>
      </c>
      <c r="I907" t="n">
        <v>0</v>
      </c>
      <c r="J907" t="n">
        <v>0</v>
      </c>
      <c r="K907" t="n">
        <v>0</v>
      </c>
      <c r="L907" t="n">
        <v>0</v>
      </c>
      <c r="M907" t="n">
        <v>0</v>
      </c>
      <c r="N907" t="n">
        <v>0</v>
      </c>
      <c r="O907" t="n">
        <v>0</v>
      </c>
      <c r="P907" t="n">
        <v>0</v>
      </c>
      <c r="Q907" t="n">
        <v>0</v>
      </c>
      <c r="R907" s="2" t="inlineStr"/>
    </row>
    <row r="908" ht="15" customHeight="1">
      <c r="A908" t="inlineStr">
        <is>
          <t>A 7611-2023</t>
        </is>
      </c>
      <c r="B908" s="1" t="n">
        <v>44967</v>
      </c>
      <c r="C908" s="1" t="n">
        <v>45680</v>
      </c>
      <c r="D908" t="inlineStr">
        <is>
          <t>UPPSALA LÄN</t>
        </is>
      </c>
      <c r="E908" t="inlineStr">
        <is>
          <t>UPPSALA</t>
        </is>
      </c>
      <c r="G908" t="n">
        <v>3.5</v>
      </c>
      <c r="H908" t="n">
        <v>0</v>
      </c>
      <c r="I908" t="n">
        <v>0</v>
      </c>
      <c r="J908" t="n">
        <v>0</v>
      </c>
      <c r="K908" t="n">
        <v>0</v>
      </c>
      <c r="L908" t="n">
        <v>0</v>
      </c>
      <c r="M908" t="n">
        <v>0</v>
      </c>
      <c r="N908" t="n">
        <v>0</v>
      </c>
      <c r="O908" t="n">
        <v>0</v>
      </c>
      <c r="P908" t="n">
        <v>0</v>
      </c>
      <c r="Q908" t="n">
        <v>0</v>
      </c>
      <c r="R908" s="2" t="inlineStr"/>
    </row>
    <row r="909" ht="15" customHeight="1">
      <c r="A909" t="inlineStr">
        <is>
          <t>A 7607-2023</t>
        </is>
      </c>
      <c r="B909" s="1" t="n">
        <v>44967</v>
      </c>
      <c r="C909" s="1" t="n">
        <v>45680</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7058-2023</t>
        </is>
      </c>
      <c r="B910" s="1" t="n">
        <v>44969</v>
      </c>
      <c r="C910" s="1" t="n">
        <v>45680</v>
      </c>
      <c r="D910" t="inlineStr">
        <is>
          <t>UPPSALA LÄN</t>
        </is>
      </c>
      <c r="E910" t="inlineStr">
        <is>
          <t>UPPSALA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7084-2023</t>
        </is>
      </c>
      <c r="B911" s="1" t="n">
        <v>44970</v>
      </c>
      <c r="C911" s="1" t="n">
        <v>45680</v>
      </c>
      <c r="D911" t="inlineStr">
        <is>
          <t>UPPSALA LÄN</t>
        </is>
      </c>
      <c r="E911" t="inlineStr">
        <is>
          <t>UPPSALA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8384-2023</t>
        </is>
      </c>
      <c r="B912" s="1" t="n">
        <v>44971</v>
      </c>
      <c r="C912" s="1" t="n">
        <v>45680</v>
      </c>
      <c r="D912" t="inlineStr">
        <is>
          <t>UPPSALA LÄN</t>
        </is>
      </c>
      <c r="E912" t="inlineStr">
        <is>
          <t>UPPSALA</t>
        </is>
      </c>
      <c r="G912" t="n">
        <v>4</v>
      </c>
      <c r="H912" t="n">
        <v>0</v>
      </c>
      <c r="I912" t="n">
        <v>0</v>
      </c>
      <c r="J912" t="n">
        <v>0</v>
      </c>
      <c r="K912" t="n">
        <v>0</v>
      </c>
      <c r="L912" t="n">
        <v>0</v>
      </c>
      <c r="M912" t="n">
        <v>0</v>
      </c>
      <c r="N912" t="n">
        <v>0</v>
      </c>
      <c r="O912" t="n">
        <v>0</v>
      </c>
      <c r="P912" t="n">
        <v>0</v>
      </c>
      <c r="Q912" t="n">
        <v>0</v>
      </c>
      <c r="R912" s="2" t="inlineStr"/>
    </row>
    <row r="913" ht="15" customHeight="1">
      <c r="A913" t="inlineStr">
        <is>
          <t>A 8286-2023</t>
        </is>
      </c>
      <c r="B913" s="1" t="n">
        <v>44971</v>
      </c>
      <c r="C913" s="1" t="n">
        <v>45680</v>
      </c>
      <c r="D913" t="inlineStr">
        <is>
          <t>UPPSALA LÄN</t>
        </is>
      </c>
      <c r="E913" t="inlineStr">
        <is>
          <t>UPPSALA</t>
        </is>
      </c>
      <c r="G913" t="n">
        <v>9</v>
      </c>
      <c r="H913" t="n">
        <v>0</v>
      </c>
      <c r="I913" t="n">
        <v>0</v>
      </c>
      <c r="J913" t="n">
        <v>0</v>
      </c>
      <c r="K913" t="n">
        <v>0</v>
      </c>
      <c r="L913" t="n">
        <v>0</v>
      </c>
      <c r="M913" t="n">
        <v>0</v>
      </c>
      <c r="N913" t="n">
        <v>0</v>
      </c>
      <c r="O913" t="n">
        <v>0</v>
      </c>
      <c r="P913" t="n">
        <v>0</v>
      </c>
      <c r="Q913" t="n">
        <v>0</v>
      </c>
      <c r="R913" s="2" t="inlineStr"/>
    </row>
    <row r="914" ht="15" customHeight="1">
      <c r="A914" t="inlineStr">
        <is>
          <t>A 7577-2023</t>
        </is>
      </c>
      <c r="B914" s="1" t="n">
        <v>44972</v>
      </c>
      <c r="C914" s="1" t="n">
        <v>45680</v>
      </c>
      <c r="D914" t="inlineStr">
        <is>
          <t>UPPSALA LÄN</t>
        </is>
      </c>
      <c r="E914" t="inlineStr">
        <is>
          <t>UPPSALA</t>
        </is>
      </c>
      <c r="G914" t="n">
        <v>5.5</v>
      </c>
      <c r="H914" t="n">
        <v>0</v>
      </c>
      <c r="I914" t="n">
        <v>0</v>
      </c>
      <c r="J914" t="n">
        <v>0</v>
      </c>
      <c r="K914" t="n">
        <v>0</v>
      </c>
      <c r="L914" t="n">
        <v>0</v>
      </c>
      <c r="M914" t="n">
        <v>0</v>
      </c>
      <c r="N914" t="n">
        <v>0</v>
      </c>
      <c r="O914" t="n">
        <v>0</v>
      </c>
      <c r="P914" t="n">
        <v>0</v>
      </c>
      <c r="Q914" t="n">
        <v>0</v>
      </c>
      <c r="R914" s="2" t="inlineStr"/>
    </row>
    <row r="915" ht="15" customHeight="1">
      <c r="A915" t="inlineStr">
        <is>
          <t>A 7663-2023</t>
        </is>
      </c>
      <c r="B915" s="1" t="n">
        <v>44972</v>
      </c>
      <c r="C915" s="1" t="n">
        <v>45680</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7894-2023</t>
        </is>
      </c>
      <c r="B916" s="1" t="n">
        <v>44973</v>
      </c>
      <c r="C916" s="1" t="n">
        <v>45680</v>
      </c>
      <c r="D916" t="inlineStr">
        <is>
          <t>UPPSALA LÄN</t>
        </is>
      </c>
      <c r="E916" t="inlineStr">
        <is>
          <t>UPPSALA</t>
        </is>
      </c>
      <c r="G916" t="n">
        <v>4.4</v>
      </c>
      <c r="H916" t="n">
        <v>0</v>
      </c>
      <c r="I916" t="n">
        <v>0</v>
      </c>
      <c r="J916" t="n">
        <v>0</v>
      </c>
      <c r="K916" t="n">
        <v>0</v>
      </c>
      <c r="L916" t="n">
        <v>0</v>
      </c>
      <c r="M916" t="n">
        <v>0</v>
      </c>
      <c r="N916" t="n">
        <v>0</v>
      </c>
      <c r="O916" t="n">
        <v>0</v>
      </c>
      <c r="P916" t="n">
        <v>0</v>
      </c>
      <c r="Q916" t="n">
        <v>0</v>
      </c>
      <c r="R916" s="2" t="inlineStr"/>
    </row>
    <row r="917" ht="15" customHeight="1">
      <c r="A917" t="inlineStr">
        <is>
          <t>A 8162-2023</t>
        </is>
      </c>
      <c r="B917" s="1" t="n">
        <v>44974</v>
      </c>
      <c r="C917" s="1" t="n">
        <v>45680</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8473-2023</t>
        </is>
      </c>
      <c r="B918" s="1" t="n">
        <v>44977</v>
      </c>
      <c r="C918" s="1" t="n">
        <v>45680</v>
      </c>
      <c r="D918" t="inlineStr">
        <is>
          <t>UPPSALA LÄN</t>
        </is>
      </c>
      <c r="E918" t="inlineStr">
        <is>
          <t>UPPSALA</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9426-2023</t>
        </is>
      </c>
      <c r="B919" s="1" t="n">
        <v>44977</v>
      </c>
      <c r="C919" s="1" t="n">
        <v>45680</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9398-2023</t>
        </is>
      </c>
      <c r="B920" s="1" t="n">
        <v>44977</v>
      </c>
      <c r="C920" s="1" t="n">
        <v>45680</v>
      </c>
      <c r="D920" t="inlineStr">
        <is>
          <t>UPPSALA LÄN</t>
        </is>
      </c>
      <c r="E920" t="inlineStr">
        <is>
          <t>UPPSALA</t>
        </is>
      </c>
      <c r="G920" t="n">
        <v>5.1</v>
      </c>
      <c r="H920" t="n">
        <v>0</v>
      </c>
      <c r="I920" t="n">
        <v>0</v>
      </c>
      <c r="J920" t="n">
        <v>0</v>
      </c>
      <c r="K920" t="n">
        <v>0</v>
      </c>
      <c r="L920" t="n">
        <v>0</v>
      </c>
      <c r="M920" t="n">
        <v>0</v>
      </c>
      <c r="N920" t="n">
        <v>0</v>
      </c>
      <c r="O920" t="n">
        <v>0</v>
      </c>
      <c r="P920" t="n">
        <v>0</v>
      </c>
      <c r="Q920" t="n">
        <v>0</v>
      </c>
      <c r="R920" s="2" t="inlineStr"/>
    </row>
    <row r="921" ht="15" customHeight="1">
      <c r="A921" t="inlineStr">
        <is>
          <t>A 9295-2023</t>
        </is>
      </c>
      <c r="B921" s="1" t="n">
        <v>44980</v>
      </c>
      <c r="C921" s="1" t="n">
        <v>45680</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9261-2023</t>
        </is>
      </c>
      <c r="B922" s="1" t="n">
        <v>44980</v>
      </c>
      <c r="C922" s="1" t="n">
        <v>45680</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9291-2023</t>
        </is>
      </c>
      <c r="B923" s="1" t="n">
        <v>44980</v>
      </c>
      <c r="C923" s="1" t="n">
        <v>45680</v>
      </c>
      <c r="D923" t="inlineStr">
        <is>
          <t>UPPSALA LÄN</t>
        </is>
      </c>
      <c r="E923" t="inlineStr">
        <is>
          <t>UPPSALA</t>
        </is>
      </c>
      <c r="G923" t="n">
        <v>12.9</v>
      </c>
      <c r="H923" t="n">
        <v>0</v>
      </c>
      <c r="I923" t="n">
        <v>0</v>
      </c>
      <c r="J923" t="n">
        <v>0</v>
      </c>
      <c r="K923" t="n">
        <v>0</v>
      </c>
      <c r="L923" t="n">
        <v>0</v>
      </c>
      <c r="M923" t="n">
        <v>0</v>
      </c>
      <c r="N923" t="n">
        <v>0</v>
      </c>
      <c r="O923" t="n">
        <v>0</v>
      </c>
      <c r="P923" t="n">
        <v>0</v>
      </c>
      <c r="Q923" t="n">
        <v>0</v>
      </c>
      <c r="R923" s="2" t="inlineStr"/>
    </row>
    <row r="924" ht="15" customHeight="1">
      <c r="A924" t="inlineStr">
        <is>
          <t>A 9313-2023</t>
        </is>
      </c>
      <c r="B924" s="1" t="n">
        <v>44980</v>
      </c>
      <c r="C924" s="1" t="n">
        <v>45680</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9817-2023</t>
        </is>
      </c>
      <c r="B925" s="1" t="n">
        <v>44984</v>
      </c>
      <c r="C925" s="1" t="n">
        <v>45680</v>
      </c>
      <c r="D925" t="inlineStr">
        <is>
          <t>UPPSALA LÄN</t>
        </is>
      </c>
      <c r="E925" t="inlineStr">
        <is>
          <t>UPPSALA</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9814-2023</t>
        </is>
      </c>
      <c r="B926" s="1" t="n">
        <v>44984</v>
      </c>
      <c r="C926" s="1" t="n">
        <v>45680</v>
      </c>
      <c r="D926" t="inlineStr">
        <is>
          <t>UPPSALA LÄN</t>
        </is>
      </c>
      <c r="E926" t="inlineStr">
        <is>
          <t>UPPSALA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9811-2023</t>
        </is>
      </c>
      <c r="B927" s="1" t="n">
        <v>44984</v>
      </c>
      <c r="C927" s="1" t="n">
        <v>45680</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9820-2023</t>
        </is>
      </c>
      <c r="B928" s="1" t="n">
        <v>44984</v>
      </c>
      <c r="C928" s="1" t="n">
        <v>45680</v>
      </c>
      <c r="D928" t="inlineStr">
        <is>
          <t>UPPSALA LÄN</t>
        </is>
      </c>
      <c r="E928" t="inlineStr">
        <is>
          <t>UPPSALA</t>
        </is>
      </c>
      <c r="F928" t="inlineStr">
        <is>
          <t>Kyrkan</t>
        </is>
      </c>
      <c r="G928" t="n">
        <v>2</v>
      </c>
      <c r="H928" t="n">
        <v>0</v>
      </c>
      <c r="I928" t="n">
        <v>0</v>
      </c>
      <c r="J928" t="n">
        <v>0</v>
      </c>
      <c r="K928" t="n">
        <v>0</v>
      </c>
      <c r="L928" t="n">
        <v>0</v>
      </c>
      <c r="M928" t="n">
        <v>0</v>
      </c>
      <c r="N928" t="n">
        <v>0</v>
      </c>
      <c r="O928" t="n">
        <v>0</v>
      </c>
      <c r="P928" t="n">
        <v>0</v>
      </c>
      <c r="Q928" t="n">
        <v>0</v>
      </c>
      <c r="R928" s="2" t="inlineStr"/>
    </row>
    <row r="929" ht="15" customHeight="1">
      <c r="A929" t="inlineStr">
        <is>
          <t>A 10005-2023</t>
        </is>
      </c>
      <c r="B929" s="1" t="n">
        <v>44985</v>
      </c>
      <c r="C929" s="1" t="n">
        <v>45680</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10669-2023</t>
        </is>
      </c>
      <c r="B930" s="1" t="n">
        <v>44988</v>
      </c>
      <c r="C930" s="1" t="n">
        <v>45680</v>
      </c>
      <c r="D930" t="inlineStr">
        <is>
          <t>UPPSALA LÄN</t>
        </is>
      </c>
      <c r="E930" t="inlineStr">
        <is>
          <t>UPPSALA</t>
        </is>
      </c>
      <c r="G930" t="n">
        <v>4.9</v>
      </c>
      <c r="H930" t="n">
        <v>0</v>
      </c>
      <c r="I930" t="n">
        <v>0</v>
      </c>
      <c r="J930" t="n">
        <v>0</v>
      </c>
      <c r="K930" t="n">
        <v>0</v>
      </c>
      <c r="L930" t="n">
        <v>0</v>
      </c>
      <c r="M930" t="n">
        <v>0</v>
      </c>
      <c r="N930" t="n">
        <v>0</v>
      </c>
      <c r="O930" t="n">
        <v>0</v>
      </c>
      <c r="P930" t="n">
        <v>0</v>
      </c>
      <c r="Q930" t="n">
        <v>0</v>
      </c>
      <c r="R930" s="2" t="inlineStr"/>
    </row>
    <row r="931" ht="15" customHeight="1">
      <c r="A931" t="inlineStr">
        <is>
          <t>A 11484-2023</t>
        </is>
      </c>
      <c r="B931" s="1" t="n">
        <v>44991</v>
      </c>
      <c r="C931" s="1" t="n">
        <v>45680</v>
      </c>
      <c r="D931" t="inlineStr">
        <is>
          <t>UPPSALA LÄN</t>
        </is>
      </c>
      <c r="E931" t="inlineStr">
        <is>
          <t>UPPSALA</t>
        </is>
      </c>
      <c r="G931" t="n">
        <v>10.3</v>
      </c>
      <c r="H931" t="n">
        <v>0</v>
      </c>
      <c r="I931" t="n">
        <v>0</v>
      </c>
      <c r="J931" t="n">
        <v>0</v>
      </c>
      <c r="K931" t="n">
        <v>0</v>
      </c>
      <c r="L931" t="n">
        <v>0</v>
      </c>
      <c r="M931" t="n">
        <v>0</v>
      </c>
      <c r="N931" t="n">
        <v>0</v>
      </c>
      <c r="O931" t="n">
        <v>0</v>
      </c>
      <c r="P931" t="n">
        <v>0</v>
      </c>
      <c r="Q931" t="n">
        <v>0</v>
      </c>
      <c r="R931" s="2" t="inlineStr"/>
    </row>
    <row r="932" ht="15" customHeight="1">
      <c r="A932" t="inlineStr">
        <is>
          <t>A 11739-2023</t>
        </is>
      </c>
      <c r="B932" s="1" t="n">
        <v>44993</v>
      </c>
      <c r="C932" s="1" t="n">
        <v>45680</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11744-2023</t>
        </is>
      </c>
      <c r="B933" s="1" t="n">
        <v>44993</v>
      </c>
      <c r="C933" s="1" t="n">
        <v>45680</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11568-2023</t>
        </is>
      </c>
      <c r="B934" s="1" t="n">
        <v>44994</v>
      </c>
      <c r="C934" s="1" t="n">
        <v>45680</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12158-2023</t>
        </is>
      </c>
      <c r="B935" s="1" t="n">
        <v>44998</v>
      </c>
      <c r="C935" s="1" t="n">
        <v>45680</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12604-2023</t>
        </is>
      </c>
      <c r="B936" s="1" t="n">
        <v>45000</v>
      </c>
      <c r="C936" s="1" t="n">
        <v>45680</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12603-2023</t>
        </is>
      </c>
      <c r="B937" s="1" t="n">
        <v>45000</v>
      </c>
      <c r="C937" s="1" t="n">
        <v>45680</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12602-2023</t>
        </is>
      </c>
      <c r="B938" s="1" t="n">
        <v>45000</v>
      </c>
      <c r="C938" s="1" t="n">
        <v>45680</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12703-2023</t>
        </is>
      </c>
      <c r="B939" s="1" t="n">
        <v>45000</v>
      </c>
      <c r="C939" s="1" t="n">
        <v>45680</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12606-2023</t>
        </is>
      </c>
      <c r="B940" s="1" t="n">
        <v>45000</v>
      </c>
      <c r="C940" s="1" t="n">
        <v>45680</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45680</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14253-2023</t>
        </is>
      </c>
      <c r="B942" s="1" t="n">
        <v>45009</v>
      </c>
      <c r="C942" s="1" t="n">
        <v>45680</v>
      </c>
      <c r="D942" t="inlineStr">
        <is>
          <t>UPPSALA LÄN</t>
        </is>
      </c>
      <c r="E942" t="inlineStr">
        <is>
          <t>UPPSALA</t>
        </is>
      </c>
      <c r="F942" t="inlineStr">
        <is>
          <t>Allmännings- och besparingsskogar</t>
        </is>
      </c>
      <c r="G942" t="n">
        <v>14</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45680</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14988-2023</t>
        </is>
      </c>
      <c r="B944" s="1" t="n">
        <v>45015</v>
      </c>
      <c r="C944" s="1" t="n">
        <v>45680</v>
      </c>
      <c r="D944" t="inlineStr">
        <is>
          <t>UPPSALA LÄN</t>
        </is>
      </c>
      <c r="E944" t="inlineStr">
        <is>
          <t>UPPSALA</t>
        </is>
      </c>
      <c r="G944" t="n">
        <v>4.2</v>
      </c>
      <c r="H944" t="n">
        <v>0</v>
      </c>
      <c r="I944" t="n">
        <v>0</v>
      </c>
      <c r="J944" t="n">
        <v>0</v>
      </c>
      <c r="K944" t="n">
        <v>0</v>
      </c>
      <c r="L944" t="n">
        <v>0</v>
      </c>
      <c r="M944" t="n">
        <v>0</v>
      </c>
      <c r="N944" t="n">
        <v>0</v>
      </c>
      <c r="O944" t="n">
        <v>0</v>
      </c>
      <c r="P944" t="n">
        <v>0</v>
      </c>
      <c r="Q944" t="n">
        <v>0</v>
      </c>
      <c r="R944" s="2" t="inlineStr"/>
    </row>
    <row r="945" ht="15" customHeight="1">
      <c r="A945" t="inlineStr">
        <is>
          <t>A 15547-2023</t>
        </is>
      </c>
      <c r="B945" s="1" t="n">
        <v>45020</v>
      </c>
      <c r="C945" s="1" t="n">
        <v>45680</v>
      </c>
      <c r="D945" t="inlineStr">
        <is>
          <t>UPPSALA LÄN</t>
        </is>
      </c>
      <c r="E945" t="inlineStr">
        <is>
          <t>UPPSALA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15551-2023</t>
        </is>
      </c>
      <c r="B946" s="1" t="n">
        <v>45020</v>
      </c>
      <c r="C946" s="1" t="n">
        <v>45680</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15629-2023</t>
        </is>
      </c>
      <c r="B947" s="1" t="n">
        <v>45021</v>
      </c>
      <c r="C947" s="1" t="n">
        <v>45680</v>
      </c>
      <c r="D947" t="inlineStr">
        <is>
          <t>UPPSALA LÄN</t>
        </is>
      </c>
      <c r="E947" t="inlineStr">
        <is>
          <t>UPPSALA</t>
        </is>
      </c>
      <c r="F947" t="inlineStr">
        <is>
          <t>Övriga Aktiebolag</t>
        </is>
      </c>
      <c r="G947" t="n">
        <v>7</v>
      </c>
      <c r="H947" t="n">
        <v>0</v>
      </c>
      <c r="I947" t="n">
        <v>0</v>
      </c>
      <c r="J947" t="n">
        <v>0</v>
      </c>
      <c r="K947" t="n">
        <v>0</v>
      </c>
      <c r="L947" t="n">
        <v>0</v>
      </c>
      <c r="M947" t="n">
        <v>0</v>
      </c>
      <c r="N947" t="n">
        <v>0</v>
      </c>
      <c r="O947" t="n">
        <v>0</v>
      </c>
      <c r="P947" t="n">
        <v>0</v>
      </c>
      <c r="Q947" t="n">
        <v>0</v>
      </c>
      <c r="R947" s="2" t="inlineStr"/>
    </row>
    <row r="948" ht="15" customHeight="1">
      <c r="A948" t="inlineStr">
        <is>
          <t>A 16346-2023</t>
        </is>
      </c>
      <c r="B948" s="1" t="n">
        <v>45028</v>
      </c>
      <c r="C948" s="1" t="n">
        <v>45680</v>
      </c>
      <c r="D948" t="inlineStr">
        <is>
          <t>UPPSALA LÄN</t>
        </is>
      </c>
      <c r="E948" t="inlineStr">
        <is>
          <t>UPPSALA</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16811-2023</t>
        </is>
      </c>
      <c r="B949" s="1" t="n">
        <v>45033</v>
      </c>
      <c r="C949" s="1" t="n">
        <v>45680</v>
      </c>
      <c r="D949" t="inlineStr">
        <is>
          <t>UPPSALA LÄN</t>
        </is>
      </c>
      <c r="E949" t="inlineStr">
        <is>
          <t>UPPSALA</t>
        </is>
      </c>
      <c r="G949" t="n">
        <v>10.1</v>
      </c>
      <c r="H949" t="n">
        <v>0</v>
      </c>
      <c r="I949" t="n">
        <v>0</v>
      </c>
      <c r="J949" t="n">
        <v>0</v>
      </c>
      <c r="K949" t="n">
        <v>0</v>
      </c>
      <c r="L949" t="n">
        <v>0</v>
      </c>
      <c r="M949" t="n">
        <v>0</v>
      </c>
      <c r="N949" t="n">
        <v>0</v>
      </c>
      <c r="O949" t="n">
        <v>0</v>
      </c>
      <c r="P949" t="n">
        <v>0</v>
      </c>
      <c r="Q949" t="n">
        <v>0</v>
      </c>
      <c r="R949" s="2" t="inlineStr"/>
    </row>
    <row r="950" ht="15" customHeight="1">
      <c r="A950" t="inlineStr">
        <is>
          <t>A 17229-2023</t>
        </is>
      </c>
      <c r="B950" s="1" t="n">
        <v>45035</v>
      </c>
      <c r="C950" s="1" t="n">
        <v>45680</v>
      </c>
      <c r="D950" t="inlineStr">
        <is>
          <t>UPPSALA LÄN</t>
        </is>
      </c>
      <c r="E950" t="inlineStr">
        <is>
          <t>UPPSALA</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17280-2023</t>
        </is>
      </c>
      <c r="B951" s="1" t="n">
        <v>45035</v>
      </c>
      <c r="C951" s="1" t="n">
        <v>45680</v>
      </c>
      <c r="D951" t="inlineStr">
        <is>
          <t>UPPSALA LÄN</t>
        </is>
      </c>
      <c r="E951" t="inlineStr">
        <is>
          <t>UPPSALA</t>
        </is>
      </c>
      <c r="G951" t="n">
        <v>5.6</v>
      </c>
      <c r="H951" t="n">
        <v>0</v>
      </c>
      <c r="I951" t="n">
        <v>0</v>
      </c>
      <c r="J951" t="n">
        <v>0</v>
      </c>
      <c r="K951" t="n">
        <v>0</v>
      </c>
      <c r="L951" t="n">
        <v>0</v>
      </c>
      <c r="M951" t="n">
        <v>0</v>
      </c>
      <c r="N951" t="n">
        <v>0</v>
      </c>
      <c r="O951" t="n">
        <v>0</v>
      </c>
      <c r="P951" t="n">
        <v>0</v>
      </c>
      <c r="Q951" t="n">
        <v>0</v>
      </c>
      <c r="R951" s="2" t="inlineStr"/>
    </row>
    <row r="952" ht="15" customHeight="1">
      <c r="A952" t="inlineStr">
        <is>
          <t>A 17481-2023</t>
        </is>
      </c>
      <c r="B952" s="1" t="n">
        <v>45036</v>
      </c>
      <c r="C952" s="1" t="n">
        <v>45680</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17788-2023</t>
        </is>
      </c>
      <c r="B953" s="1" t="n">
        <v>45037</v>
      </c>
      <c r="C953" s="1" t="n">
        <v>45680</v>
      </c>
      <c r="D953" t="inlineStr">
        <is>
          <t>UPPSALA LÄN</t>
        </is>
      </c>
      <c r="E953" t="inlineStr">
        <is>
          <t>UPPSALA</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17938-2023</t>
        </is>
      </c>
      <c r="B954" s="1" t="n">
        <v>45040</v>
      </c>
      <c r="C954" s="1" t="n">
        <v>45680</v>
      </c>
      <c r="D954" t="inlineStr">
        <is>
          <t>UPPSALA LÄN</t>
        </is>
      </c>
      <c r="E954" t="inlineStr">
        <is>
          <t>UPPSALA</t>
        </is>
      </c>
      <c r="G954" t="n">
        <v>2.9</v>
      </c>
      <c r="H954" t="n">
        <v>0</v>
      </c>
      <c r="I954" t="n">
        <v>0</v>
      </c>
      <c r="J954" t="n">
        <v>0</v>
      </c>
      <c r="K954" t="n">
        <v>0</v>
      </c>
      <c r="L954" t="n">
        <v>0</v>
      </c>
      <c r="M954" t="n">
        <v>0</v>
      </c>
      <c r="N954" t="n">
        <v>0</v>
      </c>
      <c r="O954" t="n">
        <v>0</v>
      </c>
      <c r="P954" t="n">
        <v>0</v>
      </c>
      <c r="Q954" t="n">
        <v>0</v>
      </c>
      <c r="R954" s="2" t="inlineStr"/>
    </row>
    <row r="955" ht="15" customHeight="1">
      <c r="A955" t="inlineStr">
        <is>
          <t>A 18277-2023</t>
        </is>
      </c>
      <c r="B955" s="1" t="n">
        <v>45041</v>
      </c>
      <c r="C955" s="1" t="n">
        <v>45680</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18275-2023</t>
        </is>
      </c>
      <c r="B956" s="1" t="n">
        <v>45041</v>
      </c>
      <c r="C956" s="1" t="n">
        <v>45680</v>
      </c>
      <c r="D956" t="inlineStr">
        <is>
          <t>UPPSALA LÄN</t>
        </is>
      </c>
      <c r="E956" t="inlineStr">
        <is>
          <t>UPPSALA</t>
        </is>
      </c>
      <c r="G956" t="n">
        <v>2.7</v>
      </c>
      <c r="H956" t="n">
        <v>0</v>
      </c>
      <c r="I956" t="n">
        <v>0</v>
      </c>
      <c r="J956" t="n">
        <v>0</v>
      </c>
      <c r="K956" t="n">
        <v>0</v>
      </c>
      <c r="L956" t="n">
        <v>0</v>
      </c>
      <c r="M956" t="n">
        <v>0</v>
      </c>
      <c r="N956" t="n">
        <v>0</v>
      </c>
      <c r="O956" t="n">
        <v>0</v>
      </c>
      <c r="P956" t="n">
        <v>0</v>
      </c>
      <c r="Q956" t="n">
        <v>0</v>
      </c>
      <c r="R956" s="2" t="inlineStr"/>
    </row>
    <row r="957" ht="15" customHeight="1">
      <c r="A957" t="inlineStr">
        <is>
          <t>A 18278-2023</t>
        </is>
      </c>
      <c r="B957" s="1" t="n">
        <v>45041</v>
      </c>
      <c r="C957" s="1" t="n">
        <v>45680</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18276-2023</t>
        </is>
      </c>
      <c r="B958" s="1" t="n">
        <v>45041</v>
      </c>
      <c r="C958" s="1" t="n">
        <v>45680</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18443-2023</t>
        </is>
      </c>
      <c r="B959" s="1" t="n">
        <v>45042</v>
      </c>
      <c r="C959" s="1" t="n">
        <v>45680</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18496-2023</t>
        </is>
      </c>
      <c r="B960" s="1" t="n">
        <v>45042</v>
      </c>
      <c r="C960" s="1" t="n">
        <v>45680</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18507-2023</t>
        </is>
      </c>
      <c r="B961" s="1" t="n">
        <v>45042</v>
      </c>
      <c r="C961" s="1" t="n">
        <v>45680</v>
      </c>
      <c r="D961" t="inlineStr">
        <is>
          <t>UPPSALA LÄN</t>
        </is>
      </c>
      <c r="E961" t="inlineStr">
        <is>
          <t>UPPSALA</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18472-2023</t>
        </is>
      </c>
      <c r="B962" s="1" t="n">
        <v>45042</v>
      </c>
      <c r="C962" s="1" t="n">
        <v>45680</v>
      </c>
      <c r="D962" t="inlineStr">
        <is>
          <t>UPPSALA LÄN</t>
        </is>
      </c>
      <c r="E962" t="inlineStr">
        <is>
          <t>UPPSALA</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18710-2023</t>
        </is>
      </c>
      <c r="B963" s="1" t="n">
        <v>45043</v>
      </c>
      <c r="C963" s="1" t="n">
        <v>45680</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19017-2023</t>
        </is>
      </c>
      <c r="B964" s="1" t="n">
        <v>45047</v>
      </c>
      <c r="C964" s="1" t="n">
        <v>45680</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19135-2023</t>
        </is>
      </c>
      <c r="B965" s="1" t="n">
        <v>45048</v>
      </c>
      <c r="C965" s="1" t="n">
        <v>45680</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19139-2023</t>
        </is>
      </c>
      <c r="B966" s="1" t="n">
        <v>45048</v>
      </c>
      <c r="C966" s="1" t="n">
        <v>45680</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19279-2023</t>
        </is>
      </c>
      <c r="B967" s="1" t="n">
        <v>45049</v>
      </c>
      <c r="C967" s="1" t="n">
        <v>45680</v>
      </c>
      <c r="D967" t="inlineStr">
        <is>
          <t>UPPSALA LÄN</t>
        </is>
      </c>
      <c r="E967" t="inlineStr">
        <is>
          <t>UPPSALA</t>
        </is>
      </c>
      <c r="G967" t="n">
        <v>5.8</v>
      </c>
      <c r="H967" t="n">
        <v>0</v>
      </c>
      <c r="I967" t="n">
        <v>0</v>
      </c>
      <c r="J967" t="n">
        <v>0</v>
      </c>
      <c r="K967" t="n">
        <v>0</v>
      </c>
      <c r="L967" t="n">
        <v>0</v>
      </c>
      <c r="M967" t="n">
        <v>0</v>
      </c>
      <c r="N967" t="n">
        <v>0</v>
      </c>
      <c r="O967" t="n">
        <v>0</v>
      </c>
      <c r="P967" t="n">
        <v>0</v>
      </c>
      <c r="Q967" t="n">
        <v>0</v>
      </c>
      <c r="R967" s="2" t="inlineStr"/>
    </row>
    <row r="968" ht="15" customHeight="1">
      <c r="A968" t="inlineStr">
        <is>
          <t>A 19269-2023</t>
        </is>
      </c>
      <c r="B968" s="1" t="n">
        <v>45049</v>
      </c>
      <c r="C968" s="1" t="n">
        <v>45680</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19314-2023</t>
        </is>
      </c>
      <c r="B969" s="1" t="n">
        <v>45049</v>
      </c>
      <c r="C969" s="1" t="n">
        <v>45680</v>
      </c>
      <c r="D969" t="inlineStr">
        <is>
          <t>UPPSALA LÄN</t>
        </is>
      </c>
      <c r="E969" t="inlineStr">
        <is>
          <t>UPPSALA</t>
        </is>
      </c>
      <c r="G969" t="n">
        <v>9</v>
      </c>
      <c r="H969" t="n">
        <v>0</v>
      </c>
      <c r="I969" t="n">
        <v>0</v>
      </c>
      <c r="J969" t="n">
        <v>0</v>
      </c>
      <c r="K969" t="n">
        <v>0</v>
      </c>
      <c r="L969" t="n">
        <v>0</v>
      </c>
      <c r="M969" t="n">
        <v>0</v>
      </c>
      <c r="N969" t="n">
        <v>0</v>
      </c>
      <c r="O969" t="n">
        <v>0</v>
      </c>
      <c r="P969" t="n">
        <v>0</v>
      </c>
      <c r="Q969" t="n">
        <v>0</v>
      </c>
      <c r="R969" s="2" t="inlineStr"/>
    </row>
    <row r="970" ht="15" customHeight="1">
      <c r="A970" t="inlineStr">
        <is>
          <t>A 19320-2023</t>
        </is>
      </c>
      <c r="B970" s="1" t="n">
        <v>45049</v>
      </c>
      <c r="C970" s="1" t="n">
        <v>45680</v>
      </c>
      <c r="D970" t="inlineStr">
        <is>
          <t>UPPSALA LÄN</t>
        </is>
      </c>
      <c r="E970" t="inlineStr">
        <is>
          <t>UPPSALA</t>
        </is>
      </c>
      <c r="G970" t="n">
        <v>17.5</v>
      </c>
      <c r="H970" t="n">
        <v>0</v>
      </c>
      <c r="I970" t="n">
        <v>0</v>
      </c>
      <c r="J970" t="n">
        <v>0</v>
      </c>
      <c r="K970" t="n">
        <v>0</v>
      </c>
      <c r="L970" t="n">
        <v>0</v>
      </c>
      <c r="M970" t="n">
        <v>0</v>
      </c>
      <c r="N970" t="n">
        <v>0</v>
      </c>
      <c r="O970" t="n">
        <v>0</v>
      </c>
      <c r="P970" t="n">
        <v>0</v>
      </c>
      <c r="Q970" t="n">
        <v>0</v>
      </c>
      <c r="R970" s="2" t="inlineStr"/>
    </row>
    <row r="971" ht="15" customHeight="1">
      <c r="A971" t="inlineStr">
        <is>
          <t>A 19339-2023</t>
        </is>
      </c>
      <c r="B971" s="1" t="n">
        <v>45049</v>
      </c>
      <c r="C971" s="1" t="n">
        <v>45680</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19380-2023</t>
        </is>
      </c>
      <c r="B972" s="1" t="n">
        <v>45049</v>
      </c>
      <c r="C972" s="1" t="n">
        <v>45680</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19411-2023</t>
        </is>
      </c>
      <c r="B973" s="1" t="n">
        <v>45049</v>
      </c>
      <c r="C973" s="1" t="n">
        <v>45680</v>
      </c>
      <c r="D973" t="inlineStr">
        <is>
          <t>UPPSALA LÄN</t>
        </is>
      </c>
      <c r="E973" t="inlineStr">
        <is>
          <t>UPPSALA</t>
        </is>
      </c>
      <c r="G973" t="n">
        <v>12.6</v>
      </c>
      <c r="H973" t="n">
        <v>0</v>
      </c>
      <c r="I973" t="n">
        <v>0</v>
      </c>
      <c r="J973" t="n">
        <v>0</v>
      </c>
      <c r="K973" t="n">
        <v>0</v>
      </c>
      <c r="L973" t="n">
        <v>0</v>
      </c>
      <c r="M973" t="n">
        <v>0</v>
      </c>
      <c r="N973" t="n">
        <v>0</v>
      </c>
      <c r="O973" t="n">
        <v>0</v>
      </c>
      <c r="P973" t="n">
        <v>0</v>
      </c>
      <c r="Q973" t="n">
        <v>0</v>
      </c>
      <c r="R973" s="2" t="inlineStr"/>
    </row>
    <row r="974" ht="15" customHeight="1">
      <c r="A974" t="inlineStr">
        <is>
          <t>A 19272-2023</t>
        </is>
      </c>
      <c r="B974" s="1" t="n">
        <v>45049</v>
      </c>
      <c r="C974" s="1" t="n">
        <v>45680</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19276-2023</t>
        </is>
      </c>
      <c r="B975" s="1" t="n">
        <v>45049</v>
      </c>
      <c r="C975" s="1" t="n">
        <v>45680</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19317-2023</t>
        </is>
      </c>
      <c r="B976" s="1" t="n">
        <v>45049</v>
      </c>
      <c r="C976" s="1" t="n">
        <v>45680</v>
      </c>
      <c r="D976" t="inlineStr">
        <is>
          <t>UPPSALA LÄN</t>
        </is>
      </c>
      <c r="E976" t="inlineStr">
        <is>
          <t>UPPSALA</t>
        </is>
      </c>
      <c r="G976" t="n">
        <v>15.4</v>
      </c>
      <c r="H976" t="n">
        <v>0</v>
      </c>
      <c r="I976" t="n">
        <v>0</v>
      </c>
      <c r="J976" t="n">
        <v>0</v>
      </c>
      <c r="K976" t="n">
        <v>0</v>
      </c>
      <c r="L976" t="n">
        <v>0</v>
      </c>
      <c r="M976" t="n">
        <v>0</v>
      </c>
      <c r="N976" t="n">
        <v>0</v>
      </c>
      <c r="O976" t="n">
        <v>0</v>
      </c>
      <c r="P976" t="n">
        <v>0</v>
      </c>
      <c r="Q976" t="n">
        <v>0</v>
      </c>
      <c r="R976" s="2" t="inlineStr"/>
    </row>
    <row r="977" ht="15" customHeight="1">
      <c r="A977" t="inlineStr">
        <is>
          <t>A 19409-2023</t>
        </is>
      </c>
      <c r="B977" s="1" t="n">
        <v>45049</v>
      </c>
      <c r="C977" s="1" t="n">
        <v>45680</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19455-2023</t>
        </is>
      </c>
      <c r="B978" s="1" t="n">
        <v>45050</v>
      </c>
      <c r="C978" s="1" t="n">
        <v>45680</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19515-2023</t>
        </is>
      </c>
      <c r="B979" s="1" t="n">
        <v>45050</v>
      </c>
      <c r="C979" s="1" t="n">
        <v>45680</v>
      </c>
      <c r="D979" t="inlineStr">
        <is>
          <t>UPPSALA LÄN</t>
        </is>
      </c>
      <c r="E979" t="inlineStr">
        <is>
          <t>UPPSALA</t>
        </is>
      </c>
      <c r="G979" t="n">
        <v>11.2</v>
      </c>
      <c r="H979" t="n">
        <v>0</v>
      </c>
      <c r="I979" t="n">
        <v>0</v>
      </c>
      <c r="J979" t="n">
        <v>0</v>
      </c>
      <c r="K979" t="n">
        <v>0</v>
      </c>
      <c r="L979" t="n">
        <v>0</v>
      </c>
      <c r="M979" t="n">
        <v>0</v>
      </c>
      <c r="N979" t="n">
        <v>0</v>
      </c>
      <c r="O979" t="n">
        <v>0</v>
      </c>
      <c r="P979" t="n">
        <v>0</v>
      </c>
      <c r="Q979" t="n">
        <v>0</v>
      </c>
      <c r="R979" s="2" t="inlineStr"/>
    </row>
    <row r="980" ht="15" customHeight="1">
      <c r="A980" t="inlineStr">
        <is>
          <t>A 19447-2023</t>
        </is>
      </c>
      <c r="B980" s="1" t="n">
        <v>45050</v>
      </c>
      <c r="C980" s="1" t="n">
        <v>45680</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19513-2023</t>
        </is>
      </c>
      <c r="B981" s="1" t="n">
        <v>45050</v>
      </c>
      <c r="C981" s="1" t="n">
        <v>45680</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19516-2023</t>
        </is>
      </c>
      <c r="B982" s="1" t="n">
        <v>45050</v>
      </c>
      <c r="C982" s="1" t="n">
        <v>45680</v>
      </c>
      <c r="D982" t="inlineStr">
        <is>
          <t>UPPSALA LÄN</t>
        </is>
      </c>
      <c r="E982" t="inlineStr">
        <is>
          <t>UPPSALA</t>
        </is>
      </c>
      <c r="G982" t="n">
        <v>4.5</v>
      </c>
      <c r="H982" t="n">
        <v>0</v>
      </c>
      <c r="I982" t="n">
        <v>0</v>
      </c>
      <c r="J982" t="n">
        <v>0</v>
      </c>
      <c r="K982" t="n">
        <v>0</v>
      </c>
      <c r="L982" t="n">
        <v>0</v>
      </c>
      <c r="M982" t="n">
        <v>0</v>
      </c>
      <c r="N982" t="n">
        <v>0</v>
      </c>
      <c r="O982" t="n">
        <v>0</v>
      </c>
      <c r="P982" t="n">
        <v>0</v>
      </c>
      <c r="Q982" t="n">
        <v>0</v>
      </c>
      <c r="R982" s="2" t="inlineStr"/>
    </row>
    <row r="983" ht="15" customHeight="1">
      <c r="A983" t="inlineStr">
        <is>
          <t>A 19920-2023</t>
        </is>
      </c>
      <c r="B983" s="1" t="n">
        <v>45054</v>
      </c>
      <c r="C983" s="1" t="n">
        <v>45680</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20087-2023</t>
        </is>
      </c>
      <c r="B984" s="1" t="n">
        <v>45055</v>
      </c>
      <c r="C984" s="1" t="n">
        <v>45680</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20102-2023</t>
        </is>
      </c>
      <c r="B985" s="1" t="n">
        <v>45055</v>
      </c>
      <c r="C985" s="1" t="n">
        <v>45680</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20105-2023</t>
        </is>
      </c>
      <c r="B986" s="1" t="n">
        <v>45055</v>
      </c>
      <c r="C986" s="1" t="n">
        <v>45680</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20206-2023</t>
        </is>
      </c>
      <c r="B987" s="1" t="n">
        <v>45055</v>
      </c>
      <c r="C987" s="1" t="n">
        <v>45680</v>
      </c>
      <c r="D987" t="inlineStr">
        <is>
          <t>UPPSALA LÄN</t>
        </is>
      </c>
      <c r="E987" t="inlineStr">
        <is>
          <t>UPPSALA</t>
        </is>
      </c>
      <c r="G987" t="n">
        <v>5.7</v>
      </c>
      <c r="H987" t="n">
        <v>0</v>
      </c>
      <c r="I987" t="n">
        <v>0</v>
      </c>
      <c r="J987" t="n">
        <v>0</v>
      </c>
      <c r="K987" t="n">
        <v>0</v>
      </c>
      <c r="L987" t="n">
        <v>0</v>
      </c>
      <c r="M987" t="n">
        <v>0</v>
      </c>
      <c r="N987" t="n">
        <v>0</v>
      </c>
      <c r="O987" t="n">
        <v>0</v>
      </c>
      <c r="P987" t="n">
        <v>0</v>
      </c>
      <c r="Q987" t="n">
        <v>0</v>
      </c>
      <c r="R987" s="2" t="inlineStr"/>
    </row>
    <row r="988" ht="15" customHeight="1">
      <c r="A988" t="inlineStr">
        <is>
          <t>A 20438-2023</t>
        </is>
      </c>
      <c r="B988" s="1" t="n">
        <v>45056</v>
      </c>
      <c r="C988" s="1" t="n">
        <v>45680</v>
      </c>
      <c r="D988" t="inlineStr">
        <is>
          <t>UPPSALA LÄN</t>
        </is>
      </c>
      <c r="E988" t="inlineStr">
        <is>
          <t>UPPSALA</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20440-2023</t>
        </is>
      </c>
      <c r="B989" s="1" t="n">
        <v>45056</v>
      </c>
      <c r="C989" s="1" t="n">
        <v>45680</v>
      </c>
      <c r="D989" t="inlineStr">
        <is>
          <t>UPPSALA LÄN</t>
        </is>
      </c>
      <c r="E989" t="inlineStr">
        <is>
          <t>UPPSALA</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20437-2023</t>
        </is>
      </c>
      <c r="B990" s="1" t="n">
        <v>45056</v>
      </c>
      <c r="C990" s="1" t="n">
        <v>45680</v>
      </c>
      <c r="D990" t="inlineStr">
        <is>
          <t>UPPSALA LÄN</t>
        </is>
      </c>
      <c r="E990" t="inlineStr">
        <is>
          <t>UPPSALA</t>
        </is>
      </c>
      <c r="F990" t="inlineStr">
        <is>
          <t>Holmen skog AB</t>
        </is>
      </c>
      <c r="G990" t="n">
        <v>20.1</v>
      </c>
      <c r="H990" t="n">
        <v>0</v>
      </c>
      <c r="I990" t="n">
        <v>0</v>
      </c>
      <c r="J990" t="n">
        <v>0</v>
      </c>
      <c r="K990" t="n">
        <v>0</v>
      </c>
      <c r="L990" t="n">
        <v>0</v>
      </c>
      <c r="M990" t="n">
        <v>0</v>
      </c>
      <c r="N990" t="n">
        <v>0</v>
      </c>
      <c r="O990" t="n">
        <v>0</v>
      </c>
      <c r="P990" t="n">
        <v>0</v>
      </c>
      <c r="Q990" t="n">
        <v>0</v>
      </c>
      <c r="R990" s="2" t="inlineStr"/>
    </row>
    <row r="991" ht="15" customHeight="1">
      <c r="A991" t="inlineStr">
        <is>
          <t>A 20550-2023</t>
        </is>
      </c>
      <c r="B991" s="1" t="n">
        <v>45057</v>
      </c>
      <c r="C991" s="1" t="n">
        <v>45680</v>
      </c>
      <c r="D991" t="inlineStr">
        <is>
          <t>UPPSALA LÄN</t>
        </is>
      </c>
      <c r="E991" t="inlineStr">
        <is>
          <t>UPPSALA</t>
        </is>
      </c>
      <c r="F991" t="inlineStr">
        <is>
          <t>Övriga Aktiebolag</t>
        </is>
      </c>
      <c r="G991" t="n">
        <v>12.2</v>
      </c>
      <c r="H991" t="n">
        <v>0</v>
      </c>
      <c r="I991" t="n">
        <v>0</v>
      </c>
      <c r="J991" t="n">
        <v>0</v>
      </c>
      <c r="K991" t="n">
        <v>0</v>
      </c>
      <c r="L991" t="n">
        <v>0</v>
      </c>
      <c r="M991" t="n">
        <v>0</v>
      </c>
      <c r="N991" t="n">
        <v>0</v>
      </c>
      <c r="O991" t="n">
        <v>0</v>
      </c>
      <c r="P991" t="n">
        <v>0</v>
      </c>
      <c r="Q991" t="n">
        <v>0</v>
      </c>
      <c r="R991" s="2" t="inlineStr"/>
    </row>
    <row r="992" ht="15" customHeight="1">
      <c r="A992" t="inlineStr">
        <is>
          <t>A 20670-2023</t>
        </is>
      </c>
      <c r="B992" s="1" t="n">
        <v>45058</v>
      </c>
      <c r="C992" s="1" t="n">
        <v>45680</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20692-2023</t>
        </is>
      </c>
      <c r="B993" s="1" t="n">
        <v>45058</v>
      </c>
      <c r="C993" s="1" t="n">
        <v>45680</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20667-2023</t>
        </is>
      </c>
      <c r="B994" s="1" t="n">
        <v>45058</v>
      </c>
      <c r="C994" s="1" t="n">
        <v>45680</v>
      </c>
      <c r="D994" t="inlineStr">
        <is>
          <t>UPPSALA LÄN</t>
        </is>
      </c>
      <c r="E994" t="inlineStr">
        <is>
          <t>UPPSALA</t>
        </is>
      </c>
      <c r="G994" t="n">
        <v>6.8</v>
      </c>
      <c r="H994" t="n">
        <v>0</v>
      </c>
      <c r="I994" t="n">
        <v>0</v>
      </c>
      <c r="J994" t="n">
        <v>0</v>
      </c>
      <c r="K994" t="n">
        <v>0</v>
      </c>
      <c r="L994" t="n">
        <v>0</v>
      </c>
      <c r="M994" t="n">
        <v>0</v>
      </c>
      <c r="N994" t="n">
        <v>0</v>
      </c>
      <c r="O994" t="n">
        <v>0</v>
      </c>
      <c r="P994" t="n">
        <v>0</v>
      </c>
      <c r="Q994" t="n">
        <v>0</v>
      </c>
      <c r="R994" s="2" t="inlineStr"/>
    </row>
    <row r="995" ht="15" customHeight="1">
      <c r="A995" t="inlineStr">
        <is>
          <t>A 20708-2023</t>
        </is>
      </c>
      <c r="B995" s="1" t="n">
        <v>45058</v>
      </c>
      <c r="C995" s="1" t="n">
        <v>45680</v>
      </c>
      <c r="D995" t="inlineStr">
        <is>
          <t>UPPSALA LÄN</t>
        </is>
      </c>
      <c r="E995" t="inlineStr">
        <is>
          <t>UPPSALA</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20669-2023</t>
        </is>
      </c>
      <c r="B996" s="1" t="n">
        <v>45058</v>
      </c>
      <c r="C996" s="1" t="n">
        <v>45680</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20786-2023</t>
        </is>
      </c>
      <c r="B997" s="1" t="n">
        <v>45058</v>
      </c>
      <c r="C997" s="1" t="n">
        <v>45680</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20900-2023</t>
        </is>
      </c>
      <c r="B998" s="1" t="n">
        <v>45060</v>
      </c>
      <c r="C998" s="1" t="n">
        <v>45680</v>
      </c>
      <c r="D998" t="inlineStr">
        <is>
          <t>UPPSALA LÄN</t>
        </is>
      </c>
      <c r="E998" t="inlineStr">
        <is>
          <t>UPPSALA</t>
        </is>
      </c>
      <c r="G998" t="n">
        <v>3.2</v>
      </c>
      <c r="H998" t="n">
        <v>0</v>
      </c>
      <c r="I998" t="n">
        <v>0</v>
      </c>
      <c r="J998" t="n">
        <v>0</v>
      </c>
      <c r="K998" t="n">
        <v>0</v>
      </c>
      <c r="L998" t="n">
        <v>0</v>
      </c>
      <c r="M998" t="n">
        <v>0</v>
      </c>
      <c r="N998" t="n">
        <v>0</v>
      </c>
      <c r="O998" t="n">
        <v>0</v>
      </c>
      <c r="P998" t="n">
        <v>0</v>
      </c>
      <c r="Q998" t="n">
        <v>0</v>
      </c>
      <c r="R998" s="2" t="inlineStr"/>
    </row>
    <row r="999" ht="15" customHeight="1">
      <c r="A999" t="inlineStr">
        <is>
          <t>A 21052-2023</t>
        </is>
      </c>
      <c r="B999" s="1" t="n">
        <v>45061</v>
      </c>
      <c r="C999" s="1" t="n">
        <v>45680</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21416-2023</t>
        </is>
      </c>
      <c r="B1000" s="1" t="n">
        <v>45063</v>
      </c>
      <c r="C1000" s="1" t="n">
        <v>45680</v>
      </c>
      <c r="D1000" t="inlineStr">
        <is>
          <t>UPPSALA LÄN</t>
        </is>
      </c>
      <c r="E1000" t="inlineStr">
        <is>
          <t>UPPSALA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21424-2023</t>
        </is>
      </c>
      <c r="B1001" s="1" t="n">
        <v>45063</v>
      </c>
      <c r="C1001" s="1" t="n">
        <v>45680</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21727-2023</t>
        </is>
      </c>
      <c r="B1002" s="1" t="n">
        <v>45065</v>
      </c>
      <c r="C1002" s="1" t="n">
        <v>45680</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21935-2023</t>
        </is>
      </c>
      <c r="B1003" s="1" t="n">
        <v>45068</v>
      </c>
      <c r="C1003" s="1" t="n">
        <v>45680</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22450-2023</t>
        </is>
      </c>
      <c r="B1004" s="1" t="n">
        <v>45070</v>
      </c>
      <c r="C1004" s="1" t="n">
        <v>45680</v>
      </c>
      <c r="D1004" t="inlineStr">
        <is>
          <t>UPPSALA LÄN</t>
        </is>
      </c>
      <c r="E1004" t="inlineStr">
        <is>
          <t>UPPSALA</t>
        </is>
      </c>
      <c r="F1004" t="inlineStr">
        <is>
          <t>Allmännings- och besparingsskogar</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23159-2023</t>
        </is>
      </c>
      <c r="B1005" s="1" t="n">
        <v>45075</v>
      </c>
      <c r="C1005" s="1" t="n">
        <v>45680</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v>
      </c>
      <c r="C1006" s="1" t="n">
        <v>45680</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23929-2023</t>
        </is>
      </c>
      <c r="B1007" s="1" t="n">
        <v>45078</v>
      </c>
      <c r="C1007" s="1" t="n">
        <v>45680</v>
      </c>
      <c r="D1007" t="inlineStr">
        <is>
          <t>UPPSALA LÄN</t>
        </is>
      </c>
      <c r="E1007" t="inlineStr">
        <is>
          <t>UPPSALA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24012-2023</t>
        </is>
      </c>
      <c r="B1008" s="1" t="n">
        <v>45078</v>
      </c>
      <c r="C1008" s="1" t="n">
        <v>45680</v>
      </c>
      <c r="D1008" t="inlineStr">
        <is>
          <t>UPPSALA LÄN</t>
        </is>
      </c>
      <c r="E1008" t="inlineStr">
        <is>
          <t>UPPSALA</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24016-2023</t>
        </is>
      </c>
      <c r="B1009" s="1" t="n">
        <v>45078</v>
      </c>
      <c r="C1009" s="1" t="n">
        <v>45680</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24009-2023</t>
        </is>
      </c>
      <c r="B1010" s="1" t="n">
        <v>45078</v>
      </c>
      <c r="C1010" s="1" t="n">
        <v>45680</v>
      </c>
      <c r="D1010" t="inlineStr">
        <is>
          <t>UPPSALA LÄN</t>
        </is>
      </c>
      <c r="E1010" t="inlineStr">
        <is>
          <t>UPPSALA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24174-2023</t>
        </is>
      </c>
      <c r="B1011" s="1" t="n">
        <v>45079</v>
      </c>
      <c r="C1011" s="1" t="n">
        <v>45680</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24670-2023</t>
        </is>
      </c>
      <c r="B1012" s="1" t="n">
        <v>45084</v>
      </c>
      <c r="C1012" s="1" t="n">
        <v>45680</v>
      </c>
      <c r="D1012" t="inlineStr">
        <is>
          <t>UPPSALA LÄN</t>
        </is>
      </c>
      <c r="E1012" t="inlineStr">
        <is>
          <t>UPPSALA</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25264-2023</t>
        </is>
      </c>
      <c r="B1013" s="1" t="n">
        <v>45086</v>
      </c>
      <c r="C1013" s="1" t="n">
        <v>45680</v>
      </c>
      <c r="D1013" t="inlineStr">
        <is>
          <t>UPPSALA LÄN</t>
        </is>
      </c>
      <c r="E1013" t="inlineStr">
        <is>
          <t>UPPSALA</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25280-2023</t>
        </is>
      </c>
      <c r="B1014" s="1" t="n">
        <v>45086</v>
      </c>
      <c r="C1014" s="1" t="n">
        <v>45680</v>
      </c>
      <c r="D1014" t="inlineStr">
        <is>
          <t>UPPSALA LÄN</t>
        </is>
      </c>
      <c r="E1014" t="inlineStr">
        <is>
          <t>UPPSALA</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25380-2023</t>
        </is>
      </c>
      <c r="B1015" s="1" t="n">
        <v>45089</v>
      </c>
      <c r="C1015" s="1" t="n">
        <v>45680</v>
      </c>
      <c r="D1015" t="inlineStr">
        <is>
          <t>UPPSALA LÄN</t>
        </is>
      </c>
      <c r="E1015" t="inlineStr">
        <is>
          <t>UPPSALA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25381-2023</t>
        </is>
      </c>
      <c r="B1016" s="1" t="n">
        <v>45089</v>
      </c>
      <c r="C1016" s="1" t="n">
        <v>45680</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25446-2023</t>
        </is>
      </c>
      <c r="B1017" s="1" t="n">
        <v>45089</v>
      </c>
      <c r="C1017" s="1" t="n">
        <v>45680</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25462-2023</t>
        </is>
      </c>
      <c r="B1018" s="1" t="n">
        <v>45089</v>
      </c>
      <c r="C1018" s="1" t="n">
        <v>45680</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25939-2023</t>
        </is>
      </c>
      <c r="B1019" s="1" t="n">
        <v>45090</v>
      </c>
      <c r="C1019" s="1" t="n">
        <v>45680</v>
      </c>
      <c r="D1019" t="inlineStr">
        <is>
          <t>UPPSALA LÄN</t>
        </is>
      </c>
      <c r="E1019" t="inlineStr">
        <is>
          <t>UPPSALA</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45680</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26298-2023</t>
        </is>
      </c>
      <c r="B1021" s="1" t="n">
        <v>45091</v>
      </c>
      <c r="C1021" s="1" t="n">
        <v>45680</v>
      </c>
      <c r="D1021" t="inlineStr">
        <is>
          <t>UPPSALA LÄN</t>
        </is>
      </c>
      <c r="E1021" t="inlineStr">
        <is>
          <t>UPPSALA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26323-2023</t>
        </is>
      </c>
      <c r="B1022" s="1" t="n">
        <v>45091</v>
      </c>
      <c r="C1022" s="1" t="n">
        <v>45680</v>
      </c>
      <c r="D1022" t="inlineStr">
        <is>
          <t>UPPSALA LÄN</t>
        </is>
      </c>
      <c r="E1022" t="inlineStr">
        <is>
          <t>UPPSALA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26081-2023</t>
        </is>
      </c>
      <c r="B1023" s="1" t="n">
        <v>45091</v>
      </c>
      <c r="C1023" s="1" t="n">
        <v>45680</v>
      </c>
      <c r="D1023" t="inlineStr">
        <is>
          <t>UPPSALA LÄN</t>
        </is>
      </c>
      <c r="E1023" t="inlineStr">
        <is>
          <t>UPPSALA</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26143-2023</t>
        </is>
      </c>
      <c r="B1024" s="1" t="n">
        <v>45091</v>
      </c>
      <c r="C1024" s="1" t="n">
        <v>45680</v>
      </c>
      <c r="D1024" t="inlineStr">
        <is>
          <t>UPPSALA LÄN</t>
        </is>
      </c>
      <c r="E1024" t="inlineStr">
        <is>
          <t>UPPSALA</t>
        </is>
      </c>
      <c r="F1024" t="inlineStr">
        <is>
          <t>Holmen skog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26134-2023</t>
        </is>
      </c>
      <c r="B1025" s="1" t="n">
        <v>45091</v>
      </c>
      <c r="C1025" s="1" t="n">
        <v>45680</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26759-2023</t>
        </is>
      </c>
      <c r="B1026" s="1" t="n">
        <v>45093</v>
      </c>
      <c r="C1026" s="1" t="n">
        <v>45680</v>
      </c>
      <c r="D1026" t="inlineStr">
        <is>
          <t>UPPSALA LÄN</t>
        </is>
      </c>
      <c r="E1026" t="inlineStr">
        <is>
          <t>UPPSALA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26762-2023</t>
        </is>
      </c>
      <c r="B1027" s="1" t="n">
        <v>45093</v>
      </c>
      <c r="C1027" s="1" t="n">
        <v>45680</v>
      </c>
      <c r="D1027" t="inlineStr">
        <is>
          <t>UPPSALA LÄN</t>
        </is>
      </c>
      <c r="E1027" t="inlineStr">
        <is>
          <t>UPPSALA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27128-2023</t>
        </is>
      </c>
      <c r="B1028" s="1" t="n">
        <v>45096</v>
      </c>
      <c r="C1028" s="1" t="n">
        <v>45680</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45680</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27119-2023</t>
        </is>
      </c>
      <c r="B1030" s="1" t="n">
        <v>45096</v>
      </c>
      <c r="C1030" s="1" t="n">
        <v>45680</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27123-2023</t>
        </is>
      </c>
      <c r="B1031" s="1" t="n">
        <v>45096</v>
      </c>
      <c r="C1031" s="1" t="n">
        <v>45680</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27126-2023</t>
        </is>
      </c>
      <c r="B1032" s="1" t="n">
        <v>45096</v>
      </c>
      <c r="C1032" s="1" t="n">
        <v>45680</v>
      </c>
      <c r="D1032" t="inlineStr">
        <is>
          <t>UPPSALA LÄN</t>
        </is>
      </c>
      <c r="E1032" t="inlineStr">
        <is>
          <t>UPPSALA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27104-2023</t>
        </is>
      </c>
      <c r="B1033" s="1" t="n">
        <v>45096</v>
      </c>
      <c r="C1033" s="1" t="n">
        <v>45680</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27121-2023</t>
        </is>
      </c>
      <c r="B1034" s="1" t="n">
        <v>45096</v>
      </c>
      <c r="C1034" s="1" t="n">
        <v>45680</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27125-2023</t>
        </is>
      </c>
      <c r="B1035" s="1" t="n">
        <v>45096</v>
      </c>
      <c r="C1035" s="1" t="n">
        <v>45680</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27254-2023</t>
        </is>
      </c>
      <c r="B1036" s="1" t="n">
        <v>45096</v>
      </c>
      <c r="C1036" s="1" t="n">
        <v>45680</v>
      </c>
      <c r="D1036" t="inlineStr">
        <is>
          <t>UPPSALA LÄN</t>
        </is>
      </c>
      <c r="E1036" t="inlineStr">
        <is>
          <t>UPPSALA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27467-2023</t>
        </is>
      </c>
      <c r="B1037" s="1" t="n">
        <v>45097</v>
      </c>
      <c r="C1037" s="1" t="n">
        <v>45680</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27617-2023</t>
        </is>
      </c>
      <c r="B1038" s="1" t="n">
        <v>45097</v>
      </c>
      <c r="C1038" s="1" t="n">
        <v>45680</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27622-2023</t>
        </is>
      </c>
      <c r="B1039" s="1" t="n">
        <v>45097</v>
      </c>
      <c r="C1039" s="1" t="n">
        <v>45680</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27599-2023</t>
        </is>
      </c>
      <c r="B1040" s="1" t="n">
        <v>45097</v>
      </c>
      <c r="C1040" s="1" t="n">
        <v>45680</v>
      </c>
      <c r="D1040" t="inlineStr">
        <is>
          <t>UPPSALA LÄN</t>
        </is>
      </c>
      <c r="E1040" t="inlineStr">
        <is>
          <t>UPPSALA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27620-2023</t>
        </is>
      </c>
      <c r="B1041" s="1" t="n">
        <v>45097</v>
      </c>
      <c r="C1041" s="1" t="n">
        <v>45680</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27912-2023</t>
        </is>
      </c>
      <c r="B1042" s="1" t="n">
        <v>45098</v>
      </c>
      <c r="C1042" s="1" t="n">
        <v>45680</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27903-2023</t>
        </is>
      </c>
      <c r="B1043" s="1" t="n">
        <v>45098</v>
      </c>
      <c r="C1043" s="1" t="n">
        <v>45680</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27930-2023</t>
        </is>
      </c>
      <c r="B1044" s="1" t="n">
        <v>45098</v>
      </c>
      <c r="C1044" s="1" t="n">
        <v>45680</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28186-2023</t>
        </is>
      </c>
      <c r="B1045" s="1" t="n">
        <v>45099</v>
      </c>
      <c r="C1045" s="1" t="n">
        <v>45680</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28577-2023</t>
        </is>
      </c>
      <c r="B1046" s="1" t="n">
        <v>45103</v>
      </c>
      <c r="C1046" s="1" t="n">
        <v>45680</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28701-2023</t>
        </is>
      </c>
      <c r="B1047" s="1" t="n">
        <v>45103</v>
      </c>
      <c r="C1047" s="1" t="n">
        <v>45680</v>
      </c>
      <c r="D1047" t="inlineStr">
        <is>
          <t>UPPSALA LÄN</t>
        </is>
      </c>
      <c r="E1047" t="inlineStr">
        <is>
          <t>UPPSALA</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29019-2023</t>
        </is>
      </c>
      <c r="B1048" s="1" t="n">
        <v>45104</v>
      </c>
      <c r="C1048" s="1" t="n">
        <v>45680</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31599-2023</t>
        </is>
      </c>
      <c r="B1049" s="1" t="n">
        <v>45105</v>
      </c>
      <c r="C1049" s="1" t="n">
        <v>45680</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29282-2023</t>
        </is>
      </c>
      <c r="B1050" s="1" t="n">
        <v>45105</v>
      </c>
      <c r="C1050" s="1" t="n">
        <v>45680</v>
      </c>
      <c r="D1050" t="inlineStr">
        <is>
          <t>UPPSALA LÄN</t>
        </is>
      </c>
      <c r="E1050" t="inlineStr">
        <is>
          <t>UPPSALA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31630-2023</t>
        </is>
      </c>
      <c r="B1051" s="1" t="n">
        <v>45105</v>
      </c>
      <c r="C1051" s="1" t="n">
        <v>45680</v>
      </c>
      <c r="D1051" t="inlineStr">
        <is>
          <t>UPPSALA LÄN</t>
        </is>
      </c>
      <c r="E1051" t="inlineStr">
        <is>
          <t>UPPSALA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29579-2023</t>
        </is>
      </c>
      <c r="B1052" s="1" t="n">
        <v>45106</v>
      </c>
      <c r="C1052" s="1" t="n">
        <v>45680</v>
      </c>
      <c r="D1052" t="inlineStr">
        <is>
          <t>UPPSALA LÄN</t>
        </is>
      </c>
      <c r="E1052" t="inlineStr">
        <is>
          <t>UPPSALA</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29815-2023</t>
        </is>
      </c>
      <c r="B1053" s="1" t="n">
        <v>45107</v>
      </c>
      <c r="C1053" s="1" t="n">
        <v>45680</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29901-2023</t>
        </is>
      </c>
      <c r="B1054" s="1" t="n">
        <v>45107</v>
      </c>
      <c r="C1054" s="1" t="n">
        <v>45680</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29868-2023</t>
        </is>
      </c>
      <c r="B1055" s="1" t="n">
        <v>45107</v>
      </c>
      <c r="C1055" s="1" t="n">
        <v>45680</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29799-2023</t>
        </is>
      </c>
      <c r="B1056" s="1" t="n">
        <v>45107</v>
      </c>
      <c r="C1056" s="1" t="n">
        <v>45680</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29808-2023</t>
        </is>
      </c>
      <c r="B1057" s="1" t="n">
        <v>45107</v>
      </c>
      <c r="C1057" s="1" t="n">
        <v>45680</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29902-2023</t>
        </is>
      </c>
      <c r="B1058" s="1" t="n">
        <v>45107</v>
      </c>
      <c r="C1058" s="1" t="n">
        <v>45680</v>
      </c>
      <c r="D1058" t="inlineStr">
        <is>
          <t>UPPSALA LÄN</t>
        </is>
      </c>
      <c r="E1058" t="inlineStr">
        <is>
          <t>UPPSALA</t>
        </is>
      </c>
      <c r="F1058" t="inlineStr">
        <is>
          <t>Kyrkan</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45680</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29927-2023</t>
        </is>
      </c>
      <c r="B1060" s="1" t="n">
        <v>45107</v>
      </c>
      <c r="C1060" s="1" t="n">
        <v>45680</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32428-2023</t>
        </is>
      </c>
      <c r="B1061" s="1" t="n">
        <v>45110</v>
      </c>
      <c r="C1061" s="1" t="n">
        <v>45680</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30629-2023</t>
        </is>
      </c>
      <c r="B1062" s="1" t="n">
        <v>45112</v>
      </c>
      <c r="C1062" s="1" t="n">
        <v>45680</v>
      </c>
      <c r="D1062" t="inlineStr">
        <is>
          <t>UPPSALA LÄN</t>
        </is>
      </c>
      <c r="E1062" t="inlineStr">
        <is>
          <t>UPPSALA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32689-2023</t>
        </is>
      </c>
      <c r="B1063" s="1" t="n">
        <v>45112</v>
      </c>
      <c r="C1063" s="1" t="n">
        <v>45680</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31157-2023</t>
        </is>
      </c>
      <c r="B1064" s="1" t="n">
        <v>45113</v>
      </c>
      <c r="C1064" s="1" t="n">
        <v>45680</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31161-2023</t>
        </is>
      </c>
      <c r="B1065" s="1" t="n">
        <v>45113</v>
      </c>
      <c r="C1065" s="1" t="n">
        <v>45680</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33689-2023</t>
        </is>
      </c>
      <c r="B1066" s="1" t="n">
        <v>45119</v>
      </c>
      <c r="C1066" s="1" t="n">
        <v>45680</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32413-2023</t>
        </is>
      </c>
      <c r="B1067" s="1" t="n">
        <v>45120</v>
      </c>
      <c r="C1067" s="1" t="n">
        <v>45680</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32640-2023</t>
        </is>
      </c>
      <c r="B1068" s="1" t="n">
        <v>45121</v>
      </c>
      <c r="C1068" s="1" t="n">
        <v>45680</v>
      </c>
      <c r="D1068" t="inlineStr">
        <is>
          <t>UPPSALA LÄN</t>
        </is>
      </c>
      <c r="E1068" t="inlineStr">
        <is>
          <t>UPPSALA</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32674-2023</t>
        </is>
      </c>
      <c r="B1069" s="1" t="n">
        <v>45121</v>
      </c>
      <c r="C1069" s="1" t="n">
        <v>45680</v>
      </c>
      <c r="D1069" t="inlineStr">
        <is>
          <t>UPPSALA LÄN</t>
        </is>
      </c>
      <c r="E1069" t="inlineStr">
        <is>
          <t>UPPSALA</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32688-2023</t>
        </is>
      </c>
      <c r="B1070" s="1" t="n">
        <v>45121</v>
      </c>
      <c r="C1070" s="1" t="n">
        <v>45680</v>
      </c>
      <c r="D1070" t="inlineStr">
        <is>
          <t>UPPSALA LÄN</t>
        </is>
      </c>
      <c r="E1070" t="inlineStr">
        <is>
          <t>UPPSALA</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33191-2023</t>
        </is>
      </c>
      <c r="B1071" s="1" t="n">
        <v>45127</v>
      </c>
      <c r="C1071" s="1" t="n">
        <v>45680</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33189-2023</t>
        </is>
      </c>
      <c r="B1072" s="1" t="n">
        <v>45127</v>
      </c>
      <c r="C1072" s="1" t="n">
        <v>45680</v>
      </c>
      <c r="D1072" t="inlineStr">
        <is>
          <t>UPPSALA LÄN</t>
        </is>
      </c>
      <c r="E1072" t="inlineStr">
        <is>
          <t>UPPSALA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34282-2023</t>
        </is>
      </c>
      <c r="B1073" s="1" t="n">
        <v>45128</v>
      </c>
      <c r="C1073" s="1" t="n">
        <v>45680</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33562-2023</t>
        </is>
      </c>
      <c r="B1074" s="1" t="n">
        <v>45131</v>
      </c>
      <c r="C1074" s="1" t="n">
        <v>45680</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33700-2023</t>
        </is>
      </c>
      <c r="B1075" s="1" t="n">
        <v>45132</v>
      </c>
      <c r="C1075" s="1" t="n">
        <v>45680</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34509-2023</t>
        </is>
      </c>
      <c r="B1076" s="1" t="n">
        <v>45133</v>
      </c>
      <c r="C1076" s="1" t="n">
        <v>45680</v>
      </c>
      <c r="D1076" t="inlineStr">
        <is>
          <t>UPPSALA LÄN</t>
        </is>
      </c>
      <c r="E1076" t="inlineStr">
        <is>
          <t>UPPSALA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33941-2023</t>
        </is>
      </c>
      <c r="B1077" s="1" t="n">
        <v>45134</v>
      </c>
      <c r="C1077" s="1" t="n">
        <v>45680</v>
      </c>
      <c r="D1077" t="inlineStr">
        <is>
          <t>UPPSALA LÄN</t>
        </is>
      </c>
      <c r="E1077" t="inlineStr">
        <is>
          <t>UPPSALA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33982-2023</t>
        </is>
      </c>
      <c r="B1078" s="1" t="n">
        <v>45134</v>
      </c>
      <c r="C1078" s="1" t="n">
        <v>45680</v>
      </c>
      <c r="D1078" t="inlineStr">
        <is>
          <t>UPPSALA LÄN</t>
        </is>
      </c>
      <c r="E1078" t="inlineStr">
        <is>
          <t>UPPSALA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35142-2023</t>
        </is>
      </c>
      <c r="B1079" s="1" t="n">
        <v>45145</v>
      </c>
      <c r="C1079" s="1" t="n">
        <v>45680</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35471-2023</t>
        </is>
      </c>
      <c r="B1080" s="1" t="n">
        <v>45146</v>
      </c>
      <c r="C1080" s="1" t="n">
        <v>45680</v>
      </c>
      <c r="D1080" t="inlineStr">
        <is>
          <t>UPPSALA LÄN</t>
        </is>
      </c>
      <c r="E1080" t="inlineStr">
        <is>
          <t>UPPSALA</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35472-2023</t>
        </is>
      </c>
      <c r="B1081" s="1" t="n">
        <v>45146</v>
      </c>
      <c r="C1081" s="1" t="n">
        <v>45680</v>
      </c>
      <c r="D1081" t="inlineStr">
        <is>
          <t>UPPSALA LÄN</t>
        </is>
      </c>
      <c r="E1081" t="inlineStr">
        <is>
          <t>UPPSALA</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35473-2023</t>
        </is>
      </c>
      <c r="B1082" s="1" t="n">
        <v>45146</v>
      </c>
      <c r="C1082" s="1" t="n">
        <v>45680</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35549-2023</t>
        </is>
      </c>
      <c r="B1083" s="1" t="n">
        <v>45147</v>
      </c>
      <c r="C1083" s="1" t="n">
        <v>45680</v>
      </c>
      <c r="D1083" t="inlineStr">
        <is>
          <t>UPPSALA LÄN</t>
        </is>
      </c>
      <c r="E1083" t="inlineStr">
        <is>
          <t>UPPSALA</t>
        </is>
      </c>
      <c r="F1083" t="inlineStr">
        <is>
          <t>Allmännings- och besparingsskogar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35902-2023</t>
        </is>
      </c>
      <c r="B1084" s="1" t="n">
        <v>45148</v>
      </c>
      <c r="C1084" s="1" t="n">
        <v>45680</v>
      </c>
      <c r="D1084" t="inlineStr">
        <is>
          <t>UPPSALA LÄN</t>
        </is>
      </c>
      <c r="E1084" t="inlineStr">
        <is>
          <t>UPPSALA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35906-2023</t>
        </is>
      </c>
      <c r="B1085" s="1" t="n">
        <v>45148</v>
      </c>
      <c r="C1085" s="1" t="n">
        <v>45680</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35914-2023</t>
        </is>
      </c>
      <c r="B1086" s="1" t="n">
        <v>45148</v>
      </c>
      <c r="C1086" s="1" t="n">
        <v>45680</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35922-2023</t>
        </is>
      </c>
      <c r="B1087" s="1" t="n">
        <v>45148</v>
      </c>
      <c r="C1087" s="1" t="n">
        <v>45680</v>
      </c>
      <c r="D1087" t="inlineStr">
        <is>
          <t>UPPSALA LÄN</t>
        </is>
      </c>
      <c r="E1087" t="inlineStr">
        <is>
          <t>UPPSALA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35916-2023</t>
        </is>
      </c>
      <c r="B1088" s="1" t="n">
        <v>45148</v>
      </c>
      <c r="C1088" s="1" t="n">
        <v>45680</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36028-2023</t>
        </is>
      </c>
      <c r="B1089" s="1" t="n">
        <v>45149</v>
      </c>
      <c r="C1089" s="1" t="n">
        <v>45680</v>
      </c>
      <c r="D1089" t="inlineStr">
        <is>
          <t>UPPSALA LÄN</t>
        </is>
      </c>
      <c r="E1089" t="inlineStr">
        <is>
          <t>UPPSALA</t>
        </is>
      </c>
      <c r="F1089" t="inlineStr">
        <is>
          <t>Allmännings- och besparingsskogar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36123-2023</t>
        </is>
      </c>
      <c r="B1090" s="1" t="n">
        <v>45149</v>
      </c>
      <c r="C1090" s="1" t="n">
        <v>45680</v>
      </c>
      <c r="D1090" t="inlineStr">
        <is>
          <t>UPPSALA LÄN</t>
        </is>
      </c>
      <c r="E1090" t="inlineStr">
        <is>
          <t>UPPSALA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36159-2023</t>
        </is>
      </c>
      <c r="B1091" s="1" t="n">
        <v>45149</v>
      </c>
      <c r="C1091" s="1" t="n">
        <v>45680</v>
      </c>
      <c r="D1091" t="inlineStr">
        <is>
          <t>UPPSALA LÄN</t>
        </is>
      </c>
      <c r="E1091" t="inlineStr">
        <is>
          <t>UPPSALA</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36388-2023</t>
        </is>
      </c>
      <c r="B1092" s="1" t="n">
        <v>45152</v>
      </c>
      <c r="C1092" s="1" t="n">
        <v>45680</v>
      </c>
      <c r="D1092" t="inlineStr">
        <is>
          <t>UPPSALA LÄN</t>
        </is>
      </c>
      <c r="E1092" t="inlineStr">
        <is>
          <t>UPPSALA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36392-2023</t>
        </is>
      </c>
      <c r="B1093" s="1" t="n">
        <v>45152</v>
      </c>
      <c r="C1093" s="1" t="n">
        <v>45680</v>
      </c>
      <c r="D1093" t="inlineStr">
        <is>
          <t>UPPSALA LÄN</t>
        </is>
      </c>
      <c r="E1093" t="inlineStr">
        <is>
          <t>UPPSALA</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36479-2023</t>
        </is>
      </c>
      <c r="B1094" s="1" t="n">
        <v>45152</v>
      </c>
      <c r="C1094" s="1" t="n">
        <v>45680</v>
      </c>
      <c r="D1094" t="inlineStr">
        <is>
          <t>UPPSALA LÄN</t>
        </is>
      </c>
      <c r="E1094" t="inlineStr">
        <is>
          <t>UPPSALA</t>
        </is>
      </c>
      <c r="F1094" t="inlineStr">
        <is>
          <t>Allmännings- och besparingsskogar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36478-2023</t>
        </is>
      </c>
      <c r="B1095" s="1" t="n">
        <v>45152</v>
      </c>
      <c r="C1095" s="1" t="n">
        <v>45680</v>
      </c>
      <c r="D1095" t="inlineStr">
        <is>
          <t>UPPSALA LÄN</t>
        </is>
      </c>
      <c r="E1095" t="inlineStr">
        <is>
          <t>UPPSALA</t>
        </is>
      </c>
      <c r="F1095" t="inlineStr">
        <is>
          <t>Allmännings- och besparingsskogar</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36438-2023</t>
        </is>
      </c>
      <c r="B1096" s="1" t="n">
        <v>45152</v>
      </c>
      <c r="C1096" s="1" t="n">
        <v>45680</v>
      </c>
      <c r="D1096" t="inlineStr">
        <is>
          <t>UPPSALA LÄN</t>
        </is>
      </c>
      <c r="E1096" t="inlineStr">
        <is>
          <t>UPPSALA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36738-2023</t>
        </is>
      </c>
      <c r="B1097" s="1" t="n">
        <v>45153</v>
      </c>
      <c r="C1097" s="1" t="n">
        <v>45680</v>
      </c>
      <c r="D1097" t="inlineStr">
        <is>
          <t>UPPSALA LÄN</t>
        </is>
      </c>
      <c r="E1097" t="inlineStr">
        <is>
          <t>UPPSALA</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36739-2023</t>
        </is>
      </c>
      <c r="B1098" s="1" t="n">
        <v>45153</v>
      </c>
      <c r="C1098" s="1" t="n">
        <v>45680</v>
      </c>
      <c r="D1098" t="inlineStr">
        <is>
          <t>UPPSALA LÄN</t>
        </is>
      </c>
      <c r="E1098" t="inlineStr">
        <is>
          <t>UPPSALA</t>
        </is>
      </c>
      <c r="F1098" t="inlineStr">
        <is>
          <t>Allmännings- och besparingsskogar</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36781-2023</t>
        </is>
      </c>
      <c r="B1099" s="1" t="n">
        <v>45154</v>
      </c>
      <c r="C1099" s="1" t="n">
        <v>45680</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36782-2023</t>
        </is>
      </c>
      <c r="B1100" s="1" t="n">
        <v>45154</v>
      </c>
      <c r="C1100" s="1" t="n">
        <v>45680</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36860-2023</t>
        </is>
      </c>
      <c r="B1101" s="1" t="n">
        <v>45154</v>
      </c>
      <c r="C1101" s="1" t="n">
        <v>45680</v>
      </c>
      <c r="D1101" t="inlineStr">
        <is>
          <t>UPPSALA LÄN</t>
        </is>
      </c>
      <c r="E1101" t="inlineStr">
        <is>
          <t>UPPSALA</t>
        </is>
      </c>
      <c r="F1101" t="inlineStr">
        <is>
          <t>Allmännings- och besparingsskogar</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37626-2023</t>
        </is>
      </c>
      <c r="B1102" s="1" t="n">
        <v>45159</v>
      </c>
      <c r="C1102" s="1" t="n">
        <v>45680</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37618-2023</t>
        </is>
      </c>
      <c r="B1103" s="1" t="n">
        <v>45159</v>
      </c>
      <c r="C1103" s="1" t="n">
        <v>45680</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38016-2023</t>
        </is>
      </c>
      <c r="B1104" s="1" t="n">
        <v>45160</v>
      </c>
      <c r="C1104" s="1" t="n">
        <v>45680</v>
      </c>
      <c r="D1104" t="inlineStr">
        <is>
          <t>UPPSALA LÄN</t>
        </is>
      </c>
      <c r="E1104" t="inlineStr">
        <is>
          <t>UPPSALA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38190-2023</t>
        </is>
      </c>
      <c r="B1105" s="1" t="n">
        <v>45161</v>
      </c>
      <c r="C1105" s="1" t="n">
        <v>45680</v>
      </c>
      <c r="D1105" t="inlineStr">
        <is>
          <t>UPPSALA LÄN</t>
        </is>
      </c>
      <c r="E1105" t="inlineStr">
        <is>
          <t>UPPSALA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38493-2023</t>
        </is>
      </c>
      <c r="B1106" s="1" t="n">
        <v>45162</v>
      </c>
      <c r="C1106" s="1" t="n">
        <v>45680</v>
      </c>
      <c r="D1106" t="inlineStr">
        <is>
          <t>UPPSALA LÄN</t>
        </is>
      </c>
      <c r="E1106" t="inlineStr">
        <is>
          <t>UPPSALA</t>
        </is>
      </c>
      <c r="F1106" t="inlineStr">
        <is>
          <t>Allmännings- och besparingsskogar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38644-2023</t>
        </is>
      </c>
      <c r="B1107" s="1" t="n">
        <v>45162</v>
      </c>
      <c r="C1107" s="1" t="n">
        <v>45680</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38645-2023</t>
        </is>
      </c>
      <c r="B1108" s="1" t="n">
        <v>45162</v>
      </c>
      <c r="C1108" s="1" t="n">
        <v>45680</v>
      </c>
      <c r="D1108" t="inlineStr">
        <is>
          <t>UPPSALA LÄN</t>
        </is>
      </c>
      <c r="E1108" t="inlineStr">
        <is>
          <t>UPPSALA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38664-2023</t>
        </is>
      </c>
      <c r="B1109" s="1" t="n">
        <v>45162</v>
      </c>
      <c r="C1109" s="1" t="n">
        <v>45680</v>
      </c>
      <c r="D1109" t="inlineStr">
        <is>
          <t>UPPSALA LÄN</t>
        </is>
      </c>
      <c r="E1109" t="inlineStr">
        <is>
          <t>UPPSALA</t>
        </is>
      </c>
      <c r="F1109" t="inlineStr">
        <is>
          <t>Bergvik skog öst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38663-2023</t>
        </is>
      </c>
      <c r="B1110" s="1" t="n">
        <v>45162</v>
      </c>
      <c r="C1110" s="1" t="n">
        <v>45680</v>
      </c>
      <c r="D1110" t="inlineStr">
        <is>
          <t>UPPSALA LÄN</t>
        </is>
      </c>
      <c r="E1110" t="inlineStr">
        <is>
          <t>UPPSALA</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38665-2023</t>
        </is>
      </c>
      <c r="B1111" s="1" t="n">
        <v>45162</v>
      </c>
      <c r="C1111" s="1" t="n">
        <v>45680</v>
      </c>
      <c r="D1111" t="inlineStr">
        <is>
          <t>UPPSALA LÄN</t>
        </is>
      </c>
      <c r="E1111" t="inlineStr">
        <is>
          <t>UPPSALA</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38661-2023</t>
        </is>
      </c>
      <c r="B1112" s="1" t="n">
        <v>45162</v>
      </c>
      <c r="C1112" s="1" t="n">
        <v>45680</v>
      </c>
      <c r="D1112" t="inlineStr">
        <is>
          <t>UPPSALA LÄN</t>
        </is>
      </c>
      <c r="E1112" t="inlineStr">
        <is>
          <t>UPPSALA</t>
        </is>
      </c>
      <c r="F1112" t="inlineStr">
        <is>
          <t>Bergvik skog öst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38643-2023</t>
        </is>
      </c>
      <c r="B1113" s="1" t="n">
        <v>45162</v>
      </c>
      <c r="C1113" s="1" t="n">
        <v>45680</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38934-2023</t>
        </is>
      </c>
      <c r="B1114" s="1" t="n">
        <v>45163</v>
      </c>
      <c r="C1114" s="1" t="n">
        <v>45680</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39108-2023</t>
        </is>
      </c>
      <c r="B1115" s="1" t="n">
        <v>45164</v>
      </c>
      <c r="C1115" s="1" t="n">
        <v>45680</v>
      </c>
      <c r="D1115" t="inlineStr">
        <is>
          <t>UPPSALA LÄN</t>
        </is>
      </c>
      <c r="E1115" t="inlineStr">
        <is>
          <t>UPPSALA</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39107-2023</t>
        </is>
      </c>
      <c r="B1116" s="1" t="n">
        <v>45164</v>
      </c>
      <c r="C1116" s="1" t="n">
        <v>45680</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39548-2023</t>
        </is>
      </c>
      <c r="B1117" s="1" t="n">
        <v>45167</v>
      </c>
      <c r="C1117" s="1" t="n">
        <v>45680</v>
      </c>
      <c r="D1117" t="inlineStr">
        <is>
          <t>UPPSALA LÄN</t>
        </is>
      </c>
      <c r="E1117" t="inlineStr">
        <is>
          <t>UPPSALA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39592-2023</t>
        </is>
      </c>
      <c r="B1118" s="1" t="n">
        <v>45167</v>
      </c>
      <c r="C1118" s="1" t="n">
        <v>45680</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39739-2023</t>
        </is>
      </c>
      <c r="B1119" s="1" t="n">
        <v>45167</v>
      </c>
      <c r="C1119" s="1" t="n">
        <v>45680</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39926-2023</t>
        </is>
      </c>
      <c r="B1120" s="1" t="n">
        <v>45168</v>
      </c>
      <c r="C1120" s="1" t="n">
        <v>45680</v>
      </c>
      <c r="D1120" t="inlineStr">
        <is>
          <t>UPPSALA LÄN</t>
        </is>
      </c>
      <c r="E1120" t="inlineStr">
        <is>
          <t>UPPSALA</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39918-2023</t>
        </is>
      </c>
      <c r="B1121" s="1" t="n">
        <v>45168</v>
      </c>
      <c r="C1121" s="1" t="n">
        <v>45680</v>
      </c>
      <c r="D1121" t="inlineStr">
        <is>
          <t>UPPSALA LÄN</t>
        </is>
      </c>
      <c r="E1121" t="inlineStr">
        <is>
          <t>UPPSALA</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40369-2023</t>
        </is>
      </c>
      <c r="B1122" s="1" t="n">
        <v>45169</v>
      </c>
      <c r="C1122" s="1" t="n">
        <v>45680</v>
      </c>
      <c r="D1122" t="inlineStr">
        <is>
          <t>UPPSALA LÄN</t>
        </is>
      </c>
      <c r="E1122" t="inlineStr">
        <is>
          <t>UPPSALA</t>
        </is>
      </c>
      <c r="F1122" t="inlineStr">
        <is>
          <t>Allmännings- och besparingsskogar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40312-2023</t>
        </is>
      </c>
      <c r="B1123" s="1" t="n">
        <v>45169</v>
      </c>
      <c r="C1123" s="1" t="n">
        <v>45680</v>
      </c>
      <c r="D1123" t="inlineStr">
        <is>
          <t>UPPSALA LÄN</t>
        </is>
      </c>
      <c r="E1123" t="inlineStr">
        <is>
          <t>UPPSALA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40124-2023</t>
        </is>
      </c>
      <c r="B1124" s="1" t="n">
        <v>45169</v>
      </c>
      <c r="C1124" s="1" t="n">
        <v>45680</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40325-2023</t>
        </is>
      </c>
      <c r="B1125" s="1" t="n">
        <v>45169</v>
      </c>
      <c r="C1125" s="1" t="n">
        <v>45680</v>
      </c>
      <c r="D1125" t="inlineStr">
        <is>
          <t>UPPSALA LÄN</t>
        </is>
      </c>
      <c r="E1125" t="inlineStr">
        <is>
          <t>UPPSALA</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40872-2023</t>
        </is>
      </c>
      <c r="B1126" s="1" t="n">
        <v>45173</v>
      </c>
      <c r="C1126" s="1" t="n">
        <v>45680</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41002-2023</t>
        </is>
      </c>
      <c r="B1127" s="1" t="n">
        <v>45173</v>
      </c>
      <c r="C1127" s="1" t="n">
        <v>45680</v>
      </c>
      <c r="D1127" t="inlineStr">
        <is>
          <t>UPPSALA LÄN</t>
        </is>
      </c>
      <c r="E1127" t="inlineStr">
        <is>
          <t>UPPSALA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41349-2023</t>
        </is>
      </c>
      <c r="B1128" s="1" t="n">
        <v>45174</v>
      </c>
      <c r="C1128" s="1" t="n">
        <v>45680</v>
      </c>
      <c r="D1128" t="inlineStr">
        <is>
          <t>UPPSALA LÄN</t>
        </is>
      </c>
      <c r="E1128" t="inlineStr">
        <is>
          <t>UPPSALA</t>
        </is>
      </c>
      <c r="F1128" t="inlineStr">
        <is>
          <t>Allmännings- och besparingsskogar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41346-2023</t>
        </is>
      </c>
      <c r="B1129" s="1" t="n">
        <v>45174</v>
      </c>
      <c r="C1129" s="1" t="n">
        <v>45680</v>
      </c>
      <c r="D1129" t="inlineStr">
        <is>
          <t>UPPSALA LÄN</t>
        </is>
      </c>
      <c r="E1129" t="inlineStr">
        <is>
          <t>UPPSALA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41506-2023</t>
        </is>
      </c>
      <c r="B1130" s="1" t="n">
        <v>45175</v>
      </c>
      <c r="C1130" s="1" t="n">
        <v>45680</v>
      </c>
      <c r="D1130" t="inlineStr">
        <is>
          <t>UPPSALA LÄN</t>
        </is>
      </c>
      <c r="E1130" t="inlineStr">
        <is>
          <t>UPPSALA</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41541-2023</t>
        </is>
      </c>
      <c r="B1131" s="1" t="n">
        <v>45175</v>
      </c>
      <c r="C1131" s="1" t="n">
        <v>45680</v>
      </c>
      <c r="D1131" t="inlineStr">
        <is>
          <t>UPPSALA LÄN</t>
        </is>
      </c>
      <c r="E1131" t="inlineStr">
        <is>
          <t>UPPSALA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41545-2023</t>
        </is>
      </c>
      <c r="B1132" s="1" t="n">
        <v>45175</v>
      </c>
      <c r="C1132" s="1" t="n">
        <v>45680</v>
      </c>
      <c r="D1132" t="inlineStr">
        <is>
          <t>UPPSALA LÄN</t>
        </is>
      </c>
      <c r="E1132" t="inlineStr">
        <is>
          <t>UPPSALA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41422-2023</t>
        </is>
      </c>
      <c r="B1133" s="1" t="n">
        <v>45175</v>
      </c>
      <c r="C1133" s="1" t="n">
        <v>45680</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41538-2023</t>
        </is>
      </c>
      <c r="B1134" s="1" t="n">
        <v>45175</v>
      </c>
      <c r="C1134" s="1" t="n">
        <v>45680</v>
      </c>
      <c r="D1134" t="inlineStr">
        <is>
          <t>UPPSALA LÄN</t>
        </is>
      </c>
      <c r="E1134" t="inlineStr">
        <is>
          <t>UPPSALA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42283-2023</t>
        </is>
      </c>
      <c r="B1135" s="1" t="n">
        <v>45175</v>
      </c>
      <c r="C1135" s="1" t="n">
        <v>45680</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41669-2023</t>
        </is>
      </c>
      <c r="B1136" s="1" t="n">
        <v>45176</v>
      </c>
      <c r="C1136" s="1" t="n">
        <v>45680</v>
      </c>
      <c r="D1136" t="inlineStr">
        <is>
          <t>UPPSALA LÄN</t>
        </is>
      </c>
      <c r="E1136" t="inlineStr">
        <is>
          <t>UPPSALA</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41802-2023</t>
        </is>
      </c>
      <c r="B1137" s="1" t="n">
        <v>45176</v>
      </c>
      <c r="C1137" s="1" t="n">
        <v>45680</v>
      </c>
      <c r="D1137" t="inlineStr">
        <is>
          <t>UPPSALA LÄN</t>
        </is>
      </c>
      <c r="E1137" t="inlineStr">
        <is>
          <t>UPPSALA</t>
        </is>
      </c>
      <c r="G1137" t="n">
        <v>23.9</v>
      </c>
      <c r="H1137" t="n">
        <v>0</v>
      </c>
      <c r="I1137" t="n">
        <v>0</v>
      </c>
      <c r="J1137" t="n">
        <v>0</v>
      </c>
      <c r="K1137" t="n">
        <v>0</v>
      </c>
      <c r="L1137" t="n">
        <v>0</v>
      </c>
      <c r="M1137" t="n">
        <v>0</v>
      </c>
      <c r="N1137" t="n">
        <v>0</v>
      </c>
      <c r="O1137" t="n">
        <v>0</v>
      </c>
      <c r="P1137" t="n">
        <v>0</v>
      </c>
      <c r="Q1137" t="n">
        <v>0</v>
      </c>
      <c r="R1137" s="2" t="inlineStr"/>
    </row>
    <row r="1138" ht="15" customHeight="1">
      <c r="A1138" t="inlineStr">
        <is>
          <t>A 41816-2023</t>
        </is>
      </c>
      <c r="B1138" s="1" t="n">
        <v>45176</v>
      </c>
      <c r="C1138" s="1" t="n">
        <v>45680</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41950-2023</t>
        </is>
      </c>
      <c r="B1139" s="1" t="n">
        <v>45177</v>
      </c>
      <c r="C1139" s="1" t="n">
        <v>45680</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42134-2023</t>
        </is>
      </c>
      <c r="B1140" s="1" t="n">
        <v>45177</v>
      </c>
      <c r="C1140" s="1" t="n">
        <v>45680</v>
      </c>
      <c r="D1140" t="inlineStr">
        <is>
          <t>UPPSALA LÄN</t>
        </is>
      </c>
      <c r="E1140" t="inlineStr">
        <is>
          <t>UPPSALA</t>
        </is>
      </c>
      <c r="F1140" t="inlineStr">
        <is>
          <t>Allmännings- och besparingsskogar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42063-2023</t>
        </is>
      </c>
      <c r="B1141" s="1" t="n">
        <v>45177</v>
      </c>
      <c r="C1141" s="1" t="n">
        <v>45680</v>
      </c>
      <c r="D1141" t="inlineStr">
        <is>
          <t>UPPSALA LÄN</t>
        </is>
      </c>
      <c r="E1141" t="inlineStr">
        <is>
          <t>UPPSALA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42131-2023</t>
        </is>
      </c>
      <c r="B1142" s="1" t="n">
        <v>45177</v>
      </c>
      <c r="C1142" s="1" t="n">
        <v>45680</v>
      </c>
      <c r="D1142" t="inlineStr">
        <is>
          <t>UPPSALA LÄN</t>
        </is>
      </c>
      <c r="E1142" t="inlineStr">
        <is>
          <t>UPPSALA</t>
        </is>
      </c>
      <c r="F1142" t="inlineStr">
        <is>
          <t>Allmännings- och besparingsskogar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42273-2023</t>
        </is>
      </c>
      <c r="B1143" s="1" t="n">
        <v>45180</v>
      </c>
      <c r="C1143" s="1" t="n">
        <v>45680</v>
      </c>
      <c r="D1143" t="inlineStr">
        <is>
          <t>UPPSALA LÄN</t>
        </is>
      </c>
      <c r="E1143" t="inlineStr">
        <is>
          <t>UPPSALA</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42436-2023</t>
        </is>
      </c>
      <c r="B1144" s="1" t="n">
        <v>45180</v>
      </c>
      <c r="C1144" s="1" t="n">
        <v>45680</v>
      </c>
      <c r="D1144" t="inlineStr">
        <is>
          <t>UPPSALA LÄN</t>
        </is>
      </c>
      <c r="E1144" t="inlineStr">
        <is>
          <t>UPPSALA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42282-2023</t>
        </is>
      </c>
      <c r="B1145" s="1" t="n">
        <v>45180</v>
      </c>
      <c r="C1145" s="1" t="n">
        <v>45680</v>
      </c>
      <c r="D1145" t="inlineStr">
        <is>
          <t>UPPSALA LÄN</t>
        </is>
      </c>
      <c r="E1145" t="inlineStr">
        <is>
          <t>UPPSALA</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42274-2023</t>
        </is>
      </c>
      <c r="B1146" s="1" t="n">
        <v>45180</v>
      </c>
      <c r="C1146" s="1" t="n">
        <v>45680</v>
      </c>
      <c r="D1146" t="inlineStr">
        <is>
          <t>UPPSALA LÄN</t>
        </is>
      </c>
      <c r="E1146" t="inlineStr">
        <is>
          <t>UPPSALA</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42285-2023</t>
        </is>
      </c>
      <c r="B1147" s="1" t="n">
        <v>45180</v>
      </c>
      <c r="C1147" s="1" t="n">
        <v>45680</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42376-2023</t>
        </is>
      </c>
      <c r="B1148" s="1" t="n">
        <v>45180</v>
      </c>
      <c r="C1148" s="1" t="n">
        <v>45680</v>
      </c>
      <c r="D1148" t="inlineStr">
        <is>
          <t>UPPSALA LÄN</t>
        </is>
      </c>
      <c r="E1148" t="inlineStr">
        <is>
          <t>UPPSALA</t>
        </is>
      </c>
      <c r="F1148" t="inlineStr">
        <is>
          <t>Bergvik skog öst AB</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42495-2023</t>
        </is>
      </c>
      <c r="B1149" s="1" t="n">
        <v>45180</v>
      </c>
      <c r="C1149" s="1" t="n">
        <v>45680</v>
      </c>
      <c r="D1149" t="inlineStr">
        <is>
          <t>UPPSALA LÄN</t>
        </is>
      </c>
      <c r="E1149" t="inlineStr">
        <is>
          <t>UPPSALA</t>
        </is>
      </c>
      <c r="F1149" t="inlineStr">
        <is>
          <t>Allmännings- och besparingsskogar</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42379-2023</t>
        </is>
      </c>
      <c r="B1150" s="1" t="n">
        <v>45180</v>
      </c>
      <c r="C1150" s="1" t="n">
        <v>45680</v>
      </c>
      <c r="D1150" t="inlineStr">
        <is>
          <t>UPPSALA LÄN</t>
        </is>
      </c>
      <c r="E1150" t="inlineStr">
        <is>
          <t>UPPSALA</t>
        </is>
      </c>
      <c r="F1150" t="inlineStr">
        <is>
          <t>Bergvik skog öst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42528-2023</t>
        </is>
      </c>
      <c r="B1151" s="1" t="n">
        <v>45181</v>
      </c>
      <c r="C1151" s="1" t="n">
        <v>45680</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42630-2023</t>
        </is>
      </c>
      <c r="B1152" s="1" t="n">
        <v>45181</v>
      </c>
      <c r="C1152" s="1" t="n">
        <v>45680</v>
      </c>
      <c r="D1152" t="inlineStr">
        <is>
          <t>UPPSALA LÄN</t>
        </is>
      </c>
      <c r="E1152" t="inlineStr">
        <is>
          <t>UPPSALA</t>
        </is>
      </c>
      <c r="F1152" t="inlineStr">
        <is>
          <t>Holmen skog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42681-2023</t>
        </is>
      </c>
      <c r="B1153" s="1" t="n">
        <v>45181</v>
      </c>
      <c r="C1153" s="1" t="n">
        <v>45680</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42543-2023</t>
        </is>
      </c>
      <c r="B1154" s="1" t="n">
        <v>45181</v>
      </c>
      <c r="C1154" s="1" t="n">
        <v>45680</v>
      </c>
      <c r="D1154" t="inlineStr">
        <is>
          <t>UPPSALA LÄN</t>
        </is>
      </c>
      <c r="E1154" t="inlineStr">
        <is>
          <t>UPPSALA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42730-2023</t>
        </is>
      </c>
      <c r="B1155" s="1" t="n">
        <v>45181</v>
      </c>
      <c r="C1155" s="1" t="n">
        <v>45680</v>
      </c>
      <c r="D1155" t="inlineStr">
        <is>
          <t>UPPSALA LÄN</t>
        </is>
      </c>
      <c r="E1155" t="inlineStr">
        <is>
          <t>UPPSALA</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42734-2023</t>
        </is>
      </c>
      <c r="B1156" s="1" t="n">
        <v>45181</v>
      </c>
      <c r="C1156" s="1" t="n">
        <v>45680</v>
      </c>
      <c r="D1156" t="inlineStr">
        <is>
          <t>UPPSALA LÄN</t>
        </is>
      </c>
      <c r="E1156" t="inlineStr">
        <is>
          <t>UPPSALA</t>
        </is>
      </c>
      <c r="F1156" t="inlineStr">
        <is>
          <t>Bergvik skog öst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42682-2023</t>
        </is>
      </c>
      <c r="B1157" s="1" t="n">
        <v>45181</v>
      </c>
      <c r="C1157" s="1" t="n">
        <v>45680</v>
      </c>
      <c r="D1157" t="inlineStr">
        <is>
          <t>UPPSALA LÄN</t>
        </is>
      </c>
      <c r="E1157" t="inlineStr">
        <is>
          <t>UPPSALA</t>
        </is>
      </c>
      <c r="F1157" t="inlineStr">
        <is>
          <t>Bergvik skog öst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42722-2023</t>
        </is>
      </c>
      <c r="B1158" s="1" t="n">
        <v>45181</v>
      </c>
      <c r="C1158" s="1" t="n">
        <v>45680</v>
      </c>
      <c r="D1158" t="inlineStr">
        <is>
          <t>UPPSALA LÄN</t>
        </is>
      </c>
      <c r="E1158" t="inlineStr">
        <is>
          <t>UPPSALA</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42756-2023</t>
        </is>
      </c>
      <c r="B1159" s="1" t="n">
        <v>45181</v>
      </c>
      <c r="C1159" s="1" t="n">
        <v>45680</v>
      </c>
      <c r="D1159" t="inlineStr">
        <is>
          <t>UPPSALA LÄN</t>
        </is>
      </c>
      <c r="E1159" t="inlineStr">
        <is>
          <t>UPPSALA</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42971-2023</t>
        </is>
      </c>
      <c r="B1160" s="1" t="n">
        <v>45182</v>
      </c>
      <c r="C1160" s="1" t="n">
        <v>45680</v>
      </c>
      <c r="D1160" t="inlineStr">
        <is>
          <t>UPPSALA LÄN</t>
        </is>
      </c>
      <c r="E1160" t="inlineStr">
        <is>
          <t>UPPSALA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43026-2023</t>
        </is>
      </c>
      <c r="B1161" s="1" t="n">
        <v>45182</v>
      </c>
      <c r="C1161" s="1" t="n">
        <v>45680</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42963-2023</t>
        </is>
      </c>
      <c r="B1162" s="1" t="n">
        <v>45182</v>
      </c>
      <c r="C1162" s="1" t="n">
        <v>45680</v>
      </c>
      <c r="D1162" t="inlineStr">
        <is>
          <t>UPPSALA LÄN</t>
        </is>
      </c>
      <c r="E1162" t="inlineStr">
        <is>
          <t>UPPSALA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42967-2023</t>
        </is>
      </c>
      <c r="B1163" s="1" t="n">
        <v>45182</v>
      </c>
      <c r="C1163" s="1" t="n">
        <v>45680</v>
      </c>
      <c r="D1163" t="inlineStr">
        <is>
          <t>UPPSALA LÄN</t>
        </is>
      </c>
      <c r="E1163" t="inlineStr">
        <is>
          <t>UPPSALA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43031-2023</t>
        </is>
      </c>
      <c r="B1164" s="1" t="n">
        <v>45182</v>
      </c>
      <c r="C1164" s="1" t="n">
        <v>45680</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43035-2023</t>
        </is>
      </c>
      <c r="B1165" s="1" t="n">
        <v>45182</v>
      </c>
      <c r="C1165" s="1" t="n">
        <v>45680</v>
      </c>
      <c r="D1165" t="inlineStr">
        <is>
          <t>UPPSALA LÄN</t>
        </is>
      </c>
      <c r="E1165" t="inlineStr">
        <is>
          <t>UPPSALA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43049-2023</t>
        </is>
      </c>
      <c r="B1166" s="1" t="n">
        <v>45182</v>
      </c>
      <c r="C1166" s="1" t="n">
        <v>45680</v>
      </c>
      <c r="D1166" t="inlineStr">
        <is>
          <t>UPPSALA LÄN</t>
        </is>
      </c>
      <c r="E1166" t="inlineStr">
        <is>
          <t>UPPSALA</t>
        </is>
      </c>
      <c r="F1166" t="inlineStr">
        <is>
          <t>Allmännings- och besparingsskogar</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42974-2023</t>
        </is>
      </c>
      <c r="B1167" s="1" t="n">
        <v>45182</v>
      </c>
      <c r="C1167" s="1" t="n">
        <v>45680</v>
      </c>
      <c r="D1167" t="inlineStr">
        <is>
          <t>UPPSALA LÄN</t>
        </is>
      </c>
      <c r="E1167" t="inlineStr">
        <is>
          <t>UPPSALA</t>
        </is>
      </c>
      <c r="F1167" t="inlineStr">
        <is>
          <t>Sveaskog</t>
        </is>
      </c>
      <c r="G1167" t="n">
        <v>3.7</v>
      </c>
      <c r="H1167" t="n">
        <v>0</v>
      </c>
      <c r="I1167" t="n">
        <v>0</v>
      </c>
      <c r="J1167" t="n">
        <v>0</v>
      </c>
      <c r="K1167" t="n">
        <v>0</v>
      </c>
      <c r="L1167" t="n">
        <v>0</v>
      </c>
      <c r="M1167" t="n">
        <v>0</v>
      </c>
      <c r="N1167" t="n">
        <v>0</v>
      </c>
      <c r="O1167" t="n">
        <v>0</v>
      </c>
      <c r="P1167" t="n">
        <v>0</v>
      </c>
      <c r="Q1167" t="n">
        <v>0</v>
      </c>
      <c r="R1167" s="2" t="inlineStr"/>
      <c r="U1167">
        <f>HYPERLINK("https://klasma.github.io/Logging_0380/knärot/A 42974-2023 karta knärot.png", "A 42974-2023")</f>
        <v/>
      </c>
      <c r="V1167">
        <f>HYPERLINK("https://klasma.github.io/Logging_0380/klagomål/A 42974-2023 FSC-klagomål.docx", "A 42974-2023")</f>
        <v/>
      </c>
      <c r="W1167">
        <f>HYPERLINK("https://klasma.github.io/Logging_0380/klagomålsmail/A 42974-2023 FSC-klagomål mail.docx", "A 42974-2023")</f>
        <v/>
      </c>
      <c r="X1167">
        <f>HYPERLINK("https://klasma.github.io/Logging_0380/tillsyn/A 42974-2023 tillsynsbegäran.docx", "A 42974-2023")</f>
        <v/>
      </c>
      <c r="Y1167">
        <f>HYPERLINK("https://klasma.github.io/Logging_0380/tillsynsmail/A 42974-2023 tillsynsbegäran mail.docx", "A 42974-2023")</f>
        <v/>
      </c>
    </row>
    <row r="1168" ht="15" customHeight="1">
      <c r="A1168" t="inlineStr">
        <is>
          <t>A 42978-2023</t>
        </is>
      </c>
      <c r="B1168" s="1" t="n">
        <v>45182</v>
      </c>
      <c r="C1168" s="1" t="n">
        <v>45680</v>
      </c>
      <c r="D1168" t="inlineStr">
        <is>
          <t>UPPSALA LÄN</t>
        </is>
      </c>
      <c r="E1168" t="inlineStr">
        <is>
          <t>UPPSALA</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43029-2023</t>
        </is>
      </c>
      <c r="B1169" s="1" t="n">
        <v>45182</v>
      </c>
      <c r="C1169" s="1" t="n">
        <v>45680</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45680</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43795-2023</t>
        </is>
      </c>
      <c r="B1171" s="1" t="n">
        <v>45182</v>
      </c>
      <c r="C1171" s="1" t="n">
        <v>45680</v>
      </c>
      <c r="D1171" t="inlineStr">
        <is>
          <t>UPPSALA LÄN</t>
        </is>
      </c>
      <c r="E1171" t="inlineStr">
        <is>
          <t>UPPSALA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43316-2023</t>
        </is>
      </c>
      <c r="B1172" s="1" t="n">
        <v>45183</v>
      </c>
      <c r="C1172" s="1" t="n">
        <v>45680</v>
      </c>
      <c r="D1172" t="inlineStr">
        <is>
          <t>UPPSALA LÄN</t>
        </is>
      </c>
      <c r="E1172" t="inlineStr">
        <is>
          <t>UPPSALA</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43944-2023</t>
        </is>
      </c>
      <c r="B1173" s="1" t="n">
        <v>45187</v>
      </c>
      <c r="C1173" s="1" t="n">
        <v>45680</v>
      </c>
      <c r="D1173" t="inlineStr">
        <is>
          <t>UPPSALA LÄN</t>
        </is>
      </c>
      <c r="E1173" t="inlineStr">
        <is>
          <t>UPPSALA</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43775-2023</t>
        </is>
      </c>
      <c r="B1174" s="1" t="n">
        <v>45187</v>
      </c>
      <c r="C1174" s="1" t="n">
        <v>45680</v>
      </c>
      <c r="D1174" t="inlineStr">
        <is>
          <t>UPPSALA LÄN</t>
        </is>
      </c>
      <c r="E1174" t="inlineStr">
        <is>
          <t>UPPSALA</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43779-2023</t>
        </is>
      </c>
      <c r="B1175" s="1" t="n">
        <v>45187</v>
      </c>
      <c r="C1175" s="1" t="n">
        <v>45680</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43776-2023</t>
        </is>
      </c>
      <c r="B1176" s="1" t="n">
        <v>45187</v>
      </c>
      <c r="C1176" s="1" t="n">
        <v>45680</v>
      </c>
      <c r="D1176" t="inlineStr">
        <is>
          <t>UPPSALA LÄN</t>
        </is>
      </c>
      <c r="E1176" t="inlineStr">
        <is>
          <t>UPPSALA</t>
        </is>
      </c>
      <c r="F1176" t="inlineStr">
        <is>
          <t>Bergvik skog öst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43855-2023</t>
        </is>
      </c>
      <c r="B1177" s="1" t="n">
        <v>45187</v>
      </c>
      <c r="C1177" s="1" t="n">
        <v>45680</v>
      </c>
      <c r="D1177" t="inlineStr">
        <is>
          <t>UPPSALA LÄN</t>
        </is>
      </c>
      <c r="E1177" t="inlineStr">
        <is>
          <t>UPPSALA</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43778-2023</t>
        </is>
      </c>
      <c r="B1178" s="1" t="n">
        <v>45187</v>
      </c>
      <c r="C1178" s="1" t="n">
        <v>45680</v>
      </c>
      <c r="D1178" t="inlineStr">
        <is>
          <t>UPPSALA LÄN</t>
        </is>
      </c>
      <c r="E1178" t="inlineStr">
        <is>
          <t>UPPSALA</t>
        </is>
      </c>
      <c r="F1178" t="inlineStr">
        <is>
          <t>Bergvik skog öst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44875-2023</t>
        </is>
      </c>
      <c r="B1179" s="1" t="n">
        <v>45187</v>
      </c>
      <c r="C1179" s="1" t="n">
        <v>45680</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44080-2023</t>
        </is>
      </c>
      <c r="B1180" s="1" t="n">
        <v>45188</v>
      </c>
      <c r="C1180" s="1" t="n">
        <v>45680</v>
      </c>
      <c r="D1180" t="inlineStr">
        <is>
          <t>UPPSALA LÄN</t>
        </is>
      </c>
      <c r="E1180" t="inlineStr">
        <is>
          <t>UPPSALA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44115-2023</t>
        </is>
      </c>
      <c r="B1181" s="1" t="n">
        <v>45188</v>
      </c>
      <c r="C1181" s="1" t="n">
        <v>45680</v>
      </c>
      <c r="D1181" t="inlineStr">
        <is>
          <t>UPPSALA LÄN</t>
        </is>
      </c>
      <c r="E1181" t="inlineStr">
        <is>
          <t>UPPSALA</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44232-2023</t>
        </is>
      </c>
      <c r="B1182" s="1" t="n">
        <v>45188</v>
      </c>
      <c r="C1182" s="1" t="n">
        <v>45680</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44105-2023</t>
        </is>
      </c>
      <c r="B1183" s="1" t="n">
        <v>45188</v>
      </c>
      <c r="C1183" s="1" t="n">
        <v>45680</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44333-2023</t>
        </is>
      </c>
      <c r="B1184" s="1" t="n">
        <v>45188</v>
      </c>
      <c r="C1184" s="1" t="n">
        <v>45680</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44337-2023</t>
        </is>
      </c>
      <c r="B1185" s="1" t="n">
        <v>45188</v>
      </c>
      <c r="C1185" s="1" t="n">
        <v>45680</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44257-2023</t>
        </is>
      </c>
      <c r="B1186" s="1" t="n">
        <v>45188</v>
      </c>
      <c r="C1186" s="1" t="n">
        <v>45680</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44815-2023</t>
        </is>
      </c>
      <c r="B1187" s="1" t="n">
        <v>45190</v>
      </c>
      <c r="C1187" s="1" t="n">
        <v>45680</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44830-2023</t>
        </is>
      </c>
      <c r="B1188" s="1" t="n">
        <v>45190</v>
      </c>
      <c r="C1188" s="1" t="n">
        <v>45680</v>
      </c>
      <c r="D1188" t="inlineStr">
        <is>
          <t>UPPSALA LÄN</t>
        </is>
      </c>
      <c r="E1188" t="inlineStr">
        <is>
          <t>UPPSALA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44785-2023</t>
        </is>
      </c>
      <c r="B1189" s="1" t="n">
        <v>45190</v>
      </c>
      <c r="C1189" s="1" t="n">
        <v>45680</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45244-2023</t>
        </is>
      </c>
      <c r="B1190" s="1" t="n">
        <v>45191</v>
      </c>
      <c r="C1190" s="1" t="n">
        <v>45680</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45223-2023</t>
        </is>
      </c>
      <c r="B1191" s="1" t="n">
        <v>45191</v>
      </c>
      <c r="C1191" s="1" t="n">
        <v>45680</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45489-2023</t>
        </is>
      </c>
      <c r="B1192" s="1" t="n">
        <v>45194</v>
      </c>
      <c r="C1192" s="1" t="n">
        <v>45680</v>
      </c>
      <c r="D1192" t="inlineStr">
        <is>
          <t>UPPSALA LÄN</t>
        </is>
      </c>
      <c r="E1192" t="inlineStr">
        <is>
          <t>UPPSALA</t>
        </is>
      </c>
      <c r="F1192" t="inlineStr">
        <is>
          <t>Allmännings- och besparingsskogar</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45575-2023</t>
        </is>
      </c>
      <c r="B1193" s="1" t="n">
        <v>45194</v>
      </c>
      <c r="C1193" s="1" t="n">
        <v>45680</v>
      </c>
      <c r="D1193" t="inlineStr">
        <is>
          <t>UPPSALA LÄN</t>
        </is>
      </c>
      <c r="E1193" t="inlineStr">
        <is>
          <t>UPPSALA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45578-2023</t>
        </is>
      </c>
      <c r="B1194" s="1" t="n">
        <v>45194</v>
      </c>
      <c r="C1194" s="1" t="n">
        <v>45680</v>
      </c>
      <c r="D1194" t="inlineStr">
        <is>
          <t>UPPSALA LÄN</t>
        </is>
      </c>
      <c r="E1194" t="inlineStr">
        <is>
          <t>UPPSALA</t>
        </is>
      </c>
      <c r="F1194" t="inlineStr">
        <is>
          <t>Bergvik skog öst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45592-2023</t>
        </is>
      </c>
      <c r="B1195" s="1" t="n">
        <v>45194</v>
      </c>
      <c r="C1195" s="1" t="n">
        <v>45680</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45662-2023</t>
        </is>
      </c>
      <c r="B1196" s="1" t="n">
        <v>45194</v>
      </c>
      <c r="C1196" s="1" t="n">
        <v>45680</v>
      </c>
      <c r="D1196" t="inlineStr">
        <is>
          <t>UPPSALA LÄN</t>
        </is>
      </c>
      <c r="E1196" t="inlineStr">
        <is>
          <t>UPPSALA</t>
        </is>
      </c>
      <c r="F1196" t="inlineStr">
        <is>
          <t>Bergvik skog öst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45661-2023</t>
        </is>
      </c>
      <c r="B1197" s="1" t="n">
        <v>45194</v>
      </c>
      <c r="C1197" s="1" t="n">
        <v>45680</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45892-2023</t>
        </is>
      </c>
      <c r="B1198" s="1" t="n">
        <v>45195</v>
      </c>
      <c r="C1198" s="1" t="n">
        <v>45680</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45885-2023</t>
        </is>
      </c>
      <c r="B1199" s="1" t="n">
        <v>45195</v>
      </c>
      <c r="C1199" s="1" t="n">
        <v>45680</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46335-2023</t>
        </is>
      </c>
      <c r="B1200" s="1" t="n">
        <v>45197</v>
      </c>
      <c r="C1200" s="1" t="n">
        <v>45680</v>
      </c>
      <c r="D1200" t="inlineStr">
        <is>
          <t>UPPSALA LÄN</t>
        </is>
      </c>
      <c r="E1200" t="inlineStr">
        <is>
          <t>UPPSALA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46869-2023</t>
        </is>
      </c>
      <c r="B1201" s="1" t="n">
        <v>45200</v>
      </c>
      <c r="C1201" s="1" t="n">
        <v>45680</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46995-2023</t>
        </is>
      </c>
      <c r="B1202" s="1" t="n">
        <v>45201</v>
      </c>
      <c r="C1202" s="1" t="n">
        <v>45680</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47083-2023</t>
        </is>
      </c>
      <c r="B1203" s="1" t="n">
        <v>45201</v>
      </c>
      <c r="C1203" s="1" t="n">
        <v>45680</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45680</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47314-2023</t>
        </is>
      </c>
      <c r="B1205" s="1" t="n">
        <v>45202</v>
      </c>
      <c r="C1205" s="1" t="n">
        <v>45680</v>
      </c>
      <c r="D1205" t="inlineStr">
        <is>
          <t>UPPSALA LÄN</t>
        </is>
      </c>
      <c r="E1205" t="inlineStr">
        <is>
          <t>UPPSALA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47287-2023</t>
        </is>
      </c>
      <c r="B1206" s="1" t="n">
        <v>45202</v>
      </c>
      <c r="C1206" s="1" t="n">
        <v>45680</v>
      </c>
      <c r="D1206" t="inlineStr">
        <is>
          <t>UPPSALA LÄN</t>
        </is>
      </c>
      <c r="E1206" t="inlineStr">
        <is>
          <t>UPPSALA</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47316-2023</t>
        </is>
      </c>
      <c r="B1207" s="1" t="n">
        <v>45202</v>
      </c>
      <c r="C1207" s="1" t="n">
        <v>45680</v>
      </c>
      <c r="D1207" t="inlineStr">
        <is>
          <t>UPPSALA LÄN</t>
        </is>
      </c>
      <c r="E1207" t="inlineStr">
        <is>
          <t>UPPSALA</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47618-2023</t>
        </is>
      </c>
      <c r="B1208" s="1" t="n">
        <v>45203</v>
      </c>
      <c r="C1208" s="1" t="n">
        <v>45680</v>
      </c>
      <c r="D1208" t="inlineStr">
        <is>
          <t>UPPSALA LÄN</t>
        </is>
      </c>
      <c r="E1208" t="inlineStr">
        <is>
          <t>UPPSALA</t>
        </is>
      </c>
      <c r="F1208" t="inlineStr">
        <is>
          <t>Bergvik skog öst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48562-2023</t>
        </is>
      </c>
      <c r="B1209" s="1" t="n">
        <v>45208</v>
      </c>
      <c r="C1209" s="1" t="n">
        <v>45680</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48564-2023</t>
        </is>
      </c>
      <c r="B1210" s="1" t="n">
        <v>45208</v>
      </c>
      <c r="C1210" s="1" t="n">
        <v>45680</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48571-2023</t>
        </is>
      </c>
      <c r="B1211" s="1" t="n">
        <v>45208</v>
      </c>
      <c r="C1211" s="1" t="n">
        <v>45680</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48584-2023</t>
        </is>
      </c>
      <c r="B1212" s="1" t="n">
        <v>45208</v>
      </c>
      <c r="C1212" s="1" t="n">
        <v>45680</v>
      </c>
      <c r="D1212" t="inlineStr">
        <is>
          <t>UPPSALA LÄN</t>
        </is>
      </c>
      <c r="E1212" t="inlineStr">
        <is>
          <t>UPPSALA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49189-2023</t>
        </is>
      </c>
      <c r="B1213" s="1" t="n">
        <v>45210</v>
      </c>
      <c r="C1213" s="1" t="n">
        <v>45680</v>
      </c>
      <c r="D1213" t="inlineStr">
        <is>
          <t>UPPSALA LÄN</t>
        </is>
      </c>
      <c r="E1213" t="inlineStr">
        <is>
          <t>UPPSALA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49201-2023</t>
        </is>
      </c>
      <c r="B1214" s="1" t="n">
        <v>45210</v>
      </c>
      <c r="C1214" s="1" t="n">
        <v>45680</v>
      </c>
      <c r="D1214" t="inlineStr">
        <is>
          <t>UPPSALA LÄN</t>
        </is>
      </c>
      <c r="E1214" t="inlineStr">
        <is>
          <t>UPPSALA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49682-2023</t>
        </is>
      </c>
      <c r="B1215" s="1" t="n">
        <v>45212</v>
      </c>
      <c r="C1215" s="1" t="n">
        <v>45680</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v>
      </c>
      <c r="C1216" s="1" t="n">
        <v>45680</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50118-2023</t>
        </is>
      </c>
      <c r="B1217" s="1" t="n">
        <v>45215</v>
      </c>
      <c r="C1217" s="1" t="n">
        <v>45680</v>
      </c>
      <c r="D1217" t="inlineStr">
        <is>
          <t>UPPSALA LÄN</t>
        </is>
      </c>
      <c r="E1217" t="inlineStr">
        <is>
          <t>UPPSALA</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51843-2023</t>
        </is>
      </c>
      <c r="B1218" s="1" t="n">
        <v>45215</v>
      </c>
      <c r="C1218" s="1" t="n">
        <v>45680</v>
      </c>
      <c r="D1218" t="inlineStr">
        <is>
          <t>UPPSALA LÄN</t>
        </is>
      </c>
      <c r="E1218" t="inlineStr">
        <is>
          <t>UPPSALA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50267-2023</t>
        </is>
      </c>
      <c r="B1219" s="1" t="n">
        <v>45216</v>
      </c>
      <c r="C1219" s="1" t="n">
        <v>45680</v>
      </c>
      <c r="D1219" t="inlineStr">
        <is>
          <t>UPPSALA LÄN</t>
        </is>
      </c>
      <c r="E1219" t="inlineStr">
        <is>
          <t>UPPSALA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50473-2023</t>
        </is>
      </c>
      <c r="B1220" s="1" t="n">
        <v>45216</v>
      </c>
      <c r="C1220" s="1" t="n">
        <v>45680</v>
      </c>
      <c r="D1220" t="inlineStr">
        <is>
          <t>UPPSALA LÄN</t>
        </is>
      </c>
      <c r="E1220" t="inlineStr">
        <is>
          <t>UPPSALA</t>
        </is>
      </c>
      <c r="F1220" t="inlineStr">
        <is>
          <t>Allmännings- och besparingsskogar</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45680</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51016-2023</t>
        </is>
      </c>
      <c r="B1222" s="1" t="n">
        <v>45218</v>
      </c>
      <c r="C1222" s="1" t="n">
        <v>45680</v>
      </c>
      <c r="D1222" t="inlineStr">
        <is>
          <t>UPPSALA LÄN</t>
        </is>
      </c>
      <c r="E1222" t="inlineStr">
        <is>
          <t>UPPSALA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51006-2023</t>
        </is>
      </c>
      <c r="B1223" s="1" t="n">
        <v>45218</v>
      </c>
      <c r="C1223" s="1" t="n">
        <v>45680</v>
      </c>
      <c r="D1223" t="inlineStr">
        <is>
          <t>UPPSALA LÄN</t>
        </is>
      </c>
      <c r="E1223" t="inlineStr">
        <is>
          <t>UPPSALA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51542-2023</t>
        </is>
      </c>
      <c r="B1224" s="1" t="n">
        <v>45222</v>
      </c>
      <c r="C1224" s="1" t="n">
        <v>45680</v>
      </c>
      <c r="D1224" t="inlineStr">
        <is>
          <t>UPPSALA LÄN</t>
        </is>
      </c>
      <c r="E1224" t="inlineStr">
        <is>
          <t>UPPSALA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51734-2023</t>
        </is>
      </c>
      <c r="B1225" s="1" t="n">
        <v>45222</v>
      </c>
      <c r="C1225" s="1" t="n">
        <v>45680</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51731-2023</t>
        </is>
      </c>
      <c r="B1226" s="1" t="n">
        <v>45222</v>
      </c>
      <c r="C1226" s="1" t="n">
        <v>45680</v>
      </c>
      <c r="D1226" t="inlineStr">
        <is>
          <t>UPPSALA LÄN</t>
        </is>
      </c>
      <c r="E1226" t="inlineStr">
        <is>
          <t>UPPSALA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51576-2023</t>
        </is>
      </c>
      <c r="B1227" s="1" t="n">
        <v>45222</v>
      </c>
      <c r="C1227" s="1" t="n">
        <v>45680</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51697-2023</t>
        </is>
      </c>
      <c r="B1228" s="1" t="n">
        <v>45222</v>
      </c>
      <c r="C1228" s="1" t="n">
        <v>45680</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51935-2023</t>
        </is>
      </c>
      <c r="B1229" s="1" t="n">
        <v>45223</v>
      </c>
      <c r="C1229" s="1" t="n">
        <v>45680</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52273-2023</t>
        </is>
      </c>
      <c r="B1230" s="1" t="n">
        <v>45224</v>
      </c>
      <c r="C1230" s="1" t="n">
        <v>45680</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52492-2023</t>
        </is>
      </c>
      <c r="B1231" s="1" t="n">
        <v>45225</v>
      </c>
      <c r="C1231" s="1" t="n">
        <v>45680</v>
      </c>
      <c r="D1231" t="inlineStr">
        <is>
          <t>UPPSALA LÄN</t>
        </is>
      </c>
      <c r="E1231" t="inlineStr">
        <is>
          <t>UPPSALA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52503-2023</t>
        </is>
      </c>
      <c r="B1232" s="1" t="n">
        <v>45225</v>
      </c>
      <c r="C1232" s="1" t="n">
        <v>45680</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52518-2023</t>
        </is>
      </c>
      <c r="B1233" s="1" t="n">
        <v>45225</v>
      </c>
      <c r="C1233" s="1" t="n">
        <v>45680</v>
      </c>
      <c r="D1233" t="inlineStr">
        <is>
          <t>UPPSALA LÄN</t>
        </is>
      </c>
      <c r="E1233" t="inlineStr">
        <is>
          <t>UPPSALA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53893-2023</t>
        </is>
      </c>
      <c r="B1234" s="1" t="n">
        <v>45231</v>
      </c>
      <c r="C1234" s="1" t="n">
        <v>45680</v>
      </c>
      <c r="D1234" t="inlineStr">
        <is>
          <t>UPPSALA LÄN</t>
        </is>
      </c>
      <c r="E1234" t="inlineStr">
        <is>
          <t>UPPSALA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53919-2023</t>
        </is>
      </c>
      <c r="B1235" s="1" t="n">
        <v>45231</v>
      </c>
      <c r="C1235" s="1" t="n">
        <v>45680</v>
      </c>
      <c r="D1235" t="inlineStr">
        <is>
          <t>UPPSALA LÄN</t>
        </is>
      </c>
      <c r="E1235" t="inlineStr">
        <is>
          <t>UPPSALA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53982-2023</t>
        </is>
      </c>
      <c r="B1236" s="1" t="n">
        <v>45231</v>
      </c>
      <c r="C1236" s="1" t="n">
        <v>45680</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53882-2023</t>
        </is>
      </c>
      <c r="B1237" s="1" t="n">
        <v>45231</v>
      </c>
      <c r="C1237" s="1" t="n">
        <v>45680</v>
      </c>
      <c r="D1237" t="inlineStr">
        <is>
          <t>UPPSALA LÄN</t>
        </is>
      </c>
      <c r="E1237" t="inlineStr">
        <is>
          <t>UPPSALA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v>
      </c>
      <c r="C1238" s="1" t="n">
        <v>45680</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53963-2023</t>
        </is>
      </c>
      <c r="B1239" s="1" t="n">
        <v>45231</v>
      </c>
      <c r="C1239" s="1" t="n">
        <v>45680</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53967-2023</t>
        </is>
      </c>
      <c r="B1240" s="1" t="n">
        <v>45231</v>
      </c>
      <c r="C1240" s="1" t="n">
        <v>45680</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53803-2023</t>
        </is>
      </c>
      <c r="B1241" s="1" t="n">
        <v>45231</v>
      </c>
      <c r="C1241" s="1" t="n">
        <v>45680</v>
      </c>
      <c r="D1241" t="inlineStr">
        <is>
          <t>UPPSALA LÄN</t>
        </is>
      </c>
      <c r="E1241" t="inlineStr">
        <is>
          <t>UPPSALA</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53906-2023</t>
        </is>
      </c>
      <c r="B1242" s="1" t="n">
        <v>45231</v>
      </c>
      <c r="C1242" s="1" t="n">
        <v>45680</v>
      </c>
      <c r="D1242" t="inlineStr">
        <is>
          <t>UPPSALA LÄN</t>
        </is>
      </c>
      <c r="E1242" t="inlineStr">
        <is>
          <t>UPPSALA</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54231-2023</t>
        </is>
      </c>
      <c r="B1243" s="1" t="n">
        <v>45232</v>
      </c>
      <c r="C1243" s="1" t="n">
        <v>45680</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55529-2023</t>
        </is>
      </c>
      <c r="B1244" s="1" t="n">
        <v>45232</v>
      </c>
      <c r="C1244" s="1" t="n">
        <v>45680</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54375-2023</t>
        </is>
      </c>
      <c r="B1245" s="1" t="n">
        <v>45233</v>
      </c>
      <c r="C1245" s="1" t="n">
        <v>45680</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54474-2023</t>
        </is>
      </c>
      <c r="B1246" s="1" t="n">
        <v>45233</v>
      </c>
      <c r="C1246" s="1" t="n">
        <v>45680</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54461-2023</t>
        </is>
      </c>
      <c r="B1247" s="1" t="n">
        <v>45233</v>
      </c>
      <c r="C1247" s="1" t="n">
        <v>45680</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54808-2023</t>
        </is>
      </c>
      <c r="B1248" s="1" t="n">
        <v>45236</v>
      </c>
      <c r="C1248" s="1" t="n">
        <v>45680</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54704-2023</t>
        </is>
      </c>
      <c r="B1249" s="1" t="n">
        <v>45236</v>
      </c>
      <c r="C1249" s="1" t="n">
        <v>45680</v>
      </c>
      <c r="D1249" t="inlineStr">
        <is>
          <t>UPPSALA LÄN</t>
        </is>
      </c>
      <c r="E1249" t="inlineStr">
        <is>
          <t>UPPSALA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54783-2023</t>
        </is>
      </c>
      <c r="B1250" s="1" t="n">
        <v>45236</v>
      </c>
      <c r="C1250" s="1" t="n">
        <v>45680</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55598-2023</t>
        </is>
      </c>
      <c r="B1251" s="1" t="n">
        <v>45238</v>
      </c>
      <c r="C1251" s="1" t="n">
        <v>45680</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56084-2023</t>
        </is>
      </c>
      <c r="B1252" s="1" t="n">
        <v>45240</v>
      </c>
      <c r="C1252" s="1" t="n">
        <v>45680</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56082-2023</t>
        </is>
      </c>
      <c r="B1253" s="1" t="n">
        <v>45240</v>
      </c>
      <c r="C1253" s="1" t="n">
        <v>45680</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56105-2023</t>
        </is>
      </c>
      <c r="B1254" s="1" t="n">
        <v>45240</v>
      </c>
      <c r="C1254" s="1" t="n">
        <v>45680</v>
      </c>
      <c r="D1254" t="inlineStr">
        <is>
          <t>UPPSALA LÄN</t>
        </is>
      </c>
      <c r="E1254" t="inlineStr">
        <is>
          <t>UPPSALA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56077-2023</t>
        </is>
      </c>
      <c r="B1255" s="1" t="n">
        <v>45240</v>
      </c>
      <c r="C1255" s="1" t="n">
        <v>45680</v>
      </c>
      <c r="D1255" t="inlineStr">
        <is>
          <t>UPPSALA LÄN</t>
        </is>
      </c>
      <c r="E1255" t="inlineStr">
        <is>
          <t>UPPSALA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56278-2023</t>
        </is>
      </c>
      <c r="B1256" s="1" t="n">
        <v>45241</v>
      </c>
      <c r="C1256" s="1" t="n">
        <v>45680</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56642-2023</t>
        </is>
      </c>
      <c r="B1257" s="1" t="n">
        <v>45243</v>
      </c>
      <c r="C1257" s="1" t="n">
        <v>45680</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56852-2023</t>
        </is>
      </c>
      <c r="B1258" s="1" t="n">
        <v>45244</v>
      </c>
      <c r="C1258" s="1" t="n">
        <v>45680</v>
      </c>
      <c r="D1258" t="inlineStr">
        <is>
          <t>UPPSALA LÄN</t>
        </is>
      </c>
      <c r="E1258" t="inlineStr">
        <is>
          <t>UPPSALA</t>
        </is>
      </c>
      <c r="F1258" t="inlineStr">
        <is>
          <t>Holmen skog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v>
      </c>
      <c r="C1259" s="1" t="n">
        <v>45680</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57186-2023</t>
        </is>
      </c>
      <c r="B1260" s="1" t="n">
        <v>45245</v>
      </c>
      <c r="C1260" s="1" t="n">
        <v>45680</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57182-2023</t>
        </is>
      </c>
      <c r="B1261" s="1" t="n">
        <v>45245</v>
      </c>
      <c r="C1261" s="1" t="n">
        <v>45680</v>
      </c>
      <c r="D1261" t="inlineStr">
        <is>
          <t>UPPSALA LÄN</t>
        </is>
      </c>
      <c r="E1261" t="inlineStr">
        <is>
          <t>UPPSALA</t>
        </is>
      </c>
      <c r="F1261" t="inlineStr">
        <is>
          <t>Övriga Aktiebolag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59240-2023</t>
        </is>
      </c>
      <c r="B1262" s="1" t="n">
        <v>45253</v>
      </c>
      <c r="C1262" s="1" t="n">
        <v>45680</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59511-2023</t>
        </is>
      </c>
      <c r="B1263" s="1" t="n">
        <v>45254</v>
      </c>
      <c r="C1263" s="1" t="n">
        <v>45680</v>
      </c>
      <c r="D1263" t="inlineStr">
        <is>
          <t>UPPSALA LÄN</t>
        </is>
      </c>
      <c r="E1263" t="inlineStr">
        <is>
          <t>UPPSALA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59521-2023</t>
        </is>
      </c>
      <c r="B1264" s="1" t="n">
        <v>45254</v>
      </c>
      <c r="C1264" s="1" t="n">
        <v>45680</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59564-2023</t>
        </is>
      </c>
      <c r="B1265" s="1" t="n">
        <v>45254</v>
      </c>
      <c r="C1265" s="1" t="n">
        <v>45680</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59570-2023</t>
        </is>
      </c>
      <c r="B1266" s="1" t="n">
        <v>45254</v>
      </c>
      <c r="C1266" s="1" t="n">
        <v>45680</v>
      </c>
      <c r="D1266" t="inlineStr">
        <is>
          <t>UPPSALA LÄN</t>
        </is>
      </c>
      <c r="E1266" t="inlineStr">
        <is>
          <t>UPPSALA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59585-2023</t>
        </is>
      </c>
      <c r="B1267" s="1" t="n">
        <v>45254</v>
      </c>
      <c r="C1267" s="1" t="n">
        <v>45680</v>
      </c>
      <c r="D1267" t="inlineStr">
        <is>
          <t>UPPSALA LÄN</t>
        </is>
      </c>
      <c r="E1267" t="inlineStr">
        <is>
          <t>UPPSALA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59489-2023</t>
        </is>
      </c>
      <c r="B1268" s="1" t="n">
        <v>45254</v>
      </c>
      <c r="C1268" s="1" t="n">
        <v>45680</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59856-2023</t>
        </is>
      </c>
      <c r="B1269" s="1" t="n">
        <v>45257</v>
      </c>
      <c r="C1269" s="1" t="n">
        <v>45680</v>
      </c>
      <c r="D1269" t="inlineStr">
        <is>
          <t>UPPSALA LÄN</t>
        </is>
      </c>
      <c r="E1269" t="inlineStr">
        <is>
          <t>UPPSALA</t>
        </is>
      </c>
      <c r="F1269" t="inlineStr">
        <is>
          <t>Allmännings- och besparingsskogar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59810-2023</t>
        </is>
      </c>
      <c r="B1270" s="1" t="n">
        <v>45257</v>
      </c>
      <c r="C1270" s="1" t="n">
        <v>45680</v>
      </c>
      <c r="D1270" t="inlineStr">
        <is>
          <t>UPPSALA LÄN</t>
        </is>
      </c>
      <c r="E1270" t="inlineStr">
        <is>
          <t>UPPSALA</t>
        </is>
      </c>
      <c r="F1270" t="inlineStr">
        <is>
          <t>Allmännings- och besparingsskogar</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v>
      </c>
      <c r="C1271" s="1" t="n">
        <v>45680</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60447-2023</t>
        </is>
      </c>
      <c r="B1272" s="1" t="n">
        <v>45259</v>
      </c>
      <c r="C1272" s="1" t="n">
        <v>45680</v>
      </c>
      <c r="D1272" t="inlineStr">
        <is>
          <t>UPPSALA LÄN</t>
        </is>
      </c>
      <c r="E1272" t="inlineStr">
        <is>
          <t>UPPSALA</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45680</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60814-2023</t>
        </is>
      </c>
      <c r="B1274" s="1" t="n">
        <v>45259</v>
      </c>
      <c r="C1274" s="1" t="n">
        <v>45680</v>
      </c>
      <c r="D1274" t="inlineStr">
        <is>
          <t>UPPSALA LÄN</t>
        </is>
      </c>
      <c r="E1274" t="inlineStr">
        <is>
          <t>UPPSALA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45680</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61067-2023</t>
        </is>
      </c>
      <c r="B1276" s="1" t="n">
        <v>45259</v>
      </c>
      <c r="C1276" s="1" t="n">
        <v>45680</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60707-2023</t>
        </is>
      </c>
      <c r="B1277" s="1" t="n">
        <v>45260</v>
      </c>
      <c r="C1277" s="1" t="n">
        <v>45680</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61947-2023</t>
        </is>
      </c>
      <c r="B1278" s="1" t="n">
        <v>45266</v>
      </c>
      <c r="C1278" s="1" t="n">
        <v>45680</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62287-2023</t>
        </is>
      </c>
      <c r="B1279" s="1" t="n">
        <v>45267</v>
      </c>
      <c r="C1279" s="1" t="n">
        <v>45680</v>
      </c>
      <c r="D1279" t="inlineStr">
        <is>
          <t>UPPSALA LÄN</t>
        </is>
      </c>
      <c r="E1279" t="inlineStr">
        <is>
          <t>UPPSALA</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62627-2023</t>
        </is>
      </c>
      <c r="B1280" s="1" t="n">
        <v>45268</v>
      </c>
      <c r="C1280" s="1" t="n">
        <v>45680</v>
      </c>
      <c r="D1280" t="inlineStr">
        <is>
          <t>UPPSALA LÄN</t>
        </is>
      </c>
      <c r="E1280" t="inlineStr">
        <is>
          <t>UPPSALA</t>
        </is>
      </c>
      <c r="G1280" t="n">
        <v>7.6</v>
      </c>
      <c r="H1280" t="n">
        <v>0</v>
      </c>
      <c r="I1280" t="n">
        <v>0</v>
      </c>
      <c r="J1280" t="n">
        <v>0</v>
      </c>
      <c r="K1280" t="n">
        <v>0</v>
      </c>
      <c r="L1280" t="n">
        <v>0</v>
      </c>
      <c r="M1280" t="n">
        <v>0</v>
      </c>
      <c r="N1280" t="n">
        <v>0</v>
      </c>
      <c r="O1280" t="n">
        <v>0</v>
      </c>
      <c r="P1280" t="n">
        <v>0</v>
      </c>
      <c r="Q1280" t="n">
        <v>0</v>
      </c>
      <c r="R1280" s="2" t="inlineStr"/>
      <c r="U1280">
        <f>HYPERLINK("https://klasma.github.io/Logging_0380/knärot/A 62627-2023 karta knärot.png", "A 62627-2023")</f>
        <v/>
      </c>
      <c r="V1280">
        <f>HYPERLINK("https://klasma.github.io/Logging_0380/klagomål/A 62627-2023 FSC-klagomål.docx", "A 62627-2023")</f>
        <v/>
      </c>
      <c r="W1280">
        <f>HYPERLINK("https://klasma.github.io/Logging_0380/klagomålsmail/A 62627-2023 FSC-klagomål mail.docx", "A 62627-2023")</f>
        <v/>
      </c>
      <c r="X1280">
        <f>HYPERLINK("https://klasma.github.io/Logging_0380/tillsyn/A 62627-2023 tillsynsbegäran.docx", "A 62627-2023")</f>
        <v/>
      </c>
      <c r="Y1280">
        <f>HYPERLINK("https://klasma.github.io/Logging_0380/tillsynsmail/A 62627-2023 tillsynsbegäran mail.docx", "A 62627-2023")</f>
        <v/>
      </c>
    </row>
    <row r="1281" ht="15" customHeight="1">
      <c r="A1281" t="inlineStr">
        <is>
          <t>A 62636-2023</t>
        </is>
      </c>
      <c r="B1281" s="1" t="n">
        <v>45268</v>
      </c>
      <c r="C1281" s="1" t="n">
        <v>45680</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62691-2023</t>
        </is>
      </c>
      <c r="B1282" s="1" t="n">
        <v>45268</v>
      </c>
      <c r="C1282" s="1" t="n">
        <v>45680</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62694-2023</t>
        </is>
      </c>
      <c r="B1283" s="1" t="n">
        <v>45268</v>
      </c>
      <c r="C1283" s="1" t="n">
        <v>45680</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62714-2023</t>
        </is>
      </c>
      <c r="B1284" s="1" t="n">
        <v>45271</v>
      </c>
      <c r="C1284" s="1" t="n">
        <v>45680</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63163-2023</t>
        </is>
      </c>
      <c r="B1285" s="1" t="n">
        <v>45273</v>
      </c>
      <c r="C1285" s="1" t="n">
        <v>45680</v>
      </c>
      <c r="D1285" t="inlineStr">
        <is>
          <t>UPPSALA LÄN</t>
        </is>
      </c>
      <c r="E1285" t="inlineStr">
        <is>
          <t>UPPSALA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63578-2023</t>
        </is>
      </c>
      <c r="B1286" s="1" t="n">
        <v>45275</v>
      </c>
      <c r="C1286" s="1" t="n">
        <v>45680</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63579-2023</t>
        </is>
      </c>
      <c r="B1287" s="1" t="n">
        <v>45275</v>
      </c>
      <c r="C1287" s="1" t="n">
        <v>45680</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63576-2023</t>
        </is>
      </c>
      <c r="B1288" s="1" t="n">
        <v>45275</v>
      </c>
      <c r="C1288" s="1" t="n">
        <v>45680</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63588-2023</t>
        </is>
      </c>
      <c r="B1289" s="1" t="n">
        <v>45275</v>
      </c>
      <c r="C1289" s="1" t="n">
        <v>45680</v>
      </c>
      <c r="D1289" t="inlineStr">
        <is>
          <t>UPPSALA LÄN</t>
        </is>
      </c>
      <c r="E1289" t="inlineStr">
        <is>
          <t>UPPSALA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63698-2023</t>
        </is>
      </c>
      <c r="B1290" s="1" t="n">
        <v>45275</v>
      </c>
      <c r="C1290" s="1" t="n">
        <v>45680</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64079-2023</t>
        </is>
      </c>
      <c r="B1291" s="1" t="n">
        <v>45279</v>
      </c>
      <c r="C1291" s="1" t="n">
        <v>45680</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64806-2023</t>
        </is>
      </c>
      <c r="B1292" s="1" t="n">
        <v>45282</v>
      </c>
      <c r="C1292" s="1" t="n">
        <v>45680</v>
      </c>
      <c r="D1292" t="inlineStr">
        <is>
          <t>UPPSALA LÄN</t>
        </is>
      </c>
      <c r="E1292" t="inlineStr">
        <is>
          <t>UPPSALA</t>
        </is>
      </c>
      <c r="F1292" t="inlineStr">
        <is>
          <t>Kyrkan</t>
        </is>
      </c>
      <c r="G1292" t="n">
        <v>19.3</v>
      </c>
      <c r="H1292" t="n">
        <v>0</v>
      </c>
      <c r="I1292" t="n">
        <v>0</v>
      </c>
      <c r="J1292" t="n">
        <v>0</v>
      </c>
      <c r="K1292" t="n">
        <v>0</v>
      </c>
      <c r="L1292" t="n">
        <v>0</v>
      </c>
      <c r="M1292" t="n">
        <v>0</v>
      </c>
      <c r="N1292" t="n">
        <v>0</v>
      </c>
      <c r="O1292" t="n">
        <v>0</v>
      </c>
      <c r="P1292" t="n">
        <v>0</v>
      </c>
      <c r="Q1292" t="n">
        <v>0</v>
      </c>
      <c r="R1292" s="2" t="inlineStr"/>
    </row>
    <row r="1293" ht="15" customHeight="1">
      <c r="A1293" t="inlineStr">
        <is>
          <t>A 64880-2023</t>
        </is>
      </c>
      <c r="B1293" s="1" t="n">
        <v>45282</v>
      </c>
      <c r="C1293" s="1" t="n">
        <v>45680</v>
      </c>
      <c r="D1293" t="inlineStr">
        <is>
          <t>UPPSALA LÄN</t>
        </is>
      </c>
      <c r="E1293" t="inlineStr">
        <is>
          <t>UPPSALA</t>
        </is>
      </c>
      <c r="F1293" t="inlineStr">
        <is>
          <t>Kommuner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65149-2023</t>
        </is>
      </c>
      <c r="B1294" s="1" t="n">
        <v>45288</v>
      </c>
      <c r="C1294" s="1" t="n">
        <v>45680</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45-2024</t>
        </is>
      </c>
      <c r="B1295" s="1" t="n">
        <v>45293</v>
      </c>
      <c r="C1295" s="1" t="n">
        <v>45680</v>
      </c>
      <c r="D1295" t="inlineStr">
        <is>
          <t>UPPSALA LÄN</t>
        </is>
      </c>
      <c r="E1295" t="inlineStr">
        <is>
          <t>UPPSALA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43-2024</t>
        </is>
      </c>
      <c r="B1296" s="1" t="n">
        <v>45293</v>
      </c>
      <c r="C1296" s="1" t="n">
        <v>45680</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179-2024</t>
        </is>
      </c>
      <c r="B1297" s="1" t="n">
        <v>45294</v>
      </c>
      <c r="C1297" s="1" t="n">
        <v>45680</v>
      </c>
      <c r="D1297" t="inlineStr">
        <is>
          <t>UPPSALA LÄN</t>
        </is>
      </c>
      <c r="E1297" t="inlineStr">
        <is>
          <t>UPPSALA</t>
        </is>
      </c>
      <c r="F1297" t="inlineStr">
        <is>
          <t>Bergvik skog öst AB</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45680</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358-2024</t>
        </is>
      </c>
      <c r="B1299" s="1" t="n">
        <v>45295</v>
      </c>
      <c r="C1299" s="1" t="n">
        <v>45680</v>
      </c>
      <c r="D1299" t="inlineStr">
        <is>
          <t>UPPSALA LÄN</t>
        </is>
      </c>
      <c r="E1299" t="inlineStr">
        <is>
          <t>UPPSALA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446-2024</t>
        </is>
      </c>
      <c r="B1300" s="1" t="n">
        <v>45296</v>
      </c>
      <c r="C1300" s="1" t="n">
        <v>45680</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449-2024</t>
        </is>
      </c>
      <c r="B1301" s="1" t="n">
        <v>45296</v>
      </c>
      <c r="C1301" s="1" t="n">
        <v>45680</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c r="U1301">
        <f>HYPERLINK("https://klasma.github.io/Logging_0380/knärot/A 449-2024 karta knärot.png", "A 449-2024")</f>
        <v/>
      </c>
      <c r="V1301">
        <f>HYPERLINK("https://klasma.github.io/Logging_0380/klagomål/A 449-2024 FSC-klagomål.docx", "A 449-2024")</f>
        <v/>
      </c>
      <c r="W1301">
        <f>HYPERLINK("https://klasma.github.io/Logging_0380/klagomålsmail/A 449-2024 FSC-klagomål mail.docx", "A 449-2024")</f>
        <v/>
      </c>
      <c r="X1301">
        <f>HYPERLINK("https://klasma.github.io/Logging_0380/tillsyn/A 449-2024 tillsynsbegäran.docx", "A 449-2024")</f>
        <v/>
      </c>
      <c r="Y1301">
        <f>HYPERLINK("https://klasma.github.io/Logging_0380/tillsynsmail/A 449-2024 tillsynsbegäran mail.docx", "A 449-2024")</f>
        <v/>
      </c>
    </row>
    <row r="1302" ht="15" customHeight="1">
      <c r="A1302" t="inlineStr">
        <is>
          <t>A 600-2024</t>
        </is>
      </c>
      <c r="B1302" s="1" t="n">
        <v>45299</v>
      </c>
      <c r="C1302" s="1" t="n">
        <v>45680</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787-2024</t>
        </is>
      </c>
      <c r="B1303" s="1" t="n">
        <v>45300</v>
      </c>
      <c r="C1303" s="1" t="n">
        <v>45680</v>
      </c>
      <c r="D1303" t="inlineStr">
        <is>
          <t>UPPSALA LÄN</t>
        </is>
      </c>
      <c r="E1303" t="inlineStr">
        <is>
          <t>UPPSALA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784-2024</t>
        </is>
      </c>
      <c r="B1304" s="1" t="n">
        <v>45300</v>
      </c>
      <c r="C1304" s="1" t="n">
        <v>45680</v>
      </c>
      <c r="D1304" t="inlineStr">
        <is>
          <t>UPPSALA LÄN</t>
        </is>
      </c>
      <c r="E1304" t="inlineStr">
        <is>
          <t>UPPSALA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781-2024</t>
        </is>
      </c>
      <c r="B1305" s="1" t="n">
        <v>45300</v>
      </c>
      <c r="C1305" s="1" t="n">
        <v>45680</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1825-2024</t>
        </is>
      </c>
      <c r="B1306" s="1" t="n">
        <v>45307</v>
      </c>
      <c r="C1306" s="1" t="n">
        <v>45680</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1806-2024</t>
        </is>
      </c>
      <c r="B1307" s="1" t="n">
        <v>45307</v>
      </c>
      <c r="C1307" s="1" t="n">
        <v>45680</v>
      </c>
      <c r="D1307" t="inlineStr">
        <is>
          <t>UPPSALA LÄN</t>
        </is>
      </c>
      <c r="E1307" t="inlineStr">
        <is>
          <t>UPPSALA</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1838-2024</t>
        </is>
      </c>
      <c r="B1308" s="1" t="n">
        <v>45307</v>
      </c>
      <c r="C1308" s="1" t="n">
        <v>45680</v>
      </c>
      <c r="D1308" t="inlineStr">
        <is>
          <t>UPPSALA LÄN</t>
        </is>
      </c>
      <c r="E1308" t="inlineStr">
        <is>
          <t>UPPSALA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1994-2024</t>
        </is>
      </c>
      <c r="B1309" s="1" t="n">
        <v>45308</v>
      </c>
      <c r="C1309" s="1" t="n">
        <v>45680</v>
      </c>
      <c r="D1309" t="inlineStr">
        <is>
          <t>UPPSALA LÄN</t>
        </is>
      </c>
      <c r="E1309" t="inlineStr">
        <is>
          <t>UPPSALA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2294-2024</t>
        </is>
      </c>
      <c r="B1310" s="1" t="n">
        <v>45310</v>
      </c>
      <c r="C1310" s="1" t="n">
        <v>45680</v>
      </c>
      <c r="D1310" t="inlineStr">
        <is>
          <t>UPPSALA LÄN</t>
        </is>
      </c>
      <c r="E1310" t="inlineStr">
        <is>
          <t>UPPSALA</t>
        </is>
      </c>
      <c r="F1310" t="inlineStr">
        <is>
          <t>Allmännings- och besparingsskogar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2327-2024</t>
        </is>
      </c>
      <c r="B1311" s="1" t="n">
        <v>45310</v>
      </c>
      <c r="C1311" s="1" t="n">
        <v>45680</v>
      </c>
      <c r="D1311" t="inlineStr">
        <is>
          <t>UPPSALA LÄN</t>
        </is>
      </c>
      <c r="E1311" t="inlineStr">
        <is>
          <t>UPPSALA</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2339-2024</t>
        </is>
      </c>
      <c r="B1312" s="1" t="n">
        <v>45310</v>
      </c>
      <c r="C1312" s="1" t="n">
        <v>45680</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2357-2024</t>
        </is>
      </c>
      <c r="B1313" s="1" t="n">
        <v>45310</v>
      </c>
      <c r="C1313" s="1" t="n">
        <v>45680</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2740-2024</t>
        </is>
      </c>
      <c r="B1314" s="1" t="n">
        <v>45314</v>
      </c>
      <c r="C1314" s="1" t="n">
        <v>45680</v>
      </c>
      <c r="D1314" t="inlineStr">
        <is>
          <t>UPPSALA LÄN</t>
        </is>
      </c>
      <c r="E1314" t="inlineStr">
        <is>
          <t>UPPSALA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2735-2024</t>
        </is>
      </c>
      <c r="B1315" s="1" t="n">
        <v>45314</v>
      </c>
      <c r="C1315" s="1" t="n">
        <v>45680</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2769-2024</t>
        </is>
      </c>
      <c r="B1316" s="1" t="n">
        <v>45314</v>
      </c>
      <c r="C1316" s="1" t="n">
        <v>45680</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2785-2024</t>
        </is>
      </c>
      <c r="B1317" s="1" t="n">
        <v>45314</v>
      </c>
      <c r="C1317" s="1" t="n">
        <v>45680</v>
      </c>
      <c r="D1317" t="inlineStr">
        <is>
          <t>UPPSALA LÄN</t>
        </is>
      </c>
      <c r="E1317" t="inlineStr">
        <is>
          <t>UPPSALA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3175-2024</t>
        </is>
      </c>
      <c r="B1318" s="1" t="n">
        <v>45316</v>
      </c>
      <c r="C1318" s="1" t="n">
        <v>45680</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3183-2024</t>
        </is>
      </c>
      <c r="B1319" s="1" t="n">
        <v>45316</v>
      </c>
      <c r="C1319" s="1" t="n">
        <v>45680</v>
      </c>
      <c r="D1319" t="inlineStr">
        <is>
          <t>UPPSALA LÄN</t>
        </is>
      </c>
      <c r="E1319" t="inlineStr">
        <is>
          <t>UPPSALA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3261-2024</t>
        </is>
      </c>
      <c r="B1320" s="1" t="n">
        <v>45317</v>
      </c>
      <c r="C1320" s="1" t="n">
        <v>45680</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3260-2024</t>
        </is>
      </c>
      <c r="B1321" s="1" t="n">
        <v>45317</v>
      </c>
      <c r="C1321" s="1" t="n">
        <v>45680</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3813-2024</t>
        </is>
      </c>
      <c r="B1322" s="1" t="n">
        <v>45321</v>
      </c>
      <c r="C1322" s="1" t="n">
        <v>45680</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4065-2024</t>
        </is>
      </c>
      <c r="B1323" s="1" t="n">
        <v>45323</v>
      </c>
      <c r="C1323" s="1" t="n">
        <v>45680</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4216-2024</t>
        </is>
      </c>
      <c r="B1324" s="1" t="n">
        <v>45324</v>
      </c>
      <c r="C1324" s="1" t="n">
        <v>45680</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45680</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4425-2024</t>
        </is>
      </c>
      <c r="B1326" s="1" t="n">
        <v>45327</v>
      </c>
      <c r="C1326" s="1" t="n">
        <v>45680</v>
      </c>
      <c r="D1326" t="inlineStr">
        <is>
          <t>UPPSALA LÄN</t>
        </is>
      </c>
      <c r="E1326" t="inlineStr">
        <is>
          <t>UPPSALA</t>
        </is>
      </c>
      <c r="F1326" t="inlineStr">
        <is>
          <t>Allmännings- och besparingsskogar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4461-2024</t>
        </is>
      </c>
      <c r="B1327" s="1" t="n">
        <v>45327</v>
      </c>
      <c r="C1327" s="1" t="n">
        <v>45680</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4503-2024</t>
        </is>
      </c>
      <c r="B1328" s="1" t="n">
        <v>45327</v>
      </c>
      <c r="C1328" s="1" t="n">
        <v>45680</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4509-2024</t>
        </is>
      </c>
      <c r="B1329" s="1" t="n">
        <v>45327</v>
      </c>
      <c r="C1329" s="1" t="n">
        <v>45680</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4980-2024</t>
        </is>
      </c>
      <c r="B1330" s="1" t="n">
        <v>45329</v>
      </c>
      <c r="C1330" s="1" t="n">
        <v>45680</v>
      </c>
      <c r="D1330" t="inlineStr">
        <is>
          <t>UPPSALA LÄN</t>
        </is>
      </c>
      <c r="E1330" t="inlineStr">
        <is>
          <t>UPPSALA</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5475-2024</t>
        </is>
      </c>
      <c r="B1331" s="1" t="n">
        <v>45333</v>
      </c>
      <c r="C1331" s="1" t="n">
        <v>45680</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5848-2024</t>
        </is>
      </c>
      <c r="B1332" s="1" t="n">
        <v>45335</v>
      </c>
      <c r="C1332" s="1" t="n">
        <v>45680</v>
      </c>
      <c r="D1332" t="inlineStr">
        <is>
          <t>UPPSALA LÄN</t>
        </is>
      </c>
      <c r="E1332" t="inlineStr">
        <is>
          <t>UPPSALA</t>
        </is>
      </c>
      <c r="F1332" t="inlineStr">
        <is>
          <t>Kyrkan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5899-2024</t>
        </is>
      </c>
      <c r="B1333" s="1" t="n">
        <v>45335</v>
      </c>
      <c r="C1333" s="1" t="n">
        <v>45680</v>
      </c>
      <c r="D1333" t="inlineStr">
        <is>
          <t>UPPSALA LÄN</t>
        </is>
      </c>
      <c r="E1333" t="inlineStr">
        <is>
          <t>UPPSALA</t>
        </is>
      </c>
      <c r="F1333" t="inlineStr">
        <is>
          <t>Allmännings- och besparingsskogar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5876-2024</t>
        </is>
      </c>
      <c r="B1334" s="1" t="n">
        <v>45335</v>
      </c>
      <c r="C1334" s="1" t="n">
        <v>45680</v>
      </c>
      <c r="D1334" t="inlineStr">
        <is>
          <t>UPPSALA LÄN</t>
        </is>
      </c>
      <c r="E1334" t="inlineStr">
        <is>
          <t>UPPSALA</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5896-2024</t>
        </is>
      </c>
      <c r="B1335" s="1" t="n">
        <v>45335</v>
      </c>
      <c r="C1335" s="1" t="n">
        <v>45680</v>
      </c>
      <c r="D1335" t="inlineStr">
        <is>
          <t>UPPSALA LÄN</t>
        </is>
      </c>
      <c r="E1335" t="inlineStr">
        <is>
          <t>UPPSALA</t>
        </is>
      </c>
      <c r="F1335" t="inlineStr">
        <is>
          <t>Allmännings- och besparingsskogar</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45680</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5975-2024</t>
        </is>
      </c>
      <c r="B1337" s="1" t="n">
        <v>45336</v>
      </c>
      <c r="C1337" s="1" t="n">
        <v>45680</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6024-2024</t>
        </is>
      </c>
      <c r="B1338" s="1" t="n">
        <v>45336</v>
      </c>
      <c r="C1338" s="1" t="n">
        <v>45680</v>
      </c>
      <c r="D1338" t="inlineStr">
        <is>
          <t>UPPSALA LÄN</t>
        </is>
      </c>
      <c r="E1338" t="inlineStr">
        <is>
          <t>UPPSALA</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6199-2024</t>
        </is>
      </c>
      <c r="B1339" s="1" t="n">
        <v>45337</v>
      </c>
      <c r="C1339" s="1" t="n">
        <v>45680</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6211-2024</t>
        </is>
      </c>
      <c r="B1340" s="1" t="n">
        <v>45337</v>
      </c>
      <c r="C1340" s="1" t="n">
        <v>45680</v>
      </c>
      <c r="D1340" t="inlineStr">
        <is>
          <t>UPPSALA LÄN</t>
        </is>
      </c>
      <c r="E1340" t="inlineStr">
        <is>
          <t>UPPSALA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6098-2024</t>
        </is>
      </c>
      <c r="B1341" s="1" t="n">
        <v>45337</v>
      </c>
      <c r="C1341" s="1" t="n">
        <v>45680</v>
      </c>
      <c r="D1341" t="inlineStr">
        <is>
          <t>UPPSALA LÄN</t>
        </is>
      </c>
      <c r="E1341" t="inlineStr">
        <is>
          <t>UPPSALA</t>
        </is>
      </c>
      <c r="F1341" t="inlineStr">
        <is>
          <t>Övriga Aktiebolag</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6363-2024</t>
        </is>
      </c>
      <c r="B1342" s="1" t="n">
        <v>45338</v>
      </c>
      <c r="C1342" s="1" t="n">
        <v>45680</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6501-2024</t>
        </is>
      </c>
      <c r="B1343" s="1" t="n">
        <v>45339</v>
      </c>
      <c r="C1343" s="1" t="n">
        <v>45680</v>
      </c>
      <c r="D1343" t="inlineStr">
        <is>
          <t>UPPSALA LÄN</t>
        </is>
      </c>
      <c r="E1343" t="inlineStr">
        <is>
          <t>UPPSALA</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6506-2024</t>
        </is>
      </c>
      <c r="B1344" s="1" t="n">
        <v>45339</v>
      </c>
      <c r="C1344" s="1" t="n">
        <v>45680</v>
      </c>
      <c r="D1344" t="inlineStr">
        <is>
          <t>UPPSALA LÄN</t>
        </is>
      </c>
      <c r="E1344" t="inlineStr">
        <is>
          <t>UPPSALA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6505-2024</t>
        </is>
      </c>
      <c r="B1345" s="1" t="n">
        <v>45339</v>
      </c>
      <c r="C1345" s="1" t="n">
        <v>45680</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6500-2024</t>
        </is>
      </c>
      <c r="B1346" s="1" t="n">
        <v>45339</v>
      </c>
      <c r="C1346" s="1" t="n">
        <v>45680</v>
      </c>
      <c r="D1346" t="inlineStr">
        <is>
          <t>UPPSALA LÄN</t>
        </is>
      </c>
      <c r="E1346" t="inlineStr">
        <is>
          <t>UPPSALA</t>
        </is>
      </c>
      <c r="F1346" t="inlineStr">
        <is>
          <t>Bergvik skog öst AB</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6504-2024</t>
        </is>
      </c>
      <c r="B1347" s="1" t="n">
        <v>45339</v>
      </c>
      <c r="C1347" s="1" t="n">
        <v>45680</v>
      </c>
      <c r="D1347" t="inlineStr">
        <is>
          <t>UPPSALA LÄN</t>
        </is>
      </c>
      <c r="E1347" t="inlineStr">
        <is>
          <t>UPPSALA</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6503-2024</t>
        </is>
      </c>
      <c r="B1348" s="1" t="n">
        <v>45339</v>
      </c>
      <c r="C1348" s="1" t="n">
        <v>45680</v>
      </c>
      <c r="D1348" t="inlineStr">
        <is>
          <t>UPPSALA LÄN</t>
        </is>
      </c>
      <c r="E1348" t="inlineStr">
        <is>
          <t>UPPSALA</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6507-2024</t>
        </is>
      </c>
      <c r="B1349" s="1" t="n">
        <v>45339</v>
      </c>
      <c r="C1349" s="1" t="n">
        <v>45680</v>
      </c>
      <c r="D1349" t="inlineStr">
        <is>
          <t>UPPSALA LÄN</t>
        </is>
      </c>
      <c r="E1349" t="inlineStr">
        <is>
          <t>UPPSALA</t>
        </is>
      </c>
      <c r="F1349" t="inlineStr">
        <is>
          <t>Bergvik skog öst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6628-2024</t>
        </is>
      </c>
      <c r="B1350" s="1" t="n">
        <v>45341</v>
      </c>
      <c r="C1350" s="1" t="n">
        <v>45680</v>
      </c>
      <c r="D1350" t="inlineStr">
        <is>
          <t>UPPSALA LÄN</t>
        </is>
      </c>
      <c r="E1350" t="inlineStr">
        <is>
          <t>UPPSALA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6630-2024</t>
        </is>
      </c>
      <c r="B1351" s="1" t="n">
        <v>45341</v>
      </c>
      <c r="C1351" s="1" t="n">
        <v>45680</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6650-2024</t>
        </is>
      </c>
      <c r="B1352" s="1" t="n">
        <v>45341</v>
      </c>
      <c r="C1352" s="1" t="n">
        <v>45680</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6676-2024</t>
        </is>
      </c>
      <c r="B1353" s="1" t="n">
        <v>45341</v>
      </c>
      <c r="C1353" s="1" t="n">
        <v>45680</v>
      </c>
      <c r="D1353" t="inlineStr">
        <is>
          <t>UPPSALA LÄN</t>
        </is>
      </c>
      <c r="E1353" t="inlineStr">
        <is>
          <t>UPPSALA</t>
        </is>
      </c>
      <c r="F1353" t="inlineStr">
        <is>
          <t>Bergvik skog öst AB</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6609-2024</t>
        </is>
      </c>
      <c r="B1354" s="1" t="n">
        <v>45341</v>
      </c>
      <c r="C1354" s="1" t="n">
        <v>45680</v>
      </c>
      <c r="D1354" t="inlineStr">
        <is>
          <t>UPPSALA LÄN</t>
        </is>
      </c>
      <c r="E1354" t="inlineStr">
        <is>
          <t>UPPSALA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6679-2024</t>
        </is>
      </c>
      <c r="B1355" s="1" t="n">
        <v>45341</v>
      </c>
      <c r="C1355" s="1" t="n">
        <v>45680</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45680</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6678-2024</t>
        </is>
      </c>
      <c r="B1357" s="1" t="n">
        <v>45341</v>
      </c>
      <c r="C1357" s="1" t="n">
        <v>45680</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6966-2024</t>
        </is>
      </c>
      <c r="B1358" s="1" t="n">
        <v>45343</v>
      </c>
      <c r="C1358" s="1" t="n">
        <v>45680</v>
      </c>
      <c r="D1358" t="inlineStr">
        <is>
          <t>UPPSALA LÄN</t>
        </is>
      </c>
      <c r="E1358" t="inlineStr">
        <is>
          <t>UPPSALA</t>
        </is>
      </c>
      <c r="F1358" t="inlineStr">
        <is>
          <t>Holmen skog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7253-2024</t>
        </is>
      </c>
      <c r="B1359" s="1" t="n">
        <v>45344</v>
      </c>
      <c r="C1359" s="1" t="n">
        <v>45680</v>
      </c>
      <c r="D1359" t="inlineStr">
        <is>
          <t>UPPSALA LÄN</t>
        </is>
      </c>
      <c r="E1359" t="inlineStr">
        <is>
          <t>UPPSALA</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7158-2024</t>
        </is>
      </c>
      <c r="B1360" s="1" t="n">
        <v>45344</v>
      </c>
      <c r="C1360" s="1" t="n">
        <v>45680</v>
      </c>
      <c r="D1360" t="inlineStr">
        <is>
          <t>UPPSALA LÄN</t>
        </is>
      </c>
      <c r="E1360" t="inlineStr">
        <is>
          <t>UPPSALA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7175-2024</t>
        </is>
      </c>
      <c r="B1361" s="1" t="n">
        <v>45344</v>
      </c>
      <c r="C1361" s="1" t="n">
        <v>45680</v>
      </c>
      <c r="D1361" t="inlineStr">
        <is>
          <t>UPPSALA LÄN</t>
        </is>
      </c>
      <c r="E1361" t="inlineStr">
        <is>
          <t>UPPSALA</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7275-2024</t>
        </is>
      </c>
      <c r="B1362" s="1" t="n">
        <v>45344</v>
      </c>
      <c r="C1362" s="1" t="n">
        <v>45680</v>
      </c>
      <c r="D1362" t="inlineStr">
        <is>
          <t>UPPSALA LÄN</t>
        </is>
      </c>
      <c r="E1362" t="inlineStr">
        <is>
          <t>UPPSALA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7226-2024</t>
        </is>
      </c>
      <c r="B1363" s="1" t="n">
        <v>45344</v>
      </c>
      <c r="C1363" s="1" t="n">
        <v>45680</v>
      </c>
      <c r="D1363" t="inlineStr">
        <is>
          <t>UPPSALA LÄN</t>
        </is>
      </c>
      <c r="E1363" t="inlineStr">
        <is>
          <t>UPPSALA</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7274-2024</t>
        </is>
      </c>
      <c r="B1364" s="1" t="n">
        <v>45344</v>
      </c>
      <c r="C1364" s="1" t="n">
        <v>45680</v>
      </c>
      <c r="D1364" t="inlineStr">
        <is>
          <t>UPPSALA LÄN</t>
        </is>
      </c>
      <c r="E1364" t="inlineStr">
        <is>
          <t>UPPSALA</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7278-2024</t>
        </is>
      </c>
      <c r="B1365" s="1" t="n">
        <v>45344</v>
      </c>
      <c r="C1365" s="1" t="n">
        <v>45680</v>
      </c>
      <c r="D1365" t="inlineStr">
        <is>
          <t>UPPSALA LÄN</t>
        </is>
      </c>
      <c r="E1365" t="inlineStr">
        <is>
          <t>UPPSALA</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7276-2024</t>
        </is>
      </c>
      <c r="B1366" s="1" t="n">
        <v>45344</v>
      </c>
      <c r="C1366" s="1" t="n">
        <v>45680</v>
      </c>
      <c r="D1366" t="inlineStr">
        <is>
          <t>UPPSALA LÄN</t>
        </is>
      </c>
      <c r="E1366" t="inlineStr">
        <is>
          <t>UPPSALA</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7389-2024</t>
        </is>
      </c>
      <c r="B1367" s="1" t="n">
        <v>45345</v>
      </c>
      <c r="C1367" s="1" t="n">
        <v>45680</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7390-2024</t>
        </is>
      </c>
      <c r="B1368" s="1" t="n">
        <v>45345</v>
      </c>
      <c r="C1368" s="1" t="n">
        <v>45680</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7400-2024</t>
        </is>
      </c>
      <c r="B1369" s="1" t="n">
        <v>45345</v>
      </c>
      <c r="C1369" s="1" t="n">
        <v>45680</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7388-2024</t>
        </is>
      </c>
      <c r="B1370" s="1" t="n">
        <v>45345</v>
      </c>
      <c r="C1370" s="1" t="n">
        <v>45680</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7407-2024</t>
        </is>
      </c>
      <c r="B1371" s="1" t="n">
        <v>45345</v>
      </c>
      <c r="C1371" s="1" t="n">
        <v>45680</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7403-2024</t>
        </is>
      </c>
      <c r="B1372" s="1" t="n">
        <v>45345</v>
      </c>
      <c r="C1372" s="1" t="n">
        <v>45680</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7649-2024</t>
        </is>
      </c>
      <c r="B1373" s="1" t="n">
        <v>45348</v>
      </c>
      <c r="C1373" s="1" t="n">
        <v>45680</v>
      </c>
      <c r="D1373" t="inlineStr">
        <is>
          <t>UPPSALA LÄN</t>
        </is>
      </c>
      <c r="E1373" t="inlineStr">
        <is>
          <t>UPPSALA</t>
        </is>
      </c>
      <c r="F1373" t="inlineStr">
        <is>
          <t>Kyrkan</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7654-2024</t>
        </is>
      </c>
      <c r="B1374" s="1" t="n">
        <v>45348</v>
      </c>
      <c r="C1374" s="1" t="n">
        <v>45680</v>
      </c>
      <c r="D1374" t="inlineStr">
        <is>
          <t>UPPSALA LÄN</t>
        </is>
      </c>
      <c r="E1374" t="inlineStr">
        <is>
          <t>UPPSALA</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7732-2024</t>
        </is>
      </c>
      <c r="B1375" s="1" t="n">
        <v>45349</v>
      </c>
      <c r="C1375" s="1" t="n">
        <v>45680</v>
      </c>
      <c r="D1375" t="inlineStr">
        <is>
          <t>UPPSALA LÄN</t>
        </is>
      </c>
      <c r="E1375" t="inlineStr">
        <is>
          <t>UPPSALA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7727-2024</t>
        </is>
      </c>
      <c r="B1376" s="1" t="n">
        <v>45349</v>
      </c>
      <c r="C1376" s="1" t="n">
        <v>45680</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7750-2024</t>
        </is>
      </c>
      <c r="B1377" s="1" t="n">
        <v>45349</v>
      </c>
      <c r="C1377" s="1" t="n">
        <v>45680</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7974-2024</t>
        </is>
      </c>
      <c r="B1378" s="1" t="n">
        <v>45350</v>
      </c>
      <c r="C1378" s="1" t="n">
        <v>45680</v>
      </c>
      <c r="D1378" t="inlineStr">
        <is>
          <t>UPPSALA LÄN</t>
        </is>
      </c>
      <c r="E1378" t="inlineStr">
        <is>
          <t>UPPSALA</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8132-2024</t>
        </is>
      </c>
      <c r="B1379" s="1" t="n">
        <v>45351</v>
      </c>
      <c r="C1379" s="1" t="n">
        <v>45680</v>
      </c>
      <c r="D1379" t="inlineStr">
        <is>
          <t>UPPSALA LÄN</t>
        </is>
      </c>
      <c r="E1379" t="inlineStr">
        <is>
          <t>UPPSALA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8109-2024</t>
        </is>
      </c>
      <c r="B1380" s="1" t="n">
        <v>45351</v>
      </c>
      <c r="C1380" s="1" t="n">
        <v>45680</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8672-2024</t>
        </is>
      </c>
      <c r="B1381" s="1" t="n">
        <v>45352</v>
      </c>
      <c r="C1381" s="1" t="n">
        <v>45680</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8338-2024</t>
        </is>
      </c>
      <c r="B1382" s="1" t="n">
        <v>45352</v>
      </c>
      <c r="C1382" s="1" t="n">
        <v>45680</v>
      </c>
      <c r="D1382" t="inlineStr">
        <is>
          <t>UPPSALA LÄN</t>
        </is>
      </c>
      <c r="E1382" t="inlineStr">
        <is>
          <t>UPPSALA</t>
        </is>
      </c>
      <c r="F1382" t="inlineStr">
        <is>
          <t>Kyrkan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9235-2024</t>
        </is>
      </c>
      <c r="B1383" s="1" t="n">
        <v>45357</v>
      </c>
      <c r="C1383" s="1" t="n">
        <v>45680</v>
      </c>
      <c r="D1383" t="inlineStr">
        <is>
          <t>UPPSALA LÄN</t>
        </is>
      </c>
      <c r="E1383" t="inlineStr">
        <is>
          <t>UPPSALA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9201-2024</t>
        </is>
      </c>
      <c r="B1384" s="1" t="n">
        <v>45358</v>
      </c>
      <c r="C1384" s="1" t="n">
        <v>45680</v>
      </c>
      <c r="D1384" t="inlineStr">
        <is>
          <t>UPPSALA LÄN</t>
        </is>
      </c>
      <c r="E1384" t="inlineStr">
        <is>
          <t>UPPSALA</t>
        </is>
      </c>
      <c r="F1384" t="inlineStr">
        <is>
          <t>Allmännings- och besparingsskogar</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9195-2024</t>
        </is>
      </c>
      <c r="B1385" s="1" t="n">
        <v>45358</v>
      </c>
      <c r="C1385" s="1" t="n">
        <v>45680</v>
      </c>
      <c r="D1385" t="inlineStr">
        <is>
          <t>UPPSALA LÄN</t>
        </is>
      </c>
      <c r="E1385" t="inlineStr">
        <is>
          <t>UPPSALA</t>
        </is>
      </c>
      <c r="F1385" t="inlineStr">
        <is>
          <t>Allmännings- och besparingsskogar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9255-2024</t>
        </is>
      </c>
      <c r="B1386" s="1" t="n">
        <v>45358</v>
      </c>
      <c r="C1386" s="1" t="n">
        <v>45680</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9428-2024</t>
        </is>
      </c>
      <c r="B1387" s="1" t="n">
        <v>45359</v>
      </c>
      <c r="C1387" s="1" t="n">
        <v>45680</v>
      </c>
      <c r="D1387" t="inlineStr">
        <is>
          <t>UPPSALA LÄN</t>
        </is>
      </c>
      <c r="E1387" t="inlineStr">
        <is>
          <t>UPPSALA</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9453-2024</t>
        </is>
      </c>
      <c r="B1388" s="1" t="n">
        <v>45359</v>
      </c>
      <c r="C1388" s="1" t="n">
        <v>45680</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9608-2024</t>
        </is>
      </c>
      <c r="B1389" s="1" t="n">
        <v>45361</v>
      </c>
      <c r="C1389" s="1" t="n">
        <v>45680</v>
      </c>
      <c r="D1389" t="inlineStr">
        <is>
          <t>UPPSALA LÄN</t>
        </is>
      </c>
      <c r="E1389" t="inlineStr">
        <is>
          <t>UPPSALA</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9609-2024</t>
        </is>
      </c>
      <c r="B1390" s="1" t="n">
        <v>45361</v>
      </c>
      <c r="C1390" s="1" t="n">
        <v>45680</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9610-2024</t>
        </is>
      </c>
      <c r="B1391" s="1" t="n">
        <v>45361</v>
      </c>
      <c r="C1391" s="1" t="n">
        <v>45680</v>
      </c>
      <c r="D1391" t="inlineStr">
        <is>
          <t>UPPSALA LÄN</t>
        </is>
      </c>
      <c r="E1391" t="inlineStr">
        <is>
          <t>UPPSALA</t>
        </is>
      </c>
      <c r="F1391" t="inlineStr">
        <is>
          <t>Bergvik skog öst AB</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9625-2024</t>
        </is>
      </c>
      <c r="B1392" s="1" t="n">
        <v>45361</v>
      </c>
      <c r="C1392" s="1" t="n">
        <v>45680</v>
      </c>
      <c r="D1392" t="inlineStr">
        <is>
          <t>UPPSALA LÄN</t>
        </is>
      </c>
      <c r="E1392" t="inlineStr">
        <is>
          <t>UPPSALA</t>
        </is>
      </c>
      <c r="F1392" t="inlineStr">
        <is>
          <t>Bergvik skog öst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9611-2024</t>
        </is>
      </c>
      <c r="B1393" s="1" t="n">
        <v>45361</v>
      </c>
      <c r="C1393" s="1" t="n">
        <v>45680</v>
      </c>
      <c r="D1393" t="inlineStr">
        <is>
          <t>UPPSALA LÄN</t>
        </is>
      </c>
      <c r="E1393" t="inlineStr">
        <is>
          <t>UPPSALA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9735-2024</t>
        </is>
      </c>
      <c r="B1394" s="1" t="n">
        <v>45362</v>
      </c>
      <c r="C1394" s="1" t="n">
        <v>45680</v>
      </c>
      <c r="D1394" t="inlineStr">
        <is>
          <t>UPPSALA LÄN</t>
        </is>
      </c>
      <c r="E1394" t="inlineStr">
        <is>
          <t>UPPSALA</t>
        </is>
      </c>
      <c r="F1394" t="inlineStr">
        <is>
          <t>Bergvik skog öst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9675-2024</t>
        </is>
      </c>
      <c r="B1395" s="1" t="n">
        <v>45362</v>
      </c>
      <c r="C1395" s="1" t="n">
        <v>45680</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9914-2024</t>
        </is>
      </c>
      <c r="B1396" s="1" t="n">
        <v>45363</v>
      </c>
      <c r="C1396" s="1" t="n">
        <v>45680</v>
      </c>
      <c r="D1396" t="inlineStr">
        <is>
          <t>UPPSALA LÄN</t>
        </is>
      </c>
      <c r="E1396" t="inlineStr">
        <is>
          <t>UPPSALA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9917-2024</t>
        </is>
      </c>
      <c r="B1397" s="1" t="n">
        <v>45363</v>
      </c>
      <c r="C1397" s="1" t="n">
        <v>45680</v>
      </c>
      <c r="D1397" t="inlineStr">
        <is>
          <t>UPPSALA LÄN</t>
        </is>
      </c>
      <c r="E1397" t="inlineStr">
        <is>
          <t>UPPSALA</t>
        </is>
      </c>
      <c r="F1397" t="inlineStr">
        <is>
          <t>Bergvik skog väst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10086-2024</t>
        </is>
      </c>
      <c r="B1398" s="1" t="n">
        <v>45364</v>
      </c>
      <c r="C1398" s="1" t="n">
        <v>45680</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10146-2024</t>
        </is>
      </c>
      <c r="B1399" s="1" t="n">
        <v>45364</v>
      </c>
      <c r="C1399" s="1" t="n">
        <v>45680</v>
      </c>
      <c r="D1399" t="inlineStr">
        <is>
          <t>UPPSALA LÄN</t>
        </is>
      </c>
      <c r="E1399" t="inlineStr">
        <is>
          <t>UPPSALA</t>
        </is>
      </c>
      <c r="F1399" t="inlineStr">
        <is>
          <t>Bergvik skog öst AB</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10477-2024</t>
        </is>
      </c>
      <c r="B1400" s="1" t="n">
        <v>45366</v>
      </c>
      <c r="C1400" s="1" t="n">
        <v>45680</v>
      </c>
      <c r="D1400" t="inlineStr">
        <is>
          <t>UPPSALA LÄN</t>
        </is>
      </c>
      <c r="E1400" t="inlineStr">
        <is>
          <t>UPPSALA</t>
        </is>
      </c>
      <c r="F1400" t="inlineStr">
        <is>
          <t>Holmen skog AB</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10474-2024</t>
        </is>
      </c>
      <c r="B1401" s="1" t="n">
        <v>45366</v>
      </c>
      <c r="C1401" s="1" t="n">
        <v>45680</v>
      </c>
      <c r="D1401" t="inlineStr">
        <is>
          <t>UPPSALA LÄN</t>
        </is>
      </c>
      <c r="E1401" t="inlineStr">
        <is>
          <t>UPPSALA</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10650-2024</t>
        </is>
      </c>
      <c r="B1402" s="1" t="n">
        <v>45368</v>
      </c>
      <c r="C1402" s="1" t="n">
        <v>45680</v>
      </c>
      <c r="D1402" t="inlineStr">
        <is>
          <t>UPPSALA LÄN</t>
        </is>
      </c>
      <c r="E1402" t="inlineStr">
        <is>
          <t>UPPSALA</t>
        </is>
      </c>
      <c r="F1402" t="inlineStr">
        <is>
          <t>Bergvik skog öst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10651-2024</t>
        </is>
      </c>
      <c r="B1403" s="1" t="n">
        <v>45368</v>
      </c>
      <c r="C1403" s="1" t="n">
        <v>45680</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10653-2024</t>
        </is>
      </c>
      <c r="B1404" s="1" t="n">
        <v>45368</v>
      </c>
      <c r="C1404" s="1" t="n">
        <v>45680</v>
      </c>
      <c r="D1404" t="inlineStr">
        <is>
          <t>UPPSALA LÄN</t>
        </is>
      </c>
      <c r="E1404" t="inlineStr">
        <is>
          <t>UPPSALA</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10652-2024</t>
        </is>
      </c>
      <c r="B1405" s="1" t="n">
        <v>45368</v>
      </c>
      <c r="C1405" s="1" t="n">
        <v>45680</v>
      </c>
      <c r="D1405" t="inlineStr">
        <is>
          <t>UPPSALA LÄN</t>
        </is>
      </c>
      <c r="E1405" t="inlineStr">
        <is>
          <t>UPPSALA</t>
        </is>
      </c>
      <c r="F1405" t="inlineStr">
        <is>
          <t>Bergvik skog öst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10827-2024</t>
        </is>
      </c>
      <c r="B1406" s="1" t="n">
        <v>45369</v>
      </c>
      <c r="C1406" s="1" t="n">
        <v>45680</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10782-2024</t>
        </is>
      </c>
      <c r="B1407" s="1" t="n">
        <v>45369</v>
      </c>
      <c r="C1407" s="1" t="n">
        <v>45680</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11169-2024</t>
        </is>
      </c>
      <c r="B1408" s="1" t="n">
        <v>45371</v>
      </c>
      <c r="C1408" s="1" t="n">
        <v>45680</v>
      </c>
      <c r="D1408" t="inlineStr">
        <is>
          <t>UPPSALA LÄN</t>
        </is>
      </c>
      <c r="E1408" t="inlineStr">
        <is>
          <t>UPPSALA</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11173-2024</t>
        </is>
      </c>
      <c r="B1409" s="1" t="n">
        <v>45371</v>
      </c>
      <c r="C1409" s="1" t="n">
        <v>45680</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11159-2024</t>
        </is>
      </c>
      <c r="B1410" s="1" t="n">
        <v>45371</v>
      </c>
      <c r="C1410" s="1" t="n">
        <v>45680</v>
      </c>
      <c r="D1410" t="inlineStr">
        <is>
          <t>UPPSALA LÄN</t>
        </is>
      </c>
      <c r="E1410" t="inlineStr">
        <is>
          <t>UPPSALA</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11191-2024</t>
        </is>
      </c>
      <c r="B1411" s="1" t="n">
        <v>45371</v>
      </c>
      <c r="C1411" s="1" t="n">
        <v>45680</v>
      </c>
      <c r="D1411" t="inlineStr">
        <is>
          <t>UPPSALA LÄN</t>
        </is>
      </c>
      <c r="E1411" t="inlineStr">
        <is>
          <t>UPPSALA</t>
        </is>
      </c>
      <c r="F1411" t="inlineStr">
        <is>
          <t>Allmännings- och besparingsskogar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11166-2024</t>
        </is>
      </c>
      <c r="B1412" s="1" t="n">
        <v>45371</v>
      </c>
      <c r="C1412" s="1" t="n">
        <v>45680</v>
      </c>
      <c r="D1412" t="inlineStr">
        <is>
          <t>UPPSALA LÄN</t>
        </is>
      </c>
      <c r="E1412" t="inlineStr">
        <is>
          <t>UPPSALA</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11201-2024</t>
        </is>
      </c>
      <c r="B1413" s="1" t="n">
        <v>45371</v>
      </c>
      <c r="C1413" s="1" t="n">
        <v>45680</v>
      </c>
      <c r="D1413" t="inlineStr">
        <is>
          <t>UPPSALA LÄN</t>
        </is>
      </c>
      <c r="E1413" t="inlineStr">
        <is>
          <t>UPPSALA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11277-2024</t>
        </is>
      </c>
      <c r="B1414" s="1" t="n">
        <v>45371</v>
      </c>
      <c r="C1414" s="1" t="n">
        <v>45680</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11289-2024</t>
        </is>
      </c>
      <c r="B1415" s="1" t="n">
        <v>45371</v>
      </c>
      <c r="C1415" s="1" t="n">
        <v>45680</v>
      </c>
      <c r="D1415" t="inlineStr">
        <is>
          <t>UPPSALA LÄN</t>
        </is>
      </c>
      <c r="E1415" t="inlineStr">
        <is>
          <t>UPPSALA</t>
        </is>
      </c>
      <c r="F1415" t="inlineStr">
        <is>
          <t>Allmännings- och besparingsskogar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11200-2024</t>
        </is>
      </c>
      <c r="B1416" s="1" t="n">
        <v>45371</v>
      </c>
      <c r="C1416" s="1" t="n">
        <v>45680</v>
      </c>
      <c r="D1416" t="inlineStr">
        <is>
          <t>UPPSALA LÄN</t>
        </is>
      </c>
      <c r="E1416" t="inlineStr">
        <is>
          <t>UPPSALA</t>
        </is>
      </c>
      <c r="F1416" t="inlineStr">
        <is>
          <t>Allmännings- och besparingsskogar</t>
        </is>
      </c>
      <c r="G1416" t="n">
        <v>22.8</v>
      </c>
      <c r="H1416" t="n">
        <v>0</v>
      </c>
      <c r="I1416" t="n">
        <v>0</v>
      </c>
      <c r="J1416" t="n">
        <v>0</v>
      </c>
      <c r="K1416" t="n">
        <v>0</v>
      </c>
      <c r="L1416" t="n">
        <v>0</v>
      </c>
      <c r="M1416" t="n">
        <v>0</v>
      </c>
      <c r="N1416" t="n">
        <v>0</v>
      </c>
      <c r="O1416" t="n">
        <v>0</v>
      </c>
      <c r="P1416" t="n">
        <v>0</v>
      </c>
      <c r="Q1416" t="n">
        <v>0</v>
      </c>
      <c r="R1416" s="2" t="inlineStr"/>
    </row>
    <row r="1417" ht="15" customHeight="1">
      <c r="A1417" t="inlineStr">
        <is>
          <t>A 11260-2024</t>
        </is>
      </c>
      <c r="B1417" s="1" t="n">
        <v>45371</v>
      </c>
      <c r="C1417" s="1" t="n">
        <v>45680</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11457-2024</t>
        </is>
      </c>
      <c r="B1418" s="1" t="n">
        <v>45372</v>
      </c>
      <c r="C1418" s="1" t="n">
        <v>45680</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11677-2024</t>
        </is>
      </c>
      <c r="B1419" s="1" t="n">
        <v>45373</v>
      </c>
      <c r="C1419" s="1" t="n">
        <v>45680</v>
      </c>
      <c r="D1419" t="inlineStr">
        <is>
          <t>UPPSALA LÄN</t>
        </is>
      </c>
      <c r="E1419" t="inlineStr">
        <is>
          <t>UPPSALA</t>
        </is>
      </c>
      <c r="F1419" t="inlineStr">
        <is>
          <t>Holmen skog AB</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11719-2024</t>
        </is>
      </c>
      <c r="B1420" s="1" t="n">
        <v>45373</v>
      </c>
      <c r="C1420" s="1" t="n">
        <v>45680</v>
      </c>
      <c r="D1420" t="inlineStr">
        <is>
          <t>UPPSALA LÄN</t>
        </is>
      </c>
      <c r="E1420" t="inlineStr">
        <is>
          <t>UPPSALA</t>
        </is>
      </c>
      <c r="F1420" t="inlineStr">
        <is>
          <t>Holmen skog AB</t>
        </is>
      </c>
      <c r="G1420" t="n">
        <v>18.3</v>
      </c>
      <c r="H1420" t="n">
        <v>0</v>
      </c>
      <c r="I1420" t="n">
        <v>0</v>
      </c>
      <c r="J1420" t="n">
        <v>0</v>
      </c>
      <c r="K1420" t="n">
        <v>0</v>
      </c>
      <c r="L1420" t="n">
        <v>0</v>
      </c>
      <c r="M1420" t="n">
        <v>0</v>
      </c>
      <c r="N1420" t="n">
        <v>0</v>
      </c>
      <c r="O1420" t="n">
        <v>0</v>
      </c>
      <c r="P1420" t="n">
        <v>0</v>
      </c>
      <c r="Q1420" t="n">
        <v>0</v>
      </c>
      <c r="R1420" s="2" t="inlineStr"/>
    </row>
    <row r="1421" ht="15" customHeight="1">
      <c r="A1421" t="inlineStr">
        <is>
          <t>A 12345-2024</t>
        </is>
      </c>
      <c r="B1421" s="1" t="n">
        <v>45378</v>
      </c>
      <c r="C1421" s="1" t="n">
        <v>45680</v>
      </c>
      <c r="D1421" t="inlineStr">
        <is>
          <t>UPPSALA LÄN</t>
        </is>
      </c>
      <c r="E1421" t="inlineStr">
        <is>
          <t>UPPSALA</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12346-2024</t>
        </is>
      </c>
      <c r="B1422" s="1" t="n">
        <v>45378</v>
      </c>
      <c r="C1422" s="1" t="n">
        <v>45680</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12347-2024</t>
        </is>
      </c>
      <c r="B1423" s="1" t="n">
        <v>45378</v>
      </c>
      <c r="C1423" s="1" t="n">
        <v>45680</v>
      </c>
      <c r="D1423" t="inlineStr">
        <is>
          <t>UPPSALA LÄN</t>
        </is>
      </c>
      <c r="E1423" t="inlineStr">
        <is>
          <t>UPPSALA</t>
        </is>
      </c>
      <c r="F1423" t="inlineStr">
        <is>
          <t>Bergvik skog öst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12507-2024</t>
        </is>
      </c>
      <c r="B1424" s="1" t="n">
        <v>45379</v>
      </c>
      <c r="C1424" s="1" t="n">
        <v>45680</v>
      </c>
      <c r="D1424" t="inlineStr">
        <is>
          <t>UPPSALA LÄN</t>
        </is>
      </c>
      <c r="E1424" t="inlineStr">
        <is>
          <t>UPPSALA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13100-2024</t>
        </is>
      </c>
      <c r="B1425" s="1" t="n">
        <v>45385</v>
      </c>
      <c r="C1425" s="1" t="n">
        <v>45680</v>
      </c>
      <c r="D1425" t="inlineStr">
        <is>
          <t>UPPSALA LÄN</t>
        </is>
      </c>
      <c r="E1425" t="inlineStr">
        <is>
          <t>UPPSALA</t>
        </is>
      </c>
      <c r="F1425" t="inlineStr">
        <is>
          <t>Holmen skog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13305-2024</t>
        </is>
      </c>
      <c r="B1426" s="1" t="n">
        <v>45386</v>
      </c>
      <c r="C1426" s="1" t="n">
        <v>45680</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13303-2024</t>
        </is>
      </c>
      <c r="B1427" s="1" t="n">
        <v>45386</v>
      </c>
      <c r="C1427" s="1" t="n">
        <v>45680</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13302-2024</t>
        </is>
      </c>
      <c r="B1428" s="1" t="n">
        <v>45386</v>
      </c>
      <c r="C1428" s="1" t="n">
        <v>45680</v>
      </c>
      <c r="D1428" t="inlineStr">
        <is>
          <t>UPPSALA LÄN</t>
        </is>
      </c>
      <c r="E1428" t="inlineStr">
        <is>
          <t>UPPSALA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13379-2024</t>
        </is>
      </c>
      <c r="B1429" s="1" t="n">
        <v>45387</v>
      </c>
      <c r="C1429" s="1" t="n">
        <v>45680</v>
      </c>
      <c r="D1429" t="inlineStr">
        <is>
          <t>UPPSALA LÄN</t>
        </is>
      </c>
      <c r="E1429" t="inlineStr">
        <is>
          <t>UPPSALA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13644-2024</t>
        </is>
      </c>
      <c r="B1430" s="1" t="n">
        <v>45390</v>
      </c>
      <c r="C1430" s="1" t="n">
        <v>45680</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13799-2024</t>
        </is>
      </c>
      <c r="B1431" s="1" t="n">
        <v>45391</v>
      </c>
      <c r="C1431" s="1" t="n">
        <v>45680</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14533-2024</t>
        </is>
      </c>
      <c r="B1432" s="1" t="n">
        <v>45394</v>
      </c>
      <c r="C1432" s="1" t="n">
        <v>45680</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14401-2024</t>
        </is>
      </c>
      <c r="B1433" s="1" t="n">
        <v>45394</v>
      </c>
      <c r="C1433" s="1" t="n">
        <v>45680</v>
      </c>
      <c r="D1433" t="inlineStr">
        <is>
          <t>UPPSALA LÄN</t>
        </is>
      </c>
      <c r="E1433" t="inlineStr">
        <is>
          <t>UPPSALA</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14528-2024</t>
        </is>
      </c>
      <c r="B1434" s="1" t="n">
        <v>45394</v>
      </c>
      <c r="C1434" s="1" t="n">
        <v>45680</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14404-2024</t>
        </is>
      </c>
      <c r="B1435" s="1" t="n">
        <v>45394</v>
      </c>
      <c r="C1435" s="1" t="n">
        <v>45680</v>
      </c>
      <c r="D1435" t="inlineStr">
        <is>
          <t>UPPSALA LÄN</t>
        </is>
      </c>
      <c r="E1435" t="inlineStr">
        <is>
          <t>UPPSALA</t>
        </is>
      </c>
      <c r="F1435" t="inlineStr">
        <is>
          <t>Övriga statliga verk och myndigheter</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14523-2024</t>
        </is>
      </c>
      <c r="B1436" s="1" t="n">
        <v>45394</v>
      </c>
      <c r="C1436" s="1" t="n">
        <v>45680</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14643-2024</t>
        </is>
      </c>
      <c r="B1437" s="1" t="n">
        <v>45397</v>
      </c>
      <c r="C1437" s="1" t="n">
        <v>45680</v>
      </c>
      <c r="D1437" t="inlineStr">
        <is>
          <t>UPPSALA LÄN</t>
        </is>
      </c>
      <c r="E1437" t="inlineStr">
        <is>
          <t>UPPSALA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14672-2024</t>
        </is>
      </c>
      <c r="B1438" s="1" t="n">
        <v>45397</v>
      </c>
      <c r="C1438" s="1" t="n">
        <v>45680</v>
      </c>
      <c r="D1438" t="inlineStr">
        <is>
          <t>UPPSALA LÄN</t>
        </is>
      </c>
      <c r="E1438" t="inlineStr">
        <is>
          <t>UPPSALA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15254-2024</t>
        </is>
      </c>
      <c r="B1439" s="1" t="n">
        <v>45400</v>
      </c>
      <c r="C1439" s="1" t="n">
        <v>45680</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15255-2024</t>
        </is>
      </c>
      <c r="B1440" s="1" t="n">
        <v>45400</v>
      </c>
      <c r="C1440" s="1" t="n">
        <v>45680</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15544-2024</t>
        </is>
      </c>
      <c r="B1441" s="1" t="n">
        <v>45401</v>
      </c>
      <c r="C1441" s="1" t="n">
        <v>45680</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16434-2024</t>
        </is>
      </c>
      <c r="B1442" s="1" t="n">
        <v>45407</v>
      </c>
      <c r="C1442" s="1" t="n">
        <v>45680</v>
      </c>
      <c r="D1442" t="inlineStr">
        <is>
          <t>UPPSALA LÄN</t>
        </is>
      </c>
      <c r="E1442" t="inlineStr">
        <is>
          <t>UPPSALA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16324-2024</t>
        </is>
      </c>
      <c r="B1443" s="1" t="n">
        <v>45407</v>
      </c>
      <c r="C1443" s="1" t="n">
        <v>45680</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17146-2024</t>
        </is>
      </c>
      <c r="B1444" s="1" t="n">
        <v>45412</v>
      </c>
      <c r="C1444" s="1" t="n">
        <v>45680</v>
      </c>
      <c r="D1444" t="inlineStr">
        <is>
          <t>UPPSALA LÄN</t>
        </is>
      </c>
      <c r="E1444" t="inlineStr">
        <is>
          <t>UPPSALA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17287-2024</t>
        </is>
      </c>
      <c r="B1445" s="1" t="n">
        <v>45414</v>
      </c>
      <c r="C1445" s="1" t="n">
        <v>45680</v>
      </c>
      <c r="D1445" t="inlineStr">
        <is>
          <t>UPPSALA LÄN</t>
        </is>
      </c>
      <c r="E1445" t="inlineStr">
        <is>
          <t>UPPSALA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17761-2024</t>
        </is>
      </c>
      <c r="B1446" s="1" t="n">
        <v>45418</v>
      </c>
      <c r="C1446" s="1" t="n">
        <v>45680</v>
      </c>
      <c r="D1446" t="inlineStr">
        <is>
          <t>UPPSALA LÄN</t>
        </is>
      </c>
      <c r="E1446" t="inlineStr">
        <is>
          <t>UPPSALA</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18069-2024</t>
        </is>
      </c>
      <c r="B1447" s="1" t="n">
        <v>45420</v>
      </c>
      <c r="C1447" s="1" t="n">
        <v>45680</v>
      </c>
      <c r="D1447" t="inlineStr">
        <is>
          <t>UPPSALA LÄN</t>
        </is>
      </c>
      <c r="E1447" t="inlineStr">
        <is>
          <t>UPPSALA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18354-2024</t>
        </is>
      </c>
      <c r="B1448" s="1" t="n">
        <v>45422</v>
      </c>
      <c r="C1448" s="1" t="n">
        <v>45680</v>
      </c>
      <c r="D1448" t="inlineStr">
        <is>
          <t>UPPSALA LÄN</t>
        </is>
      </c>
      <c r="E1448" t="inlineStr">
        <is>
          <t>UPPSALA</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18607-2024</t>
        </is>
      </c>
      <c r="B1449" s="1" t="n">
        <v>45426</v>
      </c>
      <c r="C1449" s="1" t="n">
        <v>45680</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18677-2024</t>
        </is>
      </c>
      <c r="B1450" s="1" t="n">
        <v>45426</v>
      </c>
      <c r="C1450" s="1" t="n">
        <v>45680</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18667-2024</t>
        </is>
      </c>
      <c r="B1451" s="1" t="n">
        <v>45426</v>
      </c>
      <c r="C1451" s="1" t="n">
        <v>45680</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18670-2024</t>
        </is>
      </c>
      <c r="B1452" s="1" t="n">
        <v>45426</v>
      </c>
      <c r="C1452" s="1" t="n">
        <v>45680</v>
      </c>
      <c r="D1452" t="inlineStr">
        <is>
          <t>UPPSALA LÄN</t>
        </is>
      </c>
      <c r="E1452" t="inlineStr">
        <is>
          <t>UPPSALA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18675-2024</t>
        </is>
      </c>
      <c r="B1453" s="1" t="n">
        <v>45426</v>
      </c>
      <c r="C1453" s="1" t="n">
        <v>45680</v>
      </c>
      <c r="D1453" t="inlineStr">
        <is>
          <t>UPPSALA LÄN</t>
        </is>
      </c>
      <c r="E1453" t="inlineStr">
        <is>
          <t>UPPSALA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18808-2024</t>
        </is>
      </c>
      <c r="B1454" s="1" t="n">
        <v>45426</v>
      </c>
      <c r="C1454" s="1" t="n">
        <v>45680</v>
      </c>
      <c r="D1454" t="inlineStr">
        <is>
          <t>UPPSALA LÄN</t>
        </is>
      </c>
      <c r="E1454" t="inlineStr">
        <is>
          <t>UPPSALA</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18668-2024</t>
        </is>
      </c>
      <c r="B1455" s="1" t="n">
        <v>45426</v>
      </c>
      <c r="C1455" s="1" t="n">
        <v>45680</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19164-2024</t>
        </is>
      </c>
      <c r="B1456" s="1" t="n">
        <v>45428</v>
      </c>
      <c r="C1456" s="1" t="n">
        <v>45680</v>
      </c>
      <c r="D1456" t="inlineStr">
        <is>
          <t>UPPSALA LÄN</t>
        </is>
      </c>
      <c r="E1456" t="inlineStr">
        <is>
          <t>UPPSALA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19126-2024</t>
        </is>
      </c>
      <c r="B1457" s="1" t="n">
        <v>45428</v>
      </c>
      <c r="C1457" s="1" t="n">
        <v>45680</v>
      </c>
      <c r="D1457" t="inlineStr">
        <is>
          <t>UPPSALA LÄN</t>
        </is>
      </c>
      <c r="E1457" t="inlineStr">
        <is>
          <t>UPPSALA</t>
        </is>
      </c>
      <c r="F1457" t="inlineStr">
        <is>
          <t>Allmännings- och besparingsskogar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19414-2024</t>
        </is>
      </c>
      <c r="B1458" s="1" t="n">
        <v>45429</v>
      </c>
      <c r="C1458" s="1" t="n">
        <v>45680</v>
      </c>
      <c r="D1458" t="inlineStr">
        <is>
          <t>UPPSALA LÄN</t>
        </is>
      </c>
      <c r="E1458" t="inlineStr">
        <is>
          <t>UPPSALA</t>
        </is>
      </c>
      <c r="F1458" t="inlineStr">
        <is>
          <t>Kyrkan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19539-2024</t>
        </is>
      </c>
      <c r="B1459" s="1" t="n">
        <v>45429</v>
      </c>
      <c r="C1459" s="1" t="n">
        <v>45680</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20466-2024</t>
        </is>
      </c>
      <c r="B1460" s="1" t="n">
        <v>45435</v>
      </c>
      <c r="C1460" s="1" t="n">
        <v>45680</v>
      </c>
      <c r="D1460" t="inlineStr">
        <is>
          <t>UPPSALA LÄN</t>
        </is>
      </c>
      <c r="E1460" t="inlineStr">
        <is>
          <t>UPPSALA</t>
        </is>
      </c>
      <c r="F1460" t="inlineStr">
        <is>
          <t>Holmen skog AB</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20297-2024</t>
        </is>
      </c>
      <c r="B1461" s="1" t="n">
        <v>45435</v>
      </c>
      <c r="C1461" s="1" t="n">
        <v>45680</v>
      </c>
      <c r="D1461" t="inlineStr">
        <is>
          <t>UPPSALA LÄN</t>
        </is>
      </c>
      <c r="E1461" t="inlineStr">
        <is>
          <t>UPPSALA</t>
        </is>
      </c>
      <c r="F1461" t="inlineStr">
        <is>
          <t>Kyrkan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20301-2024</t>
        </is>
      </c>
      <c r="B1462" s="1" t="n">
        <v>45435</v>
      </c>
      <c r="C1462" s="1" t="n">
        <v>45680</v>
      </c>
      <c r="D1462" t="inlineStr">
        <is>
          <t>UPPSALA LÄN</t>
        </is>
      </c>
      <c r="E1462" t="inlineStr">
        <is>
          <t>UPPSALA</t>
        </is>
      </c>
      <c r="F1462" t="inlineStr">
        <is>
          <t>Kyrkan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20375-2024</t>
        </is>
      </c>
      <c r="B1463" s="1" t="n">
        <v>45435</v>
      </c>
      <c r="C1463" s="1" t="n">
        <v>45680</v>
      </c>
      <c r="D1463" t="inlineStr">
        <is>
          <t>UPPSALA LÄN</t>
        </is>
      </c>
      <c r="E1463" t="inlineStr">
        <is>
          <t>UPPSALA</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20459-2024</t>
        </is>
      </c>
      <c r="B1464" s="1" t="n">
        <v>45435</v>
      </c>
      <c r="C1464" s="1" t="n">
        <v>45680</v>
      </c>
      <c r="D1464" t="inlineStr">
        <is>
          <t>UPPSALA LÄN</t>
        </is>
      </c>
      <c r="E1464" t="inlineStr">
        <is>
          <t>UPPSALA</t>
        </is>
      </c>
      <c r="F1464" t="inlineStr">
        <is>
          <t>Kyrkan</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20458-2024</t>
        </is>
      </c>
      <c r="B1465" s="1" t="n">
        <v>45435</v>
      </c>
      <c r="C1465" s="1" t="n">
        <v>45680</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20711-2024</t>
        </is>
      </c>
      <c r="B1466" s="1" t="n">
        <v>45436</v>
      </c>
      <c r="C1466" s="1" t="n">
        <v>45680</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20851-2024</t>
        </is>
      </c>
      <c r="B1467" s="1" t="n">
        <v>45439</v>
      </c>
      <c r="C1467" s="1" t="n">
        <v>45680</v>
      </c>
      <c r="D1467" t="inlineStr">
        <is>
          <t>UPPSALA LÄN</t>
        </is>
      </c>
      <c r="E1467" t="inlineStr">
        <is>
          <t>UPPSALA</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21015-2024</t>
        </is>
      </c>
      <c r="B1468" s="1" t="n">
        <v>45439</v>
      </c>
      <c r="C1468" s="1" t="n">
        <v>45680</v>
      </c>
      <c r="D1468" t="inlineStr">
        <is>
          <t>UPPSALA LÄN</t>
        </is>
      </c>
      <c r="E1468" t="inlineStr">
        <is>
          <t>UPPSALA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20903-2024</t>
        </is>
      </c>
      <c r="B1469" s="1" t="n">
        <v>45439</v>
      </c>
      <c r="C1469" s="1" t="n">
        <v>45680</v>
      </c>
      <c r="D1469" t="inlineStr">
        <is>
          <t>UPPSALA LÄN</t>
        </is>
      </c>
      <c r="E1469" t="inlineStr">
        <is>
          <t>UPPSALA</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21182-2024</t>
        </is>
      </c>
      <c r="B1470" s="1" t="n">
        <v>45440</v>
      </c>
      <c r="C1470" s="1" t="n">
        <v>45680</v>
      </c>
      <c r="D1470" t="inlineStr">
        <is>
          <t>UPPSALA LÄN</t>
        </is>
      </c>
      <c r="E1470" t="inlineStr">
        <is>
          <t>UPPSALA</t>
        </is>
      </c>
      <c r="F1470" t="inlineStr">
        <is>
          <t>Holmen skog AB</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21310-2024</t>
        </is>
      </c>
      <c r="B1471" s="1" t="n">
        <v>45440</v>
      </c>
      <c r="C1471" s="1" t="n">
        <v>45680</v>
      </c>
      <c r="D1471" t="inlineStr">
        <is>
          <t>UPPSALA LÄN</t>
        </is>
      </c>
      <c r="E1471" t="inlineStr">
        <is>
          <t>UPPSALA</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21526-2024</t>
        </is>
      </c>
      <c r="B1472" s="1" t="n">
        <v>45441</v>
      </c>
      <c r="C1472" s="1" t="n">
        <v>45680</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21555-2024</t>
        </is>
      </c>
      <c r="B1473" s="1" t="n">
        <v>45441</v>
      </c>
      <c r="C1473" s="1" t="n">
        <v>45680</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21657-2024</t>
        </is>
      </c>
      <c r="B1474" s="1" t="n">
        <v>45442</v>
      </c>
      <c r="C1474" s="1" t="n">
        <v>45680</v>
      </c>
      <c r="D1474" t="inlineStr">
        <is>
          <t>UPPSALA LÄN</t>
        </is>
      </c>
      <c r="E1474" t="inlineStr">
        <is>
          <t>UPPSALA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21786-2024</t>
        </is>
      </c>
      <c r="B1475" s="1" t="n">
        <v>45442</v>
      </c>
      <c r="C1475" s="1" t="n">
        <v>45680</v>
      </c>
      <c r="D1475" t="inlineStr">
        <is>
          <t>UPPSALA LÄN</t>
        </is>
      </c>
      <c r="E1475" t="inlineStr">
        <is>
          <t>UPPSALA</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21641-2024</t>
        </is>
      </c>
      <c r="B1476" s="1" t="n">
        <v>45442</v>
      </c>
      <c r="C1476" s="1" t="n">
        <v>45680</v>
      </c>
      <c r="D1476" t="inlineStr">
        <is>
          <t>UPPSALA LÄN</t>
        </is>
      </c>
      <c r="E1476" t="inlineStr">
        <is>
          <t>UPPSALA</t>
        </is>
      </c>
      <c r="F1476" t="inlineStr">
        <is>
          <t>Kyrkan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21859-2024</t>
        </is>
      </c>
      <c r="B1477" s="1" t="n">
        <v>45443</v>
      </c>
      <c r="C1477" s="1" t="n">
        <v>45680</v>
      </c>
      <c r="D1477" t="inlineStr">
        <is>
          <t>UPPSALA LÄN</t>
        </is>
      </c>
      <c r="E1477" t="inlineStr">
        <is>
          <t>UPPSALA</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22431-2024</t>
        </is>
      </c>
      <c r="B1478" s="1" t="n">
        <v>45446</v>
      </c>
      <c r="C1478" s="1" t="n">
        <v>45680</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22437-2024</t>
        </is>
      </c>
      <c r="B1479" s="1" t="n">
        <v>45446</v>
      </c>
      <c r="C1479" s="1" t="n">
        <v>45680</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22433-2024</t>
        </is>
      </c>
      <c r="B1480" s="1" t="n">
        <v>45446</v>
      </c>
      <c r="C1480" s="1" t="n">
        <v>45680</v>
      </c>
      <c r="D1480" t="inlineStr">
        <is>
          <t>UPPSALA LÄN</t>
        </is>
      </c>
      <c r="E1480" t="inlineStr">
        <is>
          <t>UPPSALA</t>
        </is>
      </c>
      <c r="F1480" t="inlineStr">
        <is>
          <t>Bergvik skog öst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22432-2024</t>
        </is>
      </c>
      <c r="B1481" s="1" t="n">
        <v>45446</v>
      </c>
      <c r="C1481" s="1" t="n">
        <v>45680</v>
      </c>
      <c r="D1481" t="inlineStr">
        <is>
          <t>UPPSALA LÄN</t>
        </is>
      </c>
      <c r="E1481" t="inlineStr">
        <is>
          <t>UPPSALA</t>
        </is>
      </c>
      <c r="F1481" t="inlineStr">
        <is>
          <t>Bergvik skog öst AB</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22900-2024</t>
        </is>
      </c>
      <c r="B1482" s="1" t="n">
        <v>45448</v>
      </c>
      <c r="C1482" s="1" t="n">
        <v>45680</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23291-2024</t>
        </is>
      </c>
      <c r="B1483" s="1" t="n">
        <v>45453</v>
      </c>
      <c r="C1483" s="1" t="n">
        <v>45680</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23494-2024</t>
        </is>
      </c>
      <c r="B1484" s="1" t="n">
        <v>45453</v>
      </c>
      <c r="C1484" s="1" t="n">
        <v>45680</v>
      </c>
      <c r="D1484" t="inlineStr">
        <is>
          <t>UPPSALA LÄN</t>
        </is>
      </c>
      <c r="E1484" t="inlineStr">
        <is>
          <t>UPPSALA</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24098-2024</t>
        </is>
      </c>
      <c r="B1485" s="1" t="n">
        <v>45456</v>
      </c>
      <c r="C1485" s="1" t="n">
        <v>45680</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24091-2024</t>
        </is>
      </c>
      <c r="B1486" s="1" t="n">
        <v>45456</v>
      </c>
      <c r="C1486" s="1" t="n">
        <v>45680</v>
      </c>
      <c r="D1486" t="inlineStr">
        <is>
          <t>UPPSALA LÄN</t>
        </is>
      </c>
      <c r="E1486" t="inlineStr">
        <is>
          <t>UPPSALA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24787-2024</t>
        </is>
      </c>
      <c r="B1487" s="1" t="n">
        <v>45460</v>
      </c>
      <c r="C1487" s="1" t="n">
        <v>45680</v>
      </c>
      <c r="D1487" t="inlineStr">
        <is>
          <t>UPPSALA LÄN</t>
        </is>
      </c>
      <c r="E1487" t="inlineStr">
        <is>
          <t>UPPSALA</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25539-2024</t>
        </is>
      </c>
      <c r="B1488" s="1" t="n">
        <v>45463</v>
      </c>
      <c r="C1488" s="1" t="n">
        <v>45680</v>
      </c>
      <c r="D1488" t="inlineStr">
        <is>
          <t>UPPSALA LÄN</t>
        </is>
      </c>
      <c r="E1488" t="inlineStr">
        <is>
          <t>UPPSALA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25537-2024</t>
        </is>
      </c>
      <c r="B1489" s="1" t="n">
        <v>45463</v>
      </c>
      <c r="C1489" s="1" t="n">
        <v>45680</v>
      </c>
      <c r="D1489" t="inlineStr">
        <is>
          <t>UPPSALA LÄN</t>
        </is>
      </c>
      <c r="E1489" t="inlineStr">
        <is>
          <t>UPPSALA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25536-2024</t>
        </is>
      </c>
      <c r="B1490" s="1" t="n">
        <v>45463</v>
      </c>
      <c r="C1490" s="1" t="n">
        <v>45680</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25487-2024</t>
        </is>
      </c>
      <c r="B1491" s="1" t="n">
        <v>45463</v>
      </c>
      <c r="C1491" s="1" t="n">
        <v>45680</v>
      </c>
      <c r="D1491" t="inlineStr">
        <is>
          <t>UPPSALA LÄN</t>
        </is>
      </c>
      <c r="E1491" t="inlineStr">
        <is>
          <t>UPPSALA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25403-2024</t>
        </is>
      </c>
      <c r="B1492" s="1" t="n">
        <v>45463</v>
      </c>
      <c r="C1492" s="1" t="n">
        <v>45680</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25490-2024</t>
        </is>
      </c>
      <c r="B1493" s="1" t="n">
        <v>45463</v>
      </c>
      <c r="C1493" s="1" t="n">
        <v>45680</v>
      </c>
      <c r="D1493" t="inlineStr">
        <is>
          <t>UPPSALA LÄN</t>
        </is>
      </c>
      <c r="E1493" t="inlineStr">
        <is>
          <t>UPPSALA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26099-2024</t>
        </is>
      </c>
      <c r="B1494" s="1" t="n">
        <v>45468</v>
      </c>
      <c r="C1494" s="1" t="n">
        <v>45680</v>
      </c>
      <c r="D1494" t="inlineStr">
        <is>
          <t>UPPSALA LÄN</t>
        </is>
      </c>
      <c r="E1494" t="inlineStr">
        <is>
          <t>UPPSALA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27476-2024</t>
        </is>
      </c>
      <c r="B1495" s="1" t="n">
        <v>45474</v>
      </c>
      <c r="C1495" s="1" t="n">
        <v>45680</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27473-2024</t>
        </is>
      </c>
      <c r="B1496" s="1" t="n">
        <v>45474</v>
      </c>
      <c r="C1496" s="1" t="n">
        <v>45680</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27442-2024</t>
        </is>
      </c>
      <c r="B1497" s="1" t="n">
        <v>45474</v>
      </c>
      <c r="C1497" s="1" t="n">
        <v>45680</v>
      </c>
      <c r="D1497" t="inlineStr">
        <is>
          <t>UPPSALA LÄN</t>
        </is>
      </c>
      <c r="E1497" t="inlineStr">
        <is>
          <t>UPPSALA</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27474-2024</t>
        </is>
      </c>
      <c r="B1498" s="1" t="n">
        <v>45474</v>
      </c>
      <c r="C1498" s="1" t="n">
        <v>45680</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27498-2024</t>
        </is>
      </c>
      <c r="B1499" s="1" t="n">
        <v>45474</v>
      </c>
      <c r="C1499" s="1" t="n">
        <v>45680</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27857-2024</t>
        </is>
      </c>
      <c r="B1500" s="1" t="n">
        <v>45475</v>
      </c>
      <c r="C1500" s="1" t="n">
        <v>45680</v>
      </c>
      <c r="D1500" t="inlineStr">
        <is>
          <t>UPPSALA LÄN</t>
        </is>
      </c>
      <c r="E1500" t="inlineStr">
        <is>
          <t>UPPSALA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27994-2024</t>
        </is>
      </c>
      <c r="B1501" s="1" t="n">
        <v>45476</v>
      </c>
      <c r="C1501" s="1" t="n">
        <v>45680</v>
      </c>
      <c r="D1501" t="inlineStr">
        <is>
          <t>UPPSALA LÄN</t>
        </is>
      </c>
      <c r="E1501" t="inlineStr">
        <is>
          <t>UPPSALA</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27981-2024</t>
        </is>
      </c>
      <c r="B1502" s="1" t="n">
        <v>45476</v>
      </c>
      <c r="C1502" s="1" t="n">
        <v>45680</v>
      </c>
      <c r="D1502" t="inlineStr">
        <is>
          <t>UPPSALA LÄN</t>
        </is>
      </c>
      <c r="E1502" t="inlineStr">
        <is>
          <t>UPPSALA</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27973-2024</t>
        </is>
      </c>
      <c r="B1503" s="1" t="n">
        <v>45476</v>
      </c>
      <c r="C1503" s="1" t="n">
        <v>45680</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28453-2024</t>
        </is>
      </c>
      <c r="B1504" s="1" t="n">
        <v>45477</v>
      </c>
      <c r="C1504" s="1" t="n">
        <v>45680</v>
      </c>
      <c r="D1504" t="inlineStr">
        <is>
          <t>UPPSALA LÄN</t>
        </is>
      </c>
      <c r="E1504" t="inlineStr">
        <is>
          <t>UPPSALA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28825-2024</t>
        </is>
      </c>
      <c r="B1505" s="1" t="n">
        <v>45478</v>
      </c>
      <c r="C1505" s="1" t="n">
        <v>45680</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28782-2024</t>
        </is>
      </c>
      <c r="B1506" s="1" t="n">
        <v>45478</v>
      </c>
      <c r="C1506" s="1" t="n">
        <v>45680</v>
      </c>
      <c r="D1506" t="inlineStr">
        <is>
          <t>UPPSALA LÄN</t>
        </is>
      </c>
      <c r="E1506" t="inlineStr">
        <is>
          <t>UPPSALA</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29081-2024</t>
        </is>
      </c>
      <c r="B1507" s="1" t="n">
        <v>45481</v>
      </c>
      <c r="C1507" s="1" t="n">
        <v>45680</v>
      </c>
      <c r="D1507" t="inlineStr">
        <is>
          <t>UPPSALA LÄN</t>
        </is>
      </c>
      <c r="E1507" t="inlineStr">
        <is>
          <t>UPPSALA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29082-2024</t>
        </is>
      </c>
      <c r="B1508" s="1" t="n">
        <v>45481</v>
      </c>
      <c r="C1508" s="1" t="n">
        <v>45680</v>
      </c>
      <c r="D1508" t="inlineStr">
        <is>
          <t>UPPSALA LÄN</t>
        </is>
      </c>
      <c r="E1508" t="inlineStr">
        <is>
          <t>UPPSALA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29164-2024</t>
        </is>
      </c>
      <c r="B1509" s="1" t="n">
        <v>45482</v>
      </c>
      <c r="C1509" s="1" t="n">
        <v>45680</v>
      </c>
      <c r="D1509" t="inlineStr">
        <is>
          <t>UPPSALA LÄN</t>
        </is>
      </c>
      <c r="E1509" t="inlineStr">
        <is>
          <t>UPPSALA</t>
        </is>
      </c>
      <c r="F1509" t="inlineStr">
        <is>
          <t>Allmännings- och besparingsskogar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30079-2024</t>
        </is>
      </c>
      <c r="B1510" s="1" t="n">
        <v>45489</v>
      </c>
      <c r="C1510" s="1" t="n">
        <v>45680</v>
      </c>
      <c r="D1510" t="inlineStr">
        <is>
          <t>UPPSALA LÄN</t>
        </is>
      </c>
      <c r="E1510" t="inlineStr">
        <is>
          <t>UPPSALA</t>
        </is>
      </c>
      <c r="F1510" t="inlineStr">
        <is>
          <t>Holmen skog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30319-2024</t>
        </is>
      </c>
      <c r="B1511" s="1" t="n">
        <v>45490</v>
      </c>
      <c r="C1511" s="1" t="n">
        <v>45680</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31717-2024</t>
        </is>
      </c>
      <c r="B1512" s="1" t="n">
        <v>45509</v>
      </c>
      <c r="C1512" s="1" t="n">
        <v>45680</v>
      </c>
      <c r="D1512" t="inlineStr">
        <is>
          <t>UPPSALA LÄN</t>
        </is>
      </c>
      <c r="E1512" t="inlineStr">
        <is>
          <t>UPPSALA</t>
        </is>
      </c>
      <c r="F1512" t="inlineStr">
        <is>
          <t>Bergvik skog öst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32119-2024</t>
        </is>
      </c>
      <c r="B1513" s="1" t="n">
        <v>45511</v>
      </c>
      <c r="C1513" s="1" t="n">
        <v>45680</v>
      </c>
      <c r="D1513" t="inlineStr">
        <is>
          <t>UPPSALA LÄN</t>
        </is>
      </c>
      <c r="E1513" t="inlineStr">
        <is>
          <t>UPPSALA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32127-2024</t>
        </is>
      </c>
      <c r="B1514" s="1" t="n">
        <v>45511</v>
      </c>
      <c r="C1514" s="1" t="n">
        <v>45680</v>
      </c>
      <c r="D1514" t="inlineStr">
        <is>
          <t>UPPSALA LÄN</t>
        </is>
      </c>
      <c r="E1514" t="inlineStr">
        <is>
          <t>UPPSALA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32106-2024</t>
        </is>
      </c>
      <c r="B1515" s="1" t="n">
        <v>45511</v>
      </c>
      <c r="C1515" s="1" t="n">
        <v>45680</v>
      </c>
      <c r="D1515" t="inlineStr">
        <is>
          <t>UPPSALA LÄN</t>
        </is>
      </c>
      <c r="E1515" t="inlineStr">
        <is>
          <t>UPPSALA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32117-2024</t>
        </is>
      </c>
      <c r="B1516" s="1" t="n">
        <v>45511</v>
      </c>
      <c r="C1516" s="1" t="n">
        <v>45680</v>
      </c>
      <c r="D1516" t="inlineStr">
        <is>
          <t>UPPSALA LÄN</t>
        </is>
      </c>
      <c r="E1516" t="inlineStr">
        <is>
          <t>UPPSALA</t>
        </is>
      </c>
      <c r="F1516" t="inlineStr">
        <is>
          <t>Allmännings- och besparingsskogar</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32554-2024</t>
        </is>
      </c>
      <c r="B1517" s="1" t="n">
        <v>45513</v>
      </c>
      <c r="C1517" s="1" t="n">
        <v>45680</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32553-2024</t>
        </is>
      </c>
      <c r="B1518" s="1" t="n">
        <v>45513</v>
      </c>
      <c r="C1518" s="1" t="n">
        <v>45680</v>
      </c>
      <c r="D1518" t="inlineStr">
        <is>
          <t>UPPSALA LÄN</t>
        </is>
      </c>
      <c r="E1518" t="inlineStr">
        <is>
          <t>UPPSALA</t>
        </is>
      </c>
      <c r="F1518" t="inlineStr">
        <is>
          <t>Bergvik skog öst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33622-2024</t>
        </is>
      </c>
      <c r="B1519" s="1" t="n">
        <v>45520</v>
      </c>
      <c r="C1519" s="1" t="n">
        <v>45680</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33667-2024</t>
        </is>
      </c>
      <c r="B1520" s="1" t="n">
        <v>45520</v>
      </c>
      <c r="C1520" s="1" t="n">
        <v>45680</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33816-2024</t>
        </is>
      </c>
      <c r="B1521" s="1" t="n">
        <v>45520</v>
      </c>
      <c r="C1521" s="1" t="n">
        <v>45680</v>
      </c>
      <c r="D1521" t="inlineStr">
        <is>
          <t>UPPSALA LÄN</t>
        </is>
      </c>
      <c r="E1521" t="inlineStr">
        <is>
          <t>UPPSALA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33939-2024</t>
        </is>
      </c>
      <c r="B1522" s="1" t="n">
        <v>45523</v>
      </c>
      <c r="C1522" s="1" t="n">
        <v>45680</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34147-2024</t>
        </is>
      </c>
      <c r="B1523" s="1" t="n">
        <v>45524</v>
      </c>
      <c r="C1523" s="1" t="n">
        <v>45680</v>
      </c>
      <c r="D1523" t="inlineStr">
        <is>
          <t>UPPSALA LÄN</t>
        </is>
      </c>
      <c r="E1523" t="inlineStr">
        <is>
          <t>UPPSALA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34114-2024</t>
        </is>
      </c>
      <c r="B1524" s="1" t="n">
        <v>45524</v>
      </c>
      <c r="C1524" s="1" t="n">
        <v>45680</v>
      </c>
      <c r="D1524" t="inlineStr">
        <is>
          <t>UPPSALA LÄN</t>
        </is>
      </c>
      <c r="E1524" t="inlineStr">
        <is>
          <t>UPPSALA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34520-2024</t>
        </is>
      </c>
      <c r="B1525" s="1" t="n">
        <v>45525</v>
      </c>
      <c r="C1525" s="1" t="n">
        <v>45680</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34656-2024</t>
        </is>
      </c>
      <c r="B1526" s="1" t="n">
        <v>45526</v>
      </c>
      <c r="C1526" s="1" t="n">
        <v>45680</v>
      </c>
      <c r="D1526" t="inlineStr">
        <is>
          <t>UPPSALA LÄN</t>
        </is>
      </c>
      <c r="E1526" t="inlineStr">
        <is>
          <t>UPPSALA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34623-2024</t>
        </is>
      </c>
      <c r="B1527" s="1" t="n">
        <v>45526</v>
      </c>
      <c r="C1527" s="1" t="n">
        <v>45680</v>
      </c>
      <c r="D1527" t="inlineStr">
        <is>
          <t>UPPSALA LÄN</t>
        </is>
      </c>
      <c r="E1527" t="inlineStr">
        <is>
          <t>UPPSALA</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35830-2024</t>
        </is>
      </c>
      <c r="B1528" s="1" t="n">
        <v>45532</v>
      </c>
      <c r="C1528" s="1" t="n">
        <v>45680</v>
      </c>
      <c r="D1528" t="inlineStr">
        <is>
          <t>UPPSALA LÄN</t>
        </is>
      </c>
      <c r="E1528" t="inlineStr">
        <is>
          <t>UPPSALA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36015-2024</t>
        </is>
      </c>
      <c r="B1529" s="1" t="n">
        <v>45533</v>
      </c>
      <c r="C1529" s="1" t="n">
        <v>45680</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36029-2024</t>
        </is>
      </c>
      <c r="B1530" s="1" t="n">
        <v>45533</v>
      </c>
      <c r="C1530" s="1" t="n">
        <v>45680</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36041-2024</t>
        </is>
      </c>
      <c r="B1531" s="1" t="n">
        <v>45533</v>
      </c>
      <c r="C1531" s="1" t="n">
        <v>45680</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37032-2024</t>
        </is>
      </c>
      <c r="B1532" s="1" t="n">
        <v>45539</v>
      </c>
      <c r="C1532" s="1" t="n">
        <v>45680</v>
      </c>
      <c r="D1532" t="inlineStr">
        <is>
          <t>UPPSALA LÄN</t>
        </is>
      </c>
      <c r="E1532" t="inlineStr">
        <is>
          <t>UPPSALA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37033-2024</t>
        </is>
      </c>
      <c r="B1533" s="1" t="n">
        <v>45539</v>
      </c>
      <c r="C1533" s="1" t="n">
        <v>45680</v>
      </c>
      <c r="D1533" t="inlineStr">
        <is>
          <t>UPPSALA LÄN</t>
        </is>
      </c>
      <c r="E1533" t="inlineStr">
        <is>
          <t>UPPSALA</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37307-2024</t>
        </is>
      </c>
      <c r="B1534" s="1" t="n">
        <v>45540</v>
      </c>
      <c r="C1534" s="1" t="n">
        <v>45680</v>
      </c>
      <c r="D1534" t="inlineStr">
        <is>
          <t>UPPSALA LÄN</t>
        </is>
      </c>
      <c r="E1534" t="inlineStr">
        <is>
          <t>UPPSALA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37568-2024</t>
        </is>
      </c>
      <c r="B1535" s="1" t="n">
        <v>45541</v>
      </c>
      <c r="C1535" s="1" t="n">
        <v>45680</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37666-2024</t>
        </is>
      </c>
      <c r="B1536" s="1" t="n">
        <v>45541</v>
      </c>
      <c r="C1536" s="1" t="n">
        <v>45680</v>
      </c>
      <c r="D1536" t="inlineStr">
        <is>
          <t>UPPSALA LÄN</t>
        </is>
      </c>
      <c r="E1536" t="inlineStr">
        <is>
          <t>UPPSALA</t>
        </is>
      </c>
      <c r="F1536" t="inlineStr">
        <is>
          <t>Övriga Aktiebolag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37579-2024</t>
        </is>
      </c>
      <c r="B1537" s="1" t="n">
        <v>45541</v>
      </c>
      <c r="C1537" s="1" t="n">
        <v>45680</v>
      </c>
      <c r="D1537" t="inlineStr">
        <is>
          <t>UPPSALA LÄN</t>
        </is>
      </c>
      <c r="E1537" t="inlineStr">
        <is>
          <t>UPPSALA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37671-2024</t>
        </is>
      </c>
      <c r="B1538" s="1" t="n">
        <v>45541</v>
      </c>
      <c r="C1538" s="1" t="n">
        <v>45680</v>
      </c>
      <c r="D1538" t="inlineStr">
        <is>
          <t>UPPSALA LÄN</t>
        </is>
      </c>
      <c r="E1538" t="inlineStr">
        <is>
          <t>UPPSALA</t>
        </is>
      </c>
      <c r="F1538" t="inlineStr">
        <is>
          <t>Övriga Aktiebolag</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38119-2024</t>
        </is>
      </c>
      <c r="B1539" s="1" t="n">
        <v>45545</v>
      </c>
      <c r="C1539" s="1" t="n">
        <v>45680</v>
      </c>
      <c r="D1539" t="inlineStr">
        <is>
          <t>UPPSALA LÄN</t>
        </is>
      </c>
      <c r="E1539" t="inlineStr">
        <is>
          <t>UPPSALA</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38958-2024</t>
        </is>
      </c>
      <c r="B1540" s="1" t="n">
        <v>45548</v>
      </c>
      <c r="C1540" s="1" t="n">
        <v>45680</v>
      </c>
      <c r="D1540" t="inlineStr">
        <is>
          <t>UPPSALA LÄN</t>
        </is>
      </c>
      <c r="E1540" t="inlineStr">
        <is>
          <t>UPPSALA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v>
      </c>
      <c r="C1541" s="1" t="n">
        <v>45680</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39359-2024</t>
        </is>
      </c>
      <c r="B1542" s="1" t="n">
        <v>45551</v>
      </c>
      <c r="C1542" s="1" t="n">
        <v>45680</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39818-2024</t>
        </is>
      </c>
      <c r="B1543" s="1" t="n">
        <v>45552</v>
      </c>
      <c r="C1543" s="1" t="n">
        <v>45680</v>
      </c>
      <c r="D1543" t="inlineStr">
        <is>
          <t>UPPSALA LÄN</t>
        </is>
      </c>
      <c r="E1543" t="inlineStr">
        <is>
          <t>UPPSALA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39812-2024</t>
        </is>
      </c>
      <c r="B1544" s="1" t="n">
        <v>45552</v>
      </c>
      <c r="C1544" s="1" t="n">
        <v>45680</v>
      </c>
      <c r="D1544" t="inlineStr">
        <is>
          <t>UPPSALA LÄN</t>
        </is>
      </c>
      <c r="E1544" t="inlineStr">
        <is>
          <t>UPPSALA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39926-2024</t>
        </is>
      </c>
      <c r="B1545" s="1" t="n">
        <v>45553</v>
      </c>
      <c r="C1545" s="1" t="n">
        <v>45680</v>
      </c>
      <c r="D1545" t="inlineStr">
        <is>
          <t>UPPSALA LÄN</t>
        </is>
      </c>
      <c r="E1545" t="inlineStr">
        <is>
          <t>UPPSALA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40111-2024</t>
        </is>
      </c>
      <c r="B1546" s="1" t="n">
        <v>45554</v>
      </c>
      <c r="C1546" s="1" t="n">
        <v>45680</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40326-2024</t>
        </is>
      </c>
      <c r="B1547" s="1" t="n">
        <v>45554</v>
      </c>
      <c r="C1547" s="1" t="n">
        <v>45680</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40491-2024</t>
        </is>
      </c>
      <c r="B1548" s="1" t="n">
        <v>45555</v>
      </c>
      <c r="C1548" s="1" t="n">
        <v>45680</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40503-2024</t>
        </is>
      </c>
      <c r="B1549" s="1" t="n">
        <v>45555</v>
      </c>
      <c r="C1549" s="1" t="n">
        <v>45680</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40701-2024</t>
        </is>
      </c>
      <c r="B1550" s="1" t="n">
        <v>45558</v>
      </c>
      <c r="C1550" s="1" t="n">
        <v>45680</v>
      </c>
      <c r="D1550" t="inlineStr">
        <is>
          <t>UPPSALA LÄN</t>
        </is>
      </c>
      <c r="E1550" t="inlineStr">
        <is>
          <t>UPPSALA</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40753-2024</t>
        </is>
      </c>
      <c r="B1551" s="1" t="n">
        <v>45558</v>
      </c>
      <c r="C1551" s="1" t="n">
        <v>45680</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42276-2024</t>
        </is>
      </c>
      <c r="B1552" s="1" t="n">
        <v>45562</v>
      </c>
      <c r="C1552" s="1" t="n">
        <v>45680</v>
      </c>
      <c r="D1552" t="inlineStr">
        <is>
          <t>UPPSALA LÄN</t>
        </is>
      </c>
      <c r="E1552" t="inlineStr">
        <is>
          <t>UPPSALA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42146-2024</t>
        </is>
      </c>
      <c r="B1553" s="1" t="n">
        <v>45562</v>
      </c>
      <c r="C1553" s="1" t="n">
        <v>45680</v>
      </c>
      <c r="D1553" t="inlineStr">
        <is>
          <t>UPPSALA LÄN</t>
        </is>
      </c>
      <c r="E1553" t="inlineStr">
        <is>
          <t>UPPSALA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42259-2024</t>
        </is>
      </c>
      <c r="B1554" s="1" t="n">
        <v>45562</v>
      </c>
      <c r="C1554" s="1" t="n">
        <v>45680</v>
      </c>
      <c r="D1554" t="inlineStr">
        <is>
          <t>UPPSALA LÄN</t>
        </is>
      </c>
      <c r="E1554" t="inlineStr">
        <is>
          <t>UPPSALA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42143-2024</t>
        </is>
      </c>
      <c r="B1555" s="1" t="n">
        <v>45562</v>
      </c>
      <c r="C1555" s="1" t="n">
        <v>45680</v>
      </c>
      <c r="D1555" t="inlineStr">
        <is>
          <t>UPPSALA LÄN</t>
        </is>
      </c>
      <c r="E1555" t="inlineStr">
        <is>
          <t>UPPSALA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43361-2024</t>
        </is>
      </c>
      <c r="B1556" s="1" t="n">
        <v>45568</v>
      </c>
      <c r="C1556" s="1" t="n">
        <v>45680</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43959-2024</t>
        </is>
      </c>
      <c r="B1557" s="1" t="n">
        <v>45572</v>
      </c>
      <c r="C1557" s="1" t="n">
        <v>45680</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43960-2024</t>
        </is>
      </c>
      <c r="B1558" s="1" t="n">
        <v>45572</v>
      </c>
      <c r="C1558" s="1" t="n">
        <v>45680</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43951-2024</t>
        </is>
      </c>
      <c r="B1559" s="1" t="n">
        <v>45572</v>
      </c>
      <c r="C1559" s="1" t="n">
        <v>45680</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44562-2024</t>
        </is>
      </c>
      <c r="B1560" s="1" t="n">
        <v>45574</v>
      </c>
      <c r="C1560" s="1" t="n">
        <v>45680</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44550-2024</t>
        </is>
      </c>
      <c r="B1561" s="1" t="n">
        <v>45574</v>
      </c>
      <c r="C1561" s="1" t="n">
        <v>45680</v>
      </c>
      <c r="D1561" t="inlineStr">
        <is>
          <t>UPPSALA LÄN</t>
        </is>
      </c>
      <c r="E1561" t="inlineStr">
        <is>
          <t>UPPSALA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44563-2024</t>
        </is>
      </c>
      <c r="B1562" s="1" t="n">
        <v>45574</v>
      </c>
      <c r="C1562" s="1" t="n">
        <v>45680</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44847-2024</t>
        </is>
      </c>
      <c r="B1563" s="1" t="n">
        <v>45574</v>
      </c>
      <c r="C1563" s="1" t="n">
        <v>45680</v>
      </c>
      <c r="D1563" t="inlineStr">
        <is>
          <t>UPPSALA LÄN</t>
        </is>
      </c>
      <c r="E1563" t="inlineStr">
        <is>
          <t>UPPSALA</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44560-2024</t>
        </is>
      </c>
      <c r="B1564" s="1" t="n">
        <v>45574</v>
      </c>
      <c r="C1564" s="1" t="n">
        <v>45680</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44946-2024</t>
        </is>
      </c>
      <c r="B1565" s="1" t="n">
        <v>45575</v>
      </c>
      <c r="C1565" s="1" t="n">
        <v>45680</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45878-2024</t>
        </is>
      </c>
      <c r="B1566" s="1" t="n">
        <v>45580</v>
      </c>
      <c r="C1566" s="1" t="n">
        <v>45680</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45680</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46796-2024</t>
        </is>
      </c>
      <c r="B1568" s="1" t="n">
        <v>45583</v>
      </c>
      <c r="C1568" s="1" t="n">
        <v>45680</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46745-2024</t>
        </is>
      </c>
      <c r="B1569" s="1" t="n">
        <v>45583</v>
      </c>
      <c r="C1569" s="1" t="n">
        <v>45680</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45680</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45680</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46794-2024</t>
        </is>
      </c>
      <c r="B1572" s="1" t="n">
        <v>45583</v>
      </c>
      <c r="C1572" s="1" t="n">
        <v>45680</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46791-2024</t>
        </is>
      </c>
      <c r="B1573" s="1" t="n">
        <v>45583</v>
      </c>
      <c r="C1573" s="1" t="n">
        <v>45680</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46730-2024</t>
        </is>
      </c>
      <c r="B1574" s="1" t="n">
        <v>45583</v>
      </c>
      <c r="C1574" s="1" t="n">
        <v>45680</v>
      </c>
      <c r="D1574" t="inlineStr">
        <is>
          <t>UPPSALA LÄN</t>
        </is>
      </c>
      <c r="E1574" t="inlineStr">
        <is>
          <t>UPPSALA</t>
        </is>
      </c>
      <c r="F1574" t="inlineStr">
        <is>
          <t>Sveaskog</t>
        </is>
      </c>
      <c r="G1574" t="n">
        <v>6.5</v>
      </c>
      <c r="H1574" t="n">
        <v>0</v>
      </c>
      <c r="I1574" t="n">
        <v>0</v>
      </c>
      <c r="J1574" t="n">
        <v>0</v>
      </c>
      <c r="K1574" t="n">
        <v>0</v>
      </c>
      <c r="L1574" t="n">
        <v>0</v>
      </c>
      <c r="M1574" t="n">
        <v>0</v>
      </c>
      <c r="N1574" t="n">
        <v>0</v>
      </c>
      <c r="O1574" t="n">
        <v>0</v>
      </c>
      <c r="P1574" t="n">
        <v>0</v>
      </c>
      <c r="Q1574" t="n">
        <v>0</v>
      </c>
      <c r="R1574" s="2" t="inlineStr"/>
      <c r="U1574">
        <f>HYPERLINK("https://klasma.github.io/Logging_0380/knärot/A 46730-2024 karta knärot.png", "A 46730-2024")</f>
        <v/>
      </c>
      <c r="V1574">
        <f>HYPERLINK("https://klasma.github.io/Logging_0380/klagomål/A 46730-2024 FSC-klagomål.docx", "A 46730-2024")</f>
        <v/>
      </c>
      <c r="W1574">
        <f>HYPERLINK("https://klasma.github.io/Logging_0380/klagomålsmail/A 46730-2024 FSC-klagomål mail.docx", "A 46730-2024")</f>
        <v/>
      </c>
      <c r="X1574">
        <f>HYPERLINK("https://klasma.github.io/Logging_0380/tillsyn/A 46730-2024 tillsynsbegäran.docx", "A 46730-2024")</f>
        <v/>
      </c>
      <c r="Y1574">
        <f>HYPERLINK("https://klasma.github.io/Logging_0380/tillsynsmail/A 46730-2024 tillsynsbegäran mail.docx", "A 46730-2024")</f>
        <v/>
      </c>
    </row>
    <row r="1575" ht="15" customHeight="1">
      <c r="A1575" t="inlineStr">
        <is>
          <t>A 46821-2024</t>
        </is>
      </c>
      <c r="B1575" s="1" t="n">
        <v>45583</v>
      </c>
      <c r="C1575" s="1" t="n">
        <v>45680</v>
      </c>
      <c r="D1575" t="inlineStr">
        <is>
          <t>UPPSALA LÄN</t>
        </is>
      </c>
      <c r="E1575" t="inlineStr">
        <is>
          <t>UPPSALA</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46748-2024</t>
        </is>
      </c>
      <c r="B1576" s="1" t="n">
        <v>45583</v>
      </c>
      <c r="C1576" s="1" t="n">
        <v>45680</v>
      </c>
      <c r="D1576" t="inlineStr">
        <is>
          <t>UPPSALA LÄN</t>
        </is>
      </c>
      <c r="E1576" t="inlineStr">
        <is>
          <t>UPPSALA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46700-2024</t>
        </is>
      </c>
      <c r="B1577" s="1" t="n">
        <v>45583</v>
      </c>
      <c r="C1577" s="1" t="n">
        <v>45680</v>
      </c>
      <c r="D1577" t="inlineStr">
        <is>
          <t>UPPSALA LÄN</t>
        </is>
      </c>
      <c r="E1577" t="inlineStr">
        <is>
          <t>UPPSALA</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46925-2024</t>
        </is>
      </c>
      <c r="B1578" s="1" t="n">
        <v>45584</v>
      </c>
      <c r="C1578" s="1" t="n">
        <v>45680</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47169-2024</t>
        </is>
      </c>
      <c r="B1579" s="1" t="n">
        <v>45586</v>
      </c>
      <c r="C1579" s="1" t="n">
        <v>45680</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47052-2024</t>
        </is>
      </c>
      <c r="B1580" s="1" t="n">
        <v>45586</v>
      </c>
      <c r="C1580" s="1" t="n">
        <v>45680</v>
      </c>
      <c r="D1580" t="inlineStr">
        <is>
          <t>UPPSALA LÄN</t>
        </is>
      </c>
      <c r="E1580" t="inlineStr">
        <is>
          <t>UPPSALA</t>
        </is>
      </c>
      <c r="F1580" t="inlineStr">
        <is>
          <t>Holmen skog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47288-2024</t>
        </is>
      </c>
      <c r="B1581" s="1" t="n">
        <v>45587</v>
      </c>
      <c r="C1581" s="1" t="n">
        <v>45680</v>
      </c>
      <c r="D1581" t="inlineStr">
        <is>
          <t>UPPSALA LÄN</t>
        </is>
      </c>
      <c r="E1581" t="inlineStr">
        <is>
          <t>UPPSALA</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48154-2024</t>
        </is>
      </c>
      <c r="B1582" s="1" t="n">
        <v>45589</v>
      </c>
      <c r="C1582" s="1" t="n">
        <v>45680</v>
      </c>
      <c r="D1582" t="inlineStr">
        <is>
          <t>UPPSALA LÄN</t>
        </is>
      </c>
      <c r="E1582" t="inlineStr">
        <is>
          <t>UPPSALA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48153-2024</t>
        </is>
      </c>
      <c r="B1583" s="1" t="n">
        <v>45589</v>
      </c>
      <c r="C1583" s="1" t="n">
        <v>45680</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48073-2024</t>
        </is>
      </c>
      <c r="B1584" s="1" t="n">
        <v>45589</v>
      </c>
      <c r="C1584" s="1" t="n">
        <v>45680</v>
      </c>
      <c r="D1584" t="inlineStr">
        <is>
          <t>UPPSALA LÄN</t>
        </is>
      </c>
      <c r="E1584" t="inlineStr">
        <is>
          <t>UPPSALA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49158-2024</t>
        </is>
      </c>
      <c r="B1585" s="1" t="n">
        <v>45594</v>
      </c>
      <c r="C1585" s="1" t="n">
        <v>45680</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49012-2024</t>
        </is>
      </c>
      <c r="B1586" s="1" t="n">
        <v>45594</v>
      </c>
      <c r="C1586" s="1" t="n">
        <v>45680</v>
      </c>
      <c r="D1586" t="inlineStr">
        <is>
          <t>UPPSALA LÄN</t>
        </is>
      </c>
      <c r="E1586" t="inlineStr">
        <is>
          <t>UPPSALA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45680</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49180-2024</t>
        </is>
      </c>
      <c r="B1588" s="1" t="n">
        <v>45595</v>
      </c>
      <c r="C1588" s="1" t="n">
        <v>45680</v>
      </c>
      <c r="D1588" t="inlineStr">
        <is>
          <t>UPPSALA LÄN</t>
        </is>
      </c>
      <c r="E1588" t="inlineStr">
        <is>
          <t>UPPSALA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50037-2024</t>
        </is>
      </c>
      <c r="B1589" s="1" t="n">
        <v>45599</v>
      </c>
      <c r="C1589" s="1" t="n">
        <v>45680</v>
      </c>
      <c r="D1589" t="inlineStr">
        <is>
          <t>UPPSALA LÄN</t>
        </is>
      </c>
      <c r="E1589" t="inlineStr">
        <is>
          <t>UPPSALA</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50535-2024</t>
        </is>
      </c>
      <c r="B1590" s="1" t="n">
        <v>45600</v>
      </c>
      <c r="C1590" s="1" t="n">
        <v>45680</v>
      </c>
      <c r="D1590" t="inlineStr">
        <is>
          <t>UPPSALA LÄN</t>
        </is>
      </c>
      <c r="E1590" t="inlineStr">
        <is>
          <t>UPPSALA</t>
        </is>
      </c>
      <c r="F1590" t="inlineStr">
        <is>
          <t>Övriga statliga verk och myndigheter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50196-2024</t>
        </is>
      </c>
      <c r="B1591" s="1" t="n">
        <v>45600</v>
      </c>
      <c r="C1591" s="1" t="n">
        <v>45680</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50463-2024</t>
        </is>
      </c>
      <c r="B1592" s="1" t="n">
        <v>45601</v>
      </c>
      <c r="C1592" s="1" t="n">
        <v>45680</v>
      </c>
      <c r="D1592" t="inlineStr">
        <is>
          <t>UPPSALA LÄN</t>
        </is>
      </c>
      <c r="E1592" t="inlineStr">
        <is>
          <t>UPPSALA</t>
        </is>
      </c>
      <c r="F1592" t="inlineStr">
        <is>
          <t>Allmännings- och besparingsskogar</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50669-2024</t>
        </is>
      </c>
      <c r="B1593" s="1" t="n">
        <v>45601</v>
      </c>
      <c r="C1593" s="1" t="n">
        <v>45680</v>
      </c>
      <c r="D1593" t="inlineStr">
        <is>
          <t>UPPSALA LÄN</t>
        </is>
      </c>
      <c r="E1593" t="inlineStr">
        <is>
          <t>UPPSALA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50834-2024</t>
        </is>
      </c>
      <c r="B1594" s="1" t="n">
        <v>45602</v>
      </c>
      <c r="C1594" s="1" t="n">
        <v>45680</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51482-2024</t>
        </is>
      </c>
      <c r="B1595" s="1" t="n">
        <v>45604</v>
      </c>
      <c r="C1595" s="1" t="n">
        <v>45680</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51483-2024</t>
        </is>
      </c>
      <c r="B1596" s="1" t="n">
        <v>45604</v>
      </c>
      <c r="C1596" s="1" t="n">
        <v>45680</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51485-2024</t>
        </is>
      </c>
      <c r="B1597" s="1" t="n">
        <v>45604</v>
      </c>
      <c r="C1597" s="1" t="n">
        <v>45680</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52197-2024</t>
        </is>
      </c>
      <c r="B1598" s="1" t="n">
        <v>45608</v>
      </c>
      <c r="C1598" s="1" t="n">
        <v>45680</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52094-2024</t>
        </is>
      </c>
      <c r="B1599" s="1" t="n">
        <v>45608</v>
      </c>
      <c r="C1599" s="1" t="n">
        <v>45680</v>
      </c>
      <c r="D1599" t="inlineStr">
        <is>
          <t>UPPSALA LÄN</t>
        </is>
      </c>
      <c r="E1599" t="inlineStr">
        <is>
          <t>UPPSALA</t>
        </is>
      </c>
      <c r="F1599" t="inlineStr">
        <is>
          <t>Bergvik skog öst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52093-2024</t>
        </is>
      </c>
      <c r="B1600" s="1" t="n">
        <v>45608</v>
      </c>
      <c r="C1600" s="1" t="n">
        <v>45680</v>
      </c>
      <c r="D1600" t="inlineStr">
        <is>
          <t>UPPSALA LÄN</t>
        </is>
      </c>
      <c r="E1600" t="inlineStr">
        <is>
          <t>UPPSALA</t>
        </is>
      </c>
      <c r="F1600" t="inlineStr">
        <is>
          <t>Bergvik skog öst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52456-2024</t>
        </is>
      </c>
      <c r="B1601" s="1" t="n">
        <v>45609</v>
      </c>
      <c r="C1601" s="1" t="n">
        <v>45680</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52466-2024</t>
        </is>
      </c>
      <c r="B1602" s="1" t="n">
        <v>45609</v>
      </c>
      <c r="C1602" s="1" t="n">
        <v>45680</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53614-2024</t>
        </is>
      </c>
      <c r="B1603" s="1" t="n">
        <v>45611</v>
      </c>
      <c r="C1603" s="1" t="n">
        <v>45680</v>
      </c>
      <c r="D1603" t="inlineStr">
        <is>
          <t>UPPSALA LÄN</t>
        </is>
      </c>
      <c r="E1603" t="inlineStr">
        <is>
          <t>UPPSALA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53058-2024</t>
        </is>
      </c>
      <c r="B1604" s="1" t="n">
        <v>45611</v>
      </c>
      <c r="C1604" s="1" t="n">
        <v>45680</v>
      </c>
      <c r="D1604" t="inlineStr">
        <is>
          <t>UPPSALA LÄN</t>
        </is>
      </c>
      <c r="E1604" t="inlineStr">
        <is>
          <t>UPPSALA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53615-2024</t>
        </is>
      </c>
      <c r="B1605" s="1" t="n">
        <v>45611</v>
      </c>
      <c r="C1605" s="1" t="n">
        <v>45680</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45680</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45680</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45680</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53569-2024</t>
        </is>
      </c>
      <c r="B1609" s="1" t="n">
        <v>45614</v>
      </c>
      <c r="C1609" s="1" t="n">
        <v>45680</v>
      </c>
      <c r="D1609" t="inlineStr">
        <is>
          <t>UPPSALA LÄN</t>
        </is>
      </c>
      <c r="E1609" t="inlineStr">
        <is>
          <t>UPPSALA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53384-2024</t>
        </is>
      </c>
      <c r="B1610" s="1" t="n">
        <v>45614</v>
      </c>
      <c r="C1610" s="1" t="n">
        <v>45680</v>
      </c>
      <c r="D1610" t="inlineStr">
        <is>
          <t>UPPSALA LÄN</t>
        </is>
      </c>
      <c r="E1610" t="inlineStr">
        <is>
          <t>UPPSALA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53266-2024</t>
        </is>
      </c>
      <c r="B1611" s="1" t="n">
        <v>45614</v>
      </c>
      <c r="C1611" s="1" t="n">
        <v>45680</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53921-2024</t>
        </is>
      </c>
      <c r="B1612" s="1" t="n">
        <v>45615</v>
      </c>
      <c r="C1612" s="1" t="n">
        <v>45680</v>
      </c>
      <c r="D1612" t="inlineStr">
        <is>
          <t>UPPSALA LÄN</t>
        </is>
      </c>
      <c r="E1612" t="inlineStr">
        <is>
          <t>UPPSALA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54512-2024</t>
        </is>
      </c>
      <c r="B1613" s="1" t="n">
        <v>45617</v>
      </c>
      <c r="C1613" s="1" t="n">
        <v>45680</v>
      </c>
      <c r="D1613" t="inlineStr">
        <is>
          <t>UPPSALA LÄN</t>
        </is>
      </c>
      <c r="E1613" t="inlineStr">
        <is>
          <t>UPPSALA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54924-2024</t>
        </is>
      </c>
      <c r="B1614" s="1" t="n">
        <v>45618</v>
      </c>
      <c r="C1614" s="1" t="n">
        <v>45680</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56050-2024</t>
        </is>
      </c>
      <c r="B1615" s="1" t="n">
        <v>45624</v>
      </c>
      <c r="C1615" s="1" t="n">
        <v>45680</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56067-2024</t>
        </is>
      </c>
      <c r="B1616" s="1" t="n">
        <v>45624</v>
      </c>
      <c r="C1616" s="1" t="n">
        <v>45680</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56084-2024</t>
        </is>
      </c>
      <c r="B1617" s="1" t="n">
        <v>45624</v>
      </c>
      <c r="C1617" s="1" t="n">
        <v>45680</v>
      </c>
      <c r="D1617" t="inlineStr">
        <is>
          <t>UPPSALA LÄN</t>
        </is>
      </c>
      <c r="E1617" t="inlineStr">
        <is>
          <t>UPPSALA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56564-2024</t>
        </is>
      </c>
      <c r="B1618" s="1" t="n">
        <v>45625</v>
      </c>
      <c r="C1618" s="1" t="n">
        <v>45680</v>
      </c>
      <c r="D1618" t="inlineStr">
        <is>
          <t>UPPSALA LÄN</t>
        </is>
      </c>
      <c r="E1618" t="inlineStr">
        <is>
          <t>UPPSALA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57614-2024</t>
        </is>
      </c>
      <c r="B1619" s="1" t="n">
        <v>45630</v>
      </c>
      <c r="C1619" s="1" t="n">
        <v>45680</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57618-2024</t>
        </is>
      </c>
      <c r="B1620" s="1" t="n">
        <v>45630</v>
      </c>
      <c r="C1620" s="1" t="n">
        <v>45680</v>
      </c>
      <c r="D1620" t="inlineStr">
        <is>
          <t>UPPSALA LÄN</t>
        </is>
      </c>
      <c r="E1620" t="inlineStr">
        <is>
          <t>UPPSALA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57643-2024</t>
        </is>
      </c>
      <c r="B1621" s="1" t="n">
        <v>45630</v>
      </c>
      <c r="C1621" s="1" t="n">
        <v>45680</v>
      </c>
      <c r="D1621" t="inlineStr">
        <is>
          <t>UPPSALA LÄN</t>
        </is>
      </c>
      <c r="E1621" t="inlineStr">
        <is>
          <t>UPPSALA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57871-2024</t>
        </is>
      </c>
      <c r="B1622" s="1" t="n">
        <v>45631</v>
      </c>
      <c r="C1622" s="1" t="n">
        <v>45680</v>
      </c>
      <c r="D1622" t="inlineStr">
        <is>
          <t>UPPSALA LÄN</t>
        </is>
      </c>
      <c r="E1622" t="inlineStr">
        <is>
          <t>UPPSALA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58187-2024</t>
        </is>
      </c>
      <c r="B1623" s="1" t="n">
        <v>45632</v>
      </c>
      <c r="C1623" s="1" t="n">
        <v>45680</v>
      </c>
      <c r="D1623" t="inlineStr">
        <is>
          <t>UPPSALA LÄN</t>
        </is>
      </c>
      <c r="E1623" t="inlineStr">
        <is>
          <t>UPPSALA</t>
        </is>
      </c>
      <c r="F1623" t="inlineStr">
        <is>
          <t>Bergvik skog väst AB</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58188-2024</t>
        </is>
      </c>
      <c r="B1624" s="1" t="n">
        <v>45632</v>
      </c>
      <c r="C1624" s="1" t="n">
        <v>45680</v>
      </c>
      <c r="D1624" t="inlineStr">
        <is>
          <t>UPPSALA LÄN</t>
        </is>
      </c>
      <c r="E1624" t="inlineStr">
        <is>
          <t>UPPSALA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59098-2024</t>
        </is>
      </c>
      <c r="B1625" s="1" t="n">
        <v>45636</v>
      </c>
      <c r="C1625" s="1" t="n">
        <v>45680</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45680</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59116-2024</t>
        </is>
      </c>
      <c r="B1627" s="1" t="n">
        <v>45637</v>
      </c>
      <c r="C1627" s="1" t="n">
        <v>45680</v>
      </c>
      <c r="D1627" t="inlineStr">
        <is>
          <t>UPPSALA LÄN</t>
        </is>
      </c>
      <c r="E1627" t="inlineStr">
        <is>
          <t>UPPSALA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59158-2024</t>
        </is>
      </c>
      <c r="B1628" s="1" t="n">
        <v>45637</v>
      </c>
      <c r="C1628" s="1" t="n">
        <v>45680</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45680</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45680</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59562-2024</t>
        </is>
      </c>
      <c r="B1631" s="1" t="n">
        <v>45638</v>
      </c>
      <c r="C1631" s="1" t="n">
        <v>45680</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45680</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59587-2024</t>
        </is>
      </c>
      <c r="B1633" s="1" t="n">
        <v>45638</v>
      </c>
      <c r="C1633" s="1" t="n">
        <v>45680</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45680</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45680</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59996-2024</t>
        </is>
      </c>
      <c r="B1636" s="1" t="n">
        <v>45642</v>
      </c>
      <c r="C1636" s="1" t="n">
        <v>45680</v>
      </c>
      <c r="D1636" t="inlineStr">
        <is>
          <t>UPPSALA LÄN</t>
        </is>
      </c>
      <c r="E1636" t="inlineStr">
        <is>
          <t>UPPSALA</t>
        </is>
      </c>
      <c r="F1636" t="inlineStr">
        <is>
          <t>Bergvik skog väst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60445-2024</t>
        </is>
      </c>
      <c r="B1637" s="1" t="n">
        <v>45643</v>
      </c>
      <c r="C1637" s="1" t="n">
        <v>45680</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45680</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45680</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45680</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45680</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45680</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60691-2024</t>
        </is>
      </c>
      <c r="B1643" s="1" t="n">
        <v>45644</v>
      </c>
      <c r="C1643" s="1" t="n">
        <v>45680</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60811-2024</t>
        </is>
      </c>
      <c r="B1644" s="1" t="n">
        <v>45644</v>
      </c>
      <c r="C1644" s="1" t="n">
        <v>45680</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45680</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45680</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61071-2024</t>
        </is>
      </c>
      <c r="B1647" s="1" t="n">
        <v>45645</v>
      </c>
      <c r="C1647" s="1" t="n">
        <v>45680</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45680</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61574-2024</t>
        </is>
      </c>
      <c r="B1649" s="1" t="n">
        <v>45646</v>
      </c>
      <c r="C1649" s="1" t="n">
        <v>45680</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45680</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62054-2024</t>
        </is>
      </c>
      <c r="B1651" s="1" t="n">
        <v>45656</v>
      </c>
      <c r="C1651" s="1" t="n">
        <v>45680</v>
      </c>
      <c r="D1651" t="inlineStr">
        <is>
          <t>UPPSALA LÄN</t>
        </is>
      </c>
      <c r="E1651" t="inlineStr">
        <is>
          <t>UPPSALA</t>
        </is>
      </c>
      <c r="F1651" t="inlineStr">
        <is>
          <t>Övriga statliga verk och myndigheter</t>
        </is>
      </c>
      <c r="G1651" t="n">
        <v>29.3</v>
      </c>
      <c r="H1651" t="n">
        <v>0</v>
      </c>
      <c r="I1651" t="n">
        <v>0</v>
      </c>
      <c r="J1651" t="n">
        <v>0</v>
      </c>
      <c r="K1651" t="n">
        <v>0</v>
      </c>
      <c r="L1651" t="n">
        <v>0</v>
      </c>
      <c r="M1651" t="n">
        <v>0</v>
      </c>
      <c r="N1651" t="n">
        <v>0</v>
      </c>
      <c r="O1651" t="n">
        <v>0</v>
      </c>
      <c r="P1651" t="n">
        <v>0</v>
      </c>
      <c r="Q1651" t="n">
        <v>0</v>
      </c>
      <c r="R1651" s="2" t="inlineStr"/>
    </row>
    <row r="1652" ht="15" customHeight="1">
      <c r="A1652" t="inlineStr">
        <is>
          <t>A 668-2025</t>
        </is>
      </c>
      <c r="B1652" s="1" t="n">
        <v>45664</v>
      </c>
      <c r="C1652" s="1" t="n">
        <v>45680</v>
      </c>
      <c r="D1652" t="inlineStr">
        <is>
          <t>UPPSALA LÄN</t>
        </is>
      </c>
      <c r="E1652" t="inlineStr">
        <is>
          <t>UPPSALA</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45680</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844-2025</t>
        </is>
      </c>
      <c r="B1654" s="1" t="n">
        <v>45665</v>
      </c>
      <c r="C1654" s="1" t="n">
        <v>45680</v>
      </c>
      <c r="D1654" t="inlineStr">
        <is>
          <t>UPPSALA LÄN</t>
        </is>
      </c>
      <c r="E1654" t="inlineStr">
        <is>
          <t>UPPSALA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1592-2025</t>
        </is>
      </c>
      <c r="B1655" s="1" t="n">
        <v>45670</v>
      </c>
      <c r="C1655" s="1" t="n">
        <v>45680</v>
      </c>
      <c r="D1655" t="inlineStr">
        <is>
          <t>UPPSALA LÄN</t>
        </is>
      </c>
      <c r="E1655" t="inlineStr">
        <is>
          <t>UPPSALA</t>
        </is>
      </c>
      <c r="F1655" t="inlineStr">
        <is>
          <t>Bergvik skog väst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1588-2025</t>
        </is>
      </c>
      <c r="B1656" s="1" t="n">
        <v>45670</v>
      </c>
      <c r="C1656" s="1" t="n">
        <v>45680</v>
      </c>
      <c r="D1656" t="inlineStr">
        <is>
          <t>UPPSALA LÄN</t>
        </is>
      </c>
      <c r="E1656" t="inlineStr">
        <is>
          <t>UPPSALA</t>
        </is>
      </c>
      <c r="F1656" t="inlineStr">
        <is>
          <t>Bergvik skog väst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2695-2025</t>
        </is>
      </c>
      <c r="B1657" s="1" t="n">
        <v>45677</v>
      </c>
      <c r="C1657" s="1" t="n">
        <v>45680</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2790-2025</t>
        </is>
      </c>
      <c r="B1658" s="1" t="n">
        <v>45677</v>
      </c>
      <c r="C1658" s="1" t="n">
        <v>45680</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2897-2025</t>
        </is>
      </c>
      <c r="B1659" s="1" t="n">
        <v>45677</v>
      </c>
      <c r="C1659" s="1" t="n">
        <v>45680</v>
      </c>
      <c r="D1659" t="inlineStr">
        <is>
          <t>UPPSALA LÄN</t>
        </is>
      </c>
      <c r="E1659" t="inlineStr">
        <is>
          <t>UPPSALA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3314-2025</t>
        </is>
      </c>
      <c r="B1660" s="1" t="n">
        <v>45679</v>
      </c>
      <c r="C1660" s="1" t="n">
        <v>45680</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3287-2025</t>
        </is>
      </c>
      <c r="B1661" s="1" t="n">
        <v>45679</v>
      </c>
      <c r="C1661" s="1" t="n">
        <v>45680</v>
      </c>
      <c r="D1661" t="inlineStr">
        <is>
          <t>UPPSALA LÄN</t>
        </is>
      </c>
      <c r="E1661" t="inlineStr">
        <is>
          <t>UPPSALA</t>
        </is>
      </c>
      <c r="F1661" t="inlineStr">
        <is>
          <t>Kyrkan</t>
        </is>
      </c>
      <c r="G1661" t="n">
        <v>6.7</v>
      </c>
      <c r="H1661" t="n">
        <v>0</v>
      </c>
      <c r="I1661" t="n">
        <v>0</v>
      </c>
      <c r="J1661" t="n">
        <v>0</v>
      </c>
      <c r="K1661" t="n">
        <v>0</v>
      </c>
      <c r="L1661" t="n">
        <v>0</v>
      </c>
      <c r="M1661" t="n">
        <v>0</v>
      </c>
      <c r="N1661" t="n">
        <v>0</v>
      </c>
      <c r="O1661" t="n">
        <v>0</v>
      </c>
      <c r="P1661" t="n">
        <v>0</v>
      </c>
      <c r="Q1661" t="n">
        <v>0</v>
      </c>
      <c r="R1661" s="2" t="inlineStr"/>
    </row>
    <row r="1662">
      <c r="A1662" t="inlineStr">
        <is>
          <t>A 3315-2025</t>
        </is>
      </c>
      <c r="B1662" s="1" t="n">
        <v>45679</v>
      </c>
      <c r="C1662" s="1" t="n">
        <v>45680</v>
      </c>
      <c r="D1662" t="inlineStr">
        <is>
          <t>UPPSALA LÄN</t>
        </is>
      </c>
      <c r="E1662" t="inlineStr">
        <is>
          <t>UPPSALA</t>
        </is>
      </c>
      <c r="G1662" t="n">
        <v>2.3</v>
      </c>
      <c r="H1662" t="n">
        <v>0</v>
      </c>
      <c r="I1662" t="n">
        <v>0</v>
      </c>
      <c r="J1662" t="n">
        <v>0</v>
      </c>
      <c r="K1662" t="n">
        <v>0</v>
      </c>
      <c r="L1662" t="n">
        <v>0</v>
      </c>
      <c r="M1662" t="n">
        <v>0</v>
      </c>
      <c r="N1662" t="n">
        <v>0</v>
      </c>
      <c r="O1662" t="n">
        <v>0</v>
      </c>
      <c r="P1662" t="n">
        <v>0</v>
      </c>
      <c r="Q1662" t="n">
        <v>0</v>
      </c>
      <c r="R1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2025-01-23T15:25:09Z</dcterms:created>
  <dcterms:modified xmlns:dcterms="http://purl.org/dc/terms/" xmlns:xsi="http://www.w3.org/2001/XMLSchema-instance" xsi:type="dcterms:W3CDTF">2025-01-23T15:25:10Z</dcterms:modified>
</cp:coreProperties>
</file>