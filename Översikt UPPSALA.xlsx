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45934</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45934</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45934</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45934</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38085-2025</t>
        </is>
      </c>
      <c r="B9" s="1" t="n">
        <v>45882</v>
      </c>
      <c r="C9" s="1" t="n">
        <v>45934</v>
      </c>
      <c r="D9" t="inlineStr">
        <is>
          <t>UPPSALA LÄN</t>
        </is>
      </c>
      <c r="E9" t="inlineStr">
        <is>
          <t>UPPSALA</t>
        </is>
      </c>
      <c r="G9" t="n">
        <v>7.4</v>
      </c>
      <c r="H9" t="n">
        <v>1</v>
      </c>
      <c r="I9" t="n">
        <v>8</v>
      </c>
      <c r="J9" t="n">
        <v>3</v>
      </c>
      <c r="K9" t="n">
        <v>5</v>
      </c>
      <c r="L9" t="n">
        <v>0</v>
      </c>
      <c r="M9" t="n">
        <v>0</v>
      </c>
      <c r="N9" t="n">
        <v>0</v>
      </c>
      <c r="O9" t="n">
        <v>8</v>
      </c>
      <c r="P9" t="n">
        <v>5</v>
      </c>
      <c r="Q9" t="n">
        <v>16</v>
      </c>
      <c r="R9" s="2" t="inlineStr">
        <is>
          <t>Blackticka
Knärot
Rostorangelav
Rynkskinn
Violgubbe
Garnlav
Ullticka
Vedtrappmossa
Barkticka
Björksplintborre
Granbarkgnagare
Grov fjädermossa
Platt fjädermossa
Tallfingersvamp
Vedticka
Vågbandad barkbock</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45934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45934</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43970-2025</t>
        </is>
      </c>
      <c r="B12" s="1" t="n">
        <v>45915</v>
      </c>
      <c r="C12" s="1" t="n">
        <v>45934</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45934</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45934</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45934</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45934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45934</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45934</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45934</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2021-2022</t>
        </is>
      </c>
      <c r="B20" s="1" t="n">
        <v>44575</v>
      </c>
      <c r="C20" s="1" t="n">
        <v>45934</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45934</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45934</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45934</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45934</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45934</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45934</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45934</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45934</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45934</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25651-2025</t>
        </is>
      </c>
      <c r="B30" s="1" t="n">
        <v>45803.61035879629</v>
      </c>
      <c r="C30" s="1" t="n">
        <v>45934</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33636-2025</t>
        </is>
      </c>
      <c r="B31" s="1" t="n">
        <v>45841.64539351852</v>
      </c>
      <c r="C31" s="1" t="n">
        <v>45934</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33707-2025</t>
        </is>
      </c>
      <c r="B32" s="1" t="n">
        <v>45841.80690972223</v>
      </c>
      <c r="C32" s="1" t="n">
        <v>45934</v>
      </c>
      <c r="D32" t="inlineStr">
        <is>
          <t>UPPSALA LÄN</t>
        </is>
      </c>
      <c r="E32" t="inlineStr">
        <is>
          <t>UPPSALA</t>
        </is>
      </c>
      <c r="F32" t="inlineStr">
        <is>
          <t>Holmen skog AB</t>
        </is>
      </c>
      <c r="G32" t="n">
        <v>7.9</v>
      </c>
      <c r="H32" t="n">
        <v>4</v>
      </c>
      <c r="I32" t="n">
        <v>2</v>
      </c>
      <c r="J32" t="n">
        <v>2</v>
      </c>
      <c r="K32" t="n">
        <v>0</v>
      </c>
      <c r="L32" t="n">
        <v>0</v>
      </c>
      <c r="M32" t="n">
        <v>0</v>
      </c>
      <c r="N32" t="n">
        <v>0</v>
      </c>
      <c r="O32" t="n">
        <v>2</v>
      </c>
      <c r="P32" t="n">
        <v>0</v>
      </c>
      <c r="Q32" t="n">
        <v>6</v>
      </c>
      <c r="R32" s="2" t="inlineStr">
        <is>
          <t>Buskskvätta
Gulsparv
Brandticka
Fjällig taggsvamp s.str.
Tjäder
Revlummer</t>
        </is>
      </c>
      <c r="S32">
        <f>HYPERLINK("https://klasma.github.io/Logging_0380/artfynd/A 33707-2025 artfynd.xlsx", "A 33707-2025")</f>
        <v/>
      </c>
      <c r="T32">
        <f>HYPERLINK("https://klasma.github.io/Logging_0380/kartor/A 33707-2025 karta.png", "A 33707-2025")</f>
        <v/>
      </c>
      <c r="V32">
        <f>HYPERLINK("https://klasma.github.io/Logging_0380/klagomål/A 33707-2025 FSC-klagomål.docx", "A 33707-2025")</f>
        <v/>
      </c>
      <c r="W32">
        <f>HYPERLINK("https://klasma.github.io/Logging_0380/klagomålsmail/A 33707-2025 FSC-klagomål mail.docx", "A 33707-2025")</f>
        <v/>
      </c>
      <c r="X32">
        <f>HYPERLINK("https://klasma.github.io/Logging_0380/tillsyn/A 33707-2025 tillsynsbegäran.docx", "A 33707-2025")</f>
        <v/>
      </c>
      <c r="Y32">
        <f>HYPERLINK("https://klasma.github.io/Logging_0380/tillsynsmail/A 33707-2025 tillsynsbegäran mail.docx", "A 33707-2025")</f>
        <v/>
      </c>
      <c r="Z32">
        <f>HYPERLINK("https://klasma.github.io/Logging_0380/fåglar/A 33707-2025 prioriterade fågelarter.docx", "A 33707-2025")</f>
        <v/>
      </c>
    </row>
    <row r="33" ht="15" customHeight="1">
      <c r="A33" t="inlineStr">
        <is>
          <t>A 69711-2021</t>
        </is>
      </c>
      <c r="B33" s="1" t="n">
        <v>44532</v>
      </c>
      <c r="C33" s="1" t="n">
        <v>45934</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45934</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29803-2023</t>
        </is>
      </c>
      <c r="B35" s="1" t="n">
        <v>45107</v>
      </c>
      <c r="C35" s="1" t="n">
        <v>45934</v>
      </c>
      <c r="D35" t="inlineStr">
        <is>
          <t>UPPSALA LÄN</t>
        </is>
      </c>
      <c r="E35" t="inlineStr">
        <is>
          <t>UPPSALA</t>
        </is>
      </c>
      <c r="G35" t="n">
        <v>2.5</v>
      </c>
      <c r="H35" t="n">
        <v>0</v>
      </c>
      <c r="I35" t="n">
        <v>3</v>
      </c>
      <c r="J35" t="n">
        <v>2</v>
      </c>
      <c r="K35" t="n">
        <v>0</v>
      </c>
      <c r="L35" t="n">
        <v>0</v>
      </c>
      <c r="M35" t="n">
        <v>0</v>
      </c>
      <c r="N35" t="n">
        <v>0</v>
      </c>
      <c r="O35" t="n">
        <v>2</v>
      </c>
      <c r="P35" t="n">
        <v>0</v>
      </c>
      <c r="Q35" t="n">
        <v>5</v>
      </c>
      <c r="R35" s="2" t="inlineStr">
        <is>
          <t>Barrviolspindling
Flattoppad klubbsvamp
Blomkålssvamp
Fjällig taggsvamp s.str.
Svavelriska</t>
        </is>
      </c>
      <c r="S35">
        <f>HYPERLINK("https://klasma.github.io/Logging_0380/artfynd/A 29803-2023 artfynd.xlsx", "A 29803-2023")</f>
        <v/>
      </c>
      <c r="T35">
        <f>HYPERLINK("https://klasma.github.io/Logging_0380/kartor/A 29803-2023 karta.png", "A 29803-2023")</f>
        <v/>
      </c>
      <c r="V35">
        <f>HYPERLINK("https://klasma.github.io/Logging_0380/klagomål/A 29803-2023 FSC-klagomål.docx", "A 29803-2023")</f>
        <v/>
      </c>
      <c r="W35">
        <f>HYPERLINK("https://klasma.github.io/Logging_0380/klagomålsmail/A 29803-2023 FSC-klagomål mail.docx", "A 29803-2023")</f>
        <v/>
      </c>
      <c r="X35">
        <f>HYPERLINK("https://klasma.github.io/Logging_0380/tillsyn/A 29803-2023 tillsynsbegäran.docx", "A 29803-2023")</f>
        <v/>
      </c>
      <c r="Y35">
        <f>HYPERLINK("https://klasma.github.io/Logging_0380/tillsynsmail/A 29803-2023 tillsynsbegäran mail.docx", "A 29803-2023")</f>
        <v/>
      </c>
    </row>
    <row r="36" ht="15" customHeight="1">
      <c r="A36" t="inlineStr">
        <is>
          <t>A 3100-2024</t>
        </is>
      </c>
      <c r="B36" s="1" t="n">
        <v>45316</v>
      </c>
      <c r="C36" s="1" t="n">
        <v>45934</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45934</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45934</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27389-2021</t>
        </is>
      </c>
      <c r="B39" s="1" t="n">
        <v>44351</v>
      </c>
      <c r="C39" s="1" t="n">
        <v>45934</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21809-2024</t>
        </is>
      </c>
      <c r="B40" s="1" t="n">
        <v>45442</v>
      </c>
      <c r="C40" s="1" t="n">
        <v>45934</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1725-2022</t>
        </is>
      </c>
      <c r="B41" s="1" t="n">
        <v>44574</v>
      </c>
      <c r="C41" s="1" t="n">
        <v>45934</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23153-2022</t>
        </is>
      </c>
      <c r="B42" s="1" t="n">
        <v>44719</v>
      </c>
      <c r="C42" s="1" t="n">
        <v>45934</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45934</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11217-2024</t>
        </is>
      </c>
      <c r="B44" s="1" t="n">
        <v>45371</v>
      </c>
      <c r="C44" s="1" t="n">
        <v>45934</v>
      </c>
      <c r="D44" t="inlineStr">
        <is>
          <t>UPPSALA LÄN</t>
        </is>
      </c>
      <c r="E44" t="inlineStr">
        <is>
          <t>UPPSALA</t>
        </is>
      </c>
      <c r="F44" t="inlineStr">
        <is>
          <t>Kommuner</t>
        </is>
      </c>
      <c r="G44" t="n">
        <v>1.5</v>
      </c>
      <c r="H44" t="n">
        <v>1</v>
      </c>
      <c r="I44" t="n">
        <v>4</v>
      </c>
      <c r="J44" t="n">
        <v>0</v>
      </c>
      <c r="K44" t="n">
        <v>0</v>
      </c>
      <c r="L44" t="n">
        <v>0</v>
      </c>
      <c r="M44" t="n">
        <v>0</v>
      </c>
      <c r="N44" t="n">
        <v>0</v>
      </c>
      <c r="O44" t="n">
        <v>0</v>
      </c>
      <c r="P44" t="n">
        <v>0</v>
      </c>
      <c r="Q44" t="n">
        <v>4</v>
      </c>
      <c r="R44" s="2" t="inlineStr">
        <is>
          <t>Fällmossa
Grön sköldmossa
Lönnlav
Stor aspticka</t>
        </is>
      </c>
      <c r="S44">
        <f>HYPERLINK("https://klasma.github.io/Logging_0380/artfynd/A 11217-2024 artfynd.xlsx", "A 11217-2024")</f>
        <v/>
      </c>
      <c r="T44">
        <f>HYPERLINK("https://klasma.github.io/Logging_0380/kartor/A 11217-2024 karta.png", "A 11217-2024")</f>
        <v/>
      </c>
      <c r="V44">
        <f>HYPERLINK("https://klasma.github.io/Logging_0380/klagomål/A 11217-2024 FSC-klagomål.docx", "A 11217-2024")</f>
        <v/>
      </c>
      <c r="W44">
        <f>HYPERLINK("https://klasma.github.io/Logging_0380/klagomålsmail/A 11217-2024 FSC-klagomål mail.docx", "A 11217-2024")</f>
        <v/>
      </c>
      <c r="X44">
        <f>HYPERLINK("https://klasma.github.io/Logging_0380/tillsyn/A 11217-2024 tillsynsbegäran.docx", "A 11217-2024")</f>
        <v/>
      </c>
      <c r="Y44">
        <f>HYPERLINK("https://klasma.github.io/Logging_0380/tillsynsmail/A 11217-2024 tillsynsbegäran mail.docx", "A 11217-2024")</f>
        <v/>
      </c>
    </row>
    <row r="45" ht="15" customHeight="1">
      <c r="A45" t="inlineStr">
        <is>
          <t>A 26758-2022</t>
        </is>
      </c>
      <c r="B45" s="1" t="n">
        <v>44740</v>
      </c>
      <c r="C45" s="1" t="n">
        <v>45934</v>
      </c>
      <c r="D45" t="inlineStr">
        <is>
          <t>UPPSALA LÄN</t>
        </is>
      </c>
      <c r="E45" t="inlineStr">
        <is>
          <t>UPPSALA</t>
        </is>
      </c>
      <c r="G45" t="n">
        <v>21.5</v>
      </c>
      <c r="H45" t="n">
        <v>0</v>
      </c>
      <c r="I45" t="n">
        <v>3</v>
      </c>
      <c r="J45" t="n">
        <v>1</v>
      </c>
      <c r="K45" t="n">
        <v>0</v>
      </c>
      <c r="L45" t="n">
        <v>0</v>
      </c>
      <c r="M45" t="n">
        <v>0</v>
      </c>
      <c r="N45" t="n">
        <v>0</v>
      </c>
      <c r="O45" t="n">
        <v>1</v>
      </c>
      <c r="P45" t="n">
        <v>0</v>
      </c>
      <c r="Q45" t="n">
        <v>4</v>
      </c>
      <c r="R45" s="2" t="inlineStr">
        <is>
          <t>Vedtrappmossa
Blåmossa
Bronshjon
Trådticka</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15297-2022</t>
        </is>
      </c>
      <c r="B46" s="1" t="n">
        <v>44659</v>
      </c>
      <c r="C46" s="1" t="n">
        <v>45934</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8323-2023</t>
        </is>
      </c>
      <c r="B47" s="1" t="n">
        <v>44974</v>
      </c>
      <c r="C47" s="1" t="n">
        <v>45934</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45934</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45934</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34147-2022</t>
        </is>
      </c>
      <c r="B50" s="1" t="n">
        <v>44791</v>
      </c>
      <c r="C50" s="1" t="n">
        <v>45934</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18079-2022</t>
        </is>
      </c>
      <c r="B51" s="1" t="n">
        <v>44684</v>
      </c>
      <c r="C51" s="1" t="n">
        <v>45934</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60038-2021</t>
        </is>
      </c>
      <c r="B52" s="1" t="n">
        <v>44495</v>
      </c>
      <c r="C52" s="1" t="n">
        <v>45934</v>
      </c>
      <c r="D52" t="inlineStr">
        <is>
          <t>UPPSALA LÄN</t>
        </is>
      </c>
      <c r="E52" t="inlineStr">
        <is>
          <t>UPPSALA</t>
        </is>
      </c>
      <c r="G52" t="n">
        <v>1.2</v>
      </c>
      <c r="H52" t="n">
        <v>1</v>
      </c>
      <c r="I52" t="n">
        <v>0</v>
      </c>
      <c r="J52" t="n">
        <v>1</v>
      </c>
      <c r="K52" t="n">
        <v>1</v>
      </c>
      <c r="L52" t="n">
        <v>0</v>
      </c>
      <c r="M52" t="n">
        <v>0</v>
      </c>
      <c r="N52" t="n">
        <v>0</v>
      </c>
      <c r="O52" t="n">
        <v>2</v>
      </c>
      <c r="P52" t="n">
        <v>1</v>
      </c>
      <c r="Q52" t="n">
        <v>3</v>
      </c>
      <c r="R52" s="2" t="inlineStr">
        <is>
          <t>Rynkskinn
Ullticka
Blåsippa</t>
        </is>
      </c>
      <c r="S52">
        <f>HYPERLINK("https://klasma.github.io/Logging_0380/artfynd/A 60038-2021 artfynd.xlsx", "A 60038-2021")</f>
        <v/>
      </c>
      <c r="T52">
        <f>HYPERLINK("https://klasma.github.io/Logging_0380/kartor/A 60038-2021 karta.png", "A 60038-2021")</f>
        <v/>
      </c>
      <c r="V52">
        <f>HYPERLINK("https://klasma.github.io/Logging_0380/klagomål/A 60038-2021 FSC-klagomål.docx", "A 60038-2021")</f>
        <v/>
      </c>
      <c r="W52">
        <f>HYPERLINK("https://klasma.github.io/Logging_0380/klagomålsmail/A 60038-2021 FSC-klagomål mail.docx", "A 60038-2021")</f>
        <v/>
      </c>
      <c r="X52">
        <f>HYPERLINK("https://klasma.github.io/Logging_0380/tillsyn/A 60038-2021 tillsynsbegäran.docx", "A 60038-2021")</f>
        <v/>
      </c>
      <c r="Y52">
        <f>HYPERLINK("https://klasma.github.io/Logging_0380/tillsynsmail/A 60038-2021 tillsynsbegäran mail.docx", "A 60038-2021")</f>
        <v/>
      </c>
    </row>
    <row r="53" ht="15" customHeight="1">
      <c r="A53" t="inlineStr">
        <is>
          <t>A 25943-2023</t>
        </is>
      </c>
      <c r="B53" s="1" t="n">
        <v>45090</v>
      </c>
      <c r="C53" s="1" t="n">
        <v>45934</v>
      </c>
      <c r="D53" t="inlineStr">
        <is>
          <t>UPPSALA LÄN</t>
        </is>
      </c>
      <c r="E53" t="inlineStr">
        <is>
          <t>UPPSALA</t>
        </is>
      </c>
      <c r="F53" t="inlineStr">
        <is>
          <t>Holmen skog AB</t>
        </is>
      </c>
      <c r="G53" t="n">
        <v>2.7</v>
      </c>
      <c r="H53" t="n">
        <v>1</v>
      </c>
      <c r="I53" t="n">
        <v>1</v>
      </c>
      <c r="J53" t="n">
        <v>2</v>
      </c>
      <c r="K53" t="n">
        <v>0</v>
      </c>
      <c r="L53" t="n">
        <v>0</v>
      </c>
      <c r="M53" t="n">
        <v>0</v>
      </c>
      <c r="N53" t="n">
        <v>0</v>
      </c>
      <c r="O53" t="n">
        <v>2</v>
      </c>
      <c r="P53" t="n">
        <v>0</v>
      </c>
      <c r="Q53" t="n">
        <v>3</v>
      </c>
      <c r="R53" s="2" t="inlineStr">
        <is>
          <t>Mindre hackspett
Vedtrappmossa
Vedticka</t>
        </is>
      </c>
      <c r="S53">
        <f>HYPERLINK("https://klasma.github.io/Logging_0380/artfynd/A 25943-2023 artfynd.xlsx", "A 25943-2023")</f>
        <v/>
      </c>
      <c r="T53">
        <f>HYPERLINK("https://klasma.github.io/Logging_0380/kartor/A 25943-2023 karta.png", "A 25943-2023")</f>
        <v/>
      </c>
      <c r="V53">
        <f>HYPERLINK("https://klasma.github.io/Logging_0380/klagomål/A 25943-2023 FSC-klagomål.docx", "A 25943-2023")</f>
        <v/>
      </c>
      <c r="W53">
        <f>HYPERLINK("https://klasma.github.io/Logging_0380/klagomålsmail/A 25943-2023 FSC-klagomål mail.docx", "A 25943-2023")</f>
        <v/>
      </c>
      <c r="X53">
        <f>HYPERLINK("https://klasma.github.io/Logging_0380/tillsyn/A 25943-2023 tillsynsbegäran.docx", "A 25943-2023")</f>
        <v/>
      </c>
      <c r="Y53">
        <f>HYPERLINK("https://klasma.github.io/Logging_0380/tillsynsmail/A 25943-2023 tillsynsbegäran mail.docx", "A 25943-2023")</f>
        <v/>
      </c>
      <c r="Z53">
        <f>HYPERLINK("https://klasma.github.io/Logging_0380/fåglar/A 25943-2023 prioriterade fågelarter.docx", "A 25943-2023")</f>
        <v/>
      </c>
    </row>
    <row r="54" ht="15" customHeight="1">
      <c r="A54" t="inlineStr">
        <is>
          <t>A 25608-2025</t>
        </is>
      </c>
      <c r="B54" s="1" t="n">
        <v>45803.55535879629</v>
      </c>
      <c r="C54" s="1" t="n">
        <v>45934</v>
      </c>
      <c r="D54" t="inlineStr">
        <is>
          <t>UPPSALA LÄN</t>
        </is>
      </c>
      <c r="E54" t="inlineStr">
        <is>
          <t>UPPSALA</t>
        </is>
      </c>
      <c r="F54" t="inlineStr">
        <is>
          <t>Holmen skog AB</t>
        </is>
      </c>
      <c r="G54" t="n">
        <v>3</v>
      </c>
      <c r="H54" t="n">
        <v>2</v>
      </c>
      <c r="I54" t="n">
        <v>1</v>
      </c>
      <c r="J54" t="n">
        <v>1</v>
      </c>
      <c r="K54" t="n">
        <v>1</v>
      </c>
      <c r="L54" t="n">
        <v>0</v>
      </c>
      <c r="M54" t="n">
        <v>0</v>
      </c>
      <c r="N54" t="n">
        <v>0</v>
      </c>
      <c r="O54" t="n">
        <v>2</v>
      </c>
      <c r="P54" t="n">
        <v>1</v>
      </c>
      <c r="Q54" t="n">
        <v>3</v>
      </c>
      <c r="R54" s="2" t="inlineStr">
        <is>
          <t>Knärot
Spillkråka
Stuplav</t>
        </is>
      </c>
      <c r="S54">
        <f>HYPERLINK("https://klasma.github.io/Logging_0380/artfynd/A 25608-2025 artfynd.xlsx", "A 25608-2025")</f>
        <v/>
      </c>
      <c r="T54">
        <f>HYPERLINK("https://klasma.github.io/Logging_0380/kartor/A 25608-2025 karta.png", "A 25608-2025")</f>
        <v/>
      </c>
      <c r="U54">
        <f>HYPERLINK("https://klasma.github.io/Logging_0380/knärot/A 25608-2025 karta knärot.png", "A 25608-2025")</f>
        <v/>
      </c>
      <c r="V54">
        <f>HYPERLINK("https://klasma.github.io/Logging_0380/klagomål/A 25608-2025 FSC-klagomål.docx", "A 25608-2025")</f>
        <v/>
      </c>
      <c r="W54">
        <f>HYPERLINK("https://klasma.github.io/Logging_0380/klagomålsmail/A 25608-2025 FSC-klagomål mail.docx", "A 25608-2025")</f>
        <v/>
      </c>
      <c r="X54">
        <f>HYPERLINK("https://klasma.github.io/Logging_0380/tillsyn/A 25608-2025 tillsynsbegäran.docx", "A 25608-2025")</f>
        <v/>
      </c>
      <c r="Y54">
        <f>HYPERLINK("https://klasma.github.io/Logging_0380/tillsynsmail/A 25608-2025 tillsynsbegäran mail.docx", "A 25608-2025")</f>
        <v/>
      </c>
      <c r="Z54">
        <f>HYPERLINK("https://klasma.github.io/Logging_0380/fåglar/A 25608-2025 prioriterade fågelarter.docx", "A 25608-2025")</f>
        <v/>
      </c>
    </row>
    <row r="55" ht="15" customHeight="1">
      <c r="A55" t="inlineStr">
        <is>
          <t>A 36471-2022</t>
        </is>
      </c>
      <c r="B55" s="1" t="n">
        <v>44804</v>
      </c>
      <c r="C55" s="1" t="n">
        <v>45934</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30716-2025</t>
        </is>
      </c>
      <c r="B56" s="1" t="n">
        <v>45831.55982638889</v>
      </c>
      <c r="C56" s="1" t="n">
        <v>45934</v>
      </c>
      <c r="D56" t="inlineStr">
        <is>
          <t>UPPSALA LÄN</t>
        </is>
      </c>
      <c r="E56" t="inlineStr">
        <is>
          <t>UPPSALA</t>
        </is>
      </c>
      <c r="G56" t="n">
        <v>2.3</v>
      </c>
      <c r="H56" t="n">
        <v>2</v>
      </c>
      <c r="I56" t="n">
        <v>1</v>
      </c>
      <c r="J56" t="n">
        <v>1</v>
      </c>
      <c r="K56" t="n">
        <v>1</v>
      </c>
      <c r="L56" t="n">
        <v>0</v>
      </c>
      <c r="M56" t="n">
        <v>0</v>
      </c>
      <c r="N56" t="n">
        <v>0</v>
      </c>
      <c r="O56" t="n">
        <v>2</v>
      </c>
      <c r="P56" t="n">
        <v>1</v>
      </c>
      <c r="Q56" t="n">
        <v>3</v>
      </c>
      <c r="R56" s="2" t="inlineStr">
        <is>
          <t>Knärot
Talltita
Skinnlav</t>
        </is>
      </c>
      <c r="S56">
        <f>HYPERLINK("https://klasma.github.io/Logging_0380/artfynd/A 30716-2025 artfynd.xlsx", "A 30716-2025")</f>
        <v/>
      </c>
      <c r="T56">
        <f>HYPERLINK("https://klasma.github.io/Logging_0380/kartor/A 30716-2025 karta.png", "A 30716-2025")</f>
        <v/>
      </c>
      <c r="U56">
        <f>HYPERLINK("https://klasma.github.io/Logging_0380/knärot/A 30716-2025 karta knärot.png", "A 30716-2025")</f>
        <v/>
      </c>
      <c r="V56">
        <f>HYPERLINK("https://klasma.github.io/Logging_0380/klagomål/A 30716-2025 FSC-klagomål.docx", "A 30716-2025")</f>
        <v/>
      </c>
      <c r="W56">
        <f>HYPERLINK("https://klasma.github.io/Logging_0380/klagomålsmail/A 30716-2025 FSC-klagomål mail.docx", "A 30716-2025")</f>
        <v/>
      </c>
      <c r="X56">
        <f>HYPERLINK("https://klasma.github.io/Logging_0380/tillsyn/A 30716-2025 tillsynsbegäran.docx", "A 30716-2025")</f>
        <v/>
      </c>
      <c r="Y56">
        <f>HYPERLINK("https://klasma.github.io/Logging_0380/tillsynsmail/A 30716-2025 tillsynsbegäran mail.docx", "A 30716-2025")</f>
        <v/>
      </c>
      <c r="Z56">
        <f>HYPERLINK("https://klasma.github.io/Logging_0380/fåglar/A 30716-2025 prioriterade fågelarter.docx", "A 30716-2025")</f>
        <v/>
      </c>
    </row>
    <row r="57" ht="15" customHeight="1">
      <c r="A57" t="inlineStr">
        <is>
          <t>A 43280-2025</t>
        </is>
      </c>
      <c r="B57" s="1" t="n">
        <v>45910.59475694445</v>
      </c>
      <c r="C57" s="1" t="n">
        <v>45934</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45934</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6998-2023</t>
        </is>
      </c>
      <c r="B59" s="1" t="n">
        <v>44967</v>
      </c>
      <c r="C59" s="1" t="n">
        <v>45934</v>
      </c>
      <c r="D59" t="inlineStr">
        <is>
          <t>UPPSALA LÄN</t>
        </is>
      </c>
      <c r="E59" t="inlineStr">
        <is>
          <t>UPPSALA</t>
        </is>
      </c>
      <c r="G59" t="n">
        <v>8.4</v>
      </c>
      <c r="H59" t="n">
        <v>2</v>
      </c>
      <c r="I59" t="n">
        <v>0</v>
      </c>
      <c r="J59" t="n">
        <v>0</v>
      </c>
      <c r="K59" t="n">
        <v>0</v>
      </c>
      <c r="L59" t="n">
        <v>0</v>
      </c>
      <c r="M59" t="n">
        <v>0</v>
      </c>
      <c r="N59" t="n">
        <v>0</v>
      </c>
      <c r="O59" t="n">
        <v>0</v>
      </c>
      <c r="P59" t="n">
        <v>0</v>
      </c>
      <c r="Q59" t="n">
        <v>2</v>
      </c>
      <c r="R59" s="2" t="inlineStr">
        <is>
          <t>Nattviol
Blåsippa</t>
        </is>
      </c>
      <c r="S59">
        <f>HYPERLINK("https://klasma.github.io/Logging_0380/artfynd/A 6998-2023 artfynd.xlsx", "A 6998-2023")</f>
        <v/>
      </c>
      <c r="T59">
        <f>HYPERLINK("https://klasma.github.io/Logging_0380/kartor/A 6998-2023 karta.png", "A 6998-2023")</f>
        <v/>
      </c>
      <c r="V59">
        <f>HYPERLINK("https://klasma.github.io/Logging_0380/klagomål/A 6998-2023 FSC-klagomål.docx", "A 6998-2023")</f>
        <v/>
      </c>
      <c r="W59">
        <f>HYPERLINK("https://klasma.github.io/Logging_0380/klagomålsmail/A 6998-2023 FSC-klagomål mail.docx", "A 6998-2023")</f>
        <v/>
      </c>
      <c r="X59">
        <f>HYPERLINK("https://klasma.github.io/Logging_0380/tillsyn/A 6998-2023 tillsynsbegäran.docx", "A 6998-2023")</f>
        <v/>
      </c>
      <c r="Y59">
        <f>HYPERLINK("https://klasma.github.io/Logging_0380/tillsynsmail/A 6998-2023 tillsynsbegäran mail.docx", "A 6998-2023")</f>
        <v/>
      </c>
    </row>
    <row r="60" ht="15" customHeight="1">
      <c r="A60" t="inlineStr">
        <is>
          <t>A 45627-2025</t>
        </is>
      </c>
      <c r="B60" s="1" t="n">
        <v>45922.80255787037</v>
      </c>
      <c r="C60" s="1" t="n">
        <v>45934</v>
      </c>
      <c r="D60" t="inlineStr">
        <is>
          <t>UPPSALA LÄN</t>
        </is>
      </c>
      <c r="E60" t="inlineStr">
        <is>
          <t>UPPSALA</t>
        </is>
      </c>
      <c r="G60" t="n">
        <v>4</v>
      </c>
      <c r="H60" t="n">
        <v>2</v>
      </c>
      <c r="I60" t="n">
        <v>0</v>
      </c>
      <c r="J60" t="n">
        <v>2</v>
      </c>
      <c r="K60" t="n">
        <v>0</v>
      </c>
      <c r="L60" t="n">
        <v>0</v>
      </c>
      <c r="M60" t="n">
        <v>0</v>
      </c>
      <c r="N60" t="n">
        <v>0</v>
      </c>
      <c r="O60" t="n">
        <v>2</v>
      </c>
      <c r="P60" t="n">
        <v>0</v>
      </c>
      <c r="Q60" t="n">
        <v>2</v>
      </c>
      <c r="R60" s="2" t="inlineStr">
        <is>
          <t>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18425-2025</t>
        </is>
      </c>
      <c r="B61" s="1" t="n">
        <v>45762.62260416667</v>
      </c>
      <c r="C61" s="1" t="n">
        <v>45934</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17277-2023</t>
        </is>
      </c>
      <c r="B62" s="1" t="n">
        <v>45035.44672453704</v>
      </c>
      <c r="C62" s="1" t="n">
        <v>45934</v>
      </c>
      <c r="D62" t="inlineStr">
        <is>
          <t>UPPSALA LÄN</t>
        </is>
      </c>
      <c r="E62" t="inlineStr">
        <is>
          <t>UPPSALA</t>
        </is>
      </c>
      <c r="F62" t="inlineStr">
        <is>
          <t>Övriga Aktiebolag</t>
        </is>
      </c>
      <c r="G62" t="n">
        <v>6.1</v>
      </c>
      <c r="H62" t="n">
        <v>2</v>
      </c>
      <c r="I62" t="n">
        <v>0</v>
      </c>
      <c r="J62" t="n">
        <v>1</v>
      </c>
      <c r="K62" t="n">
        <v>0</v>
      </c>
      <c r="L62" t="n">
        <v>0</v>
      </c>
      <c r="M62" t="n">
        <v>0</v>
      </c>
      <c r="N62" t="n">
        <v>0</v>
      </c>
      <c r="O62" t="n">
        <v>1</v>
      </c>
      <c r="P62" t="n">
        <v>0</v>
      </c>
      <c r="Q62" t="n">
        <v>2</v>
      </c>
      <c r="R62" s="2" t="inlineStr">
        <is>
          <t>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5755-2025</t>
        </is>
      </c>
      <c r="B63" s="1" t="n">
        <v>45694.55559027778</v>
      </c>
      <c r="C63" s="1" t="n">
        <v>45934</v>
      </c>
      <c r="D63" t="inlineStr">
        <is>
          <t>UPPSALA LÄN</t>
        </is>
      </c>
      <c r="E63" t="inlineStr">
        <is>
          <t>UPPSALA</t>
        </is>
      </c>
      <c r="G63" t="n">
        <v>1.3</v>
      </c>
      <c r="H63" t="n">
        <v>0</v>
      </c>
      <c r="I63" t="n">
        <v>2</v>
      </c>
      <c r="J63" t="n">
        <v>0</v>
      </c>
      <c r="K63" t="n">
        <v>0</v>
      </c>
      <c r="L63" t="n">
        <v>0</v>
      </c>
      <c r="M63" t="n">
        <v>0</v>
      </c>
      <c r="N63" t="n">
        <v>0</v>
      </c>
      <c r="O63" t="n">
        <v>0</v>
      </c>
      <c r="P63" t="n">
        <v>0</v>
      </c>
      <c r="Q63" t="n">
        <v>2</v>
      </c>
      <c r="R63" s="2" t="inlineStr">
        <is>
          <t>Fällmossa
Hasselticka</t>
        </is>
      </c>
      <c r="S63">
        <f>HYPERLINK("https://klasma.github.io/Logging_0380/artfynd/A 5755-2025 artfynd.xlsx", "A 5755-2025")</f>
        <v/>
      </c>
      <c r="T63">
        <f>HYPERLINK("https://klasma.github.io/Logging_0380/kartor/A 5755-2025 karta.png", "A 5755-2025")</f>
        <v/>
      </c>
      <c r="V63">
        <f>HYPERLINK("https://klasma.github.io/Logging_0380/klagomål/A 5755-2025 FSC-klagomål.docx", "A 5755-2025")</f>
        <v/>
      </c>
      <c r="W63">
        <f>HYPERLINK("https://klasma.github.io/Logging_0380/klagomålsmail/A 5755-2025 FSC-klagomål mail.docx", "A 5755-2025")</f>
        <v/>
      </c>
      <c r="X63">
        <f>HYPERLINK("https://klasma.github.io/Logging_0380/tillsyn/A 5755-2025 tillsynsbegäran.docx", "A 5755-2025")</f>
        <v/>
      </c>
      <c r="Y63">
        <f>HYPERLINK("https://klasma.github.io/Logging_0380/tillsynsmail/A 5755-2025 tillsynsbegäran mail.docx", "A 5755-2025")</f>
        <v/>
      </c>
    </row>
    <row r="64" ht="15" customHeight="1">
      <c r="A64" t="inlineStr">
        <is>
          <t>A 51749-2023</t>
        </is>
      </c>
      <c r="B64" s="1" t="n">
        <v>45222</v>
      </c>
      <c r="C64" s="1" t="n">
        <v>45934</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25660-2025</t>
        </is>
      </c>
      <c r="B65" s="1" t="n">
        <v>45803.61554398148</v>
      </c>
      <c r="C65" s="1" t="n">
        <v>45934</v>
      </c>
      <c r="D65" t="inlineStr">
        <is>
          <t>UPPSALA LÄN</t>
        </is>
      </c>
      <c r="E65" t="inlineStr">
        <is>
          <t>UPPSALA</t>
        </is>
      </c>
      <c r="F65" t="inlineStr">
        <is>
          <t>Holmen skog AB</t>
        </is>
      </c>
      <c r="G65" t="n">
        <v>4.8</v>
      </c>
      <c r="H65" t="n">
        <v>0</v>
      </c>
      <c r="I65" t="n">
        <v>2</v>
      </c>
      <c r="J65" t="n">
        <v>0</v>
      </c>
      <c r="K65" t="n">
        <v>0</v>
      </c>
      <c r="L65" t="n">
        <v>0</v>
      </c>
      <c r="M65" t="n">
        <v>0</v>
      </c>
      <c r="N65" t="n">
        <v>0</v>
      </c>
      <c r="O65" t="n">
        <v>0</v>
      </c>
      <c r="P65" t="n">
        <v>0</v>
      </c>
      <c r="Q65" t="n">
        <v>2</v>
      </c>
      <c r="R65" s="2" t="inlineStr">
        <is>
          <t>Mindre märgborre
Skogshakmossa</t>
        </is>
      </c>
      <c r="S65">
        <f>HYPERLINK("https://klasma.github.io/Logging_0380/artfynd/A 25660-2025 artfynd.xlsx", "A 25660-2025")</f>
        <v/>
      </c>
      <c r="T65">
        <f>HYPERLINK("https://klasma.github.io/Logging_0380/kartor/A 25660-2025 karta.png", "A 25660-2025")</f>
        <v/>
      </c>
      <c r="V65">
        <f>HYPERLINK("https://klasma.github.io/Logging_0380/klagomål/A 25660-2025 FSC-klagomål.docx", "A 25660-2025")</f>
        <v/>
      </c>
      <c r="W65">
        <f>HYPERLINK("https://klasma.github.io/Logging_0380/klagomålsmail/A 25660-2025 FSC-klagomål mail.docx", "A 25660-2025")</f>
        <v/>
      </c>
      <c r="X65">
        <f>HYPERLINK("https://klasma.github.io/Logging_0380/tillsyn/A 25660-2025 tillsynsbegäran.docx", "A 25660-2025")</f>
        <v/>
      </c>
      <c r="Y65">
        <f>HYPERLINK("https://klasma.github.io/Logging_0380/tillsynsmail/A 25660-2025 tillsynsbegäran mail.docx", "A 25660-2025")</f>
        <v/>
      </c>
    </row>
    <row r="66" ht="15" customHeight="1">
      <c r="A66" t="inlineStr">
        <is>
          <t>A 9401-2025</t>
        </is>
      </c>
      <c r="B66" s="1" t="n">
        <v>45715.38105324074</v>
      </c>
      <c r="C66" s="1" t="n">
        <v>45934</v>
      </c>
      <c r="D66" t="inlineStr">
        <is>
          <t>UPPSALA LÄN</t>
        </is>
      </c>
      <c r="E66" t="inlineStr">
        <is>
          <t>UPPSALA</t>
        </is>
      </c>
      <c r="G66" t="n">
        <v>3.1</v>
      </c>
      <c r="H66" t="n">
        <v>2</v>
      </c>
      <c r="I66" t="n">
        <v>0</v>
      </c>
      <c r="J66" t="n">
        <v>0</v>
      </c>
      <c r="K66" t="n">
        <v>0</v>
      </c>
      <c r="L66" t="n">
        <v>0</v>
      </c>
      <c r="M66" t="n">
        <v>0</v>
      </c>
      <c r="N66" t="n">
        <v>0</v>
      </c>
      <c r="O66" t="n">
        <v>0</v>
      </c>
      <c r="P66" t="n">
        <v>0</v>
      </c>
      <c r="Q66" t="n">
        <v>2</v>
      </c>
      <c r="R66" s="2" t="inlineStr">
        <is>
          <t>Vanlig padda
Blåsippa</t>
        </is>
      </c>
      <c r="S66">
        <f>HYPERLINK("https://klasma.github.io/Logging_0380/artfynd/A 9401-2025 artfynd.xlsx", "A 9401-2025")</f>
        <v/>
      </c>
      <c r="T66">
        <f>HYPERLINK("https://klasma.github.io/Logging_0380/kartor/A 9401-2025 karta.png", "A 9401-2025")</f>
        <v/>
      </c>
      <c r="V66">
        <f>HYPERLINK("https://klasma.github.io/Logging_0380/klagomål/A 9401-2025 FSC-klagomål.docx", "A 9401-2025")</f>
        <v/>
      </c>
      <c r="W66">
        <f>HYPERLINK("https://klasma.github.io/Logging_0380/klagomålsmail/A 9401-2025 FSC-klagomål mail.docx", "A 9401-2025")</f>
        <v/>
      </c>
      <c r="X66">
        <f>HYPERLINK("https://klasma.github.io/Logging_0380/tillsyn/A 9401-2025 tillsynsbegäran.docx", "A 9401-2025")</f>
        <v/>
      </c>
      <c r="Y66">
        <f>HYPERLINK("https://klasma.github.io/Logging_0380/tillsynsmail/A 9401-2025 tillsynsbegäran mail.docx", "A 9401-2025")</f>
        <v/>
      </c>
    </row>
    <row r="67" ht="15" customHeight="1">
      <c r="A67" t="inlineStr">
        <is>
          <t>A 58906-2021</t>
        </is>
      </c>
      <c r="B67" s="1" t="n">
        <v>44489</v>
      </c>
      <c r="C67" s="1" t="n">
        <v>45934</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33708-2025</t>
        </is>
      </c>
      <c r="B68" s="1" t="n">
        <v>45841.81555555556</v>
      </c>
      <c r="C68" s="1" t="n">
        <v>45934</v>
      </c>
      <c r="D68" t="inlineStr">
        <is>
          <t>UPPSALA LÄN</t>
        </is>
      </c>
      <c r="E68" t="inlineStr">
        <is>
          <t>UPPSALA</t>
        </is>
      </c>
      <c r="F68" t="inlineStr">
        <is>
          <t>Holmen skog AB</t>
        </is>
      </c>
      <c r="G68" t="n">
        <v>2</v>
      </c>
      <c r="H68" t="n">
        <v>0</v>
      </c>
      <c r="I68" t="n">
        <v>1</v>
      </c>
      <c r="J68" t="n">
        <v>0</v>
      </c>
      <c r="K68" t="n">
        <v>0</v>
      </c>
      <c r="L68" t="n">
        <v>0</v>
      </c>
      <c r="M68" t="n">
        <v>1</v>
      </c>
      <c r="N68" t="n">
        <v>0</v>
      </c>
      <c r="O68" t="n">
        <v>1</v>
      </c>
      <c r="P68" t="n">
        <v>1</v>
      </c>
      <c r="Q68" t="n">
        <v>2</v>
      </c>
      <c r="R68" s="2" t="inlineStr">
        <is>
          <t>Skogsalm
Svavelriska</t>
        </is>
      </c>
      <c r="S68">
        <f>HYPERLINK("https://klasma.github.io/Logging_0380/artfynd/A 33708-2025 artfynd.xlsx", "A 33708-2025")</f>
        <v/>
      </c>
      <c r="T68">
        <f>HYPERLINK("https://klasma.github.io/Logging_0380/kartor/A 33708-2025 karta.png", "A 33708-2025")</f>
        <v/>
      </c>
      <c r="V68">
        <f>HYPERLINK("https://klasma.github.io/Logging_0380/klagomål/A 33708-2025 FSC-klagomål.docx", "A 33708-2025")</f>
        <v/>
      </c>
      <c r="W68">
        <f>HYPERLINK("https://klasma.github.io/Logging_0380/klagomålsmail/A 33708-2025 FSC-klagomål mail.docx", "A 33708-2025")</f>
        <v/>
      </c>
      <c r="X68">
        <f>HYPERLINK("https://klasma.github.io/Logging_0380/tillsyn/A 33708-2025 tillsynsbegäran.docx", "A 33708-2025")</f>
        <v/>
      </c>
      <c r="Y68">
        <f>HYPERLINK("https://klasma.github.io/Logging_0380/tillsynsmail/A 33708-2025 tillsynsbegäran mail.docx", "A 33708-2025")</f>
        <v/>
      </c>
    </row>
    <row r="69" ht="15" customHeight="1">
      <c r="A69" t="inlineStr">
        <is>
          <t>A 44675-2023</t>
        </is>
      </c>
      <c r="B69" s="1" t="n">
        <v>45189</v>
      </c>
      <c r="C69" s="1" t="n">
        <v>45934</v>
      </c>
      <c r="D69" t="inlineStr">
        <is>
          <t>UPPSALA LÄN</t>
        </is>
      </c>
      <c r="E69" t="inlineStr">
        <is>
          <t>UPPSALA</t>
        </is>
      </c>
      <c r="G69" t="n">
        <v>7.1</v>
      </c>
      <c r="H69" t="n">
        <v>2</v>
      </c>
      <c r="I69" t="n">
        <v>0</v>
      </c>
      <c r="J69" t="n">
        <v>1</v>
      </c>
      <c r="K69" t="n">
        <v>1</v>
      </c>
      <c r="L69" t="n">
        <v>0</v>
      </c>
      <c r="M69" t="n">
        <v>0</v>
      </c>
      <c r="N69" t="n">
        <v>0</v>
      </c>
      <c r="O69" t="n">
        <v>2</v>
      </c>
      <c r="P69" t="n">
        <v>1</v>
      </c>
      <c r="Q69" t="n">
        <v>2</v>
      </c>
      <c r="R69" s="2" t="inlineStr">
        <is>
          <t>Knärot
Talltita</t>
        </is>
      </c>
      <c r="S69">
        <f>HYPERLINK("https://klasma.github.io/Logging_0380/artfynd/A 44675-2023 artfynd.xlsx", "A 44675-2023")</f>
        <v/>
      </c>
      <c r="T69">
        <f>HYPERLINK("https://klasma.github.io/Logging_0380/kartor/A 44675-2023 karta.png", "A 44675-2023")</f>
        <v/>
      </c>
      <c r="U69">
        <f>HYPERLINK("https://klasma.github.io/Logging_0380/knärot/A 44675-2023 karta knärot.png", "A 44675-2023")</f>
        <v/>
      </c>
      <c r="V69">
        <f>HYPERLINK("https://klasma.github.io/Logging_0380/klagomål/A 44675-2023 FSC-klagomål.docx", "A 44675-2023")</f>
        <v/>
      </c>
      <c r="W69">
        <f>HYPERLINK("https://klasma.github.io/Logging_0380/klagomålsmail/A 44675-2023 FSC-klagomål mail.docx", "A 44675-2023")</f>
        <v/>
      </c>
      <c r="X69">
        <f>HYPERLINK("https://klasma.github.io/Logging_0380/tillsyn/A 44675-2023 tillsynsbegäran.docx", "A 44675-2023")</f>
        <v/>
      </c>
      <c r="Y69">
        <f>HYPERLINK("https://klasma.github.io/Logging_0380/tillsynsmail/A 44675-2023 tillsynsbegäran mail.docx", "A 44675-2023")</f>
        <v/>
      </c>
      <c r="Z69">
        <f>HYPERLINK("https://klasma.github.io/Logging_0380/fåglar/A 44675-2023 prioriterade fågelarter.docx", "A 44675-2023")</f>
        <v/>
      </c>
    </row>
    <row r="70" ht="15" customHeight="1">
      <c r="A70" t="inlineStr">
        <is>
          <t>A 39933-2023</t>
        </is>
      </c>
      <c r="B70" s="1" t="n">
        <v>45168.50667824074</v>
      </c>
      <c r="C70" s="1" t="n">
        <v>45934</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41921-2025</t>
        </is>
      </c>
      <c r="B71" s="1" t="n">
        <v>45903</v>
      </c>
      <c r="C71" s="1" t="n">
        <v>45934</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88-2024</t>
        </is>
      </c>
      <c r="B72" s="1" t="n">
        <v>45293</v>
      </c>
      <c r="C72" s="1" t="n">
        <v>45934</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8865-2022</t>
        </is>
      </c>
      <c r="B73" s="1" t="n">
        <v>44614</v>
      </c>
      <c r="C73" s="1" t="n">
        <v>45934</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45934</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45934</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58050-2021</t>
        </is>
      </c>
      <c r="B76" s="1" t="n">
        <v>44487</v>
      </c>
      <c r="C76" s="1" t="n">
        <v>45934</v>
      </c>
      <c r="D76" t="inlineStr">
        <is>
          <t>UPPSALA LÄN</t>
        </is>
      </c>
      <c r="E76" t="inlineStr">
        <is>
          <t>UPPSALA</t>
        </is>
      </c>
      <c r="G76" t="n">
        <v>4.4</v>
      </c>
      <c r="H76" t="n">
        <v>0</v>
      </c>
      <c r="I76" t="n">
        <v>0</v>
      </c>
      <c r="J76" t="n">
        <v>1</v>
      </c>
      <c r="K76" t="n">
        <v>0</v>
      </c>
      <c r="L76" t="n">
        <v>0</v>
      </c>
      <c r="M76" t="n">
        <v>0</v>
      </c>
      <c r="N76" t="n">
        <v>0</v>
      </c>
      <c r="O76" t="n">
        <v>1</v>
      </c>
      <c r="P76" t="n">
        <v>0</v>
      </c>
      <c r="Q76" t="n">
        <v>1</v>
      </c>
      <c r="R76" s="2" t="inlineStr">
        <is>
          <t>Ullticka</t>
        </is>
      </c>
      <c r="S76">
        <f>HYPERLINK("https://klasma.github.io/Logging_0380/artfynd/A 58050-2021 artfynd.xlsx", "A 58050-2021")</f>
        <v/>
      </c>
      <c r="T76">
        <f>HYPERLINK("https://klasma.github.io/Logging_0380/kartor/A 58050-2021 karta.png", "A 58050-2021")</f>
        <v/>
      </c>
      <c r="V76">
        <f>HYPERLINK("https://klasma.github.io/Logging_0380/klagomål/A 58050-2021 FSC-klagomål.docx", "A 58050-2021")</f>
        <v/>
      </c>
      <c r="W76">
        <f>HYPERLINK("https://klasma.github.io/Logging_0380/klagomålsmail/A 58050-2021 FSC-klagomål mail.docx", "A 58050-2021")</f>
        <v/>
      </c>
      <c r="X76">
        <f>HYPERLINK("https://klasma.github.io/Logging_0380/tillsyn/A 58050-2021 tillsynsbegäran.docx", "A 58050-2021")</f>
        <v/>
      </c>
      <c r="Y76">
        <f>HYPERLINK("https://klasma.github.io/Logging_0380/tillsynsmail/A 58050-2021 tillsynsbegäran mail.docx", "A 58050-2021")</f>
        <v/>
      </c>
    </row>
    <row r="77" ht="15" customHeight="1">
      <c r="A77" t="inlineStr">
        <is>
          <t>A 21657-2024</t>
        </is>
      </c>
      <c r="B77" s="1" t="n">
        <v>45442</v>
      </c>
      <c r="C77" s="1" t="n">
        <v>45934</v>
      </c>
      <c r="D77" t="inlineStr">
        <is>
          <t>UPPSALA LÄN</t>
        </is>
      </c>
      <c r="E77" t="inlineStr">
        <is>
          <t>UPPSALA</t>
        </is>
      </c>
      <c r="G77" t="n">
        <v>5.7</v>
      </c>
      <c r="H77" t="n">
        <v>1</v>
      </c>
      <c r="I77" t="n">
        <v>0</v>
      </c>
      <c r="J77" t="n">
        <v>0</v>
      </c>
      <c r="K77" t="n">
        <v>0</v>
      </c>
      <c r="L77" t="n">
        <v>0</v>
      </c>
      <c r="M77" t="n">
        <v>0</v>
      </c>
      <c r="N77" t="n">
        <v>0</v>
      </c>
      <c r="O77" t="n">
        <v>0</v>
      </c>
      <c r="P77" t="n">
        <v>0</v>
      </c>
      <c r="Q77" t="n">
        <v>1</v>
      </c>
      <c r="R77" s="2" t="inlineStr">
        <is>
          <t>Kungsfågel</t>
        </is>
      </c>
      <c r="S77">
        <f>HYPERLINK("https://klasma.github.io/Logging_0380/artfynd/A 21657-2024 artfynd.xlsx", "A 21657-2024")</f>
        <v/>
      </c>
      <c r="T77">
        <f>HYPERLINK("https://klasma.github.io/Logging_0380/kartor/A 21657-2024 karta.png", "A 21657-2024")</f>
        <v/>
      </c>
      <c r="V77">
        <f>HYPERLINK("https://klasma.github.io/Logging_0380/klagomål/A 21657-2024 FSC-klagomål.docx", "A 21657-2024")</f>
        <v/>
      </c>
      <c r="W77">
        <f>HYPERLINK("https://klasma.github.io/Logging_0380/klagomålsmail/A 21657-2024 FSC-klagomål mail.docx", "A 21657-2024")</f>
        <v/>
      </c>
      <c r="X77">
        <f>HYPERLINK("https://klasma.github.io/Logging_0380/tillsyn/A 21657-2024 tillsynsbegäran.docx", "A 21657-2024")</f>
        <v/>
      </c>
      <c r="Y77">
        <f>HYPERLINK("https://klasma.github.io/Logging_0380/tillsynsmail/A 21657-2024 tillsynsbegäran mail.docx", "A 21657-2024")</f>
        <v/>
      </c>
      <c r="Z77">
        <f>HYPERLINK("https://klasma.github.io/Logging_0380/fåglar/A 21657-2024 prioriterade fågelarter.docx", "A 21657-2024")</f>
        <v/>
      </c>
    </row>
    <row r="78" ht="15" customHeight="1">
      <c r="A78" t="inlineStr">
        <is>
          <t>A 25729-2024</t>
        </is>
      </c>
      <c r="B78" s="1" t="n">
        <v>45464</v>
      </c>
      <c r="C78" s="1" t="n">
        <v>45934</v>
      </c>
      <c r="D78" t="inlineStr">
        <is>
          <t>UPPSALA LÄN</t>
        </is>
      </c>
      <c r="E78" t="inlineStr">
        <is>
          <t>UPPSALA</t>
        </is>
      </c>
      <c r="G78" t="n">
        <v>22.3</v>
      </c>
      <c r="H78" t="n">
        <v>0</v>
      </c>
      <c r="I78" t="n">
        <v>0</v>
      </c>
      <c r="J78" t="n">
        <v>1</v>
      </c>
      <c r="K78" t="n">
        <v>0</v>
      </c>
      <c r="L78" t="n">
        <v>0</v>
      </c>
      <c r="M78" t="n">
        <v>0</v>
      </c>
      <c r="N78" t="n">
        <v>0</v>
      </c>
      <c r="O78" t="n">
        <v>1</v>
      </c>
      <c r="P78" t="n">
        <v>0</v>
      </c>
      <c r="Q78" t="n">
        <v>1</v>
      </c>
      <c r="R78" s="2" t="inlineStr">
        <is>
          <t>Ullticka</t>
        </is>
      </c>
      <c r="S78">
        <f>HYPERLINK("https://klasma.github.io/Logging_0380/artfynd/A 25729-2024 artfynd.xlsx", "A 25729-2024")</f>
        <v/>
      </c>
      <c r="T78">
        <f>HYPERLINK("https://klasma.github.io/Logging_0380/kartor/A 25729-2024 karta.png", "A 25729-2024")</f>
        <v/>
      </c>
      <c r="V78">
        <f>HYPERLINK("https://klasma.github.io/Logging_0380/klagomål/A 25729-2024 FSC-klagomål.docx", "A 25729-2024")</f>
        <v/>
      </c>
      <c r="W78">
        <f>HYPERLINK("https://klasma.github.io/Logging_0380/klagomålsmail/A 25729-2024 FSC-klagomål mail.docx", "A 25729-2024")</f>
        <v/>
      </c>
      <c r="X78">
        <f>HYPERLINK("https://klasma.github.io/Logging_0380/tillsyn/A 25729-2024 tillsynsbegäran.docx", "A 25729-2024")</f>
        <v/>
      </c>
      <c r="Y78">
        <f>HYPERLINK("https://klasma.github.io/Logging_0380/tillsynsmail/A 25729-2024 tillsynsbegäran mail.docx", "A 25729-2024")</f>
        <v/>
      </c>
    </row>
    <row r="79" ht="15" customHeight="1">
      <c r="A79" t="inlineStr">
        <is>
          <t>A 9206-2024</t>
        </is>
      </c>
      <c r="B79" s="1" t="n">
        <v>45358</v>
      </c>
      <c r="C79" s="1" t="n">
        <v>45934</v>
      </c>
      <c r="D79" t="inlineStr">
        <is>
          <t>UPPSALA LÄN</t>
        </is>
      </c>
      <c r="E79" t="inlineStr">
        <is>
          <t>UPPSALA</t>
        </is>
      </c>
      <c r="F79" t="inlineStr">
        <is>
          <t>Allmännings- och besparingsskogar</t>
        </is>
      </c>
      <c r="G79" t="n">
        <v>22.2</v>
      </c>
      <c r="H79" t="n">
        <v>1</v>
      </c>
      <c r="I79" t="n">
        <v>0</v>
      </c>
      <c r="J79" t="n">
        <v>0</v>
      </c>
      <c r="K79" t="n">
        <v>1</v>
      </c>
      <c r="L79" t="n">
        <v>0</v>
      </c>
      <c r="M79" t="n">
        <v>0</v>
      </c>
      <c r="N79" t="n">
        <v>0</v>
      </c>
      <c r="O79" t="n">
        <v>1</v>
      </c>
      <c r="P79" t="n">
        <v>1</v>
      </c>
      <c r="Q79" t="n">
        <v>1</v>
      </c>
      <c r="R79" s="2" t="inlineStr">
        <is>
          <t>Knärot</t>
        </is>
      </c>
      <c r="S79">
        <f>HYPERLINK("https://klasma.github.io/Logging_0380/artfynd/A 9206-2024 artfynd.xlsx", "A 9206-2024")</f>
        <v/>
      </c>
      <c r="T79">
        <f>HYPERLINK("https://klasma.github.io/Logging_0380/kartor/A 9206-2024 karta.png", "A 9206-2024")</f>
        <v/>
      </c>
      <c r="U79">
        <f>HYPERLINK("https://klasma.github.io/Logging_0380/knärot/A 9206-2024 karta knärot.png", "A 9206-2024")</f>
        <v/>
      </c>
      <c r="V79">
        <f>HYPERLINK("https://klasma.github.io/Logging_0380/klagomål/A 9206-2024 FSC-klagomål.docx", "A 9206-2024")</f>
        <v/>
      </c>
      <c r="W79">
        <f>HYPERLINK("https://klasma.github.io/Logging_0380/klagomålsmail/A 9206-2024 FSC-klagomål mail.docx", "A 9206-2024")</f>
        <v/>
      </c>
      <c r="X79">
        <f>HYPERLINK("https://klasma.github.io/Logging_0380/tillsyn/A 9206-2024 tillsynsbegäran.docx", "A 9206-2024")</f>
        <v/>
      </c>
      <c r="Y79">
        <f>HYPERLINK("https://klasma.github.io/Logging_0380/tillsynsmail/A 9206-2024 tillsynsbegäran mail.docx", "A 9206-2024")</f>
        <v/>
      </c>
    </row>
    <row r="80" ht="15" customHeight="1">
      <c r="A80" t="inlineStr">
        <is>
          <t>A 26135-2025</t>
        </is>
      </c>
      <c r="B80" s="1" t="n">
        <v>45805.41232638889</v>
      </c>
      <c r="C80" s="1" t="n">
        <v>45934</v>
      </c>
      <c r="D80" t="inlineStr">
        <is>
          <t>UPPSALA LÄN</t>
        </is>
      </c>
      <c r="E80" t="inlineStr">
        <is>
          <t>UPPSALA</t>
        </is>
      </c>
      <c r="F80" t="inlineStr">
        <is>
          <t>Holmen skog AB</t>
        </is>
      </c>
      <c r="G80" t="n">
        <v>3.1</v>
      </c>
      <c r="H80" t="n">
        <v>0</v>
      </c>
      <c r="I80" t="n">
        <v>0</v>
      </c>
      <c r="J80" t="n">
        <v>1</v>
      </c>
      <c r="K80" t="n">
        <v>0</v>
      </c>
      <c r="L80" t="n">
        <v>0</v>
      </c>
      <c r="M80" t="n">
        <v>0</v>
      </c>
      <c r="N80" t="n">
        <v>0</v>
      </c>
      <c r="O80" t="n">
        <v>1</v>
      </c>
      <c r="P80" t="n">
        <v>0</v>
      </c>
      <c r="Q80" t="n">
        <v>1</v>
      </c>
      <c r="R80" s="2" t="inlineStr">
        <is>
          <t>Vedtrappmossa</t>
        </is>
      </c>
      <c r="S80">
        <f>HYPERLINK("https://klasma.github.io/Logging_0380/artfynd/A 26135-2025 artfynd.xlsx", "A 26135-2025")</f>
        <v/>
      </c>
      <c r="T80">
        <f>HYPERLINK("https://klasma.github.io/Logging_0380/kartor/A 26135-2025 karta.png", "A 26135-2025")</f>
        <v/>
      </c>
      <c r="V80">
        <f>HYPERLINK("https://klasma.github.io/Logging_0380/klagomål/A 26135-2025 FSC-klagomål.docx", "A 26135-2025")</f>
        <v/>
      </c>
      <c r="W80">
        <f>HYPERLINK("https://klasma.github.io/Logging_0380/klagomålsmail/A 26135-2025 FSC-klagomål mail.docx", "A 26135-2025")</f>
        <v/>
      </c>
      <c r="X80">
        <f>HYPERLINK("https://klasma.github.io/Logging_0380/tillsyn/A 26135-2025 tillsynsbegäran.docx", "A 26135-2025")</f>
        <v/>
      </c>
      <c r="Y80">
        <f>HYPERLINK("https://klasma.github.io/Logging_0380/tillsynsmail/A 26135-2025 tillsynsbegäran mail.docx", "A 26135-2025")</f>
        <v/>
      </c>
    </row>
    <row r="81" ht="15" customHeight="1">
      <c r="A81" t="inlineStr">
        <is>
          <t>A 18373-2025</t>
        </is>
      </c>
      <c r="B81" s="1" t="n">
        <v>45762.57244212963</v>
      </c>
      <c r="C81" s="1" t="n">
        <v>45934</v>
      </c>
      <c r="D81" t="inlineStr">
        <is>
          <t>UPPSALA LÄN</t>
        </is>
      </c>
      <c r="E81" t="inlineStr">
        <is>
          <t>UPPSALA</t>
        </is>
      </c>
      <c r="G81" t="n">
        <v>9.5</v>
      </c>
      <c r="H81" t="n">
        <v>0</v>
      </c>
      <c r="I81" t="n">
        <v>0</v>
      </c>
      <c r="J81" t="n">
        <v>1</v>
      </c>
      <c r="K81" t="n">
        <v>0</v>
      </c>
      <c r="L81" t="n">
        <v>0</v>
      </c>
      <c r="M81" t="n">
        <v>0</v>
      </c>
      <c r="N81" t="n">
        <v>0</v>
      </c>
      <c r="O81" t="n">
        <v>1</v>
      </c>
      <c r="P81" t="n">
        <v>0</v>
      </c>
      <c r="Q81" t="n">
        <v>1</v>
      </c>
      <c r="R81" s="2" t="inlineStr">
        <is>
          <t>Ullticka</t>
        </is>
      </c>
      <c r="S81">
        <f>HYPERLINK("https://klasma.github.io/Logging_0380/artfynd/A 18373-2025 artfynd.xlsx", "A 18373-2025")</f>
        <v/>
      </c>
      <c r="T81">
        <f>HYPERLINK("https://klasma.github.io/Logging_0380/kartor/A 18373-2025 karta.png", "A 18373-2025")</f>
        <v/>
      </c>
      <c r="V81">
        <f>HYPERLINK("https://klasma.github.io/Logging_0380/klagomål/A 18373-2025 FSC-klagomål.docx", "A 18373-2025")</f>
        <v/>
      </c>
      <c r="W81">
        <f>HYPERLINK("https://klasma.github.io/Logging_0380/klagomålsmail/A 18373-2025 FSC-klagomål mail.docx", "A 18373-2025")</f>
        <v/>
      </c>
      <c r="X81">
        <f>HYPERLINK("https://klasma.github.io/Logging_0380/tillsyn/A 18373-2025 tillsynsbegäran.docx", "A 18373-2025")</f>
        <v/>
      </c>
      <c r="Y81">
        <f>HYPERLINK("https://klasma.github.io/Logging_0380/tillsynsmail/A 18373-2025 tillsynsbegäran mail.docx", "A 18373-2025")</f>
        <v/>
      </c>
    </row>
    <row r="82" ht="15" customHeight="1">
      <c r="A82" t="inlineStr">
        <is>
          <t>A 52849-2021</t>
        </is>
      </c>
      <c r="B82" s="1" t="n">
        <v>44467</v>
      </c>
      <c r="C82" s="1" t="n">
        <v>45934</v>
      </c>
      <c r="D82" t="inlineStr">
        <is>
          <t>UPPSALA LÄN</t>
        </is>
      </c>
      <c r="E82" t="inlineStr">
        <is>
          <t>UPPSALA</t>
        </is>
      </c>
      <c r="F82" t="inlineStr">
        <is>
          <t>Övriga Aktiebolag</t>
        </is>
      </c>
      <c r="G82" t="n">
        <v>3.3</v>
      </c>
      <c r="H82" t="n">
        <v>0</v>
      </c>
      <c r="I82" t="n">
        <v>0</v>
      </c>
      <c r="J82" t="n">
        <v>1</v>
      </c>
      <c r="K82" t="n">
        <v>0</v>
      </c>
      <c r="L82" t="n">
        <v>0</v>
      </c>
      <c r="M82" t="n">
        <v>0</v>
      </c>
      <c r="N82" t="n">
        <v>0</v>
      </c>
      <c r="O82" t="n">
        <v>1</v>
      </c>
      <c r="P82" t="n">
        <v>0</v>
      </c>
      <c r="Q82" t="n">
        <v>1</v>
      </c>
      <c r="R82" s="2" t="inlineStr">
        <is>
          <t>Skogshare</t>
        </is>
      </c>
      <c r="S82">
        <f>HYPERLINK("https://klasma.github.io/Logging_0380/artfynd/A 52849-2021 artfynd.xlsx", "A 52849-2021")</f>
        <v/>
      </c>
      <c r="T82">
        <f>HYPERLINK("https://klasma.github.io/Logging_0380/kartor/A 52849-2021 karta.png", "A 52849-2021")</f>
        <v/>
      </c>
      <c r="V82">
        <f>HYPERLINK("https://klasma.github.io/Logging_0380/klagomål/A 52849-2021 FSC-klagomål.docx", "A 52849-2021")</f>
        <v/>
      </c>
      <c r="W82">
        <f>HYPERLINK("https://klasma.github.io/Logging_0380/klagomålsmail/A 52849-2021 FSC-klagomål mail.docx", "A 52849-2021")</f>
        <v/>
      </c>
      <c r="X82">
        <f>HYPERLINK("https://klasma.github.io/Logging_0380/tillsyn/A 52849-2021 tillsynsbegäran.docx", "A 52849-2021")</f>
        <v/>
      </c>
      <c r="Y82">
        <f>HYPERLINK("https://klasma.github.io/Logging_0380/tillsynsmail/A 52849-2021 tillsynsbegäran mail.docx", "A 52849-2021")</f>
        <v/>
      </c>
    </row>
    <row r="83" ht="15" customHeight="1">
      <c r="A83" t="inlineStr">
        <is>
          <t>A 36842-2025</t>
        </is>
      </c>
      <c r="B83" s="1" t="n">
        <v>45874</v>
      </c>
      <c r="C83" s="1" t="n">
        <v>45934</v>
      </c>
      <c r="D83" t="inlineStr">
        <is>
          <t>UPPSALA LÄN</t>
        </is>
      </c>
      <c r="E83" t="inlineStr">
        <is>
          <t>UPPSALA</t>
        </is>
      </c>
      <c r="G83" t="n">
        <v>9.9</v>
      </c>
      <c r="H83" t="n">
        <v>0</v>
      </c>
      <c r="I83" t="n">
        <v>1</v>
      </c>
      <c r="J83" t="n">
        <v>0</v>
      </c>
      <c r="K83" t="n">
        <v>0</v>
      </c>
      <c r="L83" t="n">
        <v>0</v>
      </c>
      <c r="M83" t="n">
        <v>0</v>
      </c>
      <c r="N83" t="n">
        <v>0</v>
      </c>
      <c r="O83" t="n">
        <v>0</v>
      </c>
      <c r="P83" t="n">
        <v>0</v>
      </c>
      <c r="Q83" t="n">
        <v>1</v>
      </c>
      <c r="R83" s="2" t="inlineStr">
        <is>
          <t>Vedticka</t>
        </is>
      </c>
      <c r="S83">
        <f>HYPERLINK("https://klasma.github.io/Logging_0380/artfynd/A 36842-2025 artfynd.xlsx", "A 36842-2025")</f>
        <v/>
      </c>
      <c r="T83">
        <f>HYPERLINK("https://klasma.github.io/Logging_0380/kartor/A 36842-2025 karta.png", "A 36842-2025")</f>
        <v/>
      </c>
      <c r="V83">
        <f>HYPERLINK("https://klasma.github.io/Logging_0380/klagomål/A 36842-2025 FSC-klagomål.docx", "A 36842-2025")</f>
        <v/>
      </c>
      <c r="W83">
        <f>HYPERLINK("https://klasma.github.io/Logging_0380/klagomålsmail/A 36842-2025 FSC-klagomål mail.docx", "A 36842-2025")</f>
        <v/>
      </c>
      <c r="X83">
        <f>HYPERLINK("https://klasma.github.io/Logging_0380/tillsyn/A 36842-2025 tillsynsbegäran.docx", "A 36842-2025")</f>
        <v/>
      </c>
      <c r="Y83">
        <f>HYPERLINK("https://klasma.github.io/Logging_0380/tillsynsmail/A 36842-2025 tillsynsbegäran mail.docx", "A 36842-2025")</f>
        <v/>
      </c>
    </row>
    <row r="84" ht="15" customHeight="1">
      <c r="A84" t="inlineStr">
        <is>
          <t>A 37004-2025</t>
        </is>
      </c>
      <c r="B84" s="1" t="n">
        <v>45874.69282407407</v>
      </c>
      <c r="C84" s="1" t="n">
        <v>45934</v>
      </c>
      <c r="D84" t="inlineStr">
        <is>
          <t>UPPSALA LÄN</t>
        </is>
      </c>
      <c r="E84" t="inlineStr">
        <is>
          <t>UPPSALA</t>
        </is>
      </c>
      <c r="G84" t="n">
        <v>15.8</v>
      </c>
      <c r="H84" t="n">
        <v>1</v>
      </c>
      <c r="I84" t="n">
        <v>0</v>
      </c>
      <c r="J84" t="n">
        <v>0</v>
      </c>
      <c r="K84" t="n">
        <v>0</v>
      </c>
      <c r="L84" t="n">
        <v>0</v>
      </c>
      <c r="M84" t="n">
        <v>0</v>
      </c>
      <c r="N84" t="n">
        <v>0</v>
      </c>
      <c r="O84" t="n">
        <v>0</v>
      </c>
      <c r="P84" t="n">
        <v>0</v>
      </c>
      <c r="Q84" t="n">
        <v>1</v>
      </c>
      <c r="R84" s="2" t="inlineStr">
        <is>
          <t>Vanlig padda</t>
        </is>
      </c>
      <c r="S84">
        <f>HYPERLINK("https://klasma.github.io/Logging_0380/artfynd/A 37004-2025 artfynd.xlsx", "A 37004-2025")</f>
        <v/>
      </c>
      <c r="T84">
        <f>HYPERLINK("https://klasma.github.io/Logging_0380/kartor/A 37004-2025 karta.png", "A 37004-2025")</f>
        <v/>
      </c>
      <c r="V84">
        <f>HYPERLINK("https://klasma.github.io/Logging_0380/klagomål/A 37004-2025 FSC-klagomål.docx", "A 37004-2025")</f>
        <v/>
      </c>
      <c r="W84">
        <f>HYPERLINK("https://klasma.github.io/Logging_0380/klagomålsmail/A 37004-2025 FSC-klagomål mail.docx", "A 37004-2025")</f>
        <v/>
      </c>
      <c r="X84">
        <f>HYPERLINK("https://klasma.github.io/Logging_0380/tillsyn/A 37004-2025 tillsynsbegäran.docx", "A 37004-2025")</f>
        <v/>
      </c>
      <c r="Y84">
        <f>HYPERLINK("https://klasma.github.io/Logging_0380/tillsynsmail/A 37004-2025 tillsynsbegäran mail.docx", "A 37004-2025")</f>
        <v/>
      </c>
    </row>
    <row r="85" ht="15" customHeight="1">
      <c r="A85" t="inlineStr">
        <is>
          <t>A 44601-2025</t>
        </is>
      </c>
      <c r="B85" s="1" t="n">
        <v>45917.43857638889</v>
      </c>
      <c r="C85" s="1" t="n">
        <v>45934</v>
      </c>
      <c r="D85" t="inlineStr">
        <is>
          <t>UPPSALA LÄN</t>
        </is>
      </c>
      <c r="E85" t="inlineStr">
        <is>
          <t>UPPSALA</t>
        </is>
      </c>
      <c r="G85" t="n">
        <v>5.5</v>
      </c>
      <c r="H85" t="n">
        <v>0</v>
      </c>
      <c r="I85" t="n">
        <v>0</v>
      </c>
      <c r="J85" t="n">
        <v>1</v>
      </c>
      <c r="K85" t="n">
        <v>0</v>
      </c>
      <c r="L85" t="n">
        <v>0</v>
      </c>
      <c r="M85" t="n">
        <v>0</v>
      </c>
      <c r="N85" t="n">
        <v>0</v>
      </c>
      <c r="O85" t="n">
        <v>1</v>
      </c>
      <c r="P85" t="n">
        <v>0</v>
      </c>
      <c r="Q85" t="n">
        <v>1</v>
      </c>
      <c r="R85" s="2" t="inlineStr">
        <is>
          <t>Igelkott</t>
        </is>
      </c>
      <c r="S85">
        <f>HYPERLINK("https://klasma.github.io/Logging_0380/artfynd/A 44601-2025 artfynd.xlsx", "A 44601-2025")</f>
        <v/>
      </c>
      <c r="T85">
        <f>HYPERLINK("https://klasma.github.io/Logging_0380/kartor/A 44601-2025 karta.png", "A 44601-2025")</f>
        <v/>
      </c>
      <c r="V85">
        <f>HYPERLINK("https://klasma.github.io/Logging_0380/klagomål/A 44601-2025 FSC-klagomål.docx", "A 44601-2025")</f>
        <v/>
      </c>
      <c r="W85">
        <f>HYPERLINK("https://klasma.github.io/Logging_0380/klagomålsmail/A 44601-2025 FSC-klagomål mail.docx", "A 44601-2025")</f>
        <v/>
      </c>
      <c r="X85">
        <f>HYPERLINK("https://klasma.github.io/Logging_0380/tillsyn/A 44601-2025 tillsynsbegäran.docx", "A 44601-2025")</f>
        <v/>
      </c>
      <c r="Y85">
        <f>HYPERLINK("https://klasma.github.io/Logging_0380/tillsynsmail/A 44601-2025 tillsynsbegäran mail.docx", "A 44601-2025")</f>
        <v/>
      </c>
    </row>
    <row r="86" ht="15" customHeight="1">
      <c r="A86" t="inlineStr">
        <is>
          <t>A 29906-2023</t>
        </is>
      </c>
      <c r="B86" s="1" t="n">
        <v>45107</v>
      </c>
      <c r="C86" s="1" t="n">
        <v>45934</v>
      </c>
      <c r="D86" t="inlineStr">
        <is>
          <t>UPPSALA LÄN</t>
        </is>
      </c>
      <c r="E86" t="inlineStr">
        <is>
          <t>UPPSALA</t>
        </is>
      </c>
      <c r="F86" t="inlineStr">
        <is>
          <t>Kyrkan</t>
        </is>
      </c>
      <c r="G86" t="n">
        <v>0.5</v>
      </c>
      <c r="H86" t="n">
        <v>0</v>
      </c>
      <c r="I86" t="n">
        <v>1</v>
      </c>
      <c r="J86" t="n">
        <v>0</v>
      </c>
      <c r="K86" t="n">
        <v>0</v>
      </c>
      <c r="L86" t="n">
        <v>0</v>
      </c>
      <c r="M86" t="n">
        <v>0</v>
      </c>
      <c r="N86" t="n">
        <v>0</v>
      </c>
      <c r="O86" t="n">
        <v>0</v>
      </c>
      <c r="P86" t="n">
        <v>0</v>
      </c>
      <c r="Q86" t="n">
        <v>1</v>
      </c>
      <c r="R86" s="2" t="inlineStr">
        <is>
          <t>Sotriska</t>
        </is>
      </c>
      <c r="S86">
        <f>HYPERLINK("https://klasma.github.io/Logging_0380/artfynd/A 29906-2023 artfynd.xlsx", "A 29906-2023")</f>
        <v/>
      </c>
      <c r="T86">
        <f>HYPERLINK("https://klasma.github.io/Logging_0380/kartor/A 29906-2023 karta.png", "A 29906-2023")</f>
        <v/>
      </c>
      <c r="V86">
        <f>HYPERLINK("https://klasma.github.io/Logging_0380/klagomål/A 29906-2023 FSC-klagomål.docx", "A 29906-2023")</f>
        <v/>
      </c>
      <c r="W86">
        <f>HYPERLINK("https://klasma.github.io/Logging_0380/klagomålsmail/A 29906-2023 FSC-klagomål mail.docx", "A 29906-2023")</f>
        <v/>
      </c>
      <c r="X86">
        <f>HYPERLINK("https://klasma.github.io/Logging_0380/tillsyn/A 29906-2023 tillsynsbegäran.docx", "A 29906-2023")</f>
        <v/>
      </c>
      <c r="Y86">
        <f>HYPERLINK("https://klasma.github.io/Logging_0380/tillsynsmail/A 29906-2023 tillsynsbegäran mail.docx", "A 29906-2023")</f>
        <v/>
      </c>
    </row>
    <row r="87" ht="15" customHeight="1">
      <c r="A87" t="inlineStr">
        <is>
          <t>A 29902-2023</t>
        </is>
      </c>
      <c r="B87" s="1" t="n">
        <v>45107</v>
      </c>
      <c r="C87" s="1" t="n">
        <v>45934</v>
      </c>
      <c r="D87" t="inlineStr">
        <is>
          <t>UPPSALA LÄN</t>
        </is>
      </c>
      <c r="E87" t="inlineStr">
        <is>
          <t>UPPSALA</t>
        </is>
      </c>
      <c r="F87" t="inlineStr">
        <is>
          <t>Kyrkan</t>
        </is>
      </c>
      <c r="G87" t="n">
        <v>10.6</v>
      </c>
      <c r="H87" t="n">
        <v>1</v>
      </c>
      <c r="I87" t="n">
        <v>0</v>
      </c>
      <c r="J87" t="n">
        <v>1</v>
      </c>
      <c r="K87" t="n">
        <v>0</v>
      </c>
      <c r="L87" t="n">
        <v>0</v>
      </c>
      <c r="M87" t="n">
        <v>0</v>
      </c>
      <c r="N87" t="n">
        <v>0</v>
      </c>
      <c r="O87" t="n">
        <v>1</v>
      </c>
      <c r="P87" t="n">
        <v>0</v>
      </c>
      <c r="Q87" t="n">
        <v>1</v>
      </c>
      <c r="R87" s="2" t="inlineStr">
        <is>
          <t>Järpe</t>
        </is>
      </c>
      <c r="S87">
        <f>HYPERLINK("https://klasma.github.io/Logging_0380/artfynd/A 29902-2023 artfynd.xlsx", "A 29902-2023")</f>
        <v/>
      </c>
      <c r="T87">
        <f>HYPERLINK("https://klasma.github.io/Logging_0380/kartor/A 29902-2023 karta.png", "A 29902-2023")</f>
        <v/>
      </c>
      <c r="V87">
        <f>HYPERLINK("https://klasma.github.io/Logging_0380/klagomål/A 29902-2023 FSC-klagomål.docx", "A 29902-2023")</f>
        <v/>
      </c>
      <c r="W87">
        <f>HYPERLINK("https://klasma.github.io/Logging_0380/klagomålsmail/A 29902-2023 FSC-klagomål mail.docx", "A 29902-2023")</f>
        <v/>
      </c>
      <c r="X87">
        <f>HYPERLINK("https://klasma.github.io/Logging_0380/tillsyn/A 29902-2023 tillsynsbegäran.docx", "A 29902-2023")</f>
        <v/>
      </c>
      <c r="Y87">
        <f>HYPERLINK("https://klasma.github.io/Logging_0380/tillsynsmail/A 29902-2023 tillsynsbegäran mail.docx", "A 29902-2023")</f>
        <v/>
      </c>
      <c r="Z87">
        <f>HYPERLINK("https://klasma.github.io/Logging_0380/fåglar/A 29902-2023 prioriterade fågelarter.docx", "A 29902-2023")</f>
        <v/>
      </c>
    </row>
    <row r="88" ht="15" customHeight="1">
      <c r="A88" t="inlineStr">
        <is>
          <t>A 39741-2023</t>
        </is>
      </c>
      <c r="B88" s="1" t="n">
        <v>45167</v>
      </c>
      <c r="C88" s="1" t="n">
        <v>45934</v>
      </c>
      <c r="D88" t="inlineStr">
        <is>
          <t>UPPSALA LÄN</t>
        </is>
      </c>
      <c r="E88" t="inlineStr">
        <is>
          <t>UPPSALA</t>
        </is>
      </c>
      <c r="G88" t="n">
        <v>5.6</v>
      </c>
      <c r="H88" t="n">
        <v>1</v>
      </c>
      <c r="I88" t="n">
        <v>0</v>
      </c>
      <c r="J88" t="n">
        <v>1</v>
      </c>
      <c r="K88" t="n">
        <v>0</v>
      </c>
      <c r="L88" t="n">
        <v>0</v>
      </c>
      <c r="M88" t="n">
        <v>0</v>
      </c>
      <c r="N88" t="n">
        <v>0</v>
      </c>
      <c r="O88" t="n">
        <v>1</v>
      </c>
      <c r="P88" t="n">
        <v>0</v>
      </c>
      <c r="Q88" t="n">
        <v>1</v>
      </c>
      <c r="R88" s="2" t="inlineStr">
        <is>
          <t>Entita</t>
        </is>
      </c>
      <c r="S88">
        <f>HYPERLINK("https://klasma.github.io/Logging_0380/artfynd/A 39741-2023 artfynd.xlsx", "A 39741-2023")</f>
        <v/>
      </c>
      <c r="T88">
        <f>HYPERLINK("https://klasma.github.io/Logging_0380/kartor/A 39741-2023 karta.png", "A 39741-2023")</f>
        <v/>
      </c>
      <c r="V88">
        <f>HYPERLINK("https://klasma.github.io/Logging_0380/klagomål/A 39741-2023 FSC-klagomål.docx", "A 39741-2023")</f>
        <v/>
      </c>
      <c r="W88">
        <f>HYPERLINK("https://klasma.github.io/Logging_0380/klagomålsmail/A 39741-2023 FSC-klagomål mail.docx", "A 39741-2023")</f>
        <v/>
      </c>
      <c r="X88">
        <f>HYPERLINK("https://klasma.github.io/Logging_0380/tillsyn/A 39741-2023 tillsynsbegäran.docx", "A 39741-2023")</f>
        <v/>
      </c>
      <c r="Y88">
        <f>HYPERLINK("https://klasma.github.io/Logging_0380/tillsynsmail/A 39741-2023 tillsynsbegäran mail.docx", "A 39741-2023")</f>
        <v/>
      </c>
      <c r="Z88">
        <f>HYPERLINK("https://klasma.github.io/Logging_0380/fåglar/A 39741-2023 prioriterade fågelarter.docx", "A 39741-2023")</f>
        <v/>
      </c>
    </row>
    <row r="89" ht="15" customHeight="1">
      <c r="A89" t="inlineStr">
        <is>
          <t>A 844-2025</t>
        </is>
      </c>
      <c r="B89" s="1" t="n">
        <v>45665</v>
      </c>
      <c r="C89" s="1" t="n">
        <v>45934</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28950-2025</t>
        </is>
      </c>
      <c r="B90" s="1" t="n">
        <v>45820.84516203704</v>
      </c>
      <c r="C90" s="1" t="n">
        <v>45934</v>
      </c>
      <c r="D90" t="inlineStr">
        <is>
          <t>UPPSALA LÄN</t>
        </is>
      </c>
      <c r="E90" t="inlineStr">
        <is>
          <t>UPPSALA</t>
        </is>
      </c>
      <c r="F90" t="inlineStr">
        <is>
          <t>Bergvik skog öst AB</t>
        </is>
      </c>
      <c r="G90" t="n">
        <v>6</v>
      </c>
      <c r="H90" t="n">
        <v>0</v>
      </c>
      <c r="I90" t="n">
        <v>0</v>
      </c>
      <c r="J90" t="n">
        <v>0</v>
      </c>
      <c r="K90" t="n">
        <v>0</v>
      </c>
      <c r="L90" t="n">
        <v>1</v>
      </c>
      <c r="M90" t="n">
        <v>0</v>
      </c>
      <c r="N90" t="n">
        <v>0</v>
      </c>
      <c r="O90" t="n">
        <v>1</v>
      </c>
      <c r="P90" t="n">
        <v>1</v>
      </c>
      <c r="Q90" t="n">
        <v>1</v>
      </c>
      <c r="R90" s="2" t="inlineStr">
        <is>
          <t>Fältgentiana</t>
        </is>
      </c>
      <c r="S90">
        <f>HYPERLINK("https://klasma.github.io/Logging_0380/artfynd/A 28950-2025 artfynd.xlsx", "A 28950-2025")</f>
        <v/>
      </c>
      <c r="T90">
        <f>HYPERLINK("https://klasma.github.io/Logging_0380/kartor/A 28950-2025 karta.png", "A 28950-2025")</f>
        <v/>
      </c>
      <c r="V90">
        <f>HYPERLINK("https://klasma.github.io/Logging_0380/klagomål/A 28950-2025 FSC-klagomål.docx", "A 28950-2025")</f>
        <v/>
      </c>
      <c r="W90">
        <f>HYPERLINK("https://klasma.github.io/Logging_0380/klagomålsmail/A 28950-2025 FSC-klagomål mail.docx", "A 28950-2025")</f>
        <v/>
      </c>
      <c r="X90">
        <f>HYPERLINK("https://klasma.github.io/Logging_0380/tillsyn/A 28950-2025 tillsynsbegäran.docx", "A 28950-2025")</f>
        <v/>
      </c>
      <c r="Y90">
        <f>HYPERLINK("https://klasma.github.io/Logging_0380/tillsynsmail/A 28950-2025 tillsynsbegäran mail.docx", "A 28950-2025")</f>
        <v/>
      </c>
    </row>
    <row r="91" ht="15" customHeight="1">
      <c r="A91" t="inlineStr">
        <is>
          <t>A 5732-2025</t>
        </is>
      </c>
      <c r="B91" s="1" t="n">
        <v>45694.49650462963</v>
      </c>
      <c r="C91" s="1" t="n">
        <v>45934</v>
      </c>
      <c r="D91" t="inlineStr">
        <is>
          <t>UPPSALA LÄN</t>
        </is>
      </c>
      <c r="E91" t="inlineStr">
        <is>
          <t>UPPSALA</t>
        </is>
      </c>
      <c r="G91" t="n">
        <v>1.9</v>
      </c>
      <c r="H91" t="n">
        <v>0</v>
      </c>
      <c r="I91" t="n">
        <v>1</v>
      </c>
      <c r="J91" t="n">
        <v>0</v>
      </c>
      <c r="K91" t="n">
        <v>0</v>
      </c>
      <c r="L91" t="n">
        <v>0</v>
      </c>
      <c r="M91" t="n">
        <v>0</v>
      </c>
      <c r="N91" t="n">
        <v>0</v>
      </c>
      <c r="O91" t="n">
        <v>0</v>
      </c>
      <c r="P91" t="n">
        <v>0</v>
      </c>
      <c r="Q91" t="n">
        <v>1</v>
      </c>
      <c r="R91" s="2" t="inlineStr">
        <is>
          <t>Fällmossa</t>
        </is>
      </c>
      <c r="S91">
        <f>HYPERLINK("https://klasma.github.io/Logging_0380/artfynd/A 5732-2025 artfynd.xlsx", "A 5732-2025")</f>
        <v/>
      </c>
      <c r="T91">
        <f>HYPERLINK("https://klasma.github.io/Logging_0380/kartor/A 5732-2025 karta.png", "A 5732-2025")</f>
        <v/>
      </c>
      <c r="V91">
        <f>HYPERLINK("https://klasma.github.io/Logging_0380/klagomål/A 5732-2025 FSC-klagomål.docx", "A 5732-2025")</f>
        <v/>
      </c>
      <c r="W91">
        <f>HYPERLINK("https://klasma.github.io/Logging_0380/klagomålsmail/A 5732-2025 FSC-klagomål mail.docx", "A 5732-2025")</f>
        <v/>
      </c>
      <c r="X91">
        <f>HYPERLINK("https://klasma.github.io/Logging_0380/tillsyn/A 5732-2025 tillsynsbegäran.docx", "A 5732-2025")</f>
        <v/>
      </c>
      <c r="Y91">
        <f>HYPERLINK("https://klasma.github.io/Logging_0380/tillsynsmail/A 5732-2025 tillsynsbegäran mail.docx", "A 5732-2025")</f>
        <v/>
      </c>
    </row>
    <row r="92" ht="15" customHeight="1">
      <c r="A92" t="inlineStr">
        <is>
          <t>A 60055-2022</t>
        </is>
      </c>
      <c r="B92" s="1" t="n">
        <v>44909</v>
      </c>
      <c r="C92" s="1" t="n">
        <v>45934</v>
      </c>
      <c r="D92" t="inlineStr">
        <is>
          <t>UPPSALA LÄN</t>
        </is>
      </c>
      <c r="E92" t="inlineStr">
        <is>
          <t>UPPSALA</t>
        </is>
      </c>
      <c r="G92" t="n">
        <v>11.4</v>
      </c>
      <c r="H92" t="n">
        <v>1</v>
      </c>
      <c r="I92" t="n">
        <v>0</v>
      </c>
      <c r="J92" t="n">
        <v>0</v>
      </c>
      <c r="K92" t="n">
        <v>0</v>
      </c>
      <c r="L92" t="n">
        <v>0</v>
      </c>
      <c r="M92" t="n">
        <v>0</v>
      </c>
      <c r="N92" t="n">
        <v>0</v>
      </c>
      <c r="O92" t="n">
        <v>0</v>
      </c>
      <c r="P92" t="n">
        <v>0</v>
      </c>
      <c r="Q92" t="n">
        <v>1</v>
      </c>
      <c r="R92" s="2" t="inlineStr">
        <is>
          <t>Tjäder</t>
        </is>
      </c>
      <c r="S92">
        <f>HYPERLINK("https://klasma.github.io/Logging_0380/artfynd/A 60055-2022 artfynd.xlsx", "A 60055-2022")</f>
        <v/>
      </c>
      <c r="T92">
        <f>HYPERLINK("https://klasma.github.io/Logging_0380/kartor/A 60055-2022 karta.png", "A 60055-2022")</f>
        <v/>
      </c>
      <c r="V92">
        <f>HYPERLINK("https://klasma.github.io/Logging_0380/klagomål/A 60055-2022 FSC-klagomål.docx", "A 60055-2022")</f>
        <v/>
      </c>
      <c r="W92">
        <f>HYPERLINK("https://klasma.github.io/Logging_0380/klagomålsmail/A 60055-2022 FSC-klagomål mail.docx", "A 60055-2022")</f>
        <v/>
      </c>
      <c r="X92">
        <f>HYPERLINK("https://klasma.github.io/Logging_0380/tillsyn/A 60055-2022 tillsynsbegäran.docx", "A 60055-2022")</f>
        <v/>
      </c>
      <c r="Y92">
        <f>HYPERLINK("https://klasma.github.io/Logging_0380/tillsynsmail/A 60055-2022 tillsynsbegäran mail.docx", "A 60055-2022")</f>
        <v/>
      </c>
      <c r="Z92">
        <f>HYPERLINK("https://klasma.github.io/Logging_0380/fåglar/A 60055-2022 prioriterade fågelarter.docx", "A 60055-2022")</f>
        <v/>
      </c>
    </row>
    <row r="93" ht="15" customHeight="1">
      <c r="A93" t="inlineStr">
        <is>
          <t>A 63172-2023</t>
        </is>
      </c>
      <c r="B93" s="1" t="n">
        <v>45273</v>
      </c>
      <c r="C93" s="1" t="n">
        <v>45934</v>
      </c>
      <c r="D93" t="inlineStr">
        <is>
          <t>UPPSALA LÄN</t>
        </is>
      </c>
      <c r="E93" t="inlineStr">
        <is>
          <t>UPPSALA</t>
        </is>
      </c>
      <c r="G93" t="n">
        <v>1.8</v>
      </c>
      <c r="H93" t="n">
        <v>0</v>
      </c>
      <c r="I93" t="n">
        <v>1</v>
      </c>
      <c r="J93" t="n">
        <v>0</v>
      </c>
      <c r="K93" t="n">
        <v>0</v>
      </c>
      <c r="L93" t="n">
        <v>0</v>
      </c>
      <c r="M93" t="n">
        <v>0</v>
      </c>
      <c r="N93" t="n">
        <v>0</v>
      </c>
      <c r="O93" t="n">
        <v>0</v>
      </c>
      <c r="P93" t="n">
        <v>0</v>
      </c>
      <c r="Q93" t="n">
        <v>1</v>
      </c>
      <c r="R93" s="2" t="inlineStr">
        <is>
          <t>Ögonpyrola</t>
        </is>
      </c>
      <c r="S93">
        <f>HYPERLINK("https://klasma.github.io/Logging_0380/artfynd/A 63172-2023 artfynd.xlsx", "A 63172-2023")</f>
        <v/>
      </c>
      <c r="T93">
        <f>HYPERLINK("https://klasma.github.io/Logging_0380/kartor/A 63172-2023 karta.png", "A 63172-2023")</f>
        <v/>
      </c>
      <c r="V93">
        <f>HYPERLINK("https://klasma.github.io/Logging_0380/klagomål/A 63172-2023 FSC-klagomål.docx", "A 63172-2023")</f>
        <v/>
      </c>
      <c r="W93">
        <f>HYPERLINK("https://klasma.github.io/Logging_0380/klagomålsmail/A 63172-2023 FSC-klagomål mail.docx", "A 63172-2023")</f>
        <v/>
      </c>
      <c r="X93">
        <f>HYPERLINK("https://klasma.github.io/Logging_0380/tillsyn/A 63172-2023 tillsynsbegäran.docx", "A 63172-2023")</f>
        <v/>
      </c>
      <c r="Y93">
        <f>HYPERLINK("https://klasma.github.io/Logging_0380/tillsynsmail/A 63172-2023 tillsynsbegäran mail.docx", "A 63172-2023")</f>
        <v/>
      </c>
    </row>
    <row r="94" ht="15" customHeight="1">
      <c r="A94" t="inlineStr">
        <is>
          <t>A 17484-2025</t>
        </is>
      </c>
      <c r="B94" s="1" t="n">
        <v>45757.49934027778</v>
      </c>
      <c r="C94" s="1" t="n">
        <v>45934</v>
      </c>
      <c r="D94" t="inlineStr">
        <is>
          <t>UPPSALA LÄN</t>
        </is>
      </c>
      <c r="E94" t="inlineStr">
        <is>
          <t>UPPSALA</t>
        </is>
      </c>
      <c r="G94" t="n">
        <v>13.1</v>
      </c>
      <c r="H94" t="n">
        <v>1</v>
      </c>
      <c r="I94" t="n">
        <v>0</v>
      </c>
      <c r="J94" t="n">
        <v>0</v>
      </c>
      <c r="K94" t="n">
        <v>0</v>
      </c>
      <c r="L94" t="n">
        <v>0</v>
      </c>
      <c r="M94" t="n">
        <v>0</v>
      </c>
      <c r="N94" t="n">
        <v>0</v>
      </c>
      <c r="O94" t="n">
        <v>0</v>
      </c>
      <c r="P94" t="n">
        <v>0</v>
      </c>
      <c r="Q94" t="n">
        <v>1</v>
      </c>
      <c r="R94" s="2" t="inlineStr">
        <is>
          <t>Fläcknycklar</t>
        </is>
      </c>
      <c r="S94">
        <f>HYPERLINK("https://klasma.github.io/Logging_0380/artfynd/A 17484-2025 artfynd.xlsx", "A 17484-2025")</f>
        <v/>
      </c>
      <c r="T94">
        <f>HYPERLINK("https://klasma.github.io/Logging_0380/kartor/A 17484-2025 karta.png", "A 17484-2025")</f>
        <v/>
      </c>
      <c r="V94">
        <f>HYPERLINK("https://klasma.github.io/Logging_0380/klagomål/A 17484-2025 FSC-klagomål.docx", "A 17484-2025")</f>
        <v/>
      </c>
      <c r="W94">
        <f>HYPERLINK("https://klasma.github.io/Logging_0380/klagomålsmail/A 17484-2025 FSC-klagomål mail.docx", "A 17484-2025")</f>
        <v/>
      </c>
      <c r="X94">
        <f>HYPERLINK("https://klasma.github.io/Logging_0380/tillsyn/A 17484-2025 tillsynsbegäran.docx", "A 17484-2025")</f>
        <v/>
      </c>
      <c r="Y94">
        <f>HYPERLINK("https://klasma.github.io/Logging_0380/tillsynsmail/A 17484-2025 tillsynsbegäran mail.docx", "A 17484-2025")</f>
        <v/>
      </c>
    </row>
    <row r="95" ht="15" customHeight="1">
      <c r="A95" t="inlineStr">
        <is>
          <t>A 57793-2022</t>
        </is>
      </c>
      <c r="B95" s="1" t="n">
        <v>44897</v>
      </c>
      <c r="C95" s="1" t="n">
        <v>45934</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5750-2023</t>
        </is>
      </c>
      <c r="B96" s="1" t="n">
        <v>44963</v>
      </c>
      <c r="C96" s="1" t="n">
        <v>45934</v>
      </c>
      <c r="D96" t="inlineStr">
        <is>
          <t>UPPSALA LÄN</t>
        </is>
      </c>
      <c r="E96" t="inlineStr">
        <is>
          <t>UPPSALA</t>
        </is>
      </c>
      <c r="G96" t="n">
        <v>13.8</v>
      </c>
      <c r="H96" t="n">
        <v>0</v>
      </c>
      <c r="I96" t="n">
        <v>0</v>
      </c>
      <c r="J96" t="n">
        <v>0</v>
      </c>
      <c r="K96" t="n">
        <v>1</v>
      </c>
      <c r="L96" t="n">
        <v>0</v>
      </c>
      <c r="M96" t="n">
        <v>0</v>
      </c>
      <c r="N96" t="n">
        <v>0</v>
      </c>
      <c r="O96" t="n">
        <v>1</v>
      </c>
      <c r="P96" t="n">
        <v>1</v>
      </c>
      <c r="Q96" t="n">
        <v>1</v>
      </c>
      <c r="R96" s="2" t="inlineStr">
        <is>
          <t>Raggbock</t>
        </is>
      </c>
      <c r="S96">
        <f>HYPERLINK("https://klasma.github.io/Logging_0380/artfynd/A 5750-2023 artfynd.xlsx", "A 5750-2023")</f>
        <v/>
      </c>
      <c r="T96">
        <f>HYPERLINK("https://klasma.github.io/Logging_0380/kartor/A 5750-2023 karta.png", "A 5750-2023")</f>
        <v/>
      </c>
      <c r="V96">
        <f>HYPERLINK("https://klasma.github.io/Logging_0380/klagomål/A 5750-2023 FSC-klagomål.docx", "A 5750-2023")</f>
        <v/>
      </c>
      <c r="W96">
        <f>HYPERLINK("https://klasma.github.io/Logging_0380/klagomålsmail/A 5750-2023 FSC-klagomål mail.docx", "A 5750-2023")</f>
        <v/>
      </c>
      <c r="X96">
        <f>HYPERLINK("https://klasma.github.io/Logging_0380/tillsyn/A 5750-2023 tillsynsbegäran.docx", "A 5750-2023")</f>
        <v/>
      </c>
      <c r="Y96">
        <f>HYPERLINK("https://klasma.github.io/Logging_0380/tillsynsmail/A 5750-2023 tillsynsbegäran mail.docx", "A 5750-2023")</f>
        <v/>
      </c>
    </row>
    <row r="97" ht="15" customHeight="1">
      <c r="A97" t="inlineStr">
        <is>
          <t>A 46634-2022</t>
        </is>
      </c>
      <c r="B97" s="1" t="n">
        <v>44849</v>
      </c>
      <c r="C97" s="1" t="n">
        <v>45934</v>
      </c>
      <c r="D97" t="inlineStr">
        <is>
          <t>UPPSALA LÄN</t>
        </is>
      </c>
      <c r="E97" t="inlineStr">
        <is>
          <t>UPPSALA</t>
        </is>
      </c>
      <c r="G97" t="n">
        <v>2.9</v>
      </c>
      <c r="H97" t="n">
        <v>0</v>
      </c>
      <c r="I97" t="n">
        <v>1</v>
      </c>
      <c r="J97" t="n">
        <v>0</v>
      </c>
      <c r="K97" t="n">
        <v>0</v>
      </c>
      <c r="L97" t="n">
        <v>0</v>
      </c>
      <c r="M97" t="n">
        <v>0</v>
      </c>
      <c r="N97" t="n">
        <v>0</v>
      </c>
      <c r="O97" t="n">
        <v>0</v>
      </c>
      <c r="P97" t="n">
        <v>0</v>
      </c>
      <c r="Q97" t="n">
        <v>1</v>
      </c>
      <c r="R97" s="2" t="inlineStr">
        <is>
          <t>Fjällig taggsvamp s.str.</t>
        </is>
      </c>
      <c r="S97">
        <f>HYPERLINK("https://klasma.github.io/Logging_0380/artfynd/A 46634-2022 artfynd.xlsx", "A 46634-2022")</f>
        <v/>
      </c>
      <c r="T97">
        <f>HYPERLINK("https://klasma.github.io/Logging_0380/kartor/A 46634-2022 karta.png", "A 46634-2022")</f>
        <v/>
      </c>
      <c r="V97">
        <f>HYPERLINK("https://klasma.github.io/Logging_0380/klagomål/A 46634-2022 FSC-klagomål.docx", "A 46634-2022")</f>
        <v/>
      </c>
      <c r="W97">
        <f>HYPERLINK("https://klasma.github.io/Logging_0380/klagomålsmail/A 46634-2022 FSC-klagomål mail.docx", "A 46634-2022")</f>
        <v/>
      </c>
      <c r="X97">
        <f>HYPERLINK("https://klasma.github.io/Logging_0380/tillsyn/A 46634-2022 tillsynsbegäran.docx", "A 46634-2022")</f>
        <v/>
      </c>
      <c r="Y97">
        <f>HYPERLINK("https://klasma.github.io/Logging_0380/tillsynsmail/A 46634-2022 tillsynsbegäran mail.docx", "A 46634-2022")</f>
        <v/>
      </c>
    </row>
    <row r="98" ht="15" customHeight="1">
      <c r="A98" t="inlineStr">
        <is>
          <t>A 61830-2022</t>
        </is>
      </c>
      <c r="B98" s="1" t="n">
        <v>44917.59298611111</v>
      </c>
      <c r="C98" s="1" t="n">
        <v>45934</v>
      </c>
      <c r="D98" t="inlineStr">
        <is>
          <t>UPPSALA LÄN</t>
        </is>
      </c>
      <c r="E98" t="inlineStr">
        <is>
          <t>UPPSALA</t>
        </is>
      </c>
      <c r="F98" t="inlineStr">
        <is>
          <t>Holmen skog AB</t>
        </is>
      </c>
      <c r="G98" t="n">
        <v>1.1</v>
      </c>
      <c r="H98" t="n">
        <v>0</v>
      </c>
      <c r="I98" t="n">
        <v>0</v>
      </c>
      <c r="J98" t="n">
        <v>1</v>
      </c>
      <c r="K98" t="n">
        <v>0</v>
      </c>
      <c r="L98" t="n">
        <v>0</v>
      </c>
      <c r="M98" t="n">
        <v>0</v>
      </c>
      <c r="N98" t="n">
        <v>0</v>
      </c>
      <c r="O98" t="n">
        <v>1</v>
      </c>
      <c r="P98" t="n">
        <v>0</v>
      </c>
      <c r="Q98" t="n">
        <v>1</v>
      </c>
      <c r="R98" s="2" t="inlineStr">
        <is>
          <t>Rödbrun blekspik</t>
        </is>
      </c>
      <c r="S98">
        <f>HYPERLINK("https://klasma.github.io/Logging_0380/artfynd/A 61830-2022 artfynd.xlsx", "A 61830-2022")</f>
        <v/>
      </c>
      <c r="T98">
        <f>HYPERLINK("https://klasma.github.io/Logging_0380/kartor/A 61830-2022 karta.png", "A 61830-2022")</f>
        <v/>
      </c>
      <c r="V98">
        <f>HYPERLINK("https://klasma.github.io/Logging_0380/klagomål/A 61830-2022 FSC-klagomål.docx", "A 61830-2022")</f>
        <v/>
      </c>
      <c r="W98">
        <f>HYPERLINK("https://klasma.github.io/Logging_0380/klagomålsmail/A 61830-2022 FSC-klagomål mail.docx", "A 61830-2022")</f>
        <v/>
      </c>
      <c r="X98">
        <f>HYPERLINK("https://klasma.github.io/Logging_0380/tillsyn/A 61830-2022 tillsynsbegäran.docx", "A 61830-2022")</f>
        <v/>
      </c>
      <c r="Y98">
        <f>HYPERLINK("https://klasma.github.io/Logging_0380/tillsynsmail/A 61830-2022 tillsynsbegäran mail.docx", "A 61830-2022")</f>
        <v/>
      </c>
    </row>
    <row r="99" ht="15" customHeight="1">
      <c r="A99" t="inlineStr">
        <is>
          <t>A 61818-2022</t>
        </is>
      </c>
      <c r="B99" s="1" t="n">
        <v>44917</v>
      </c>
      <c r="C99" s="1" t="n">
        <v>45934</v>
      </c>
      <c r="D99" t="inlineStr">
        <is>
          <t>UPPSALA LÄN</t>
        </is>
      </c>
      <c r="E99" t="inlineStr">
        <is>
          <t>UPPSALA</t>
        </is>
      </c>
      <c r="F99" t="inlineStr">
        <is>
          <t>Holmen skog AB</t>
        </is>
      </c>
      <c r="G99" t="n">
        <v>0.8</v>
      </c>
      <c r="H99" t="n">
        <v>0</v>
      </c>
      <c r="I99" t="n">
        <v>0</v>
      </c>
      <c r="J99" t="n">
        <v>1</v>
      </c>
      <c r="K99" t="n">
        <v>0</v>
      </c>
      <c r="L99" t="n">
        <v>0</v>
      </c>
      <c r="M99" t="n">
        <v>0</v>
      </c>
      <c r="N99" t="n">
        <v>0</v>
      </c>
      <c r="O99" t="n">
        <v>1</v>
      </c>
      <c r="P99" t="n">
        <v>0</v>
      </c>
      <c r="Q99" t="n">
        <v>1</v>
      </c>
      <c r="R99" s="2" t="inlineStr">
        <is>
          <t>Blekticka</t>
        </is>
      </c>
      <c r="S99">
        <f>HYPERLINK("https://klasma.github.io/Logging_0380/artfynd/A 61818-2022 artfynd.xlsx", "A 61818-2022")</f>
        <v/>
      </c>
      <c r="T99">
        <f>HYPERLINK("https://klasma.github.io/Logging_0380/kartor/A 61818-2022 karta.png", "A 61818-2022")</f>
        <v/>
      </c>
      <c r="V99">
        <f>HYPERLINK("https://klasma.github.io/Logging_0380/klagomål/A 61818-2022 FSC-klagomål.docx", "A 61818-2022")</f>
        <v/>
      </c>
      <c r="W99">
        <f>HYPERLINK("https://klasma.github.io/Logging_0380/klagomålsmail/A 61818-2022 FSC-klagomål mail.docx", "A 61818-2022")</f>
        <v/>
      </c>
      <c r="X99">
        <f>HYPERLINK("https://klasma.github.io/Logging_0380/tillsyn/A 61818-2022 tillsynsbegäran.docx", "A 61818-2022")</f>
        <v/>
      </c>
      <c r="Y99">
        <f>HYPERLINK("https://klasma.github.io/Logging_0380/tillsynsmail/A 61818-2022 tillsynsbegäran mail.docx", "A 61818-2022")</f>
        <v/>
      </c>
    </row>
    <row r="100" ht="15" customHeight="1">
      <c r="A100" t="inlineStr">
        <is>
          <t>A 49015-2022</t>
        </is>
      </c>
      <c r="B100" s="1" t="n">
        <v>44855</v>
      </c>
      <c r="C100" s="1" t="n">
        <v>45934</v>
      </c>
      <c r="D100" t="inlineStr">
        <is>
          <t>UPPSALA LÄN</t>
        </is>
      </c>
      <c r="E100" t="inlineStr">
        <is>
          <t>UPPSALA</t>
        </is>
      </c>
      <c r="F100" t="inlineStr">
        <is>
          <t>Kommuner</t>
        </is>
      </c>
      <c r="G100" t="n">
        <v>4.5</v>
      </c>
      <c r="H100" t="n">
        <v>0</v>
      </c>
      <c r="I100" t="n">
        <v>0</v>
      </c>
      <c r="J100" t="n">
        <v>1</v>
      </c>
      <c r="K100" t="n">
        <v>0</v>
      </c>
      <c r="L100" t="n">
        <v>0</v>
      </c>
      <c r="M100" t="n">
        <v>0</v>
      </c>
      <c r="N100" t="n">
        <v>0</v>
      </c>
      <c r="O100" t="n">
        <v>1</v>
      </c>
      <c r="P100" t="n">
        <v>0</v>
      </c>
      <c r="Q100" t="n">
        <v>1</v>
      </c>
      <c r="R100" s="2" t="inlineStr">
        <is>
          <t>Harticka</t>
        </is>
      </c>
      <c r="S100">
        <f>HYPERLINK("https://klasma.github.io/Logging_0380/artfynd/A 49015-2022 artfynd.xlsx", "A 49015-2022")</f>
        <v/>
      </c>
      <c r="T100">
        <f>HYPERLINK("https://klasma.github.io/Logging_0380/kartor/A 49015-2022 karta.png", "A 49015-2022")</f>
        <v/>
      </c>
      <c r="V100">
        <f>HYPERLINK("https://klasma.github.io/Logging_0380/klagomål/A 49015-2022 FSC-klagomål.docx", "A 49015-2022")</f>
        <v/>
      </c>
      <c r="W100">
        <f>HYPERLINK("https://klasma.github.io/Logging_0380/klagomålsmail/A 49015-2022 FSC-klagomål mail.docx", "A 49015-2022")</f>
        <v/>
      </c>
      <c r="X100">
        <f>HYPERLINK("https://klasma.github.io/Logging_0380/tillsyn/A 49015-2022 tillsynsbegäran.docx", "A 49015-2022")</f>
        <v/>
      </c>
      <c r="Y100">
        <f>HYPERLINK("https://klasma.github.io/Logging_0380/tillsynsmail/A 49015-2022 tillsynsbegäran mail.docx", "A 49015-2022")</f>
        <v/>
      </c>
    </row>
    <row r="101" ht="15" customHeight="1">
      <c r="A101" t="inlineStr">
        <is>
          <t>A 13093-2024</t>
        </is>
      </c>
      <c r="B101" s="1" t="n">
        <v>45385</v>
      </c>
      <c r="C101" s="1" t="n">
        <v>45934</v>
      </c>
      <c r="D101" t="inlineStr">
        <is>
          <t>UPPSALA LÄN</t>
        </is>
      </c>
      <c r="E101" t="inlineStr">
        <is>
          <t>UPPSALA</t>
        </is>
      </c>
      <c r="G101" t="n">
        <v>1.1</v>
      </c>
      <c r="H101" t="n">
        <v>1</v>
      </c>
      <c r="I101" t="n">
        <v>1</v>
      </c>
      <c r="J101" t="n">
        <v>0</v>
      </c>
      <c r="K101" t="n">
        <v>0</v>
      </c>
      <c r="L101" t="n">
        <v>0</v>
      </c>
      <c r="M101" t="n">
        <v>0</v>
      </c>
      <c r="N101" t="n">
        <v>0</v>
      </c>
      <c r="O101" t="n">
        <v>0</v>
      </c>
      <c r="P101" t="n">
        <v>0</v>
      </c>
      <c r="Q101" t="n">
        <v>1</v>
      </c>
      <c r="R101" s="2" t="inlineStr">
        <is>
          <t>Skogsknipprot</t>
        </is>
      </c>
      <c r="S101">
        <f>HYPERLINK("https://klasma.github.io/Logging_0380/artfynd/A 13093-2024 artfynd.xlsx", "A 13093-2024")</f>
        <v/>
      </c>
      <c r="T101">
        <f>HYPERLINK("https://klasma.github.io/Logging_0380/kartor/A 13093-2024 karta.png", "A 13093-2024")</f>
        <v/>
      </c>
      <c r="V101">
        <f>HYPERLINK("https://klasma.github.io/Logging_0380/klagomål/A 13093-2024 FSC-klagomål.docx", "A 13093-2024")</f>
        <v/>
      </c>
      <c r="W101">
        <f>HYPERLINK("https://klasma.github.io/Logging_0380/klagomålsmail/A 13093-2024 FSC-klagomål mail.docx", "A 13093-2024")</f>
        <v/>
      </c>
      <c r="X101">
        <f>HYPERLINK("https://klasma.github.io/Logging_0380/tillsyn/A 13093-2024 tillsynsbegäran.docx", "A 13093-2024")</f>
        <v/>
      </c>
      <c r="Y101">
        <f>HYPERLINK("https://klasma.github.io/Logging_0380/tillsynsmail/A 13093-2024 tillsynsbegäran mail.docx", "A 13093-2024")</f>
        <v/>
      </c>
    </row>
    <row r="102" ht="15" customHeight="1">
      <c r="A102" t="inlineStr">
        <is>
          <t>A 21801-2025</t>
        </is>
      </c>
      <c r="B102" s="1" t="n">
        <v>45783</v>
      </c>
      <c r="C102" s="1" t="n">
        <v>45934</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5009-2023</t>
        </is>
      </c>
      <c r="B103" s="1" t="n">
        <v>44958</v>
      </c>
      <c r="C103" s="1" t="n">
        <v>45934</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4657-2025</t>
        </is>
      </c>
      <c r="B104" s="1" t="n">
        <v>45687</v>
      </c>
      <c r="C104" s="1" t="n">
        <v>45934</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Grönsångare</t>
        </is>
      </c>
      <c r="S104">
        <f>HYPERLINK("https://klasma.github.io/Logging_0380/artfynd/A 4657-2025 artfynd.xlsx", "A 4657-2025")</f>
        <v/>
      </c>
      <c r="T104">
        <f>HYPERLINK("https://klasma.github.io/Logging_0380/kartor/A 4657-2025 karta.png", "A 4657-2025")</f>
        <v/>
      </c>
      <c r="V104">
        <f>HYPERLINK("https://klasma.github.io/Logging_0380/klagomål/A 4657-2025 FSC-klagomål.docx", "A 4657-2025")</f>
        <v/>
      </c>
      <c r="W104">
        <f>HYPERLINK("https://klasma.github.io/Logging_0380/klagomålsmail/A 4657-2025 FSC-klagomål mail.docx", "A 4657-2025")</f>
        <v/>
      </c>
      <c r="X104">
        <f>HYPERLINK("https://klasma.github.io/Logging_0380/tillsyn/A 4657-2025 tillsynsbegäran.docx", "A 4657-2025")</f>
        <v/>
      </c>
      <c r="Y104">
        <f>HYPERLINK("https://klasma.github.io/Logging_0380/tillsynsmail/A 4657-2025 tillsynsbegäran mail.docx", "A 4657-2025")</f>
        <v/>
      </c>
      <c r="Z104">
        <f>HYPERLINK("https://klasma.github.io/Logging_0380/fåglar/A 4657-2025 prioriterade fågelarter.docx", "A 4657-2025")</f>
        <v/>
      </c>
    </row>
    <row r="105" ht="15" customHeight="1">
      <c r="A105" t="inlineStr">
        <is>
          <t>A 13363-2022</t>
        </is>
      </c>
      <c r="B105" s="1" t="n">
        <v>44645</v>
      </c>
      <c r="C105" s="1" t="n">
        <v>45934</v>
      </c>
      <c r="D105" t="inlineStr">
        <is>
          <t>UPPSALA LÄN</t>
        </is>
      </c>
      <c r="E105" t="inlineStr">
        <is>
          <t>UPPSALA</t>
        </is>
      </c>
      <c r="F105" t="inlineStr">
        <is>
          <t>Övriga Aktiebolag</t>
        </is>
      </c>
      <c r="G105" t="n">
        <v>9.4</v>
      </c>
      <c r="H105" t="n">
        <v>1</v>
      </c>
      <c r="I105" t="n">
        <v>0</v>
      </c>
      <c r="J105" t="n">
        <v>0</v>
      </c>
      <c r="K105" t="n">
        <v>0</v>
      </c>
      <c r="L105" t="n">
        <v>0</v>
      </c>
      <c r="M105" t="n">
        <v>0</v>
      </c>
      <c r="N105" t="n">
        <v>0</v>
      </c>
      <c r="O105" t="n">
        <v>0</v>
      </c>
      <c r="P105" t="n">
        <v>0</v>
      </c>
      <c r="Q105" t="n">
        <v>1</v>
      </c>
      <c r="R105" s="2" t="inlineStr">
        <is>
          <t>Huggorm</t>
        </is>
      </c>
      <c r="S105">
        <f>HYPERLINK("https://klasma.github.io/Logging_0380/artfynd/A 13363-2022 artfynd.xlsx", "A 13363-2022")</f>
        <v/>
      </c>
      <c r="T105">
        <f>HYPERLINK("https://klasma.github.io/Logging_0380/kartor/A 13363-2022 karta.png", "A 13363-2022")</f>
        <v/>
      </c>
      <c r="V105">
        <f>HYPERLINK("https://klasma.github.io/Logging_0380/klagomål/A 13363-2022 FSC-klagomål.docx", "A 13363-2022")</f>
        <v/>
      </c>
      <c r="W105">
        <f>HYPERLINK("https://klasma.github.io/Logging_0380/klagomålsmail/A 13363-2022 FSC-klagomål mail.docx", "A 13363-2022")</f>
        <v/>
      </c>
      <c r="X105">
        <f>HYPERLINK("https://klasma.github.io/Logging_0380/tillsyn/A 13363-2022 tillsynsbegäran.docx", "A 13363-2022")</f>
        <v/>
      </c>
      <c r="Y105">
        <f>HYPERLINK("https://klasma.github.io/Logging_0380/tillsynsmail/A 13363-2022 tillsynsbegäran mail.docx", "A 13363-2022")</f>
        <v/>
      </c>
    </row>
    <row r="106" ht="15" customHeight="1">
      <c r="A106" t="inlineStr">
        <is>
          <t>A 6044-2024</t>
        </is>
      </c>
      <c r="B106" s="1" t="n">
        <v>45336</v>
      </c>
      <c r="C106" s="1" t="n">
        <v>45934</v>
      </c>
      <c r="D106" t="inlineStr">
        <is>
          <t>UPPSALA LÄN</t>
        </is>
      </c>
      <c r="E106" t="inlineStr">
        <is>
          <t>UPPSALA</t>
        </is>
      </c>
      <c r="F106" t="inlineStr">
        <is>
          <t>Holmen skog AB</t>
        </is>
      </c>
      <c r="G106" t="n">
        <v>7.4</v>
      </c>
      <c r="H106" t="n">
        <v>0</v>
      </c>
      <c r="I106" t="n">
        <v>0</v>
      </c>
      <c r="J106" t="n">
        <v>1</v>
      </c>
      <c r="K106" t="n">
        <v>0</v>
      </c>
      <c r="L106" t="n">
        <v>0</v>
      </c>
      <c r="M106" t="n">
        <v>0</v>
      </c>
      <c r="N106" t="n">
        <v>0</v>
      </c>
      <c r="O106" t="n">
        <v>1</v>
      </c>
      <c r="P106" t="n">
        <v>0</v>
      </c>
      <c r="Q106" t="n">
        <v>1</v>
      </c>
      <c r="R106" s="2" t="inlineStr">
        <is>
          <t>Gul dropplav</t>
        </is>
      </c>
      <c r="S106">
        <f>HYPERLINK("https://klasma.github.io/Logging_0380/artfynd/A 6044-2024 artfynd.xlsx", "A 6044-2024")</f>
        <v/>
      </c>
      <c r="T106">
        <f>HYPERLINK("https://klasma.github.io/Logging_0380/kartor/A 6044-2024 karta.png", "A 6044-2024")</f>
        <v/>
      </c>
      <c r="V106">
        <f>HYPERLINK("https://klasma.github.io/Logging_0380/klagomål/A 6044-2024 FSC-klagomål.docx", "A 6044-2024")</f>
        <v/>
      </c>
      <c r="W106">
        <f>HYPERLINK("https://klasma.github.io/Logging_0380/klagomålsmail/A 6044-2024 FSC-klagomål mail.docx", "A 6044-2024")</f>
        <v/>
      </c>
      <c r="X106">
        <f>HYPERLINK("https://klasma.github.io/Logging_0380/tillsyn/A 6044-2024 tillsynsbegäran.docx", "A 6044-2024")</f>
        <v/>
      </c>
      <c r="Y106">
        <f>HYPERLINK("https://klasma.github.io/Logging_0380/tillsynsmail/A 6044-2024 tillsynsbegäran mail.docx", "A 6044-2024")</f>
        <v/>
      </c>
    </row>
    <row r="107" ht="15" customHeight="1">
      <c r="A107" t="inlineStr">
        <is>
          <t>A 26923-2025</t>
        </is>
      </c>
      <c r="B107" s="1" t="n">
        <v>45811.38710648148</v>
      </c>
      <c r="C107" s="1" t="n">
        <v>45934</v>
      </c>
      <c r="D107" t="inlineStr">
        <is>
          <t>UPPSALA LÄN</t>
        </is>
      </c>
      <c r="E107" t="inlineStr">
        <is>
          <t>UPPSALA</t>
        </is>
      </c>
      <c r="F107" t="inlineStr">
        <is>
          <t>Kyrkan</t>
        </is>
      </c>
      <c r="G107" t="n">
        <v>9.800000000000001</v>
      </c>
      <c r="H107" t="n">
        <v>1</v>
      </c>
      <c r="I107" t="n">
        <v>0</v>
      </c>
      <c r="J107" t="n">
        <v>0</v>
      </c>
      <c r="K107" t="n">
        <v>0</v>
      </c>
      <c r="L107" t="n">
        <v>0</v>
      </c>
      <c r="M107" t="n">
        <v>0</v>
      </c>
      <c r="N107" t="n">
        <v>0</v>
      </c>
      <c r="O107" t="n">
        <v>0</v>
      </c>
      <c r="P107" t="n">
        <v>0</v>
      </c>
      <c r="Q107" t="n">
        <v>1</v>
      </c>
      <c r="R107" s="2" t="inlineStr">
        <is>
          <t>Fläcknycklar</t>
        </is>
      </c>
      <c r="S107">
        <f>HYPERLINK("https://klasma.github.io/Logging_0380/artfynd/A 26923-2025 artfynd.xlsx", "A 26923-2025")</f>
        <v/>
      </c>
      <c r="T107">
        <f>HYPERLINK("https://klasma.github.io/Logging_0380/kartor/A 26923-2025 karta.png", "A 26923-2025")</f>
        <v/>
      </c>
      <c r="V107">
        <f>HYPERLINK("https://klasma.github.io/Logging_0380/klagomål/A 26923-2025 FSC-klagomål.docx", "A 26923-2025")</f>
        <v/>
      </c>
      <c r="W107">
        <f>HYPERLINK("https://klasma.github.io/Logging_0380/klagomålsmail/A 26923-2025 FSC-klagomål mail.docx", "A 26923-2025")</f>
        <v/>
      </c>
      <c r="X107">
        <f>HYPERLINK("https://klasma.github.io/Logging_0380/tillsyn/A 26923-2025 tillsynsbegäran.docx", "A 26923-2025")</f>
        <v/>
      </c>
      <c r="Y107">
        <f>HYPERLINK("https://klasma.github.io/Logging_0380/tillsynsmail/A 26923-2025 tillsynsbegäran mail.docx", "A 26923-2025")</f>
        <v/>
      </c>
    </row>
    <row r="108" ht="15" customHeight="1">
      <c r="A108" t="inlineStr">
        <is>
          <t>A 27848-2023</t>
        </is>
      </c>
      <c r="B108" s="1" t="n">
        <v>45098</v>
      </c>
      <c r="C108" s="1" t="n">
        <v>45934</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3304-2025</t>
        </is>
      </c>
      <c r="B109" s="1" t="n">
        <v>45679</v>
      </c>
      <c r="C109" s="1" t="n">
        <v>45934</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28056-2025</t>
        </is>
      </c>
      <c r="B110" s="1" t="n">
        <v>45817</v>
      </c>
      <c r="C110" s="1" t="n">
        <v>45934</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27824-2025</t>
        </is>
      </c>
      <c r="B111" s="1" t="n">
        <v>45817.34614583333</v>
      </c>
      <c r="C111" s="1" t="n">
        <v>45934</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28299-2025</t>
        </is>
      </c>
      <c r="B112" s="1" t="n">
        <v>45818.60254629629</v>
      </c>
      <c r="C112" s="1" t="n">
        <v>45934</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45934</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45934</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2729-2024</t>
        </is>
      </c>
      <c r="B115" s="1" t="n">
        <v>45314.55579861111</v>
      </c>
      <c r="C115" s="1" t="n">
        <v>45934</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35260-2025</t>
        </is>
      </c>
      <c r="B116" s="1" t="n">
        <v>45853.76976851852</v>
      </c>
      <c r="C116" s="1" t="n">
        <v>45934</v>
      </c>
      <c r="D116" t="inlineStr">
        <is>
          <t>UPPSALA LÄN</t>
        </is>
      </c>
      <c r="E116" t="inlineStr">
        <is>
          <t>UPPSALA</t>
        </is>
      </c>
      <c r="G116" t="n">
        <v>7.3</v>
      </c>
      <c r="H116" t="n">
        <v>0</v>
      </c>
      <c r="I116" t="n">
        <v>1</v>
      </c>
      <c r="J116" t="n">
        <v>0</v>
      </c>
      <c r="K116" t="n">
        <v>0</v>
      </c>
      <c r="L116" t="n">
        <v>0</v>
      </c>
      <c r="M116" t="n">
        <v>0</v>
      </c>
      <c r="N116" t="n">
        <v>0</v>
      </c>
      <c r="O116" t="n">
        <v>0</v>
      </c>
      <c r="P116" t="n">
        <v>0</v>
      </c>
      <c r="Q116" t="n">
        <v>1</v>
      </c>
      <c r="R116" s="2" t="inlineStr">
        <is>
          <t>Svavelriska</t>
        </is>
      </c>
      <c r="S116">
        <f>HYPERLINK("https://klasma.github.io/Logging_0380/artfynd/A 35260-2025 artfynd.xlsx", "A 35260-2025")</f>
        <v/>
      </c>
      <c r="T116">
        <f>HYPERLINK("https://klasma.github.io/Logging_0380/kartor/A 35260-2025 karta.png", "A 35260-2025")</f>
        <v/>
      </c>
      <c r="V116">
        <f>HYPERLINK("https://klasma.github.io/Logging_0380/klagomål/A 35260-2025 FSC-klagomål.docx", "A 35260-2025")</f>
        <v/>
      </c>
      <c r="W116">
        <f>HYPERLINK("https://klasma.github.io/Logging_0380/klagomålsmail/A 35260-2025 FSC-klagomål mail.docx", "A 35260-2025")</f>
        <v/>
      </c>
      <c r="X116">
        <f>HYPERLINK("https://klasma.github.io/Logging_0380/tillsyn/A 35260-2025 tillsynsbegäran.docx", "A 35260-2025")</f>
        <v/>
      </c>
      <c r="Y116">
        <f>HYPERLINK("https://klasma.github.io/Logging_0380/tillsynsmail/A 35260-2025 tillsynsbegäran mail.docx", "A 35260-2025")</f>
        <v/>
      </c>
    </row>
    <row r="117" ht="15" customHeight="1">
      <c r="A117" t="inlineStr">
        <is>
          <t>A 40568-2025</t>
        </is>
      </c>
      <c r="B117" s="1" t="n">
        <v>45896.47487268518</v>
      </c>
      <c r="C117" s="1" t="n">
        <v>45934</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41606-2025</t>
        </is>
      </c>
      <c r="B118" s="1" t="n">
        <v>45901.66702546296</v>
      </c>
      <c r="C118" s="1" t="n">
        <v>45934</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16761-2022</t>
        </is>
      </c>
      <c r="B119" s="1" t="n">
        <v>44673.47858796296</v>
      </c>
      <c r="C119" s="1" t="n">
        <v>45934</v>
      </c>
      <c r="D119" t="inlineStr">
        <is>
          <t>UPPSALA LÄN</t>
        </is>
      </c>
      <c r="E119" t="inlineStr">
        <is>
          <t>UPPSALA</t>
        </is>
      </c>
      <c r="G119" t="n">
        <v>0.6</v>
      </c>
      <c r="H119" t="n">
        <v>1</v>
      </c>
      <c r="I119" t="n">
        <v>0</v>
      </c>
      <c r="J119" t="n">
        <v>0</v>
      </c>
      <c r="K119" t="n">
        <v>0</v>
      </c>
      <c r="L119" t="n">
        <v>0</v>
      </c>
      <c r="M119" t="n">
        <v>0</v>
      </c>
      <c r="N119" t="n">
        <v>0</v>
      </c>
      <c r="O119" t="n">
        <v>0</v>
      </c>
      <c r="P119" t="n">
        <v>0</v>
      </c>
      <c r="Q119" t="n">
        <v>1</v>
      </c>
      <c r="R119" s="2" t="inlineStr">
        <is>
          <t>Trädlärka</t>
        </is>
      </c>
      <c r="S119">
        <f>HYPERLINK("https://klasma.github.io/Logging_0380/artfynd/A 16761-2022 artfynd.xlsx", "A 16761-2022")</f>
        <v/>
      </c>
      <c r="T119">
        <f>HYPERLINK("https://klasma.github.io/Logging_0380/kartor/A 16761-2022 karta.png", "A 16761-2022")</f>
        <v/>
      </c>
      <c r="V119">
        <f>HYPERLINK("https://klasma.github.io/Logging_0380/klagomål/A 16761-2022 FSC-klagomål.docx", "A 16761-2022")</f>
        <v/>
      </c>
      <c r="W119">
        <f>HYPERLINK("https://klasma.github.io/Logging_0380/klagomålsmail/A 16761-2022 FSC-klagomål mail.docx", "A 16761-2022")</f>
        <v/>
      </c>
      <c r="X119">
        <f>HYPERLINK("https://klasma.github.io/Logging_0380/tillsyn/A 16761-2022 tillsynsbegäran.docx", "A 16761-2022")</f>
        <v/>
      </c>
      <c r="Y119">
        <f>HYPERLINK("https://klasma.github.io/Logging_0380/tillsynsmail/A 16761-2022 tillsynsbegäran mail.docx", "A 16761-2022")</f>
        <v/>
      </c>
      <c r="Z119">
        <f>HYPERLINK("https://klasma.github.io/Logging_0380/fåglar/A 16761-2022 prioriterade fågelarter.docx", "A 16761-2022")</f>
        <v/>
      </c>
    </row>
    <row r="120" ht="15" customHeight="1">
      <c r="A120" t="inlineStr">
        <is>
          <t>A 58288-2020</t>
        </is>
      </c>
      <c r="B120" s="1" t="n">
        <v>44144</v>
      </c>
      <c r="C120" s="1" t="n">
        <v>45934</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45934</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45934</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45934</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45934</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45934</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45934</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45934</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45934</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45934</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45934</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45934</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45934</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45934</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45934</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45934</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45934</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45934</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45934</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45934</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45934</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45934</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45934</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45934</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45934</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45934</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45934</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45934</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45934</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45934</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45934</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45934</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45934</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54732-2022</t>
        </is>
      </c>
      <c r="B153" s="1" t="n">
        <v>44883.56321759259</v>
      </c>
      <c r="C153" s="1" t="n">
        <v>45934</v>
      </c>
      <c r="D153" t="inlineStr">
        <is>
          <t>UPPSALA LÄN</t>
        </is>
      </c>
      <c r="E153" t="inlineStr">
        <is>
          <t>UPPSALA</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45934</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45934</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45934</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45934</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45934</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45934</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45934</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45934</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45934</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45934</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45934</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27365-2021</t>
        </is>
      </c>
      <c r="B165" s="1" t="n">
        <v>44351</v>
      </c>
      <c r="C165" s="1" t="n">
        <v>45934</v>
      </c>
      <c r="D165" t="inlineStr">
        <is>
          <t>UPPSALA LÄN</t>
        </is>
      </c>
      <c r="E165" t="inlineStr">
        <is>
          <t>UPPSALA</t>
        </is>
      </c>
      <c r="F165" t="inlineStr">
        <is>
          <t>Allmännings- och besparingsskogar</t>
        </is>
      </c>
      <c r="G165" t="n">
        <v>20.5</v>
      </c>
      <c r="H165" t="n">
        <v>0</v>
      </c>
      <c r="I165" t="n">
        <v>0</v>
      </c>
      <c r="J165" t="n">
        <v>0</v>
      </c>
      <c r="K165" t="n">
        <v>0</v>
      </c>
      <c r="L165" t="n">
        <v>0</v>
      </c>
      <c r="M165" t="n">
        <v>0</v>
      </c>
      <c r="N165" t="n">
        <v>0</v>
      </c>
      <c r="O165" t="n">
        <v>0</v>
      </c>
      <c r="P165" t="n">
        <v>0</v>
      </c>
      <c r="Q165" t="n">
        <v>0</v>
      </c>
      <c r="R165" s="2" t="inlineStr"/>
    </row>
    <row r="166" ht="15" customHeight="1">
      <c r="A166" t="inlineStr">
        <is>
          <t>A 26785-2021</t>
        </is>
      </c>
      <c r="B166" s="1" t="n">
        <v>44349.49666666667</v>
      </c>
      <c r="C166" s="1" t="n">
        <v>45934</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45934</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45934</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45934</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45934</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45934</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45934</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45934</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64858-2021</t>
        </is>
      </c>
      <c r="B174" s="1" t="n">
        <v>44512</v>
      </c>
      <c r="C174" s="1" t="n">
        <v>45934</v>
      </c>
      <c r="D174" t="inlineStr">
        <is>
          <t>UPPSALA LÄN</t>
        </is>
      </c>
      <c r="E174" t="inlineStr">
        <is>
          <t>UPPSALA</t>
        </is>
      </c>
      <c r="G174" t="n">
        <v>1.2</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45934</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45934</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45934</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45934</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45934</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45934</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45934</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71675-2021</t>
        </is>
      </c>
      <c r="B182" s="1" t="n">
        <v>44543</v>
      </c>
      <c r="C182" s="1" t="n">
        <v>45934</v>
      </c>
      <c r="D182" t="inlineStr">
        <is>
          <t>UPPSALA LÄN</t>
        </is>
      </c>
      <c r="E182" t="inlineStr">
        <is>
          <t>UPPSALA</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51821-2021</t>
        </is>
      </c>
      <c r="B183" s="1" t="n">
        <v>44461</v>
      </c>
      <c r="C183" s="1" t="n">
        <v>45934</v>
      </c>
      <c r="D183" t="inlineStr">
        <is>
          <t>UPPSALA LÄN</t>
        </is>
      </c>
      <c r="E183" t="inlineStr">
        <is>
          <t>UPPSALA</t>
        </is>
      </c>
      <c r="F183" t="inlineStr">
        <is>
          <t>Övriga Aktiebolag</t>
        </is>
      </c>
      <c r="G183" t="n">
        <v>5.3</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45934</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45934</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13009-2022</t>
        </is>
      </c>
      <c r="B186" s="1" t="n">
        <v>44643.51446759259</v>
      </c>
      <c r="C186" s="1" t="n">
        <v>45934</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45934</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45934</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45849-2022</t>
        </is>
      </c>
      <c r="B189" s="1" t="n">
        <v>44846</v>
      </c>
      <c r="C189" s="1" t="n">
        <v>45934</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73468-2021</t>
        </is>
      </c>
      <c r="B190" s="1" t="n">
        <v>44551.59704861111</v>
      </c>
      <c r="C190" s="1" t="n">
        <v>45934</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10411-2022</t>
        </is>
      </c>
      <c r="B191" s="1" t="n">
        <v>44623.4572337963</v>
      </c>
      <c r="C191" s="1" t="n">
        <v>45934</v>
      </c>
      <c r="D191" t="inlineStr">
        <is>
          <t>UPPSALA LÄN</t>
        </is>
      </c>
      <c r="E191" t="inlineStr">
        <is>
          <t>UPPSALA</t>
        </is>
      </c>
      <c r="F191" t="inlineStr">
        <is>
          <t>Övriga Aktiebolag</t>
        </is>
      </c>
      <c r="G191" t="n">
        <v>4.2</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45934</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58767-2021</t>
        </is>
      </c>
      <c r="B193" s="1" t="n">
        <v>44489</v>
      </c>
      <c r="C193" s="1" t="n">
        <v>45934</v>
      </c>
      <c r="D193" t="inlineStr">
        <is>
          <t>UPPSALA LÄN</t>
        </is>
      </c>
      <c r="E193" t="inlineStr">
        <is>
          <t>UPPSALA</t>
        </is>
      </c>
      <c r="G193" t="n">
        <v>4.8</v>
      </c>
      <c r="H193" t="n">
        <v>0</v>
      </c>
      <c r="I193" t="n">
        <v>0</v>
      </c>
      <c r="J193" t="n">
        <v>0</v>
      </c>
      <c r="K193" t="n">
        <v>0</v>
      </c>
      <c r="L193" t="n">
        <v>0</v>
      </c>
      <c r="M193" t="n">
        <v>0</v>
      </c>
      <c r="N193" t="n">
        <v>0</v>
      </c>
      <c r="O193" t="n">
        <v>0</v>
      </c>
      <c r="P193" t="n">
        <v>0</v>
      </c>
      <c r="Q193" t="n">
        <v>0</v>
      </c>
      <c r="R193" s="2" t="inlineStr"/>
    </row>
    <row r="194" ht="15" customHeight="1">
      <c r="A194" t="inlineStr">
        <is>
          <t>A 71643-2021</t>
        </is>
      </c>
      <c r="B194" s="1" t="n">
        <v>44543.34697916666</v>
      </c>
      <c r="C194" s="1" t="n">
        <v>45934</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874-2022</t>
        </is>
      </c>
      <c r="B195" s="1" t="n">
        <v>44571.44563657408</v>
      </c>
      <c r="C195" s="1" t="n">
        <v>45934</v>
      </c>
      <c r="D195" t="inlineStr">
        <is>
          <t>UPPSALA LÄN</t>
        </is>
      </c>
      <c r="E195" t="inlineStr">
        <is>
          <t>UPPSALA</t>
        </is>
      </c>
      <c r="G195" t="n">
        <v>7.2</v>
      </c>
      <c r="H195" t="n">
        <v>0</v>
      </c>
      <c r="I195" t="n">
        <v>0</v>
      </c>
      <c r="J195" t="n">
        <v>0</v>
      </c>
      <c r="K195" t="n">
        <v>0</v>
      </c>
      <c r="L195" t="n">
        <v>0</v>
      </c>
      <c r="M195" t="n">
        <v>0</v>
      </c>
      <c r="N195" t="n">
        <v>0</v>
      </c>
      <c r="O195" t="n">
        <v>0</v>
      </c>
      <c r="P195" t="n">
        <v>0</v>
      </c>
      <c r="Q195" t="n">
        <v>0</v>
      </c>
      <c r="R195" s="2" t="inlineStr"/>
    </row>
    <row r="196" ht="15" customHeight="1">
      <c r="A196" t="inlineStr">
        <is>
          <t>A 43850-2022</t>
        </is>
      </c>
      <c r="B196" s="1" t="n">
        <v>44838.40635416667</v>
      </c>
      <c r="C196" s="1" t="n">
        <v>45934</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60032-2021</t>
        </is>
      </c>
      <c r="B197" s="1" t="n">
        <v>44495</v>
      </c>
      <c r="C197" s="1" t="n">
        <v>45934</v>
      </c>
      <c r="D197" t="inlineStr">
        <is>
          <t>UPPSALA LÄN</t>
        </is>
      </c>
      <c r="E197" t="inlineStr">
        <is>
          <t>UPPSALA</t>
        </is>
      </c>
      <c r="G197" t="n">
        <v>1.8</v>
      </c>
      <c r="H197" t="n">
        <v>0</v>
      </c>
      <c r="I197" t="n">
        <v>0</v>
      </c>
      <c r="J197" t="n">
        <v>0</v>
      </c>
      <c r="K197" t="n">
        <v>0</v>
      </c>
      <c r="L197" t="n">
        <v>0</v>
      </c>
      <c r="M197" t="n">
        <v>0</v>
      </c>
      <c r="N197" t="n">
        <v>0</v>
      </c>
      <c r="O197" t="n">
        <v>0</v>
      </c>
      <c r="P197" t="n">
        <v>0</v>
      </c>
      <c r="Q197" t="n">
        <v>0</v>
      </c>
      <c r="R197" s="2" t="inlineStr"/>
    </row>
    <row r="198" ht="15" customHeight="1">
      <c r="A198" t="inlineStr">
        <is>
          <t>A 51050-2021</t>
        </is>
      </c>
      <c r="B198" s="1" t="n">
        <v>44459</v>
      </c>
      <c r="C198" s="1" t="n">
        <v>45934</v>
      </c>
      <c r="D198" t="inlineStr">
        <is>
          <t>UPPSALA LÄN</t>
        </is>
      </c>
      <c r="E198" t="inlineStr">
        <is>
          <t>UPPSALA</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56466-2020</t>
        </is>
      </c>
      <c r="B199" s="1" t="n">
        <v>44134</v>
      </c>
      <c r="C199" s="1" t="n">
        <v>45934</v>
      </c>
      <c r="D199" t="inlineStr">
        <is>
          <t>UPPSALA LÄN</t>
        </is>
      </c>
      <c r="E199" t="inlineStr">
        <is>
          <t>UPPSALA</t>
        </is>
      </c>
      <c r="F199" t="inlineStr">
        <is>
          <t>Övriga Aktiebolag</t>
        </is>
      </c>
      <c r="G199" t="n">
        <v>3.3</v>
      </c>
      <c r="H199" t="n">
        <v>0</v>
      </c>
      <c r="I199" t="n">
        <v>0</v>
      </c>
      <c r="J199" t="n">
        <v>0</v>
      </c>
      <c r="K199" t="n">
        <v>0</v>
      </c>
      <c r="L199" t="n">
        <v>0</v>
      </c>
      <c r="M199" t="n">
        <v>0</v>
      </c>
      <c r="N199" t="n">
        <v>0</v>
      </c>
      <c r="O199" t="n">
        <v>0</v>
      </c>
      <c r="P199" t="n">
        <v>0</v>
      </c>
      <c r="Q199" t="n">
        <v>0</v>
      </c>
      <c r="R199" s="2" t="inlineStr"/>
    </row>
    <row r="200" ht="15" customHeight="1">
      <c r="A200" t="inlineStr">
        <is>
          <t>A 25120-2022</t>
        </is>
      </c>
      <c r="B200" s="1" t="n">
        <v>44729</v>
      </c>
      <c r="C200" s="1" t="n">
        <v>45934</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46916-2021</t>
        </is>
      </c>
      <c r="B201" s="1" t="n">
        <v>44446.47693287037</v>
      </c>
      <c r="C201" s="1" t="n">
        <v>45934</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58056-2020</t>
        </is>
      </c>
      <c r="B202" s="1" t="n">
        <v>44144</v>
      </c>
      <c r="C202" s="1" t="n">
        <v>45934</v>
      </c>
      <c r="D202" t="inlineStr">
        <is>
          <t>UPPSALA LÄN</t>
        </is>
      </c>
      <c r="E202" t="inlineStr">
        <is>
          <t>UPPSALA</t>
        </is>
      </c>
      <c r="G202" t="n">
        <v>5.5</v>
      </c>
      <c r="H202" t="n">
        <v>0</v>
      </c>
      <c r="I202" t="n">
        <v>0</v>
      </c>
      <c r="J202" t="n">
        <v>0</v>
      </c>
      <c r="K202" t="n">
        <v>0</v>
      </c>
      <c r="L202" t="n">
        <v>0</v>
      </c>
      <c r="M202" t="n">
        <v>0</v>
      </c>
      <c r="N202" t="n">
        <v>0</v>
      </c>
      <c r="O202" t="n">
        <v>0</v>
      </c>
      <c r="P202" t="n">
        <v>0</v>
      </c>
      <c r="Q202" t="n">
        <v>0</v>
      </c>
      <c r="R202" s="2" t="inlineStr"/>
    </row>
    <row r="203" ht="15" customHeight="1">
      <c r="A203" t="inlineStr">
        <is>
          <t>A 66927-2021</t>
        </is>
      </c>
      <c r="B203" s="1" t="n">
        <v>44522.55518518519</v>
      </c>
      <c r="C203" s="1" t="n">
        <v>45934</v>
      </c>
      <c r="D203" t="inlineStr">
        <is>
          <t>UPPSALA LÄN</t>
        </is>
      </c>
      <c r="E203" t="inlineStr">
        <is>
          <t>UPPSALA</t>
        </is>
      </c>
      <c r="G203" t="n">
        <v>2.9</v>
      </c>
      <c r="H203" t="n">
        <v>0</v>
      </c>
      <c r="I203" t="n">
        <v>0</v>
      </c>
      <c r="J203" t="n">
        <v>0</v>
      </c>
      <c r="K203" t="n">
        <v>0</v>
      </c>
      <c r="L203" t="n">
        <v>0</v>
      </c>
      <c r="M203" t="n">
        <v>0</v>
      </c>
      <c r="N203" t="n">
        <v>0</v>
      </c>
      <c r="O203" t="n">
        <v>0</v>
      </c>
      <c r="P203" t="n">
        <v>0</v>
      </c>
      <c r="Q203" t="n">
        <v>0</v>
      </c>
      <c r="R203" s="2" t="inlineStr"/>
    </row>
    <row r="204" ht="15" customHeight="1">
      <c r="A204" t="inlineStr">
        <is>
          <t>A 62504-2020</t>
        </is>
      </c>
      <c r="B204" s="1" t="n">
        <v>44160</v>
      </c>
      <c r="C204" s="1" t="n">
        <v>45934</v>
      </c>
      <c r="D204" t="inlineStr">
        <is>
          <t>UPPSALA LÄN</t>
        </is>
      </c>
      <c r="E204" t="inlineStr">
        <is>
          <t>UPPSALA</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12152-2021</t>
        </is>
      </c>
      <c r="B205" s="1" t="n">
        <v>44266.57917824074</v>
      </c>
      <c r="C205" s="1" t="n">
        <v>45934</v>
      </c>
      <c r="D205" t="inlineStr">
        <is>
          <t>UPPSALA LÄN</t>
        </is>
      </c>
      <c r="E205" t="inlineStr">
        <is>
          <t>UPPSALA</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65964-2021</t>
        </is>
      </c>
      <c r="B206" s="1" t="n">
        <v>44517</v>
      </c>
      <c r="C206" s="1" t="n">
        <v>45934</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45934</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45934</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11693-2022</t>
        </is>
      </c>
      <c r="B209" s="1" t="n">
        <v>44634</v>
      </c>
      <c r="C209" s="1" t="n">
        <v>45934</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16615-2021</t>
        </is>
      </c>
      <c r="B210" s="1" t="n">
        <v>44294.37555555555</v>
      </c>
      <c r="C210" s="1" t="n">
        <v>45934</v>
      </c>
      <c r="D210" t="inlineStr">
        <is>
          <t>UPPSALA LÄN</t>
        </is>
      </c>
      <c r="E210" t="inlineStr">
        <is>
          <t>UPPSALA</t>
        </is>
      </c>
      <c r="F210" t="inlineStr">
        <is>
          <t>Övriga Aktiebolag</t>
        </is>
      </c>
      <c r="G210" t="n">
        <v>1.5</v>
      </c>
      <c r="H210" t="n">
        <v>0</v>
      </c>
      <c r="I210" t="n">
        <v>0</v>
      </c>
      <c r="J210" t="n">
        <v>0</v>
      </c>
      <c r="K210" t="n">
        <v>0</v>
      </c>
      <c r="L210" t="n">
        <v>0</v>
      </c>
      <c r="M210" t="n">
        <v>0</v>
      </c>
      <c r="N210" t="n">
        <v>0</v>
      </c>
      <c r="O210" t="n">
        <v>0</v>
      </c>
      <c r="P210" t="n">
        <v>0</v>
      </c>
      <c r="Q210" t="n">
        <v>0</v>
      </c>
      <c r="R210" s="2" t="inlineStr"/>
    </row>
    <row r="211" ht="15" customHeight="1">
      <c r="A211" t="inlineStr">
        <is>
          <t>A 15377-2022</t>
        </is>
      </c>
      <c r="B211" s="1" t="n">
        <v>44659.57912037037</v>
      </c>
      <c r="C211" s="1" t="n">
        <v>45934</v>
      </c>
      <c r="D211" t="inlineStr">
        <is>
          <t>UPPSALA LÄN</t>
        </is>
      </c>
      <c r="E211" t="inlineStr">
        <is>
          <t>UPPSALA</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13892-2022</t>
        </is>
      </c>
      <c r="B212" s="1" t="n">
        <v>44649</v>
      </c>
      <c r="C212" s="1" t="n">
        <v>45934</v>
      </c>
      <c r="D212" t="inlineStr">
        <is>
          <t>UPPSALA LÄN</t>
        </is>
      </c>
      <c r="E212" t="inlineStr">
        <is>
          <t>UPPSALA</t>
        </is>
      </c>
      <c r="G212" t="n">
        <v>3.3</v>
      </c>
      <c r="H212" t="n">
        <v>0</v>
      </c>
      <c r="I212" t="n">
        <v>0</v>
      </c>
      <c r="J212" t="n">
        <v>0</v>
      </c>
      <c r="K212" t="n">
        <v>0</v>
      </c>
      <c r="L212" t="n">
        <v>0</v>
      </c>
      <c r="M212" t="n">
        <v>0</v>
      </c>
      <c r="N212" t="n">
        <v>0</v>
      </c>
      <c r="O212" t="n">
        <v>0</v>
      </c>
      <c r="P212" t="n">
        <v>0</v>
      </c>
      <c r="Q212" t="n">
        <v>0</v>
      </c>
      <c r="R212" s="2" t="inlineStr"/>
    </row>
    <row r="213" ht="15" customHeight="1">
      <c r="A213" t="inlineStr">
        <is>
          <t>A 34061-2022</t>
        </is>
      </c>
      <c r="B213" s="1" t="n">
        <v>44791.38336805555</v>
      </c>
      <c r="C213" s="1" t="n">
        <v>45934</v>
      </c>
      <c r="D213" t="inlineStr">
        <is>
          <t>UPPSALA LÄN</t>
        </is>
      </c>
      <c r="E213" t="inlineStr">
        <is>
          <t>UPPSALA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45934</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45934</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45934</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46293-2022</t>
        </is>
      </c>
      <c r="B217" s="1" t="n">
        <v>44847</v>
      </c>
      <c r="C217" s="1" t="n">
        <v>45934</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45934</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10464-2022</t>
        </is>
      </c>
      <c r="B219" s="1" t="n">
        <v>44623</v>
      </c>
      <c r="C219" s="1" t="n">
        <v>45934</v>
      </c>
      <c r="D219" t="inlineStr">
        <is>
          <t>UPPSALA LÄN</t>
        </is>
      </c>
      <c r="E219" t="inlineStr">
        <is>
          <t>UPPSALA</t>
        </is>
      </c>
      <c r="F219" t="inlineStr">
        <is>
          <t>Övriga Aktiebolag</t>
        </is>
      </c>
      <c r="G219" t="n">
        <v>0.7</v>
      </c>
      <c r="H219" t="n">
        <v>0</v>
      </c>
      <c r="I219" t="n">
        <v>0</v>
      </c>
      <c r="J219" t="n">
        <v>0</v>
      </c>
      <c r="K219" t="n">
        <v>0</v>
      </c>
      <c r="L219" t="n">
        <v>0</v>
      </c>
      <c r="M219" t="n">
        <v>0</v>
      </c>
      <c r="N219" t="n">
        <v>0</v>
      </c>
      <c r="O219" t="n">
        <v>0</v>
      </c>
      <c r="P219" t="n">
        <v>0</v>
      </c>
      <c r="Q219" t="n">
        <v>0</v>
      </c>
      <c r="R219" s="2" t="inlineStr"/>
    </row>
    <row r="220" ht="15" customHeight="1">
      <c r="A220" t="inlineStr">
        <is>
          <t>A 30580-2022</t>
        </is>
      </c>
      <c r="B220" s="1" t="n">
        <v>44762</v>
      </c>
      <c r="C220" s="1" t="n">
        <v>45934</v>
      </c>
      <c r="D220" t="inlineStr">
        <is>
          <t>UPPSALA LÄN</t>
        </is>
      </c>
      <c r="E220" t="inlineStr">
        <is>
          <t>UPPSALA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35411-2022</t>
        </is>
      </c>
      <c r="B221" s="1" t="n">
        <v>44798</v>
      </c>
      <c r="C221" s="1" t="n">
        <v>45934</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58058-2020</t>
        </is>
      </c>
      <c r="B222" s="1" t="n">
        <v>44144</v>
      </c>
      <c r="C222" s="1" t="n">
        <v>45934</v>
      </c>
      <c r="D222" t="inlineStr">
        <is>
          <t>UPPSALA LÄN</t>
        </is>
      </c>
      <c r="E222" t="inlineStr">
        <is>
          <t>UPPSALA</t>
        </is>
      </c>
      <c r="G222" t="n">
        <v>4.4</v>
      </c>
      <c r="H222" t="n">
        <v>0</v>
      </c>
      <c r="I222" t="n">
        <v>0</v>
      </c>
      <c r="J222" t="n">
        <v>0</v>
      </c>
      <c r="K222" t="n">
        <v>0</v>
      </c>
      <c r="L222" t="n">
        <v>0</v>
      </c>
      <c r="M222" t="n">
        <v>0</v>
      </c>
      <c r="N222" t="n">
        <v>0</v>
      </c>
      <c r="O222" t="n">
        <v>0</v>
      </c>
      <c r="P222" t="n">
        <v>0</v>
      </c>
      <c r="Q222" t="n">
        <v>0</v>
      </c>
      <c r="R222" s="2" t="inlineStr"/>
    </row>
    <row r="223" ht="15" customHeight="1">
      <c r="A223" t="inlineStr">
        <is>
          <t>A 15310-2022</t>
        </is>
      </c>
      <c r="B223" s="1" t="n">
        <v>44659</v>
      </c>
      <c r="C223" s="1" t="n">
        <v>45934</v>
      </c>
      <c r="D223" t="inlineStr">
        <is>
          <t>UPPSALA LÄN</t>
        </is>
      </c>
      <c r="E223" t="inlineStr">
        <is>
          <t>UPPSALA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29277-2022</t>
        </is>
      </c>
      <c r="B224" s="1" t="n">
        <v>44750.678125</v>
      </c>
      <c r="C224" s="1" t="n">
        <v>45934</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5006-2022</t>
        </is>
      </c>
      <c r="B225" s="1" t="n">
        <v>44593</v>
      </c>
      <c r="C225" s="1" t="n">
        <v>45934</v>
      </c>
      <c r="D225" t="inlineStr">
        <is>
          <t>UPPSALA LÄN</t>
        </is>
      </c>
      <c r="E225" t="inlineStr">
        <is>
          <t>UPPSALA</t>
        </is>
      </c>
      <c r="F225" t="inlineStr">
        <is>
          <t>BillerudKorsnäs AB</t>
        </is>
      </c>
      <c r="G225" t="n">
        <v>1.4</v>
      </c>
      <c r="H225" t="n">
        <v>0</v>
      </c>
      <c r="I225" t="n">
        <v>0</v>
      </c>
      <c r="J225" t="n">
        <v>0</v>
      </c>
      <c r="K225" t="n">
        <v>0</v>
      </c>
      <c r="L225" t="n">
        <v>0</v>
      </c>
      <c r="M225" t="n">
        <v>0</v>
      </c>
      <c r="N225" t="n">
        <v>0</v>
      </c>
      <c r="O225" t="n">
        <v>0</v>
      </c>
      <c r="P225" t="n">
        <v>0</v>
      </c>
      <c r="Q225" t="n">
        <v>0</v>
      </c>
      <c r="R225" s="2" t="inlineStr"/>
    </row>
    <row r="226" ht="15" customHeight="1">
      <c r="A226" t="inlineStr">
        <is>
          <t>A 5007-2022</t>
        </is>
      </c>
      <c r="B226" s="1" t="n">
        <v>44593.61355324074</v>
      </c>
      <c r="C226" s="1" t="n">
        <v>45934</v>
      </c>
      <c r="D226" t="inlineStr">
        <is>
          <t>UPPSALA LÄN</t>
        </is>
      </c>
      <c r="E226" t="inlineStr">
        <is>
          <t>UPPSALA</t>
        </is>
      </c>
      <c r="F226" t="inlineStr">
        <is>
          <t>BillerudKorsnäs AB</t>
        </is>
      </c>
      <c r="G226" t="n">
        <v>3.6</v>
      </c>
      <c r="H226" t="n">
        <v>0</v>
      </c>
      <c r="I226" t="n">
        <v>0</v>
      </c>
      <c r="J226" t="n">
        <v>0</v>
      </c>
      <c r="K226" t="n">
        <v>0</v>
      </c>
      <c r="L226" t="n">
        <v>0</v>
      </c>
      <c r="M226" t="n">
        <v>0</v>
      </c>
      <c r="N226" t="n">
        <v>0</v>
      </c>
      <c r="O226" t="n">
        <v>0</v>
      </c>
      <c r="P226" t="n">
        <v>0</v>
      </c>
      <c r="Q226" t="n">
        <v>0</v>
      </c>
      <c r="R226" s="2" t="inlineStr"/>
    </row>
    <row r="227" ht="15" customHeight="1">
      <c r="A227" t="inlineStr">
        <is>
          <t>A 9201-2024</t>
        </is>
      </c>
      <c r="B227" s="1" t="n">
        <v>45358</v>
      </c>
      <c r="C227" s="1" t="n">
        <v>45934</v>
      </c>
      <c r="D227" t="inlineStr">
        <is>
          <t>UPPSALA LÄN</t>
        </is>
      </c>
      <c r="E227" t="inlineStr">
        <is>
          <t>UPPSALA</t>
        </is>
      </c>
      <c r="F227" t="inlineStr">
        <is>
          <t>Allmännings- och besparingsskogar</t>
        </is>
      </c>
      <c r="G227" t="n">
        <v>6.5</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45934</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45934</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14022-2021</t>
        </is>
      </c>
      <c r="B230" s="1" t="n">
        <v>44277.65263888889</v>
      </c>
      <c r="C230" s="1" t="n">
        <v>45934</v>
      </c>
      <c r="D230" t="inlineStr">
        <is>
          <t>UPPSALA LÄN</t>
        </is>
      </c>
      <c r="E230" t="inlineStr">
        <is>
          <t>UPPSALA</t>
        </is>
      </c>
      <c r="G230" t="n">
        <v>11.1</v>
      </c>
      <c r="H230" t="n">
        <v>0</v>
      </c>
      <c r="I230" t="n">
        <v>0</v>
      </c>
      <c r="J230" t="n">
        <v>0</v>
      </c>
      <c r="K230" t="n">
        <v>0</v>
      </c>
      <c r="L230" t="n">
        <v>0</v>
      </c>
      <c r="M230" t="n">
        <v>0</v>
      </c>
      <c r="N230" t="n">
        <v>0</v>
      </c>
      <c r="O230" t="n">
        <v>0</v>
      </c>
      <c r="P230" t="n">
        <v>0</v>
      </c>
      <c r="Q230" t="n">
        <v>0</v>
      </c>
      <c r="R230" s="2" t="inlineStr"/>
    </row>
    <row r="231" ht="15" customHeight="1">
      <c r="A231" t="inlineStr">
        <is>
          <t>A 2980-2025</t>
        </is>
      </c>
      <c r="B231" s="1" t="n">
        <v>45678</v>
      </c>
      <c r="C231" s="1" t="n">
        <v>45934</v>
      </c>
      <c r="D231" t="inlineStr">
        <is>
          <t>UPPSALA LÄN</t>
        </is>
      </c>
      <c r="E231" t="inlineStr">
        <is>
          <t>UPPSALA</t>
        </is>
      </c>
      <c r="G231" t="n">
        <v>5</v>
      </c>
      <c r="H231" t="n">
        <v>0</v>
      </c>
      <c r="I231" t="n">
        <v>0</v>
      </c>
      <c r="J231" t="n">
        <v>0</v>
      </c>
      <c r="K231" t="n">
        <v>0</v>
      </c>
      <c r="L231" t="n">
        <v>0</v>
      </c>
      <c r="M231" t="n">
        <v>0</v>
      </c>
      <c r="N231" t="n">
        <v>0</v>
      </c>
      <c r="O231" t="n">
        <v>0</v>
      </c>
      <c r="P231" t="n">
        <v>0</v>
      </c>
      <c r="Q231" t="n">
        <v>0</v>
      </c>
      <c r="R231" s="2" t="inlineStr"/>
    </row>
    <row r="232" ht="15" customHeight="1">
      <c r="A232" t="inlineStr">
        <is>
          <t>A 56679-2022</t>
        </is>
      </c>
      <c r="B232" s="1" t="n">
        <v>44893</v>
      </c>
      <c r="C232" s="1" t="n">
        <v>45934</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8494-2021</t>
        </is>
      </c>
      <c r="B233" s="1" t="n">
        <v>44245</v>
      </c>
      <c r="C233" s="1" t="n">
        <v>45934</v>
      </c>
      <c r="D233" t="inlineStr">
        <is>
          <t>UPPSALA LÄN</t>
        </is>
      </c>
      <c r="E233" t="inlineStr">
        <is>
          <t>UPPSALA</t>
        </is>
      </c>
      <c r="G233" t="n">
        <v>1.3</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45934</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45-2024</t>
        </is>
      </c>
      <c r="B235" s="1" t="n">
        <v>45293</v>
      </c>
      <c r="C235" s="1" t="n">
        <v>45934</v>
      </c>
      <c r="D235" t="inlineStr">
        <is>
          <t>UPPSALA LÄN</t>
        </is>
      </c>
      <c r="E235" t="inlineStr">
        <is>
          <t>UPPSALA</t>
        </is>
      </c>
      <c r="G235" t="n">
        <v>12.5</v>
      </c>
      <c r="H235" t="n">
        <v>0</v>
      </c>
      <c r="I235" t="n">
        <v>0</v>
      </c>
      <c r="J235" t="n">
        <v>0</v>
      </c>
      <c r="K235" t="n">
        <v>0</v>
      </c>
      <c r="L235" t="n">
        <v>0</v>
      </c>
      <c r="M235" t="n">
        <v>0</v>
      </c>
      <c r="N235" t="n">
        <v>0</v>
      </c>
      <c r="O235" t="n">
        <v>0</v>
      </c>
      <c r="P235" t="n">
        <v>0</v>
      </c>
      <c r="Q235" t="n">
        <v>0</v>
      </c>
      <c r="R235" s="2" t="inlineStr"/>
    </row>
    <row r="236" ht="15" customHeight="1">
      <c r="A236" t="inlineStr">
        <is>
          <t>A 25745-2022</t>
        </is>
      </c>
      <c r="B236" s="1" t="n">
        <v>44733.43420138889</v>
      </c>
      <c r="C236" s="1" t="n">
        <v>45934</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22021-2022</t>
        </is>
      </c>
      <c r="B237" s="1" t="n">
        <v>44711</v>
      </c>
      <c r="C237" s="1" t="n">
        <v>45934</v>
      </c>
      <c r="D237" t="inlineStr">
        <is>
          <t>UPPSALA LÄN</t>
        </is>
      </c>
      <c r="E237" t="inlineStr">
        <is>
          <t>UPPSALA</t>
        </is>
      </c>
      <c r="F237" t="inlineStr">
        <is>
          <t>Allmännings- och besparingsskogar</t>
        </is>
      </c>
      <c r="G237" t="n">
        <v>2.1</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45934</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27763-2022</t>
        </is>
      </c>
      <c r="B239" s="1" t="n">
        <v>44743</v>
      </c>
      <c r="C239" s="1" t="n">
        <v>45934</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51396-2021</t>
        </is>
      </c>
      <c r="B240" s="1" t="n">
        <v>44461.73350694445</v>
      </c>
      <c r="C240" s="1" t="n">
        <v>45934</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35539-2022</t>
        </is>
      </c>
      <c r="B241" s="1" t="n">
        <v>44799.36359953704</v>
      </c>
      <c r="C241" s="1" t="n">
        <v>45934</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51935-2023</t>
        </is>
      </c>
      <c r="B242" s="1" t="n">
        <v>45223</v>
      </c>
      <c r="C242" s="1" t="n">
        <v>45934</v>
      </c>
      <c r="D242" t="inlineStr">
        <is>
          <t>UPPSALA LÄN</t>
        </is>
      </c>
      <c r="E242" t="inlineStr">
        <is>
          <t>UPPSALA</t>
        </is>
      </c>
      <c r="G242" t="n">
        <v>4.8</v>
      </c>
      <c r="H242" t="n">
        <v>0</v>
      </c>
      <c r="I242" t="n">
        <v>0</v>
      </c>
      <c r="J242" t="n">
        <v>0</v>
      </c>
      <c r="K242" t="n">
        <v>0</v>
      </c>
      <c r="L242" t="n">
        <v>0</v>
      </c>
      <c r="M242" t="n">
        <v>0</v>
      </c>
      <c r="N242" t="n">
        <v>0</v>
      </c>
      <c r="O242" t="n">
        <v>0</v>
      </c>
      <c r="P242" t="n">
        <v>0</v>
      </c>
      <c r="Q242" t="n">
        <v>0</v>
      </c>
      <c r="R242" s="2" t="inlineStr"/>
    </row>
    <row r="243" ht="15" customHeight="1">
      <c r="A243" t="inlineStr">
        <is>
          <t>A 3259-2022</t>
        </is>
      </c>
      <c r="B243" s="1" t="n">
        <v>44583.61555555555</v>
      </c>
      <c r="C243" s="1" t="n">
        <v>45934</v>
      </c>
      <c r="D243" t="inlineStr">
        <is>
          <t>UPPSALA LÄN</t>
        </is>
      </c>
      <c r="E243" t="inlineStr">
        <is>
          <t>UPPSALA</t>
        </is>
      </c>
      <c r="F243" t="inlineStr">
        <is>
          <t>Holmen skog AB</t>
        </is>
      </c>
      <c r="G243" t="n">
        <v>2.4</v>
      </c>
      <c r="H243" t="n">
        <v>0</v>
      </c>
      <c r="I243" t="n">
        <v>0</v>
      </c>
      <c r="J243" t="n">
        <v>0</v>
      </c>
      <c r="K243" t="n">
        <v>0</v>
      </c>
      <c r="L243" t="n">
        <v>0</v>
      </c>
      <c r="M243" t="n">
        <v>0</v>
      </c>
      <c r="N243" t="n">
        <v>0</v>
      </c>
      <c r="O243" t="n">
        <v>0</v>
      </c>
      <c r="P243" t="n">
        <v>0</v>
      </c>
      <c r="Q243" t="n">
        <v>0</v>
      </c>
      <c r="R243" s="2" t="inlineStr"/>
    </row>
    <row r="244" ht="15" customHeight="1">
      <c r="A244" t="inlineStr">
        <is>
          <t>A 2017-2022</t>
        </is>
      </c>
      <c r="B244" s="1" t="n">
        <v>44575</v>
      </c>
      <c r="C244" s="1" t="n">
        <v>45934</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5081-2022</t>
        </is>
      </c>
      <c r="B245" s="1" t="n">
        <v>44593</v>
      </c>
      <c r="C245" s="1" t="n">
        <v>45934</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1936-2022</t>
        </is>
      </c>
      <c r="B246" s="1" t="n">
        <v>44575.4366087963</v>
      </c>
      <c r="C246" s="1" t="n">
        <v>45934</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6059-2025</t>
        </is>
      </c>
      <c r="B247" s="1" t="n">
        <v>45695.8391550926</v>
      </c>
      <c r="C247" s="1" t="n">
        <v>45934</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65659-2021</t>
        </is>
      </c>
      <c r="B248" s="1" t="n">
        <v>44516</v>
      </c>
      <c r="C248" s="1" t="n">
        <v>45934</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22946-2021</t>
        </is>
      </c>
      <c r="B249" s="1" t="n">
        <v>44328.57100694445</v>
      </c>
      <c r="C249" s="1" t="n">
        <v>45934</v>
      </c>
      <c r="D249" t="inlineStr">
        <is>
          <t>UPPSALA LÄN</t>
        </is>
      </c>
      <c r="E249" t="inlineStr">
        <is>
          <t>UPPSALA</t>
        </is>
      </c>
      <c r="G249" t="n">
        <v>2.3</v>
      </c>
      <c r="H249" t="n">
        <v>0</v>
      </c>
      <c r="I249" t="n">
        <v>0</v>
      </c>
      <c r="J249" t="n">
        <v>0</v>
      </c>
      <c r="K249" t="n">
        <v>0</v>
      </c>
      <c r="L249" t="n">
        <v>0</v>
      </c>
      <c r="M249" t="n">
        <v>0</v>
      </c>
      <c r="N249" t="n">
        <v>0</v>
      </c>
      <c r="O249" t="n">
        <v>0</v>
      </c>
      <c r="P249" t="n">
        <v>0</v>
      </c>
      <c r="Q249" t="n">
        <v>0</v>
      </c>
      <c r="R249" s="2" t="inlineStr"/>
    </row>
    <row r="250" ht="15" customHeight="1">
      <c r="A250" t="inlineStr">
        <is>
          <t>A 784-2024</t>
        </is>
      </c>
      <c r="B250" s="1" t="n">
        <v>45300.55680555556</v>
      </c>
      <c r="C250" s="1" t="n">
        <v>45934</v>
      </c>
      <c r="D250" t="inlineStr">
        <is>
          <t>UPPSALA LÄN</t>
        </is>
      </c>
      <c r="E250" t="inlineStr">
        <is>
          <t>UPPSALA</t>
        </is>
      </c>
      <c r="G250" t="n">
        <v>6.6</v>
      </c>
      <c r="H250" t="n">
        <v>0</v>
      </c>
      <c r="I250" t="n">
        <v>0</v>
      </c>
      <c r="J250" t="n">
        <v>0</v>
      </c>
      <c r="K250" t="n">
        <v>0</v>
      </c>
      <c r="L250" t="n">
        <v>0</v>
      </c>
      <c r="M250" t="n">
        <v>0</v>
      </c>
      <c r="N250" t="n">
        <v>0</v>
      </c>
      <c r="O250" t="n">
        <v>0</v>
      </c>
      <c r="P250" t="n">
        <v>0</v>
      </c>
      <c r="Q250" t="n">
        <v>0</v>
      </c>
      <c r="R250" s="2" t="inlineStr"/>
    </row>
    <row r="251" ht="15" customHeight="1">
      <c r="A251" t="inlineStr">
        <is>
          <t>A 61271-2020</t>
        </is>
      </c>
      <c r="B251" s="1" t="n">
        <v>44155</v>
      </c>
      <c r="C251" s="1" t="n">
        <v>45934</v>
      </c>
      <c r="D251" t="inlineStr">
        <is>
          <t>UPPSALA LÄN</t>
        </is>
      </c>
      <c r="E251" t="inlineStr">
        <is>
          <t>UPPSALA</t>
        </is>
      </c>
      <c r="G251" t="n">
        <v>3.5</v>
      </c>
      <c r="H251" t="n">
        <v>0</v>
      </c>
      <c r="I251" t="n">
        <v>0</v>
      </c>
      <c r="J251" t="n">
        <v>0</v>
      </c>
      <c r="K251" t="n">
        <v>0</v>
      </c>
      <c r="L251" t="n">
        <v>0</v>
      </c>
      <c r="M251" t="n">
        <v>0</v>
      </c>
      <c r="N251" t="n">
        <v>0</v>
      </c>
      <c r="O251" t="n">
        <v>0</v>
      </c>
      <c r="P251" t="n">
        <v>0</v>
      </c>
      <c r="Q251" t="n">
        <v>0</v>
      </c>
      <c r="R251" s="2" t="inlineStr"/>
    </row>
    <row r="252" ht="15" customHeight="1">
      <c r="A252" t="inlineStr">
        <is>
          <t>A 49931-2020</t>
        </is>
      </c>
      <c r="B252" s="1" t="n">
        <v>44109</v>
      </c>
      <c r="C252" s="1" t="n">
        <v>45934</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26323-2023</t>
        </is>
      </c>
      <c r="B253" s="1" t="n">
        <v>45091.69766203704</v>
      </c>
      <c r="C253" s="1" t="n">
        <v>45934</v>
      </c>
      <c r="D253" t="inlineStr">
        <is>
          <t>UPPSALA LÄN</t>
        </is>
      </c>
      <c r="E253" t="inlineStr">
        <is>
          <t>UPPSALA</t>
        </is>
      </c>
      <c r="G253" t="n">
        <v>3.1</v>
      </c>
      <c r="H253" t="n">
        <v>0</v>
      </c>
      <c r="I253" t="n">
        <v>0</v>
      </c>
      <c r="J253" t="n">
        <v>0</v>
      </c>
      <c r="K253" t="n">
        <v>0</v>
      </c>
      <c r="L253" t="n">
        <v>0</v>
      </c>
      <c r="M253" t="n">
        <v>0</v>
      </c>
      <c r="N253" t="n">
        <v>0</v>
      </c>
      <c r="O253" t="n">
        <v>0</v>
      </c>
      <c r="P253" t="n">
        <v>0</v>
      </c>
      <c r="Q253" t="n">
        <v>0</v>
      </c>
      <c r="R253" s="2" t="inlineStr"/>
    </row>
    <row r="254" ht="15" customHeight="1">
      <c r="A254" t="inlineStr">
        <is>
          <t>A 2927-2022</t>
        </is>
      </c>
      <c r="B254" s="1" t="n">
        <v>44581.60254629629</v>
      </c>
      <c r="C254" s="1" t="n">
        <v>45934</v>
      </c>
      <c r="D254" t="inlineStr">
        <is>
          <t>UPPSALA LÄN</t>
        </is>
      </c>
      <c r="E254" t="inlineStr">
        <is>
          <t>UPPSALA</t>
        </is>
      </c>
      <c r="F254" t="inlineStr">
        <is>
          <t>Holmen skog AB</t>
        </is>
      </c>
      <c r="G254" t="n">
        <v>1.3</v>
      </c>
      <c r="H254" t="n">
        <v>0</v>
      </c>
      <c r="I254" t="n">
        <v>0</v>
      </c>
      <c r="J254" t="n">
        <v>0</v>
      </c>
      <c r="K254" t="n">
        <v>0</v>
      </c>
      <c r="L254" t="n">
        <v>0</v>
      </c>
      <c r="M254" t="n">
        <v>0</v>
      </c>
      <c r="N254" t="n">
        <v>0</v>
      </c>
      <c r="O254" t="n">
        <v>0</v>
      </c>
      <c r="P254" t="n">
        <v>0</v>
      </c>
      <c r="Q254" t="n">
        <v>0</v>
      </c>
      <c r="R254" s="2" t="inlineStr"/>
    </row>
    <row r="255" ht="15" customHeight="1">
      <c r="A255" t="inlineStr">
        <is>
          <t>A 31646-2021</t>
        </is>
      </c>
      <c r="B255" s="1" t="n">
        <v>44369</v>
      </c>
      <c r="C255" s="1" t="n">
        <v>45934</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5989-2022</t>
        </is>
      </c>
      <c r="B256" s="1" t="n">
        <v>44599.42277777778</v>
      </c>
      <c r="C256" s="1" t="n">
        <v>45934</v>
      </c>
      <c r="D256" t="inlineStr">
        <is>
          <t>UPPSALA LÄN</t>
        </is>
      </c>
      <c r="E256" t="inlineStr">
        <is>
          <t>UPPSALA</t>
        </is>
      </c>
      <c r="G256" t="n">
        <v>2.8</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45934</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27903-2023</t>
        </is>
      </c>
      <c r="B258" s="1" t="n">
        <v>45098.62966435185</v>
      </c>
      <c r="C258" s="1" t="n">
        <v>45934</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17250-2025</t>
        </is>
      </c>
      <c r="B259" s="1" t="n">
        <v>45756.50738425926</v>
      </c>
      <c r="C259" s="1" t="n">
        <v>45934</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41002-2023</t>
        </is>
      </c>
      <c r="B260" s="1" t="n">
        <v>45173</v>
      </c>
      <c r="C260" s="1" t="n">
        <v>45934</v>
      </c>
      <c r="D260" t="inlineStr">
        <is>
          <t>UPPSALA LÄN</t>
        </is>
      </c>
      <c r="E260" t="inlineStr">
        <is>
          <t>UPPSALA</t>
        </is>
      </c>
      <c r="G260" t="n">
        <v>6.2</v>
      </c>
      <c r="H260" t="n">
        <v>0</v>
      </c>
      <c r="I260" t="n">
        <v>0</v>
      </c>
      <c r="J260" t="n">
        <v>0</v>
      </c>
      <c r="K260" t="n">
        <v>0</v>
      </c>
      <c r="L260" t="n">
        <v>0</v>
      </c>
      <c r="M260" t="n">
        <v>0</v>
      </c>
      <c r="N260" t="n">
        <v>0</v>
      </c>
      <c r="O260" t="n">
        <v>0</v>
      </c>
      <c r="P260" t="n">
        <v>0</v>
      </c>
      <c r="Q260" t="n">
        <v>0</v>
      </c>
      <c r="R260" s="2" t="inlineStr"/>
    </row>
    <row r="261" ht="15" customHeight="1">
      <c r="A261" t="inlineStr">
        <is>
          <t>A 14784-2023</t>
        </is>
      </c>
      <c r="B261" s="1" t="n">
        <v>45014</v>
      </c>
      <c r="C261" s="1" t="n">
        <v>45934</v>
      </c>
      <c r="D261" t="inlineStr">
        <is>
          <t>UPPSALA LÄN</t>
        </is>
      </c>
      <c r="E261" t="inlineStr">
        <is>
          <t>UPPSALA</t>
        </is>
      </c>
      <c r="G261" t="n">
        <v>4.7</v>
      </c>
      <c r="H261" t="n">
        <v>0</v>
      </c>
      <c r="I261" t="n">
        <v>0</v>
      </c>
      <c r="J261" t="n">
        <v>0</v>
      </c>
      <c r="K261" t="n">
        <v>0</v>
      </c>
      <c r="L261" t="n">
        <v>0</v>
      </c>
      <c r="M261" t="n">
        <v>0</v>
      </c>
      <c r="N261" t="n">
        <v>0</v>
      </c>
      <c r="O261" t="n">
        <v>0</v>
      </c>
      <c r="P261" t="n">
        <v>0</v>
      </c>
      <c r="Q261" t="n">
        <v>0</v>
      </c>
      <c r="R261" s="2" t="inlineStr"/>
    </row>
    <row r="262" ht="15" customHeight="1">
      <c r="A262" t="inlineStr">
        <is>
          <t>A 41422-2023</t>
        </is>
      </c>
      <c r="B262" s="1" t="n">
        <v>45175</v>
      </c>
      <c r="C262" s="1" t="n">
        <v>45934</v>
      </c>
      <c r="D262" t="inlineStr">
        <is>
          <t>UPPSALA LÄN</t>
        </is>
      </c>
      <c r="E262" t="inlineStr">
        <is>
          <t>UPPSALA</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27473-2024</t>
        </is>
      </c>
      <c r="B263" s="1" t="n">
        <v>45474</v>
      </c>
      <c r="C263" s="1" t="n">
        <v>45934</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6997-2023</t>
        </is>
      </c>
      <c r="B264" s="1" t="n">
        <v>44967.78984953704</v>
      </c>
      <c r="C264" s="1" t="n">
        <v>45934</v>
      </c>
      <c r="D264" t="inlineStr">
        <is>
          <t>UPPSALA LÄN</t>
        </is>
      </c>
      <c r="E264" t="inlineStr">
        <is>
          <t>UPPSALA</t>
        </is>
      </c>
      <c r="G264" t="n">
        <v>3.9</v>
      </c>
      <c r="H264" t="n">
        <v>0</v>
      </c>
      <c r="I264" t="n">
        <v>0</v>
      </c>
      <c r="J264" t="n">
        <v>0</v>
      </c>
      <c r="K264" t="n">
        <v>0</v>
      </c>
      <c r="L264" t="n">
        <v>0</v>
      </c>
      <c r="M264" t="n">
        <v>0</v>
      </c>
      <c r="N264" t="n">
        <v>0</v>
      </c>
      <c r="O264" t="n">
        <v>0</v>
      </c>
      <c r="P264" t="n">
        <v>0</v>
      </c>
      <c r="Q264" t="n">
        <v>0</v>
      </c>
      <c r="R264" s="2" t="inlineStr"/>
    </row>
    <row r="265" ht="15" customHeight="1">
      <c r="A265" t="inlineStr">
        <is>
          <t>A 20980-2022</t>
        </is>
      </c>
      <c r="B265" s="1" t="n">
        <v>44702.70721064815</v>
      </c>
      <c r="C265" s="1" t="n">
        <v>45934</v>
      </c>
      <c r="D265" t="inlineStr">
        <is>
          <t>UPPSALA LÄN</t>
        </is>
      </c>
      <c r="E265" t="inlineStr">
        <is>
          <t>UPPSALA</t>
        </is>
      </c>
      <c r="G265" t="n">
        <v>0.8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45934</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45934</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45934</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46097-2021</t>
        </is>
      </c>
      <c r="B269" s="1" t="n">
        <v>44442.35195601852</v>
      </c>
      <c r="C269" s="1" t="n">
        <v>45934</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46099-2021</t>
        </is>
      </c>
      <c r="B270" s="1" t="n">
        <v>44442</v>
      </c>
      <c r="C270" s="1" t="n">
        <v>45934</v>
      </c>
      <c r="D270" t="inlineStr">
        <is>
          <t>UPPSALA LÄN</t>
        </is>
      </c>
      <c r="E270" t="inlineStr">
        <is>
          <t>UPPSALA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45934</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45662-2023</t>
        </is>
      </c>
      <c r="B272" s="1" t="n">
        <v>45194</v>
      </c>
      <c r="C272" s="1" t="n">
        <v>45934</v>
      </c>
      <c r="D272" t="inlineStr">
        <is>
          <t>UPPSALA LÄN</t>
        </is>
      </c>
      <c r="E272" t="inlineStr">
        <is>
          <t>UPPSALA</t>
        </is>
      </c>
      <c r="F272" t="inlineStr">
        <is>
          <t>Bergvik skog öst AB</t>
        </is>
      </c>
      <c r="G272" t="n">
        <v>2.8</v>
      </c>
      <c r="H272" t="n">
        <v>0</v>
      </c>
      <c r="I272" t="n">
        <v>0</v>
      </c>
      <c r="J272" t="n">
        <v>0</v>
      </c>
      <c r="K272" t="n">
        <v>0</v>
      </c>
      <c r="L272" t="n">
        <v>0</v>
      </c>
      <c r="M272" t="n">
        <v>0</v>
      </c>
      <c r="N272" t="n">
        <v>0</v>
      </c>
      <c r="O272" t="n">
        <v>0</v>
      </c>
      <c r="P272" t="n">
        <v>0</v>
      </c>
      <c r="Q272" t="n">
        <v>0</v>
      </c>
      <c r="R272" s="2" t="inlineStr"/>
    </row>
    <row r="273" ht="15" customHeight="1">
      <c r="A273" t="inlineStr">
        <is>
          <t>A 45489-2023</t>
        </is>
      </c>
      <c r="B273" s="1" t="n">
        <v>45194</v>
      </c>
      <c r="C273" s="1" t="n">
        <v>45934</v>
      </c>
      <c r="D273" t="inlineStr">
        <is>
          <t>UPPSALA LÄN</t>
        </is>
      </c>
      <c r="E273" t="inlineStr">
        <is>
          <t>UPPSALA</t>
        </is>
      </c>
      <c r="F273" t="inlineStr">
        <is>
          <t>Allmännings- och besparingsskogar</t>
        </is>
      </c>
      <c r="G273" t="n">
        <v>15.8</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45934</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53906-2023</t>
        </is>
      </c>
      <c r="B275" s="1" t="n">
        <v>45231</v>
      </c>
      <c r="C275" s="1" t="n">
        <v>45934</v>
      </c>
      <c r="D275" t="inlineStr">
        <is>
          <t>UPPSALA LÄN</t>
        </is>
      </c>
      <c r="E275" t="inlineStr">
        <is>
          <t>UPPSALA</t>
        </is>
      </c>
      <c r="G275" t="n">
        <v>13.2</v>
      </c>
      <c r="H275" t="n">
        <v>0</v>
      </c>
      <c r="I275" t="n">
        <v>0</v>
      </c>
      <c r="J275" t="n">
        <v>0</v>
      </c>
      <c r="K275" t="n">
        <v>0</v>
      </c>
      <c r="L275" t="n">
        <v>0</v>
      </c>
      <c r="M275" t="n">
        <v>0</v>
      </c>
      <c r="N275" t="n">
        <v>0</v>
      </c>
      <c r="O275" t="n">
        <v>0</v>
      </c>
      <c r="P275" t="n">
        <v>0</v>
      </c>
      <c r="Q275" t="n">
        <v>0</v>
      </c>
      <c r="R275" s="2" t="inlineStr"/>
    </row>
    <row r="276" ht="15" customHeight="1">
      <c r="A276" t="inlineStr">
        <is>
          <t>A 39865-2022</t>
        </is>
      </c>
      <c r="B276" s="1" t="n">
        <v>44819.62</v>
      </c>
      <c r="C276" s="1" t="n">
        <v>45934</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55073-2022</t>
        </is>
      </c>
      <c r="B277" s="1" t="n">
        <v>44886.5928125</v>
      </c>
      <c r="C277" s="1" t="n">
        <v>45934</v>
      </c>
      <c r="D277" t="inlineStr">
        <is>
          <t>UPPSALA LÄN</t>
        </is>
      </c>
      <c r="E277" t="inlineStr">
        <is>
          <t>UPPSALA</t>
        </is>
      </c>
      <c r="G277" t="n">
        <v>1</v>
      </c>
      <c r="H277" t="n">
        <v>0</v>
      </c>
      <c r="I277" t="n">
        <v>0</v>
      </c>
      <c r="J277" t="n">
        <v>0</v>
      </c>
      <c r="K277" t="n">
        <v>0</v>
      </c>
      <c r="L277" t="n">
        <v>0</v>
      </c>
      <c r="M277" t="n">
        <v>0</v>
      </c>
      <c r="N277" t="n">
        <v>0</v>
      </c>
      <c r="O277" t="n">
        <v>0</v>
      </c>
      <c r="P277" t="n">
        <v>0</v>
      </c>
      <c r="Q277" t="n">
        <v>0</v>
      </c>
      <c r="R277" s="2" t="inlineStr"/>
    </row>
    <row r="278" ht="15" customHeight="1">
      <c r="A278" t="inlineStr">
        <is>
          <t>A 33816-2024</t>
        </is>
      </c>
      <c r="B278" s="1" t="n">
        <v>45520</v>
      </c>
      <c r="C278" s="1" t="n">
        <v>45934</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5899-2024</t>
        </is>
      </c>
      <c r="B279" s="1" t="n">
        <v>45335</v>
      </c>
      <c r="C279" s="1" t="n">
        <v>45934</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47083-2023</t>
        </is>
      </c>
      <c r="B280" s="1" t="n">
        <v>45201.62318287037</v>
      </c>
      <c r="C280" s="1" t="n">
        <v>45934</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179-2024</t>
        </is>
      </c>
      <c r="B281" s="1" t="n">
        <v>45294.5666550926</v>
      </c>
      <c r="C281" s="1" t="n">
        <v>45934</v>
      </c>
      <c r="D281" t="inlineStr">
        <is>
          <t>UPPSALA LÄN</t>
        </is>
      </c>
      <c r="E281" t="inlineStr">
        <is>
          <t>UPPSALA</t>
        </is>
      </c>
      <c r="F281" t="inlineStr">
        <is>
          <t>Bergvik skog öst AB</t>
        </is>
      </c>
      <c r="G281" t="n">
        <v>12.7</v>
      </c>
      <c r="H281" t="n">
        <v>0</v>
      </c>
      <c r="I281" t="n">
        <v>0</v>
      </c>
      <c r="J281" t="n">
        <v>0</v>
      </c>
      <c r="K281" t="n">
        <v>0</v>
      </c>
      <c r="L281" t="n">
        <v>0</v>
      </c>
      <c r="M281" t="n">
        <v>0</v>
      </c>
      <c r="N281" t="n">
        <v>0</v>
      </c>
      <c r="O281" t="n">
        <v>0</v>
      </c>
      <c r="P281" t="n">
        <v>0</v>
      </c>
      <c r="Q281" t="n">
        <v>0</v>
      </c>
      <c r="R281" s="2" t="inlineStr"/>
    </row>
    <row r="282" ht="15" customHeight="1">
      <c r="A282" t="inlineStr">
        <is>
          <t>A 6679-2024</t>
        </is>
      </c>
      <c r="B282" s="1" t="n">
        <v>45341</v>
      </c>
      <c r="C282" s="1" t="n">
        <v>45934</v>
      </c>
      <c r="D282" t="inlineStr">
        <is>
          <t>UPPSALA LÄN</t>
        </is>
      </c>
      <c r="E282" t="inlineStr">
        <is>
          <t>UPPSALA</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37670-2022</t>
        </is>
      </c>
      <c r="B283" s="1" t="n">
        <v>44810</v>
      </c>
      <c r="C283" s="1" t="n">
        <v>45934</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45934</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45934</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32688-2023</t>
        </is>
      </c>
      <c r="B286" s="1" t="n">
        <v>45121</v>
      </c>
      <c r="C286" s="1" t="n">
        <v>45934</v>
      </c>
      <c r="D286" t="inlineStr">
        <is>
          <t>UPPSALA LÄN</t>
        </is>
      </c>
      <c r="E286" t="inlineStr">
        <is>
          <t>UPPSALA</t>
        </is>
      </c>
      <c r="F286" t="inlineStr">
        <is>
          <t>Holmen skog AB</t>
        </is>
      </c>
      <c r="G286" t="n">
        <v>4.3</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45934</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5729-2025</t>
        </is>
      </c>
      <c r="B288" s="1" t="n">
        <v>45694.49037037037</v>
      </c>
      <c r="C288" s="1" t="n">
        <v>45934</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9235-2025</t>
        </is>
      </c>
      <c r="B289" s="1" t="n">
        <v>45714.55368055555</v>
      </c>
      <c r="C289" s="1" t="n">
        <v>45934</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9984-2025</t>
        </is>
      </c>
      <c r="B290" s="1" t="n">
        <v>45719.42197916667</v>
      </c>
      <c r="C290" s="1" t="n">
        <v>45934</v>
      </c>
      <c r="D290" t="inlineStr">
        <is>
          <t>UPPSALA LÄN</t>
        </is>
      </c>
      <c r="E290" t="inlineStr">
        <is>
          <t>UPPSALA</t>
        </is>
      </c>
      <c r="F290" t="inlineStr">
        <is>
          <t>Kyrkan</t>
        </is>
      </c>
      <c r="G290" t="n">
        <v>2</v>
      </c>
      <c r="H290" t="n">
        <v>0</v>
      </c>
      <c r="I290" t="n">
        <v>0</v>
      </c>
      <c r="J290" t="n">
        <v>0</v>
      </c>
      <c r="K290" t="n">
        <v>0</v>
      </c>
      <c r="L290" t="n">
        <v>0</v>
      </c>
      <c r="M290" t="n">
        <v>0</v>
      </c>
      <c r="N290" t="n">
        <v>0</v>
      </c>
      <c r="O290" t="n">
        <v>0</v>
      </c>
      <c r="P290" t="n">
        <v>0</v>
      </c>
      <c r="Q290" t="n">
        <v>0</v>
      </c>
      <c r="R290" s="2" t="inlineStr"/>
    </row>
    <row r="291" ht="15" customHeight="1">
      <c r="A291" t="inlineStr">
        <is>
          <t>A 9991-2025</t>
        </is>
      </c>
      <c r="B291" s="1" t="n">
        <v>45719.43646990741</v>
      </c>
      <c r="C291" s="1" t="n">
        <v>45934</v>
      </c>
      <c r="D291" t="inlineStr">
        <is>
          <t>UPPSALA LÄN</t>
        </is>
      </c>
      <c r="E291" t="inlineStr">
        <is>
          <t>UPPSALA</t>
        </is>
      </c>
      <c r="F291" t="inlineStr">
        <is>
          <t>Kyrkan</t>
        </is>
      </c>
      <c r="G291" t="n">
        <v>6.1</v>
      </c>
      <c r="H291" t="n">
        <v>0</v>
      </c>
      <c r="I291" t="n">
        <v>0</v>
      </c>
      <c r="J291" t="n">
        <v>0</v>
      </c>
      <c r="K291" t="n">
        <v>0</v>
      </c>
      <c r="L291" t="n">
        <v>0</v>
      </c>
      <c r="M291" t="n">
        <v>0</v>
      </c>
      <c r="N291" t="n">
        <v>0</v>
      </c>
      <c r="O291" t="n">
        <v>0</v>
      </c>
      <c r="P291" t="n">
        <v>0</v>
      </c>
      <c r="Q291" t="n">
        <v>0</v>
      </c>
      <c r="R291" s="2" t="inlineStr"/>
    </row>
    <row r="292" ht="15" customHeight="1">
      <c r="A292" t="inlineStr">
        <is>
          <t>A 44226-2025</t>
        </is>
      </c>
      <c r="B292" s="1" t="n">
        <v>45915.64064814815</v>
      </c>
      <c r="C292" s="1" t="n">
        <v>45934</v>
      </c>
      <c r="D292" t="inlineStr">
        <is>
          <t>UPPSALA LÄN</t>
        </is>
      </c>
      <c r="E292" t="inlineStr">
        <is>
          <t>UPPSALA</t>
        </is>
      </c>
      <c r="F292" t="inlineStr">
        <is>
          <t>Kyrkan</t>
        </is>
      </c>
      <c r="G292" t="n">
        <v>2.5</v>
      </c>
      <c r="H292" t="n">
        <v>0</v>
      </c>
      <c r="I292" t="n">
        <v>0</v>
      </c>
      <c r="J292" t="n">
        <v>0</v>
      </c>
      <c r="K292" t="n">
        <v>0</v>
      </c>
      <c r="L292" t="n">
        <v>0</v>
      </c>
      <c r="M292" t="n">
        <v>0</v>
      </c>
      <c r="N292" t="n">
        <v>0</v>
      </c>
      <c r="O292" t="n">
        <v>0</v>
      </c>
      <c r="P292" t="n">
        <v>0</v>
      </c>
      <c r="Q292" t="n">
        <v>0</v>
      </c>
      <c r="R292" s="2" t="inlineStr"/>
    </row>
    <row r="293" ht="15" customHeight="1">
      <c r="A293" t="inlineStr">
        <is>
          <t>A 53266-2024</t>
        </is>
      </c>
      <c r="B293" s="1" t="n">
        <v>45614</v>
      </c>
      <c r="C293" s="1" t="n">
        <v>45934</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11744-2023</t>
        </is>
      </c>
      <c r="B294" s="1" t="n">
        <v>44993</v>
      </c>
      <c r="C294" s="1" t="n">
        <v>45934</v>
      </c>
      <c r="D294" t="inlineStr">
        <is>
          <t>UPPSALA LÄN</t>
        </is>
      </c>
      <c r="E294" t="inlineStr">
        <is>
          <t>UPPSALA</t>
        </is>
      </c>
      <c r="G294" t="n">
        <v>1.4</v>
      </c>
      <c r="H294" t="n">
        <v>0</v>
      </c>
      <c r="I294" t="n">
        <v>0</v>
      </c>
      <c r="J294" t="n">
        <v>0</v>
      </c>
      <c r="K294" t="n">
        <v>0</v>
      </c>
      <c r="L294" t="n">
        <v>0</v>
      </c>
      <c r="M294" t="n">
        <v>0</v>
      </c>
      <c r="N294" t="n">
        <v>0</v>
      </c>
      <c r="O294" t="n">
        <v>0</v>
      </c>
      <c r="P294" t="n">
        <v>0</v>
      </c>
      <c r="Q294" t="n">
        <v>0</v>
      </c>
      <c r="R294" s="2" t="inlineStr"/>
    </row>
    <row r="295" ht="15" customHeight="1">
      <c r="A295" t="inlineStr">
        <is>
          <t>A 12282-2025</t>
        </is>
      </c>
      <c r="B295" s="1" t="n">
        <v>45729</v>
      </c>
      <c r="C295" s="1" t="n">
        <v>45934</v>
      </c>
      <c r="D295" t="inlineStr">
        <is>
          <t>UPPSALA LÄN</t>
        </is>
      </c>
      <c r="E295" t="inlineStr">
        <is>
          <t>UPPSALA</t>
        </is>
      </c>
      <c r="G295" t="n">
        <v>3.3</v>
      </c>
      <c r="H295" t="n">
        <v>0</v>
      </c>
      <c r="I295" t="n">
        <v>0</v>
      </c>
      <c r="J295" t="n">
        <v>0</v>
      </c>
      <c r="K295" t="n">
        <v>0</v>
      </c>
      <c r="L295" t="n">
        <v>0</v>
      </c>
      <c r="M295" t="n">
        <v>0</v>
      </c>
      <c r="N295" t="n">
        <v>0</v>
      </c>
      <c r="O295" t="n">
        <v>0</v>
      </c>
      <c r="P295" t="n">
        <v>0</v>
      </c>
      <c r="Q295" t="n">
        <v>0</v>
      </c>
      <c r="R295" s="2" t="inlineStr"/>
    </row>
    <row r="296" ht="15" customHeight="1">
      <c r="A296" t="inlineStr">
        <is>
          <t>A 8132-2024</t>
        </is>
      </c>
      <c r="B296" s="1" t="n">
        <v>45351.54596064815</v>
      </c>
      <c r="C296" s="1" t="n">
        <v>45934</v>
      </c>
      <c r="D296" t="inlineStr">
        <is>
          <t>UPPSALA LÄN</t>
        </is>
      </c>
      <c r="E296" t="inlineStr">
        <is>
          <t>UPPSALA</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59116-2024</t>
        </is>
      </c>
      <c r="B297" s="1" t="n">
        <v>45637</v>
      </c>
      <c r="C297" s="1" t="n">
        <v>45934</v>
      </c>
      <c r="D297" t="inlineStr">
        <is>
          <t>UPPSALA LÄN</t>
        </is>
      </c>
      <c r="E297" t="inlineStr">
        <is>
          <t>UPPSALA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30616-2025</t>
        </is>
      </c>
      <c r="B298" s="1" t="n">
        <v>45831.46731481481</v>
      </c>
      <c r="C298" s="1" t="n">
        <v>45934</v>
      </c>
      <c r="D298" t="inlineStr">
        <is>
          <t>UPPSALA LÄN</t>
        </is>
      </c>
      <c r="E298" t="inlineStr">
        <is>
          <t>UPPSALA</t>
        </is>
      </c>
      <c r="G298" t="n">
        <v>2.1</v>
      </c>
      <c r="H298" t="n">
        <v>0</v>
      </c>
      <c r="I298" t="n">
        <v>0</v>
      </c>
      <c r="J298" t="n">
        <v>0</v>
      </c>
      <c r="K298" t="n">
        <v>0</v>
      </c>
      <c r="L298" t="n">
        <v>0</v>
      </c>
      <c r="M298" t="n">
        <v>0</v>
      </c>
      <c r="N298" t="n">
        <v>0</v>
      </c>
      <c r="O298" t="n">
        <v>0</v>
      </c>
      <c r="P298" t="n">
        <v>0</v>
      </c>
      <c r="Q298" t="n">
        <v>0</v>
      </c>
      <c r="R298" s="2" t="inlineStr"/>
    </row>
    <row r="299" ht="15" customHeight="1">
      <c r="A299" t="inlineStr">
        <is>
          <t>A 43893-2025</t>
        </is>
      </c>
      <c r="B299" s="1" t="n">
        <v>45912.7097337963</v>
      </c>
      <c r="C299" s="1" t="n">
        <v>45934</v>
      </c>
      <c r="D299" t="inlineStr">
        <is>
          <t>UPPSALA LÄN</t>
        </is>
      </c>
      <c r="E299" t="inlineStr">
        <is>
          <t>UPPSALA</t>
        </is>
      </c>
      <c r="F299" t="inlineStr">
        <is>
          <t>Kyrkan</t>
        </is>
      </c>
      <c r="G299" t="n">
        <v>5.7</v>
      </c>
      <c r="H299" t="n">
        <v>0</v>
      </c>
      <c r="I299" t="n">
        <v>0</v>
      </c>
      <c r="J299" t="n">
        <v>0</v>
      </c>
      <c r="K299" t="n">
        <v>0</v>
      </c>
      <c r="L299" t="n">
        <v>0</v>
      </c>
      <c r="M299" t="n">
        <v>0</v>
      </c>
      <c r="N299" t="n">
        <v>0</v>
      </c>
      <c r="O299" t="n">
        <v>0</v>
      </c>
      <c r="P299" t="n">
        <v>0</v>
      </c>
      <c r="Q299" t="n">
        <v>0</v>
      </c>
      <c r="R299" s="2" t="inlineStr"/>
    </row>
    <row r="300" ht="15" customHeight="1">
      <c r="A300" t="inlineStr">
        <is>
          <t>A 64353-2020</t>
        </is>
      </c>
      <c r="B300" s="1" t="n">
        <v>44168.55746527778</v>
      </c>
      <c r="C300" s="1" t="n">
        <v>45934</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13799-2024</t>
        </is>
      </c>
      <c r="B301" s="1" t="n">
        <v>45391.37361111111</v>
      </c>
      <c r="C301" s="1" t="n">
        <v>45934</v>
      </c>
      <c r="D301" t="inlineStr">
        <is>
          <t>UPPSALA LÄN</t>
        </is>
      </c>
      <c r="E301" t="inlineStr">
        <is>
          <t>UPPSALA</t>
        </is>
      </c>
      <c r="G301" t="n">
        <v>1.9</v>
      </c>
      <c r="H301" t="n">
        <v>0</v>
      </c>
      <c r="I301" t="n">
        <v>0</v>
      </c>
      <c r="J301" t="n">
        <v>0</v>
      </c>
      <c r="K301" t="n">
        <v>0</v>
      </c>
      <c r="L301" t="n">
        <v>0</v>
      </c>
      <c r="M301" t="n">
        <v>0</v>
      </c>
      <c r="N301" t="n">
        <v>0</v>
      </c>
      <c r="O301" t="n">
        <v>0</v>
      </c>
      <c r="P301" t="n">
        <v>0</v>
      </c>
      <c r="Q301" t="n">
        <v>0</v>
      </c>
      <c r="R301" s="2" t="inlineStr"/>
    </row>
    <row r="302" ht="15" customHeight="1">
      <c r="A302" t="inlineStr">
        <is>
          <t>A 43903-2025</t>
        </is>
      </c>
      <c r="B302" s="1" t="n">
        <v>45913.39467592593</v>
      </c>
      <c r="C302" s="1" t="n">
        <v>45934</v>
      </c>
      <c r="D302" t="inlineStr">
        <is>
          <t>UPPSALA LÄN</t>
        </is>
      </c>
      <c r="E302" t="inlineStr">
        <is>
          <t>UPPSALA</t>
        </is>
      </c>
      <c r="F302" t="inlineStr">
        <is>
          <t>Bergvik skog öst AB</t>
        </is>
      </c>
      <c r="G302" t="n">
        <v>3.5</v>
      </c>
      <c r="H302" t="n">
        <v>0</v>
      </c>
      <c r="I302" t="n">
        <v>0</v>
      </c>
      <c r="J302" t="n">
        <v>0</v>
      </c>
      <c r="K302" t="n">
        <v>0</v>
      </c>
      <c r="L302" t="n">
        <v>0</v>
      </c>
      <c r="M302" t="n">
        <v>0</v>
      </c>
      <c r="N302" t="n">
        <v>0</v>
      </c>
      <c r="O302" t="n">
        <v>0</v>
      </c>
      <c r="P302" t="n">
        <v>0</v>
      </c>
      <c r="Q302" t="n">
        <v>0</v>
      </c>
      <c r="R302" s="2" t="inlineStr"/>
    </row>
    <row r="303" ht="15" customHeight="1">
      <c r="A303" t="inlineStr">
        <is>
          <t>A 60984-2022</t>
        </is>
      </c>
      <c r="B303" s="1" t="n">
        <v>44914.67600694444</v>
      </c>
      <c r="C303" s="1" t="n">
        <v>45934</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9820-2023</t>
        </is>
      </c>
      <c r="B304" s="1" t="n">
        <v>44984.69216435185</v>
      </c>
      <c r="C304" s="1" t="n">
        <v>45934</v>
      </c>
      <c r="D304" t="inlineStr">
        <is>
          <t>UPPSALA LÄN</t>
        </is>
      </c>
      <c r="E304" t="inlineStr">
        <is>
          <t>UPPSALA</t>
        </is>
      </c>
      <c r="F304" t="inlineStr">
        <is>
          <t>Kyrkan</t>
        </is>
      </c>
      <c r="G304" t="n">
        <v>2</v>
      </c>
      <c r="H304" t="n">
        <v>0</v>
      </c>
      <c r="I304" t="n">
        <v>0</v>
      </c>
      <c r="J304" t="n">
        <v>0</v>
      </c>
      <c r="K304" t="n">
        <v>0</v>
      </c>
      <c r="L304" t="n">
        <v>0</v>
      </c>
      <c r="M304" t="n">
        <v>0</v>
      </c>
      <c r="N304" t="n">
        <v>0</v>
      </c>
      <c r="O304" t="n">
        <v>0</v>
      </c>
      <c r="P304" t="n">
        <v>0</v>
      </c>
      <c r="Q304" t="n">
        <v>0</v>
      </c>
      <c r="R304" s="2" t="inlineStr"/>
    </row>
    <row r="305" ht="15" customHeight="1">
      <c r="A305" t="inlineStr">
        <is>
          <t>A 42772-2022</t>
        </is>
      </c>
      <c r="B305" s="1" t="n">
        <v>44832.49594907407</v>
      </c>
      <c r="C305" s="1" t="n">
        <v>45934</v>
      </c>
      <c r="D305" t="inlineStr">
        <is>
          <t>UPPSALA LÄN</t>
        </is>
      </c>
      <c r="E305" t="inlineStr">
        <is>
          <t>UPPSALA</t>
        </is>
      </c>
      <c r="G305" t="n">
        <v>17.7</v>
      </c>
      <c r="H305" t="n">
        <v>0</v>
      </c>
      <c r="I305" t="n">
        <v>0</v>
      </c>
      <c r="J305" t="n">
        <v>0</v>
      </c>
      <c r="K305" t="n">
        <v>0</v>
      </c>
      <c r="L305" t="n">
        <v>0</v>
      </c>
      <c r="M305" t="n">
        <v>0</v>
      </c>
      <c r="N305" t="n">
        <v>0</v>
      </c>
      <c r="O305" t="n">
        <v>0</v>
      </c>
      <c r="P305" t="n">
        <v>0</v>
      </c>
      <c r="Q305" t="n">
        <v>0</v>
      </c>
      <c r="R305" s="2" t="inlineStr"/>
    </row>
    <row r="306" ht="15" customHeight="1">
      <c r="A306" t="inlineStr">
        <is>
          <t>A 34265-2021</t>
        </is>
      </c>
      <c r="B306" s="1" t="n">
        <v>44379.5745949074</v>
      </c>
      <c r="C306" s="1" t="n">
        <v>45934</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44470-2025</t>
        </is>
      </c>
      <c r="B307" s="1" t="n">
        <v>45916.64233796296</v>
      </c>
      <c r="C307" s="1" t="n">
        <v>45934</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45934</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51661-2022</t>
        </is>
      </c>
      <c r="B309" s="1" t="n">
        <v>44872</v>
      </c>
      <c r="C309" s="1" t="n">
        <v>45934</v>
      </c>
      <c r="D309" t="inlineStr">
        <is>
          <t>UPPSALA LÄN</t>
        </is>
      </c>
      <c r="E309" t="inlineStr">
        <is>
          <t>UPPSALA</t>
        </is>
      </c>
      <c r="G309" t="n">
        <v>8.9</v>
      </c>
      <c r="H309" t="n">
        <v>0</v>
      </c>
      <c r="I309" t="n">
        <v>0</v>
      </c>
      <c r="J309" t="n">
        <v>0</v>
      </c>
      <c r="K309" t="n">
        <v>0</v>
      </c>
      <c r="L309" t="n">
        <v>0</v>
      </c>
      <c r="M309" t="n">
        <v>0</v>
      </c>
      <c r="N309" t="n">
        <v>0</v>
      </c>
      <c r="O309" t="n">
        <v>0</v>
      </c>
      <c r="P309" t="n">
        <v>0</v>
      </c>
      <c r="Q309" t="n">
        <v>0</v>
      </c>
      <c r="R309" s="2" t="inlineStr"/>
    </row>
    <row r="310" ht="15" customHeight="1">
      <c r="A310" t="inlineStr">
        <is>
          <t>A 3261-2024</t>
        </is>
      </c>
      <c r="B310" s="1" t="n">
        <v>45317</v>
      </c>
      <c r="C310" s="1" t="n">
        <v>45934</v>
      </c>
      <c r="D310" t="inlineStr">
        <is>
          <t>UPPSALA LÄN</t>
        </is>
      </c>
      <c r="E310" t="inlineStr">
        <is>
          <t>UPPSALA</t>
        </is>
      </c>
      <c r="G310" t="n">
        <v>2.8</v>
      </c>
      <c r="H310" t="n">
        <v>0</v>
      </c>
      <c r="I310" t="n">
        <v>0</v>
      </c>
      <c r="J310" t="n">
        <v>0</v>
      </c>
      <c r="K310" t="n">
        <v>0</v>
      </c>
      <c r="L310" t="n">
        <v>0</v>
      </c>
      <c r="M310" t="n">
        <v>0</v>
      </c>
      <c r="N310" t="n">
        <v>0</v>
      </c>
      <c r="O310" t="n">
        <v>0</v>
      </c>
      <c r="P310" t="n">
        <v>0</v>
      </c>
      <c r="Q310" t="n">
        <v>0</v>
      </c>
      <c r="R310" s="2" t="inlineStr"/>
    </row>
    <row r="311" ht="15" customHeight="1">
      <c r="A311" t="inlineStr">
        <is>
          <t>A 1020-2021</t>
        </is>
      </c>
      <c r="B311" s="1" t="n">
        <v>44207</v>
      </c>
      <c r="C311" s="1" t="n">
        <v>45934</v>
      </c>
      <c r="D311" t="inlineStr">
        <is>
          <t>UPPSALA LÄN</t>
        </is>
      </c>
      <c r="E311" t="inlineStr">
        <is>
          <t>UPPSALA</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34147-2024</t>
        </is>
      </c>
      <c r="B312" s="1" t="n">
        <v>45524</v>
      </c>
      <c r="C312" s="1" t="n">
        <v>45934</v>
      </c>
      <c r="D312" t="inlineStr">
        <is>
          <t>UPPSALA LÄN</t>
        </is>
      </c>
      <c r="E312" t="inlineStr">
        <is>
          <t>UPPSALA</t>
        </is>
      </c>
      <c r="F312" t="inlineStr">
        <is>
          <t>Allmännings- och besparingsskogar</t>
        </is>
      </c>
      <c r="G312" t="n">
        <v>0.2</v>
      </c>
      <c r="H312" t="n">
        <v>0</v>
      </c>
      <c r="I312" t="n">
        <v>0</v>
      </c>
      <c r="J312" t="n">
        <v>0</v>
      </c>
      <c r="K312" t="n">
        <v>0</v>
      </c>
      <c r="L312" t="n">
        <v>0</v>
      </c>
      <c r="M312" t="n">
        <v>0</v>
      </c>
      <c r="N312" t="n">
        <v>0</v>
      </c>
      <c r="O312" t="n">
        <v>0</v>
      </c>
      <c r="P312" t="n">
        <v>0</v>
      </c>
      <c r="Q312" t="n">
        <v>0</v>
      </c>
      <c r="R312" s="2" t="inlineStr"/>
    </row>
    <row r="313" ht="15" customHeight="1">
      <c r="A313" t="inlineStr">
        <is>
          <t>A 59489-2023</t>
        </is>
      </c>
      <c r="B313" s="1" t="n">
        <v>45254</v>
      </c>
      <c r="C313" s="1" t="n">
        <v>45934</v>
      </c>
      <c r="D313" t="inlineStr">
        <is>
          <t>UPPSALA LÄN</t>
        </is>
      </c>
      <c r="E313" t="inlineStr">
        <is>
          <t>UPPSALA</t>
        </is>
      </c>
      <c r="G313" t="n">
        <v>6.5</v>
      </c>
      <c r="H313" t="n">
        <v>0</v>
      </c>
      <c r="I313" t="n">
        <v>0</v>
      </c>
      <c r="J313" t="n">
        <v>0</v>
      </c>
      <c r="K313" t="n">
        <v>0</v>
      </c>
      <c r="L313" t="n">
        <v>0</v>
      </c>
      <c r="M313" t="n">
        <v>0</v>
      </c>
      <c r="N313" t="n">
        <v>0</v>
      </c>
      <c r="O313" t="n">
        <v>0</v>
      </c>
      <c r="P313" t="n">
        <v>0</v>
      </c>
      <c r="Q313" t="n">
        <v>0</v>
      </c>
      <c r="R313" s="2" t="inlineStr"/>
    </row>
    <row r="314" ht="15" customHeight="1">
      <c r="A314" t="inlineStr">
        <is>
          <t>A 18805-2025</t>
        </is>
      </c>
      <c r="B314" s="1" t="n">
        <v>45763</v>
      </c>
      <c r="C314" s="1" t="n">
        <v>45934</v>
      </c>
      <c r="D314" t="inlineStr">
        <is>
          <t>UPPSALA LÄN</t>
        </is>
      </c>
      <c r="E314" t="inlineStr">
        <is>
          <t>UPPSALA</t>
        </is>
      </c>
      <c r="G314" t="n">
        <v>0.8</v>
      </c>
      <c r="H314" t="n">
        <v>0</v>
      </c>
      <c r="I314" t="n">
        <v>0</v>
      </c>
      <c r="J314" t="n">
        <v>0</v>
      </c>
      <c r="K314" t="n">
        <v>0</v>
      </c>
      <c r="L314" t="n">
        <v>0</v>
      </c>
      <c r="M314" t="n">
        <v>0</v>
      </c>
      <c r="N314" t="n">
        <v>0</v>
      </c>
      <c r="O314" t="n">
        <v>0</v>
      </c>
      <c r="P314" t="n">
        <v>0</v>
      </c>
      <c r="Q314" t="n">
        <v>0</v>
      </c>
      <c r="R314" s="2" t="inlineStr"/>
    </row>
    <row r="315" ht="15" customHeight="1">
      <c r="A315" t="inlineStr">
        <is>
          <t>A 10456-2022</t>
        </is>
      </c>
      <c r="B315" s="1" t="n">
        <v>44623.5571875</v>
      </c>
      <c r="C315" s="1" t="n">
        <v>45934</v>
      </c>
      <c r="D315" t="inlineStr">
        <is>
          <t>UPPSALA LÄN</t>
        </is>
      </c>
      <c r="E315" t="inlineStr">
        <is>
          <t>UPPSALA</t>
        </is>
      </c>
      <c r="F315" t="inlineStr">
        <is>
          <t>Övriga Aktiebolag</t>
        </is>
      </c>
      <c r="G315" t="n">
        <v>12.6</v>
      </c>
      <c r="H315" t="n">
        <v>0</v>
      </c>
      <c r="I315" t="n">
        <v>0</v>
      </c>
      <c r="J315" t="n">
        <v>0</v>
      </c>
      <c r="K315" t="n">
        <v>0</v>
      </c>
      <c r="L315" t="n">
        <v>0</v>
      </c>
      <c r="M315" t="n">
        <v>0</v>
      </c>
      <c r="N315" t="n">
        <v>0</v>
      </c>
      <c r="O315" t="n">
        <v>0</v>
      </c>
      <c r="P315" t="n">
        <v>0</v>
      </c>
      <c r="Q315" t="n">
        <v>0</v>
      </c>
      <c r="R315" s="2" t="inlineStr"/>
    </row>
    <row r="316" ht="15" customHeight="1">
      <c r="A316" t="inlineStr">
        <is>
          <t>A 5663-2023</t>
        </is>
      </c>
      <c r="B316" s="1" t="n">
        <v>44960</v>
      </c>
      <c r="C316" s="1" t="n">
        <v>45934</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5675-2023</t>
        </is>
      </c>
      <c r="B317" s="1" t="n">
        <v>44960.66233796296</v>
      </c>
      <c r="C317" s="1" t="n">
        <v>45934</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36913-2025</t>
        </is>
      </c>
      <c r="B318" s="1" t="n">
        <v>45874</v>
      </c>
      <c r="C318" s="1" t="n">
        <v>45934</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44385-2025</t>
        </is>
      </c>
      <c r="B319" s="1" t="n">
        <v>45916.48704861111</v>
      </c>
      <c r="C319" s="1" t="n">
        <v>45934</v>
      </c>
      <c r="D319" t="inlineStr">
        <is>
          <t>UPPSALA LÄN</t>
        </is>
      </c>
      <c r="E319" t="inlineStr">
        <is>
          <t>UPPSALA</t>
        </is>
      </c>
      <c r="F319" t="inlineStr">
        <is>
          <t>Bergvik skog öst AB</t>
        </is>
      </c>
      <c r="G319" t="n">
        <v>6.8</v>
      </c>
      <c r="H319" t="n">
        <v>0</v>
      </c>
      <c r="I319" t="n">
        <v>0</v>
      </c>
      <c r="J319" t="n">
        <v>0</v>
      </c>
      <c r="K319" t="n">
        <v>0</v>
      </c>
      <c r="L319" t="n">
        <v>0</v>
      </c>
      <c r="M319" t="n">
        <v>0</v>
      </c>
      <c r="N319" t="n">
        <v>0</v>
      </c>
      <c r="O319" t="n">
        <v>0</v>
      </c>
      <c r="P319" t="n">
        <v>0</v>
      </c>
      <c r="Q319" t="n">
        <v>0</v>
      </c>
      <c r="R319" s="2" t="inlineStr"/>
    </row>
    <row r="320" ht="15" customHeight="1">
      <c r="A320" t="inlineStr">
        <is>
          <t>A 37010-2025</t>
        </is>
      </c>
      <c r="B320" s="1" t="n">
        <v>45874.705</v>
      </c>
      <c r="C320" s="1" t="n">
        <v>45934</v>
      </c>
      <c r="D320" t="inlineStr">
        <is>
          <t>UPPSALA LÄN</t>
        </is>
      </c>
      <c r="E320" t="inlineStr">
        <is>
          <t>UPPSALA</t>
        </is>
      </c>
      <c r="G320" t="n">
        <v>0.8</v>
      </c>
      <c r="H320" t="n">
        <v>0</v>
      </c>
      <c r="I320" t="n">
        <v>0</v>
      </c>
      <c r="J320" t="n">
        <v>0</v>
      </c>
      <c r="K320" t="n">
        <v>0</v>
      </c>
      <c r="L320" t="n">
        <v>0</v>
      </c>
      <c r="M320" t="n">
        <v>0</v>
      </c>
      <c r="N320" t="n">
        <v>0</v>
      </c>
      <c r="O320" t="n">
        <v>0</v>
      </c>
      <c r="P320" t="n">
        <v>0</v>
      </c>
      <c r="Q320" t="n">
        <v>0</v>
      </c>
      <c r="R320" s="2" t="inlineStr"/>
    </row>
    <row r="321" ht="15" customHeight="1">
      <c r="A321" t="inlineStr">
        <is>
          <t>A 34243-2021</t>
        </is>
      </c>
      <c r="B321" s="1" t="n">
        <v>44379.56163194445</v>
      </c>
      <c r="C321" s="1" t="n">
        <v>45934</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37486-2025</t>
        </is>
      </c>
      <c r="B322" s="1" t="n">
        <v>45877.62969907407</v>
      </c>
      <c r="C322" s="1" t="n">
        <v>45934</v>
      </c>
      <c r="D322" t="inlineStr">
        <is>
          <t>UPPSALA LÄN</t>
        </is>
      </c>
      <c r="E322" t="inlineStr">
        <is>
          <t>UPPSALA</t>
        </is>
      </c>
      <c r="G322" t="n">
        <v>2.2</v>
      </c>
      <c r="H322" t="n">
        <v>0</v>
      </c>
      <c r="I322" t="n">
        <v>0</v>
      </c>
      <c r="J322" t="n">
        <v>0</v>
      </c>
      <c r="K322" t="n">
        <v>0</v>
      </c>
      <c r="L322" t="n">
        <v>0</v>
      </c>
      <c r="M322" t="n">
        <v>0</v>
      </c>
      <c r="N322" t="n">
        <v>0</v>
      </c>
      <c r="O322" t="n">
        <v>0</v>
      </c>
      <c r="P322" t="n">
        <v>0</v>
      </c>
      <c r="Q322" t="n">
        <v>0</v>
      </c>
      <c r="R322" s="2" t="inlineStr"/>
    </row>
    <row r="323" ht="15" customHeight="1">
      <c r="A323" t="inlineStr">
        <is>
          <t>A 41954-2025</t>
        </is>
      </c>
      <c r="B323" s="1" t="n">
        <v>45903</v>
      </c>
      <c r="C323" s="1" t="n">
        <v>45934</v>
      </c>
      <c r="D323" t="inlineStr">
        <is>
          <t>UPPSALA LÄN</t>
        </is>
      </c>
      <c r="E323" t="inlineStr">
        <is>
          <t>UPPSALA</t>
        </is>
      </c>
      <c r="G323" t="n">
        <v>7.5</v>
      </c>
      <c r="H323" t="n">
        <v>0</v>
      </c>
      <c r="I323" t="n">
        <v>0</v>
      </c>
      <c r="J323" t="n">
        <v>0</v>
      </c>
      <c r="K323" t="n">
        <v>0</v>
      </c>
      <c r="L323" t="n">
        <v>0</v>
      </c>
      <c r="M323" t="n">
        <v>0</v>
      </c>
      <c r="N323" t="n">
        <v>0</v>
      </c>
      <c r="O323" t="n">
        <v>0</v>
      </c>
      <c r="P323" t="n">
        <v>0</v>
      </c>
      <c r="Q323" t="n">
        <v>0</v>
      </c>
      <c r="R323" s="2" t="inlineStr"/>
    </row>
    <row r="324" ht="15" customHeight="1">
      <c r="A324" t="inlineStr">
        <is>
          <t>A 44813-2025</t>
        </is>
      </c>
      <c r="B324" s="1" t="n">
        <v>45918.37322916667</v>
      </c>
      <c r="C324" s="1" t="n">
        <v>45934</v>
      </c>
      <c r="D324" t="inlineStr">
        <is>
          <t>UPPSALA LÄN</t>
        </is>
      </c>
      <c r="E324" t="inlineStr">
        <is>
          <t>UPPSALA</t>
        </is>
      </c>
      <c r="G324" t="n">
        <v>1.4</v>
      </c>
      <c r="H324" t="n">
        <v>0</v>
      </c>
      <c r="I324" t="n">
        <v>0</v>
      </c>
      <c r="J324" t="n">
        <v>0</v>
      </c>
      <c r="K324" t="n">
        <v>0</v>
      </c>
      <c r="L324" t="n">
        <v>0</v>
      </c>
      <c r="M324" t="n">
        <v>0</v>
      </c>
      <c r="N324" t="n">
        <v>0</v>
      </c>
      <c r="O324" t="n">
        <v>0</v>
      </c>
      <c r="P324" t="n">
        <v>0</v>
      </c>
      <c r="Q324" t="n">
        <v>0</v>
      </c>
      <c r="R324" s="2" t="inlineStr"/>
    </row>
    <row r="325" ht="15" customHeight="1">
      <c r="A325" t="inlineStr">
        <is>
          <t>A 1032-2023</t>
        </is>
      </c>
      <c r="B325" s="1" t="n">
        <v>44935</v>
      </c>
      <c r="C325" s="1" t="n">
        <v>45934</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37351-2025</t>
        </is>
      </c>
      <c r="B326" s="1" t="n">
        <v>45876</v>
      </c>
      <c r="C326" s="1" t="n">
        <v>45934</v>
      </c>
      <c r="D326" t="inlineStr">
        <is>
          <t>UPPSALA LÄN</t>
        </is>
      </c>
      <c r="E326" t="inlineStr">
        <is>
          <t>UPPSALA</t>
        </is>
      </c>
      <c r="G326" t="n">
        <v>1.1</v>
      </c>
      <c r="H326" t="n">
        <v>0</v>
      </c>
      <c r="I326" t="n">
        <v>0</v>
      </c>
      <c r="J326" t="n">
        <v>0</v>
      </c>
      <c r="K326" t="n">
        <v>0</v>
      </c>
      <c r="L326" t="n">
        <v>0</v>
      </c>
      <c r="M326" t="n">
        <v>0</v>
      </c>
      <c r="N326" t="n">
        <v>0</v>
      </c>
      <c r="O326" t="n">
        <v>0</v>
      </c>
      <c r="P326" t="n">
        <v>0</v>
      </c>
      <c r="Q326" t="n">
        <v>0</v>
      </c>
      <c r="R326" s="2" t="inlineStr"/>
    </row>
    <row r="327" ht="15" customHeight="1">
      <c r="A327" t="inlineStr">
        <is>
          <t>A 35016-2025</t>
        </is>
      </c>
      <c r="B327" s="1" t="n">
        <v>45851.62179398148</v>
      </c>
      <c r="C327" s="1" t="n">
        <v>45934</v>
      </c>
      <c r="D327" t="inlineStr">
        <is>
          <t>UPPSALA LÄN</t>
        </is>
      </c>
      <c r="E327" t="inlineStr">
        <is>
          <t>UPPSALA</t>
        </is>
      </c>
      <c r="F327" t="inlineStr">
        <is>
          <t>Bergvik skog öst AB</t>
        </is>
      </c>
      <c r="G327" t="n">
        <v>7</v>
      </c>
      <c r="H327" t="n">
        <v>0</v>
      </c>
      <c r="I327" t="n">
        <v>0</v>
      </c>
      <c r="J327" t="n">
        <v>0</v>
      </c>
      <c r="K327" t="n">
        <v>0</v>
      </c>
      <c r="L327" t="n">
        <v>0</v>
      </c>
      <c r="M327" t="n">
        <v>0</v>
      </c>
      <c r="N327" t="n">
        <v>0</v>
      </c>
      <c r="O327" t="n">
        <v>0</v>
      </c>
      <c r="P327" t="n">
        <v>0</v>
      </c>
      <c r="Q327" t="n">
        <v>0</v>
      </c>
      <c r="R327" s="2" t="inlineStr"/>
    </row>
    <row r="328" ht="15" customHeight="1">
      <c r="A328" t="inlineStr">
        <is>
          <t>A 49682-2023</t>
        </is>
      </c>
      <c r="B328" s="1" t="n">
        <v>45212.34997685185</v>
      </c>
      <c r="C328" s="1" t="n">
        <v>45934</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51576-2023</t>
        </is>
      </c>
      <c r="B329" s="1" t="n">
        <v>45222</v>
      </c>
      <c r="C329" s="1" t="n">
        <v>45934</v>
      </c>
      <c r="D329" t="inlineStr">
        <is>
          <t>UPPSALA LÄN</t>
        </is>
      </c>
      <c r="E329" t="inlineStr">
        <is>
          <t>UPPSALA</t>
        </is>
      </c>
      <c r="G329" t="n">
        <v>2.2</v>
      </c>
      <c r="H329" t="n">
        <v>0</v>
      </c>
      <c r="I329" t="n">
        <v>0</v>
      </c>
      <c r="J329" t="n">
        <v>0</v>
      </c>
      <c r="K329" t="n">
        <v>0</v>
      </c>
      <c r="L329" t="n">
        <v>0</v>
      </c>
      <c r="M329" t="n">
        <v>0</v>
      </c>
      <c r="N329" t="n">
        <v>0</v>
      </c>
      <c r="O329" t="n">
        <v>0</v>
      </c>
      <c r="P329" t="n">
        <v>0</v>
      </c>
      <c r="Q329" t="n">
        <v>0</v>
      </c>
      <c r="R329" s="2" t="inlineStr"/>
    </row>
    <row r="330" ht="15" customHeight="1">
      <c r="A330" t="inlineStr">
        <is>
          <t>A 69698-2021</t>
        </is>
      </c>
      <c r="B330" s="1" t="n">
        <v>44532</v>
      </c>
      <c r="C330" s="1" t="n">
        <v>45934</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69691-2021</t>
        </is>
      </c>
      <c r="B331" s="1" t="n">
        <v>44532</v>
      </c>
      <c r="C331" s="1" t="n">
        <v>45934</v>
      </c>
      <c r="D331" t="inlineStr">
        <is>
          <t>UPPSALA LÄN</t>
        </is>
      </c>
      <c r="E331" t="inlineStr">
        <is>
          <t>UPPSALA</t>
        </is>
      </c>
      <c r="G331" t="n">
        <v>2.3</v>
      </c>
      <c r="H331" t="n">
        <v>0</v>
      </c>
      <c r="I331" t="n">
        <v>0</v>
      </c>
      <c r="J331" t="n">
        <v>0</v>
      </c>
      <c r="K331" t="n">
        <v>0</v>
      </c>
      <c r="L331" t="n">
        <v>0</v>
      </c>
      <c r="M331" t="n">
        <v>0</v>
      </c>
      <c r="N331" t="n">
        <v>0</v>
      </c>
      <c r="O331" t="n">
        <v>0</v>
      </c>
      <c r="P331" t="n">
        <v>0</v>
      </c>
      <c r="Q331" t="n">
        <v>0</v>
      </c>
      <c r="R331" s="2" t="inlineStr"/>
    </row>
    <row r="332" ht="15" customHeight="1">
      <c r="A332" t="inlineStr">
        <is>
          <t>A 40100-2022</t>
        </is>
      </c>
      <c r="B332" s="1" t="n">
        <v>44820.47935185185</v>
      </c>
      <c r="C332" s="1" t="n">
        <v>45934</v>
      </c>
      <c r="D332" t="inlineStr">
        <is>
          <t>UPPSALA LÄN</t>
        </is>
      </c>
      <c r="E332" t="inlineStr">
        <is>
          <t>UPPSALA</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5362-2023</t>
        </is>
      </c>
      <c r="B333" s="1" t="n">
        <v>44944</v>
      </c>
      <c r="C333" s="1" t="n">
        <v>45934</v>
      </c>
      <c r="D333" t="inlineStr">
        <is>
          <t>UPPSALA LÄN</t>
        </is>
      </c>
      <c r="E333" t="inlineStr">
        <is>
          <t>UPPSALA</t>
        </is>
      </c>
      <c r="G333" t="n">
        <v>2.3</v>
      </c>
      <c r="H333" t="n">
        <v>0</v>
      </c>
      <c r="I333" t="n">
        <v>0</v>
      </c>
      <c r="J333" t="n">
        <v>0</v>
      </c>
      <c r="K333" t="n">
        <v>0</v>
      </c>
      <c r="L333" t="n">
        <v>0</v>
      </c>
      <c r="M333" t="n">
        <v>0</v>
      </c>
      <c r="N333" t="n">
        <v>0</v>
      </c>
      <c r="O333" t="n">
        <v>0</v>
      </c>
      <c r="P333" t="n">
        <v>0</v>
      </c>
      <c r="Q333" t="n">
        <v>0</v>
      </c>
      <c r="R333" s="2" t="inlineStr"/>
    </row>
    <row r="334" ht="15" customHeight="1">
      <c r="A334" t="inlineStr">
        <is>
          <t>A 26762-2023</t>
        </is>
      </c>
      <c r="B334" s="1" t="n">
        <v>45093.46706018518</v>
      </c>
      <c r="C334" s="1" t="n">
        <v>45934</v>
      </c>
      <c r="D334" t="inlineStr">
        <is>
          <t>UPPSALA LÄN</t>
        </is>
      </c>
      <c r="E334" t="inlineStr">
        <is>
          <t>UPPSALA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37352-2025</t>
        </is>
      </c>
      <c r="B335" s="1" t="n">
        <v>45876</v>
      </c>
      <c r="C335" s="1" t="n">
        <v>45934</v>
      </c>
      <c r="D335" t="inlineStr">
        <is>
          <t>UPPSALA LÄN</t>
        </is>
      </c>
      <c r="E335" t="inlineStr">
        <is>
          <t>UPPSALA</t>
        </is>
      </c>
      <c r="G335" t="n">
        <v>2.6</v>
      </c>
      <c r="H335" t="n">
        <v>0</v>
      </c>
      <c r="I335" t="n">
        <v>0</v>
      </c>
      <c r="J335" t="n">
        <v>0</v>
      </c>
      <c r="K335" t="n">
        <v>0</v>
      </c>
      <c r="L335" t="n">
        <v>0</v>
      </c>
      <c r="M335" t="n">
        <v>0</v>
      </c>
      <c r="N335" t="n">
        <v>0</v>
      </c>
      <c r="O335" t="n">
        <v>0</v>
      </c>
      <c r="P335" t="n">
        <v>0</v>
      </c>
      <c r="Q335" t="n">
        <v>0</v>
      </c>
      <c r="R335" s="2" t="inlineStr"/>
    </row>
    <row r="336" ht="15" customHeight="1">
      <c r="A336" t="inlineStr">
        <is>
          <t>A 50267-2023</t>
        </is>
      </c>
      <c r="B336" s="1" t="n">
        <v>45216.39040509259</v>
      </c>
      <c r="C336" s="1" t="n">
        <v>45934</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37468-2025</t>
        </is>
      </c>
      <c r="B337" s="1" t="n">
        <v>45877.57847222222</v>
      </c>
      <c r="C337" s="1" t="n">
        <v>45934</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8672-2024</t>
        </is>
      </c>
      <c r="B338" s="1" t="n">
        <v>45352</v>
      </c>
      <c r="C338" s="1" t="n">
        <v>45934</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42528-2023</t>
        </is>
      </c>
      <c r="B339" s="1" t="n">
        <v>45181.33571759259</v>
      </c>
      <c r="C339" s="1" t="n">
        <v>45934</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9255-2024</t>
        </is>
      </c>
      <c r="B340" s="1" t="n">
        <v>45358</v>
      </c>
      <c r="C340" s="1" t="n">
        <v>45934</v>
      </c>
      <c r="D340" t="inlineStr">
        <is>
          <t>UPPSALA LÄN</t>
        </is>
      </c>
      <c r="E340" t="inlineStr">
        <is>
          <t>UPPSALA</t>
        </is>
      </c>
      <c r="G340" t="n">
        <v>1.8</v>
      </c>
      <c r="H340" t="n">
        <v>0</v>
      </c>
      <c r="I340" t="n">
        <v>0</v>
      </c>
      <c r="J340" t="n">
        <v>0</v>
      </c>
      <c r="K340" t="n">
        <v>0</v>
      </c>
      <c r="L340" t="n">
        <v>0</v>
      </c>
      <c r="M340" t="n">
        <v>0</v>
      </c>
      <c r="N340" t="n">
        <v>0</v>
      </c>
      <c r="O340" t="n">
        <v>0</v>
      </c>
      <c r="P340" t="n">
        <v>0</v>
      </c>
      <c r="Q340" t="n">
        <v>0</v>
      </c>
      <c r="R340" s="2" t="inlineStr"/>
    </row>
    <row r="341" ht="15" customHeight="1">
      <c r="A341" t="inlineStr">
        <is>
          <t>A 6058-2025</t>
        </is>
      </c>
      <c r="B341" s="1" t="n">
        <v>45695.83655092592</v>
      </c>
      <c r="C341" s="1" t="n">
        <v>45934</v>
      </c>
      <c r="D341" t="inlineStr">
        <is>
          <t>UPPSALA LÄN</t>
        </is>
      </c>
      <c r="E341" t="inlineStr">
        <is>
          <t>UPPSALA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7058-2023</t>
        </is>
      </c>
      <c r="B342" s="1" t="n">
        <v>44969</v>
      </c>
      <c r="C342" s="1" t="n">
        <v>45934</v>
      </c>
      <c r="D342" t="inlineStr">
        <is>
          <t>UPPSALA LÄN</t>
        </is>
      </c>
      <c r="E342" t="inlineStr">
        <is>
          <t>UPPSALA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16811-2023</t>
        </is>
      </c>
      <c r="B343" s="1" t="n">
        <v>45033</v>
      </c>
      <c r="C343" s="1" t="n">
        <v>45934</v>
      </c>
      <c r="D343" t="inlineStr">
        <is>
          <t>UPPSALA LÄN</t>
        </is>
      </c>
      <c r="E343" t="inlineStr">
        <is>
          <t>UPPSALA</t>
        </is>
      </c>
      <c r="G343" t="n">
        <v>10.1</v>
      </c>
      <c r="H343" t="n">
        <v>0</v>
      </c>
      <c r="I343" t="n">
        <v>0</v>
      </c>
      <c r="J343" t="n">
        <v>0</v>
      </c>
      <c r="K343" t="n">
        <v>0</v>
      </c>
      <c r="L343" t="n">
        <v>0</v>
      </c>
      <c r="M343" t="n">
        <v>0</v>
      </c>
      <c r="N343" t="n">
        <v>0</v>
      </c>
      <c r="O343" t="n">
        <v>0</v>
      </c>
      <c r="P343" t="n">
        <v>0</v>
      </c>
      <c r="Q343" t="n">
        <v>0</v>
      </c>
      <c r="R343" s="2" t="inlineStr"/>
    </row>
    <row r="344" ht="15" customHeight="1">
      <c r="A344" t="inlineStr">
        <is>
          <t>A 56889-2022</t>
        </is>
      </c>
      <c r="B344" s="1" t="n">
        <v>44894.57065972222</v>
      </c>
      <c r="C344" s="1" t="n">
        <v>45934</v>
      </c>
      <c r="D344" t="inlineStr">
        <is>
          <t>UPPSALA LÄN</t>
        </is>
      </c>
      <c r="E344" t="inlineStr">
        <is>
          <t>UPPSALA</t>
        </is>
      </c>
      <c r="F344" t="inlineStr">
        <is>
          <t>Övriga Aktiebolag</t>
        </is>
      </c>
      <c r="G344" t="n">
        <v>21.6</v>
      </c>
      <c r="H344" t="n">
        <v>0</v>
      </c>
      <c r="I344" t="n">
        <v>0</v>
      </c>
      <c r="J344" t="n">
        <v>0</v>
      </c>
      <c r="K344" t="n">
        <v>0</v>
      </c>
      <c r="L344" t="n">
        <v>0</v>
      </c>
      <c r="M344" t="n">
        <v>0</v>
      </c>
      <c r="N344" t="n">
        <v>0</v>
      </c>
      <c r="O344" t="n">
        <v>0</v>
      </c>
      <c r="P344" t="n">
        <v>0</v>
      </c>
      <c r="Q344" t="n">
        <v>0</v>
      </c>
      <c r="R344" s="2" t="inlineStr"/>
    </row>
    <row r="345" ht="15" customHeight="1">
      <c r="A345" t="inlineStr">
        <is>
          <t>A 33797-2021</t>
        </is>
      </c>
      <c r="B345" s="1" t="n">
        <v>44378.56137731481</v>
      </c>
      <c r="C345" s="1" t="n">
        <v>45934</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37561-2025</t>
        </is>
      </c>
      <c r="B346" s="1" t="n">
        <v>45880.34064814815</v>
      </c>
      <c r="C346" s="1" t="n">
        <v>45934</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59358-2024</t>
        </is>
      </c>
      <c r="B347" s="1" t="n">
        <v>45638</v>
      </c>
      <c r="C347" s="1" t="n">
        <v>45934</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62352-2020</t>
        </is>
      </c>
      <c r="B348" s="1" t="n">
        <v>44159</v>
      </c>
      <c r="C348" s="1" t="n">
        <v>45934</v>
      </c>
      <c r="D348" t="inlineStr">
        <is>
          <t>UPPSALA LÄN</t>
        </is>
      </c>
      <c r="E348" t="inlineStr">
        <is>
          <t>UPPSALA</t>
        </is>
      </c>
      <c r="F348" t="inlineStr">
        <is>
          <t>Allmännings- och besparingsskogar</t>
        </is>
      </c>
      <c r="G348" t="n">
        <v>12.9</v>
      </c>
      <c r="H348" t="n">
        <v>0</v>
      </c>
      <c r="I348" t="n">
        <v>0</v>
      </c>
      <c r="J348" t="n">
        <v>0</v>
      </c>
      <c r="K348" t="n">
        <v>0</v>
      </c>
      <c r="L348" t="n">
        <v>0</v>
      </c>
      <c r="M348" t="n">
        <v>0</v>
      </c>
      <c r="N348" t="n">
        <v>0</v>
      </c>
      <c r="O348" t="n">
        <v>0</v>
      </c>
      <c r="P348" t="n">
        <v>0</v>
      </c>
      <c r="Q348" t="n">
        <v>0</v>
      </c>
      <c r="R348" s="2" t="inlineStr"/>
    </row>
    <row r="349" ht="15" customHeight="1">
      <c r="A349" t="inlineStr">
        <is>
          <t>A 56084-2024</t>
        </is>
      </c>
      <c r="B349" s="1" t="n">
        <v>45624</v>
      </c>
      <c r="C349" s="1" t="n">
        <v>45934</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5374-2023</t>
        </is>
      </c>
      <c r="B350" s="1" t="n">
        <v>44944</v>
      </c>
      <c r="C350" s="1" t="n">
        <v>45934</v>
      </c>
      <c r="D350" t="inlineStr">
        <is>
          <t>UPPSALA LÄN</t>
        </is>
      </c>
      <c r="E350" t="inlineStr">
        <is>
          <t>UPPSALA</t>
        </is>
      </c>
      <c r="G350" t="n">
        <v>3.5</v>
      </c>
      <c r="H350" t="n">
        <v>0</v>
      </c>
      <c r="I350" t="n">
        <v>0</v>
      </c>
      <c r="J350" t="n">
        <v>0</v>
      </c>
      <c r="K350" t="n">
        <v>0</v>
      </c>
      <c r="L350" t="n">
        <v>0</v>
      </c>
      <c r="M350" t="n">
        <v>0</v>
      </c>
      <c r="N350" t="n">
        <v>0</v>
      </c>
      <c r="O350" t="n">
        <v>0</v>
      </c>
      <c r="P350" t="n">
        <v>0</v>
      </c>
      <c r="Q350" t="n">
        <v>0</v>
      </c>
      <c r="R350" s="2" t="inlineStr"/>
    </row>
    <row r="351" ht="15" customHeight="1">
      <c r="A351" t="inlineStr">
        <is>
          <t>A 17232-2022</t>
        </is>
      </c>
      <c r="B351" s="1" t="n">
        <v>44678.3315625</v>
      </c>
      <c r="C351" s="1" t="n">
        <v>45934</v>
      </c>
      <c r="D351" t="inlineStr">
        <is>
          <t>UPPSALA LÄN</t>
        </is>
      </c>
      <c r="E351" t="inlineStr">
        <is>
          <t>UPPSALA</t>
        </is>
      </c>
      <c r="F351" t="inlineStr">
        <is>
          <t>Övriga Aktiebolag</t>
        </is>
      </c>
      <c r="G351" t="n">
        <v>7.4</v>
      </c>
      <c r="H351" t="n">
        <v>0</v>
      </c>
      <c r="I351" t="n">
        <v>0</v>
      </c>
      <c r="J351" t="n">
        <v>0</v>
      </c>
      <c r="K351" t="n">
        <v>0</v>
      </c>
      <c r="L351" t="n">
        <v>0</v>
      </c>
      <c r="M351" t="n">
        <v>0</v>
      </c>
      <c r="N351" t="n">
        <v>0</v>
      </c>
      <c r="O351" t="n">
        <v>0</v>
      </c>
      <c r="P351" t="n">
        <v>0</v>
      </c>
      <c r="Q351" t="n">
        <v>0</v>
      </c>
      <c r="R351" s="2" t="inlineStr"/>
    </row>
    <row r="352" ht="15" customHeight="1">
      <c r="A352" t="inlineStr">
        <is>
          <t>A 53893-2023</t>
        </is>
      </c>
      <c r="B352" s="1" t="n">
        <v>45231</v>
      </c>
      <c r="C352" s="1" t="n">
        <v>45934</v>
      </c>
      <c r="D352" t="inlineStr">
        <is>
          <t>UPPSALA LÄN</t>
        </is>
      </c>
      <c r="E352" t="inlineStr">
        <is>
          <t>UPPSALA</t>
        </is>
      </c>
      <c r="G352" t="n">
        <v>1.3</v>
      </c>
      <c r="H352" t="n">
        <v>0</v>
      </c>
      <c r="I352" t="n">
        <v>0</v>
      </c>
      <c r="J352" t="n">
        <v>0</v>
      </c>
      <c r="K352" t="n">
        <v>0</v>
      </c>
      <c r="L352" t="n">
        <v>0</v>
      </c>
      <c r="M352" t="n">
        <v>0</v>
      </c>
      <c r="N352" t="n">
        <v>0</v>
      </c>
      <c r="O352" t="n">
        <v>0</v>
      </c>
      <c r="P352" t="n">
        <v>0</v>
      </c>
      <c r="Q352" t="n">
        <v>0</v>
      </c>
      <c r="R352" s="2" t="inlineStr"/>
    </row>
    <row r="353" ht="15" customHeight="1">
      <c r="A353" t="inlineStr">
        <is>
          <t>A 61805-2021</t>
        </is>
      </c>
      <c r="B353" s="1" t="n">
        <v>44501.71344907407</v>
      </c>
      <c r="C353" s="1" t="n">
        <v>45934</v>
      </c>
      <c r="D353" t="inlineStr">
        <is>
          <t>UPPSALA LÄN</t>
        </is>
      </c>
      <c r="E353" t="inlineStr">
        <is>
          <t>UPPSALA</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4312-2022</t>
        </is>
      </c>
      <c r="B354" s="1" t="n">
        <v>44588</v>
      </c>
      <c r="C354" s="1" t="n">
        <v>45934</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45447-2025</t>
        </is>
      </c>
      <c r="B355" s="1" t="n">
        <v>45922.48148148148</v>
      </c>
      <c r="C355" s="1" t="n">
        <v>45934</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c r="U355">
        <f>HYPERLINK("https://klasma.github.io/Logging_0380/knärot/A 45447-2025 karta knärot.png", "A 45447-2025")</f>
        <v/>
      </c>
      <c r="V355">
        <f>HYPERLINK("https://klasma.github.io/Logging_0380/klagomål/A 45447-2025 FSC-klagomål.docx", "A 45447-2025")</f>
        <v/>
      </c>
      <c r="W355">
        <f>HYPERLINK("https://klasma.github.io/Logging_0380/klagomålsmail/A 45447-2025 FSC-klagomål mail.docx", "A 45447-2025")</f>
        <v/>
      </c>
      <c r="X355">
        <f>HYPERLINK("https://klasma.github.io/Logging_0380/tillsyn/A 45447-2025 tillsynsbegäran.docx", "A 45447-2025")</f>
        <v/>
      </c>
      <c r="Y355">
        <f>HYPERLINK("https://klasma.github.io/Logging_0380/tillsynsmail/A 45447-2025 tillsynsbegäran mail.docx", "A 45447-2025")</f>
        <v/>
      </c>
    </row>
    <row r="356" ht="15" customHeight="1">
      <c r="A356" t="inlineStr">
        <is>
          <t>A 60814-2023</t>
        </is>
      </c>
      <c r="B356" s="1" t="n">
        <v>45259</v>
      </c>
      <c r="C356" s="1" t="n">
        <v>45934</v>
      </c>
      <c r="D356" t="inlineStr">
        <is>
          <t>UPPSALA LÄN</t>
        </is>
      </c>
      <c r="E356" t="inlineStr">
        <is>
          <t>UPPSALA</t>
        </is>
      </c>
      <c r="G356" t="n">
        <v>5.9</v>
      </c>
      <c r="H356" t="n">
        <v>0</v>
      </c>
      <c r="I356" t="n">
        <v>0</v>
      </c>
      <c r="J356" t="n">
        <v>0</v>
      </c>
      <c r="K356" t="n">
        <v>0</v>
      </c>
      <c r="L356" t="n">
        <v>0</v>
      </c>
      <c r="M356" t="n">
        <v>0</v>
      </c>
      <c r="N356" t="n">
        <v>0</v>
      </c>
      <c r="O356" t="n">
        <v>0</v>
      </c>
      <c r="P356" t="n">
        <v>0</v>
      </c>
      <c r="Q356" t="n">
        <v>0</v>
      </c>
      <c r="R356" s="2" t="inlineStr"/>
    </row>
    <row r="357" ht="15" customHeight="1">
      <c r="A357" t="inlineStr">
        <is>
          <t>A 63011-2021</t>
        </is>
      </c>
      <c r="B357" s="1" t="n">
        <v>44504</v>
      </c>
      <c r="C357" s="1" t="n">
        <v>45934</v>
      </c>
      <c r="D357" t="inlineStr">
        <is>
          <t>UPPSALA LÄN</t>
        </is>
      </c>
      <c r="E357" t="inlineStr">
        <is>
          <t>UPPSALA</t>
        </is>
      </c>
      <c r="G357" t="n">
        <v>11.2</v>
      </c>
      <c r="H357" t="n">
        <v>0</v>
      </c>
      <c r="I357" t="n">
        <v>0</v>
      </c>
      <c r="J357" t="n">
        <v>0</v>
      </c>
      <c r="K357" t="n">
        <v>0</v>
      </c>
      <c r="L357" t="n">
        <v>0</v>
      </c>
      <c r="M357" t="n">
        <v>0</v>
      </c>
      <c r="N357" t="n">
        <v>0</v>
      </c>
      <c r="O357" t="n">
        <v>0</v>
      </c>
      <c r="P357" t="n">
        <v>0</v>
      </c>
      <c r="Q357" t="n">
        <v>0</v>
      </c>
      <c r="R357" s="2" t="inlineStr"/>
    </row>
    <row r="358" ht="15" customHeight="1">
      <c r="A358" t="inlineStr">
        <is>
          <t>A 40325-2023</t>
        </is>
      </c>
      <c r="B358" s="1" t="n">
        <v>45169</v>
      </c>
      <c r="C358" s="1" t="n">
        <v>45934</v>
      </c>
      <c r="D358" t="inlineStr">
        <is>
          <t>UPPSALA LÄN</t>
        </is>
      </c>
      <c r="E358" t="inlineStr">
        <is>
          <t>UPPSALA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3955-2021</t>
        </is>
      </c>
      <c r="B359" s="1" t="n">
        <v>44222</v>
      </c>
      <c r="C359" s="1" t="n">
        <v>45934</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52503-2023</t>
        </is>
      </c>
      <c r="B360" s="1" t="n">
        <v>45225.46480324074</v>
      </c>
      <c r="C360" s="1" t="n">
        <v>45934</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53963-2023</t>
        </is>
      </c>
      <c r="B361" s="1" t="n">
        <v>45231.62840277778</v>
      </c>
      <c r="C361" s="1" t="n">
        <v>45934</v>
      </c>
      <c r="D361" t="inlineStr">
        <is>
          <t>UPPSALA LÄN</t>
        </is>
      </c>
      <c r="E361" t="inlineStr">
        <is>
          <t>UPPSALA</t>
        </is>
      </c>
      <c r="G361" t="n">
        <v>1.9</v>
      </c>
      <c r="H361" t="n">
        <v>0</v>
      </c>
      <c r="I361" t="n">
        <v>0</v>
      </c>
      <c r="J361" t="n">
        <v>0</v>
      </c>
      <c r="K361" t="n">
        <v>0</v>
      </c>
      <c r="L361" t="n">
        <v>0</v>
      </c>
      <c r="M361" t="n">
        <v>0</v>
      </c>
      <c r="N361" t="n">
        <v>0</v>
      </c>
      <c r="O361" t="n">
        <v>0</v>
      </c>
      <c r="P361" t="n">
        <v>0</v>
      </c>
      <c r="Q361" t="n">
        <v>0</v>
      </c>
      <c r="R361" s="2" t="inlineStr"/>
    </row>
    <row r="362" ht="15" customHeight="1">
      <c r="A362" t="inlineStr">
        <is>
          <t>A 50395-2023</t>
        </is>
      </c>
      <c r="B362" s="1" t="n">
        <v>45216</v>
      </c>
      <c r="C362" s="1" t="n">
        <v>45934</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7501-2025</t>
        </is>
      </c>
      <c r="B363" s="1" t="n">
        <v>45705</v>
      </c>
      <c r="C363" s="1" t="n">
        <v>45934</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60444-2023</t>
        </is>
      </c>
      <c r="B364" s="1" t="n">
        <v>45259.52809027778</v>
      </c>
      <c r="C364" s="1" t="n">
        <v>45934</v>
      </c>
      <c r="D364" t="inlineStr">
        <is>
          <t>UPPSALA LÄN</t>
        </is>
      </c>
      <c r="E364" t="inlineStr">
        <is>
          <t>UPPSALA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4412-2024</t>
        </is>
      </c>
      <c r="B365" s="1" t="n">
        <v>45327</v>
      </c>
      <c r="C365" s="1" t="n">
        <v>45934</v>
      </c>
      <c r="D365" t="inlineStr">
        <is>
          <t>UPPSALA LÄN</t>
        </is>
      </c>
      <c r="E365" t="inlineStr">
        <is>
          <t>UPPSALA</t>
        </is>
      </c>
      <c r="G365" t="n">
        <v>5.4</v>
      </c>
      <c r="H365" t="n">
        <v>0</v>
      </c>
      <c r="I365" t="n">
        <v>0</v>
      </c>
      <c r="J365" t="n">
        <v>0</v>
      </c>
      <c r="K365" t="n">
        <v>0</v>
      </c>
      <c r="L365" t="n">
        <v>0</v>
      </c>
      <c r="M365" t="n">
        <v>0</v>
      </c>
      <c r="N365" t="n">
        <v>0</v>
      </c>
      <c r="O365" t="n">
        <v>0</v>
      </c>
      <c r="P365" t="n">
        <v>0</v>
      </c>
      <c r="Q365" t="n">
        <v>0</v>
      </c>
      <c r="R365" s="2" t="inlineStr"/>
    </row>
    <row r="366" ht="15" customHeight="1">
      <c r="A366" t="inlineStr">
        <is>
          <t>A 37611-2025</t>
        </is>
      </c>
      <c r="B366" s="1" t="n">
        <v>45880</v>
      </c>
      <c r="C366" s="1" t="n">
        <v>45934</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45436-2025</t>
        </is>
      </c>
      <c r="B367" s="1" t="n">
        <v>45922.46763888889</v>
      </c>
      <c r="C367" s="1" t="n">
        <v>45934</v>
      </c>
      <c r="D367" t="inlineStr">
        <is>
          <t>UPPSALA LÄN</t>
        </is>
      </c>
      <c r="E367" t="inlineStr">
        <is>
          <t>UPPSALA</t>
        </is>
      </c>
      <c r="G367" t="n">
        <v>3.5</v>
      </c>
      <c r="H367" t="n">
        <v>0</v>
      </c>
      <c r="I367" t="n">
        <v>0</v>
      </c>
      <c r="J367" t="n">
        <v>0</v>
      </c>
      <c r="K367" t="n">
        <v>0</v>
      </c>
      <c r="L367" t="n">
        <v>0</v>
      </c>
      <c r="M367" t="n">
        <v>0</v>
      </c>
      <c r="N367" t="n">
        <v>0</v>
      </c>
      <c r="O367" t="n">
        <v>0</v>
      </c>
      <c r="P367" t="n">
        <v>0</v>
      </c>
      <c r="Q367" t="n">
        <v>0</v>
      </c>
      <c r="R367" s="2" t="inlineStr"/>
    </row>
    <row r="368" ht="15" customHeight="1">
      <c r="A368" t="inlineStr">
        <is>
          <t>A 37759-2025</t>
        </is>
      </c>
      <c r="B368" s="1" t="n">
        <v>45880.68200231482</v>
      </c>
      <c r="C368" s="1" t="n">
        <v>45934</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59585-2023</t>
        </is>
      </c>
      <c r="B369" s="1" t="n">
        <v>45254</v>
      </c>
      <c r="C369" s="1" t="n">
        <v>45934</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6989-2022</t>
        </is>
      </c>
      <c r="B370" s="1" t="n">
        <v>44603</v>
      </c>
      <c r="C370" s="1" t="n">
        <v>45934</v>
      </c>
      <c r="D370" t="inlineStr">
        <is>
          <t>UPPSALA LÄN</t>
        </is>
      </c>
      <c r="E370" t="inlineStr">
        <is>
          <t>UPPSALA</t>
        </is>
      </c>
      <c r="G370" t="n">
        <v>3.1</v>
      </c>
      <c r="H370" t="n">
        <v>0</v>
      </c>
      <c r="I370" t="n">
        <v>0</v>
      </c>
      <c r="J370" t="n">
        <v>0</v>
      </c>
      <c r="K370" t="n">
        <v>0</v>
      </c>
      <c r="L370" t="n">
        <v>0</v>
      </c>
      <c r="M370" t="n">
        <v>0</v>
      </c>
      <c r="N370" t="n">
        <v>0</v>
      </c>
      <c r="O370" t="n">
        <v>0</v>
      </c>
      <c r="P370" t="n">
        <v>0</v>
      </c>
      <c r="Q370" t="n">
        <v>0</v>
      </c>
      <c r="R370" s="2" t="inlineStr"/>
    </row>
    <row r="371" ht="15" customHeight="1">
      <c r="A371" t="inlineStr">
        <is>
          <t>A 9313-2023</t>
        </is>
      </c>
      <c r="B371" s="1" t="n">
        <v>44980</v>
      </c>
      <c r="C371" s="1" t="n">
        <v>45934</v>
      </c>
      <c r="D371" t="inlineStr">
        <is>
          <t>UPPSALA LÄN</t>
        </is>
      </c>
      <c r="E371" t="inlineStr">
        <is>
          <t>UPPSALA</t>
        </is>
      </c>
      <c r="G371" t="n">
        <v>2.6</v>
      </c>
      <c r="H371" t="n">
        <v>0</v>
      </c>
      <c r="I371" t="n">
        <v>0</v>
      </c>
      <c r="J371" t="n">
        <v>0</v>
      </c>
      <c r="K371" t="n">
        <v>0</v>
      </c>
      <c r="L371" t="n">
        <v>0</v>
      </c>
      <c r="M371" t="n">
        <v>0</v>
      </c>
      <c r="N371" t="n">
        <v>0</v>
      </c>
      <c r="O371" t="n">
        <v>0</v>
      </c>
      <c r="P371" t="n">
        <v>0</v>
      </c>
      <c r="Q371" t="n">
        <v>0</v>
      </c>
      <c r="R371" s="2" t="inlineStr"/>
    </row>
    <row r="372" ht="15" customHeight="1">
      <c r="A372" t="inlineStr">
        <is>
          <t>A 32553-2024</t>
        </is>
      </c>
      <c r="B372" s="1" t="n">
        <v>45513.51815972223</v>
      </c>
      <c r="C372" s="1" t="n">
        <v>45934</v>
      </c>
      <c r="D372" t="inlineStr">
        <is>
          <t>UPPSALA LÄN</t>
        </is>
      </c>
      <c r="E372" t="inlineStr">
        <is>
          <t>UPPSALA</t>
        </is>
      </c>
      <c r="F372" t="inlineStr">
        <is>
          <t>Bergvik skog öst AB</t>
        </is>
      </c>
      <c r="G372" t="n">
        <v>4.1</v>
      </c>
      <c r="H372" t="n">
        <v>0</v>
      </c>
      <c r="I372" t="n">
        <v>0</v>
      </c>
      <c r="J372" t="n">
        <v>0</v>
      </c>
      <c r="K372" t="n">
        <v>0</v>
      </c>
      <c r="L372" t="n">
        <v>0</v>
      </c>
      <c r="M372" t="n">
        <v>0</v>
      </c>
      <c r="N372" t="n">
        <v>0</v>
      </c>
      <c r="O372" t="n">
        <v>0</v>
      </c>
      <c r="P372" t="n">
        <v>0</v>
      </c>
      <c r="Q372" t="n">
        <v>0</v>
      </c>
      <c r="R372" s="2" t="inlineStr"/>
    </row>
    <row r="373" ht="15" customHeight="1">
      <c r="A373" t="inlineStr">
        <is>
          <t>A 39818-2024</t>
        </is>
      </c>
      <c r="B373" s="1" t="n">
        <v>45552</v>
      </c>
      <c r="C373" s="1" t="n">
        <v>45934</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59996-2024</t>
        </is>
      </c>
      <c r="B374" s="1" t="n">
        <v>45642</v>
      </c>
      <c r="C374" s="1" t="n">
        <v>45934</v>
      </c>
      <c r="D374" t="inlineStr">
        <is>
          <t>UPPSALA LÄN</t>
        </is>
      </c>
      <c r="E374" t="inlineStr">
        <is>
          <t>UPPSALA</t>
        </is>
      </c>
      <c r="F374" t="inlineStr">
        <is>
          <t>Bergvik skog väst AB</t>
        </is>
      </c>
      <c r="G374" t="n">
        <v>14.5</v>
      </c>
      <c r="H374" t="n">
        <v>0</v>
      </c>
      <c r="I374" t="n">
        <v>0</v>
      </c>
      <c r="J374" t="n">
        <v>0</v>
      </c>
      <c r="K374" t="n">
        <v>0</v>
      </c>
      <c r="L374" t="n">
        <v>0</v>
      </c>
      <c r="M374" t="n">
        <v>0</v>
      </c>
      <c r="N374" t="n">
        <v>0</v>
      </c>
      <c r="O374" t="n">
        <v>0</v>
      </c>
      <c r="P374" t="n">
        <v>0</v>
      </c>
      <c r="Q374" t="n">
        <v>0</v>
      </c>
      <c r="R374" s="2" t="inlineStr"/>
    </row>
    <row r="375" ht="15" customHeight="1">
      <c r="A375" t="inlineStr">
        <is>
          <t>A 13644-2024</t>
        </is>
      </c>
      <c r="B375" s="1" t="n">
        <v>45390</v>
      </c>
      <c r="C375" s="1" t="n">
        <v>45934</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46807-2022</t>
        </is>
      </c>
      <c r="B376" s="1" t="n">
        <v>44848</v>
      </c>
      <c r="C376" s="1" t="n">
        <v>45934</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44781-2021</t>
        </is>
      </c>
      <c r="B377" s="1" t="n">
        <v>44438</v>
      </c>
      <c r="C377" s="1" t="n">
        <v>45934</v>
      </c>
      <c r="D377" t="inlineStr">
        <is>
          <t>UPPSALA LÄN</t>
        </is>
      </c>
      <c r="E377" t="inlineStr">
        <is>
          <t>UPPSALA</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44815-2023</t>
        </is>
      </c>
      <c r="B378" s="1" t="n">
        <v>45190</v>
      </c>
      <c r="C378" s="1" t="n">
        <v>45934</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5605-2025</t>
        </is>
      </c>
      <c r="B379" s="1" t="n">
        <v>45693</v>
      </c>
      <c r="C379" s="1" t="n">
        <v>45934</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18607-2024</t>
        </is>
      </c>
      <c r="B380" s="1" t="n">
        <v>45425.94947916667</v>
      </c>
      <c r="C380" s="1" t="n">
        <v>45934</v>
      </c>
      <c r="D380" t="inlineStr">
        <is>
          <t>UPPSALA LÄN</t>
        </is>
      </c>
      <c r="E380" t="inlineStr">
        <is>
          <t>UPPSALA</t>
        </is>
      </c>
      <c r="G380" t="n">
        <v>4.3</v>
      </c>
      <c r="H380" t="n">
        <v>0</v>
      </c>
      <c r="I380" t="n">
        <v>0</v>
      </c>
      <c r="J380" t="n">
        <v>0</v>
      </c>
      <c r="K380" t="n">
        <v>0</v>
      </c>
      <c r="L380" t="n">
        <v>0</v>
      </c>
      <c r="M380" t="n">
        <v>0</v>
      </c>
      <c r="N380" t="n">
        <v>0</v>
      </c>
      <c r="O380" t="n">
        <v>0</v>
      </c>
      <c r="P380" t="n">
        <v>0</v>
      </c>
      <c r="Q380" t="n">
        <v>0</v>
      </c>
      <c r="R380" s="2" t="inlineStr"/>
    </row>
    <row r="381" ht="15" customHeight="1">
      <c r="A381" t="inlineStr">
        <is>
          <t>A 20102-2023</t>
        </is>
      </c>
      <c r="B381" s="1" t="n">
        <v>45054.95675925926</v>
      </c>
      <c r="C381" s="1" t="n">
        <v>45934</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12507-2024</t>
        </is>
      </c>
      <c r="B382" s="1" t="n">
        <v>45379</v>
      </c>
      <c r="C382" s="1" t="n">
        <v>45934</v>
      </c>
      <c r="D382" t="inlineStr">
        <is>
          <t>UPPSALA LÄN</t>
        </is>
      </c>
      <c r="E382" t="inlineStr">
        <is>
          <t>UPPSALA</t>
        </is>
      </c>
      <c r="G382" t="n">
        <v>4.6</v>
      </c>
      <c r="H382" t="n">
        <v>0</v>
      </c>
      <c r="I382" t="n">
        <v>0</v>
      </c>
      <c r="J382" t="n">
        <v>0</v>
      </c>
      <c r="K382" t="n">
        <v>0</v>
      </c>
      <c r="L382" t="n">
        <v>0</v>
      </c>
      <c r="M382" t="n">
        <v>0</v>
      </c>
      <c r="N382" t="n">
        <v>0</v>
      </c>
      <c r="O382" t="n">
        <v>0</v>
      </c>
      <c r="P382" t="n">
        <v>0</v>
      </c>
      <c r="Q382" t="n">
        <v>0</v>
      </c>
      <c r="R382" s="2" t="inlineStr"/>
    </row>
    <row r="383" ht="15" customHeight="1">
      <c r="A383" t="inlineStr">
        <is>
          <t>A 37851-2025</t>
        </is>
      </c>
      <c r="B383" s="1" t="n">
        <v>45881.44938657407</v>
      </c>
      <c r="C383" s="1" t="n">
        <v>45934</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4065-2024</t>
        </is>
      </c>
      <c r="B384" s="1" t="n">
        <v>45323.55914351852</v>
      </c>
      <c r="C384" s="1" t="n">
        <v>45934</v>
      </c>
      <c r="D384" t="inlineStr">
        <is>
          <t>UPPSALA LÄN</t>
        </is>
      </c>
      <c r="E384" t="inlineStr">
        <is>
          <t>UPPSALA</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56872-2023</t>
        </is>
      </c>
      <c r="B385" s="1" t="n">
        <v>45244.52202546296</v>
      </c>
      <c r="C385" s="1" t="n">
        <v>45934</v>
      </c>
      <c r="D385" t="inlineStr">
        <is>
          <t>UPPSALA LÄN</t>
        </is>
      </c>
      <c r="E385" t="inlineStr">
        <is>
          <t>UPPSALA</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1975-2022</t>
        </is>
      </c>
      <c r="B386" s="1" t="n">
        <v>44575</v>
      </c>
      <c r="C386" s="1" t="n">
        <v>45934</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11568-2023</t>
        </is>
      </c>
      <c r="B387" s="1" t="n">
        <v>44994</v>
      </c>
      <c r="C387" s="1" t="n">
        <v>45934</v>
      </c>
      <c r="D387" t="inlineStr">
        <is>
          <t>UPPSALA LÄN</t>
        </is>
      </c>
      <c r="E387" t="inlineStr">
        <is>
          <t>UPPSALA</t>
        </is>
      </c>
      <c r="G387" t="n">
        <v>0.8</v>
      </c>
      <c r="H387" t="n">
        <v>0</v>
      </c>
      <c r="I387" t="n">
        <v>0</v>
      </c>
      <c r="J387" t="n">
        <v>0</v>
      </c>
      <c r="K387" t="n">
        <v>0</v>
      </c>
      <c r="L387" t="n">
        <v>0</v>
      </c>
      <c r="M387" t="n">
        <v>0</v>
      </c>
      <c r="N387" t="n">
        <v>0</v>
      </c>
      <c r="O387" t="n">
        <v>0</v>
      </c>
      <c r="P387" t="n">
        <v>0</v>
      </c>
      <c r="Q387" t="n">
        <v>0</v>
      </c>
      <c r="R387" s="2" t="inlineStr"/>
    </row>
    <row r="388" ht="15" customHeight="1">
      <c r="A388" t="inlineStr">
        <is>
          <t>A 5204-2025</t>
        </is>
      </c>
      <c r="B388" s="1" t="n">
        <v>45691</v>
      </c>
      <c r="C388" s="1" t="n">
        <v>45934</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45405-2025</t>
        </is>
      </c>
      <c r="B389" s="1" t="n">
        <v>45922.42865740741</v>
      </c>
      <c r="C389" s="1" t="n">
        <v>45934</v>
      </c>
      <c r="D389" t="inlineStr">
        <is>
          <t>UPPSALA LÄN</t>
        </is>
      </c>
      <c r="E389" t="inlineStr">
        <is>
          <t>UPPSALA</t>
        </is>
      </c>
      <c r="G389" t="n">
        <v>1.6</v>
      </c>
      <c r="H389" t="n">
        <v>0</v>
      </c>
      <c r="I389" t="n">
        <v>0</v>
      </c>
      <c r="J389" t="n">
        <v>0</v>
      </c>
      <c r="K389" t="n">
        <v>0</v>
      </c>
      <c r="L389" t="n">
        <v>0</v>
      </c>
      <c r="M389" t="n">
        <v>0</v>
      </c>
      <c r="N389" t="n">
        <v>0</v>
      </c>
      <c r="O389" t="n">
        <v>0</v>
      </c>
      <c r="P389" t="n">
        <v>0</v>
      </c>
      <c r="Q389" t="n">
        <v>0</v>
      </c>
      <c r="R389" s="2" t="inlineStr"/>
    </row>
    <row r="390" ht="15" customHeight="1">
      <c r="A390" t="inlineStr">
        <is>
          <t>A 17562-2022</t>
        </is>
      </c>
      <c r="B390" s="1" t="n">
        <v>44679.68706018518</v>
      </c>
      <c r="C390" s="1" t="n">
        <v>45934</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45519-2025</t>
        </is>
      </c>
      <c r="B391" s="1" t="n">
        <v>45922.590625</v>
      </c>
      <c r="C391" s="1" t="n">
        <v>45934</v>
      </c>
      <c r="D391" t="inlineStr">
        <is>
          <t>UPPSALA LÄN</t>
        </is>
      </c>
      <c r="E391" t="inlineStr">
        <is>
          <t>UPPSALA</t>
        </is>
      </c>
      <c r="G391" t="n">
        <v>0.3</v>
      </c>
      <c r="H391" t="n">
        <v>0</v>
      </c>
      <c r="I391" t="n">
        <v>0</v>
      </c>
      <c r="J391" t="n">
        <v>0</v>
      </c>
      <c r="K391" t="n">
        <v>0</v>
      </c>
      <c r="L391" t="n">
        <v>0</v>
      </c>
      <c r="M391" t="n">
        <v>0</v>
      </c>
      <c r="N391" t="n">
        <v>0</v>
      </c>
      <c r="O391" t="n">
        <v>0</v>
      </c>
      <c r="P391" t="n">
        <v>0</v>
      </c>
      <c r="Q391" t="n">
        <v>0</v>
      </c>
      <c r="R391" s="2" t="inlineStr"/>
    </row>
    <row r="392" ht="15" customHeight="1">
      <c r="A392" t="inlineStr">
        <is>
          <t>A 5669-2023</t>
        </is>
      </c>
      <c r="B392" s="1" t="n">
        <v>44960.65061342593</v>
      </c>
      <c r="C392" s="1" t="n">
        <v>45934</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5678-2023</t>
        </is>
      </c>
      <c r="B393" s="1" t="n">
        <v>44960</v>
      </c>
      <c r="C393" s="1" t="n">
        <v>45934</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60445-2024</t>
        </is>
      </c>
      <c r="B394" s="1" t="n">
        <v>45643</v>
      </c>
      <c r="C394" s="1" t="n">
        <v>45934</v>
      </c>
      <c r="D394" t="inlineStr">
        <is>
          <t>UPPSALA LÄN</t>
        </is>
      </c>
      <c r="E394" t="inlineStr">
        <is>
          <t>UPPSALA</t>
        </is>
      </c>
      <c r="G394" t="n">
        <v>1</v>
      </c>
      <c r="H394" t="n">
        <v>0</v>
      </c>
      <c r="I394" t="n">
        <v>0</v>
      </c>
      <c r="J394" t="n">
        <v>0</v>
      </c>
      <c r="K394" t="n">
        <v>0</v>
      </c>
      <c r="L394" t="n">
        <v>0</v>
      </c>
      <c r="M394" t="n">
        <v>0</v>
      </c>
      <c r="N394" t="n">
        <v>0</v>
      </c>
      <c r="O394" t="n">
        <v>0</v>
      </c>
      <c r="P394" t="n">
        <v>0</v>
      </c>
      <c r="Q394" t="n">
        <v>0</v>
      </c>
      <c r="R394" s="2" t="inlineStr"/>
    </row>
    <row r="395" ht="15" customHeight="1">
      <c r="A395" t="inlineStr">
        <is>
          <t>A 45903-2025</t>
        </is>
      </c>
      <c r="B395" s="1" t="n">
        <v>45923.70146990741</v>
      </c>
      <c r="C395" s="1" t="n">
        <v>45934</v>
      </c>
      <c r="D395" t="inlineStr">
        <is>
          <t>UPPSALA LÄN</t>
        </is>
      </c>
      <c r="E395" t="inlineStr">
        <is>
          <t>UPPSALA</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45904-2025</t>
        </is>
      </c>
      <c r="B396" s="1" t="n">
        <v>45923.70230324074</v>
      </c>
      <c r="C396" s="1" t="n">
        <v>45934</v>
      </c>
      <c r="D396" t="inlineStr">
        <is>
          <t>UPPSALA LÄN</t>
        </is>
      </c>
      <c r="E396" t="inlineStr">
        <is>
          <t>UPPSALA</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37557-2025</t>
        </is>
      </c>
      <c r="B397" s="1" t="n">
        <v>45880.32907407408</v>
      </c>
      <c r="C397" s="1" t="n">
        <v>45934</v>
      </c>
      <c r="D397" t="inlineStr">
        <is>
          <t>UPPSALA LÄN</t>
        </is>
      </c>
      <c r="E397" t="inlineStr">
        <is>
          <t>UPPSALA</t>
        </is>
      </c>
      <c r="G397" t="n">
        <v>1.6</v>
      </c>
      <c r="H397" t="n">
        <v>0</v>
      </c>
      <c r="I397" t="n">
        <v>0</v>
      </c>
      <c r="J397" t="n">
        <v>0</v>
      </c>
      <c r="K397" t="n">
        <v>0</v>
      </c>
      <c r="L397" t="n">
        <v>0</v>
      </c>
      <c r="M397" t="n">
        <v>0</v>
      </c>
      <c r="N397" t="n">
        <v>0</v>
      </c>
      <c r="O397" t="n">
        <v>0</v>
      </c>
      <c r="P397" t="n">
        <v>0</v>
      </c>
      <c r="Q397" t="n">
        <v>0</v>
      </c>
      <c r="R397" s="2" t="inlineStr"/>
    </row>
    <row r="398" ht="15" customHeight="1">
      <c r="A398" t="inlineStr">
        <is>
          <t>A 46796-2024</t>
        </is>
      </c>
      <c r="B398" s="1" t="n">
        <v>45583</v>
      </c>
      <c r="C398" s="1" t="n">
        <v>45934</v>
      </c>
      <c r="D398" t="inlineStr">
        <is>
          <t>UPPSALA LÄN</t>
        </is>
      </c>
      <c r="E398" t="inlineStr">
        <is>
          <t>UPPSALA</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341-2024</t>
        </is>
      </c>
      <c r="B399" s="1" t="n">
        <v>45295</v>
      </c>
      <c r="C399" s="1" t="n">
        <v>45934</v>
      </c>
      <c r="D399" t="inlineStr">
        <is>
          <t>UPPSALA LÄN</t>
        </is>
      </c>
      <c r="E399" t="inlineStr">
        <is>
          <t>UPPSALA</t>
        </is>
      </c>
      <c r="F399" t="inlineStr">
        <is>
          <t>Allmännings- och besparingsskogar</t>
        </is>
      </c>
      <c r="G399" t="n">
        <v>1.8</v>
      </c>
      <c r="H399" t="n">
        <v>0</v>
      </c>
      <c r="I399" t="n">
        <v>0</v>
      </c>
      <c r="J399" t="n">
        <v>0</v>
      </c>
      <c r="K399" t="n">
        <v>0</v>
      </c>
      <c r="L399" t="n">
        <v>0</v>
      </c>
      <c r="M399" t="n">
        <v>0</v>
      </c>
      <c r="N399" t="n">
        <v>0</v>
      </c>
      <c r="O399" t="n">
        <v>0</v>
      </c>
      <c r="P399" t="n">
        <v>0</v>
      </c>
      <c r="Q399" t="n">
        <v>0</v>
      </c>
      <c r="R399" s="2" t="inlineStr"/>
    </row>
    <row r="400" ht="15" customHeight="1">
      <c r="A400" t="inlineStr">
        <is>
          <t>A 25776-2022</t>
        </is>
      </c>
      <c r="B400" s="1" t="n">
        <v>44733</v>
      </c>
      <c r="C400" s="1" t="n">
        <v>45934</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37856-2025</t>
        </is>
      </c>
      <c r="B401" s="1" t="n">
        <v>45881.45898148148</v>
      </c>
      <c r="C401" s="1" t="n">
        <v>45934</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4059-2022</t>
        </is>
      </c>
      <c r="B402" s="1" t="n">
        <v>44588</v>
      </c>
      <c r="C402" s="1" t="n">
        <v>45934</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3287-2025</t>
        </is>
      </c>
      <c r="B403" s="1" t="n">
        <v>45679</v>
      </c>
      <c r="C403" s="1" t="n">
        <v>45934</v>
      </c>
      <c r="D403" t="inlineStr">
        <is>
          <t>UPPSALA LÄN</t>
        </is>
      </c>
      <c r="E403" t="inlineStr">
        <is>
          <t>UPPSALA</t>
        </is>
      </c>
      <c r="F403" t="inlineStr">
        <is>
          <t>Kyrkan</t>
        </is>
      </c>
      <c r="G403" t="n">
        <v>6.7</v>
      </c>
      <c r="H403" t="n">
        <v>0</v>
      </c>
      <c r="I403" t="n">
        <v>0</v>
      </c>
      <c r="J403" t="n">
        <v>0</v>
      </c>
      <c r="K403" t="n">
        <v>0</v>
      </c>
      <c r="L403" t="n">
        <v>0</v>
      </c>
      <c r="M403" t="n">
        <v>0</v>
      </c>
      <c r="N403" t="n">
        <v>0</v>
      </c>
      <c r="O403" t="n">
        <v>0</v>
      </c>
      <c r="P403" t="n">
        <v>0</v>
      </c>
      <c r="Q403" t="n">
        <v>0</v>
      </c>
      <c r="R403" s="2" t="inlineStr"/>
    </row>
    <row r="404" ht="15" customHeight="1">
      <c r="A404" t="inlineStr">
        <is>
          <t>A 9982-2025</t>
        </is>
      </c>
      <c r="B404" s="1" t="n">
        <v>45719.4094212963</v>
      </c>
      <c r="C404" s="1" t="n">
        <v>45934</v>
      </c>
      <c r="D404" t="inlineStr">
        <is>
          <t>UPPSALA LÄN</t>
        </is>
      </c>
      <c r="E404" t="inlineStr">
        <is>
          <t>UPPSALA</t>
        </is>
      </c>
      <c r="F404" t="inlineStr">
        <is>
          <t>Kyrkan</t>
        </is>
      </c>
      <c r="G404" t="n">
        <v>2.9</v>
      </c>
      <c r="H404" t="n">
        <v>0</v>
      </c>
      <c r="I404" t="n">
        <v>0</v>
      </c>
      <c r="J404" t="n">
        <v>0</v>
      </c>
      <c r="K404" t="n">
        <v>0</v>
      </c>
      <c r="L404" t="n">
        <v>0</v>
      </c>
      <c r="M404" t="n">
        <v>0</v>
      </c>
      <c r="N404" t="n">
        <v>0</v>
      </c>
      <c r="O404" t="n">
        <v>0</v>
      </c>
      <c r="P404" t="n">
        <v>0</v>
      </c>
      <c r="Q404" t="n">
        <v>0</v>
      </c>
      <c r="R404" s="2" t="inlineStr"/>
    </row>
    <row r="405" ht="15" customHeight="1">
      <c r="A405" t="inlineStr">
        <is>
          <t>A 9995-2025</t>
        </is>
      </c>
      <c r="B405" s="1" t="n">
        <v>45719.43872685185</v>
      </c>
      <c r="C405" s="1" t="n">
        <v>45934</v>
      </c>
      <c r="D405" t="inlineStr">
        <is>
          <t>UPPSALA LÄN</t>
        </is>
      </c>
      <c r="E405" t="inlineStr">
        <is>
          <t>UPPSALA</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54715-2022</t>
        </is>
      </c>
      <c r="B406" s="1" t="n">
        <v>44883</v>
      </c>
      <c r="C406" s="1" t="n">
        <v>45934</v>
      </c>
      <c r="D406" t="inlineStr">
        <is>
          <t>UPPSALA LÄN</t>
        </is>
      </c>
      <c r="E406" t="inlineStr">
        <is>
          <t>UPPSALA</t>
        </is>
      </c>
      <c r="F406" t="inlineStr">
        <is>
          <t>Övriga Aktiebolag</t>
        </is>
      </c>
      <c r="G406" t="n">
        <v>9.5</v>
      </c>
      <c r="H406" t="n">
        <v>0</v>
      </c>
      <c r="I406" t="n">
        <v>0</v>
      </c>
      <c r="J406" t="n">
        <v>0</v>
      </c>
      <c r="K406" t="n">
        <v>0</v>
      </c>
      <c r="L406" t="n">
        <v>0</v>
      </c>
      <c r="M406" t="n">
        <v>0</v>
      </c>
      <c r="N406" t="n">
        <v>0</v>
      </c>
      <c r="O406" t="n">
        <v>0</v>
      </c>
      <c r="P406" t="n">
        <v>0</v>
      </c>
      <c r="Q406" t="n">
        <v>0</v>
      </c>
      <c r="R406" s="2" t="inlineStr"/>
    </row>
    <row r="407" ht="15" customHeight="1">
      <c r="A407" t="inlineStr">
        <is>
          <t>A 10827-2024</t>
        </is>
      </c>
      <c r="B407" s="1" t="n">
        <v>45369</v>
      </c>
      <c r="C407" s="1" t="n">
        <v>45934</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6973-2025</t>
        </is>
      </c>
      <c r="B408" s="1" t="n">
        <v>45693</v>
      </c>
      <c r="C408" s="1" t="n">
        <v>45934</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74019-2021</t>
        </is>
      </c>
      <c r="B409" s="1" t="n">
        <v>44553</v>
      </c>
      <c r="C409" s="1" t="n">
        <v>45934</v>
      </c>
      <c r="D409" t="inlineStr">
        <is>
          <t>UPPSALA LÄN</t>
        </is>
      </c>
      <c r="E409" t="inlineStr">
        <is>
          <t>UPPSALA</t>
        </is>
      </c>
      <c r="G409" t="n">
        <v>3</v>
      </c>
      <c r="H409" t="n">
        <v>0</v>
      </c>
      <c r="I409" t="n">
        <v>0</v>
      </c>
      <c r="J409" t="n">
        <v>0</v>
      </c>
      <c r="K409" t="n">
        <v>0</v>
      </c>
      <c r="L409" t="n">
        <v>0</v>
      </c>
      <c r="M409" t="n">
        <v>0</v>
      </c>
      <c r="N409" t="n">
        <v>0</v>
      </c>
      <c r="O409" t="n">
        <v>0</v>
      </c>
      <c r="P409" t="n">
        <v>0</v>
      </c>
      <c r="Q409" t="n">
        <v>0</v>
      </c>
      <c r="R409" s="2" t="inlineStr"/>
    </row>
    <row r="410" ht="15" customHeight="1">
      <c r="A410" t="inlineStr">
        <is>
          <t>A 19613-2025</t>
        </is>
      </c>
      <c r="B410" s="1" t="n">
        <v>45770.61341435185</v>
      </c>
      <c r="C410" s="1" t="n">
        <v>45934</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8162-2025</t>
        </is>
      </c>
      <c r="B411" s="1" t="n">
        <v>45707</v>
      </c>
      <c r="C411" s="1" t="n">
        <v>45934</v>
      </c>
      <c r="D411" t="inlineStr">
        <is>
          <t>UPPSALA LÄN</t>
        </is>
      </c>
      <c r="E411" t="inlineStr">
        <is>
          <t>UPPSALA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12830-2025</t>
        </is>
      </c>
      <c r="B412" s="1" t="n">
        <v>45733.63099537037</v>
      </c>
      <c r="C412" s="1" t="n">
        <v>45934</v>
      </c>
      <c r="D412" t="inlineStr">
        <is>
          <t>UPPSALA LÄN</t>
        </is>
      </c>
      <c r="E412" t="inlineStr">
        <is>
          <t>UPPSALA</t>
        </is>
      </c>
      <c r="G412" t="n">
        <v>1.5</v>
      </c>
      <c r="H412" t="n">
        <v>0</v>
      </c>
      <c r="I412" t="n">
        <v>0</v>
      </c>
      <c r="J412" t="n">
        <v>0</v>
      </c>
      <c r="K412" t="n">
        <v>0</v>
      </c>
      <c r="L412" t="n">
        <v>0</v>
      </c>
      <c r="M412" t="n">
        <v>0</v>
      </c>
      <c r="N412" t="n">
        <v>0</v>
      </c>
      <c r="O412" t="n">
        <v>0</v>
      </c>
      <c r="P412" t="n">
        <v>0</v>
      </c>
      <c r="Q412" t="n">
        <v>0</v>
      </c>
      <c r="R412" s="2" t="inlineStr"/>
    </row>
    <row r="413" ht="15" customHeight="1">
      <c r="A413" t="inlineStr">
        <is>
          <t>A 9914-2024</t>
        </is>
      </c>
      <c r="B413" s="1" t="n">
        <v>45363.54878472222</v>
      </c>
      <c r="C413" s="1" t="n">
        <v>45934</v>
      </c>
      <c r="D413" t="inlineStr">
        <is>
          <t>UPPSALA LÄN</t>
        </is>
      </c>
      <c r="E413" t="inlineStr">
        <is>
          <t>UPPSALA</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19276-2023</t>
        </is>
      </c>
      <c r="B414" s="1" t="n">
        <v>45049</v>
      </c>
      <c r="C414" s="1" t="n">
        <v>45934</v>
      </c>
      <c r="D414" t="inlineStr">
        <is>
          <t>UPPSALA LÄN</t>
        </is>
      </c>
      <c r="E414" t="inlineStr">
        <is>
          <t>UPPSALA</t>
        </is>
      </c>
      <c r="G414" t="n">
        <v>1.8</v>
      </c>
      <c r="H414" t="n">
        <v>0</v>
      </c>
      <c r="I414" t="n">
        <v>0</v>
      </c>
      <c r="J414" t="n">
        <v>0</v>
      </c>
      <c r="K414" t="n">
        <v>0</v>
      </c>
      <c r="L414" t="n">
        <v>0</v>
      </c>
      <c r="M414" t="n">
        <v>0</v>
      </c>
      <c r="N414" t="n">
        <v>0</v>
      </c>
      <c r="O414" t="n">
        <v>0</v>
      </c>
      <c r="P414" t="n">
        <v>0</v>
      </c>
      <c r="Q414" t="n">
        <v>0</v>
      </c>
      <c r="R414" s="2" t="inlineStr"/>
    </row>
    <row r="415" ht="15" customHeight="1">
      <c r="A415" t="inlineStr">
        <is>
          <t>A 47287-2023</t>
        </is>
      </c>
      <c r="B415" s="1" t="n">
        <v>45202</v>
      </c>
      <c r="C415" s="1" t="n">
        <v>45934</v>
      </c>
      <c r="D415" t="inlineStr">
        <is>
          <t>UPPSALA LÄN</t>
        </is>
      </c>
      <c r="E415" t="inlineStr">
        <is>
          <t>UPPSALA</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60447-2023</t>
        </is>
      </c>
      <c r="B416" s="1" t="n">
        <v>45259</v>
      </c>
      <c r="C416" s="1" t="n">
        <v>45934</v>
      </c>
      <c r="D416" t="inlineStr">
        <is>
          <t>UPPSALA LÄN</t>
        </is>
      </c>
      <c r="E416" t="inlineStr">
        <is>
          <t>UPPSALA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38034-2025</t>
        </is>
      </c>
      <c r="B417" s="1" t="n">
        <v>45882.37202546297</v>
      </c>
      <c r="C417" s="1" t="n">
        <v>45934</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27119-2023</t>
        </is>
      </c>
      <c r="B418" s="1" t="n">
        <v>45096</v>
      </c>
      <c r="C418" s="1" t="n">
        <v>45934</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35906-2023</t>
        </is>
      </c>
      <c r="B419" s="1" t="n">
        <v>45148</v>
      </c>
      <c r="C419" s="1" t="n">
        <v>45934</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37588-2022</t>
        </is>
      </c>
      <c r="B420" s="1" t="n">
        <v>44809.92752314815</v>
      </c>
      <c r="C420" s="1" t="n">
        <v>45934</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45588-2025</t>
        </is>
      </c>
      <c r="B421" s="1" t="n">
        <v>45922</v>
      </c>
      <c r="C421" s="1" t="n">
        <v>45934</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4993-2025</t>
        </is>
      </c>
      <c r="B422" s="1" t="n">
        <v>45691</v>
      </c>
      <c r="C422" s="1" t="n">
        <v>45934</v>
      </c>
      <c r="D422" t="inlineStr">
        <is>
          <t>UPPSALA LÄN</t>
        </is>
      </c>
      <c r="E422" t="inlineStr">
        <is>
          <t>UPPSALA</t>
        </is>
      </c>
      <c r="F422" t="inlineStr">
        <is>
          <t>Kyrkan</t>
        </is>
      </c>
      <c r="G422" t="n">
        <v>6.7</v>
      </c>
      <c r="H422" t="n">
        <v>0</v>
      </c>
      <c r="I422" t="n">
        <v>0</v>
      </c>
      <c r="J422" t="n">
        <v>0</v>
      </c>
      <c r="K422" t="n">
        <v>0</v>
      </c>
      <c r="L422" t="n">
        <v>0</v>
      </c>
      <c r="M422" t="n">
        <v>0</v>
      </c>
      <c r="N422" t="n">
        <v>0</v>
      </c>
      <c r="O422" t="n">
        <v>0</v>
      </c>
      <c r="P422" t="n">
        <v>0</v>
      </c>
      <c r="Q422" t="n">
        <v>0</v>
      </c>
      <c r="R422" s="2" t="inlineStr"/>
    </row>
    <row r="423" ht="15" customHeight="1">
      <c r="A423" t="inlineStr">
        <is>
          <t>A 59549-2024</t>
        </is>
      </c>
      <c r="B423" s="1" t="n">
        <v>45638</v>
      </c>
      <c r="C423" s="1" t="n">
        <v>45934</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38113-2025</t>
        </is>
      </c>
      <c r="B424" s="1" t="n">
        <v>45882.52290509259</v>
      </c>
      <c r="C424" s="1" t="n">
        <v>45934</v>
      </c>
      <c r="D424" t="inlineStr">
        <is>
          <t>UPPSALA LÄN</t>
        </is>
      </c>
      <c r="E424" t="inlineStr">
        <is>
          <t>UPPSALA</t>
        </is>
      </c>
      <c r="G424" t="n">
        <v>5.8</v>
      </c>
      <c r="H424" t="n">
        <v>0</v>
      </c>
      <c r="I424" t="n">
        <v>0</v>
      </c>
      <c r="J424" t="n">
        <v>0</v>
      </c>
      <c r="K424" t="n">
        <v>0</v>
      </c>
      <c r="L424" t="n">
        <v>0</v>
      </c>
      <c r="M424" t="n">
        <v>0</v>
      </c>
      <c r="N424" t="n">
        <v>0</v>
      </c>
      <c r="O424" t="n">
        <v>0</v>
      </c>
      <c r="P424" t="n">
        <v>0</v>
      </c>
      <c r="Q424" t="n">
        <v>0</v>
      </c>
      <c r="R424" s="2" t="inlineStr"/>
    </row>
    <row r="425" ht="15" customHeight="1">
      <c r="A425" t="inlineStr">
        <is>
          <t>A 9295-2023</t>
        </is>
      </c>
      <c r="B425" s="1" t="n">
        <v>44980</v>
      </c>
      <c r="C425" s="1" t="n">
        <v>45934</v>
      </c>
      <c r="D425" t="inlineStr">
        <is>
          <t>UPPSALA LÄN</t>
        </is>
      </c>
      <c r="E425" t="inlineStr">
        <is>
          <t>UPPSALA</t>
        </is>
      </c>
      <c r="G425" t="n">
        <v>2.1</v>
      </c>
      <c r="H425" t="n">
        <v>0</v>
      </c>
      <c r="I425" t="n">
        <v>0</v>
      </c>
      <c r="J425" t="n">
        <v>0</v>
      </c>
      <c r="K425" t="n">
        <v>0</v>
      </c>
      <c r="L425" t="n">
        <v>0</v>
      </c>
      <c r="M425" t="n">
        <v>0</v>
      </c>
      <c r="N425" t="n">
        <v>0</v>
      </c>
      <c r="O425" t="n">
        <v>0</v>
      </c>
      <c r="P425" t="n">
        <v>0</v>
      </c>
      <c r="Q425" t="n">
        <v>0</v>
      </c>
      <c r="R425" s="2" t="inlineStr"/>
    </row>
    <row r="426" ht="15" customHeight="1">
      <c r="A426" t="inlineStr">
        <is>
          <t>A 29019-2023</t>
        </is>
      </c>
      <c r="B426" s="1" t="n">
        <v>45104.6828125</v>
      </c>
      <c r="C426" s="1" t="n">
        <v>45934</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28782-2024</t>
        </is>
      </c>
      <c r="B427" s="1" t="n">
        <v>45478.60802083334</v>
      </c>
      <c r="C427" s="1" t="n">
        <v>45934</v>
      </c>
      <c r="D427" t="inlineStr">
        <is>
          <t>UPPSALA LÄN</t>
        </is>
      </c>
      <c r="E427" t="inlineStr">
        <is>
          <t>UPPSALA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22996-2021</t>
        </is>
      </c>
      <c r="B428" s="1" t="n">
        <v>44328</v>
      </c>
      <c r="C428" s="1" t="n">
        <v>45934</v>
      </c>
      <c r="D428" t="inlineStr">
        <is>
          <t>UPPSALA LÄN</t>
        </is>
      </c>
      <c r="E428" t="inlineStr">
        <is>
          <t>UPPSALA</t>
        </is>
      </c>
      <c r="F428" t="inlineStr">
        <is>
          <t>Bergvik skog öst AB</t>
        </is>
      </c>
      <c r="G428" t="n">
        <v>3.1</v>
      </c>
      <c r="H428" t="n">
        <v>0</v>
      </c>
      <c r="I428" t="n">
        <v>0</v>
      </c>
      <c r="J428" t="n">
        <v>0</v>
      </c>
      <c r="K428" t="n">
        <v>0</v>
      </c>
      <c r="L428" t="n">
        <v>0</v>
      </c>
      <c r="M428" t="n">
        <v>0</v>
      </c>
      <c r="N428" t="n">
        <v>0</v>
      </c>
      <c r="O428" t="n">
        <v>0</v>
      </c>
      <c r="P428" t="n">
        <v>0</v>
      </c>
      <c r="Q428" t="n">
        <v>0</v>
      </c>
      <c r="R428" s="2" t="inlineStr"/>
    </row>
    <row r="429" ht="15" customHeight="1">
      <c r="A429" t="inlineStr">
        <is>
          <t>A 27125-2023</t>
        </is>
      </c>
      <c r="B429" s="1" t="n">
        <v>45096</v>
      </c>
      <c r="C429" s="1" t="n">
        <v>45934</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9426-2023</t>
        </is>
      </c>
      <c r="B430" s="1" t="n">
        <v>44977</v>
      </c>
      <c r="C430" s="1" t="n">
        <v>45934</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53900-2023</t>
        </is>
      </c>
      <c r="B431" s="1" t="n">
        <v>45231.54601851852</v>
      </c>
      <c r="C431" s="1" t="n">
        <v>45934</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62287-2023</t>
        </is>
      </c>
      <c r="B432" s="1" t="n">
        <v>45267</v>
      </c>
      <c r="C432" s="1" t="n">
        <v>45934</v>
      </c>
      <c r="D432" t="inlineStr">
        <is>
          <t>UPPSALA LÄN</t>
        </is>
      </c>
      <c r="E432" t="inlineStr">
        <is>
          <t>UPPSALA</t>
        </is>
      </c>
      <c r="F432" t="inlineStr">
        <is>
          <t>Allmännings- och besparingsskogar</t>
        </is>
      </c>
      <c r="G432" t="n">
        <v>2.8</v>
      </c>
      <c r="H432" t="n">
        <v>0</v>
      </c>
      <c r="I432" t="n">
        <v>0</v>
      </c>
      <c r="J432" t="n">
        <v>0</v>
      </c>
      <c r="K432" t="n">
        <v>0</v>
      </c>
      <c r="L432" t="n">
        <v>0</v>
      </c>
      <c r="M432" t="n">
        <v>0</v>
      </c>
      <c r="N432" t="n">
        <v>0</v>
      </c>
      <c r="O432" t="n">
        <v>0</v>
      </c>
      <c r="P432" t="n">
        <v>0</v>
      </c>
      <c r="Q432" t="n">
        <v>0</v>
      </c>
      <c r="R432" s="2" t="inlineStr"/>
    </row>
    <row r="433" ht="15" customHeight="1">
      <c r="A433" t="inlineStr">
        <is>
          <t>A 46983-2025</t>
        </is>
      </c>
      <c r="B433" s="1" t="n">
        <v>45929.53203703704</v>
      </c>
      <c r="C433" s="1" t="n">
        <v>45934</v>
      </c>
      <c r="D433" t="inlineStr">
        <is>
          <t>UPPSALA LÄN</t>
        </is>
      </c>
      <c r="E433" t="inlineStr">
        <is>
          <t>UPPSALA</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47131-2025</t>
        </is>
      </c>
      <c r="B434" s="1" t="n">
        <v>45929.69553240741</v>
      </c>
      <c r="C434" s="1" t="n">
        <v>45934</v>
      </c>
      <c r="D434" t="inlineStr">
        <is>
          <t>UPPSALA LÄN</t>
        </is>
      </c>
      <c r="E434" t="inlineStr">
        <is>
          <t>UPPSALA</t>
        </is>
      </c>
      <c r="F434" t="inlineStr">
        <is>
          <t>Kyrkan</t>
        </is>
      </c>
      <c r="G434" t="n">
        <v>1.9</v>
      </c>
      <c r="H434" t="n">
        <v>0</v>
      </c>
      <c r="I434" t="n">
        <v>0</v>
      </c>
      <c r="J434" t="n">
        <v>0</v>
      </c>
      <c r="K434" t="n">
        <v>0</v>
      </c>
      <c r="L434" t="n">
        <v>0</v>
      </c>
      <c r="M434" t="n">
        <v>0</v>
      </c>
      <c r="N434" t="n">
        <v>0</v>
      </c>
      <c r="O434" t="n">
        <v>0</v>
      </c>
      <c r="P434" t="n">
        <v>0</v>
      </c>
      <c r="Q434" t="n">
        <v>0</v>
      </c>
      <c r="R434" s="2" t="inlineStr"/>
    </row>
    <row r="435" ht="15" customHeight="1">
      <c r="A435" t="inlineStr">
        <is>
          <t>A 8132-2022</t>
        </is>
      </c>
      <c r="B435" s="1" t="n">
        <v>44609.60171296296</v>
      </c>
      <c r="C435" s="1" t="n">
        <v>45934</v>
      </c>
      <c r="D435" t="inlineStr">
        <is>
          <t>UPPSALA LÄN</t>
        </is>
      </c>
      <c r="E435" t="inlineStr">
        <is>
          <t>UPPSALA</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47132-2025</t>
        </is>
      </c>
      <c r="B436" s="1" t="n">
        <v>45929.6965162037</v>
      </c>
      <c r="C436" s="1" t="n">
        <v>45934</v>
      </c>
      <c r="D436" t="inlineStr">
        <is>
          <t>UPPSALA LÄN</t>
        </is>
      </c>
      <c r="E436" t="inlineStr">
        <is>
          <t>UPPSALA</t>
        </is>
      </c>
      <c r="F436" t="inlineStr">
        <is>
          <t>Kyrkan</t>
        </is>
      </c>
      <c r="G436" t="n">
        <v>1.9</v>
      </c>
      <c r="H436" t="n">
        <v>0</v>
      </c>
      <c r="I436" t="n">
        <v>0</v>
      </c>
      <c r="J436" t="n">
        <v>0</v>
      </c>
      <c r="K436" t="n">
        <v>0</v>
      </c>
      <c r="L436" t="n">
        <v>0</v>
      </c>
      <c r="M436" t="n">
        <v>0</v>
      </c>
      <c r="N436" t="n">
        <v>0</v>
      </c>
      <c r="O436" t="n">
        <v>0</v>
      </c>
      <c r="P436" t="n">
        <v>0</v>
      </c>
      <c r="Q436" t="n">
        <v>0</v>
      </c>
      <c r="R436" s="2" t="inlineStr"/>
    </row>
    <row r="437" ht="15" customHeight="1">
      <c r="A437" t="inlineStr">
        <is>
          <t>A 18054-2025</t>
        </is>
      </c>
      <c r="B437" s="1" t="n">
        <v>45761.47540509259</v>
      </c>
      <c r="C437" s="1" t="n">
        <v>45934</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18058-2025</t>
        </is>
      </c>
      <c r="B438" s="1" t="n">
        <v>45761.47748842592</v>
      </c>
      <c r="C438" s="1" t="n">
        <v>45934</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781-2024</t>
        </is>
      </c>
      <c r="B439" s="1" t="n">
        <v>45300.55028935185</v>
      </c>
      <c r="C439" s="1" t="n">
        <v>45934</v>
      </c>
      <c r="D439" t="inlineStr">
        <is>
          <t>UPPSALA LÄN</t>
        </is>
      </c>
      <c r="E439" t="inlineStr">
        <is>
          <t>UPPSALA</t>
        </is>
      </c>
      <c r="G439" t="n">
        <v>6.3</v>
      </c>
      <c r="H439" t="n">
        <v>0</v>
      </c>
      <c r="I439" t="n">
        <v>0</v>
      </c>
      <c r="J439" t="n">
        <v>0</v>
      </c>
      <c r="K439" t="n">
        <v>0</v>
      </c>
      <c r="L439" t="n">
        <v>0</v>
      </c>
      <c r="M439" t="n">
        <v>0</v>
      </c>
      <c r="N439" t="n">
        <v>0</v>
      </c>
      <c r="O439" t="n">
        <v>0</v>
      </c>
      <c r="P439" t="n">
        <v>0</v>
      </c>
      <c r="Q439" t="n">
        <v>0</v>
      </c>
      <c r="R439" s="2" t="inlineStr"/>
    </row>
    <row r="440" ht="15" customHeight="1">
      <c r="A440" t="inlineStr">
        <is>
          <t>A 40872-2023</t>
        </is>
      </c>
      <c r="B440" s="1" t="n">
        <v>45173</v>
      </c>
      <c r="C440" s="1" t="n">
        <v>45934</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16288-2025</t>
        </is>
      </c>
      <c r="B441" s="1" t="n">
        <v>45751.32001157408</v>
      </c>
      <c r="C441" s="1" t="n">
        <v>45934</v>
      </c>
      <c r="D441" t="inlineStr">
        <is>
          <t>UPPSALA LÄN</t>
        </is>
      </c>
      <c r="E441" t="inlineStr">
        <is>
          <t>UPPSALA</t>
        </is>
      </c>
      <c r="G441" t="n">
        <v>3.9</v>
      </c>
      <c r="H441" t="n">
        <v>0</v>
      </c>
      <c r="I441" t="n">
        <v>0</v>
      </c>
      <c r="J441" t="n">
        <v>0</v>
      </c>
      <c r="K441" t="n">
        <v>0</v>
      </c>
      <c r="L441" t="n">
        <v>0</v>
      </c>
      <c r="M441" t="n">
        <v>0</v>
      </c>
      <c r="N441" t="n">
        <v>0</v>
      </c>
      <c r="O441" t="n">
        <v>0</v>
      </c>
      <c r="P441" t="n">
        <v>0</v>
      </c>
      <c r="Q441" t="n">
        <v>0</v>
      </c>
      <c r="R441" s="2" t="inlineStr"/>
    </row>
    <row r="442" ht="15" customHeight="1">
      <c r="A442" t="inlineStr">
        <is>
          <t>A 6550-2025</t>
        </is>
      </c>
      <c r="B442" s="1" t="n">
        <v>45699.71063657408</v>
      </c>
      <c r="C442" s="1" t="n">
        <v>45934</v>
      </c>
      <c r="D442" t="inlineStr">
        <is>
          <t>UPPSALA LÄN</t>
        </is>
      </c>
      <c r="E442" t="inlineStr">
        <is>
          <t>UPPSALA</t>
        </is>
      </c>
      <c r="G442" t="n">
        <v>2.4</v>
      </c>
      <c r="H442" t="n">
        <v>0</v>
      </c>
      <c r="I442" t="n">
        <v>0</v>
      </c>
      <c r="J442" t="n">
        <v>0</v>
      </c>
      <c r="K442" t="n">
        <v>0</v>
      </c>
      <c r="L442" t="n">
        <v>0</v>
      </c>
      <c r="M442" t="n">
        <v>0</v>
      </c>
      <c r="N442" t="n">
        <v>0</v>
      </c>
      <c r="O442" t="n">
        <v>0</v>
      </c>
      <c r="P442" t="n">
        <v>0</v>
      </c>
      <c r="Q442" t="n">
        <v>0</v>
      </c>
      <c r="R442" s="2" t="inlineStr"/>
    </row>
    <row r="443" ht="15" customHeight="1">
      <c r="A443" t="inlineStr">
        <is>
          <t>A 17658-2025</t>
        </is>
      </c>
      <c r="B443" s="1" t="n">
        <v>45758</v>
      </c>
      <c r="C443" s="1" t="n">
        <v>45934</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46564-2025</t>
        </is>
      </c>
      <c r="B444" s="1" t="n">
        <v>45926.35917824074</v>
      </c>
      <c r="C444" s="1" t="n">
        <v>45934</v>
      </c>
      <c r="D444" t="inlineStr">
        <is>
          <t>UPPSALA LÄN</t>
        </is>
      </c>
      <c r="E444" t="inlineStr">
        <is>
          <t>UPPSALA</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46565-2025</t>
        </is>
      </c>
      <c r="B445" s="1" t="n">
        <v>45926.35998842592</v>
      </c>
      <c r="C445" s="1" t="n">
        <v>45934</v>
      </c>
      <c r="D445" t="inlineStr">
        <is>
          <t>UPPSALA LÄN</t>
        </is>
      </c>
      <c r="E445" t="inlineStr">
        <is>
          <t>UPPSALA</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9592-2022</t>
        </is>
      </c>
      <c r="B446" s="1" t="n">
        <v>44617.48311342593</v>
      </c>
      <c r="C446" s="1" t="n">
        <v>45934</v>
      </c>
      <c r="D446" t="inlineStr">
        <is>
          <t>UPPSALA LÄN</t>
        </is>
      </c>
      <c r="E446" t="inlineStr">
        <is>
          <t>UPPSALA</t>
        </is>
      </c>
      <c r="G446" t="n">
        <v>7.5</v>
      </c>
      <c r="H446" t="n">
        <v>0</v>
      </c>
      <c r="I446" t="n">
        <v>0</v>
      </c>
      <c r="J446" t="n">
        <v>0</v>
      </c>
      <c r="K446" t="n">
        <v>0</v>
      </c>
      <c r="L446" t="n">
        <v>0</v>
      </c>
      <c r="M446" t="n">
        <v>0</v>
      </c>
      <c r="N446" t="n">
        <v>0</v>
      </c>
      <c r="O446" t="n">
        <v>0</v>
      </c>
      <c r="P446" t="n">
        <v>0</v>
      </c>
      <c r="Q446" t="n">
        <v>0</v>
      </c>
      <c r="R446" s="2" t="inlineStr"/>
    </row>
    <row r="447" ht="15" customHeight="1">
      <c r="A447" t="inlineStr">
        <is>
          <t>A 18781-2025</t>
        </is>
      </c>
      <c r="B447" s="1" t="n">
        <v>45763</v>
      </c>
      <c r="C447" s="1" t="n">
        <v>45934</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55862-2022</t>
        </is>
      </c>
      <c r="B448" s="1" t="n">
        <v>44888</v>
      </c>
      <c r="C448" s="1" t="n">
        <v>45934</v>
      </c>
      <c r="D448" t="inlineStr">
        <is>
          <t>UPPSALA LÄN</t>
        </is>
      </c>
      <c r="E448" t="inlineStr">
        <is>
          <t>UPPSALA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32428-2023</t>
        </is>
      </c>
      <c r="B449" s="1" t="n">
        <v>45110</v>
      </c>
      <c r="C449" s="1" t="n">
        <v>45934</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29901-2023</t>
        </is>
      </c>
      <c r="B450" s="1" t="n">
        <v>45107</v>
      </c>
      <c r="C450" s="1" t="n">
        <v>45934</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29926-2023</t>
        </is>
      </c>
      <c r="B451" s="1" t="n">
        <v>45107</v>
      </c>
      <c r="C451" s="1" t="n">
        <v>45934</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49050-2024</t>
        </is>
      </c>
      <c r="B452" s="1" t="n">
        <v>45594</v>
      </c>
      <c r="C452" s="1" t="n">
        <v>45934</v>
      </c>
      <c r="D452" t="inlineStr">
        <is>
          <t>UPPSALA LÄN</t>
        </is>
      </c>
      <c r="E452" t="inlineStr">
        <is>
          <t>UPPSALA</t>
        </is>
      </c>
      <c r="F452" t="inlineStr">
        <is>
          <t>Övriga statliga verk och myndigheter</t>
        </is>
      </c>
      <c r="G452" t="n">
        <v>3.9</v>
      </c>
      <c r="H452" t="n">
        <v>0</v>
      </c>
      <c r="I452" t="n">
        <v>0</v>
      </c>
      <c r="J452" t="n">
        <v>0</v>
      </c>
      <c r="K452" t="n">
        <v>0</v>
      </c>
      <c r="L452" t="n">
        <v>0</v>
      </c>
      <c r="M452" t="n">
        <v>0</v>
      </c>
      <c r="N452" t="n">
        <v>0</v>
      </c>
      <c r="O452" t="n">
        <v>0</v>
      </c>
      <c r="P452" t="n">
        <v>0</v>
      </c>
      <c r="Q452" t="n">
        <v>0</v>
      </c>
      <c r="R452" s="2" t="inlineStr"/>
    </row>
    <row r="453" ht="15" customHeight="1">
      <c r="A453" t="inlineStr">
        <is>
          <t>A 46772-2025</t>
        </is>
      </c>
      <c r="B453" s="1" t="n">
        <v>45926.63232638889</v>
      </c>
      <c r="C453" s="1" t="n">
        <v>45934</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46773-2025</t>
        </is>
      </c>
      <c r="B454" s="1" t="n">
        <v>45926.63290509259</v>
      </c>
      <c r="C454" s="1" t="n">
        <v>45934</v>
      </c>
      <c r="D454" t="inlineStr">
        <is>
          <t>UPPSALA LÄN</t>
        </is>
      </c>
      <c r="E454" t="inlineStr">
        <is>
          <t>UPPSALA</t>
        </is>
      </c>
      <c r="F454" t="inlineStr">
        <is>
          <t>Kyrkan</t>
        </is>
      </c>
      <c r="G454" t="n">
        <v>0.9</v>
      </c>
      <c r="H454" t="n">
        <v>0</v>
      </c>
      <c r="I454" t="n">
        <v>0</v>
      </c>
      <c r="J454" t="n">
        <v>0</v>
      </c>
      <c r="K454" t="n">
        <v>0</v>
      </c>
      <c r="L454" t="n">
        <v>0</v>
      </c>
      <c r="M454" t="n">
        <v>0</v>
      </c>
      <c r="N454" t="n">
        <v>0</v>
      </c>
      <c r="O454" t="n">
        <v>0</v>
      </c>
      <c r="P454" t="n">
        <v>0</v>
      </c>
      <c r="Q454" t="n">
        <v>0</v>
      </c>
      <c r="R454" s="2" t="inlineStr"/>
    </row>
    <row r="455" ht="15" customHeight="1">
      <c r="A455" t="inlineStr">
        <is>
          <t>A 59547-2024</t>
        </is>
      </c>
      <c r="B455" s="1" t="n">
        <v>45638</v>
      </c>
      <c r="C455" s="1" t="n">
        <v>45934</v>
      </c>
      <c r="D455" t="inlineStr">
        <is>
          <t>UPPSALA LÄN</t>
        </is>
      </c>
      <c r="E455" t="inlineStr">
        <is>
          <t>UPPSALA</t>
        </is>
      </c>
      <c r="G455" t="n">
        <v>2.2</v>
      </c>
      <c r="H455" t="n">
        <v>0</v>
      </c>
      <c r="I455" t="n">
        <v>0</v>
      </c>
      <c r="J455" t="n">
        <v>0</v>
      </c>
      <c r="K455" t="n">
        <v>0</v>
      </c>
      <c r="L455" t="n">
        <v>0</v>
      </c>
      <c r="M455" t="n">
        <v>0</v>
      </c>
      <c r="N455" t="n">
        <v>0</v>
      </c>
      <c r="O455" t="n">
        <v>0</v>
      </c>
      <c r="P455" t="n">
        <v>0</v>
      </c>
      <c r="Q455" t="n">
        <v>0</v>
      </c>
      <c r="R455" s="2" t="inlineStr"/>
    </row>
    <row r="456" ht="15" customHeight="1">
      <c r="A456" t="inlineStr">
        <is>
          <t>A 53384-2024</t>
        </is>
      </c>
      <c r="B456" s="1" t="n">
        <v>45614</v>
      </c>
      <c r="C456" s="1" t="n">
        <v>45934</v>
      </c>
      <c r="D456" t="inlineStr">
        <is>
          <t>UPPSALA LÄN</t>
        </is>
      </c>
      <c r="E456" t="inlineStr">
        <is>
          <t>UPPSALA</t>
        </is>
      </c>
      <c r="G456" t="n">
        <v>3.7</v>
      </c>
      <c r="H456" t="n">
        <v>0</v>
      </c>
      <c r="I456" t="n">
        <v>0</v>
      </c>
      <c r="J456" t="n">
        <v>0</v>
      </c>
      <c r="K456" t="n">
        <v>0</v>
      </c>
      <c r="L456" t="n">
        <v>0</v>
      </c>
      <c r="M456" t="n">
        <v>0</v>
      </c>
      <c r="N456" t="n">
        <v>0</v>
      </c>
      <c r="O456" t="n">
        <v>0</v>
      </c>
      <c r="P456" t="n">
        <v>0</v>
      </c>
      <c r="Q456" t="n">
        <v>0</v>
      </c>
      <c r="R456" s="2" t="inlineStr"/>
    </row>
    <row r="457" ht="15" customHeight="1">
      <c r="A457" t="inlineStr">
        <is>
          <t>A 3353-2023</t>
        </is>
      </c>
      <c r="B457" s="1" t="n">
        <v>44949.4708912037</v>
      </c>
      <c r="C457" s="1" t="n">
        <v>45934</v>
      </c>
      <c r="D457" t="inlineStr">
        <is>
          <t>UPPSALA LÄN</t>
        </is>
      </c>
      <c r="E457" t="inlineStr">
        <is>
          <t>UPPSALA</t>
        </is>
      </c>
      <c r="G457" t="n">
        <v>3</v>
      </c>
      <c r="H457" t="n">
        <v>0</v>
      </c>
      <c r="I457" t="n">
        <v>0</v>
      </c>
      <c r="J457" t="n">
        <v>0</v>
      </c>
      <c r="K457" t="n">
        <v>0</v>
      </c>
      <c r="L457" t="n">
        <v>0</v>
      </c>
      <c r="M457" t="n">
        <v>0</v>
      </c>
      <c r="N457" t="n">
        <v>0</v>
      </c>
      <c r="O457" t="n">
        <v>0</v>
      </c>
      <c r="P457" t="n">
        <v>0</v>
      </c>
      <c r="Q457" t="n">
        <v>0</v>
      </c>
      <c r="R457" s="2" t="inlineStr"/>
    </row>
    <row r="458" ht="15" customHeight="1">
      <c r="A458" t="inlineStr">
        <is>
          <t>A 10383-2022</t>
        </is>
      </c>
      <c r="B458" s="1" t="n">
        <v>44623.41775462963</v>
      </c>
      <c r="C458" s="1" t="n">
        <v>45934</v>
      </c>
      <c r="D458" t="inlineStr">
        <is>
          <t>UPPSALA LÄN</t>
        </is>
      </c>
      <c r="E458" t="inlineStr">
        <is>
          <t>UPPSALA</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60691-2024</t>
        </is>
      </c>
      <c r="B459" s="1" t="n">
        <v>45644.47723379629</v>
      </c>
      <c r="C459" s="1" t="n">
        <v>45934</v>
      </c>
      <c r="D459" t="inlineStr">
        <is>
          <t>UPPSALA LÄN</t>
        </is>
      </c>
      <c r="E459" t="inlineStr">
        <is>
          <t>UPPSALA</t>
        </is>
      </c>
      <c r="G459" t="n">
        <v>1.4</v>
      </c>
      <c r="H459" t="n">
        <v>0</v>
      </c>
      <c r="I459" t="n">
        <v>0</v>
      </c>
      <c r="J459" t="n">
        <v>0</v>
      </c>
      <c r="K459" t="n">
        <v>0</v>
      </c>
      <c r="L459" t="n">
        <v>0</v>
      </c>
      <c r="M459" t="n">
        <v>0</v>
      </c>
      <c r="N459" t="n">
        <v>0</v>
      </c>
      <c r="O459" t="n">
        <v>0</v>
      </c>
      <c r="P459" t="n">
        <v>0</v>
      </c>
      <c r="Q459" t="n">
        <v>0</v>
      </c>
      <c r="R459" s="2" t="inlineStr"/>
    </row>
    <row r="460" ht="15" customHeight="1">
      <c r="A460" t="inlineStr">
        <is>
          <t>A 55953-2020</t>
        </is>
      </c>
      <c r="B460" s="1" t="n">
        <v>44131</v>
      </c>
      <c r="C460" s="1" t="n">
        <v>45934</v>
      </c>
      <c r="D460" t="inlineStr">
        <is>
          <t>UPPSALA LÄN</t>
        </is>
      </c>
      <c r="E460" t="inlineStr">
        <is>
          <t>UPPSALA</t>
        </is>
      </c>
      <c r="F460" t="inlineStr">
        <is>
          <t>Allmännings- och besparingsskogar</t>
        </is>
      </c>
      <c r="G460" t="n">
        <v>74.40000000000001</v>
      </c>
      <c r="H460" t="n">
        <v>0</v>
      </c>
      <c r="I460" t="n">
        <v>0</v>
      </c>
      <c r="J460" t="n">
        <v>0</v>
      </c>
      <c r="K460" t="n">
        <v>0</v>
      </c>
      <c r="L460" t="n">
        <v>0</v>
      </c>
      <c r="M460" t="n">
        <v>0</v>
      </c>
      <c r="N460" t="n">
        <v>0</v>
      </c>
      <c r="O460" t="n">
        <v>0</v>
      </c>
      <c r="P460" t="n">
        <v>0</v>
      </c>
      <c r="Q460" t="n">
        <v>0</v>
      </c>
      <c r="R460" s="2" t="inlineStr"/>
    </row>
    <row r="461" ht="15" customHeight="1">
      <c r="A461" t="inlineStr">
        <is>
          <t>A 23157-2023</t>
        </is>
      </c>
      <c r="B461" s="1" t="n">
        <v>45075.51982638889</v>
      </c>
      <c r="C461" s="1" t="n">
        <v>45934</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53589-2024</t>
        </is>
      </c>
      <c r="B462" s="1" t="n">
        <v>45614.67020833334</v>
      </c>
      <c r="C462" s="1" t="n">
        <v>45934</v>
      </c>
      <c r="D462" t="inlineStr">
        <is>
          <t>UPPSALA LÄN</t>
        </is>
      </c>
      <c r="E462" t="inlineStr">
        <is>
          <t>UPPSALA</t>
        </is>
      </c>
      <c r="G462" t="n">
        <v>4</v>
      </c>
      <c r="H462" t="n">
        <v>0</v>
      </c>
      <c r="I462" t="n">
        <v>0</v>
      </c>
      <c r="J462" t="n">
        <v>0</v>
      </c>
      <c r="K462" t="n">
        <v>0</v>
      </c>
      <c r="L462" t="n">
        <v>0</v>
      </c>
      <c r="M462" t="n">
        <v>0</v>
      </c>
      <c r="N462" t="n">
        <v>0</v>
      </c>
      <c r="O462" t="n">
        <v>0</v>
      </c>
      <c r="P462" t="n">
        <v>0</v>
      </c>
      <c r="Q462" t="n">
        <v>0</v>
      </c>
      <c r="R462" s="2" t="inlineStr"/>
    </row>
    <row r="463" ht="15" customHeight="1">
      <c r="A463" t="inlineStr">
        <is>
          <t>A 35914-2023</t>
        </is>
      </c>
      <c r="B463" s="1" t="n">
        <v>45148</v>
      </c>
      <c r="C463" s="1" t="n">
        <v>45934</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35916-2023</t>
        </is>
      </c>
      <c r="B464" s="1" t="n">
        <v>45148</v>
      </c>
      <c r="C464" s="1" t="n">
        <v>45934</v>
      </c>
      <c r="D464" t="inlineStr">
        <is>
          <t>UPPSALA LÄN</t>
        </is>
      </c>
      <c r="E464" t="inlineStr">
        <is>
          <t>UPPSALA</t>
        </is>
      </c>
      <c r="G464" t="n">
        <v>3.1</v>
      </c>
      <c r="H464" t="n">
        <v>0</v>
      </c>
      <c r="I464" t="n">
        <v>0</v>
      </c>
      <c r="J464" t="n">
        <v>0</v>
      </c>
      <c r="K464" t="n">
        <v>0</v>
      </c>
      <c r="L464" t="n">
        <v>0</v>
      </c>
      <c r="M464" t="n">
        <v>0</v>
      </c>
      <c r="N464" t="n">
        <v>0</v>
      </c>
      <c r="O464" t="n">
        <v>0</v>
      </c>
      <c r="P464" t="n">
        <v>0</v>
      </c>
      <c r="Q464" t="n">
        <v>0</v>
      </c>
      <c r="R464" s="2" t="inlineStr"/>
    </row>
    <row r="465" ht="15" customHeight="1">
      <c r="A465" t="inlineStr">
        <is>
          <t>A 43029-2023</t>
        </is>
      </c>
      <c r="B465" s="1" t="n">
        <v>45182</v>
      </c>
      <c r="C465" s="1" t="n">
        <v>45934</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36123-2023</t>
        </is>
      </c>
      <c r="B466" s="1" t="n">
        <v>45149.56928240741</v>
      </c>
      <c r="C466" s="1" t="n">
        <v>45934</v>
      </c>
      <c r="D466" t="inlineStr">
        <is>
          <t>UPPSALA LÄN</t>
        </is>
      </c>
      <c r="E466" t="inlineStr">
        <is>
          <t>UPPSALA</t>
        </is>
      </c>
      <c r="F466" t="inlineStr">
        <is>
          <t>Allmännings- och besparingsskogar</t>
        </is>
      </c>
      <c r="G466" t="n">
        <v>4.2</v>
      </c>
      <c r="H466" t="n">
        <v>0</v>
      </c>
      <c r="I466" t="n">
        <v>0</v>
      </c>
      <c r="J466" t="n">
        <v>0</v>
      </c>
      <c r="K466" t="n">
        <v>0</v>
      </c>
      <c r="L466" t="n">
        <v>0</v>
      </c>
      <c r="M466" t="n">
        <v>0</v>
      </c>
      <c r="N466" t="n">
        <v>0</v>
      </c>
      <c r="O466" t="n">
        <v>0</v>
      </c>
      <c r="P466" t="n">
        <v>0</v>
      </c>
      <c r="Q466" t="n">
        <v>0</v>
      </c>
      <c r="R466" s="2" t="inlineStr"/>
    </row>
    <row r="467" ht="15" customHeight="1">
      <c r="A467" t="inlineStr">
        <is>
          <t>A 61947-2023</t>
        </is>
      </c>
      <c r="B467" s="1" t="n">
        <v>45266</v>
      </c>
      <c r="C467" s="1" t="n">
        <v>45934</v>
      </c>
      <c r="D467" t="inlineStr">
        <is>
          <t>UPPSALA LÄN</t>
        </is>
      </c>
      <c r="E467" t="inlineStr">
        <is>
          <t>UPPSALA</t>
        </is>
      </c>
      <c r="G467" t="n">
        <v>1</v>
      </c>
      <c r="H467" t="n">
        <v>0</v>
      </c>
      <c r="I467" t="n">
        <v>0</v>
      </c>
      <c r="J467" t="n">
        <v>0</v>
      </c>
      <c r="K467" t="n">
        <v>0</v>
      </c>
      <c r="L467" t="n">
        <v>0</v>
      </c>
      <c r="M467" t="n">
        <v>0</v>
      </c>
      <c r="N467" t="n">
        <v>0</v>
      </c>
      <c r="O467" t="n">
        <v>0</v>
      </c>
      <c r="P467" t="n">
        <v>0</v>
      </c>
      <c r="Q467" t="n">
        <v>0</v>
      </c>
      <c r="R467" s="2" t="inlineStr"/>
    </row>
    <row r="468" ht="15" customHeight="1">
      <c r="A468" t="inlineStr">
        <is>
          <t>A 61574-2024</t>
        </is>
      </c>
      <c r="B468" s="1" t="n">
        <v>45646.61892361111</v>
      </c>
      <c r="C468" s="1" t="n">
        <v>45934</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37162-2021</t>
        </is>
      </c>
      <c r="B469" s="1" t="n">
        <v>44395</v>
      </c>
      <c r="C469" s="1" t="n">
        <v>45934</v>
      </c>
      <c r="D469" t="inlineStr">
        <is>
          <t>UPPSALA LÄN</t>
        </is>
      </c>
      <c r="E469" t="inlineStr">
        <is>
          <t>UPPSALA</t>
        </is>
      </c>
      <c r="G469" t="n">
        <v>3.5</v>
      </c>
      <c r="H469" t="n">
        <v>0</v>
      </c>
      <c r="I469" t="n">
        <v>0</v>
      </c>
      <c r="J469" t="n">
        <v>0</v>
      </c>
      <c r="K469" t="n">
        <v>0</v>
      </c>
      <c r="L469" t="n">
        <v>0</v>
      </c>
      <c r="M469" t="n">
        <v>0</v>
      </c>
      <c r="N469" t="n">
        <v>0</v>
      </c>
      <c r="O469" t="n">
        <v>0</v>
      </c>
      <c r="P469" t="n">
        <v>0</v>
      </c>
      <c r="Q469" t="n">
        <v>0</v>
      </c>
      <c r="R469" s="2" t="inlineStr"/>
    </row>
    <row r="470" ht="15" customHeight="1">
      <c r="A470" t="inlineStr">
        <is>
          <t>A 73326-2021</t>
        </is>
      </c>
      <c r="B470" s="1" t="n">
        <v>44548</v>
      </c>
      <c r="C470" s="1" t="n">
        <v>45934</v>
      </c>
      <c r="D470" t="inlineStr">
        <is>
          <t>UPPSALA LÄN</t>
        </is>
      </c>
      <c r="E470" t="inlineStr">
        <is>
          <t>UPPSALA</t>
        </is>
      </c>
      <c r="G470" t="n">
        <v>4</v>
      </c>
      <c r="H470" t="n">
        <v>0</v>
      </c>
      <c r="I470" t="n">
        <v>0</v>
      </c>
      <c r="J470" t="n">
        <v>0</v>
      </c>
      <c r="K470" t="n">
        <v>0</v>
      </c>
      <c r="L470" t="n">
        <v>0</v>
      </c>
      <c r="M470" t="n">
        <v>0</v>
      </c>
      <c r="N470" t="n">
        <v>0</v>
      </c>
      <c r="O470" t="n">
        <v>0</v>
      </c>
      <c r="P470" t="n">
        <v>0</v>
      </c>
      <c r="Q470" t="n">
        <v>0</v>
      </c>
      <c r="R470" s="2" t="inlineStr"/>
    </row>
    <row r="471" ht="15" customHeight="1">
      <c r="A471" t="inlineStr">
        <is>
          <t>A 31161-2023</t>
        </is>
      </c>
      <c r="B471" s="1" t="n">
        <v>45113.80170138889</v>
      </c>
      <c r="C471" s="1" t="n">
        <v>45934</v>
      </c>
      <c r="D471" t="inlineStr">
        <is>
          <t>UPPSALA LÄN</t>
        </is>
      </c>
      <c r="E471" t="inlineStr">
        <is>
          <t>UPPSALA</t>
        </is>
      </c>
      <c r="G471" t="n">
        <v>0.6</v>
      </c>
      <c r="H471" t="n">
        <v>0</v>
      </c>
      <c r="I471" t="n">
        <v>0</v>
      </c>
      <c r="J471" t="n">
        <v>0</v>
      </c>
      <c r="K471" t="n">
        <v>0</v>
      </c>
      <c r="L471" t="n">
        <v>0</v>
      </c>
      <c r="M471" t="n">
        <v>0</v>
      </c>
      <c r="N471" t="n">
        <v>0</v>
      </c>
      <c r="O471" t="n">
        <v>0</v>
      </c>
      <c r="P471" t="n">
        <v>0</v>
      </c>
      <c r="Q471" t="n">
        <v>0</v>
      </c>
      <c r="R471" s="2" t="inlineStr"/>
    </row>
    <row r="472" ht="15" customHeight="1">
      <c r="A472" t="inlineStr">
        <is>
          <t>A 25462-2023</t>
        </is>
      </c>
      <c r="B472" s="1" t="n">
        <v>45089</v>
      </c>
      <c r="C472" s="1" t="n">
        <v>45934</v>
      </c>
      <c r="D472" t="inlineStr">
        <is>
          <t>UPPSALA LÄN</t>
        </is>
      </c>
      <c r="E472" t="inlineStr">
        <is>
          <t>UPPSALA</t>
        </is>
      </c>
      <c r="G472" t="n">
        <v>1.3</v>
      </c>
      <c r="H472" t="n">
        <v>0</v>
      </c>
      <c r="I472" t="n">
        <v>0</v>
      </c>
      <c r="J472" t="n">
        <v>0</v>
      </c>
      <c r="K472" t="n">
        <v>0</v>
      </c>
      <c r="L472" t="n">
        <v>0</v>
      </c>
      <c r="M472" t="n">
        <v>0</v>
      </c>
      <c r="N472" t="n">
        <v>0</v>
      </c>
      <c r="O472" t="n">
        <v>0</v>
      </c>
      <c r="P472" t="n">
        <v>0</v>
      </c>
      <c r="Q472" t="n">
        <v>0</v>
      </c>
      <c r="R472" s="2" t="inlineStr"/>
    </row>
    <row r="473" ht="15" customHeight="1">
      <c r="A473" t="inlineStr">
        <is>
          <t>A 14337-2022</t>
        </is>
      </c>
      <c r="B473" s="1" t="n">
        <v>44652</v>
      </c>
      <c r="C473" s="1" t="n">
        <v>45934</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46745-2024</t>
        </is>
      </c>
      <c r="B474" s="1" t="n">
        <v>45583</v>
      </c>
      <c r="C474" s="1" t="n">
        <v>45934</v>
      </c>
      <c r="D474" t="inlineStr">
        <is>
          <t>UPPSALA LÄN</t>
        </is>
      </c>
      <c r="E474" t="inlineStr">
        <is>
          <t>UPPSALA</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46748-2024</t>
        </is>
      </c>
      <c r="B475" s="1" t="n">
        <v>45583</v>
      </c>
      <c r="C475" s="1" t="n">
        <v>45934</v>
      </c>
      <c r="D475" t="inlineStr">
        <is>
          <t>UPPSALA LÄN</t>
        </is>
      </c>
      <c r="E475" t="inlineStr">
        <is>
          <t>UPPSALA</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5309-2022</t>
        </is>
      </c>
      <c r="B476" s="1" t="n">
        <v>44594</v>
      </c>
      <c r="C476" s="1" t="n">
        <v>45934</v>
      </c>
      <c r="D476" t="inlineStr">
        <is>
          <t>UPPSALA LÄN</t>
        </is>
      </c>
      <c r="E476" t="inlineStr">
        <is>
          <t>UPPSALA</t>
        </is>
      </c>
      <c r="G476" t="n">
        <v>4.8</v>
      </c>
      <c r="H476" t="n">
        <v>0</v>
      </c>
      <c r="I476" t="n">
        <v>0</v>
      </c>
      <c r="J476" t="n">
        <v>0</v>
      </c>
      <c r="K476" t="n">
        <v>0</v>
      </c>
      <c r="L476" t="n">
        <v>0</v>
      </c>
      <c r="M476" t="n">
        <v>0</v>
      </c>
      <c r="N476" t="n">
        <v>0</v>
      </c>
      <c r="O476" t="n">
        <v>0</v>
      </c>
      <c r="P476" t="n">
        <v>0</v>
      </c>
      <c r="Q476" t="n">
        <v>0</v>
      </c>
      <c r="R476" s="2" t="inlineStr"/>
    </row>
    <row r="477" ht="15" customHeight="1">
      <c r="A477" t="inlineStr">
        <is>
          <t>A 6155-2023</t>
        </is>
      </c>
      <c r="B477" s="1" t="n">
        <v>44964.65261574074</v>
      </c>
      <c r="C477" s="1" t="n">
        <v>45934</v>
      </c>
      <c r="D477" t="inlineStr">
        <is>
          <t>UPPSALA LÄN</t>
        </is>
      </c>
      <c r="E477" t="inlineStr">
        <is>
          <t>UPPSALA</t>
        </is>
      </c>
      <c r="G477" t="n">
        <v>0.5</v>
      </c>
      <c r="H477" t="n">
        <v>0</v>
      </c>
      <c r="I477" t="n">
        <v>0</v>
      </c>
      <c r="J477" t="n">
        <v>0</v>
      </c>
      <c r="K477" t="n">
        <v>0</v>
      </c>
      <c r="L477" t="n">
        <v>0</v>
      </c>
      <c r="M477" t="n">
        <v>0</v>
      </c>
      <c r="N477" t="n">
        <v>0</v>
      </c>
      <c r="O477" t="n">
        <v>0</v>
      </c>
      <c r="P477" t="n">
        <v>0</v>
      </c>
      <c r="Q477" t="n">
        <v>0</v>
      </c>
      <c r="R477" s="2" t="inlineStr"/>
    </row>
    <row r="478" ht="15" customHeight="1">
      <c r="A478" t="inlineStr">
        <is>
          <t>A 24012-2023</t>
        </is>
      </c>
      <c r="B478" s="1" t="n">
        <v>45078</v>
      </c>
      <c r="C478" s="1" t="n">
        <v>45934</v>
      </c>
      <c r="D478" t="inlineStr">
        <is>
          <t>UPPSALA LÄN</t>
        </is>
      </c>
      <c r="E478" t="inlineStr">
        <is>
          <t>UPPSALA</t>
        </is>
      </c>
      <c r="F478" t="inlineStr">
        <is>
          <t>Kyrkan</t>
        </is>
      </c>
      <c r="G478" t="n">
        <v>1.6</v>
      </c>
      <c r="H478" t="n">
        <v>0</v>
      </c>
      <c r="I478" t="n">
        <v>0</v>
      </c>
      <c r="J478" t="n">
        <v>0</v>
      </c>
      <c r="K478" t="n">
        <v>0</v>
      </c>
      <c r="L478" t="n">
        <v>0</v>
      </c>
      <c r="M478" t="n">
        <v>0</v>
      </c>
      <c r="N478" t="n">
        <v>0</v>
      </c>
      <c r="O478" t="n">
        <v>0</v>
      </c>
      <c r="P478" t="n">
        <v>0</v>
      </c>
      <c r="Q478" t="n">
        <v>0</v>
      </c>
      <c r="R478" s="2" t="inlineStr"/>
    </row>
    <row r="479" ht="15" customHeight="1">
      <c r="A479" t="inlineStr">
        <is>
          <t>A 53346-2020</t>
        </is>
      </c>
      <c r="B479" s="1" t="n">
        <v>44123</v>
      </c>
      <c r="C479" s="1" t="n">
        <v>45934</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1588-2025</t>
        </is>
      </c>
      <c r="B480" s="1" t="n">
        <v>45670</v>
      </c>
      <c r="C480" s="1" t="n">
        <v>45934</v>
      </c>
      <c r="D480" t="inlineStr">
        <is>
          <t>UPPSALA LÄN</t>
        </is>
      </c>
      <c r="E480" t="inlineStr">
        <is>
          <t>UPPSALA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10612-2025</t>
        </is>
      </c>
      <c r="B481" s="1" t="n">
        <v>45721.60894675926</v>
      </c>
      <c r="C481" s="1" t="n">
        <v>45934</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17595-2025</t>
        </is>
      </c>
      <c r="B482" s="1" t="n">
        <v>45757</v>
      </c>
      <c r="C482" s="1" t="n">
        <v>45934</v>
      </c>
      <c r="D482" t="inlineStr">
        <is>
          <t>UPPSALA LÄN</t>
        </is>
      </c>
      <c r="E482" t="inlineStr">
        <is>
          <t>UPPSALA</t>
        </is>
      </c>
      <c r="G482" t="n">
        <v>2.7</v>
      </c>
      <c r="H482" t="n">
        <v>0</v>
      </c>
      <c r="I482" t="n">
        <v>0</v>
      </c>
      <c r="J482" t="n">
        <v>0</v>
      </c>
      <c r="K482" t="n">
        <v>0</v>
      </c>
      <c r="L482" t="n">
        <v>0</v>
      </c>
      <c r="M482" t="n">
        <v>0</v>
      </c>
      <c r="N482" t="n">
        <v>0</v>
      </c>
      <c r="O482" t="n">
        <v>0</v>
      </c>
      <c r="P482" t="n">
        <v>0</v>
      </c>
      <c r="Q482" t="n">
        <v>0</v>
      </c>
      <c r="R482" s="2" t="inlineStr"/>
    </row>
    <row r="483" ht="15" customHeight="1">
      <c r="A483" t="inlineStr">
        <is>
          <t>A 31157-2023</t>
        </is>
      </c>
      <c r="B483" s="1" t="n">
        <v>45113</v>
      </c>
      <c r="C483" s="1" t="n">
        <v>45934</v>
      </c>
      <c r="D483" t="inlineStr">
        <is>
          <t>UPPSALA LÄN</t>
        </is>
      </c>
      <c r="E483" t="inlineStr">
        <is>
          <t>UPPSALA</t>
        </is>
      </c>
      <c r="G483" t="n">
        <v>1.6</v>
      </c>
      <c r="H483" t="n">
        <v>0</v>
      </c>
      <c r="I483" t="n">
        <v>0</v>
      </c>
      <c r="J483" t="n">
        <v>0</v>
      </c>
      <c r="K483" t="n">
        <v>0</v>
      </c>
      <c r="L483" t="n">
        <v>0</v>
      </c>
      <c r="M483" t="n">
        <v>0</v>
      </c>
      <c r="N483" t="n">
        <v>0</v>
      </c>
      <c r="O483" t="n">
        <v>0</v>
      </c>
      <c r="P483" t="n">
        <v>0</v>
      </c>
      <c r="Q483" t="n">
        <v>0</v>
      </c>
      <c r="R483" s="2" t="inlineStr"/>
    </row>
    <row r="484" ht="15" customHeight="1">
      <c r="A484" t="inlineStr">
        <is>
          <t>A 40503-2024</t>
        </is>
      </c>
      <c r="B484" s="1" t="n">
        <v>45555.5727662037</v>
      </c>
      <c r="C484" s="1" t="n">
        <v>45934</v>
      </c>
      <c r="D484" t="inlineStr">
        <is>
          <t>UPPSALA LÄN</t>
        </is>
      </c>
      <c r="E484" t="inlineStr">
        <is>
          <t>UPPSALA</t>
        </is>
      </c>
      <c r="G484" t="n">
        <v>0.9</v>
      </c>
      <c r="H484" t="n">
        <v>0</v>
      </c>
      <c r="I484" t="n">
        <v>0</v>
      </c>
      <c r="J484" t="n">
        <v>0</v>
      </c>
      <c r="K484" t="n">
        <v>0</v>
      </c>
      <c r="L484" t="n">
        <v>0</v>
      </c>
      <c r="M484" t="n">
        <v>0</v>
      </c>
      <c r="N484" t="n">
        <v>0</v>
      </c>
      <c r="O484" t="n">
        <v>0</v>
      </c>
      <c r="P484" t="n">
        <v>0</v>
      </c>
      <c r="Q484" t="n">
        <v>0</v>
      </c>
      <c r="R484" s="2" t="inlineStr"/>
    </row>
    <row r="485" ht="15" customHeight="1">
      <c r="A485" t="inlineStr">
        <is>
          <t>A 6541-2025</t>
        </is>
      </c>
      <c r="B485" s="1" t="n">
        <v>45699</v>
      </c>
      <c r="C485" s="1" t="n">
        <v>45934</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43795-2023</t>
        </is>
      </c>
      <c r="B486" s="1" t="n">
        <v>45182</v>
      </c>
      <c r="C486" s="1" t="n">
        <v>45934</v>
      </c>
      <c r="D486" t="inlineStr">
        <is>
          <t>UPPSALA LÄN</t>
        </is>
      </c>
      <c r="E486" t="inlineStr">
        <is>
          <t>UPPSALA</t>
        </is>
      </c>
      <c r="G486" t="n">
        <v>4.7</v>
      </c>
      <c r="H486" t="n">
        <v>0</v>
      </c>
      <c r="I486" t="n">
        <v>0</v>
      </c>
      <c r="J486" t="n">
        <v>0</v>
      </c>
      <c r="K486" t="n">
        <v>0</v>
      </c>
      <c r="L486" t="n">
        <v>0</v>
      </c>
      <c r="M486" t="n">
        <v>0</v>
      </c>
      <c r="N486" t="n">
        <v>0</v>
      </c>
      <c r="O486" t="n">
        <v>0</v>
      </c>
      <c r="P486" t="n">
        <v>0</v>
      </c>
      <c r="Q486" t="n">
        <v>0</v>
      </c>
      <c r="R486" s="2" t="inlineStr"/>
    </row>
    <row r="487" ht="15" customHeight="1">
      <c r="A487" t="inlineStr">
        <is>
          <t>A 43818-2023</t>
        </is>
      </c>
      <c r="B487" s="1" t="n">
        <v>45182</v>
      </c>
      <c r="C487" s="1" t="n">
        <v>45934</v>
      </c>
      <c r="D487" t="inlineStr">
        <is>
          <t>UPPSALA LÄN</t>
        </is>
      </c>
      <c r="E487" t="inlineStr">
        <is>
          <t>UPPSALA</t>
        </is>
      </c>
      <c r="G487" t="n">
        <v>10.8</v>
      </c>
      <c r="H487" t="n">
        <v>0</v>
      </c>
      <c r="I487" t="n">
        <v>0</v>
      </c>
      <c r="J487" t="n">
        <v>0</v>
      </c>
      <c r="K487" t="n">
        <v>0</v>
      </c>
      <c r="L487" t="n">
        <v>0</v>
      </c>
      <c r="M487" t="n">
        <v>0</v>
      </c>
      <c r="N487" t="n">
        <v>0</v>
      </c>
      <c r="O487" t="n">
        <v>0</v>
      </c>
      <c r="P487" t="n">
        <v>0</v>
      </c>
      <c r="Q487" t="n">
        <v>0</v>
      </c>
      <c r="R487" s="2" t="inlineStr"/>
    </row>
    <row r="488" ht="15" customHeight="1">
      <c r="A488" t="inlineStr">
        <is>
          <t>A 33332-2022</t>
        </is>
      </c>
      <c r="B488" s="1" t="n">
        <v>44788</v>
      </c>
      <c r="C488" s="1" t="n">
        <v>45934</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27912-2023</t>
        </is>
      </c>
      <c r="B489" s="1" t="n">
        <v>45098.63572916666</v>
      </c>
      <c r="C489" s="1" t="n">
        <v>45934</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33562-2023</t>
        </is>
      </c>
      <c r="B490" s="1" t="n">
        <v>45131</v>
      </c>
      <c r="C490" s="1" t="n">
        <v>45934</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1592-2025</t>
        </is>
      </c>
      <c r="B491" s="1" t="n">
        <v>45670</v>
      </c>
      <c r="C491" s="1" t="n">
        <v>45934</v>
      </c>
      <c r="D491" t="inlineStr">
        <is>
          <t>UPPSALA LÄN</t>
        </is>
      </c>
      <c r="E491" t="inlineStr">
        <is>
          <t>UPPSALA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5725-2025</t>
        </is>
      </c>
      <c r="B492" s="1" t="n">
        <v>45694</v>
      </c>
      <c r="C492" s="1" t="n">
        <v>45934</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10565-2022</t>
        </is>
      </c>
      <c r="B493" s="1" t="n">
        <v>44624.35083333333</v>
      </c>
      <c r="C493" s="1" t="n">
        <v>45934</v>
      </c>
      <c r="D493" t="inlineStr">
        <is>
          <t>UPPSALA LÄN</t>
        </is>
      </c>
      <c r="E493" t="inlineStr">
        <is>
          <t>UPPSALA</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13420-2021</t>
        </is>
      </c>
      <c r="B494" s="1" t="n">
        <v>44273</v>
      </c>
      <c r="C494" s="1" t="n">
        <v>45934</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4240-2025</t>
        </is>
      </c>
      <c r="B495" s="1" t="n">
        <v>45685.5778125</v>
      </c>
      <c r="C495" s="1" t="n">
        <v>45934</v>
      </c>
      <c r="D495" t="inlineStr">
        <is>
          <t>UPPSALA LÄN</t>
        </is>
      </c>
      <c r="E495" t="inlineStr">
        <is>
          <t>UPPSALA</t>
        </is>
      </c>
      <c r="G495" t="n">
        <v>1.2</v>
      </c>
      <c r="H495" t="n">
        <v>0</v>
      </c>
      <c r="I495" t="n">
        <v>0</v>
      </c>
      <c r="J495" t="n">
        <v>0</v>
      </c>
      <c r="K495" t="n">
        <v>0</v>
      </c>
      <c r="L495" t="n">
        <v>0</v>
      </c>
      <c r="M495" t="n">
        <v>0</v>
      </c>
      <c r="N495" t="n">
        <v>0</v>
      </c>
      <c r="O495" t="n">
        <v>0</v>
      </c>
      <c r="P495" t="n">
        <v>0</v>
      </c>
      <c r="Q495" t="n">
        <v>0</v>
      </c>
      <c r="R495" s="2" t="inlineStr"/>
    </row>
    <row r="496" ht="15" customHeight="1">
      <c r="A496" t="inlineStr">
        <is>
          <t>A 9206-2022</t>
        </is>
      </c>
      <c r="B496" s="1" t="n">
        <v>44616</v>
      </c>
      <c r="C496" s="1" t="n">
        <v>45934</v>
      </c>
      <c r="D496" t="inlineStr">
        <is>
          <t>UPPSALA LÄN</t>
        </is>
      </c>
      <c r="E496" t="inlineStr">
        <is>
          <t>UPPSALA</t>
        </is>
      </c>
      <c r="G496" t="n">
        <v>1.7</v>
      </c>
      <c r="H496" t="n">
        <v>0</v>
      </c>
      <c r="I496" t="n">
        <v>0</v>
      </c>
      <c r="J496" t="n">
        <v>0</v>
      </c>
      <c r="K496" t="n">
        <v>0</v>
      </c>
      <c r="L496" t="n">
        <v>0</v>
      </c>
      <c r="M496" t="n">
        <v>0</v>
      </c>
      <c r="N496" t="n">
        <v>0</v>
      </c>
      <c r="O496" t="n">
        <v>0</v>
      </c>
      <c r="P496" t="n">
        <v>0</v>
      </c>
      <c r="Q496" t="n">
        <v>0</v>
      </c>
      <c r="R496" s="2" t="inlineStr"/>
    </row>
    <row r="497" ht="15" customHeight="1">
      <c r="A497" t="inlineStr">
        <is>
          <t>A 9611-2024</t>
        </is>
      </c>
      <c r="B497" s="1" t="n">
        <v>45361.57299768519</v>
      </c>
      <c r="C497" s="1" t="n">
        <v>45934</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24091-2024</t>
        </is>
      </c>
      <c r="B498" s="1" t="n">
        <v>45456.58491898148</v>
      </c>
      <c r="C498" s="1" t="n">
        <v>45934</v>
      </c>
      <c r="D498" t="inlineStr">
        <is>
          <t>UPPSALA LÄN</t>
        </is>
      </c>
      <c r="E498" t="inlineStr">
        <is>
          <t>UPPSALA</t>
        </is>
      </c>
      <c r="G498" t="n">
        <v>1.8</v>
      </c>
      <c r="H498" t="n">
        <v>0</v>
      </c>
      <c r="I498" t="n">
        <v>0</v>
      </c>
      <c r="J498" t="n">
        <v>0</v>
      </c>
      <c r="K498" t="n">
        <v>0</v>
      </c>
      <c r="L498" t="n">
        <v>0</v>
      </c>
      <c r="M498" t="n">
        <v>0</v>
      </c>
      <c r="N498" t="n">
        <v>0</v>
      </c>
      <c r="O498" t="n">
        <v>0</v>
      </c>
      <c r="P498" t="n">
        <v>0</v>
      </c>
      <c r="Q498" t="n">
        <v>0</v>
      </c>
      <c r="R498" s="2" t="inlineStr"/>
    </row>
    <row r="499" ht="15" customHeight="1">
      <c r="A499" t="inlineStr">
        <is>
          <t>A 9981-2025</t>
        </is>
      </c>
      <c r="B499" s="1" t="n">
        <v>45719.40723379629</v>
      </c>
      <c r="C499" s="1" t="n">
        <v>45934</v>
      </c>
      <c r="D499" t="inlineStr">
        <is>
          <t>UPPSALA LÄN</t>
        </is>
      </c>
      <c r="E499" t="inlineStr">
        <is>
          <t>UPPSALA</t>
        </is>
      </c>
      <c r="F499" t="inlineStr">
        <is>
          <t>Kyrkan</t>
        </is>
      </c>
      <c r="G499" t="n">
        <v>2.9</v>
      </c>
      <c r="H499" t="n">
        <v>0</v>
      </c>
      <c r="I499" t="n">
        <v>0</v>
      </c>
      <c r="J499" t="n">
        <v>0</v>
      </c>
      <c r="K499" t="n">
        <v>0</v>
      </c>
      <c r="L499" t="n">
        <v>0</v>
      </c>
      <c r="M499" t="n">
        <v>0</v>
      </c>
      <c r="N499" t="n">
        <v>0</v>
      </c>
      <c r="O499" t="n">
        <v>0</v>
      </c>
      <c r="P499" t="n">
        <v>0</v>
      </c>
      <c r="Q499" t="n">
        <v>0</v>
      </c>
      <c r="R499" s="2" t="inlineStr"/>
    </row>
    <row r="500" ht="15" customHeight="1">
      <c r="A500" t="inlineStr">
        <is>
          <t>A 60698-2024</t>
        </is>
      </c>
      <c r="B500" s="1" t="n">
        <v>45644</v>
      </c>
      <c r="C500" s="1" t="n">
        <v>45934</v>
      </c>
      <c r="D500" t="inlineStr">
        <is>
          <t>UPPSALA LÄN</t>
        </is>
      </c>
      <c r="E500" t="inlineStr">
        <is>
          <t>UPPSALA</t>
        </is>
      </c>
      <c r="G500" t="n">
        <v>2</v>
      </c>
      <c r="H500" t="n">
        <v>0</v>
      </c>
      <c r="I500" t="n">
        <v>0</v>
      </c>
      <c r="J500" t="n">
        <v>0</v>
      </c>
      <c r="K500" t="n">
        <v>0</v>
      </c>
      <c r="L500" t="n">
        <v>0</v>
      </c>
      <c r="M500" t="n">
        <v>0</v>
      </c>
      <c r="N500" t="n">
        <v>0</v>
      </c>
      <c r="O500" t="n">
        <v>0</v>
      </c>
      <c r="P500" t="n">
        <v>0</v>
      </c>
      <c r="Q500" t="n">
        <v>0</v>
      </c>
      <c r="R500" s="2" t="inlineStr"/>
    </row>
    <row r="501" ht="15" customHeight="1">
      <c r="A501" t="inlineStr">
        <is>
          <t>A 60735-2024</t>
        </is>
      </c>
      <c r="B501" s="1" t="n">
        <v>45644</v>
      </c>
      <c r="C501" s="1" t="n">
        <v>45934</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61463-2024</t>
        </is>
      </c>
      <c r="B502" s="1" t="n">
        <v>45646.50211805556</v>
      </c>
      <c r="C502" s="1" t="n">
        <v>45934</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1573-2021</t>
        </is>
      </c>
      <c r="B503" s="1" t="n">
        <v>44209</v>
      </c>
      <c r="C503" s="1" t="n">
        <v>45934</v>
      </c>
      <c r="D503" t="inlineStr">
        <is>
          <t>UPPSALA LÄN</t>
        </is>
      </c>
      <c r="E503" t="inlineStr">
        <is>
          <t>UPPSALA</t>
        </is>
      </c>
      <c r="G503" t="n">
        <v>15</v>
      </c>
      <c r="H503" t="n">
        <v>0</v>
      </c>
      <c r="I503" t="n">
        <v>0</v>
      </c>
      <c r="J503" t="n">
        <v>0</v>
      </c>
      <c r="K503" t="n">
        <v>0</v>
      </c>
      <c r="L503" t="n">
        <v>0</v>
      </c>
      <c r="M503" t="n">
        <v>0</v>
      </c>
      <c r="N503" t="n">
        <v>0</v>
      </c>
      <c r="O503" t="n">
        <v>0</v>
      </c>
      <c r="P503" t="n">
        <v>0</v>
      </c>
      <c r="Q503" t="n">
        <v>0</v>
      </c>
      <c r="R503" s="2" t="inlineStr"/>
    </row>
    <row r="504" ht="15" customHeight="1">
      <c r="A504" t="inlineStr">
        <is>
          <t>A 20206-2023</t>
        </is>
      </c>
      <c r="B504" s="1" t="n">
        <v>45055</v>
      </c>
      <c r="C504" s="1" t="n">
        <v>45934</v>
      </c>
      <c r="D504" t="inlineStr">
        <is>
          <t>UPPSALA LÄN</t>
        </is>
      </c>
      <c r="E504" t="inlineStr">
        <is>
          <t>UPPSALA</t>
        </is>
      </c>
      <c r="G504" t="n">
        <v>5.7</v>
      </c>
      <c r="H504" t="n">
        <v>0</v>
      </c>
      <c r="I504" t="n">
        <v>0</v>
      </c>
      <c r="J504" t="n">
        <v>0</v>
      </c>
      <c r="K504" t="n">
        <v>0</v>
      </c>
      <c r="L504" t="n">
        <v>0</v>
      </c>
      <c r="M504" t="n">
        <v>0</v>
      </c>
      <c r="N504" t="n">
        <v>0</v>
      </c>
      <c r="O504" t="n">
        <v>0</v>
      </c>
      <c r="P504" t="n">
        <v>0</v>
      </c>
      <c r="Q504" t="n">
        <v>0</v>
      </c>
      <c r="R504" s="2" t="inlineStr"/>
    </row>
    <row r="505" ht="15" customHeight="1">
      <c r="A505" t="inlineStr">
        <is>
          <t>A 46632-2025</t>
        </is>
      </c>
      <c r="B505" s="1" t="n">
        <v>45926.45846064815</v>
      </c>
      <c r="C505" s="1" t="n">
        <v>45934</v>
      </c>
      <c r="D505" t="inlineStr">
        <is>
          <t>UPPSALA LÄN</t>
        </is>
      </c>
      <c r="E505" t="inlineStr">
        <is>
          <t>UPPSALA</t>
        </is>
      </c>
      <c r="F505" t="inlineStr">
        <is>
          <t>Bergvik skog öst AB</t>
        </is>
      </c>
      <c r="G505" t="n">
        <v>2.9</v>
      </c>
      <c r="H505" t="n">
        <v>0</v>
      </c>
      <c r="I505" t="n">
        <v>0</v>
      </c>
      <c r="J505" t="n">
        <v>0</v>
      </c>
      <c r="K505" t="n">
        <v>0</v>
      </c>
      <c r="L505" t="n">
        <v>0</v>
      </c>
      <c r="M505" t="n">
        <v>0</v>
      </c>
      <c r="N505" t="n">
        <v>0</v>
      </c>
      <c r="O505" t="n">
        <v>0</v>
      </c>
      <c r="P505" t="n">
        <v>0</v>
      </c>
      <c r="Q505" t="n">
        <v>0</v>
      </c>
      <c r="R505" s="2" t="inlineStr"/>
    </row>
    <row r="506" ht="15" customHeight="1">
      <c r="A506" t="inlineStr">
        <is>
          <t>A 60701-2022</t>
        </is>
      </c>
      <c r="B506" s="1" t="n">
        <v>44912</v>
      </c>
      <c r="C506" s="1" t="n">
        <v>45934</v>
      </c>
      <c r="D506" t="inlineStr">
        <is>
          <t>UPPSALA LÄN</t>
        </is>
      </c>
      <c r="E506" t="inlineStr">
        <is>
          <t>UPPSALA</t>
        </is>
      </c>
      <c r="G506" t="n">
        <v>1.4</v>
      </c>
      <c r="H506" t="n">
        <v>0</v>
      </c>
      <c r="I506" t="n">
        <v>0</v>
      </c>
      <c r="J506" t="n">
        <v>0</v>
      </c>
      <c r="K506" t="n">
        <v>0</v>
      </c>
      <c r="L506" t="n">
        <v>0</v>
      </c>
      <c r="M506" t="n">
        <v>0</v>
      </c>
      <c r="N506" t="n">
        <v>0</v>
      </c>
      <c r="O506" t="n">
        <v>0</v>
      </c>
      <c r="P506" t="n">
        <v>0</v>
      </c>
      <c r="Q506" t="n">
        <v>0</v>
      </c>
      <c r="R506" s="2" t="inlineStr"/>
    </row>
    <row r="507" ht="15" customHeight="1">
      <c r="A507" t="inlineStr">
        <is>
          <t>A 27599-2023</t>
        </is>
      </c>
      <c r="B507" s="1" t="n">
        <v>45097</v>
      </c>
      <c r="C507" s="1" t="n">
        <v>45934</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53614-2024</t>
        </is>
      </c>
      <c r="B508" s="1" t="n">
        <v>45611</v>
      </c>
      <c r="C508" s="1" t="n">
        <v>45934</v>
      </c>
      <c r="D508" t="inlineStr">
        <is>
          <t>UPPSALA LÄN</t>
        </is>
      </c>
      <c r="E508" t="inlineStr">
        <is>
          <t>UPPSALA</t>
        </is>
      </c>
      <c r="G508" t="n">
        <v>2.1</v>
      </c>
      <c r="H508" t="n">
        <v>0</v>
      </c>
      <c r="I508" t="n">
        <v>0</v>
      </c>
      <c r="J508" t="n">
        <v>0</v>
      </c>
      <c r="K508" t="n">
        <v>0</v>
      </c>
      <c r="L508" t="n">
        <v>0</v>
      </c>
      <c r="M508" t="n">
        <v>0</v>
      </c>
      <c r="N508" t="n">
        <v>0</v>
      </c>
      <c r="O508" t="n">
        <v>0</v>
      </c>
      <c r="P508" t="n">
        <v>0</v>
      </c>
      <c r="Q508" t="n">
        <v>0</v>
      </c>
      <c r="R508" s="2" t="inlineStr"/>
    </row>
    <row r="509" ht="15" customHeight="1">
      <c r="A509" t="inlineStr">
        <is>
          <t>A 60781-2023</t>
        </is>
      </c>
      <c r="B509" s="1" t="n">
        <v>45259</v>
      </c>
      <c r="C509" s="1" t="n">
        <v>45934</v>
      </c>
      <c r="D509" t="inlineStr">
        <is>
          <t>UPPSALA LÄN</t>
        </is>
      </c>
      <c r="E509" t="inlineStr">
        <is>
          <t>UPPSALA</t>
        </is>
      </c>
      <c r="G509" t="n">
        <v>4.1</v>
      </c>
      <c r="H509" t="n">
        <v>0</v>
      </c>
      <c r="I509" t="n">
        <v>0</v>
      </c>
      <c r="J509" t="n">
        <v>0</v>
      </c>
      <c r="K509" t="n">
        <v>0</v>
      </c>
      <c r="L509" t="n">
        <v>0</v>
      </c>
      <c r="M509" t="n">
        <v>0</v>
      </c>
      <c r="N509" t="n">
        <v>0</v>
      </c>
      <c r="O509" t="n">
        <v>0</v>
      </c>
      <c r="P509" t="n">
        <v>0</v>
      </c>
      <c r="Q509" t="n">
        <v>0</v>
      </c>
      <c r="R509" s="2" t="inlineStr"/>
    </row>
    <row r="510" ht="15" customHeight="1">
      <c r="A510" t="inlineStr">
        <is>
          <t>A 24787-2024</t>
        </is>
      </c>
      <c r="B510" s="1" t="n">
        <v>45460</v>
      </c>
      <c r="C510" s="1" t="n">
        <v>45934</v>
      </c>
      <c r="D510" t="inlineStr">
        <is>
          <t>UPPSALA LÄN</t>
        </is>
      </c>
      <c r="E510" t="inlineStr">
        <is>
          <t>UPPSALA</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60167-2024</t>
        </is>
      </c>
      <c r="B511" s="1" t="n">
        <v>45642.63524305556</v>
      </c>
      <c r="C511" s="1" t="n">
        <v>45934</v>
      </c>
      <c r="D511" t="inlineStr">
        <is>
          <t>UPPSALA LÄN</t>
        </is>
      </c>
      <c r="E511" t="inlineStr">
        <is>
          <t>UPPSALA</t>
        </is>
      </c>
      <c r="G511" t="n">
        <v>1</v>
      </c>
      <c r="H511" t="n">
        <v>0</v>
      </c>
      <c r="I511" t="n">
        <v>0</v>
      </c>
      <c r="J511" t="n">
        <v>0</v>
      </c>
      <c r="K511" t="n">
        <v>0</v>
      </c>
      <c r="L511" t="n">
        <v>0</v>
      </c>
      <c r="M511" t="n">
        <v>0</v>
      </c>
      <c r="N511" t="n">
        <v>0</v>
      </c>
      <c r="O511" t="n">
        <v>0</v>
      </c>
      <c r="P511" t="n">
        <v>0</v>
      </c>
      <c r="Q511" t="n">
        <v>0</v>
      </c>
      <c r="R511" s="2" t="inlineStr"/>
    </row>
    <row r="512" ht="15" customHeight="1">
      <c r="A512" t="inlineStr">
        <is>
          <t>A 18717-2025</t>
        </is>
      </c>
      <c r="B512" s="1" t="n">
        <v>45763.6503125</v>
      </c>
      <c r="C512" s="1" t="n">
        <v>45934</v>
      </c>
      <c r="D512" t="inlineStr">
        <is>
          <t>UPPSALA LÄN</t>
        </is>
      </c>
      <c r="E512" t="inlineStr">
        <is>
          <t>UPPSALA</t>
        </is>
      </c>
      <c r="G512" t="n">
        <v>1</v>
      </c>
      <c r="H512" t="n">
        <v>0</v>
      </c>
      <c r="I512" t="n">
        <v>0</v>
      </c>
      <c r="J512" t="n">
        <v>0</v>
      </c>
      <c r="K512" t="n">
        <v>0</v>
      </c>
      <c r="L512" t="n">
        <v>0</v>
      </c>
      <c r="M512" t="n">
        <v>0</v>
      </c>
      <c r="N512" t="n">
        <v>0</v>
      </c>
      <c r="O512" t="n">
        <v>0</v>
      </c>
      <c r="P512" t="n">
        <v>0</v>
      </c>
      <c r="Q512" t="n">
        <v>0</v>
      </c>
      <c r="R512" s="2" t="inlineStr"/>
    </row>
    <row r="513" ht="15" customHeight="1">
      <c r="A513" t="inlineStr">
        <is>
          <t>A 6290-2025</t>
        </is>
      </c>
      <c r="B513" s="1" t="n">
        <v>45698.65606481482</v>
      </c>
      <c r="C513" s="1" t="n">
        <v>45934</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16434-2024</t>
        </is>
      </c>
      <c r="B514" s="1" t="n">
        <v>45407.69575231482</v>
      </c>
      <c r="C514" s="1" t="n">
        <v>45934</v>
      </c>
      <c r="D514" t="inlineStr">
        <is>
          <t>UPPSALA LÄN</t>
        </is>
      </c>
      <c r="E514" t="inlineStr">
        <is>
          <t>UPPSALA</t>
        </is>
      </c>
      <c r="G514" t="n">
        <v>1.7</v>
      </c>
      <c r="H514" t="n">
        <v>0</v>
      </c>
      <c r="I514" t="n">
        <v>0</v>
      </c>
      <c r="J514" t="n">
        <v>0</v>
      </c>
      <c r="K514" t="n">
        <v>0</v>
      </c>
      <c r="L514" t="n">
        <v>0</v>
      </c>
      <c r="M514" t="n">
        <v>0</v>
      </c>
      <c r="N514" t="n">
        <v>0</v>
      </c>
      <c r="O514" t="n">
        <v>0</v>
      </c>
      <c r="P514" t="n">
        <v>0</v>
      </c>
      <c r="Q514" t="n">
        <v>0</v>
      </c>
      <c r="R514" s="2" t="inlineStr"/>
    </row>
    <row r="515" ht="15" customHeight="1">
      <c r="A515" t="inlineStr">
        <is>
          <t>A 1825-2024</t>
        </is>
      </c>
      <c r="B515" s="1" t="n">
        <v>45307</v>
      </c>
      <c r="C515" s="1" t="n">
        <v>45934</v>
      </c>
      <c r="D515" t="inlineStr">
        <is>
          <t>UPPSALA LÄN</t>
        </is>
      </c>
      <c r="E515" t="inlineStr">
        <is>
          <t>UPPSALA</t>
        </is>
      </c>
      <c r="G515" t="n">
        <v>4.2</v>
      </c>
      <c r="H515" t="n">
        <v>0</v>
      </c>
      <c r="I515" t="n">
        <v>0</v>
      </c>
      <c r="J515" t="n">
        <v>0</v>
      </c>
      <c r="K515" t="n">
        <v>0</v>
      </c>
      <c r="L515" t="n">
        <v>0</v>
      </c>
      <c r="M515" t="n">
        <v>0</v>
      </c>
      <c r="N515" t="n">
        <v>0</v>
      </c>
      <c r="O515" t="n">
        <v>0</v>
      </c>
      <c r="P515" t="n">
        <v>0</v>
      </c>
      <c r="Q515" t="n">
        <v>0</v>
      </c>
      <c r="R515" s="2" t="inlineStr"/>
    </row>
    <row r="516" ht="15" customHeight="1">
      <c r="A516" t="inlineStr">
        <is>
          <t>A 20301-2024</t>
        </is>
      </c>
      <c r="B516" s="1" t="n">
        <v>45435.34778935185</v>
      </c>
      <c r="C516" s="1" t="n">
        <v>45934</v>
      </c>
      <c r="D516" t="inlineStr">
        <is>
          <t>UPPSALA LÄN</t>
        </is>
      </c>
      <c r="E516" t="inlineStr">
        <is>
          <t>UPPSALA</t>
        </is>
      </c>
      <c r="F516" t="inlineStr">
        <is>
          <t>Kyrkan</t>
        </is>
      </c>
      <c r="G516" t="n">
        <v>2.8</v>
      </c>
      <c r="H516" t="n">
        <v>0</v>
      </c>
      <c r="I516" t="n">
        <v>0</v>
      </c>
      <c r="J516" t="n">
        <v>0</v>
      </c>
      <c r="K516" t="n">
        <v>0</v>
      </c>
      <c r="L516" t="n">
        <v>0</v>
      </c>
      <c r="M516" t="n">
        <v>0</v>
      </c>
      <c r="N516" t="n">
        <v>0</v>
      </c>
      <c r="O516" t="n">
        <v>0</v>
      </c>
      <c r="P516" t="n">
        <v>0</v>
      </c>
      <c r="Q516" t="n">
        <v>0</v>
      </c>
      <c r="R516" s="2" t="inlineStr"/>
    </row>
    <row r="517" ht="15" customHeight="1">
      <c r="A517" t="inlineStr">
        <is>
          <t>A 64855-2021</t>
        </is>
      </c>
      <c r="B517" s="1" t="n">
        <v>44512</v>
      </c>
      <c r="C517" s="1" t="n">
        <v>45934</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27622-2023</t>
        </is>
      </c>
      <c r="B518" s="1" t="n">
        <v>45097</v>
      </c>
      <c r="C518" s="1" t="n">
        <v>45934</v>
      </c>
      <c r="D518" t="inlineStr">
        <is>
          <t>UPPSALA LÄN</t>
        </is>
      </c>
      <c r="E518" t="inlineStr">
        <is>
          <t>UPPSALA</t>
        </is>
      </c>
      <c r="G518" t="n">
        <v>3.2</v>
      </c>
      <c r="H518" t="n">
        <v>0</v>
      </c>
      <c r="I518" t="n">
        <v>0</v>
      </c>
      <c r="J518" t="n">
        <v>0</v>
      </c>
      <c r="K518" t="n">
        <v>0</v>
      </c>
      <c r="L518" t="n">
        <v>0</v>
      </c>
      <c r="M518" t="n">
        <v>0</v>
      </c>
      <c r="N518" t="n">
        <v>0</v>
      </c>
      <c r="O518" t="n">
        <v>0</v>
      </c>
      <c r="P518" t="n">
        <v>0</v>
      </c>
      <c r="Q518" t="n">
        <v>0</v>
      </c>
      <c r="R518" s="2" t="inlineStr"/>
    </row>
    <row r="519" ht="15" customHeight="1">
      <c r="A519" t="inlineStr">
        <is>
          <t>A 57714-2022</t>
        </is>
      </c>
      <c r="B519" s="1" t="n">
        <v>44897</v>
      </c>
      <c r="C519" s="1" t="n">
        <v>45934</v>
      </c>
      <c r="D519" t="inlineStr">
        <is>
          <t>UPPSALA LÄN</t>
        </is>
      </c>
      <c r="E519" t="inlineStr">
        <is>
          <t>UPPSALA</t>
        </is>
      </c>
      <c r="G519" t="n">
        <v>8.9</v>
      </c>
      <c r="H519" t="n">
        <v>0</v>
      </c>
      <c r="I519" t="n">
        <v>0</v>
      </c>
      <c r="J519" t="n">
        <v>0</v>
      </c>
      <c r="K519" t="n">
        <v>0</v>
      </c>
      <c r="L519" t="n">
        <v>0</v>
      </c>
      <c r="M519" t="n">
        <v>0</v>
      </c>
      <c r="N519" t="n">
        <v>0</v>
      </c>
      <c r="O519" t="n">
        <v>0</v>
      </c>
      <c r="P519" t="n">
        <v>0</v>
      </c>
      <c r="Q519" t="n">
        <v>0</v>
      </c>
      <c r="R519" s="2" t="inlineStr"/>
    </row>
    <row r="520" ht="15" customHeight="1">
      <c r="A520" t="inlineStr">
        <is>
          <t>A 9993-2025</t>
        </is>
      </c>
      <c r="B520" s="1" t="n">
        <v>45719.43755787037</v>
      </c>
      <c r="C520" s="1" t="n">
        <v>45934</v>
      </c>
      <c r="D520" t="inlineStr">
        <is>
          <t>UPPSALA LÄN</t>
        </is>
      </c>
      <c r="E520" t="inlineStr">
        <is>
          <t>UPPSALA</t>
        </is>
      </c>
      <c r="F520" t="inlineStr">
        <is>
          <t>Kyrkan</t>
        </is>
      </c>
      <c r="G520" t="n">
        <v>6.1</v>
      </c>
      <c r="H520" t="n">
        <v>0</v>
      </c>
      <c r="I520" t="n">
        <v>0</v>
      </c>
      <c r="J520" t="n">
        <v>0</v>
      </c>
      <c r="K520" t="n">
        <v>0</v>
      </c>
      <c r="L520" t="n">
        <v>0</v>
      </c>
      <c r="M520" t="n">
        <v>0</v>
      </c>
      <c r="N520" t="n">
        <v>0</v>
      </c>
      <c r="O520" t="n">
        <v>0</v>
      </c>
      <c r="P520" t="n">
        <v>0</v>
      </c>
      <c r="Q520" t="n">
        <v>0</v>
      </c>
      <c r="R520" s="2" t="inlineStr"/>
    </row>
    <row r="521" ht="15" customHeight="1">
      <c r="A521" t="inlineStr">
        <is>
          <t>A 3260-2024</t>
        </is>
      </c>
      <c r="B521" s="1" t="n">
        <v>45317</v>
      </c>
      <c r="C521" s="1" t="n">
        <v>45934</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38865-2022</t>
        </is>
      </c>
      <c r="B522" s="1" t="n">
        <v>44816</v>
      </c>
      <c r="C522" s="1" t="n">
        <v>45934</v>
      </c>
      <c r="D522" t="inlineStr">
        <is>
          <t>UPPSALA LÄN</t>
        </is>
      </c>
      <c r="E522" t="inlineStr">
        <is>
          <t>UPPSALA</t>
        </is>
      </c>
      <c r="G522" t="n">
        <v>14.6</v>
      </c>
      <c r="H522" t="n">
        <v>0</v>
      </c>
      <c r="I522" t="n">
        <v>0</v>
      </c>
      <c r="J522" t="n">
        <v>0</v>
      </c>
      <c r="K522" t="n">
        <v>0</v>
      </c>
      <c r="L522" t="n">
        <v>0</v>
      </c>
      <c r="M522" t="n">
        <v>0</v>
      </c>
      <c r="N522" t="n">
        <v>0</v>
      </c>
      <c r="O522" t="n">
        <v>0</v>
      </c>
      <c r="P522" t="n">
        <v>0</v>
      </c>
      <c r="Q522" t="n">
        <v>0</v>
      </c>
      <c r="R522" s="2" t="inlineStr"/>
    </row>
    <row r="523" ht="15" customHeight="1">
      <c r="A523" t="inlineStr">
        <is>
          <t>A 1994-2024</t>
        </is>
      </c>
      <c r="B523" s="1" t="n">
        <v>45308.63298611111</v>
      </c>
      <c r="C523" s="1" t="n">
        <v>45934</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46775-2025</t>
        </is>
      </c>
      <c r="B524" s="1" t="n">
        <v>45926.63366898148</v>
      </c>
      <c r="C524" s="1" t="n">
        <v>45934</v>
      </c>
      <c r="D524" t="inlineStr">
        <is>
          <t>UPPSALA LÄN</t>
        </is>
      </c>
      <c r="E524" t="inlineStr">
        <is>
          <t>UPPSALA</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29927-2023</t>
        </is>
      </c>
      <c r="B525" s="1" t="n">
        <v>45107</v>
      </c>
      <c r="C525" s="1" t="n">
        <v>45934</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70228-2021</t>
        </is>
      </c>
      <c r="B526" s="1" t="n">
        <v>44535</v>
      </c>
      <c r="C526" s="1" t="n">
        <v>45934</v>
      </c>
      <c r="D526" t="inlineStr">
        <is>
          <t>UPPSALA LÄN</t>
        </is>
      </c>
      <c r="E526" t="inlineStr">
        <is>
          <t>UPPSALA</t>
        </is>
      </c>
      <c r="G526" t="n">
        <v>1.8</v>
      </c>
      <c r="H526" t="n">
        <v>0</v>
      </c>
      <c r="I526" t="n">
        <v>0</v>
      </c>
      <c r="J526" t="n">
        <v>0</v>
      </c>
      <c r="K526" t="n">
        <v>0</v>
      </c>
      <c r="L526" t="n">
        <v>0</v>
      </c>
      <c r="M526" t="n">
        <v>0</v>
      </c>
      <c r="N526" t="n">
        <v>0</v>
      </c>
      <c r="O526" t="n">
        <v>0</v>
      </c>
      <c r="P526" t="n">
        <v>0</v>
      </c>
      <c r="Q526" t="n">
        <v>0</v>
      </c>
      <c r="R526" s="2" t="inlineStr"/>
    </row>
    <row r="527" ht="15" customHeight="1">
      <c r="A527" t="inlineStr">
        <is>
          <t>A 42273-2023</t>
        </is>
      </c>
      <c r="B527" s="1" t="n">
        <v>45180.40255787037</v>
      </c>
      <c r="C527" s="1" t="n">
        <v>45934</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53615-2024</t>
        </is>
      </c>
      <c r="B528" s="1" t="n">
        <v>45611</v>
      </c>
      <c r="C528" s="1" t="n">
        <v>45934</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11224-2022</t>
        </is>
      </c>
      <c r="B529" s="1" t="n">
        <v>44629.57741898148</v>
      </c>
      <c r="C529" s="1" t="n">
        <v>45934</v>
      </c>
      <c r="D529" t="inlineStr">
        <is>
          <t>UPPSALA LÄN</t>
        </is>
      </c>
      <c r="E529" t="inlineStr">
        <is>
          <t>UPPSALA</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7899-2022</t>
        </is>
      </c>
      <c r="B530" s="1" t="n">
        <v>44608</v>
      </c>
      <c r="C530" s="1" t="n">
        <v>45934</v>
      </c>
      <c r="D530" t="inlineStr">
        <is>
          <t>UPPSALA LÄN</t>
        </is>
      </c>
      <c r="E530" t="inlineStr">
        <is>
          <t>UPPSALA</t>
        </is>
      </c>
      <c r="F530" t="inlineStr">
        <is>
          <t>Övriga Aktiebolag</t>
        </is>
      </c>
      <c r="G530" t="n">
        <v>7.1</v>
      </c>
      <c r="H530" t="n">
        <v>0</v>
      </c>
      <c r="I530" t="n">
        <v>0</v>
      </c>
      <c r="J530" t="n">
        <v>0</v>
      </c>
      <c r="K530" t="n">
        <v>0</v>
      </c>
      <c r="L530" t="n">
        <v>0</v>
      </c>
      <c r="M530" t="n">
        <v>0</v>
      </c>
      <c r="N530" t="n">
        <v>0</v>
      </c>
      <c r="O530" t="n">
        <v>0</v>
      </c>
      <c r="P530" t="n">
        <v>0</v>
      </c>
      <c r="Q530" t="n">
        <v>0</v>
      </c>
      <c r="R530" s="2" t="inlineStr"/>
    </row>
    <row r="531" ht="15" customHeight="1">
      <c r="A531" t="inlineStr">
        <is>
          <t>A 43031-2023</t>
        </is>
      </c>
      <c r="B531" s="1" t="n">
        <v>45182</v>
      </c>
      <c r="C531" s="1" t="n">
        <v>45934</v>
      </c>
      <c r="D531" t="inlineStr">
        <is>
          <t>UPPSALA LÄN</t>
        </is>
      </c>
      <c r="E531" t="inlineStr">
        <is>
          <t>UPPSALA</t>
        </is>
      </c>
      <c r="G531" t="n">
        <v>2.3</v>
      </c>
      <c r="H531" t="n">
        <v>0</v>
      </c>
      <c r="I531" t="n">
        <v>0</v>
      </c>
      <c r="J531" t="n">
        <v>0</v>
      </c>
      <c r="K531" t="n">
        <v>0</v>
      </c>
      <c r="L531" t="n">
        <v>0</v>
      </c>
      <c r="M531" t="n">
        <v>0</v>
      </c>
      <c r="N531" t="n">
        <v>0</v>
      </c>
      <c r="O531" t="n">
        <v>0</v>
      </c>
      <c r="P531" t="n">
        <v>0</v>
      </c>
      <c r="Q531" t="n">
        <v>0</v>
      </c>
      <c r="R531" s="2" t="inlineStr"/>
    </row>
    <row r="532" ht="15" customHeight="1">
      <c r="A532" t="inlineStr">
        <is>
          <t>A 5006-2022</t>
        </is>
      </c>
      <c r="B532" s="1" t="n">
        <v>44593</v>
      </c>
      <c r="C532" s="1" t="n">
        <v>45934</v>
      </c>
      <c r="D532" t="inlineStr">
        <is>
          <t>UPPSALA LÄN</t>
        </is>
      </c>
      <c r="E532" t="inlineStr">
        <is>
          <t>UPPSALA</t>
        </is>
      </c>
      <c r="F532" t="inlineStr">
        <is>
          <t>BillerudKorsnäs AB</t>
        </is>
      </c>
      <c r="G532" t="n">
        <v>1.4</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45934</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8164-2025</t>
        </is>
      </c>
      <c r="B534" s="1" t="n">
        <v>45707</v>
      </c>
      <c r="C534" s="1" t="n">
        <v>45934</v>
      </c>
      <c r="D534" t="inlineStr">
        <is>
          <t>UPPSALA LÄN</t>
        </is>
      </c>
      <c r="E534" t="inlineStr">
        <is>
          <t>UPPSALA</t>
        </is>
      </c>
      <c r="F534" t="inlineStr">
        <is>
          <t>Övriga Aktiebolag</t>
        </is>
      </c>
      <c r="G534" t="n">
        <v>12.2</v>
      </c>
      <c r="H534" t="n">
        <v>0</v>
      </c>
      <c r="I534" t="n">
        <v>0</v>
      </c>
      <c r="J534" t="n">
        <v>0</v>
      </c>
      <c r="K534" t="n">
        <v>0</v>
      </c>
      <c r="L534" t="n">
        <v>0</v>
      </c>
      <c r="M534" t="n">
        <v>0</v>
      </c>
      <c r="N534" t="n">
        <v>0</v>
      </c>
      <c r="O534" t="n">
        <v>0</v>
      </c>
      <c r="P534" t="n">
        <v>0</v>
      </c>
      <c r="Q534" t="n">
        <v>0</v>
      </c>
      <c r="R534" s="2" t="inlineStr"/>
    </row>
    <row r="535" ht="15" customHeight="1">
      <c r="A535" t="inlineStr">
        <is>
          <t>A 11119-2025</t>
        </is>
      </c>
      <c r="B535" s="1" t="n">
        <v>45723.63290509259</v>
      </c>
      <c r="C535" s="1" t="n">
        <v>45934</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19380-2023</t>
        </is>
      </c>
      <c r="B536" s="1" t="n">
        <v>45049.66025462963</v>
      </c>
      <c r="C536" s="1" t="n">
        <v>45934</v>
      </c>
      <c r="D536" t="inlineStr">
        <is>
          <t>UPPSALA LÄN</t>
        </is>
      </c>
      <c r="E536" t="inlineStr">
        <is>
          <t>UPPSALA</t>
        </is>
      </c>
      <c r="G536" t="n">
        <v>1</v>
      </c>
      <c r="H536" t="n">
        <v>0</v>
      </c>
      <c r="I536" t="n">
        <v>0</v>
      </c>
      <c r="J536" t="n">
        <v>0</v>
      </c>
      <c r="K536" t="n">
        <v>0</v>
      </c>
      <c r="L536" t="n">
        <v>0</v>
      </c>
      <c r="M536" t="n">
        <v>0</v>
      </c>
      <c r="N536" t="n">
        <v>0</v>
      </c>
      <c r="O536" t="n">
        <v>0</v>
      </c>
      <c r="P536" t="n">
        <v>0</v>
      </c>
      <c r="Q536" t="n">
        <v>0</v>
      </c>
      <c r="R536" s="2" t="inlineStr"/>
    </row>
    <row r="537" ht="15" customHeight="1">
      <c r="A537" t="inlineStr">
        <is>
          <t>A 37618-2023</t>
        </is>
      </c>
      <c r="B537" s="1" t="n">
        <v>45159.44694444445</v>
      </c>
      <c r="C537" s="1" t="n">
        <v>45934</v>
      </c>
      <c r="D537" t="inlineStr">
        <is>
          <t>UPPSALA LÄN</t>
        </is>
      </c>
      <c r="E537" t="inlineStr">
        <is>
          <t>UPPSALA</t>
        </is>
      </c>
      <c r="G537" t="n">
        <v>2.6</v>
      </c>
      <c r="H537" t="n">
        <v>0</v>
      </c>
      <c r="I537" t="n">
        <v>0</v>
      </c>
      <c r="J537" t="n">
        <v>0</v>
      </c>
      <c r="K537" t="n">
        <v>0</v>
      </c>
      <c r="L537" t="n">
        <v>0</v>
      </c>
      <c r="M537" t="n">
        <v>0</v>
      </c>
      <c r="N537" t="n">
        <v>0</v>
      </c>
      <c r="O537" t="n">
        <v>0</v>
      </c>
      <c r="P537" t="n">
        <v>0</v>
      </c>
      <c r="Q537" t="n">
        <v>0</v>
      </c>
      <c r="R537" s="2" t="inlineStr"/>
    </row>
    <row r="538" ht="15" customHeight="1">
      <c r="A538" t="inlineStr">
        <is>
          <t>A 38469-2025</t>
        </is>
      </c>
      <c r="B538" s="1" t="n">
        <v>45884</v>
      </c>
      <c r="C538" s="1" t="n">
        <v>45934</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60729-2024</t>
        </is>
      </c>
      <c r="B539" s="1" t="n">
        <v>45644</v>
      </c>
      <c r="C539" s="1" t="n">
        <v>45934</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60925-2021</t>
        </is>
      </c>
      <c r="B540" s="1" t="n">
        <v>44497.4666087963</v>
      </c>
      <c r="C540" s="1" t="n">
        <v>45934</v>
      </c>
      <c r="D540" t="inlineStr">
        <is>
          <t>UPPSALA LÄN</t>
        </is>
      </c>
      <c r="E540" t="inlineStr">
        <is>
          <t>UPPSALA</t>
        </is>
      </c>
      <c r="G540" t="n">
        <v>3.7</v>
      </c>
      <c r="H540" t="n">
        <v>0</v>
      </c>
      <c r="I540" t="n">
        <v>0</v>
      </c>
      <c r="J540" t="n">
        <v>0</v>
      </c>
      <c r="K540" t="n">
        <v>0</v>
      </c>
      <c r="L540" t="n">
        <v>0</v>
      </c>
      <c r="M540" t="n">
        <v>0</v>
      </c>
      <c r="N540" t="n">
        <v>0</v>
      </c>
      <c r="O540" t="n">
        <v>0</v>
      </c>
      <c r="P540" t="n">
        <v>0</v>
      </c>
      <c r="Q540" t="n">
        <v>0</v>
      </c>
      <c r="R540" s="2" t="inlineStr"/>
    </row>
    <row r="541" ht="15" customHeight="1">
      <c r="A541" t="inlineStr">
        <is>
          <t>A 3086-2023</t>
        </is>
      </c>
      <c r="B541" s="1" t="n">
        <v>44946.43564814814</v>
      </c>
      <c r="C541" s="1" t="n">
        <v>45934</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6422-2023</t>
        </is>
      </c>
      <c r="B542" s="1" t="n">
        <v>44965</v>
      </c>
      <c r="C542" s="1" t="n">
        <v>45934</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6423-2023</t>
        </is>
      </c>
      <c r="B543" s="1" t="n">
        <v>44965</v>
      </c>
      <c r="C543" s="1" t="n">
        <v>45934</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59133-2022</t>
        </is>
      </c>
      <c r="B544" s="1" t="n">
        <v>44904</v>
      </c>
      <c r="C544" s="1" t="n">
        <v>45934</v>
      </c>
      <c r="D544" t="inlineStr">
        <is>
          <t>UPPSALA LÄN</t>
        </is>
      </c>
      <c r="E544" t="inlineStr">
        <is>
          <t>UPPSALA</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32928-2025</t>
        </is>
      </c>
      <c r="B545" s="1" t="n">
        <v>45839</v>
      </c>
      <c r="C545" s="1" t="n">
        <v>45934</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59521-2023</t>
        </is>
      </c>
      <c r="B546" s="1" t="n">
        <v>45254.49552083333</v>
      </c>
      <c r="C546" s="1" t="n">
        <v>45934</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17448-2022</t>
        </is>
      </c>
      <c r="B547" s="1" t="n">
        <v>44679</v>
      </c>
      <c r="C547" s="1" t="n">
        <v>45934</v>
      </c>
      <c r="D547" t="inlineStr">
        <is>
          <t>UPPSALA LÄN</t>
        </is>
      </c>
      <c r="E547" t="inlineStr">
        <is>
          <t>UPPSALA</t>
        </is>
      </c>
      <c r="G547" t="n">
        <v>2.7</v>
      </c>
      <c r="H547" t="n">
        <v>0</v>
      </c>
      <c r="I547" t="n">
        <v>0</v>
      </c>
      <c r="J547" t="n">
        <v>0</v>
      </c>
      <c r="K547" t="n">
        <v>0</v>
      </c>
      <c r="L547" t="n">
        <v>0</v>
      </c>
      <c r="M547" t="n">
        <v>0</v>
      </c>
      <c r="N547" t="n">
        <v>0</v>
      </c>
      <c r="O547" t="n">
        <v>0</v>
      </c>
      <c r="P547" t="n">
        <v>0</v>
      </c>
      <c r="Q547" t="n">
        <v>0</v>
      </c>
      <c r="R547" s="2" t="inlineStr"/>
    </row>
    <row r="548" ht="15" customHeight="1">
      <c r="A548" t="inlineStr">
        <is>
          <t>A 5974-2024</t>
        </is>
      </c>
      <c r="B548" s="1" t="n">
        <v>45336.53908564815</v>
      </c>
      <c r="C548" s="1" t="n">
        <v>45934</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7226-2024</t>
        </is>
      </c>
      <c r="B549" s="1" t="n">
        <v>45344.64759259259</v>
      </c>
      <c r="C549" s="1" t="n">
        <v>45934</v>
      </c>
      <c r="D549" t="inlineStr">
        <is>
          <t>UPPSALA LÄN</t>
        </is>
      </c>
      <c r="E549" t="inlineStr">
        <is>
          <t>UPPSALA</t>
        </is>
      </c>
      <c r="F549" t="inlineStr">
        <is>
          <t>Kyrkan</t>
        </is>
      </c>
      <c r="G549" t="n">
        <v>1.2</v>
      </c>
      <c r="H549" t="n">
        <v>0</v>
      </c>
      <c r="I549" t="n">
        <v>0</v>
      </c>
      <c r="J549" t="n">
        <v>0</v>
      </c>
      <c r="K549" t="n">
        <v>0</v>
      </c>
      <c r="L549" t="n">
        <v>0</v>
      </c>
      <c r="M549" t="n">
        <v>0</v>
      </c>
      <c r="N549" t="n">
        <v>0</v>
      </c>
      <c r="O549" t="n">
        <v>0</v>
      </c>
      <c r="P549" t="n">
        <v>0</v>
      </c>
      <c r="Q549" t="n">
        <v>0</v>
      </c>
      <c r="R549" s="2" t="inlineStr"/>
    </row>
    <row r="550" ht="15" customHeight="1">
      <c r="A550" t="inlineStr">
        <is>
          <t>A 5975-2024</t>
        </is>
      </c>
      <c r="B550" s="1" t="n">
        <v>45336.54270833333</v>
      </c>
      <c r="C550" s="1" t="n">
        <v>45934</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4875-2021</t>
        </is>
      </c>
      <c r="B551" s="1" t="n">
        <v>44223</v>
      </c>
      <c r="C551" s="1" t="n">
        <v>45934</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55220-2020</t>
        </is>
      </c>
      <c r="B552" s="1" t="n">
        <v>44130</v>
      </c>
      <c r="C552" s="1" t="n">
        <v>45934</v>
      </c>
      <c r="D552" t="inlineStr">
        <is>
          <t>UPPSALA LÄN</t>
        </is>
      </c>
      <c r="E552" t="inlineStr">
        <is>
          <t>UPPSALA</t>
        </is>
      </c>
      <c r="G552" t="n">
        <v>2.8</v>
      </c>
      <c r="H552" t="n">
        <v>0</v>
      </c>
      <c r="I552" t="n">
        <v>0</v>
      </c>
      <c r="J552" t="n">
        <v>0</v>
      </c>
      <c r="K552" t="n">
        <v>0</v>
      </c>
      <c r="L552" t="n">
        <v>0</v>
      </c>
      <c r="M552" t="n">
        <v>0</v>
      </c>
      <c r="N552" t="n">
        <v>0</v>
      </c>
      <c r="O552" t="n">
        <v>0</v>
      </c>
      <c r="P552" t="n">
        <v>0</v>
      </c>
      <c r="Q552" t="n">
        <v>0</v>
      </c>
      <c r="R552" s="2" t="inlineStr"/>
    </row>
    <row r="553" ht="15" customHeight="1">
      <c r="A553" t="inlineStr">
        <is>
          <t>A 42124-2021</t>
        </is>
      </c>
      <c r="B553" s="1" t="n">
        <v>44426</v>
      </c>
      <c r="C553" s="1" t="n">
        <v>45934</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46571-2025</t>
        </is>
      </c>
      <c r="B554" s="1" t="n">
        <v>45926.366875</v>
      </c>
      <c r="C554" s="1" t="n">
        <v>45934</v>
      </c>
      <c r="D554" t="inlineStr">
        <is>
          <t>UPPSALA LÄN</t>
        </is>
      </c>
      <c r="E554" t="inlineStr">
        <is>
          <t>UPPSALA</t>
        </is>
      </c>
      <c r="F554" t="inlineStr">
        <is>
          <t>Bergvik skog öst AB</t>
        </is>
      </c>
      <c r="G554" t="n">
        <v>11.1</v>
      </c>
      <c r="H554" t="n">
        <v>0</v>
      </c>
      <c r="I554" t="n">
        <v>0</v>
      </c>
      <c r="J554" t="n">
        <v>0</v>
      </c>
      <c r="K554" t="n">
        <v>0</v>
      </c>
      <c r="L554" t="n">
        <v>0</v>
      </c>
      <c r="M554" t="n">
        <v>0</v>
      </c>
      <c r="N554" t="n">
        <v>0</v>
      </c>
      <c r="O554" t="n">
        <v>0</v>
      </c>
      <c r="P554" t="n">
        <v>0</v>
      </c>
      <c r="Q554" t="n">
        <v>0</v>
      </c>
      <c r="R554" s="2" t="inlineStr"/>
    </row>
    <row r="555" ht="15" customHeight="1">
      <c r="A555" t="inlineStr">
        <is>
          <t>A 39795-2022</t>
        </is>
      </c>
      <c r="B555" s="1" t="n">
        <v>44819.50233796296</v>
      </c>
      <c r="C555" s="1" t="n">
        <v>45934</v>
      </c>
      <c r="D555" t="inlineStr">
        <is>
          <t>UPPSALA LÄN</t>
        </is>
      </c>
      <c r="E555" t="inlineStr">
        <is>
          <t>UPPSALA</t>
        </is>
      </c>
      <c r="F555" t="inlineStr">
        <is>
          <t>Övriga Aktiebolag</t>
        </is>
      </c>
      <c r="G555" t="n">
        <v>3.5</v>
      </c>
      <c r="H555" t="n">
        <v>0</v>
      </c>
      <c r="I555" t="n">
        <v>0</v>
      </c>
      <c r="J555" t="n">
        <v>0</v>
      </c>
      <c r="K555" t="n">
        <v>0</v>
      </c>
      <c r="L555" t="n">
        <v>0</v>
      </c>
      <c r="M555" t="n">
        <v>0</v>
      </c>
      <c r="N555" t="n">
        <v>0</v>
      </c>
      <c r="O555" t="n">
        <v>0</v>
      </c>
      <c r="P555" t="n">
        <v>0</v>
      </c>
      <c r="Q555" t="n">
        <v>0</v>
      </c>
      <c r="R555" s="2" t="inlineStr"/>
    </row>
    <row r="556" ht="15" customHeight="1">
      <c r="A556" t="inlineStr">
        <is>
          <t>A 60954-2024</t>
        </is>
      </c>
      <c r="B556" s="1" t="n">
        <v>45645</v>
      </c>
      <c r="C556" s="1" t="n">
        <v>45934</v>
      </c>
      <c r="D556" t="inlineStr">
        <is>
          <t>UPPSALA LÄN</t>
        </is>
      </c>
      <c r="E556" t="inlineStr">
        <is>
          <t>UPPSALA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11409-2025</t>
        </is>
      </c>
      <c r="B557" s="1" t="n">
        <v>45726</v>
      </c>
      <c r="C557" s="1" t="n">
        <v>45934</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668-2025</t>
        </is>
      </c>
      <c r="B558" s="1" t="n">
        <v>45664</v>
      </c>
      <c r="C558" s="1" t="n">
        <v>45934</v>
      </c>
      <c r="D558" t="inlineStr">
        <is>
          <t>UPPSALA LÄN</t>
        </is>
      </c>
      <c r="E558" t="inlineStr">
        <is>
          <t>UPPSALA</t>
        </is>
      </c>
      <c r="F558" t="inlineStr">
        <is>
          <t>Bergvik skog öst AB</t>
        </is>
      </c>
      <c r="G558" t="n">
        <v>4.7</v>
      </c>
      <c r="H558" t="n">
        <v>0</v>
      </c>
      <c r="I558" t="n">
        <v>0</v>
      </c>
      <c r="J558" t="n">
        <v>0</v>
      </c>
      <c r="K558" t="n">
        <v>0</v>
      </c>
      <c r="L558" t="n">
        <v>0</v>
      </c>
      <c r="M558" t="n">
        <v>0</v>
      </c>
      <c r="N558" t="n">
        <v>0</v>
      </c>
      <c r="O558" t="n">
        <v>0</v>
      </c>
      <c r="P558" t="n">
        <v>0</v>
      </c>
      <c r="Q558" t="n">
        <v>0</v>
      </c>
      <c r="R558" s="2" t="inlineStr"/>
    </row>
    <row r="559" ht="15" customHeight="1">
      <c r="A559" t="inlineStr">
        <is>
          <t>A 8933-2022</t>
        </is>
      </c>
      <c r="B559" s="1" t="n">
        <v>44614.69730324074</v>
      </c>
      <c r="C559" s="1" t="n">
        <v>45934</v>
      </c>
      <c r="D559" t="inlineStr">
        <is>
          <t>UPPSALA LÄN</t>
        </is>
      </c>
      <c r="E559" t="inlineStr">
        <is>
          <t>UPPSALA</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60714-2023</t>
        </is>
      </c>
      <c r="B560" s="1" t="n">
        <v>45259</v>
      </c>
      <c r="C560" s="1" t="n">
        <v>45934</v>
      </c>
      <c r="D560" t="inlineStr">
        <is>
          <t>UPPSALA LÄN</t>
        </is>
      </c>
      <c r="E560" t="inlineStr">
        <is>
          <t>UPPSALA</t>
        </is>
      </c>
      <c r="G560" t="n">
        <v>3.3</v>
      </c>
      <c r="H560" t="n">
        <v>0</v>
      </c>
      <c r="I560" t="n">
        <v>0</v>
      </c>
      <c r="J560" t="n">
        <v>0</v>
      </c>
      <c r="K560" t="n">
        <v>0</v>
      </c>
      <c r="L560" t="n">
        <v>0</v>
      </c>
      <c r="M560" t="n">
        <v>0</v>
      </c>
      <c r="N560" t="n">
        <v>0</v>
      </c>
      <c r="O560" t="n">
        <v>0</v>
      </c>
      <c r="P560" t="n">
        <v>0</v>
      </c>
      <c r="Q560" t="n">
        <v>0</v>
      </c>
      <c r="R560" s="2" t="inlineStr"/>
    </row>
    <row r="561" ht="15" customHeight="1">
      <c r="A561" t="inlineStr">
        <is>
          <t>A 47558-2025</t>
        </is>
      </c>
      <c r="B561" s="1" t="n">
        <v>45931.37796296296</v>
      </c>
      <c r="C561" s="1" t="n">
        <v>45934</v>
      </c>
      <c r="D561" t="inlineStr">
        <is>
          <t>UPPSALA LÄN</t>
        </is>
      </c>
      <c r="E561" t="inlineStr">
        <is>
          <t>UPPSALA</t>
        </is>
      </c>
      <c r="F561" t="inlineStr">
        <is>
          <t>Kyrkan</t>
        </is>
      </c>
      <c r="G561" t="n">
        <v>1.9</v>
      </c>
      <c r="H561" t="n">
        <v>0</v>
      </c>
      <c r="I561" t="n">
        <v>0</v>
      </c>
      <c r="J561" t="n">
        <v>0</v>
      </c>
      <c r="K561" t="n">
        <v>0</v>
      </c>
      <c r="L561" t="n">
        <v>0</v>
      </c>
      <c r="M561" t="n">
        <v>0</v>
      </c>
      <c r="N561" t="n">
        <v>0</v>
      </c>
      <c r="O561" t="n">
        <v>0</v>
      </c>
      <c r="P561" t="n">
        <v>0</v>
      </c>
      <c r="Q561" t="n">
        <v>0</v>
      </c>
      <c r="R561" s="2" t="inlineStr"/>
    </row>
    <row r="562" ht="15" customHeight="1">
      <c r="A562" t="inlineStr">
        <is>
          <t>A 47316-2025</t>
        </is>
      </c>
      <c r="B562" s="1" t="n">
        <v>45930.55024305556</v>
      </c>
      <c r="C562" s="1" t="n">
        <v>45934</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19345-2025</t>
        </is>
      </c>
      <c r="B563" s="1" t="n">
        <v>45769.6009375</v>
      </c>
      <c r="C563" s="1" t="n">
        <v>45934</v>
      </c>
      <c r="D563" t="inlineStr">
        <is>
          <t>UPPSALA LÄN</t>
        </is>
      </c>
      <c r="E563" t="inlineStr">
        <is>
          <t>UPPSALA</t>
        </is>
      </c>
      <c r="G563" t="n">
        <v>1.8</v>
      </c>
      <c r="H563" t="n">
        <v>0</v>
      </c>
      <c r="I563" t="n">
        <v>0</v>
      </c>
      <c r="J563" t="n">
        <v>0</v>
      </c>
      <c r="K563" t="n">
        <v>0</v>
      </c>
      <c r="L563" t="n">
        <v>0</v>
      </c>
      <c r="M563" t="n">
        <v>0</v>
      </c>
      <c r="N563" t="n">
        <v>0</v>
      </c>
      <c r="O563" t="n">
        <v>0</v>
      </c>
      <c r="P563" t="n">
        <v>0</v>
      </c>
      <c r="Q563" t="n">
        <v>0</v>
      </c>
      <c r="R563" s="2" t="inlineStr"/>
    </row>
    <row r="564" ht="15" customHeight="1">
      <c r="A564" t="inlineStr">
        <is>
          <t>A 6408-2022</t>
        </is>
      </c>
      <c r="B564" s="1" t="n">
        <v>44600</v>
      </c>
      <c r="C564" s="1" t="n">
        <v>45934</v>
      </c>
      <c r="D564" t="inlineStr">
        <is>
          <t>UPPSALA LÄN</t>
        </is>
      </c>
      <c r="E564" t="inlineStr">
        <is>
          <t>UPPSALA</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24098-2024</t>
        </is>
      </c>
      <c r="B565" s="1" t="n">
        <v>45456.59535879629</v>
      </c>
      <c r="C565" s="1" t="n">
        <v>45934</v>
      </c>
      <c r="D565" t="inlineStr">
        <is>
          <t>UPPSALA LÄN</t>
        </is>
      </c>
      <c r="E565" t="inlineStr">
        <is>
          <t>UPPSALA</t>
        </is>
      </c>
      <c r="G565" t="n">
        <v>2.2</v>
      </c>
      <c r="H565" t="n">
        <v>0</v>
      </c>
      <c r="I565" t="n">
        <v>0</v>
      </c>
      <c r="J565" t="n">
        <v>0</v>
      </c>
      <c r="K565" t="n">
        <v>0</v>
      </c>
      <c r="L565" t="n">
        <v>0</v>
      </c>
      <c r="M565" t="n">
        <v>0</v>
      </c>
      <c r="N565" t="n">
        <v>0</v>
      </c>
      <c r="O565" t="n">
        <v>0</v>
      </c>
      <c r="P565" t="n">
        <v>0</v>
      </c>
      <c r="Q565" t="n">
        <v>0</v>
      </c>
      <c r="R565" s="2" t="inlineStr"/>
    </row>
    <row r="566" ht="15" customHeight="1">
      <c r="A566" t="inlineStr">
        <is>
          <t>A 5722-2025</t>
        </is>
      </c>
      <c r="B566" s="1" t="n">
        <v>45694</v>
      </c>
      <c r="C566" s="1" t="n">
        <v>45934</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37316-2022</t>
        </is>
      </c>
      <c r="B567" s="1" t="n">
        <v>44806</v>
      </c>
      <c r="C567" s="1" t="n">
        <v>45934</v>
      </c>
      <c r="D567" t="inlineStr">
        <is>
          <t>UPPSALA LÄN</t>
        </is>
      </c>
      <c r="E567" t="inlineStr">
        <is>
          <t>UPPSALA</t>
        </is>
      </c>
      <c r="G567" t="n">
        <v>10.6</v>
      </c>
      <c r="H567" t="n">
        <v>0</v>
      </c>
      <c r="I567" t="n">
        <v>0</v>
      </c>
      <c r="J567" t="n">
        <v>0</v>
      </c>
      <c r="K567" t="n">
        <v>0</v>
      </c>
      <c r="L567" t="n">
        <v>0</v>
      </c>
      <c r="M567" t="n">
        <v>0</v>
      </c>
      <c r="N567" t="n">
        <v>0</v>
      </c>
      <c r="O567" t="n">
        <v>0</v>
      </c>
      <c r="P567" t="n">
        <v>0</v>
      </c>
      <c r="Q567" t="n">
        <v>0</v>
      </c>
      <c r="R567" s="2" t="inlineStr"/>
    </row>
    <row r="568" ht="15" customHeight="1">
      <c r="A568" t="inlineStr">
        <is>
          <t>A 18410-2025</t>
        </is>
      </c>
      <c r="B568" s="1" t="n">
        <v>45762.61341435185</v>
      </c>
      <c r="C568" s="1" t="n">
        <v>45934</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6363-2024</t>
        </is>
      </c>
      <c r="B569" s="1" t="n">
        <v>45338.49412037037</v>
      </c>
      <c r="C569" s="1" t="n">
        <v>45934</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48153-2024</t>
        </is>
      </c>
      <c r="B570" s="1" t="n">
        <v>45589</v>
      </c>
      <c r="C570" s="1" t="n">
        <v>45934</v>
      </c>
      <c r="D570" t="inlineStr">
        <is>
          <t>UPPSALA LÄN</t>
        </is>
      </c>
      <c r="E570" t="inlineStr">
        <is>
          <t>UPPSALA</t>
        </is>
      </c>
      <c r="G570" t="n">
        <v>3.4</v>
      </c>
      <c r="H570" t="n">
        <v>0</v>
      </c>
      <c r="I570" t="n">
        <v>0</v>
      </c>
      <c r="J570" t="n">
        <v>0</v>
      </c>
      <c r="K570" t="n">
        <v>0</v>
      </c>
      <c r="L570" t="n">
        <v>0</v>
      </c>
      <c r="M570" t="n">
        <v>0</v>
      </c>
      <c r="N570" t="n">
        <v>0</v>
      </c>
      <c r="O570" t="n">
        <v>0</v>
      </c>
      <c r="P570" t="n">
        <v>0</v>
      </c>
      <c r="Q570" t="n">
        <v>0</v>
      </c>
      <c r="R570" s="2" t="inlineStr"/>
    </row>
    <row r="571" ht="15" customHeight="1">
      <c r="A571" t="inlineStr">
        <is>
          <t>A 48154-2024</t>
        </is>
      </c>
      <c r="B571" s="1" t="n">
        <v>45589</v>
      </c>
      <c r="C571" s="1" t="n">
        <v>45934</v>
      </c>
      <c r="D571" t="inlineStr">
        <is>
          <t>UPPSALA LÄN</t>
        </is>
      </c>
      <c r="E571" t="inlineStr">
        <is>
          <t>UPPSALA</t>
        </is>
      </c>
      <c r="G571" t="n">
        <v>5.1</v>
      </c>
      <c r="H571" t="n">
        <v>0</v>
      </c>
      <c r="I571" t="n">
        <v>0</v>
      </c>
      <c r="J571" t="n">
        <v>0</v>
      </c>
      <c r="K571" t="n">
        <v>0</v>
      </c>
      <c r="L571" t="n">
        <v>0</v>
      </c>
      <c r="M571" t="n">
        <v>0</v>
      </c>
      <c r="N571" t="n">
        <v>0</v>
      </c>
      <c r="O571" t="n">
        <v>0</v>
      </c>
      <c r="P571" t="n">
        <v>0</v>
      </c>
      <c r="Q571" t="n">
        <v>0</v>
      </c>
      <c r="R571" s="2" t="inlineStr"/>
    </row>
    <row r="572" ht="15" customHeight="1">
      <c r="A572" t="inlineStr">
        <is>
          <t>A 6060-2025</t>
        </is>
      </c>
      <c r="B572" s="1" t="n">
        <v>45695.84078703704</v>
      </c>
      <c r="C572" s="1" t="n">
        <v>45934</v>
      </c>
      <c r="D572" t="inlineStr">
        <is>
          <t>UPPSALA LÄN</t>
        </is>
      </c>
      <c r="E572" t="inlineStr">
        <is>
          <t>UPPSALA</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47690-2025</t>
        </is>
      </c>
      <c r="B573" s="1" t="n">
        <v>45931.59373842592</v>
      </c>
      <c r="C573" s="1" t="n">
        <v>45934</v>
      </c>
      <c r="D573" t="inlineStr">
        <is>
          <t>UPPSALA LÄN</t>
        </is>
      </c>
      <c r="E573" t="inlineStr">
        <is>
          <t>UPPSALA</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54808-2023</t>
        </is>
      </c>
      <c r="B574" s="1" t="n">
        <v>45236</v>
      </c>
      <c r="C574" s="1" t="n">
        <v>45934</v>
      </c>
      <c r="D574" t="inlineStr">
        <is>
          <t>UPPSALA LÄN</t>
        </is>
      </c>
      <c r="E574" t="inlineStr">
        <is>
          <t>UPPSALA</t>
        </is>
      </c>
      <c r="G574" t="n">
        <v>4.1</v>
      </c>
      <c r="H574" t="n">
        <v>0</v>
      </c>
      <c r="I574" t="n">
        <v>0</v>
      </c>
      <c r="J574" t="n">
        <v>0</v>
      </c>
      <c r="K574" t="n">
        <v>0</v>
      </c>
      <c r="L574" t="n">
        <v>0</v>
      </c>
      <c r="M574" t="n">
        <v>0</v>
      </c>
      <c r="N574" t="n">
        <v>0</v>
      </c>
      <c r="O574" t="n">
        <v>0</v>
      </c>
      <c r="P574" t="n">
        <v>0</v>
      </c>
      <c r="Q574" t="n">
        <v>0</v>
      </c>
      <c r="R574" s="2" t="inlineStr"/>
    </row>
    <row r="575" ht="15" customHeight="1">
      <c r="A575" t="inlineStr">
        <is>
          <t>A 6006-2025</t>
        </is>
      </c>
      <c r="B575" s="1" t="n">
        <v>45695.59197916667</v>
      </c>
      <c r="C575" s="1" t="n">
        <v>45934</v>
      </c>
      <c r="D575" t="inlineStr">
        <is>
          <t>UPPSALA LÄN</t>
        </is>
      </c>
      <c r="E575" t="inlineStr">
        <is>
          <t>UPPSALA</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54813-2022</t>
        </is>
      </c>
      <c r="B576" s="1" t="n">
        <v>44883</v>
      </c>
      <c r="C576" s="1" t="n">
        <v>45934</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28825-2024</t>
        </is>
      </c>
      <c r="B577" s="1" t="n">
        <v>45478</v>
      </c>
      <c r="C577" s="1" t="n">
        <v>45934</v>
      </c>
      <c r="D577" t="inlineStr">
        <is>
          <t>UPPSALA LÄN</t>
        </is>
      </c>
      <c r="E577" t="inlineStr">
        <is>
          <t>UPPSALA</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45592-2023</t>
        </is>
      </c>
      <c r="B578" s="1" t="n">
        <v>45194.63479166666</v>
      </c>
      <c r="C578" s="1" t="n">
        <v>45934</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45575-2023</t>
        </is>
      </c>
      <c r="B579" s="1" t="n">
        <v>45194.60876157408</v>
      </c>
      <c r="C579" s="1" t="n">
        <v>45934</v>
      </c>
      <c r="D579" t="inlineStr">
        <is>
          <t>UPPSALA LÄN</t>
        </is>
      </c>
      <c r="E579" t="inlineStr">
        <is>
          <t>UPPSALA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50037-2024</t>
        </is>
      </c>
      <c r="B580" s="1" t="n">
        <v>45599</v>
      </c>
      <c r="C580" s="1" t="n">
        <v>45934</v>
      </c>
      <c r="D580" t="inlineStr">
        <is>
          <t>UPPSALA LÄN</t>
        </is>
      </c>
      <c r="E580" t="inlineStr">
        <is>
          <t>UPPSALA</t>
        </is>
      </c>
      <c r="G580" t="n">
        <v>13.7</v>
      </c>
      <c r="H580" t="n">
        <v>0</v>
      </c>
      <c r="I580" t="n">
        <v>0</v>
      </c>
      <c r="J580" t="n">
        <v>0</v>
      </c>
      <c r="K580" t="n">
        <v>0</v>
      </c>
      <c r="L580" t="n">
        <v>0</v>
      </c>
      <c r="M580" t="n">
        <v>0</v>
      </c>
      <c r="N580" t="n">
        <v>0</v>
      </c>
      <c r="O580" t="n">
        <v>0</v>
      </c>
      <c r="P580" t="n">
        <v>0</v>
      </c>
      <c r="Q580" t="n">
        <v>0</v>
      </c>
      <c r="R580" s="2" t="inlineStr"/>
    </row>
    <row r="581" ht="15" customHeight="1">
      <c r="A581" t="inlineStr">
        <is>
          <t>A 35542-2022</t>
        </is>
      </c>
      <c r="B581" s="1" t="n">
        <v>44799.36695601852</v>
      </c>
      <c r="C581" s="1" t="n">
        <v>45934</v>
      </c>
      <c r="D581" t="inlineStr">
        <is>
          <t>UPPSALA LÄN</t>
        </is>
      </c>
      <c r="E581" t="inlineStr">
        <is>
          <t>UPPSALA</t>
        </is>
      </c>
      <c r="G581" t="n">
        <v>3.2</v>
      </c>
      <c r="H581" t="n">
        <v>0</v>
      </c>
      <c r="I581" t="n">
        <v>0</v>
      </c>
      <c r="J581" t="n">
        <v>0</v>
      </c>
      <c r="K581" t="n">
        <v>0</v>
      </c>
      <c r="L581" t="n">
        <v>0</v>
      </c>
      <c r="M581" t="n">
        <v>0</v>
      </c>
      <c r="N581" t="n">
        <v>0</v>
      </c>
      <c r="O581" t="n">
        <v>0</v>
      </c>
      <c r="P581" t="n">
        <v>0</v>
      </c>
      <c r="Q581" t="n">
        <v>0</v>
      </c>
      <c r="R581" s="2" t="inlineStr"/>
    </row>
    <row r="582" ht="15" customHeight="1">
      <c r="A582" t="inlineStr">
        <is>
          <t>A 47688-2025</t>
        </is>
      </c>
      <c r="B582" s="1" t="n">
        <v>45931.59091435185</v>
      </c>
      <c r="C582" s="1" t="n">
        <v>45934</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8404-2022</t>
        </is>
      </c>
      <c r="B583" s="1" t="n">
        <v>44610</v>
      </c>
      <c r="C583" s="1" t="n">
        <v>45934</v>
      </c>
      <c r="D583" t="inlineStr">
        <is>
          <t>UPPSALA LÄN</t>
        </is>
      </c>
      <c r="E583" t="inlineStr">
        <is>
          <t>UPPSALA</t>
        </is>
      </c>
      <c r="F583" t="inlineStr">
        <is>
          <t>Allmännings- och besparingsskogar</t>
        </is>
      </c>
      <c r="G583" t="n">
        <v>5.4</v>
      </c>
      <c r="H583" t="n">
        <v>0</v>
      </c>
      <c r="I583" t="n">
        <v>0</v>
      </c>
      <c r="J583" t="n">
        <v>0</v>
      </c>
      <c r="K583" t="n">
        <v>0</v>
      </c>
      <c r="L583" t="n">
        <v>0</v>
      </c>
      <c r="M583" t="n">
        <v>0</v>
      </c>
      <c r="N583" t="n">
        <v>0</v>
      </c>
      <c r="O583" t="n">
        <v>0</v>
      </c>
      <c r="P583" t="n">
        <v>0</v>
      </c>
      <c r="Q583" t="n">
        <v>0</v>
      </c>
      <c r="R583" s="2" t="inlineStr"/>
    </row>
    <row r="584" ht="15" customHeight="1">
      <c r="A584" t="inlineStr">
        <is>
          <t>A 50535-2024</t>
        </is>
      </c>
      <c r="B584" s="1" t="n">
        <v>45600</v>
      </c>
      <c r="C584" s="1" t="n">
        <v>45934</v>
      </c>
      <c r="D584" t="inlineStr">
        <is>
          <t>UPPSALA LÄN</t>
        </is>
      </c>
      <c r="E584" t="inlineStr">
        <is>
          <t>UPPSALA</t>
        </is>
      </c>
      <c r="F584" t="inlineStr">
        <is>
          <t>Övriga statliga verk och myndigheter</t>
        </is>
      </c>
      <c r="G584" t="n">
        <v>3.2</v>
      </c>
      <c r="H584" t="n">
        <v>0</v>
      </c>
      <c r="I584" t="n">
        <v>0</v>
      </c>
      <c r="J584" t="n">
        <v>0</v>
      </c>
      <c r="K584" t="n">
        <v>0</v>
      </c>
      <c r="L584" t="n">
        <v>0</v>
      </c>
      <c r="M584" t="n">
        <v>0</v>
      </c>
      <c r="N584" t="n">
        <v>0</v>
      </c>
      <c r="O584" t="n">
        <v>0</v>
      </c>
      <c r="P584" t="n">
        <v>0</v>
      </c>
      <c r="Q584" t="n">
        <v>0</v>
      </c>
      <c r="R584" s="2" t="inlineStr"/>
    </row>
    <row r="585" ht="15" customHeight="1">
      <c r="A585" t="inlineStr">
        <is>
          <t>A 47316-2023</t>
        </is>
      </c>
      <c r="B585" s="1" t="n">
        <v>45202.4997337963</v>
      </c>
      <c r="C585" s="1" t="n">
        <v>45934</v>
      </c>
      <c r="D585" t="inlineStr">
        <is>
          <t>UPPSALA LÄN</t>
        </is>
      </c>
      <c r="E585" t="inlineStr">
        <is>
          <t>UPPSALA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16126-2022</t>
        </is>
      </c>
      <c r="B586" s="1" t="n">
        <v>44665</v>
      </c>
      <c r="C586" s="1" t="n">
        <v>45934</v>
      </c>
      <c r="D586" t="inlineStr">
        <is>
          <t>UPPSALA LÄN</t>
        </is>
      </c>
      <c r="E586" t="inlineStr">
        <is>
          <t>UPPSALA</t>
        </is>
      </c>
      <c r="F586" t="inlineStr">
        <is>
          <t>Bergvik skog öst AB</t>
        </is>
      </c>
      <c r="G586" t="n">
        <v>4.4</v>
      </c>
      <c r="H586" t="n">
        <v>0</v>
      </c>
      <c r="I586" t="n">
        <v>0</v>
      </c>
      <c r="J586" t="n">
        <v>0</v>
      </c>
      <c r="K586" t="n">
        <v>0</v>
      </c>
      <c r="L586" t="n">
        <v>0</v>
      </c>
      <c r="M586" t="n">
        <v>0</v>
      </c>
      <c r="N586" t="n">
        <v>0</v>
      </c>
      <c r="O586" t="n">
        <v>0</v>
      </c>
      <c r="P586" t="n">
        <v>0</v>
      </c>
      <c r="Q586" t="n">
        <v>0</v>
      </c>
      <c r="R586" s="2" t="inlineStr"/>
    </row>
    <row r="587" ht="15" customHeight="1">
      <c r="A587" t="inlineStr">
        <is>
          <t>A 6851-2022</t>
        </is>
      </c>
      <c r="B587" s="1" t="n">
        <v>44602</v>
      </c>
      <c r="C587" s="1" t="n">
        <v>45934</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39107-2023</t>
        </is>
      </c>
      <c r="B588" s="1" t="n">
        <v>45164.82913194445</v>
      </c>
      <c r="C588" s="1" t="n">
        <v>45934</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7388-2024</t>
        </is>
      </c>
      <c r="B589" s="1" t="n">
        <v>45345.56</v>
      </c>
      <c r="C589" s="1" t="n">
        <v>45934</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47649-2025</t>
        </is>
      </c>
      <c r="B590" s="1" t="n">
        <v>45931.52792824074</v>
      </c>
      <c r="C590" s="1" t="n">
        <v>45934</v>
      </c>
      <c r="D590" t="inlineStr">
        <is>
          <t>UPPSALA LÄN</t>
        </is>
      </c>
      <c r="E590" t="inlineStr">
        <is>
          <t>UPPSALA</t>
        </is>
      </c>
      <c r="F590" t="inlineStr">
        <is>
          <t>Bergvik skog öst AB</t>
        </is>
      </c>
      <c r="G590" t="n">
        <v>0.9</v>
      </c>
      <c r="H590" t="n">
        <v>0</v>
      </c>
      <c r="I590" t="n">
        <v>0</v>
      </c>
      <c r="J590" t="n">
        <v>0</v>
      </c>
      <c r="K590" t="n">
        <v>0</v>
      </c>
      <c r="L590" t="n">
        <v>0</v>
      </c>
      <c r="M590" t="n">
        <v>0</v>
      </c>
      <c r="N590" t="n">
        <v>0</v>
      </c>
      <c r="O590" t="n">
        <v>0</v>
      </c>
      <c r="P590" t="n">
        <v>0</v>
      </c>
      <c r="Q590" t="n">
        <v>0</v>
      </c>
      <c r="R590" s="2" t="inlineStr"/>
    </row>
    <row r="591" ht="15" customHeight="1">
      <c r="A591" t="inlineStr">
        <is>
          <t>A 48564-2023</t>
        </is>
      </c>
      <c r="B591" s="1" t="n">
        <v>45208.4350462963</v>
      </c>
      <c r="C591" s="1" t="n">
        <v>45934</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21727-2023</t>
        </is>
      </c>
      <c r="B592" s="1" t="n">
        <v>45065.43013888889</v>
      </c>
      <c r="C592" s="1" t="n">
        <v>45934</v>
      </c>
      <c r="D592" t="inlineStr">
        <is>
          <t>UPPSALA LÄN</t>
        </is>
      </c>
      <c r="E592" t="inlineStr">
        <is>
          <t>UPPSALA</t>
        </is>
      </c>
      <c r="G592" t="n">
        <v>1.5</v>
      </c>
      <c r="H592" t="n">
        <v>0</v>
      </c>
      <c r="I592" t="n">
        <v>0</v>
      </c>
      <c r="J592" t="n">
        <v>0</v>
      </c>
      <c r="K592" t="n">
        <v>0</v>
      </c>
      <c r="L592" t="n">
        <v>0</v>
      </c>
      <c r="M592" t="n">
        <v>0</v>
      </c>
      <c r="N592" t="n">
        <v>0</v>
      </c>
      <c r="O592" t="n">
        <v>0</v>
      </c>
      <c r="P592" t="n">
        <v>0</v>
      </c>
      <c r="Q592" t="n">
        <v>0</v>
      </c>
      <c r="R592" s="2" t="inlineStr"/>
    </row>
    <row r="593" ht="15" customHeight="1">
      <c r="A593" t="inlineStr">
        <is>
          <t>A 14400-2025</t>
        </is>
      </c>
      <c r="B593" s="1" t="n">
        <v>45741.45114583334</v>
      </c>
      <c r="C593" s="1" t="n">
        <v>45934</v>
      </c>
      <c r="D593" t="inlineStr">
        <is>
          <t>UPPSALA LÄN</t>
        </is>
      </c>
      <c r="E593" t="inlineStr">
        <is>
          <t>UPPSALA</t>
        </is>
      </c>
      <c r="G593" t="n">
        <v>6.6</v>
      </c>
      <c r="H593" t="n">
        <v>0</v>
      </c>
      <c r="I593" t="n">
        <v>0</v>
      </c>
      <c r="J593" t="n">
        <v>0</v>
      </c>
      <c r="K593" t="n">
        <v>0</v>
      </c>
      <c r="L593" t="n">
        <v>0</v>
      </c>
      <c r="M593" t="n">
        <v>0</v>
      </c>
      <c r="N593" t="n">
        <v>0</v>
      </c>
      <c r="O593" t="n">
        <v>0</v>
      </c>
      <c r="P593" t="n">
        <v>0</v>
      </c>
      <c r="Q593" t="n">
        <v>0</v>
      </c>
      <c r="R593" s="2" t="inlineStr"/>
    </row>
    <row r="594" ht="15" customHeight="1">
      <c r="A594" t="inlineStr">
        <is>
          <t>A 36781-2023</t>
        </is>
      </c>
      <c r="B594" s="1" t="n">
        <v>45154.34931712963</v>
      </c>
      <c r="C594" s="1" t="n">
        <v>45934</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18668-2024</t>
        </is>
      </c>
      <c r="B595" s="1" t="n">
        <v>45426.34148148148</v>
      </c>
      <c r="C595" s="1" t="n">
        <v>45934</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47557-2025</t>
        </is>
      </c>
      <c r="B596" s="1" t="n">
        <v>45931.37734953704</v>
      </c>
      <c r="C596" s="1" t="n">
        <v>45934</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32276-2021</t>
        </is>
      </c>
      <c r="B597" s="1" t="n">
        <v>44371.49178240741</v>
      </c>
      <c r="C597" s="1" t="n">
        <v>45934</v>
      </c>
      <c r="D597" t="inlineStr">
        <is>
          <t>UPPSALA LÄN</t>
        </is>
      </c>
      <c r="E597" t="inlineStr">
        <is>
          <t>UPPSALA</t>
        </is>
      </c>
      <c r="G597" t="n">
        <v>3.7</v>
      </c>
      <c r="H597" t="n">
        <v>0</v>
      </c>
      <c r="I597" t="n">
        <v>0</v>
      </c>
      <c r="J597" t="n">
        <v>0</v>
      </c>
      <c r="K597" t="n">
        <v>0</v>
      </c>
      <c r="L597" t="n">
        <v>0</v>
      </c>
      <c r="M597" t="n">
        <v>0</v>
      </c>
      <c r="N597" t="n">
        <v>0</v>
      </c>
      <c r="O597" t="n">
        <v>0</v>
      </c>
      <c r="P597" t="n">
        <v>0</v>
      </c>
      <c r="Q597" t="n">
        <v>0</v>
      </c>
      <c r="R597" s="2" t="inlineStr"/>
    </row>
    <row r="598" ht="15" customHeight="1">
      <c r="A598" t="inlineStr">
        <is>
          <t>A 15937-2025</t>
        </is>
      </c>
      <c r="B598" s="1" t="n">
        <v>45749.4737962963</v>
      </c>
      <c r="C598" s="1" t="n">
        <v>45934</v>
      </c>
      <c r="D598" t="inlineStr">
        <is>
          <t>UPPSALA LÄN</t>
        </is>
      </c>
      <c r="E598" t="inlineStr">
        <is>
          <t>UPPSALA</t>
        </is>
      </c>
      <c r="G598" t="n">
        <v>7.6</v>
      </c>
      <c r="H598" t="n">
        <v>0</v>
      </c>
      <c r="I598" t="n">
        <v>0</v>
      </c>
      <c r="J598" t="n">
        <v>0</v>
      </c>
      <c r="K598" t="n">
        <v>0</v>
      </c>
      <c r="L598" t="n">
        <v>0</v>
      </c>
      <c r="M598" t="n">
        <v>0</v>
      </c>
      <c r="N598" t="n">
        <v>0</v>
      </c>
      <c r="O598" t="n">
        <v>0</v>
      </c>
      <c r="P598" t="n">
        <v>0</v>
      </c>
      <c r="Q598" t="n">
        <v>0</v>
      </c>
      <c r="R598" s="2" t="inlineStr"/>
    </row>
    <row r="599" ht="15" customHeight="1">
      <c r="A599" t="inlineStr">
        <is>
          <t>A 23291-2024</t>
        </is>
      </c>
      <c r="B599" s="1" t="n">
        <v>45453</v>
      </c>
      <c r="C599" s="1" t="n">
        <v>45934</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45934</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59562-2024</t>
        </is>
      </c>
      <c r="B601" s="1" t="n">
        <v>45638</v>
      </c>
      <c r="C601" s="1" t="n">
        <v>45934</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21859-2024</t>
        </is>
      </c>
      <c r="B602" s="1" t="n">
        <v>45443</v>
      </c>
      <c r="C602" s="1" t="n">
        <v>45934</v>
      </c>
      <c r="D602" t="inlineStr">
        <is>
          <t>UPPSALA LÄN</t>
        </is>
      </c>
      <c r="E602" t="inlineStr">
        <is>
          <t>UPPSALA</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6009-2022</t>
        </is>
      </c>
      <c r="B603" s="1" t="n">
        <v>44599.44832175926</v>
      </c>
      <c r="C603" s="1" t="n">
        <v>45934</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6549-2025</t>
        </is>
      </c>
      <c r="B604" s="1" t="n">
        <v>45699</v>
      </c>
      <c r="C604" s="1" t="n">
        <v>45934</v>
      </c>
      <c r="D604" t="inlineStr">
        <is>
          <t>UPPSALA LÄN</t>
        </is>
      </c>
      <c r="E604" t="inlineStr">
        <is>
          <t>UPPSALA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20797-2025</t>
        </is>
      </c>
      <c r="B605" s="1" t="n">
        <v>45776.6415162037</v>
      </c>
      <c r="C605" s="1" t="n">
        <v>45934</v>
      </c>
      <c r="D605" t="inlineStr">
        <is>
          <t>UPPSALA LÄN</t>
        </is>
      </c>
      <c r="E605" t="inlineStr">
        <is>
          <t>UPPSALA</t>
        </is>
      </c>
      <c r="F605" t="inlineStr">
        <is>
          <t>Kommuner</t>
        </is>
      </c>
      <c r="G605" t="n">
        <v>4.6</v>
      </c>
      <c r="H605" t="n">
        <v>0</v>
      </c>
      <c r="I605" t="n">
        <v>0</v>
      </c>
      <c r="J605" t="n">
        <v>0</v>
      </c>
      <c r="K605" t="n">
        <v>0</v>
      </c>
      <c r="L605" t="n">
        <v>0</v>
      </c>
      <c r="M605" t="n">
        <v>0</v>
      </c>
      <c r="N605" t="n">
        <v>0</v>
      </c>
      <c r="O605" t="n">
        <v>0</v>
      </c>
      <c r="P605" t="n">
        <v>0</v>
      </c>
      <c r="Q605" t="n">
        <v>0</v>
      </c>
      <c r="R605" s="2" t="inlineStr"/>
    </row>
    <row r="606" ht="15" customHeight="1">
      <c r="A606" t="inlineStr">
        <is>
          <t>A 47961-2025</t>
        </is>
      </c>
      <c r="B606" s="1" t="n">
        <v>45932.59373842592</v>
      </c>
      <c r="C606" s="1" t="n">
        <v>45934</v>
      </c>
      <c r="D606" t="inlineStr">
        <is>
          <t>UPPSALA LÄN</t>
        </is>
      </c>
      <c r="E606" t="inlineStr">
        <is>
          <t>UPPSALA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6999-2023</t>
        </is>
      </c>
      <c r="B607" s="1" t="n">
        <v>44967.80034722222</v>
      </c>
      <c r="C607" s="1" t="n">
        <v>45934</v>
      </c>
      <c r="D607" t="inlineStr">
        <is>
          <t>UPPSALA LÄN</t>
        </is>
      </c>
      <c r="E607" t="inlineStr">
        <is>
          <t>UPPSALA</t>
        </is>
      </c>
      <c r="G607" t="n">
        <v>1</v>
      </c>
      <c r="H607" t="n">
        <v>0</v>
      </c>
      <c r="I607" t="n">
        <v>0</v>
      </c>
      <c r="J607" t="n">
        <v>0</v>
      </c>
      <c r="K607" t="n">
        <v>0</v>
      </c>
      <c r="L607" t="n">
        <v>0</v>
      </c>
      <c r="M607" t="n">
        <v>0</v>
      </c>
      <c r="N607" t="n">
        <v>0</v>
      </c>
      <c r="O607" t="n">
        <v>0</v>
      </c>
      <c r="P607" t="n">
        <v>0</v>
      </c>
      <c r="Q607" t="n">
        <v>0</v>
      </c>
      <c r="R607" s="2" t="inlineStr"/>
    </row>
    <row r="608" ht="15" customHeight="1">
      <c r="A608" t="inlineStr">
        <is>
          <t>A 7002-2023</t>
        </is>
      </c>
      <c r="B608" s="1" t="n">
        <v>44967</v>
      </c>
      <c r="C608" s="1" t="n">
        <v>45934</v>
      </c>
      <c r="D608" t="inlineStr">
        <is>
          <t>UPPSALA LÄN</t>
        </is>
      </c>
      <c r="E608" t="inlineStr">
        <is>
          <t>UPPSALA</t>
        </is>
      </c>
      <c r="G608" t="n">
        <v>5</v>
      </c>
      <c r="H608" t="n">
        <v>0</v>
      </c>
      <c r="I608" t="n">
        <v>0</v>
      </c>
      <c r="J608" t="n">
        <v>0</v>
      </c>
      <c r="K608" t="n">
        <v>0</v>
      </c>
      <c r="L608" t="n">
        <v>0</v>
      </c>
      <c r="M608" t="n">
        <v>0</v>
      </c>
      <c r="N608" t="n">
        <v>0</v>
      </c>
      <c r="O608" t="n">
        <v>0</v>
      </c>
      <c r="P608" t="n">
        <v>0</v>
      </c>
      <c r="Q608" t="n">
        <v>0</v>
      </c>
      <c r="R608" s="2" t="inlineStr"/>
    </row>
    <row r="609" ht="15" customHeight="1">
      <c r="A609" t="inlineStr">
        <is>
          <t>A 2357-2024</t>
        </is>
      </c>
      <c r="B609" s="1" t="n">
        <v>45310</v>
      </c>
      <c r="C609" s="1" t="n">
        <v>45934</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4503-2024</t>
        </is>
      </c>
      <c r="B610" s="1" t="n">
        <v>45327.61831018519</v>
      </c>
      <c r="C610" s="1" t="n">
        <v>45934</v>
      </c>
      <c r="D610" t="inlineStr">
        <is>
          <t>UPPSALA LÄN</t>
        </is>
      </c>
      <c r="E610" t="inlineStr">
        <is>
          <t>UPPSALA</t>
        </is>
      </c>
      <c r="G610" t="n">
        <v>1.9</v>
      </c>
      <c r="H610" t="n">
        <v>0</v>
      </c>
      <c r="I610" t="n">
        <v>0</v>
      </c>
      <c r="J610" t="n">
        <v>0</v>
      </c>
      <c r="K610" t="n">
        <v>0</v>
      </c>
      <c r="L610" t="n">
        <v>0</v>
      </c>
      <c r="M610" t="n">
        <v>0</v>
      </c>
      <c r="N610" t="n">
        <v>0</v>
      </c>
      <c r="O610" t="n">
        <v>0</v>
      </c>
      <c r="P610" t="n">
        <v>0</v>
      </c>
      <c r="Q610" t="n">
        <v>0</v>
      </c>
      <c r="R610" s="2" t="inlineStr"/>
    </row>
    <row r="611" ht="15" customHeight="1">
      <c r="A611" t="inlineStr">
        <is>
          <t>A 33667-2024</t>
        </is>
      </c>
      <c r="B611" s="1" t="n">
        <v>45520</v>
      </c>
      <c r="C611" s="1" t="n">
        <v>45934</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20888-2025</t>
        </is>
      </c>
      <c r="B612" s="1" t="n">
        <v>45777.37119212963</v>
      </c>
      <c r="C612" s="1" t="n">
        <v>45934</v>
      </c>
      <c r="D612" t="inlineStr">
        <is>
          <t>UPPSALA LÄN</t>
        </is>
      </c>
      <c r="E612" t="inlineStr">
        <is>
          <t>UPPSALA</t>
        </is>
      </c>
      <c r="F612" t="inlineStr">
        <is>
          <t>Övriga statliga verk och myndigheter</t>
        </is>
      </c>
      <c r="G612" t="n">
        <v>5.1</v>
      </c>
      <c r="H612" t="n">
        <v>0</v>
      </c>
      <c r="I612" t="n">
        <v>0</v>
      </c>
      <c r="J612" t="n">
        <v>0</v>
      </c>
      <c r="K612" t="n">
        <v>0</v>
      </c>
      <c r="L612" t="n">
        <v>0</v>
      </c>
      <c r="M612" t="n">
        <v>0</v>
      </c>
      <c r="N612" t="n">
        <v>0</v>
      </c>
      <c r="O612" t="n">
        <v>0</v>
      </c>
      <c r="P612" t="n">
        <v>0</v>
      </c>
      <c r="Q612" t="n">
        <v>0</v>
      </c>
      <c r="R612" s="2" t="inlineStr"/>
    </row>
    <row r="613" ht="15" customHeight="1">
      <c r="A613" t="inlineStr">
        <is>
          <t>A 20928-2025</t>
        </is>
      </c>
      <c r="B613" s="1" t="n">
        <v>45777</v>
      </c>
      <c r="C613" s="1" t="n">
        <v>45934</v>
      </c>
      <c r="D613" t="inlineStr">
        <is>
          <t>UPPSALA LÄN</t>
        </is>
      </c>
      <c r="E613" t="inlineStr">
        <is>
          <t>UPPSALA</t>
        </is>
      </c>
      <c r="G613" t="n">
        <v>11.9</v>
      </c>
      <c r="H613" t="n">
        <v>0</v>
      </c>
      <c r="I613" t="n">
        <v>0</v>
      </c>
      <c r="J613" t="n">
        <v>0</v>
      </c>
      <c r="K613" t="n">
        <v>0</v>
      </c>
      <c r="L613" t="n">
        <v>0</v>
      </c>
      <c r="M613" t="n">
        <v>0</v>
      </c>
      <c r="N613" t="n">
        <v>0</v>
      </c>
      <c r="O613" t="n">
        <v>0</v>
      </c>
      <c r="P613" t="n">
        <v>0</v>
      </c>
      <c r="Q613" t="n">
        <v>0</v>
      </c>
      <c r="R613" s="2" t="inlineStr"/>
    </row>
    <row r="614" ht="15" customHeight="1">
      <c r="A614" t="inlineStr">
        <is>
          <t>A 29815-2023</t>
        </is>
      </c>
      <c r="B614" s="1" t="n">
        <v>45107.55574074074</v>
      </c>
      <c r="C614" s="1" t="n">
        <v>45934</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20686-2025</t>
        </is>
      </c>
      <c r="B615" s="1" t="n">
        <v>45776.45263888889</v>
      </c>
      <c r="C615" s="1" t="n">
        <v>45934</v>
      </c>
      <c r="D615" t="inlineStr">
        <is>
          <t>UPPSALA LÄN</t>
        </is>
      </c>
      <c r="E615" t="inlineStr">
        <is>
          <t>UPPSALA</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44315-2021</t>
        </is>
      </c>
      <c r="B616" s="1" t="n">
        <v>44435.38657407407</v>
      </c>
      <c r="C616" s="1" t="n">
        <v>45934</v>
      </c>
      <c r="D616" t="inlineStr">
        <is>
          <t>UPPSALA LÄN</t>
        </is>
      </c>
      <c r="E616" t="inlineStr">
        <is>
          <t>UPPSALA</t>
        </is>
      </c>
      <c r="G616" t="n">
        <v>5.2</v>
      </c>
      <c r="H616" t="n">
        <v>0</v>
      </c>
      <c r="I616" t="n">
        <v>0</v>
      </c>
      <c r="J616" t="n">
        <v>0</v>
      </c>
      <c r="K616" t="n">
        <v>0</v>
      </c>
      <c r="L616" t="n">
        <v>0</v>
      </c>
      <c r="M616" t="n">
        <v>0</v>
      </c>
      <c r="N616" t="n">
        <v>0</v>
      </c>
      <c r="O616" t="n">
        <v>0</v>
      </c>
      <c r="P616" t="n">
        <v>0</v>
      </c>
      <c r="Q616" t="n">
        <v>0</v>
      </c>
      <c r="R616" s="2" t="inlineStr"/>
    </row>
    <row r="617" ht="15" customHeight="1">
      <c r="A617" t="inlineStr">
        <is>
          <t>A 21033-2025</t>
        </is>
      </c>
      <c r="B617" s="1" t="n">
        <v>45777.52655092593</v>
      </c>
      <c r="C617" s="1" t="n">
        <v>45934</v>
      </c>
      <c r="D617" t="inlineStr">
        <is>
          <t>UPPSALA LÄN</t>
        </is>
      </c>
      <c r="E617" t="inlineStr">
        <is>
          <t>UPPSALA</t>
        </is>
      </c>
      <c r="G617" t="n">
        <v>2.2</v>
      </c>
      <c r="H617" t="n">
        <v>0</v>
      </c>
      <c r="I617" t="n">
        <v>0</v>
      </c>
      <c r="J617" t="n">
        <v>0</v>
      </c>
      <c r="K617" t="n">
        <v>0</v>
      </c>
      <c r="L617" t="n">
        <v>0</v>
      </c>
      <c r="M617" t="n">
        <v>0</v>
      </c>
      <c r="N617" t="n">
        <v>0</v>
      </c>
      <c r="O617" t="n">
        <v>0</v>
      </c>
      <c r="P617" t="n">
        <v>0</v>
      </c>
      <c r="Q617" t="n">
        <v>0</v>
      </c>
      <c r="R617" s="2" t="inlineStr"/>
    </row>
    <row r="618" ht="15" customHeight="1">
      <c r="A618" t="inlineStr">
        <is>
          <t>A 20874-2025</t>
        </is>
      </c>
      <c r="B618" s="1" t="n">
        <v>45777.34894675926</v>
      </c>
      <c r="C618" s="1" t="n">
        <v>45934</v>
      </c>
      <c r="D618" t="inlineStr">
        <is>
          <t>UPPSALA LÄN</t>
        </is>
      </c>
      <c r="E618" t="inlineStr">
        <is>
          <t>UPPSALA</t>
        </is>
      </c>
      <c r="F618" t="inlineStr">
        <is>
          <t>Övriga Aktiebolag</t>
        </is>
      </c>
      <c r="G618" t="n">
        <v>3.9</v>
      </c>
      <c r="H618" t="n">
        <v>0</v>
      </c>
      <c r="I618" t="n">
        <v>0</v>
      </c>
      <c r="J618" t="n">
        <v>0</v>
      </c>
      <c r="K618" t="n">
        <v>0</v>
      </c>
      <c r="L618" t="n">
        <v>0</v>
      </c>
      <c r="M618" t="n">
        <v>0</v>
      </c>
      <c r="N618" t="n">
        <v>0</v>
      </c>
      <c r="O618" t="n">
        <v>0</v>
      </c>
      <c r="P618" t="n">
        <v>0</v>
      </c>
      <c r="Q618" t="n">
        <v>0</v>
      </c>
      <c r="R618" s="2" t="inlineStr"/>
    </row>
    <row r="619" ht="15" customHeight="1">
      <c r="A619" t="inlineStr">
        <is>
          <t>A 44847-2024</t>
        </is>
      </c>
      <c r="B619" s="1" t="n">
        <v>45574</v>
      </c>
      <c r="C619" s="1" t="n">
        <v>45934</v>
      </c>
      <c r="D619" t="inlineStr">
        <is>
          <t>UPPSALA LÄN</t>
        </is>
      </c>
      <c r="E619" t="inlineStr">
        <is>
          <t>UPPSALA</t>
        </is>
      </c>
      <c r="G619" t="n">
        <v>6.3</v>
      </c>
      <c r="H619" t="n">
        <v>0</v>
      </c>
      <c r="I619" t="n">
        <v>0</v>
      </c>
      <c r="J619" t="n">
        <v>0</v>
      </c>
      <c r="K619" t="n">
        <v>0</v>
      </c>
      <c r="L619" t="n">
        <v>0</v>
      </c>
      <c r="M619" t="n">
        <v>0</v>
      </c>
      <c r="N619" t="n">
        <v>0</v>
      </c>
      <c r="O619" t="n">
        <v>0</v>
      </c>
      <c r="P619" t="n">
        <v>0</v>
      </c>
      <c r="Q619" t="n">
        <v>0</v>
      </c>
      <c r="R619" s="2" t="inlineStr"/>
    </row>
    <row r="620" ht="15" customHeight="1">
      <c r="A620" t="inlineStr">
        <is>
          <t>A 39792-2025</t>
        </is>
      </c>
      <c r="B620" s="1" t="n">
        <v>45891.4865625</v>
      </c>
      <c r="C620" s="1" t="n">
        <v>45934</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20703-2025</t>
        </is>
      </c>
      <c r="B621" s="1" t="n">
        <v>45776.48275462963</v>
      </c>
      <c r="C621" s="1" t="n">
        <v>45934</v>
      </c>
      <c r="D621" t="inlineStr">
        <is>
          <t>UPPSALA LÄN</t>
        </is>
      </c>
      <c r="E621" t="inlineStr">
        <is>
          <t>UPPSALA</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20712-2025</t>
        </is>
      </c>
      <c r="B622" s="1" t="n">
        <v>45776</v>
      </c>
      <c r="C622" s="1" t="n">
        <v>45934</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57871-2024</t>
        </is>
      </c>
      <c r="B623" s="1" t="n">
        <v>45631.44464120371</v>
      </c>
      <c r="C623" s="1" t="n">
        <v>45934</v>
      </c>
      <c r="D623" t="inlineStr">
        <is>
          <t>UPPSALA LÄN</t>
        </is>
      </c>
      <c r="E623" t="inlineStr">
        <is>
          <t>UPPSALA</t>
        </is>
      </c>
      <c r="G623" t="n">
        <v>2.9</v>
      </c>
      <c r="H623" t="n">
        <v>0</v>
      </c>
      <c r="I623" t="n">
        <v>0</v>
      </c>
      <c r="J623" t="n">
        <v>0</v>
      </c>
      <c r="K623" t="n">
        <v>0</v>
      </c>
      <c r="L623" t="n">
        <v>0</v>
      </c>
      <c r="M623" t="n">
        <v>0</v>
      </c>
      <c r="N623" t="n">
        <v>0</v>
      </c>
      <c r="O623" t="n">
        <v>0</v>
      </c>
      <c r="P623" t="n">
        <v>0</v>
      </c>
      <c r="Q623" t="n">
        <v>0</v>
      </c>
      <c r="R623" s="2" t="inlineStr"/>
    </row>
    <row r="624" ht="15" customHeight="1">
      <c r="A624" t="inlineStr">
        <is>
          <t>A 20858-2025</t>
        </is>
      </c>
      <c r="B624" s="1" t="n">
        <v>45777.32731481481</v>
      </c>
      <c r="C624" s="1" t="n">
        <v>45934</v>
      </c>
      <c r="D624" t="inlineStr">
        <is>
          <t>UPPSALA LÄN</t>
        </is>
      </c>
      <c r="E624" t="inlineStr">
        <is>
          <t>UPPSALA</t>
        </is>
      </c>
      <c r="F624" t="inlineStr">
        <is>
          <t>Övriga Aktiebolag</t>
        </is>
      </c>
      <c r="G624" t="n">
        <v>4.1</v>
      </c>
      <c r="H624" t="n">
        <v>0</v>
      </c>
      <c r="I624" t="n">
        <v>0</v>
      </c>
      <c r="J624" t="n">
        <v>0</v>
      </c>
      <c r="K624" t="n">
        <v>0</v>
      </c>
      <c r="L624" t="n">
        <v>0</v>
      </c>
      <c r="M624" t="n">
        <v>0</v>
      </c>
      <c r="N624" t="n">
        <v>0</v>
      </c>
      <c r="O624" t="n">
        <v>0</v>
      </c>
      <c r="P624" t="n">
        <v>0</v>
      </c>
      <c r="Q624" t="n">
        <v>0</v>
      </c>
      <c r="R624" s="2" t="inlineStr"/>
    </row>
    <row r="625" ht="15" customHeight="1">
      <c r="A625" t="inlineStr">
        <is>
          <t>A 4461-2024</t>
        </is>
      </c>
      <c r="B625" s="1" t="n">
        <v>45327</v>
      </c>
      <c r="C625" s="1" t="n">
        <v>45934</v>
      </c>
      <c r="D625" t="inlineStr">
        <is>
          <t>UPPSALA LÄN</t>
        </is>
      </c>
      <c r="E625" t="inlineStr">
        <is>
          <t>UPPSALA</t>
        </is>
      </c>
      <c r="G625" t="n">
        <v>0.6</v>
      </c>
      <c r="H625" t="n">
        <v>0</v>
      </c>
      <c r="I625" t="n">
        <v>0</v>
      </c>
      <c r="J625" t="n">
        <v>0</v>
      </c>
      <c r="K625" t="n">
        <v>0</v>
      </c>
      <c r="L625" t="n">
        <v>0</v>
      </c>
      <c r="M625" t="n">
        <v>0</v>
      </c>
      <c r="N625" t="n">
        <v>0</v>
      </c>
      <c r="O625" t="n">
        <v>0</v>
      </c>
      <c r="P625" t="n">
        <v>0</v>
      </c>
      <c r="Q625" t="n">
        <v>0</v>
      </c>
      <c r="R625" s="2" t="inlineStr"/>
    </row>
    <row r="626" ht="15" customHeight="1">
      <c r="A626" t="inlineStr">
        <is>
          <t>A 47978-2025</t>
        </is>
      </c>
      <c r="B626" s="1" t="n">
        <v>45932.61177083333</v>
      </c>
      <c r="C626" s="1" t="n">
        <v>45934</v>
      </c>
      <c r="D626" t="inlineStr">
        <is>
          <t>UPPSALA LÄN</t>
        </is>
      </c>
      <c r="E626" t="inlineStr">
        <is>
          <t>UPPSALA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39777-2025</t>
        </is>
      </c>
      <c r="B627" s="1" t="n">
        <v>45891.46827546296</v>
      </c>
      <c r="C627" s="1" t="n">
        <v>45934</v>
      </c>
      <c r="D627" t="inlineStr">
        <is>
          <t>UPPSALA LÄN</t>
        </is>
      </c>
      <c r="E627" t="inlineStr">
        <is>
          <t>UPPSALA</t>
        </is>
      </c>
      <c r="G627" t="n">
        <v>6.5</v>
      </c>
      <c r="H627" t="n">
        <v>0</v>
      </c>
      <c r="I627" t="n">
        <v>0</v>
      </c>
      <c r="J627" t="n">
        <v>0</v>
      </c>
      <c r="K627" t="n">
        <v>0</v>
      </c>
      <c r="L627" t="n">
        <v>0</v>
      </c>
      <c r="M627" t="n">
        <v>0</v>
      </c>
      <c r="N627" t="n">
        <v>0</v>
      </c>
      <c r="O627" t="n">
        <v>0</v>
      </c>
      <c r="P627" t="n">
        <v>0</v>
      </c>
      <c r="Q627" t="n">
        <v>0</v>
      </c>
      <c r="R627" s="2" t="inlineStr"/>
    </row>
    <row r="628" ht="15" customHeight="1">
      <c r="A628" t="inlineStr">
        <is>
          <t>A 21217-2025</t>
        </is>
      </c>
      <c r="B628" s="1" t="n">
        <v>45779.49085648148</v>
      </c>
      <c r="C628" s="1" t="n">
        <v>45934</v>
      </c>
      <c r="D628" t="inlineStr">
        <is>
          <t>UPPSALA LÄN</t>
        </is>
      </c>
      <c r="E628" t="inlineStr">
        <is>
          <t>UPPSALA</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62471-2021</t>
        </is>
      </c>
      <c r="B629" s="1" t="n">
        <v>44503</v>
      </c>
      <c r="C629" s="1" t="n">
        <v>45934</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21281-2025</t>
        </is>
      </c>
      <c r="B630" s="1" t="n">
        <v>45779.6665162037</v>
      </c>
      <c r="C630" s="1" t="n">
        <v>45934</v>
      </c>
      <c r="D630" t="inlineStr">
        <is>
          <t>UPPSALA LÄN</t>
        </is>
      </c>
      <c r="E630" t="inlineStr">
        <is>
          <t>UPPSALA</t>
        </is>
      </c>
      <c r="F630" t="inlineStr">
        <is>
          <t>Övriga Aktiebolag</t>
        </is>
      </c>
      <c r="G630" t="n">
        <v>5.9</v>
      </c>
      <c r="H630" t="n">
        <v>0</v>
      </c>
      <c r="I630" t="n">
        <v>0</v>
      </c>
      <c r="J630" t="n">
        <v>0</v>
      </c>
      <c r="K630" t="n">
        <v>0</v>
      </c>
      <c r="L630" t="n">
        <v>0</v>
      </c>
      <c r="M630" t="n">
        <v>0</v>
      </c>
      <c r="N630" t="n">
        <v>0</v>
      </c>
      <c r="O630" t="n">
        <v>0</v>
      </c>
      <c r="P630" t="n">
        <v>0</v>
      </c>
      <c r="Q630" t="n">
        <v>0</v>
      </c>
      <c r="R630" s="2" t="inlineStr"/>
    </row>
    <row r="631" ht="15" customHeight="1">
      <c r="A631" t="inlineStr">
        <is>
          <t>A 21279-2025</t>
        </is>
      </c>
      <c r="B631" s="1" t="n">
        <v>45779.65787037037</v>
      </c>
      <c r="C631" s="1" t="n">
        <v>45934</v>
      </c>
      <c r="D631" t="inlineStr">
        <is>
          <t>UPPSALA LÄN</t>
        </is>
      </c>
      <c r="E631" t="inlineStr">
        <is>
          <t>UPPSALA</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12209-2025</t>
        </is>
      </c>
      <c r="B632" s="1" t="n">
        <v>45729</v>
      </c>
      <c r="C632" s="1" t="n">
        <v>45934</v>
      </c>
      <c r="D632" t="inlineStr">
        <is>
          <t>UPPSALA LÄN</t>
        </is>
      </c>
      <c r="E632" t="inlineStr">
        <is>
          <t>UPPSALA</t>
        </is>
      </c>
      <c r="G632" t="n">
        <v>1.5</v>
      </c>
      <c r="H632" t="n">
        <v>0</v>
      </c>
      <c r="I632" t="n">
        <v>0</v>
      </c>
      <c r="J632" t="n">
        <v>0</v>
      </c>
      <c r="K632" t="n">
        <v>0</v>
      </c>
      <c r="L632" t="n">
        <v>0</v>
      </c>
      <c r="M632" t="n">
        <v>0</v>
      </c>
      <c r="N632" t="n">
        <v>0</v>
      </c>
      <c r="O632" t="n">
        <v>0</v>
      </c>
      <c r="P632" t="n">
        <v>0</v>
      </c>
      <c r="Q632" t="n">
        <v>0</v>
      </c>
      <c r="R632" s="2" t="inlineStr"/>
    </row>
    <row r="633" ht="15" customHeight="1">
      <c r="A633" t="inlineStr">
        <is>
          <t>A 12211-2025</t>
        </is>
      </c>
      <c r="B633" s="1" t="n">
        <v>45729</v>
      </c>
      <c r="C633" s="1" t="n">
        <v>45934</v>
      </c>
      <c r="D633" t="inlineStr">
        <is>
          <t>UPPSALA LÄN</t>
        </is>
      </c>
      <c r="E633" t="inlineStr">
        <is>
          <t>UPPSALA</t>
        </is>
      </c>
      <c r="G633" t="n">
        <v>3.6</v>
      </c>
      <c r="H633" t="n">
        <v>0</v>
      </c>
      <c r="I633" t="n">
        <v>0</v>
      </c>
      <c r="J633" t="n">
        <v>0</v>
      </c>
      <c r="K633" t="n">
        <v>0</v>
      </c>
      <c r="L633" t="n">
        <v>0</v>
      </c>
      <c r="M633" t="n">
        <v>0</v>
      </c>
      <c r="N633" t="n">
        <v>0</v>
      </c>
      <c r="O633" t="n">
        <v>0</v>
      </c>
      <c r="P633" t="n">
        <v>0</v>
      </c>
      <c r="Q633" t="n">
        <v>0</v>
      </c>
      <c r="R633" s="2" t="inlineStr"/>
    </row>
    <row r="634" ht="15" customHeight="1">
      <c r="A634" t="inlineStr">
        <is>
          <t>A 12606-2023</t>
        </is>
      </c>
      <c r="B634" s="1" t="n">
        <v>45000.44666666666</v>
      </c>
      <c r="C634" s="1" t="n">
        <v>45934</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6602-2023</t>
        </is>
      </c>
      <c r="B635" s="1" t="n">
        <v>44966</v>
      </c>
      <c r="C635" s="1" t="n">
        <v>45934</v>
      </c>
      <c r="D635" t="inlineStr">
        <is>
          <t>UPPSALA LÄN</t>
        </is>
      </c>
      <c r="E635" t="inlineStr">
        <is>
          <t>UPPSALA</t>
        </is>
      </c>
      <c r="F635" t="inlineStr">
        <is>
          <t>Allmännings- och besparingsskogar</t>
        </is>
      </c>
      <c r="G635" t="n">
        <v>20.2</v>
      </c>
      <c r="H635" t="n">
        <v>0</v>
      </c>
      <c r="I635" t="n">
        <v>0</v>
      </c>
      <c r="J635" t="n">
        <v>0</v>
      </c>
      <c r="K635" t="n">
        <v>0</v>
      </c>
      <c r="L635" t="n">
        <v>0</v>
      </c>
      <c r="M635" t="n">
        <v>0</v>
      </c>
      <c r="N635" t="n">
        <v>0</v>
      </c>
      <c r="O635" t="n">
        <v>0</v>
      </c>
      <c r="P635" t="n">
        <v>0</v>
      </c>
      <c r="Q635" t="n">
        <v>0</v>
      </c>
      <c r="R635" s="2" t="inlineStr"/>
    </row>
    <row r="636" ht="15" customHeight="1">
      <c r="A636" t="inlineStr">
        <is>
          <t>A 39721-2025</t>
        </is>
      </c>
      <c r="B636" s="1" t="n">
        <v>45891.33204861111</v>
      </c>
      <c r="C636" s="1" t="n">
        <v>45934</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44115-2023</t>
        </is>
      </c>
      <c r="B637" s="1" t="n">
        <v>45188</v>
      </c>
      <c r="C637" s="1" t="n">
        <v>45934</v>
      </c>
      <c r="D637" t="inlineStr">
        <is>
          <t>UPPSALA LÄN</t>
        </is>
      </c>
      <c r="E637" t="inlineStr">
        <is>
          <t>UPPSALA</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21748-2025</t>
        </is>
      </c>
      <c r="B638" s="1" t="n">
        <v>45783.61053240741</v>
      </c>
      <c r="C638" s="1" t="n">
        <v>45934</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42063-2023</t>
        </is>
      </c>
      <c r="B639" s="1" t="n">
        <v>45177.56940972222</v>
      </c>
      <c r="C639" s="1" t="n">
        <v>45934</v>
      </c>
      <c r="D639" t="inlineStr">
        <is>
          <t>UPPSALA LÄN</t>
        </is>
      </c>
      <c r="E639" t="inlineStr">
        <is>
          <t>UPPSALA</t>
        </is>
      </c>
      <c r="G639" t="n">
        <v>5.6</v>
      </c>
      <c r="H639" t="n">
        <v>0</v>
      </c>
      <c r="I639" t="n">
        <v>0</v>
      </c>
      <c r="J639" t="n">
        <v>0</v>
      </c>
      <c r="K639" t="n">
        <v>0</v>
      </c>
      <c r="L639" t="n">
        <v>0</v>
      </c>
      <c r="M639" t="n">
        <v>0</v>
      </c>
      <c r="N639" t="n">
        <v>0</v>
      </c>
      <c r="O639" t="n">
        <v>0</v>
      </c>
      <c r="P639" t="n">
        <v>0</v>
      </c>
      <c r="Q639" t="n">
        <v>0</v>
      </c>
      <c r="R639" s="2" t="inlineStr"/>
    </row>
    <row r="640" ht="15" customHeight="1">
      <c r="A640" t="inlineStr">
        <is>
          <t>A 74493-2021</t>
        </is>
      </c>
      <c r="B640" s="1" t="n">
        <v>44560</v>
      </c>
      <c r="C640" s="1" t="n">
        <v>45934</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17481-2023</t>
        </is>
      </c>
      <c r="B641" s="1" t="n">
        <v>45036</v>
      </c>
      <c r="C641" s="1" t="n">
        <v>45934</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47999-2025</t>
        </is>
      </c>
      <c r="B642" s="1" t="n">
        <v>45932.62907407407</v>
      </c>
      <c r="C642" s="1" t="n">
        <v>45934</v>
      </c>
      <c r="D642" t="inlineStr">
        <is>
          <t>UPPSALA LÄN</t>
        </is>
      </c>
      <c r="E642" t="inlineStr">
        <is>
          <t>UPPSALA</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2695-2025</t>
        </is>
      </c>
      <c r="B643" s="1" t="n">
        <v>45677.39440972222</v>
      </c>
      <c r="C643" s="1" t="n">
        <v>45934</v>
      </c>
      <c r="D643" t="inlineStr">
        <is>
          <t>UPPSALA LÄN</t>
        </is>
      </c>
      <c r="E643" t="inlineStr">
        <is>
          <t>UPPSALA</t>
        </is>
      </c>
      <c r="G643" t="n">
        <v>2.2</v>
      </c>
      <c r="H643" t="n">
        <v>0</v>
      </c>
      <c r="I643" t="n">
        <v>0</v>
      </c>
      <c r="J643" t="n">
        <v>0</v>
      </c>
      <c r="K643" t="n">
        <v>0</v>
      </c>
      <c r="L643" t="n">
        <v>0</v>
      </c>
      <c r="M643" t="n">
        <v>0</v>
      </c>
      <c r="N643" t="n">
        <v>0</v>
      </c>
      <c r="O643" t="n">
        <v>0</v>
      </c>
      <c r="P643" t="n">
        <v>0</v>
      </c>
      <c r="Q643" t="n">
        <v>0</v>
      </c>
      <c r="R643" s="2" t="inlineStr"/>
    </row>
    <row r="644" ht="15" customHeight="1">
      <c r="A644" t="inlineStr">
        <is>
          <t>A 39529-2025</t>
        </is>
      </c>
      <c r="B644" s="1" t="n">
        <v>45890</v>
      </c>
      <c r="C644" s="1" t="n">
        <v>45934</v>
      </c>
      <c r="D644" t="inlineStr">
        <is>
          <t>UPPSALA LÄN</t>
        </is>
      </c>
      <c r="E644" t="inlineStr">
        <is>
          <t>UPPSALA</t>
        </is>
      </c>
      <c r="F644" t="inlineStr">
        <is>
          <t>Allmännings- och besparingsskogar</t>
        </is>
      </c>
      <c r="G644" t="n">
        <v>3.9</v>
      </c>
      <c r="H644" t="n">
        <v>0</v>
      </c>
      <c r="I644" t="n">
        <v>0</v>
      </c>
      <c r="J644" t="n">
        <v>0</v>
      </c>
      <c r="K644" t="n">
        <v>0</v>
      </c>
      <c r="L644" t="n">
        <v>0</v>
      </c>
      <c r="M644" t="n">
        <v>0</v>
      </c>
      <c r="N644" t="n">
        <v>0</v>
      </c>
      <c r="O644" t="n">
        <v>0</v>
      </c>
      <c r="P644" t="n">
        <v>0</v>
      </c>
      <c r="Q644" t="n">
        <v>0</v>
      </c>
      <c r="R644" s="2" t="inlineStr"/>
    </row>
    <row r="645" ht="15" customHeight="1">
      <c r="A645" t="inlineStr">
        <is>
          <t>A 22018-2025</t>
        </is>
      </c>
      <c r="B645" s="1" t="n">
        <v>45784.80497685185</v>
      </c>
      <c r="C645" s="1" t="n">
        <v>45934</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3813-2024</t>
        </is>
      </c>
      <c r="B646" s="1" t="n">
        <v>45321</v>
      </c>
      <c r="C646" s="1" t="n">
        <v>45934</v>
      </c>
      <c r="D646" t="inlineStr">
        <is>
          <t>UPPSALA LÄN</t>
        </is>
      </c>
      <c r="E646" t="inlineStr">
        <is>
          <t>UPPSALA</t>
        </is>
      </c>
      <c r="G646" t="n">
        <v>0.7</v>
      </c>
      <c r="H646" t="n">
        <v>0</v>
      </c>
      <c r="I646" t="n">
        <v>0</v>
      </c>
      <c r="J646" t="n">
        <v>0</v>
      </c>
      <c r="K646" t="n">
        <v>0</v>
      </c>
      <c r="L646" t="n">
        <v>0</v>
      </c>
      <c r="M646" t="n">
        <v>0</v>
      </c>
      <c r="N646" t="n">
        <v>0</v>
      </c>
      <c r="O646" t="n">
        <v>0</v>
      </c>
      <c r="P646" t="n">
        <v>0</v>
      </c>
      <c r="Q646" t="n">
        <v>0</v>
      </c>
      <c r="R646" s="2" t="inlineStr"/>
    </row>
    <row r="647" ht="15" customHeight="1">
      <c r="A647" t="inlineStr">
        <is>
          <t>A 15629-2023</t>
        </is>
      </c>
      <c r="B647" s="1" t="n">
        <v>45021.29524305555</v>
      </c>
      <c r="C647" s="1" t="n">
        <v>45934</v>
      </c>
      <c r="D647" t="inlineStr">
        <is>
          <t>UPPSALA LÄN</t>
        </is>
      </c>
      <c r="E647" t="inlineStr">
        <is>
          <t>UPPSALA</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21936-2025</t>
        </is>
      </c>
      <c r="B648" s="1" t="n">
        <v>45784.57266203704</v>
      </c>
      <c r="C648" s="1" t="n">
        <v>45934</v>
      </c>
      <c r="D648" t="inlineStr">
        <is>
          <t>UPPSALA LÄN</t>
        </is>
      </c>
      <c r="E648" t="inlineStr">
        <is>
          <t>UPPSALA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20497-2022</t>
        </is>
      </c>
      <c r="B649" s="1" t="n">
        <v>44699</v>
      </c>
      <c r="C649" s="1" t="n">
        <v>45934</v>
      </c>
      <c r="D649" t="inlineStr">
        <is>
          <t>UPPSALA LÄN</t>
        </is>
      </c>
      <c r="E649" t="inlineStr">
        <is>
          <t>UPPSALA</t>
        </is>
      </c>
      <c r="F649" t="inlineStr">
        <is>
          <t>Övriga statliga verk och myndigheter</t>
        </is>
      </c>
      <c r="G649" t="n">
        <v>1</v>
      </c>
      <c r="H649" t="n">
        <v>0</v>
      </c>
      <c r="I649" t="n">
        <v>0</v>
      </c>
      <c r="J649" t="n">
        <v>0</v>
      </c>
      <c r="K649" t="n">
        <v>0</v>
      </c>
      <c r="L649" t="n">
        <v>0</v>
      </c>
      <c r="M649" t="n">
        <v>0</v>
      </c>
      <c r="N649" t="n">
        <v>0</v>
      </c>
      <c r="O649" t="n">
        <v>0</v>
      </c>
      <c r="P649" t="n">
        <v>0</v>
      </c>
      <c r="Q649" t="n">
        <v>0</v>
      </c>
      <c r="R649" s="2" t="inlineStr"/>
    </row>
    <row r="650" ht="15" customHeight="1">
      <c r="A650" t="inlineStr">
        <is>
          <t>A 47840-2025</t>
        </is>
      </c>
      <c r="B650" s="1" t="n">
        <v>45932.37375</v>
      </c>
      <c r="C650" s="1" t="n">
        <v>45934</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44080-2023</t>
        </is>
      </c>
      <c r="B651" s="1" t="n">
        <v>45188.42052083334</v>
      </c>
      <c r="C651" s="1" t="n">
        <v>45934</v>
      </c>
      <c r="D651" t="inlineStr">
        <is>
          <t>UPPSALA LÄN</t>
        </is>
      </c>
      <c r="E651" t="inlineStr">
        <is>
          <t>UPPSALA</t>
        </is>
      </c>
      <c r="G651" t="n">
        <v>13.3</v>
      </c>
      <c r="H651" t="n">
        <v>0</v>
      </c>
      <c r="I651" t="n">
        <v>0</v>
      </c>
      <c r="J651" t="n">
        <v>0</v>
      </c>
      <c r="K651" t="n">
        <v>0</v>
      </c>
      <c r="L651" t="n">
        <v>0</v>
      </c>
      <c r="M651" t="n">
        <v>0</v>
      </c>
      <c r="N651" t="n">
        <v>0</v>
      </c>
      <c r="O651" t="n">
        <v>0</v>
      </c>
      <c r="P651" t="n">
        <v>0</v>
      </c>
      <c r="Q651" t="n">
        <v>0</v>
      </c>
      <c r="R651" s="2" t="inlineStr"/>
    </row>
    <row r="652" ht="15" customHeight="1">
      <c r="A652" t="inlineStr">
        <is>
          <t>A 10490-2025</t>
        </is>
      </c>
      <c r="B652" s="1" t="n">
        <v>45721.35173611111</v>
      </c>
      <c r="C652" s="1" t="n">
        <v>45934</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55021-2022</t>
        </is>
      </c>
      <c r="B653" s="1" t="n">
        <v>44886</v>
      </c>
      <c r="C653" s="1" t="n">
        <v>45934</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37820-2021</t>
        </is>
      </c>
      <c r="B654" s="1" t="n">
        <v>44403.3119212963</v>
      </c>
      <c r="C654" s="1" t="n">
        <v>45934</v>
      </c>
      <c r="D654" t="inlineStr">
        <is>
          <t>UPPSALA LÄN</t>
        </is>
      </c>
      <c r="E654" t="inlineStr">
        <is>
          <t>UPPSALA</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40701-2024</t>
        </is>
      </c>
      <c r="B655" s="1" t="n">
        <v>45558.42498842593</v>
      </c>
      <c r="C655" s="1" t="n">
        <v>45934</v>
      </c>
      <c r="D655" t="inlineStr">
        <is>
          <t>UPPSALA LÄN</t>
        </is>
      </c>
      <c r="E655" t="inlineStr">
        <is>
          <t>UPPSALA</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40507-2021</t>
        </is>
      </c>
      <c r="B656" s="1" t="n">
        <v>44420</v>
      </c>
      <c r="C656" s="1" t="n">
        <v>45934</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758-2022</t>
        </is>
      </c>
      <c r="B657" s="1" t="n">
        <v>44569.69358796296</v>
      </c>
      <c r="C657" s="1" t="n">
        <v>45934</v>
      </c>
      <c r="D657" t="inlineStr">
        <is>
          <t>UPPSALA LÄN</t>
        </is>
      </c>
      <c r="E657" t="inlineStr">
        <is>
          <t>UPPSALA</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59570-2023</t>
        </is>
      </c>
      <c r="B658" s="1" t="n">
        <v>45254</v>
      </c>
      <c r="C658" s="1" t="n">
        <v>45934</v>
      </c>
      <c r="D658" t="inlineStr">
        <is>
          <t>UPPSALA LÄN</t>
        </is>
      </c>
      <c r="E658" t="inlineStr">
        <is>
          <t>UPPSALA</t>
        </is>
      </c>
      <c r="G658" t="n">
        <v>6.7</v>
      </c>
      <c r="H658" t="n">
        <v>0</v>
      </c>
      <c r="I658" t="n">
        <v>0</v>
      </c>
      <c r="J658" t="n">
        <v>0</v>
      </c>
      <c r="K658" t="n">
        <v>0</v>
      </c>
      <c r="L658" t="n">
        <v>0</v>
      </c>
      <c r="M658" t="n">
        <v>0</v>
      </c>
      <c r="N658" t="n">
        <v>0</v>
      </c>
      <c r="O658" t="n">
        <v>0</v>
      </c>
      <c r="P658" t="n">
        <v>0</v>
      </c>
      <c r="Q658" t="n">
        <v>0</v>
      </c>
      <c r="R658" s="2" t="inlineStr"/>
    </row>
    <row r="659" ht="15" customHeight="1">
      <c r="A659" t="inlineStr">
        <is>
          <t>A 10650-2024</t>
        </is>
      </c>
      <c r="B659" s="1" t="n">
        <v>45368.64787037037</v>
      </c>
      <c r="C659" s="1" t="n">
        <v>45934</v>
      </c>
      <c r="D659" t="inlineStr">
        <is>
          <t>UPPSALA LÄN</t>
        </is>
      </c>
      <c r="E659" t="inlineStr">
        <is>
          <t>UPPSALA</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46925-2024</t>
        </is>
      </c>
      <c r="B660" s="1" t="n">
        <v>45584.60038194444</v>
      </c>
      <c r="C660" s="1" t="n">
        <v>45934</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40111-2024</t>
        </is>
      </c>
      <c r="B661" s="1" t="n">
        <v>45554</v>
      </c>
      <c r="C661" s="1" t="n">
        <v>45934</v>
      </c>
      <c r="D661" t="inlineStr">
        <is>
          <t>UPPSALA LÄN</t>
        </is>
      </c>
      <c r="E661" t="inlineStr">
        <is>
          <t>UPPSALA</t>
        </is>
      </c>
      <c r="G661" t="n">
        <v>3.7</v>
      </c>
      <c r="H661" t="n">
        <v>0</v>
      </c>
      <c r="I661" t="n">
        <v>0</v>
      </c>
      <c r="J661" t="n">
        <v>0</v>
      </c>
      <c r="K661" t="n">
        <v>0</v>
      </c>
      <c r="L661" t="n">
        <v>0</v>
      </c>
      <c r="M661" t="n">
        <v>0</v>
      </c>
      <c r="N661" t="n">
        <v>0</v>
      </c>
      <c r="O661" t="n">
        <v>0</v>
      </c>
      <c r="P661" t="n">
        <v>0</v>
      </c>
      <c r="Q661" t="n">
        <v>0</v>
      </c>
      <c r="R661" s="2" t="inlineStr"/>
    </row>
    <row r="662" ht="15" customHeight="1">
      <c r="A662" t="inlineStr">
        <is>
          <t>A 26208-2023</t>
        </is>
      </c>
      <c r="B662" s="1" t="n">
        <v>45091</v>
      </c>
      <c r="C662" s="1" t="n">
        <v>45934</v>
      </c>
      <c r="D662" t="inlineStr">
        <is>
          <t>UPPSALA LÄN</t>
        </is>
      </c>
      <c r="E662" t="inlineStr">
        <is>
          <t>UPPSALA</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11260-2024</t>
        </is>
      </c>
      <c r="B663" s="1" t="n">
        <v>45371.67368055556</v>
      </c>
      <c r="C663" s="1" t="n">
        <v>45934</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3973-2025</t>
        </is>
      </c>
      <c r="B664" s="1" t="n">
        <v>45684</v>
      </c>
      <c r="C664" s="1" t="n">
        <v>45934</v>
      </c>
      <c r="D664" t="inlineStr">
        <is>
          <t>UPPSALA LÄN</t>
        </is>
      </c>
      <c r="E664" t="inlineStr">
        <is>
          <t>UPPSALA</t>
        </is>
      </c>
      <c r="G664" t="n">
        <v>8</v>
      </c>
      <c r="H664" t="n">
        <v>0</v>
      </c>
      <c r="I664" t="n">
        <v>0</v>
      </c>
      <c r="J664" t="n">
        <v>0</v>
      </c>
      <c r="K664" t="n">
        <v>0</v>
      </c>
      <c r="L664" t="n">
        <v>0</v>
      </c>
      <c r="M664" t="n">
        <v>0</v>
      </c>
      <c r="N664" t="n">
        <v>0</v>
      </c>
      <c r="O664" t="n">
        <v>0</v>
      </c>
      <c r="P664" t="n">
        <v>0</v>
      </c>
      <c r="Q664" t="n">
        <v>0</v>
      </c>
      <c r="R664" s="2" t="inlineStr"/>
    </row>
    <row r="665" ht="15" customHeight="1">
      <c r="A665" t="inlineStr">
        <is>
          <t>A 2790-2025</t>
        </is>
      </c>
      <c r="B665" s="1" t="n">
        <v>45677</v>
      </c>
      <c r="C665" s="1" t="n">
        <v>45934</v>
      </c>
      <c r="D665" t="inlineStr">
        <is>
          <t>UPPSALA LÄN</t>
        </is>
      </c>
      <c r="E665" t="inlineStr">
        <is>
          <t>UPPSALA</t>
        </is>
      </c>
      <c r="G665" t="n">
        <v>0.8</v>
      </c>
      <c r="H665" t="n">
        <v>0</v>
      </c>
      <c r="I665" t="n">
        <v>0</v>
      </c>
      <c r="J665" t="n">
        <v>0</v>
      </c>
      <c r="K665" t="n">
        <v>0</v>
      </c>
      <c r="L665" t="n">
        <v>0</v>
      </c>
      <c r="M665" t="n">
        <v>0</v>
      </c>
      <c r="N665" t="n">
        <v>0</v>
      </c>
      <c r="O665" t="n">
        <v>0</v>
      </c>
      <c r="P665" t="n">
        <v>0</v>
      </c>
      <c r="Q665" t="n">
        <v>0</v>
      </c>
      <c r="R665" s="2" t="inlineStr"/>
    </row>
    <row r="666" ht="15" customHeight="1">
      <c r="A666" t="inlineStr">
        <is>
          <t>A 12414-2025</t>
        </is>
      </c>
      <c r="B666" s="1" t="n">
        <v>45730.43966435185</v>
      </c>
      <c r="C666" s="1" t="n">
        <v>45934</v>
      </c>
      <c r="D666" t="inlineStr">
        <is>
          <t>UPPSALA LÄN</t>
        </is>
      </c>
      <c r="E666" t="inlineStr">
        <is>
          <t>UPPSALA</t>
        </is>
      </c>
      <c r="F666" t="inlineStr">
        <is>
          <t>Övriga statliga verk och myndigheter</t>
        </is>
      </c>
      <c r="G666" t="n">
        <v>6.8</v>
      </c>
      <c r="H666" t="n">
        <v>0</v>
      </c>
      <c r="I666" t="n">
        <v>0</v>
      </c>
      <c r="J666" t="n">
        <v>0</v>
      </c>
      <c r="K666" t="n">
        <v>0</v>
      </c>
      <c r="L666" t="n">
        <v>0</v>
      </c>
      <c r="M666" t="n">
        <v>0</v>
      </c>
      <c r="N666" t="n">
        <v>0</v>
      </c>
      <c r="O666" t="n">
        <v>0</v>
      </c>
      <c r="P666" t="n">
        <v>0</v>
      </c>
      <c r="Q666" t="n">
        <v>0</v>
      </c>
      <c r="R666" s="2" t="inlineStr"/>
    </row>
    <row r="667" ht="15" customHeight="1">
      <c r="A667" t="inlineStr">
        <is>
          <t>A 16324-2024</t>
        </is>
      </c>
      <c r="B667" s="1" t="n">
        <v>45407.49721064815</v>
      </c>
      <c r="C667" s="1" t="n">
        <v>45934</v>
      </c>
      <c r="D667" t="inlineStr">
        <is>
          <t>UPPSALA LÄN</t>
        </is>
      </c>
      <c r="E667" t="inlineStr">
        <is>
          <t>UPPSALA</t>
        </is>
      </c>
      <c r="G667" t="n">
        <v>2.3</v>
      </c>
      <c r="H667" t="n">
        <v>0</v>
      </c>
      <c r="I667" t="n">
        <v>0</v>
      </c>
      <c r="J667" t="n">
        <v>0</v>
      </c>
      <c r="K667" t="n">
        <v>0</v>
      </c>
      <c r="L667" t="n">
        <v>0</v>
      </c>
      <c r="M667" t="n">
        <v>0</v>
      </c>
      <c r="N667" t="n">
        <v>0</v>
      </c>
      <c r="O667" t="n">
        <v>0</v>
      </c>
      <c r="P667" t="n">
        <v>0</v>
      </c>
      <c r="Q667" t="n">
        <v>0</v>
      </c>
      <c r="R667" s="2" t="inlineStr"/>
    </row>
    <row r="668" ht="15" customHeight="1">
      <c r="A668" t="inlineStr">
        <is>
          <t>A 42276-2024</t>
        </is>
      </c>
      <c r="B668" s="1" t="n">
        <v>45562</v>
      </c>
      <c r="C668" s="1" t="n">
        <v>45934</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42131-2023</t>
        </is>
      </c>
      <c r="B669" s="1" t="n">
        <v>45177.79766203704</v>
      </c>
      <c r="C669" s="1" t="n">
        <v>45934</v>
      </c>
      <c r="D669" t="inlineStr">
        <is>
          <t>UPPSALA LÄN</t>
        </is>
      </c>
      <c r="E669" t="inlineStr">
        <is>
          <t>UPPSALA</t>
        </is>
      </c>
      <c r="F669" t="inlineStr">
        <is>
          <t>Allmännings- och besparingsskogar</t>
        </is>
      </c>
      <c r="G669" t="n">
        <v>6.3</v>
      </c>
      <c r="H669" t="n">
        <v>0</v>
      </c>
      <c r="I669" t="n">
        <v>0</v>
      </c>
      <c r="J669" t="n">
        <v>0</v>
      </c>
      <c r="K669" t="n">
        <v>0</v>
      </c>
      <c r="L669" t="n">
        <v>0</v>
      </c>
      <c r="M669" t="n">
        <v>0</v>
      </c>
      <c r="N669" t="n">
        <v>0</v>
      </c>
      <c r="O669" t="n">
        <v>0</v>
      </c>
      <c r="P669" t="n">
        <v>0</v>
      </c>
      <c r="Q669" t="n">
        <v>0</v>
      </c>
      <c r="R669" s="2" t="inlineStr"/>
    </row>
    <row r="670" ht="15" customHeight="1">
      <c r="A670" t="inlineStr">
        <is>
          <t>A 4929-2022</t>
        </is>
      </c>
      <c r="B670" s="1" t="n">
        <v>44593</v>
      </c>
      <c r="C670" s="1" t="n">
        <v>45934</v>
      </c>
      <c r="D670" t="inlineStr">
        <is>
          <t>UPPSALA LÄN</t>
        </is>
      </c>
      <c r="E670" t="inlineStr">
        <is>
          <t>UPPSALA</t>
        </is>
      </c>
      <c r="G670" t="n">
        <v>2.4</v>
      </c>
      <c r="H670" t="n">
        <v>0</v>
      </c>
      <c r="I670" t="n">
        <v>0</v>
      </c>
      <c r="J670" t="n">
        <v>0</v>
      </c>
      <c r="K670" t="n">
        <v>0</v>
      </c>
      <c r="L670" t="n">
        <v>0</v>
      </c>
      <c r="M670" t="n">
        <v>0</v>
      </c>
      <c r="N670" t="n">
        <v>0</v>
      </c>
      <c r="O670" t="n">
        <v>0</v>
      </c>
      <c r="P670" t="n">
        <v>0</v>
      </c>
      <c r="Q670" t="n">
        <v>0</v>
      </c>
      <c r="R670" s="2" t="inlineStr"/>
    </row>
    <row r="671" ht="15" customHeight="1">
      <c r="A671" t="inlineStr">
        <is>
          <t>A 33622-2024</t>
        </is>
      </c>
      <c r="B671" s="1" t="n">
        <v>45520</v>
      </c>
      <c r="C671" s="1" t="n">
        <v>45934</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41545-2023</t>
        </is>
      </c>
      <c r="B672" s="1" t="n">
        <v>45175.57060185185</v>
      </c>
      <c r="C672" s="1" t="n">
        <v>45934</v>
      </c>
      <c r="D672" t="inlineStr">
        <is>
          <t>UPPSALA LÄN</t>
        </is>
      </c>
      <c r="E672" t="inlineStr">
        <is>
          <t>UPPSALA</t>
        </is>
      </c>
      <c r="G672" t="n">
        <v>6.6</v>
      </c>
      <c r="H672" t="n">
        <v>0</v>
      </c>
      <c r="I672" t="n">
        <v>0</v>
      </c>
      <c r="J672" t="n">
        <v>0</v>
      </c>
      <c r="K672" t="n">
        <v>0</v>
      </c>
      <c r="L672" t="n">
        <v>0</v>
      </c>
      <c r="M672" t="n">
        <v>0</v>
      </c>
      <c r="N672" t="n">
        <v>0</v>
      </c>
      <c r="O672" t="n">
        <v>0</v>
      </c>
      <c r="P672" t="n">
        <v>0</v>
      </c>
      <c r="Q672" t="n">
        <v>0</v>
      </c>
      <c r="R672" s="2" t="inlineStr"/>
    </row>
    <row r="673" ht="15" customHeight="1">
      <c r="A673" t="inlineStr">
        <is>
          <t>A 60047-2022</t>
        </is>
      </c>
      <c r="B673" s="1" t="n">
        <v>44909.51885416666</v>
      </c>
      <c r="C673" s="1" t="n">
        <v>45934</v>
      </c>
      <c r="D673" t="inlineStr">
        <is>
          <t>UPPSALA LÄN</t>
        </is>
      </c>
      <c r="E673" t="inlineStr">
        <is>
          <t>UPPSALA</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56564-2024</t>
        </is>
      </c>
      <c r="B674" s="1" t="n">
        <v>45625.58501157408</v>
      </c>
      <c r="C674" s="1" t="n">
        <v>45934</v>
      </c>
      <c r="D674" t="inlineStr">
        <is>
          <t>UPPSALA LÄN</t>
        </is>
      </c>
      <c r="E674" t="inlineStr">
        <is>
          <t>UPPSALA</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12284-2025</t>
        </is>
      </c>
      <c r="B675" s="1" t="n">
        <v>45729</v>
      </c>
      <c r="C675" s="1" t="n">
        <v>45934</v>
      </c>
      <c r="D675" t="inlineStr">
        <is>
          <t>UPPSALA LÄN</t>
        </is>
      </c>
      <c r="E675" t="inlineStr">
        <is>
          <t>UPPSALA</t>
        </is>
      </c>
      <c r="G675" t="n">
        <v>6.7</v>
      </c>
      <c r="H675" t="n">
        <v>0</v>
      </c>
      <c r="I675" t="n">
        <v>0</v>
      </c>
      <c r="J675" t="n">
        <v>0</v>
      </c>
      <c r="K675" t="n">
        <v>0</v>
      </c>
      <c r="L675" t="n">
        <v>0</v>
      </c>
      <c r="M675" t="n">
        <v>0</v>
      </c>
      <c r="N675" t="n">
        <v>0</v>
      </c>
      <c r="O675" t="n">
        <v>0</v>
      </c>
      <c r="P675" t="n">
        <v>0</v>
      </c>
      <c r="Q675" t="n">
        <v>0</v>
      </c>
      <c r="R675" s="2" t="inlineStr"/>
    </row>
    <row r="676" ht="15" customHeight="1">
      <c r="A676" t="inlineStr">
        <is>
          <t>A 12287-2025</t>
        </is>
      </c>
      <c r="B676" s="1" t="n">
        <v>45729</v>
      </c>
      <c r="C676" s="1" t="n">
        <v>45934</v>
      </c>
      <c r="D676" t="inlineStr">
        <is>
          <t>UPPSALA LÄN</t>
        </is>
      </c>
      <c r="E676" t="inlineStr">
        <is>
          <t>UPPSALA</t>
        </is>
      </c>
      <c r="G676" t="n">
        <v>4.6</v>
      </c>
      <c r="H676" t="n">
        <v>0</v>
      </c>
      <c r="I676" t="n">
        <v>0</v>
      </c>
      <c r="J676" t="n">
        <v>0</v>
      </c>
      <c r="K676" t="n">
        <v>0</v>
      </c>
      <c r="L676" t="n">
        <v>0</v>
      </c>
      <c r="M676" t="n">
        <v>0</v>
      </c>
      <c r="N676" t="n">
        <v>0</v>
      </c>
      <c r="O676" t="n">
        <v>0</v>
      </c>
      <c r="P676" t="n">
        <v>0</v>
      </c>
      <c r="Q676" t="n">
        <v>0</v>
      </c>
      <c r="R676" s="2" t="inlineStr"/>
    </row>
    <row r="677" ht="15" customHeight="1">
      <c r="A677" t="inlineStr">
        <is>
          <t>A 4980-2024</t>
        </is>
      </c>
      <c r="B677" s="1" t="n">
        <v>45329</v>
      </c>
      <c r="C677" s="1" t="n">
        <v>45934</v>
      </c>
      <c r="D677" t="inlineStr">
        <is>
          <t>UPPSALA LÄN</t>
        </is>
      </c>
      <c r="E677" t="inlineStr">
        <is>
          <t>UPPSALA</t>
        </is>
      </c>
      <c r="G677" t="n">
        <v>10.8</v>
      </c>
      <c r="H677" t="n">
        <v>0</v>
      </c>
      <c r="I677" t="n">
        <v>0</v>
      </c>
      <c r="J677" t="n">
        <v>0</v>
      </c>
      <c r="K677" t="n">
        <v>0</v>
      </c>
      <c r="L677" t="n">
        <v>0</v>
      </c>
      <c r="M677" t="n">
        <v>0</v>
      </c>
      <c r="N677" t="n">
        <v>0</v>
      </c>
      <c r="O677" t="n">
        <v>0</v>
      </c>
      <c r="P677" t="n">
        <v>0</v>
      </c>
      <c r="Q677" t="n">
        <v>0</v>
      </c>
      <c r="R677" s="2" t="inlineStr"/>
    </row>
    <row r="678" ht="15" customHeight="1">
      <c r="A678" t="inlineStr">
        <is>
          <t>A 750-2022</t>
        </is>
      </c>
      <c r="B678" s="1" t="n">
        <v>44569.49344907407</v>
      </c>
      <c r="C678" s="1" t="n">
        <v>45934</v>
      </c>
      <c r="D678" t="inlineStr">
        <is>
          <t>UPPSALA LÄN</t>
        </is>
      </c>
      <c r="E678" t="inlineStr">
        <is>
          <t>UPPSALA</t>
        </is>
      </c>
      <c r="F678" t="inlineStr">
        <is>
          <t>Holmen skog AB</t>
        </is>
      </c>
      <c r="G678" t="n">
        <v>6</v>
      </c>
      <c r="H678" t="n">
        <v>0</v>
      </c>
      <c r="I678" t="n">
        <v>0</v>
      </c>
      <c r="J678" t="n">
        <v>0</v>
      </c>
      <c r="K678" t="n">
        <v>0</v>
      </c>
      <c r="L678" t="n">
        <v>0</v>
      </c>
      <c r="M678" t="n">
        <v>0</v>
      </c>
      <c r="N678" t="n">
        <v>0</v>
      </c>
      <c r="O678" t="n">
        <v>0</v>
      </c>
      <c r="P678" t="n">
        <v>0</v>
      </c>
      <c r="Q678" t="n">
        <v>0</v>
      </c>
      <c r="R678" s="2" t="inlineStr"/>
    </row>
    <row r="679" ht="15" customHeight="1">
      <c r="A679" t="inlineStr">
        <is>
          <t>A 46751-2024</t>
        </is>
      </c>
      <c r="B679" s="1" t="n">
        <v>45583.48449074074</v>
      </c>
      <c r="C679" s="1" t="n">
        <v>45934</v>
      </c>
      <c r="D679" t="inlineStr">
        <is>
          <t>UPPSALA LÄN</t>
        </is>
      </c>
      <c r="E679" t="inlineStr">
        <is>
          <t>UPPSALA</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42543-2023</t>
        </is>
      </c>
      <c r="B680" s="1" t="n">
        <v>45181.36815972222</v>
      </c>
      <c r="C680" s="1" t="n">
        <v>45934</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8931-2025</t>
        </is>
      </c>
      <c r="B681" s="1" t="n">
        <v>45713.44519675926</v>
      </c>
      <c r="C681" s="1" t="n">
        <v>45934</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74023-2021</t>
        </is>
      </c>
      <c r="B682" s="1" t="n">
        <v>44553</v>
      </c>
      <c r="C682" s="1" t="n">
        <v>45934</v>
      </c>
      <c r="D682" t="inlineStr">
        <is>
          <t>UPPSALA LÄN</t>
        </is>
      </c>
      <c r="E682" t="inlineStr">
        <is>
          <t>UPPSALA</t>
        </is>
      </c>
      <c r="G682" t="n">
        <v>5.4</v>
      </c>
      <c r="H682" t="n">
        <v>0</v>
      </c>
      <c r="I682" t="n">
        <v>0</v>
      </c>
      <c r="J682" t="n">
        <v>0</v>
      </c>
      <c r="K682" t="n">
        <v>0</v>
      </c>
      <c r="L682" t="n">
        <v>0</v>
      </c>
      <c r="M682" t="n">
        <v>0</v>
      </c>
      <c r="N682" t="n">
        <v>0</v>
      </c>
      <c r="O682" t="n">
        <v>0</v>
      </c>
      <c r="P682" t="n">
        <v>0</v>
      </c>
      <c r="Q682" t="n">
        <v>0</v>
      </c>
      <c r="R682" s="2" t="inlineStr"/>
    </row>
    <row r="683" ht="15" customHeight="1">
      <c r="A683" t="inlineStr">
        <is>
          <t>A 22930-2025</t>
        </is>
      </c>
      <c r="B683" s="1" t="n">
        <v>45790.44972222222</v>
      </c>
      <c r="C683" s="1" t="n">
        <v>45934</v>
      </c>
      <c r="D683" t="inlineStr">
        <is>
          <t>UPPSALA LÄN</t>
        </is>
      </c>
      <c r="E683" t="inlineStr">
        <is>
          <t>UPPSALA</t>
        </is>
      </c>
      <c r="G683" t="n">
        <v>7.7</v>
      </c>
      <c r="H683" t="n">
        <v>0</v>
      </c>
      <c r="I683" t="n">
        <v>0</v>
      </c>
      <c r="J683" t="n">
        <v>0</v>
      </c>
      <c r="K683" t="n">
        <v>0</v>
      </c>
      <c r="L683" t="n">
        <v>0</v>
      </c>
      <c r="M683" t="n">
        <v>0</v>
      </c>
      <c r="N683" t="n">
        <v>0</v>
      </c>
      <c r="O683" t="n">
        <v>0</v>
      </c>
      <c r="P683" t="n">
        <v>0</v>
      </c>
      <c r="Q683" t="n">
        <v>0</v>
      </c>
      <c r="R683" s="2" t="inlineStr"/>
    </row>
    <row r="684" ht="15" customHeight="1">
      <c r="A684" t="inlineStr">
        <is>
          <t>A 44830-2023</t>
        </is>
      </c>
      <c r="B684" s="1" t="n">
        <v>45190</v>
      </c>
      <c r="C684" s="1" t="n">
        <v>45934</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11339-2025</t>
        </is>
      </c>
      <c r="B685" s="1" t="n">
        <v>45726</v>
      </c>
      <c r="C685" s="1" t="n">
        <v>45934</v>
      </c>
      <c r="D685" t="inlineStr">
        <is>
          <t>UPPSALA LÄN</t>
        </is>
      </c>
      <c r="E685" t="inlineStr">
        <is>
          <t>UPPSALA</t>
        </is>
      </c>
      <c r="G685" t="n">
        <v>13.4</v>
      </c>
      <c r="H685" t="n">
        <v>0</v>
      </c>
      <c r="I685" t="n">
        <v>0</v>
      </c>
      <c r="J685" t="n">
        <v>0</v>
      </c>
      <c r="K685" t="n">
        <v>0</v>
      </c>
      <c r="L685" t="n">
        <v>0</v>
      </c>
      <c r="M685" t="n">
        <v>0</v>
      </c>
      <c r="N685" t="n">
        <v>0</v>
      </c>
      <c r="O685" t="n">
        <v>0</v>
      </c>
      <c r="P685" t="n">
        <v>0</v>
      </c>
      <c r="Q685" t="n">
        <v>0</v>
      </c>
      <c r="R685" s="2" t="inlineStr"/>
    </row>
    <row r="686" ht="15" customHeight="1">
      <c r="A686" t="inlineStr">
        <is>
          <t>A 73044-2021</t>
        </is>
      </c>
      <c r="B686" s="1" t="n">
        <v>44550.37994212963</v>
      </c>
      <c r="C686" s="1" t="n">
        <v>45934</v>
      </c>
      <c r="D686" t="inlineStr">
        <is>
          <t>UPPSALA LÄN</t>
        </is>
      </c>
      <c r="E686" t="inlineStr">
        <is>
          <t>UPPSALA</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19139-2023</t>
        </is>
      </c>
      <c r="B687" s="1" t="n">
        <v>45048.55349537037</v>
      </c>
      <c r="C687" s="1" t="n">
        <v>45934</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22953-2025</t>
        </is>
      </c>
      <c r="B688" s="1" t="n">
        <v>45790.51186342593</v>
      </c>
      <c r="C688" s="1" t="n">
        <v>45934</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22951-2025</t>
        </is>
      </c>
      <c r="B689" s="1" t="n">
        <v>45790.51040509259</v>
      </c>
      <c r="C689" s="1" t="n">
        <v>45934</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30319-2024</t>
        </is>
      </c>
      <c r="B690" s="1" t="n">
        <v>45490</v>
      </c>
      <c r="C690" s="1" t="n">
        <v>45934</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1617-2021</t>
        </is>
      </c>
      <c r="B691" s="1" t="n">
        <v>44209</v>
      </c>
      <c r="C691" s="1" t="n">
        <v>45934</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29799-2023</t>
        </is>
      </c>
      <c r="B692" s="1" t="n">
        <v>45107.53688657407</v>
      </c>
      <c r="C692" s="1" t="n">
        <v>45934</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179-2023</t>
        </is>
      </c>
      <c r="B693" s="1" t="n">
        <v>44928</v>
      </c>
      <c r="C693" s="1" t="n">
        <v>45934</v>
      </c>
      <c r="D693" t="inlineStr">
        <is>
          <t>UPPSALA LÄN</t>
        </is>
      </c>
      <c r="E693" t="inlineStr">
        <is>
          <t>UPPSALA</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45885-2023</t>
        </is>
      </c>
      <c r="B694" s="1" t="n">
        <v>45195.64807870371</v>
      </c>
      <c r="C694" s="1" t="n">
        <v>45934</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21052-2023</t>
        </is>
      </c>
      <c r="B695" s="1" t="n">
        <v>45061</v>
      </c>
      <c r="C695" s="1" t="n">
        <v>45934</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62054-2024</t>
        </is>
      </c>
      <c r="B696" s="1" t="n">
        <v>45656</v>
      </c>
      <c r="C696" s="1" t="n">
        <v>45934</v>
      </c>
      <c r="D696" t="inlineStr">
        <is>
          <t>UPPSALA LÄN</t>
        </is>
      </c>
      <c r="E696" t="inlineStr">
        <is>
          <t>UPPSALA</t>
        </is>
      </c>
      <c r="F696" t="inlineStr">
        <is>
          <t>Övriga statliga verk och myndigheter</t>
        </is>
      </c>
      <c r="G696" t="n">
        <v>29.3</v>
      </c>
      <c r="H696" t="n">
        <v>0</v>
      </c>
      <c r="I696" t="n">
        <v>0</v>
      </c>
      <c r="J696" t="n">
        <v>0</v>
      </c>
      <c r="K696" t="n">
        <v>0</v>
      </c>
      <c r="L696" t="n">
        <v>0</v>
      </c>
      <c r="M696" t="n">
        <v>0</v>
      </c>
      <c r="N696" t="n">
        <v>0</v>
      </c>
      <c r="O696" t="n">
        <v>0</v>
      </c>
      <c r="P696" t="n">
        <v>0</v>
      </c>
      <c r="Q696" t="n">
        <v>0</v>
      </c>
      <c r="R696" s="2" t="inlineStr"/>
    </row>
    <row r="697" ht="15" customHeight="1">
      <c r="A697" t="inlineStr">
        <is>
          <t>A 9398-2023</t>
        </is>
      </c>
      <c r="B697" s="1" t="n">
        <v>44977</v>
      </c>
      <c r="C697" s="1" t="n">
        <v>45934</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20903-2024</t>
        </is>
      </c>
      <c r="B698" s="1" t="n">
        <v>45439</v>
      </c>
      <c r="C698" s="1" t="n">
        <v>45934</v>
      </c>
      <c r="D698" t="inlineStr">
        <is>
          <t>UPPSALA LÄN</t>
        </is>
      </c>
      <c r="E698" t="inlineStr">
        <is>
          <t>UPPSALA</t>
        </is>
      </c>
      <c r="F698" t="inlineStr">
        <is>
          <t>Holmen skog AB</t>
        </is>
      </c>
      <c r="G698" t="n">
        <v>2.7</v>
      </c>
      <c r="H698" t="n">
        <v>0</v>
      </c>
      <c r="I698" t="n">
        <v>0</v>
      </c>
      <c r="J698" t="n">
        <v>0</v>
      </c>
      <c r="K698" t="n">
        <v>0</v>
      </c>
      <c r="L698" t="n">
        <v>0</v>
      </c>
      <c r="M698" t="n">
        <v>0</v>
      </c>
      <c r="N698" t="n">
        <v>0</v>
      </c>
      <c r="O698" t="n">
        <v>0</v>
      </c>
      <c r="P698" t="n">
        <v>0</v>
      </c>
      <c r="Q698" t="n">
        <v>0</v>
      </c>
      <c r="R698" s="2" t="inlineStr"/>
    </row>
    <row r="699" ht="15" customHeight="1">
      <c r="A699" t="inlineStr">
        <is>
          <t>A 5876-2024</t>
        </is>
      </c>
      <c r="B699" s="1" t="n">
        <v>45335.66331018518</v>
      </c>
      <c r="C699" s="1" t="n">
        <v>45934</v>
      </c>
      <c r="D699" t="inlineStr">
        <is>
          <t>UPPSALA LÄN</t>
        </is>
      </c>
      <c r="E699" t="inlineStr">
        <is>
          <t>UPPSALA</t>
        </is>
      </c>
      <c r="F699" t="inlineStr">
        <is>
          <t>Kyrkan</t>
        </is>
      </c>
      <c r="G699" t="n">
        <v>1.7</v>
      </c>
      <c r="H699" t="n">
        <v>0</v>
      </c>
      <c r="I699" t="n">
        <v>0</v>
      </c>
      <c r="J699" t="n">
        <v>0</v>
      </c>
      <c r="K699" t="n">
        <v>0</v>
      </c>
      <c r="L699" t="n">
        <v>0</v>
      </c>
      <c r="M699" t="n">
        <v>0</v>
      </c>
      <c r="N699" t="n">
        <v>0</v>
      </c>
      <c r="O699" t="n">
        <v>0</v>
      </c>
      <c r="P699" t="n">
        <v>0</v>
      </c>
      <c r="Q699" t="n">
        <v>0</v>
      </c>
      <c r="R699" s="2" t="inlineStr"/>
    </row>
    <row r="700" ht="15" customHeight="1">
      <c r="A700" t="inlineStr">
        <is>
          <t>A 39548-2023</t>
        </is>
      </c>
      <c r="B700" s="1" t="n">
        <v>45167.3721412037</v>
      </c>
      <c r="C700" s="1" t="n">
        <v>45934</v>
      </c>
      <c r="D700" t="inlineStr">
        <is>
          <t>UPPSALA LÄN</t>
        </is>
      </c>
      <c r="E700" t="inlineStr">
        <is>
          <t>UPPSALA</t>
        </is>
      </c>
      <c r="G700" t="n">
        <v>3.4</v>
      </c>
      <c r="H700" t="n">
        <v>0</v>
      </c>
      <c r="I700" t="n">
        <v>0</v>
      </c>
      <c r="J700" t="n">
        <v>0</v>
      </c>
      <c r="K700" t="n">
        <v>0</v>
      </c>
      <c r="L700" t="n">
        <v>0</v>
      </c>
      <c r="M700" t="n">
        <v>0</v>
      </c>
      <c r="N700" t="n">
        <v>0</v>
      </c>
      <c r="O700" t="n">
        <v>0</v>
      </c>
      <c r="P700" t="n">
        <v>0</v>
      </c>
      <c r="Q700" t="n">
        <v>0</v>
      </c>
      <c r="R700" s="2" t="inlineStr"/>
    </row>
    <row r="701" ht="15" customHeight="1">
      <c r="A701" t="inlineStr">
        <is>
          <t>A 26099-2024</t>
        </is>
      </c>
      <c r="B701" s="1" t="n">
        <v>45468</v>
      </c>
      <c r="C701" s="1" t="n">
        <v>45934</v>
      </c>
      <c r="D701" t="inlineStr">
        <is>
          <t>UPPSALA LÄN</t>
        </is>
      </c>
      <c r="E701" t="inlineStr">
        <is>
          <t>UPPSALA</t>
        </is>
      </c>
      <c r="G701" t="n">
        <v>0.3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44679.66694444444</v>
      </c>
      <c r="C702" s="1" t="n">
        <v>45934</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59098-2024</t>
        </is>
      </c>
      <c r="B703" s="1" t="n">
        <v>45636</v>
      </c>
      <c r="C703" s="1" t="n">
        <v>45934</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24268-2025</t>
        </is>
      </c>
      <c r="B704" s="1" t="n">
        <v>45797.42777777778</v>
      </c>
      <c r="C704" s="1" t="n">
        <v>45934</v>
      </c>
      <c r="D704" t="inlineStr">
        <is>
          <t>UPPSALA LÄN</t>
        </is>
      </c>
      <c r="E704" t="inlineStr">
        <is>
          <t>UPPSALA</t>
        </is>
      </c>
      <c r="G704" t="n">
        <v>2.5</v>
      </c>
      <c r="H704" t="n">
        <v>0</v>
      </c>
      <c r="I704" t="n">
        <v>0</v>
      </c>
      <c r="J704" t="n">
        <v>0</v>
      </c>
      <c r="K704" t="n">
        <v>0</v>
      </c>
      <c r="L704" t="n">
        <v>0</v>
      </c>
      <c r="M704" t="n">
        <v>0</v>
      </c>
      <c r="N704" t="n">
        <v>0</v>
      </c>
      <c r="O704" t="n">
        <v>0</v>
      </c>
      <c r="P704" t="n">
        <v>0</v>
      </c>
      <c r="Q704" t="n">
        <v>0</v>
      </c>
      <c r="R704" s="2" t="inlineStr"/>
    </row>
    <row r="705" ht="15" customHeight="1">
      <c r="A705" t="inlineStr">
        <is>
          <t>A 14026-2021</t>
        </is>
      </c>
      <c r="B705" s="1" t="n">
        <v>44277.65650462963</v>
      </c>
      <c r="C705" s="1" t="n">
        <v>45934</v>
      </c>
      <c r="D705" t="inlineStr">
        <is>
          <t>UPPSALA LÄN</t>
        </is>
      </c>
      <c r="E705" t="inlineStr">
        <is>
          <t>UPPSALA</t>
        </is>
      </c>
      <c r="G705" t="n">
        <v>3.5</v>
      </c>
      <c r="H705" t="n">
        <v>0</v>
      </c>
      <c r="I705" t="n">
        <v>0</v>
      </c>
      <c r="J705" t="n">
        <v>0</v>
      </c>
      <c r="K705" t="n">
        <v>0</v>
      </c>
      <c r="L705" t="n">
        <v>0</v>
      </c>
      <c r="M705" t="n">
        <v>0</v>
      </c>
      <c r="N705" t="n">
        <v>0</v>
      </c>
      <c r="O705" t="n">
        <v>0</v>
      </c>
      <c r="P705" t="n">
        <v>0</v>
      </c>
      <c r="Q705" t="n">
        <v>0</v>
      </c>
      <c r="R705" s="2" t="inlineStr"/>
    </row>
    <row r="706" ht="15" customHeight="1">
      <c r="A706" t="inlineStr">
        <is>
          <t>A 33689-2023</t>
        </is>
      </c>
      <c r="B706" s="1" t="n">
        <v>45119</v>
      </c>
      <c r="C706" s="1" t="n">
        <v>45934</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18626-2025</t>
        </is>
      </c>
      <c r="B707" s="1" t="n">
        <v>45763.52995370371</v>
      </c>
      <c r="C707" s="1" t="n">
        <v>45934</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57271-2020</t>
        </is>
      </c>
      <c r="B708" s="1" t="n">
        <v>44139</v>
      </c>
      <c r="C708" s="1" t="n">
        <v>45934</v>
      </c>
      <c r="D708" t="inlineStr">
        <is>
          <t>UPPSALA LÄN</t>
        </is>
      </c>
      <c r="E708" t="inlineStr">
        <is>
          <t>UPPSALA</t>
        </is>
      </c>
      <c r="G708" t="n">
        <v>3.8</v>
      </c>
      <c r="H708" t="n">
        <v>0</v>
      </c>
      <c r="I708" t="n">
        <v>0</v>
      </c>
      <c r="J708" t="n">
        <v>0</v>
      </c>
      <c r="K708" t="n">
        <v>0</v>
      </c>
      <c r="L708" t="n">
        <v>0</v>
      </c>
      <c r="M708" t="n">
        <v>0</v>
      </c>
      <c r="N708" t="n">
        <v>0</v>
      </c>
      <c r="O708" t="n">
        <v>0</v>
      </c>
      <c r="P708" t="n">
        <v>0</v>
      </c>
      <c r="Q708" t="n">
        <v>0</v>
      </c>
      <c r="R708" s="2" t="inlineStr"/>
    </row>
    <row r="709" ht="15" customHeight="1">
      <c r="A709" t="inlineStr">
        <is>
          <t>A 3183-2024</t>
        </is>
      </c>
      <c r="B709" s="1" t="n">
        <v>45316</v>
      </c>
      <c r="C709" s="1" t="n">
        <v>45934</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53569-2024</t>
        </is>
      </c>
      <c r="B710" s="1" t="n">
        <v>45614.65928240741</v>
      </c>
      <c r="C710" s="1" t="n">
        <v>45934</v>
      </c>
      <c r="D710" t="inlineStr">
        <is>
          <t>UPPSALA LÄN</t>
        </is>
      </c>
      <c r="E710" t="inlineStr">
        <is>
          <t>UPPSALA</t>
        </is>
      </c>
      <c r="G710" t="n">
        <v>2.7</v>
      </c>
      <c r="H710" t="n">
        <v>0</v>
      </c>
      <c r="I710" t="n">
        <v>0</v>
      </c>
      <c r="J710" t="n">
        <v>0</v>
      </c>
      <c r="K710" t="n">
        <v>0</v>
      </c>
      <c r="L710" t="n">
        <v>0</v>
      </c>
      <c r="M710" t="n">
        <v>0</v>
      </c>
      <c r="N710" t="n">
        <v>0</v>
      </c>
      <c r="O710" t="n">
        <v>0</v>
      </c>
      <c r="P710" t="n">
        <v>0</v>
      </c>
      <c r="Q710" t="n">
        <v>0</v>
      </c>
      <c r="R710" s="2" t="inlineStr"/>
    </row>
    <row r="711" ht="15" customHeight="1">
      <c r="A711" t="inlineStr">
        <is>
          <t>A 69436-2021</t>
        </is>
      </c>
      <c r="B711" s="1" t="n">
        <v>44531</v>
      </c>
      <c r="C711" s="1" t="n">
        <v>45934</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24284-2025</t>
        </is>
      </c>
      <c r="B712" s="1" t="n">
        <v>45797.45900462963</v>
      </c>
      <c r="C712" s="1" t="n">
        <v>45934</v>
      </c>
      <c r="D712" t="inlineStr">
        <is>
          <t>UPPSALA LÄN</t>
        </is>
      </c>
      <c r="E712" t="inlineStr">
        <is>
          <t>UPPSALA</t>
        </is>
      </c>
      <c r="F712" t="inlineStr">
        <is>
          <t>Holmen skog AB</t>
        </is>
      </c>
      <c r="G712" t="n">
        <v>12.7</v>
      </c>
      <c r="H712" t="n">
        <v>0</v>
      </c>
      <c r="I712" t="n">
        <v>0</v>
      </c>
      <c r="J712" t="n">
        <v>0</v>
      </c>
      <c r="K712" t="n">
        <v>0</v>
      </c>
      <c r="L712" t="n">
        <v>0</v>
      </c>
      <c r="M712" t="n">
        <v>0</v>
      </c>
      <c r="N712" t="n">
        <v>0</v>
      </c>
      <c r="O712" t="n">
        <v>0</v>
      </c>
      <c r="P712" t="n">
        <v>0</v>
      </c>
      <c r="Q712" t="n">
        <v>0</v>
      </c>
      <c r="R712" s="2" t="inlineStr"/>
    </row>
    <row r="713" ht="15" customHeight="1">
      <c r="A713" t="inlineStr">
        <is>
          <t>A 34520-2024</t>
        </is>
      </c>
      <c r="B713" s="1" t="n">
        <v>45525</v>
      </c>
      <c r="C713" s="1" t="n">
        <v>45934</v>
      </c>
      <c r="D713" t="inlineStr">
        <is>
          <t>UPPSALA LÄN</t>
        </is>
      </c>
      <c r="E713" t="inlineStr">
        <is>
          <t>UPPSALA</t>
        </is>
      </c>
      <c r="G713" t="n">
        <v>2.5</v>
      </c>
      <c r="H713" t="n">
        <v>0</v>
      </c>
      <c r="I713" t="n">
        <v>0</v>
      </c>
      <c r="J713" t="n">
        <v>0</v>
      </c>
      <c r="K713" t="n">
        <v>0</v>
      </c>
      <c r="L713" t="n">
        <v>0</v>
      </c>
      <c r="M713" t="n">
        <v>0</v>
      </c>
      <c r="N713" t="n">
        <v>0</v>
      </c>
      <c r="O713" t="n">
        <v>0</v>
      </c>
      <c r="P713" t="n">
        <v>0</v>
      </c>
      <c r="Q713" t="n">
        <v>0</v>
      </c>
      <c r="R713" s="2" t="inlineStr"/>
    </row>
    <row r="714" ht="15" customHeight="1">
      <c r="A714" t="inlineStr">
        <is>
          <t>A 19539-2024</t>
        </is>
      </c>
      <c r="B714" s="1" t="n">
        <v>45429</v>
      </c>
      <c r="C714" s="1" t="n">
        <v>45934</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24912-2025</t>
        </is>
      </c>
      <c r="B715" s="1" t="n">
        <v>45799.53803240741</v>
      </c>
      <c r="C715" s="1" t="n">
        <v>45934</v>
      </c>
      <c r="D715" t="inlineStr">
        <is>
          <t>UPPSALA LÄN</t>
        </is>
      </c>
      <c r="E715" t="inlineStr">
        <is>
          <t>UPPSALA</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7253-2024</t>
        </is>
      </c>
      <c r="B716" s="1" t="n">
        <v>45344.69567129629</v>
      </c>
      <c r="C716" s="1" t="n">
        <v>45934</v>
      </c>
      <c r="D716" t="inlineStr">
        <is>
          <t>UPPSALA LÄN</t>
        </is>
      </c>
      <c r="E716" t="inlineStr">
        <is>
          <t>UPPSALA</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5764-2025</t>
        </is>
      </c>
      <c r="B717" s="1" t="n">
        <v>45694</v>
      </c>
      <c r="C717" s="1" t="n">
        <v>45934</v>
      </c>
      <c r="D717" t="inlineStr">
        <is>
          <t>UPPSALA LÄN</t>
        </is>
      </c>
      <c r="E717" t="inlineStr">
        <is>
          <t>UPPSALA</t>
        </is>
      </c>
      <c r="G717" t="n">
        <v>0.9</v>
      </c>
      <c r="H717" t="n">
        <v>0</v>
      </c>
      <c r="I717" t="n">
        <v>0</v>
      </c>
      <c r="J717" t="n">
        <v>0</v>
      </c>
      <c r="K717" t="n">
        <v>0</v>
      </c>
      <c r="L717" t="n">
        <v>0</v>
      </c>
      <c r="M717" t="n">
        <v>0</v>
      </c>
      <c r="N717" t="n">
        <v>0</v>
      </c>
      <c r="O717" t="n">
        <v>0</v>
      </c>
      <c r="P717" t="n">
        <v>0</v>
      </c>
      <c r="Q717" t="n">
        <v>0</v>
      </c>
      <c r="R717" s="2" t="inlineStr"/>
    </row>
    <row r="718" ht="15" customHeight="1">
      <c r="A718" t="inlineStr">
        <is>
          <t>A 24909-2025</t>
        </is>
      </c>
      <c r="B718" s="1" t="n">
        <v>45799.53348379629</v>
      </c>
      <c r="C718" s="1" t="n">
        <v>45934</v>
      </c>
      <c r="D718" t="inlineStr">
        <is>
          <t>UPPSALA LÄN</t>
        </is>
      </c>
      <c r="E718" t="inlineStr">
        <is>
          <t>UPPSALA</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24521-2025</t>
        </is>
      </c>
      <c r="B719" s="1" t="n">
        <v>45798.41734953703</v>
      </c>
      <c r="C719" s="1" t="n">
        <v>45934</v>
      </c>
      <c r="D719" t="inlineStr">
        <is>
          <t>UPPSALA LÄN</t>
        </is>
      </c>
      <c r="E719" t="inlineStr">
        <is>
          <t>UPPSALA</t>
        </is>
      </c>
      <c r="G719" t="n">
        <v>2</v>
      </c>
      <c r="H719" t="n">
        <v>0</v>
      </c>
      <c r="I719" t="n">
        <v>0</v>
      </c>
      <c r="J719" t="n">
        <v>0</v>
      </c>
      <c r="K719" t="n">
        <v>0</v>
      </c>
      <c r="L719" t="n">
        <v>0</v>
      </c>
      <c r="M719" t="n">
        <v>0</v>
      </c>
      <c r="N719" t="n">
        <v>0</v>
      </c>
      <c r="O719" t="n">
        <v>0</v>
      </c>
      <c r="P719" t="n">
        <v>0</v>
      </c>
      <c r="Q719" t="n">
        <v>0</v>
      </c>
      <c r="R719" s="2" t="inlineStr"/>
    </row>
    <row r="720" ht="15" customHeight="1">
      <c r="A720" t="inlineStr">
        <is>
          <t>A 24961-2025</t>
        </is>
      </c>
      <c r="B720" s="1" t="n">
        <v>45799.57714120371</v>
      </c>
      <c r="C720" s="1" t="n">
        <v>45934</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63307-2021</t>
        </is>
      </c>
      <c r="B721" s="1" t="n">
        <v>44508.44033564815</v>
      </c>
      <c r="C721" s="1" t="n">
        <v>45934</v>
      </c>
      <c r="D721" t="inlineStr">
        <is>
          <t>UPPSALA LÄN</t>
        </is>
      </c>
      <c r="E721" t="inlineStr">
        <is>
          <t>UPPSALA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44644.37548611111</v>
      </c>
      <c r="C722" s="1" t="n">
        <v>45934</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12828-2025</t>
        </is>
      </c>
      <c r="B723" s="1" t="n">
        <v>45733.62903935185</v>
      </c>
      <c r="C723" s="1" t="n">
        <v>45934</v>
      </c>
      <c r="D723" t="inlineStr">
        <is>
          <t>UPPSALA LÄN</t>
        </is>
      </c>
      <c r="E723" t="inlineStr">
        <is>
          <t>UPPSALA</t>
        </is>
      </c>
      <c r="G723" t="n">
        <v>5.3</v>
      </c>
      <c r="H723" t="n">
        <v>0</v>
      </c>
      <c r="I723" t="n">
        <v>0</v>
      </c>
      <c r="J723" t="n">
        <v>0</v>
      </c>
      <c r="K723" t="n">
        <v>0</v>
      </c>
      <c r="L723" t="n">
        <v>0</v>
      </c>
      <c r="M723" t="n">
        <v>0</v>
      </c>
      <c r="N723" t="n">
        <v>0</v>
      </c>
      <c r="O723" t="n">
        <v>0</v>
      </c>
      <c r="P723" t="n">
        <v>0</v>
      </c>
      <c r="Q723" t="n">
        <v>0</v>
      </c>
      <c r="R723" s="2" t="inlineStr"/>
    </row>
    <row r="724" ht="15" customHeight="1">
      <c r="A724" t="inlineStr">
        <is>
          <t>A 25026-2025</t>
        </is>
      </c>
      <c r="B724" s="1" t="n">
        <v>45799.65021990741</v>
      </c>
      <c r="C724" s="1" t="n">
        <v>45934</v>
      </c>
      <c r="D724" t="inlineStr">
        <is>
          <t>UPPSALA LÄN</t>
        </is>
      </c>
      <c r="E724" t="inlineStr">
        <is>
          <t>UPPSALA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25030-2025</t>
        </is>
      </c>
      <c r="B725" s="1" t="n">
        <v>45799.6527199074</v>
      </c>
      <c r="C725" s="1" t="n">
        <v>45934</v>
      </c>
      <c r="D725" t="inlineStr">
        <is>
          <t>UPPSALA LÄN</t>
        </is>
      </c>
      <c r="E725" t="inlineStr">
        <is>
          <t>UPPSALA</t>
        </is>
      </c>
      <c r="F725" t="inlineStr">
        <is>
          <t>Sveaskog</t>
        </is>
      </c>
      <c r="G725" t="n">
        <v>6</v>
      </c>
      <c r="H725" t="n">
        <v>0</v>
      </c>
      <c r="I725" t="n">
        <v>0</v>
      </c>
      <c r="J725" t="n">
        <v>0</v>
      </c>
      <c r="K725" t="n">
        <v>0</v>
      </c>
      <c r="L725" t="n">
        <v>0</v>
      </c>
      <c r="M725" t="n">
        <v>0</v>
      </c>
      <c r="N725" t="n">
        <v>0</v>
      </c>
      <c r="O725" t="n">
        <v>0</v>
      </c>
      <c r="P725" t="n">
        <v>0</v>
      </c>
      <c r="Q725" t="n">
        <v>0</v>
      </c>
      <c r="R725" s="2" t="inlineStr"/>
    </row>
    <row r="726" ht="15" customHeight="1">
      <c r="A726" t="inlineStr">
        <is>
          <t>A 13742-2025</t>
        </is>
      </c>
      <c r="B726" s="1" t="n">
        <v>45737.40503472222</v>
      </c>
      <c r="C726" s="1" t="n">
        <v>45934</v>
      </c>
      <c r="D726" t="inlineStr">
        <is>
          <t>UPPSALA LÄN</t>
        </is>
      </c>
      <c r="E726" t="inlineStr">
        <is>
          <t>UPPSALA</t>
        </is>
      </c>
      <c r="G726" t="n">
        <v>5.1</v>
      </c>
      <c r="H726" t="n">
        <v>0</v>
      </c>
      <c r="I726" t="n">
        <v>0</v>
      </c>
      <c r="J726" t="n">
        <v>0</v>
      </c>
      <c r="K726" t="n">
        <v>0</v>
      </c>
      <c r="L726" t="n">
        <v>0</v>
      </c>
      <c r="M726" t="n">
        <v>0</v>
      </c>
      <c r="N726" t="n">
        <v>0</v>
      </c>
      <c r="O726" t="n">
        <v>0</v>
      </c>
      <c r="P726" t="n">
        <v>0</v>
      </c>
      <c r="Q726" t="n">
        <v>0</v>
      </c>
      <c r="R726" s="2" t="inlineStr"/>
    </row>
    <row r="727" ht="15" customHeight="1">
      <c r="A727" t="inlineStr">
        <is>
          <t>A 18808-2024</t>
        </is>
      </c>
      <c r="B727" s="1" t="n">
        <v>45426.61569444444</v>
      </c>
      <c r="C727" s="1" t="n">
        <v>45934</v>
      </c>
      <c r="D727" t="inlineStr">
        <is>
          <t>UPPSALA LÄN</t>
        </is>
      </c>
      <c r="E727" t="inlineStr">
        <is>
          <t>UPPSALA</t>
        </is>
      </c>
      <c r="G727" t="n">
        <v>11.5</v>
      </c>
      <c r="H727" t="n">
        <v>0</v>
      </c>
      <c r="I727" t="n">
        <v>0</v>
      </c>
      <c r="J727" t="n">
        <v>0</v>
      </c>
      <c r="K727" t="n">
        <v>0</v>
      </c>
      <c r="L727" t="n">
        <v>0</v>
      </c>
      <c r="M727" t="n">
        <v>0</v>
      </c>
      <c r="N727" t="n">
        <v>0</v>
      </c>
      <c r="O727" t="n">
        <v>0</v>
      </c>
      <c r="P727" t="n">
        <v>0</v>
      </c>
      <c r="Q727" t="n">
        <v>0</v>
      </c>
      <c r="R727" s="2" t="inlineStr"/>
    </row>
    <row r="728" ht="15" customHeight="1">
      <c r="A728" t="inlineStr">
        <is>
          <t>A 24913-2025</t>
        </is>
      </c>
      <c r="B728" s="1" t="n">
        <v>45799.53947916667</v>
      </c>
      <c r="C728" s="1" t="n">
        <v>45934</v>
      </c>
      <c r="D728" t="inlineStr">
        <is>
          <t>UPPSALA LÄN</t>
        </is>
      </c>
      <c r="E728" t="inlineStr">
        <is>
          <t>UPPSALA</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24915-2025</t>
        </is>
      </c>
      <c r="B729" s="1" t="n">
        <v>45799.54104166666</v>
      </c>
      <c r="C729" s="1" t="n">
        <v>45934</v>
      </c>
      <c r="D729" t="inlineStr">
        <is>
          <t>UPPSALA LÄN</t>
        </is>
      </c>
      <c r="E729" t="inlineStr">
        <is>
          <t>UPPSALA</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43855-2023</t>
        </is>
      </c>
      <c r="B730" s="1" t="n">
        <v>45187.61136574074</v>
      </c>
      <c r="C730" s="1" t="n">
        <v>45934</v>
      </c>
      <c r="D730" t="inlineStr">
        <is>
          <t>UPPSALA LÄN</t>
        </is>
      </c>
      <c r="E730" t="inlineStr">
        <is>
          <t>UPPSALA</t>
        </is>
      </c>
      <c r="F730" t="inlineStr">
        <is>
          <t>Bergvik skog öst AB</t>
        </is>
      </c>
      <c r="G730" t="n">
        <v>2</v>
      </c>
      <c r="H730" t="n">
        <v>0</v>
      </c>
      <c r="I730" t="n">
        <v>0</v>
      </c>
      <c r="J730" t="n">
        <v>0</v>
      </c>
      <c r="K730" t="n">
        <v>0</v>
      </c>
      <c r="L730" t="n">
        <v>0</v>
      </c>
      <c r="M730" t="n">
        <v>0</v>
      </c>
      <c r="N730" t="n">
        <v>0</v>
      </c>
      <c r="O730" t="n">
        <v>0</v>
      </c>
      <c r="P730" t="n">
        <v>0</v>
      </c>
      <c r="Q730" t="n">
        <v>0</v>
      </c>
      <c r="R730" s="2" t="inlineStr"/>
    </row>
    <row r="731" ht="15" customHeight="1">
      <c r="A731" t="inlineStr">
        <is>
          <t>A 6988-2025</t>
        </is>
      </c>
      <c r="B731" s="1" t="n">
        <v>45693</v>
      </c>
      <c r="C731" s="1" t="n">
        <v>45934</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24794-2025</t>
        </is>
      </c>
      <c r="B732" s="1" t="n">
        <v>45799.43496527777</v>
      </c>
      <c r="C732" s="1" t="n">
        <v>45934</v>
      </c>
      <c r="D732" t="inlineStr">
        <is>
          <t>UPPSALA LÄN</t>
        </is>
      </c>
      <c r="E732" t="inlineStr">
        <is>
          <t>UPPSALA</t>
        </is>
      </c>
      <c r="F732" t="inlineStr">
        <is>
          <t>BillerudKorsnäs AB</t>
        </is>
      </c>
      <c r="G732" t="n">
        <v>1.4</v>
      </c>
      <c r="H732" t="n">
        <v>0</v>
      </c>
      <c r="I732" t="n">
        <v>0</v>
      </c>
      <c r="J732" t="n">
        <v>0</v>
      </c>
      <c r="K732" t="n">
        <v>0</v>
      </c>
      <c r="L732" t="n">
        <v>0</v>
      </c>
      <c r="M732" t="n">
        <v>0</v>
      </c>
      <c r="N732" t="n">
        <v>0</v>
      </c>
      <c r="O732" t="n">
        <v>0</v>
      </c>
      <c r="P732" t="n">
        <v>0</v>
      </c>
      <c r="Q732" t="n">
        <v>0</v>
      </c>
      <c r="R732" s="2" t="inlineStr"/>
    </row>
    <row r="733" ht="15" customHeight="1">
      <c r="A733" t="inlineStr">
        <is>
          <t>A 24916-2025</t>
        </is>
      </c>
      <c r="B733" s="1" t="n">
        <v>45799.5421875</v>
      </c>
      <c r="C733" s="1" t="n">
        <v>45934</v>
      </c>
      <c r="D733" t="inlineStr">
        <is>
          <t>UPPSALA LÄN</t>
        </is>
      </c>
      <c r="E733" t="inlineStr">
        <is>
          <t>UPPSALA</t>
        </is>
      </c>
      <c r="F733" t="inlineStr">
        <is>
          <t>Sveaskog</t>
        </is>
      </c>
      <c r="G733" t="n">
        <v>3.4</v>
      </c>
      <c r="H733" t="n">
        <v>0</v>
      </c>
      <c r="I733" t="n">
        <v>0</v>
      </c>
      <c r="J733" t="n">
        <v>0</v>
      </c>
      <c r="K733" t="n">
        <v>0</v>
      </c>
      <c r="L733" t="n">
        <v>0</v>
      </c>
      <c r="M733" t="n">
        <v>0</v>
      </c>
      <c r="N733" t="n">
        <v>0</v>
      </c>
      <c r="O733" t="n">
        <v>0</v>
      </c>
      <c r="P733" t="n">
        <v>0</v>
      </c>
      <c r="Q733" t="n">
        <v>0</v>
      </c>
      <c r="R733" s="2" t="inlineStr"/>
    </row>
    <row r="734" ht="15" customHeight="1">
      <c r="A734" t="inlineStr">
        <is>
          <t>A 69432-2021</t>
        </is>
      </c>
      <c r="B734" s="1" t="n">
        <v>44531</v>
      </c>
      <c r="C734" s="1" t="n">
        <v>45934</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25025-2025</t>
        </is>
      </c>
      <c r="B735" s="1" t="n">
        <v>45799.64877314815</v>
      </c>
      <c r="C735" s="1" t="n">
        <v>45934</v>
      </c>
      <c r="D735" t="inlineStr">
        <is>
          <t>UPPSALA LÄN</t>
        </is>
      </c>
      <c r="E735" t="inlineStr">
        <is>
          <t>UPPSALA</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37763-2021</t>
        </is>
      </c>
      <c r="B736" s="1" t="n">
        <v>44400.6750925926</v>
      </c>
      <c r="C736" s="1" t="n">
        <v>45934</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24525-2025</t>
        </is>
      </c>
      <c r="B737" s="1" t="n">
        <v>45798.42252314815</v>
      </c>
      <c r="C737" s="1" t="n">
        <v>45934</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69595-2021</t>
        </is>
      </c>
      <c r="B738" s="1" t="n">
        <v>44532</v>
      </c>
      <c r="C738" s="1" t="n">
        <v>45934</v>
      </c>
      <c r="D738" t="inlineStr">
        <is>
          <t>UPPSALA LÄN</t>
        </is>
      </c>
      <c r="E738" t="inlineStr">
        <is>
          <t>UPPSALA</t>
        </is>
      </c>
      <c r="G738" t="n">
        <v>3.9</v>
      </c>
      <c r="H738" t="n">
        <v>0</v>
      </c>
      <c r="I738" t="n">
        <v>0</v>
      </c>
      <c r="J738" t="n">
        <v>0</v>
      </c>
      <c r="K738" t="n">
        <v>0</v>
      </c>
      <c r="L738" t="n">
        <v>0</v>
      </c>
      <c r="M738" t="n">
        <v>0</v>
      </c>
      <c r="N738" t="n">
        <v>0</v>
      </c>
      <c r="O738" t="n">
        <v>0</v>
      </c>
      <c r="P738" t="n">
        <v>0</v>
      </c>
      <c r="Q738" t="n">
        <v>0</v>
      </c>
      <c r="R738" s="2" t="inlineStr"/>
    </row>
    <row r="739" ht="15" customHeight="1">
      <c r="A739" t="inlineStr">
        <is>
          <t>A 3214-2023</t>
        </is>
      </c>
      <c r="B739" s="1" t="n">
        <v>44944</v>
      </c>
      <c r="C739" s="1" t="n">
        <v>45934</v>
      </c>
      <c r="D739" t="inlineStr">
        <is>
          <t>UPPSALA LÄN</t>
        </is>
      </c>
      <c r="E739" t="inlineStr">
        <is>
          <t>UPPSALA</t>
        </is>
      </c>
      <c r="G739" t="n">
        <v>4.1</v>
      </c>
      <c r="H739" t="n">
        <v>0</v>
      </c>
      <c r="I739" t="n">
        <v>0</v>
      </c>
      <c r="J739" t="n">
        <v>0</v>
      </c>
      <c r="K739" t="n">
        <v>0</v>
      </c>
      <c r="L739" t="n">
        <v>0</v>
      </c>
      <c r="M739" t="n">
        <v>0</v>
      </c>
      <c r="N739" t="n">
        <v>0</v>
      </c>
      <c r="O739" t="n">
        <v>0</v>
      </c>
      <c r="P739" t="n">
        <v>0</v>
      </c>
      <c r="Q739" t="n">
        <v>0</v>
      </c>
      <c r="R739" s="2" t="inlineStr"/>
    </row>
    <row r="740" ht="15" customHeight="1">
      <c r="A740" t="inlineStr">
        <is>
          <t>A 25513-2025</t>
        </is>
      </c>
      <c r="B740" s="1" t="n">
        <v>45803.36384259259</v>
      </c>
      <c r="C740" s="1" t="n">
        <v>45934</v>
      </c>
      <c r="D740" t="inlineStr">
        <is>
          <t>UPPSALA LÄN</t>
        </is>
      </c>
      <c r="E740" t="inlineStr">
        <is>
          <t>UPPSALA</t>
        </is>
      </c>
      <c r="F740" t="inlineStr">
        <is>
          <t>Bergvik skog öst AB</t>
        </is>
      </c>
      <c r="G740" t="n">
        <v>8.9</v>
      </c>
      <c r="H740" t="n">
        <v>0</v>
      </c>
      <c r="I740" t="n">
        <v>0</v>
      </c>
      <c r="J740" t="n">
        <v>0</v>
      </c>
      <c r="K740" t="n">
        <v>0</v>
      </c>
      <c r="L740" t="n">
        <v>0</v>
      </c>
      <c r="M740" t="n">
        <v>0</v>
      </c>
      <c r="N740" t="n">
        <v>0</v>
      </c>
      <c r="O740" t="n">
        <v>0</v>
      </c>
      <c r="P740" t="n">
        <v>0</v>
      </c>
      <c r="Q740" t="n">
        <v>0</v>
      </c>
      <c r="R740" s="2" t="inlineStr"/>
    </row>
    <row r="741" ht="15" customHeight="1">
      <c r="A741" t="inlineStr">
        <is>
          <t>A 25280-2023</t>
        </is>
      </c>
      <c r="B741" s="1" t="n">
        <v>45086.7037037037</v>
      </c>
      <c r="C741" s="1" t="n">
        <v>45934</v>
      </c>
      <c r="D741" t="inlineStr">
        <is>
          <t>UPPSALA LÄN</t>
        </is>
      </c>
      <c r="E741" t="inlineStr">
        <is>
          <t>UPPSALA</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25674-2025</t>
        </is>
      </c>
      <c r="B742" s="1" t="n">
        <v>45803.63395833333</v>
      </c>
      <c r="C742" s="1" t="n">
        <v>45934</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52197-2024</t>
        </is>
      </c>
      <c r="B743" s="1" t="n">
        <v>45608</v>
      </c>
      <c r="C743" s="1" t="n">
        <v>45934</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38190-2023</t>
        </is>
      </c>
      <c r="B744" s="1" t="n">
        <v>45161</v>
      </c>
      <c r="C744" s="1" t="n">
        <v>45934</v>
      </c>
      <c r="D744" t="inlineStr">
        <is>
          <t>UPPSALA LÄN</t>
        </is>
      </c>
      <c r="E744" t="inlineStr">
        <is>
          <t>UPPSALA</t>
        </is>
      </c>
      <c r="G744" t="n">
        <v>0.4</v>
      </c>
      <c r="H744" t="n">
        <v>0</v>
      </c>
      <c r="I744" t="n">
        <v>0</v>
      </c>
      <c r="J744" t="n">
        <v>0</v>
      </c>
      <c r="K744" t="n">
        <v>0</v>
      </c>
      <c r="L744" t="n">
        <v>0</v>
      </c>
      <c r="M744" t="n">
        <v>0</v>
      </c>
      <c r="N744" t="n">
        <v>0</v>
      </c>
      <c r="O744" t="n">
        <v>0</v>
      </c>
      <c r="P744" t="n">
        <v>0</v>
      </c>
      <c r="Q744" t="n">
        <v>0</v>
      </c>
      <c r="R744" s="2" t="inlineStr"/>
    </row>
    <row r="745" ht="15" customHeight="1">
      <c r="A745" t="inlineStr">
        <is>
          <t>A 6628-2024</t>
        </is>
      </c>
      <c r="B745" s="1" t="n">
        <v>45341</v>
      </c>
      <c r="C745" s="1" t="n">
        <v>45934</v>
      </c>
      <c r="D745" t="inlineStr">
        <is>
          <t>UPPSALA LÄN</t>
        </is>
      </c>
      <c r="E745" t="inlineStr">
        <is>
          <t>UPPSALA</t>
        </is>
      </c>
      <c r="G745" t="n">
        <v>4.3</v>
      </c>
      <c r="H745" t="n">
        <v>0</v>
      </c>
      <c r="I745" t="n">
        <v>0</v>
      </c>
      <c r="J745" t="n">
        <v>0</v>
      </c>
      <c r="K745" t="n">
        <v>0</v>
      </c>
      <c r="L745" t="n">
        <v>0</v>
      </c>
      <c r="M745" t="n">
        <v>0</v>
      </c>
      <c r="N745" t="n">
        <v>0</v>
      </c>
      <c r="O745" t="n">
        <v>0</v>
      </c>
      <c r="P745" t="n">
        <v>0</v>
      </c>
      <c r="Q745" t="n">
        <v>0</v>
      </c>
      <c r="R745" s="2" t="inlineStr"/>
    </row>
    <row r="746" ht="15" customHeight="1">
      <c r="A746" t="inlineStr">
        <is>
          <t>A 15264-2025</t>
        </is>
      </c>
      <c r="B746" s="1" t="n">
        <v>45744</v>
      </c>
      <c r="C746" s="1" t="n">
        <v>45934</v>
      </c>
      <c r="D746" t="inlineStr">
        <is>
          <t>UPPSALA LÄN</t>
        </is>
      </c>
      <c r="E746" t="inlineStr">
        <is>
          <t>UPPSALA</t>
        </is>
      </c>
      <c r="G746" t="n">
        <v>3.5</v>
      </c>
      <c r="H746" t="n">
        <v>0</v>
      </c>
      <c r="I746" t="n">
        <v>0</v>
      </c>
      <c r="J746" t="n">
        <v>0</v>
      </c>
      <c r="K746" t="n">
        <v>0</v>
      </c>
      <c r="L746" t="n">
        <v>0</v>
      </c>
      <c r="M746" t="n">
        <v>0</v>
      </c>
      <c r="N746" t="n">
        <v>0</v>
      </c>
      <c r="O746" t="n">
        <v>0</v>
      </c>
      <c r="P746" t="n">
        <v>0</v>
      </c>
      <c r="Q746" t="n">
        <v>0</v>
      </c>
      <c r="R746" s="2" t="inlineStr"/>
    </row>
    <row r="747" ht="15" customHeight="1">
      <c r="A747" t="inlineStr">
        <is>
          <t>A 54924-2024</t>
        </is>
      </c>
      <c r="B747" s="1" t="n">
        <v>45618.71140046296</v>
      </c>
      <c r="C747" s="1" t="n">
        <v>45934</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39007-2024</t>
        </is>
      </c>
      <c r="B748" s="1" t="n">
        <v>45548.42854166667</v>
      </c>
      <c r="C748" s="1" t="n">
        <v>45934</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45934</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46743-2024</t>
        </is>
      </c>
      <c r="B750" s="1" t="n">
        <v>45583.47836805556</v>
      </c>
      <c r="C750" s="1" t="n">
        <v>45934</v>
      </c>
      <c r="D750" t="inlineStr">
        <is>
          <t>UPPSALA LÄN</t>
        </is>
      </c>
      <c r="E750" t="inlineStr">
        <is>
          <t>UPPSALA</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66690-2021</t>
        </is>
      </c>
      <c r="B751" s="1" t="n">
        <v>44519.64902777778</v>
      </c>
      <c r="C751" s="1" t="n">
        <v>45934</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13602-2025</t>
        </is>
      </c>
      <c r="B752" s="1" t="n">
        <v>45736.60863425926</v>
      </c>
      <c r="C752" s="1" t="n">
        <v>45934</v>
      </c>
      <c r="D752" t="inlineStr">
        <is>
          <t>UPPSALA LÄN</t>
        </is>
      </c>
      <c r="E752" t="inlineStr">
        <is>
          <t>UPPSALA</t>
        </is>
      </c>
      <c r="F752" t="inlineStr">
        <is>
          <t>Allmännings- och besparingsskogar</t>
        </is>
      </c>
      <c r="G752" t="n">
        <v>9.5</v>
      </c>
      <c r="H752" t="n">
        <v>0</v>
      </c>
      <c r="I752" t="n">
        <v>0</v>
      </c>
      <c r="J752" t="n">
        <v>0</v>
      </c>
      <c r="K752" t="n">
        <v>0</v>
      </c>
      <c r="L752" t="n">
        <v>0</v>
      </c>
      <c r="M752" t="n">
        <v>0</v>
      </c>
      <c r="N752" t="n">
        <v>0</v>
      </c>
      <c r="O752" t="n">
        <v>0</v>
      </c>
      <c r="P752" t="n">
        <v>0</v>
      </c>
      <c r="Q752" t="n">
        <v>0</v>
      </c>
      <c r="R752" s="2" t="inlineStr"/>
    </row>
    <row r="753" ht="15" customHeight="1">
      <c r="A753" t="inlineStr">
        <is>
          <t>A 53379-2020</t>
        </is>
      </c>
      <c r="B753" s="1" t="n">
        <v>44123</v>
      </c>
      <c r="C753" s="1" t="n">
        <v>45934</v>
      </c>
      <c r="D753" t="inlineStr">
        <is>
          <t>UPPSALA LÄN</t>
        </is>
      </c>
      <c r="E753" t="inlineStr">
        <is>
          <t>UPPSALA</t>
        </is>
      </c>
      <c r="G753" t="n">
        <v>2.6</v>
      </c>
      <c r="H753" t="n">
        <v>0</v>
      </c>
      <c r="I753" t="n">
        <v>0</v>
      </c>
      <c r="J753" t="n">
        <v>0</v>
      </c>
      <c r="K753" t="n">
        <v>0</v>
      </c>
      <c r="L753" t="n">
        <v>0</v>
      </c>
      <c r="M753" t="n">
        <v>0</v>
      </c>
      <c r="N753" t="n">
        <v>0</v>
      </c>
      <c r="O753" t="n">
        <v>0</v>
      </c>
      <c r="P753" t="n">
        <v>0</v>
      </c>
      <c r="Q753" t="n">
        <v>0</v>
      </c>
      <c r="R753" s="2" t="inlineStr"/>
    </row>
    <row r="754" ht="15" customHeight="1">
      <c r="A754" t="inlineStr">
        <is>
          <t>A 7611-2023</t>
        </is>
      </c>
      <c r="B754" s="1" t="n">
        <v>44967</v>
      </c>
      <c r="C754" s="1" t="n">
        <v>45934</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26130-2025</t>
        </is>
      </c>
      <c r="B755" s="1" t="n">
        <v>45805.4094675926</v>
      </c>
      <c r="C755" s="1" t="n">
        <v>45934</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26139-2025</t>
        </is>
      </c>
      <c r="B756" s="1" t="n">
        <v>45805.41813657407</v>
      </c>
      <c r="C756" s="1" t="n">
        <v>45934</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26141-2025</t>
        </is>
      </c>
      <c r="B757" s="1" t="n">
        <v>45805.4255787037</v>
      </c>
      <c r="C757" s="1" t="n">
        <v>45934</v>
      </c>
      <c r="D757" t="inlineStr">
        <is>
          <t>UPPSALA LÄN</t>
        </is>
      </c>
      <c r="E757" t="inlineStr">
        <is>
          <t>UPPSALA</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733-2022</t>
        </is>
      </c>
      <c r="B758" s="1" t="n">
        <v>44568.67040509259</v>
      </c>
      <c r="C758" s="1" t="n">
        <v>45934</v>
      </c>
      <c r="D758" t="inlineStr">
        <is>
          <t>UPPSALA LÄN</t>
        </is>
      </c>
      <c r="E758" t="inlineStr">
        <is>
          <t>UPPSALA</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26155-2025</t>
        </is>
      </c>
      <c r="B759" s="1" t="n">
        <v>45805.43402777778</v>
      </c>
      <c r="C759" s="1" t="n">
        <v>45934</v>
      </c>
      <c r="D759" t="inlineStr">
        <is>
          <t>UPPSALA LÄN</t>
        </is>
      </c>
      <c r="E759" t="inlineStr">
        <is>
          <t>UPPSALA</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20087-2023</t>
        </is>
      </c>
      <c r="B760" s="1" t="n">
        <v>45054.9271875</v>
      </c>
      <c r="C760" s="1" t="n">
        <v>45934</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48588-2022</t>
        </is>
      </c>
      <c r="B761" s="1" t="n">
        <v>44859.36896990741</v>
      </c>
      <c r="C761" s="1" t="n">
        <v>45934</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26131-2025</t>
        </is>
      </c>
      <c r="B762" s="1" t="n">
        <v>45805.41010416667</v>
      </c>
      <c r="C762" s="1" t="n">
        <v>45934</v>
      </c>
      <c r="D762" t="inlineStr">
        <is>
          <t>UPPSALA LÄN</t>
        </is>
      </c>
      <c r="E762" t="inlineStr">
        <is>
          <t>UPPSALA</t>
        </is>
      </c>
      <c r="F762" t="inlineStr">
        <is>
          <t>Bergvik skog öst AB</t>
        </is>
      </c>
      <c r="G762" t="n">
        <v>3.8</v>
      </c>
      <c r="H762" t="n">
        <v>0</v>
      </c>
      <c r="I762" t="n">
        <v>0</v>
      </c>
      <c r="J762" t="n">
        <v>0</v>
      </c>
      <c r="K762" t="n">
        <v>0</v>
      </c>
      <c r="L762" t="n">
        <v>0</v>
      </c>
      <c r="M762" t="n">
        <v>0</v>
      </c>
      <c r="N762" t="n">
        <v>0</v>
      </c>
      <c r="O762" t="n">
        <v>0</v>
      </c>
      <c r="P762" t="n">
        <v>0</v>
      </c>
      <c r="Q762" t="n">
        <v>0</v>
      </c>
      <c r="R762" s="2" t="inlineStr"/>
    </row>
    <row r="763" ht="15" customHeight="1">
      <c r="A763" t="inlineStr">
        <is>
          <t>A 6971-2025</t>
        </is>
      </c>
      <c r="B763" s="1" t="n">
        <v>45693</v>
      </c>
      <c r="C763" s="1" t="n">
        <v>45934</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43032-2022</t>
        </is>
      </c>
      <c r="B764" s="1" t="n">
        <v>44832</v>
      </c>
      <c r="C764" s="1" t="n">
        <v>45934</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50669-2024</t>
        </is>
      </c>
      <c r="B765" s="1" t="n">
        <v>45601</v>
      </c>
      <c r="C765" s="1" t="n">
        <v>45934</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26740-2025</t>
        </is>
      </c>
      <c r="B766" s="1" t="n">
        <v>45809</v>
      </c>
      <c r="C766" s="1" t="n">
        <v>45934</v>
      </c>
      <c r="D766" t="inlineStr">
        <is>
          <t>UPPSALA LÄN</t>
        </is>
      </c>
      <c r="E766" t="inlineStr">
        <is>
          <t>UPPSALA</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49996-2023</t>
        </is>
      </c>
      <c r="B767" s="1" t="n">
        <v>45215.44233796297</v>
      </c>
      <c r="C767" s="1" t="n">
        <v>45934</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26697-2025</t>
        </is>
      </c>
      <c r="B768" s="1" t="n">
        <v>45810.44339120371</v>
      </c>
      <c r="C768" s="1" t="n">
        <v>45934</v>
      </c>
      <c r="D768" t="inlineStr">
        <is>
          <t>UPPSALA LÄN</t>
        </is>
      </c>
      <c r="E768" t="inlineStr">
        <is>
          <t>UPPSALA</t>
        </is>
      </c>
      <c r="F768" t="inlineStr">
        <is>
          <t>Bergvik skog öst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45934</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26738-2025</t>
        </is>
      </c>
      <c r="B770" s="1" t="n">
        <v>45809</v>
      </c>
      <c r="C770" s="1" t="n">
        <v>45934</v>
      </c>
      <c r="D770" t="inlineStr">
        <is>
          <t>UPPSALA LÄN</t>
        </is>
      </c>
      <c r="E770" t="inlineStr">
        <is>
          <t>UPPSALA</t>
        </is>
      </c>
      <c r="F770" t="inlineStr">
        <is>
          <t>Övriga Aktiebolag</t>
        </is>
      </c>
      <c r="G770" t="n">
        <v>2.2</v>
      </c>
      <c r="H770" t="n">
        <v>0</v>
      </c>
      <c r="I770" t="n">
        <v>0</v>
      </c>
      <c r="J770" t="n">
        <v>0</v>
      </c>
      <c r="K770" t="n">
        <v>0</v>
      </c>
      <c r="L770" t="n">
        <v>0</v>
      </c>
      <c r="M770" t="n">
        <v>0</v>
      </c>
      <c r="N770" t="n">
        <v>0</v>
      </c>
      <c r="O770" t="n">
        <v>0</v>
      </c>
      <c r="P770" t="n">
        <v>0</v>
      </c>
      <c r="Q770" t="n">
        <v>0</v>
      </c>
      <c r="R770" s="2" t="inlineStr"/>
    </row>
    <row r="771" ht="15" customHeight="1">
      <c r="A771" t="inlineStr">
        <is>
          <t>A 26739-2025</t>
        </is>
      </c>
      <c r="B771" s="1" t="n">
        <v>45809</v>
      </c>
      <c r="C771" s="1" t="n">
        <v>45934</v>
      </c>
      <c r="D771" t="inlineStr">
        <is>
          <t>UPPSALA LÄN</t>
        </is>
      </c>
      <c r="E771" t="inlineStr">
        <is>
          <t>UPPSALA</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45934</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32127-2024</t>
        </is>
      </c>
      <c r="B773" s="1" t="n">
        <v>45511</v>
      </c>
      <c r="C773" s="1" t="n">
        <v>45934</v>
      </c>
      <c r="D773" t="inlineStr">
        <is>
          <t>UPPSALA LÄN</t>
        </is>
      </c>
      <c r="E773" t="inlineStr">
        <is>
          <t>UPPSALA</t>
        </is>
      </c>
      <c r="G773" t="n">
        <v>3.7</v>
      </c>
      <c r="H773" t="n">
        <v>0</v>
      </c>
      <c r="I773" t="n">
        <v>0</v>
      </c>
      <c r="J773" t="n">
        <v>0</v>
      </c>
      <c r="K773" t="n">
        <v>0</v>
      </c>
      <c r="L773" t="n">
        <v>0</v>
      </c>
      <c r="M773" t="n">
        <v>0</v>
      </c>
      <c r="N773" t="n">
        <v>0</v>
      </c>
      <c r="O773" t="n">
        <v>0</v>
      </c>
      <c r="P773" t="n">
        <v>0</v>
      </c>
      <c r="Q773" t="n">
        <v>0</v>
      </c>
      <c r="R773" s="2" t="inlineStr"/>
    </row>
    <row r="774" ht="15" customHeight="1">
      <c r="A774" t="inlineStr">
        <is>
          <t>A 34509-2023</t>
        </is>
      </c>
      <c r="B774" s="1" t="n">
        <v>45133</v>
      </c>
      <c r="C774" s="1" t="n">
        <v>45934</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26696-2025</t>
        </is>
      </c>
      <c r="B775" s="1" t="n">
        <v>45810.44299768518</v>
      </c>
      <c r="C775" s="1" t="n">
        <v>45934</v>
      </c>
      <c r="D775" t="inlineStr">
        <is>
          <t>UPPSALA LÄN</t>
        </is>
      </c>
      <c r="E775" t="inlineStr">
        <is>
          <t>UPPSALA</t>
        </is>
      </c>
      <c r="F775" t="inlineStr">
        <is>
          <t>Bergvik skog öst AB</t>
        </is>
      </c>
      <c r="G775" t="n">
        <v>7.1</v>
      </c>
      <c r="H775" t="n">
        <v>0</v>
      </c>
      <c r="I775" t="n">
        <v>0</v>
      </c>
      <c r="J775" t="n">
        <v>0</v>
      </c>
      <c r="K775" t="n">
        <v>0</v>
      </c>
      <c r="L775" t="n">
        <v>0</v>
      </c>
      <c r="M775" t="n">
        <v>0</v>
      </c>
      <c r="N775" t="n">
        <v>0</v>
      </c>
      <c r="O775" t="n">
        <v>0</v>
      </c>
      <c r="P775" t="n">
        <v>0</v>
      </c>
      <c r="Q775" t="n">
        <v>0</v>
      </c>
      <c r="R775" s="2" t="inlineStr"/>
    </row>
    <row r="776" ht="15" customHeight="1">
      <c r="A776" t="inlineStr">
        <is>
          <t>A 33939-2024</t>
        </is>
      </c>
      <c r="B776" s="1" t="n">
        <v>45523</v>
      </c>
      <c r="C776" s="1" t="n">
        <v>45934</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13343-2022</t>
        </is>
      </c>
      <c r="B777" s="1" t="n">
        <v>44645.39157407408</v>
      </c>
      <c r="C777" s="1" t="n">
        <v>45934</v>
      </c>
      <c r="D777" t="inlineStr">
        <is>
          <t>UPPSALA LÄN</t>
        </is>
      </c>
      <c r="E777" t="inlineStr">
        <is>
          <t>UPPSALA</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11173-2024</t>
        </is>
      </c>
      <c r="B778" s="1" t="n">
        <v>45371.50738425926</v>
      </c>
      <c r="C778" s="1" t="n">
        <v>45934</v>
      </c>
      <c r="D778" t="inlineStr">
        <is>
          <t>UPPSALA LÄN</t>
        </is>
      </c>
      <c r="E778" t="inlineStr">
        <is>
          <t>UPPSALA</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27265-2025</t>
        </is>
      </c>
      <c r="B779" s="1" t="n">
        <v>45812.48032407407</v>
      </c>
      <c r="C779" s="1" t="n">
        <v>45934</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9242-2022</t>
        </is>
      </c>
      <c r="B780" s="1" t="n">
        <v>44616</v>
      </c>
      <c r="C780" s="1" t="n">
        <v>45934</v>
      </c>
      <c r="D780" t="inlineStr">
        <is>
          <t>UPPSALA LÄN</t>
        </is>
      </c>
      <c r="E780" t="inlineStr">
        <is>
          <t>UPPSALA</t>
        </is>
      </c>
      <c r="F780" t="inlineStr">
        <is>
          <t>Övriga Aktiebolag</t>
        </is>
      </c>
      <c r="G780" t="n">
        <v>5.9</v>
      </c>
      <c r="H780" t="n">
        <v>0</v>
      </c>
      <c r="I780" t="n">
        <v>0</v>
      </c>
      <c r="J780" t="n">
        <v>0</v>
      </c>
      <c r="K780" t="n">
        <v>0</v>
      </c>
      <c r="L780" t="n">
        <v>0</v>
      </c>
      <c r="M780" t="n">
        <v>0</v>
      </c>
      <c r="N780" t="n">
        <v>0</v>
      </c>
      <c r="O780" t="n">
        <v>0</v>
      </c>
      <c r="P780" t="n">
        <v>0</v>
      </c>
      <c r="Q780" t="n">
        <v>0</v>
      </c>
      <c r="R780" s="2" t="inlineStr"/>
    </row>
    <row r="781" ht="15" customHeight="1">
      <c r="A781" t="inlineStr">
        <is>
          <t>A 14907-2025</t>
        </is>
      </c>
      <c r="B781" s="1" t="n">
        <v>45743.50744212963</v>
      </c>
      <c r="C781" s="1" t="n">
        <v>45934</v>
      </c>
      <c r="D781" t="inlineStr">
        <is>
          <t>UPPSALA LÄN</t>
        </is>
      </c>
      <c r="E781" t="inlineStr">
        <is>
          <t>UPPSALA</t>
        </is>
      </c>
      <c r="G781" t="n">
        <v>7</v>
      </c>
      <c r="H781" t="n">
        <v>0</v>
      </c>
      <c r="I781" t="n">
        <v>0</v>
      </c>
      <c r="J781" t="n">
        <v>0</v>
      </c>
      <c r="K781" t="n">
        <v>0</v>
      </c>
      <c r="L781" t="n">
        <v>0</v>
      </c>
      <c r="M781" t="n">
        <v>0</v>
      </c>
      <c r="N781" t="n">
        <v>0</v>
      </c>
      <c r="O781" t="n">
        <v>0</v>
      </c>
      <c r="P781" t="n">
        <v>0</v>
      </c>
      <c r="Q781" t="n">
        <v>0</v>
      </c>
      <c r="R781" s="2" t="inlineStr"/>
    </row>
    <row r="782" ht="15" customHeight="1">
      <c r="A782" t="inlineStr">
        <is>
          <t>A 27538-2025</t>
        </is>
      </c>
      <c r="B782" s="1" t="n">
        <v>45813.46034722222</v>
      </c>
      <c r="C782" s="1" t="n">
        <v>45934</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27706-2025</t>
        </is>
      </c>
      <c r="B783" s="1" t="n">
        <v>45813</v>
      </c>
      <c r="C783" s="1" t="n">
        <v>45934</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18443-2023</t>
        </is>
      </c>
      <c r="B784" s="1" t="n">
        <v>45042</v>
      </c>
      <c r="C784" s="1" t="n">
        <v>45934</v>
      </c>
      <c r="D784" t="inlineStr">
        <is>
          <t>UPPSALA LÄN</t>
        </is>
      </c>
      <c r="E784" t="inlineStr">
        <is>
          <t>UPPSALA</t>
        </is>
      </c>
      <c r="G784" t="n">
        <v>0.4</v>
      </c>
      <c r="H784" t="n">
        <v>0</v>
      </c>
      <c r="I784" t="n">
        <v>0</v>
      </c>
      <c r="J784" t="n">
        <v>0</v>
      </c>
      <c r="K784" t="n">
        <v>0</v>
      </c>
      <c r="L784" t="n">
        <v>0</v>
      </c>
      <c r="M784" t="n">
        <v>0</v>
      </c>
      <c r="N784" t="n">
        <v>0</v>
      </c>
      <c r="O784" t="n">
        <v>0</v>
      </c>
      <c r="P784" t="n">
        <v>0</v>
      </c>
      <c r="Q784" t="n">
        <v>0</v>
      </c>
      <c r="R784" s="2" t="inlineStr"/>
    </row>
    <row r="785" ht="15" customHeight="1">
      <c r="A785" t="inlineStr">
        <is>
          <t>A 19017-2023</t>
        </is>
      </c>
      <c r="B785" s="1" t="n">
        <v>45047.31793981481</v>
      </c>
      <c r="C785" s="1" t="n">
        <v>45934</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10489-2025</t>
        </is>
      </c>
      <c r="B786" s="1" t="n">
        <v>45721.34715277778</v>
      </c>
      <c r="C786" s="1" t="n">
        <v>45934</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10674-2022</t>
        </is>
      </c>
      <c r="B787" s="1" t="n">
        <v>44624.64538194444</v>
      </c>
      <c r="C787" s="1" t="n">
        <v>45934</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27917-2025</t>
        </is>
      </c>
      <c r="B788" s="1" t="n">
        <v>45814</v>
      </c>
      <c r="C788" s="1" t="n">
        <v>45934</v>
      </c>
      <c r="D788" t="inlineStr">
        <is>
          <t>UPPSALA LÄN</t>
        </is>
      </c>
      <c r="E788" t="inlineStr">
        <is>
          <t>UPPSALA</t>
        </is>
      </c>
      <c r="G788" t="n">
        <v>4</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45934</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4509-2024</t>
        </is>
      </c>
      <c r="B790" s="1" t="n">
        <v>45327</v>
      </c>
      <c r="C790" s="1" t="n">
        <v>45934</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19513-2023</t>
        </is>
      </c>
      <c r="B791" s="1" t="n">
        <v>45050.49392361111</v>
      </c>
      <c r="C791" s="1" t="n">
        <v>45934</v>
      </c>
      <c r="D791" t="inlineStr">
        <is>
          <t>UPPSALA LÄN</t>
        </is>
      </c>
      <c r="E791" t="inlineStr">
        <is>
          <t>UPPSALA</t>
        </is>
      </c>
      <c r="G791" t="n">
        <v>6.6</v>
      </c>
      <c r="H791" t="n">
        <v>0</v>
      </c>
      <c r="I791" t="n">
        <v>0</v>
      </c>
      <c r="J791" t="n">
        <v>0</v>
      </c>
      <c r="K791" t="n">
        <v>0</v>
      </c>
      <c r="L791" t="n">
        <v>0</v>
      </c>
      <c r="M791" t="n">
        <v>0</v>
      </c>
      <c r="N791" t="n">
        <v>0</v>
      </c>
      <c r="O791" t="n">
        <v>0</v>
      </c>
      <c r="P791" t="n">
        <v>0</v>
      </c>
      <c r="Q791" t="n">
        <v>0</v>
      </c>
      <c r="R791" s="2" t="inlineStr"/>
    </row>
    <row r="792" ht="15" customHeight="1">
      <c r="A792" t="inlineStr">
        <is>
          <t>A 28275-2025</t>
        </is>
      </c>
      <c r="B792" s="1" t="n">
        <v>45818.57910879629</v>
      </c>
      <c r="C792" s="1" t="n">
        <v>45934</v>
      </c>
      <c r="D792" t="inlineStr">
        <is>
          <t>UPPSALA LÄN</t>
        </is>
      </c>
      <c r="E792" t="inlineStr">
        <is>
          <t>UPPSALA</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27922-2025</t>
        </is>
      </c>
      <c r="B793" s="1" t="n">
        <v>45817</v>
      </c>
      <c r="C793" s="1" t="n">
        <v>45934</v>
      </c>
      <c r="D793" t="inlineStr">
        <is>
          <t>UPPSALA LÄN</t>
        </is>
      </c>
      <c r="E793" t="inlineStr">
        <is>
          <t>UPPSALA</t>
        </is>
      </c>
      <c r="F793" t="inlineStr">
        <is>
          <t>Övriga Aktiebolag</t>
        </is>
      </c>
      <c r="G793" t="n">
        <v>0.1</v>
      </c>
      <c r="H793" t="n">
        <v>0</v>
      </c>
      <c r="I793" t="n">
        <v>0</v>
      </c>
      <c r="J793" t="n">
        <v>0</v>
      </c>
      <c r="K793" t="n">
        <v>0</v>
      </c>
      <c r="L793" t="n">
        <v>0</v>
      </c>
      <c r="M793" t="n">
        <v>0</v>
      </c>
      <c r="N793" t="n">
        <v>0</v>
      </c>
      <c r="O793" t="n">
        <v>0</v>
      </c>
      <c r="P793" t="n">
        <v>0</v>
      </c>
      <c r="Q793" t="n">
        <v>0</v>
      </c>
      <c r="R793" s="2" t="inlineStr"/>
    </row>
    <row r="794" ht="15" customHeight="1">
      <c r="A794" t="inlineStr">
        <is>
          <t>A 17788-2023</t>
        </is>
      </c>
      <c r="B794" s="1" t="n">
        <v>45037</v>
      </c>
      <c r="C794" s="1" t="n">
        <v>45934</v>
      </c>
      <c r="D794" t="inlineStr">
        <is>
          <t>UPPSALA LÄN</t>
        </is>
      </c>
      <c r="E794" t="inlineStr">
        <is>
          <t>UPPSALA</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28876-2025</t>
        </is>
      </c>
      <c r="B795" s="1" t="n">
        <v>45820</v>
      </c>
      <c r="C795" s="1" t="n">
        <v>45934</v>
      </c>
      <c r="D795" t="inlineStr">
        <is>
          <t>UPPSALA LÄN</t>
        </is>
      </c>
      <c r="E795" t="inlineStr">
        <is>
          <t>UPPSALA</t>
        </is>
      </c>
      <c r="G795" t="n">
        <v>4</v>
      </c>
      <c r="H795" t="n">
        <v>0</v>
      </c>
      <c r="I795" t="n">
        <v>0</v>
      </c>
      <c r="J795" t="n">
        <v>0</v>
      </c>
      <c r="K795" t="n">
        <v>0</v>
      </c>
      <c r="L795" t="n">
        <v>0</v>
      </c>
      <c r="M795" t="n">
        <v>0</v>
      </c>
      <c r="N795" t="n">
        <v>0</v>
      </c>
      <c r="O795" t="n">
        <v>0</v>
      </c>
      <c r="P795" t="n">
        <v>0</v>
      </c>
      <c r="Q795" t="n">
        <v>0</v>
      </c>
      <c r="R795" s="2" t="inlineStr"/>
    </row>
    <row r="796" ht="15" customHeight="1">
      <c r="A796" t="inlineStr">
        <is>
          <t>A 787-2024</t>
        </is>
      </c>
      <c r="B796" s="1" t="n">
        <v>45300</v>
      </c>
      <c r="C796" s="1" t="n">
        <v>45934</v>
      </c>
      <c r="D796" t="inlineStr">
        <is>
          <t>UPPSALA LÄN</t>
        </is>
      </c>
      <c r="E796" t="inlineStr">
        <is>
          <t>UPPSALA</t>
        </is>
      </c>
      <c r="G796" t="n">
        <v>3</v>
      </c>
      <c r="H796" t="n">
        <v>0</v>
      </c>
      <c r="I796" t="n">
        <v>0</v>
      </c>
      <c r="J796" t="n">
        <v>0</v>
      </c>
      <c r="K796" t="n">
        <v>0</v>
      </c>
      <c r="L796" t="n">
        <v>0</v>
      </c>
      <c r="M796" t="n">
        <v>0</v>
      </c>
      <c r="N796" t="n">
        <v>0</v>
      </c>
      <c r="O796" t="n">
        <v>0</v>
      </c>
      <c r="P796" t="n">
        <v>0</v>
      </c>
      <c r="Q796" t="n">
        <v>0</v>
      </c>
      <c r="R796" s="2" t="inlineStr"/>
    </row>
    <row r="797" ht="15" customHeight="1">
      <c r="A797" t="inlineStr">
        <is>
          <t>A 28871-2025</t>
        </is>
      </c>
      <c r="B797" s="1" t="n">
        <v>45820</v>
      </c>
      <c r="C797" s="1" t="n">
        <v>45934</v>
      </c>
      <c r="D797" t="inlineStr">
        <is>
          <t>UPPSALA LÄN</t>
        </is>
      </c>
      <c r="E797" t="inlineStr">
        <is>
          <t>UPPSALA</t>
        </is>
      </c>
      <c r="G797" t="n">
        <v>6.5</v>
      </c>
      <c r="H797" t="n">
        <v>0</v>
      </c>
      <c r="I797" t="n">
        <v>0</v>
      </c>
      <c r="J797" t="n">
        <v>0</v>
      </c>
      <c r="K797" t="n">
        <v>0</v>
      </c>
      <c r="L797" t="n">
        <v>0</v>
      </c>
      <c r="M797" t="n">
        <v>0</v>
      </c>
      <c r="N797" t="n">
        <v>0</v>
      </c>
      <c r="O797" t="n">
        <v>0</v>
      </c>
      <c r="P797" t="n">
        <v>0</v>
      </c>
      <c r="Q797" t="n">
        <v>0</v>
      </c>
      <c r="R797" s="2" t="inlineStr"/>
    </row>
    <row r="798" ht="15" customHeight="1">
      <c r="A798" t="inlineStr">
        <is>
          <t>A 28878-2025</t>
        </is>
      </c>
      <c r="B798" s="1" t="n">
        <v>45820</v>
      </c>
      <c r="C798" s="1" t="n">
        <v>45934</v>
      </c>
      <c r="D798" t="inlineStr">
        <is>
          <t>UPPSALA LÄN</t>
        </is>
      </c>
      <c r="E798" t="inlineStr">
        <is>
          <t>UPPSALA</t>
        </is>
      </c>
      <c r="G798" t="n">
        <v>5.5</v>
      </c>
      <c r="H798" t="n">
        <v>0</v>
      </c>
      <c r="I798" t="n">
        <v>0</v>
      </c>
      <c r="J798" t="n">
        <v>0</v>
      </c>
      <c r="K798" t="n">
        <v>0</v>
      </c>
      <c r="L798" t="n">
        <v>0</v>
      </c>
      <c r="M798" t="n">
        <v>0</v>
      </c>
      <c r="N798" t="n">
        <v>0</v>
      </c>
      <c r="O798" t="n">
        <v>0</v>
      </c>
      <c r="P798" t="n">
        <v>0</v>
      </c>
      <c r="Q798" t="n">
        <v>0</v>
      </c>
      <c r="R798" s="2" t="inlineStr"/>
    </row>
    <row r="799" ht="15" customHeight="1">
      <c r="A799" t="inlineStr">
        <is>
          <t>A 70031-2021</t>
        </is>
      </c>
      <c r="B799" s="1" t="n">
        <v>44533.46665509259</v>
      </c>
      <c r="C799" s="1" t="n">
        <v>45934</v>
      </c>
      <c r="D799" t="inlineStr">
        <is>
          <t>UPPSALA LÄN</t>
        </is>
      </c>
      <c r="E799" t="inlineStr">
        <is>
          <t>UPPSALA</t>
        </is>
      </c>
      <c r="G799" t="n">
        <v>1.4</v>
      </c>
      <c r="H799" t="n">
        <v>0</v>
      </c>
      <c r="I799" t="n">
        <v>0</v>
      </c>
      <c r="J799" t="n">
        <v>0</v>
      </c>
      <c r="K799" t="n">
        <v>0</v>
      </c>
      <c r="L799" t="n">
        <v>0</v>
      </c>
      <c r="M799" t="n">
        <v>0</v>
      </c>
      <c r="N799" t="n">
        <v>0</v>
      </c>
      <c r="O799" t="n">
        <v>0</v>
      </c>
      <c r="P799" t="n">
        <v>0</v>
      </c>
      <c r="Q799" t="n">
        <v>0</v>
      </c>
      <c r="R799" s="2" t="inlineStr"/>
    </row>
    <row r="800" ht="15" customHeight="1">
      <c r="A800" t="inlineStr">
        <is>
          <t>A 29030-2025</t>
        </is>
      </c>
      <c r="B800" s="1" t="n">
        <v>45821.44101851852</v>
      </c>
      <c r="C800" s="1" t="n">
        <v>45934</v>
      </c>
      <c r="D800" t="inlineStr">
        <is>
          <t>UPPSALA LÄN</t>
        </is>
      </c>
      <c r="E800" t="inlineStr">
        <is>
          <t>UPPSALA</t>
        </is>
      </c>
      <c r="G800" t="n">
        <v>3.9</v>
      </c>
      <c r="H800" t="n">
        <v>0</v>
      </c>
      <c r="I800" t="n">
        <v>0</v>
      </c>
      <c r="J800" t="n">
        <v>0</v>
      </c>
      <c r="K800" t="n">
        <v>0</v>
      </c>
      <c r="L800" t="n">
        <v>0</v>
      </c>
      <c r="M800" t="n">
        <v>0</v>
      </c>
      <c r="N800" t="n">
        <v>0</v>
      </c>
      <c r="O800" t="n">
        <v>0</v>
      </c>
      <c r="P800" t="n">
        <v>0</v>
      </c>
      <c r="Q800" t="n">
        <v>0</v>
      </c>
      <c r="R800" s="2" t="inlineStr"/>
    </row>
    <row r="801" ht="15" customHeight="1">
      <c r="A801" t="inlineStr">
        <is>
          <t>A 265-2021</t>
        </is>
      </c>
      <c r="B801" s="1" t="n">
        <v>44200</v>
      </c>
      <c r="C801" s="1" t="n">
        <v>45934</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38493-2023</t>
        </is>
      </c>
      <c r="B802" s="1" t="n">
        <v>45162</v>
      </c>
      <c r="C802" s="1" t="n">
        <v>45934</v>
      </c>
      <c r="D802" t="inlineStr">
        <is>
          <t>UPPSALA LÄN</t>
        </is>
      </c>
      <c r="E802" t="inlineStr">
        <is>
          <t>UPPSALA</t>
        </is>
      </c>
      <c r="F802" t="inlineStr">
        <is>
          <t>Allmännings- och besparingsskogar</t>
        </is>
      </c>
      <c r="G802" t="n">
        <v>3.5</v>
      </c>
      <c r="H802" t="n">
        <v>0</v>
      </c>
      <c r="I802" t="n">
        <v>0</v>
      </c>
      <c r="J802" t="n">
        <v>0</v>
      </c>
      <c r="K802" t="n">
        <v>0</v>
      </c>
      <c r="L802" t="n">
        <v>0</v>
      </c>
      <c r="M802" t="n">
        <v>0</v>
      </c>
      <c r="N802" t="n">
        <v>0</v>
      </c>
      <c r="O802" t="n">
        <v>0</v>
      </c>
      <c r="P802" t="n">
        <v>0</v>
      </c>
      <c r="Q802" t="n">
        <v>0</v>
      </c>
      <c r="R802" s="2" t="inlineStr"/>
    </row>
    <row r="803" ht="15" customHeight="1">
      <c r="A803" t="inlineStr">
        <is>
          <t>A 36782-2023</t>
        </is>
      </c>
      <c r="B803" s="1" t="n">
        <v>45154.35092592592</v>
      </c>
      <c r="C803" s="1" t="n">
        <v>45934</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6970-2025</t>
        </is>
      </c>
      <c r="B804" s="1" t="n">
        <v>45693</v>
      </c>
      <c r="C804" s="1" t="n">
        <v>45934</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5068-2025</t>
        </is>
      </c>
      <c r="B805" s="1" t="n">
        <v>45691</v>
      </c>
      <c r="C805" s="1" t="n">
        <v>45934</v>
      </c>
      <c r="D805" t="inlineStr">
        <is>
          <t>UPPSALA LÄN</t>
        </is>
      </c>
      <c r="E805" t="inlineStr">
        <is>
          <t>UPPSALA</t>
        </is>
      </c>
      <c r="G805" t="n">
        <v>5.9</v>
      </c>
      <c r="H805" t="n">
        <v>0</v>
      </c>
      <c r="I805" t="n">
        <v>0</v>
      </c>
      <c r="J805" t="n">
        <v>0</v>
      </c>
      <c r="K805" t="n">
        <v>0</v>
      </c>
      <c r="L805" t="n">
        <v>0</v>
      </c>
      <c r="M805" t="n">
        <v>0</v>
      </c>
      <c r="N805" t="n">
        <v>0</v>
      </c>
      <c r="O805" t="n">
        <v>0</v>
      </c>
      <c r="P805" t="n">
        <v>0</v>
      </c>
      <c r="Q805" t="n">
        <v>0</v>
      </c>
      <c r="R805" s="2" t="inlineStr"/>
    </row>
    <row r="806" ht="15" customHeight="1">
      <c r="A806" t="inlineStr">
        <is>
          <t>A 46635-2022</t>
        </is>
      </c>
      <c r="B806" s="1" t="n">
        <v>44849</v>
      </c>
      <c r="C806" s="1" t="n">
        <v>45934</v>
      </c>
      <c r="D806" t="inlineStr">
        <is>
          <t>UPPSALA LÄN</t>
        </is>
      </c>
      <c r="E806" t="inlineStr">
        <is>
          <t>UPPSALA</t>
        </is>
      </c>
      <c r="G806" t="n">
        <v>3.4</v>
      </c>
      <c r="H806" t="n">
        <v>0</v>
      </c>
      <c r="I806" t="n">
        <v>0</v>
      </c>
      <c r="J806" t="n">
        <v>0</v>
      </c>
      <c r="K806" t="n">
        <v>0</v>
      </c>
      <c r="L806" t="n">
        <v>0</v>
      </c>
      <c r="M806" t="n">
        <v>0</v>
      </c>
      <c r="N806" t="n">
        <v>0</v>
      </c>
      <c r="O806" t="n">
        <v>0</v>
      </c>
      <c r="P806" t="n">
        <v>0</v>
      </c>
      <c r="Q806" t="n">
        <v>0</v>
      </c>
      <c r="R806" s="2" t="inlineStr"/>
    </row>
    <row r="807" ht="15" customHeight="1">
      <c r="A807" t="inlineStr">
        <is>
          <t>A 2897-2025</t>
        </is>
      </c>
      <c r="B807" s="1" t="n">
        <v>45677</v>
      </c>
      <c r="C807" s="1" t="n">
        <v>45934</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45934</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17593-2025</t>
        </is>
      </c>
      <c r="B809" s="1" t="n">
        <v>45757.6997337963</v>
      </c>
      <c r="C809" s="1" t="n">
        <v>45934</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17596-2025</t>
        </is>
      </c>
      <c r="B810" s="1" t="n">
        <v>45757</v>
      </c>
      <c r="C810" s="1" t="n">
        <v>45934</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29627-2025</t>
        </is>
      </c>
      <c r="B811" s="1" t="n">
        <v>45825.44482638889</v>
      </c>
      <c r="C811" s="1" t="n">
        <v>45934</v>
      </c>
      <c r="D811" t="inlineStr">
        <is>
          <t>UPPSALA LÄN</t>
        </is>
      </c>
      <c r="E811" t="inlineStr">
        <is>
          <t>UPPSALA</t>
        </is>
      </c>
      <c r="F811" t="inlineStr">
        <is>
          <t>Kommuner</t>
        </is>
      </c>
      <c r="G811" t="n">
        <v>1.6</v>
      </c>
      <c r="H811" t="n">
        <v>0</v>
      </c>
      <c r="I811" t="n">
        <v>0</v>
      </c>
      <c r="J811" t="n">
        <v>0</v>
      </c>
      <c r="K811" t="n">
        <v>0</v>
      </c>
      <c r="L811" t="n">
        <v>0</v>
      </c>
      <c r="M811" t="n">
        <v>0</v>
      </c>
      <c r="N811" t="n">
        <v>0</v>
      </c>
      <c r="O811" t="n">
        <v>0</v>
      </c>
      <c r="P811" t="n">
        <v>0</v>
      </c>
      <c r="Q811" t="n">
        <v>0</v>
      </c>
      <c r="R811" s="2" t="inlineStr"/>
    </row>
    <row r="812" ht="15" customHeight="1">
      <c r="A812" t="inlineStr">
        <is>
          <t>A 29047-2025</t>
        </is>
      </c>
      <c r="B812" s="1" t="n">
        <v>45821.45905092593</v>
      </c>
      <c r="C812" s="1" t="n">
        <v>45934</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54512-2024</t>
        </is>
      </c>
      <c r="B813" s="1" t="n">
        <v>45617.59006944444</v>
      </c>
      <c r="C813" s="1" t="n">
        <v>45934</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8473-2023</t>
        </is>
      </c>
      <c r="B814" s="1" t="n">
        <v>44977</v>
      </c>
      <c r="C814" s="1" t="n">
        <v>45934</v>
      </c>
      <c r="D814" t="inlineStr">
        <is>
          <t>UPPSALA LÄN</t>
        </is>
      </c>
      <c r="E814" t="inlineStr">
        <is>
          <t>UPPSALA</t>
        </is>
      </c>
      <c r="F814" t="inlineStr">
        <is>
          <t>Holmen skog AB</t>
        </is>
      </c>
      <c r="G814" t="n">
        <v>3.6</v>
      </c>
      <c r="H814" t="n">
        <v>0</v>
      </c>
      <c r="I814" t="n">
        <v>0</v>
      </c>
      <c r="J814" t="n">
        <v>0</v>
      </c>
      <c r="K814" t="n">
        <v>0</v>
      </c>
      <c r="L814" t="n">
        <v>0</v>
      </c>
      <c r="M814" t="n">
        <v>0</v>
      </c>
      <c r="N814" t="n">
        <v>0</v>
      </c>
      <c r="O814" t="n">
        <v>0</v>
      </c>
      <c r="P814" t="n">
        <v>0</v>
      </c>
      <c r="Q814" t="n">
        <v>0</v>
      </c>
      <c r="R814" s="2" t="inlineStr"/>
    </row>
    <row r="815" ht="15" customHeight="1">
      <c r="A815" t="inlineStr">
        <is>
          <t>A 30437-2025</t>
        </is>
      </c>
      <c r="B815" s="1" t="n">
        <v>45827.64092592592</v>
      </c>
      <c r="C815" s="1" t="n">
        <v>45934</v>
      </c>
      <c r="D815" t="inlineStr">
        <is>
          <t>UPPSALA LÄN</t>
        </is>
      </c>
      <c r="E815" t="inlineStr">
        <is>
          <t>UPPSALA</t>
        </is>
      </c>
      <c r="G815" t="n">
        <v>3.6</v>
      </c>
      <c r="H815" t="n">
        <v>0</v>
      </c>
      <c r="I815" t="n">
        <v>0</v>
      </c>
      <c r="J815" t="n">
        <v>0</v>
      </c>
      <c r="K815" t="n">
        <v>0</v>
      </c>
      <c r="L815" t="n">
        <v>0</v>
      </c>
      <c r="M815" t="n">
        <v>0</v>
      </c>
      <c r="N815" t="n">
        <v>0</v>
      </c>
      <c r="O815" t="n">
        <v>0</v>
      </c>
      <c r="P815" t="n">
        <v>0</v>
      </c>
      <c r="Q815" t="n">
        <v>0</v>
      </c>
      <c r="R815" s="2" t="inlineStr"/>
    </row>
    <row r="816" ht="15" customHeight="1">
      <c r="A816" t="inlineStr">
        <is>
          <t>A 30282-2025</t>
        </is>
      </c>
      <c r="B816" s="1" t="n">
        <v>45827.46288194445</v>
      </c>
      <c r="C816" s="1" t="n">
        <v>45934</v>
      </c>
      <c r="D816" t="inlineStr">
        <is>
          <t>UPPSALA LÄN</t>
        </is>
      </c>
      <c r="E816" t="inlineStr">
        <is>
          <t>UPPSALA</t>
        </is>
      </c>
      <c r="F816" t="inlineStr">
        <is>
          <t>Holmen skog AB</t>
        </is>
      </c>
      <c r="G816" t="n">
        <v>3.5</v>
      </c>
      <c r="H816" t="n">
        <v>0</v>
      </c>
      <c r="I816" t="n">
        <v>0</v>
      </c>
      <c r="J816" t="n">
        <v>0</v>
      </c>
      <c r="K816" t="n">
        <v>0</v>
      </c>
      <c r="L816" t="n">
        <v>0</v>
      </c>
      <c r="M816" t="n">
        <v>0</v>
      </c>
      <c r="N816" t="n">
        <v>0</v>
      </c>
      <c r="O816" t="n">
        <v>0</v>
      </c>
      <c r="P816" t="n">
        <v>0</v>
      </c>
      <c r="Q816" t="n">
        <v>0</v>
      </c>
      <c r="R816" s="2" t="inlineStr"/>
    </row>
    <row r="817" ht="15" customHeight="1">
      <c r="A817" t="inlineStr">
        <is>
          <t>A 30429-2025</t>
        </is>
      </c>
      <c r="B817" s="1" t="n">
        <v>45827.62096064815</v>
      </c>
      <c r="C817" s="1" t="n">
        <v>45934</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30567-2025</t>
        </is>
      </c>
      <c r="B818" s="1" t="n">
        <v>45831.40671296296</v>
      </c>
      <c r="C818" s="1" t="n">
        <v>45934</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30838-2025</t>
        </is>
      </c>
      <c r="B819" s="1" t="n">
        <v>45831.72686342592</v>
      </c>
      <c r="C819" s="1" t="n">
        <v>45934</v>
      </c>
      <c r="D819" t="inlineStr">
        <is>
          <t>UPPSALA LÄN</t>
        </is>
      </c>
      <c r="E819" t="inlineStr">
        <is>
          <t>UPPSALA</t>
        </is>
      </c>
      <c r="F819" t="inlineStr">
        <is>
          <t>Kyrkan</t>
        </is>
      </c>
      <c r="G819" t="n">
        <v>2.2</v>
      </c>
      <c r="H819" t="n">
        <v>0</v>
      </c>
      <c r="I819" t="n">
        <v>0</v>
      </c>
      <c r="J819" t="n">
        <v>0</v>
      </c>
      <c r="K819" t="n">
        <v>0</v>
      </c>
      <c r="L819" t="n">
        <v>0</v>
      </c>
      <c r="M819" t="n">
        <v>0</v>
      </c>
      <c r="N819" t="n">
        <v>0</v>
      </c>
      <c r="O819" t="n">
        <v>0</v>
      </c>
      <c r="P819" t="n">
        <v>0</v>
      </c>
      <c r="Q819" t="n">
        <v>0</v>
      </c>
      <c r="R819" s="2" t="inlineStr"/>
    </row>
    <row r="820" ht="15" customHeight="1">
      <c r="A820" t="inlineStr">
        <is>
          <t>A 30839-2025</t>
        </is>
      </c>
      <c r="B820" s="1" t="n">
        <v>45831.73</v>
      </c>
      <c r="C820" s="1" t="n">
        <v>45934</v>
      </c>
      <c r="D820" t="inlineStr">
        <is>
          <t>UPPSALA LÄN</t>
        </is>
      </c>
      <c r="E820" t="inlineStr">
        <is>
          <t>UPPSALA</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30583-2025</t>
        </is>
      </c>
      <c r="B821" s="1" t="n">
        <v>45831.42365740741</v>
      </c>
      <c r="C821" s="1" t="n">
        <v>45934</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30585-2025</t>
        </is>
      </c>
      <c r="B822" s="1" t="n">
        <v>45831.42616898148</v>
      </c>
      <c r="C822" s="1" t="n">
        <v>45934</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11739-2023</t>
        </is>
      </c>
      <c r="B823" s="1" t="n">
        <v>44993</v>
      </c>
      <c r="C823" s="1" t="n">
        <v>45934</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30897-2025</t>
        </is>
      </c>
      <c r="B824" s="1" t="n">
        <v>45832.35545138889</v>
      </c>
      <c r="C824" s="1" t="n">
        <v>45934</v>
      </c>
      <c r="D824" t="inlineStr">
        <is>
          <t>UPPSALA LÄN</t>
        </is>
      </c>
      <c r="E824" t="inlineStr">
        <is>
          <t>UPPSALA</t>
        </is>
      </c>
      <c r="F824" t="inlineStr">
        <is>
          <t>Kyrkan</t>
        </is>
      </c>
      <c r="G824" t="n">
        <v>2.8</v>
      </c>
      <c r="H824" t="n">
        <v>0</v>
      </c>
      <c r="I824" t="n">
        <v>0</v>
      </c>
      <c r="J824" t="n">
        <v>0</v>
      </c>
      <c r="K824" t="n">
        <v>0</v>
      </c>
      <c r="L824" t="n">
        <v>0</v>
      </c>
      <c r="M824" t="n">
        <v>0</v>
      </c>
      <c r="N824" t="n">
        <v>0</v>
      </c>
      <c r="O824" t="n">
        <v>0</v>
      </c>
      <c r="P824" t="n">
        <v>0</v>
      </c>
      <c r="Q824" t="n">
        <v>0</v>
      </c>
      <c r="R824" s="2" t="inlineStr"/>
    </row>
    <row r="825" ht="15" customHeight="1">
      <c r="A825" t="inlineStr">
        <is>
          <t>A 30898-2025</t>
        </is>
      </c>
      <c r="B825" s="1" t="n">
        <v>45832.35590277778</v>
      </c>
      <c r="C825" s="1" t="n">
        <v>45934</v>
      </c>
      <c r="D825" t="inlineStr">
        <is>
          <t>UPPSALA LÄN</t>
        </is>
      </c>
      <c r="E825" t="inlineStr">
        <is>
          <t>UPPSALA</t>
        </is>
      </c>
      <c r="F825" t="inlineStr">
        <is>
          <t>Kyrkan</t>
        </is>
      </c>
      <c r="G825" t="n">
        <v>2.8</v>
      </c>
      <c r="H825" t="n">
        <v>0</v>
      </c>
      <c r="I825" t="n">
        <v>0</v>
      </c>
      <c r="J825" t="n">
        <v>0</v>
      </c>
      <c r="K825" t="n">
        <v>0</v>
      </c>
      <c r="L825" t="n">
        <v>0</v>
      </c>
      <c r="M825" t="n">
        <v>0</v>
      </c>
      <c r="N825" t="n">
        <v>0</v>
      </c>
      <c r="O825" t="n">
        <v>0</v>
      </c>
      <c r="P825" t="n">
        <v>0</v>
      </c>
      <c r="Q825" t="n">
        <v>0</v>
      </c>
      <c r="R825" s="2" t="inlineStr"/>
    </row>
    <row r="826" ht="15" customHeight="1">
      <c r="A826" t="inlineStr">
        <is>
          <t>A 21935-2023</t>
        </is>
      </c>
      <c r="B826" s="1" t="n">
        <v>45068.58563657408</v>
      </c>
      <c r="C826" s="1" t="n">
        <v>45934</v>
      </c>
      <c r="D826" t="inlineStr">
        <is>
          <t>UPPSALA LÄN</t>
        </is>
      </c>
      <c r="E826" t="inlineStr">
        <is>
          <t>UPPSALA</t>
        </is>
      </c>
      <c r="G826" t="n">
        <v>2.6</v>
      </c>
      <c r="H826" t="n">
        <v>0</v>
      </c>
      <c r="I826" t="n">
        <v>0</v>
      </c>
      <c r="J826" t="n">
        <v>0</v>
      </c>
      <c r="K826" t="n">
        <v>0</v>
      </c>
      <c r="L826" t="n">
        <v>0</v>
      </c>
      <c r="M826" t="n">
        <v>0</v>
      </c>
      <c r="N826" t="n">
        <v>0</v>
      </c>
      <c r="O826" t="n">
        <v>0</v>
      </c>
      <c r="P826" t="n">
        <v>0</v>
      </c>
      <c r="Q826" t="n">
        <v>0</v>
      </c>
      <c r="R826" s="2" t="inlineStr"/>
    </row>
    <row r="827" ht="15" customHeight="1">
      <c r="A827" t="inlineStr">
        <is>
          <t>A 367-2023</t>
        </is>
      </c>
      <c r="B827" s="1" t="n">
        <v>44929</v>
      </c>
      <c r="C827" s="1" t="n">
        <v>45934</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46069-2022</t>
        </is>
      </c>
      <c r="B828" s="1" t="n">
        <v>44847</v>
      </c>
      <c r="C828" s="1" t="n">
        <v>45934</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32252-2025</t>
        </is>
      </c>
      <c r="B829" s="1" t="n">
        <v>45835.62752314815</v>
      </c>
      <c r="C829" s="1" t="n">
        <v>45934</v>
      </c>
      <c r="D829" t="inlineStr">
        <is>
          <t>UPPSALA LÄN</t>
        </is>
      </c>
      <c r="E829" t="inlineStr">
        <is>
          <t>UPPSALA</t>
        </is>
      </c>
      <c r="F829" t="inlineStr">
        <is>
          <t>Kyrkan</t>
        </is>
      </c>
      <c r="G829" t="n">
        <v>3.8</v>
      </c>
      <c r="H829" t="n">
        <v>0</v>
      </c>
      <c r="I829" t="n">
        <v>0</v>
      </c>
      <c r="J829" t="n">
        <v>0</v>
      </c>
      <c r="K829" t="n">
        <v>0</v>
      </c>
      <c r="L829" t="n">
        <v>0</v>
      </c>
      <c r="M829" t="n">
        <v>0</v>
      </c>
      <c r="N829" t="n">
        <v>0</v>
      </c>
      <c r="O829" t="n">
        <v>0</v>
      </c>
      <c r="P829" t="n">
        <v>0</v>
      </c>
      <c r="Q829" t="n">
        <v>0</v>
      </c>
      <c r="R829" s="2" t="inlineStr"/>
    </row>
    <row r="830" ht="15" customHeight="1">
      <c r="A830" t="inlineStr">
        <is>
          <t>A 50463-2024</t>
        </is>
      </c>
      <c r="B830" s="1" t="n">
        <v>45601</v>
      </c>
      <c r="C830" s="1" t="n">
        <v>45934</v>
      </c>
      <c r="D830" t="inlineStr">
        <is>
          <t>UPPSALA LÄN</t>
        </is>
      </c>
      <c r="E830" t="inlineStr">
        <is>
          <t>UPPSALA</t>
        </is>
      </c>
      <c r="F830" t="inlineStr">
        <is>
          <t>Allmännings- och besparingsskogar</t>
        </is>
      </c>
      <c r="G830" t="n">
        <v>12.6</v>
      </c>
      <c r="H830" t="n">
        <v>0</v>
      </c>
      <c r="I830" t="n">
        <v>0</v>
      </c>
      <c r="J830" t="n">
        <v>0</v>
      </c>
      <c r="K830" t="n">
        <v>0</v>
      </c>
      <c r="L830" t="n">
        <v>0</v>
      </c>
      <c r="M830" t="n">
        <v>0</v>
      </c>
      <c r="N830" t="n">
        <v>0</v>
      </c>
      <c r="O830" t="n">
        <v>0</v>
      </c>
      <c r="P830" t="n">
        <v>0</v>
      </c>
      <c r="Q830" t="n">
        <v>0</v>
      </c>
      <c r="R830" s="2" t="inlineStr"/>
    </row>
    <row r="831" ht="15" customHeight="1">
      <c r="A831" t="inlineStr">
        <is>
          <t>A 72224-2021</t>
        </is>
      </c>
      <c r="B831" s="1" t="n">
        <v>44544</v>
      </c>
      <c r="C831" s="1" t="n">
        <v>45934</v>
      </c>
      <c r="D831" t="inlineStr">
        <is>
          <t>UPPSALA LÄN</t>
        </is>
      </c>
      <c r="E831" t="inlineStr">
        <is>
          <t>UPPSALA</t>
        </is>
      </c>
      <c r="G831" t="n">
        <v>2.5</v>
      </c>
      <c r="H831" t="n">
        <v>0</v>
      </c>
      <c r="I831" t="n">
        <v>0</v>
      </c>
      <c r="J831" t="n">
        <v>0</v>
      </c>
      <c r="K831" t="n">
        <v>0</v>
      </c>
      <c r="L831" t="n">
        <v>0</v>
      </c>
      <c r="M831" t="n">
        <v>0</v>
      </c>
      <c r="N831" t="n">
        <v>0</v>
      </c>
      <c r="O831" t="n">
        <v>0</v>
      </c>
      <c r="P831" t="n">
        <v>0</v>
      </c>
      <c r="Q831" t="n">
        <v>0</v>
      </c>
      <c r="R831" s="2" t="inlineStr"/>
    </row>
    <row r="832" ht="15" customHeight="1">
      <c r="A832" t="inlineStr">
        <is>
          <t>A 37626-2023</t>
        </is>
      </c>
      <c r="B832" s="1" t="n">
        <v>45159.45748842593</v>
      </c>
      <c r="C832" s="1" t="n">
        <v>45934</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28958-2025</t>
        </is>
      </c>
      <c r="B833" s="1" t="n">
        <v>45821.31292824074</v>
      </c>
      <c r="C833" s="1" t="n">
        <v>45934</v>
      </c>
      <c r="D833" t="inlineStr">
        <is>
          <t>UPPSALA LÄN</t>
        </is>
      </c>
      <c r="E833" t="inlineStr">
        <is>
          <t>UPPSALA</t>
        </is>
      </c>
      <c r="G833" t="n">
        <v>4.6</v>
      </c>
      <c r="H833" t="n">
        <v>0</v>
      </c>
      <c r="I833" t="n">
        <v>0</v>
      </c>
      <c r="J833" t="n">
        <v>0</v>
      </c>
      <c r="K833" t="n">
        <v>0</v>
      </c>
      <c r="L833" t="n">
        <v>0</v>
      </c>
      <c r="M833" t="n">
        <v>0</v>
      </c>
      <c r="N833" t="n">
        <v>0</v>
      </c>
      <c r="O833" t="n">
        <v>0</v>
      </c>
      <c r="P833" t="n">
        <v>0</v>
      </c>
      <c r="Q833" t="n">
        <v>0</v>
      </c>
      <c r="R833" s="2" t="inlineStr"/>
    </row>
    <row r="834" ht="15" customHeight="1">
      <c r="A834" t="inlineStr">
        <is>
          <t>A 56067-2024</t>
        </is>
      </c>
      <c r="B834" s="1" t="n">
        <v>45624</v>
      </c>
      <c r="C834" s="1" t="n">
        <v>45934</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32923-2025</t>
        </is>
      </c>
      <c r="B835" s="1" t="n">
        <v>45839</v>
      </c>
      <c r="C835" s="1" t="n">
        <v>45934</v>
      </c>
      <c r="D835" t="inlineStr">
        <is>
          <t>UPPSALA LÄN</t>
        </is>
      </c>
      <c r="E835" t="inlineStr">
        <is>
          <t>UPPSALA</t>
        </is>
      </c>
      <c r="G835" t="n">
        <v>5.1</v>
      </c>
      <c r="H835" t="n">
        <v>0</v>
      </c>
      <c r="I835" t="n">
        <v>0</v>
      </c>
      <c r="J835" t="n">
        <v>0</v>
      </c>
      <c r="K835" t="n">
        <v>0</v>
      </c>
      <c r="L835" t="n">
        <v>0</v>
      </c>
      <c r="M835" t="n">
        <v>0</v>
      </c>
      <c r="N835" t="n">
        <v>0</v>
      </c>
      <c r="O835" t="n">
        <v>0</v>
      </c>
      <c r="P835" t="n">
        <v>0</v>
      </c>
      <c r="Q835" t="n">
        <v>0</v>
      </c>
      <c r="R835" s="2" t="inlineStr"/>
    </row>
    <row r="836" ht="15" customHeight="1">
      <c r="A836" t="inlineStr">
        <is>
          <t>A 32711-2025</t>
        </is>
      </c>
      <c r="B836" s="1" t="n">
        <v>45839</v>
      </c>
      <c r="C836" s="1" t="n">
        <v>45934</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c r="U836">
        <f>HYPERLINK("https://klasma.github.io/Logging_0380/knärot/A 32711-2025 karta knärot.png", "A 32711-2025")</f>
        <v/>
      </c>
      <c r="V836">
        <f>HYPERLINK("https://klasma.github.io/Logging_0380/klagomål/A 32711-2025 FSC-klagomål.docx", "A 32711-2025")</f>
        <v/>
      </c>
      <c r="W836">
        <f>HYPERLINK("https://klasma.github.io/Logging_0380/klagomålsmail/A 32711-2025 FSC-klagomål mail.docx", "A 32711-2025")</f>
        <v/>
      </c>
      <c r="X836">
        <f>HYPERLINK("https://klasma.github.io/Logging_0380/tillsyn/A 32711-2025 tillsynsbegäran.docx", "A 32711-2025")</f>
        <v/>
      </c>
      <c r="Y836">
        <f>HYPERLINK("https://klasma.github.io/Logging_0380/tillsynsmail/A 32711-2025 tillsynsbegäran mail.docx", "A 32711-2025")</f>
        <v/>
      </c>
    </row>
    <row r="837" ht="15" customHeight="1">
      <c r="A837" t="inlineStr">
        <is>
          <t>A 33571-2025</t>
        </is>
      </c>
      <c r="B837" s="1" t="n">
        <v>45841.5847337963</v>
      </c>
      <c r="C837" s="1" t="n">
        <v>45934</v>
      </c>
      <c r="D837" t="inlineStr">
        <is>
          <t>UPPSALA LÄN</t>
        </is>
      </c>
      <c r="E837" t="inlineStr">
        <is>
          <t>UPPSALA</t>
        </is>
      </c>
      <c r="G837" t="n">
        <v>1.6</v>
      </c>
      <c r="H837" t="n">
        <v>0</v>
      </c>
      <c r="I837" t="n">
        <v>0</v>
      </c>
      <c r="J837" t="n">
        <v>0</v>
      </c>
      <c r="K837" t="n">
        <v>0</v>
      </c>
      <c r="L837" t="n">
        <v>0</v>
      </c>
      <c r="M837" t="n">
        <v>0</v>
      </c>
      <c r="N837" t="n">
        <v>0</v>
      </c>
      <c r="O837" t="n">
        <v>0</v>
      </c>
      <c r="P837" t="n">
        <v>0</v>
      </c>
      <c r="Q837" t="n">
        <v>0</v>
      </c>
      <c r="R837" s="2" t="inlineStr"/>
    </row>
    <row r="838" ht="15" customHeight="1">
      <c r="A838" t="inlineStr">
        <is>
          <t>A 55953-2020</t>
        </is>
      </c>
      <c r="B838" s="1" t="n">
        <v>44131</v>
      </c>
      <c r="C838" s="1" t="n">
        <v>45934</v>
      </c>
      <c r="D838" t="inlineStr">
        <is>
          <t>UPPSALA LÄN</t>
        </is>
      </c>
      <c r="E838" t="inlineStr">
        <is>
          <t>UPPSALA</t>
        </is>
      </c>
      <c r="F838" t="inlineStr">
        <is>
          <t>Allmännings- och besparingsskogar</t>
        </is>
      </c>
      <c r="G838" t="n">
        <v>74.40000000000001</v>
      </c>
      <c r="H838" t="n">
        <v>0</v>
      </c>
      <c r="I838" t="n">
        <v>0</v>
      </c>
      <c r="J838" t="n">
        <v>0</v>
      </c>
      <c r="K838" t="n">
        <v>0</v>
      </c>
      <c r="L838" t="n">
        <v>0</v>
      </c>
      <c r="M838" t="n">
        <v>0</v>
      </c>
      <c r="N838" t="n">
        <v>0</v>
      </c>
      <c r="O838" t="n">
        <v>0</v>
      </c>
      <c r="P838" t="n">
        <v>0</v>
      </c>
      <c r="Q838" t="n">
        <v>0</v>
      </c>
      <c r="R838" s="2" t="inlineStr"/>
    </row>
    <row r="839" ht="15" customHeight="1">
      <c r="A839" t="inlineStr">
        <is>
          <t>A 33261-2025</t>
        </is>
      </c>
      <c r="B839" s="1" t="n">
        <v>45840</v>
      </c>
      <c r="C839" s="1" t="n">
        <v>45934</v>
      </c>
      <c r="D839" t="inlineStr">
        <is>
          <t>UPPSALA LÄN</t>
        </is>
      </c>
      <c r="E839" t="inlineStr">
        <is>
          <t>UPPSALA</t>
        </is>
      </c>
      <c r="G839" t="n">
        <v>3.4</v>
      </c>
      <c r="H839" t="n">
        <v>0</v>
      </c>
      <c r="I839" t="n">
        <v>0</v>
      </c>
      <c r="J839" t="n">
        <v>0</v>
      </c>
      <c r="K839" t="n">
        <v>0</v>
      </c>
      <c r="L839" t="n">
        <v>0</v>
      </c>
      <c r="M839" t="n">
        <v>0</v>
      </c>
      <c r="N839" t="n">
        <v>0</v>
      </c>
      <c r="O839" t="n">
        <v>0</v>
      </c>
      <c r="P839" t="n">
        <v>0</v>
      </c>
      <c r="Q839" t="n">
        <v>0</v>
      </c>
      <c r="R839" s="2" t="inlineStr"/>
    </row>
    <row r="840" ht="15" customHeight="1">
      <c r="A840" t="inlineStr">
        <is>
          <t>A 33191-2023</t>
        </is>
      </c>
      <c r="B840" s="1" t="n">
        <v>45127</v>
      </c>
      <c r="C840" s="1" t="n">
        <v>45934</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50473-2023</t>
        </is>
      </c>
      <c r="B841" s="1" t="n">
        <v>45216</v>
      </c>
      <c r="C841" s="1" t="n">
        <v>45934</v>
      </c>
      <c r="D841" t="inlineStr">
        <is>
          <t>UPPSALA LÄN</t>
        </is>
      </c>
      <c r="E841" t="inlineStr">
        <is>
          <t>UPPSALA</t>
        </is>
      </c>
      <c r="F841" t="inlineStr">
        <is>
          <t>Allmännings- och besparingsskogar</t>
        </is>
      </c>
      <c r="G841" t="n">
        <v>7.6</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45934</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33272-2025</t>
        </is>
      </c>
      <c r="B843" s="1" t="n">
        <v>45840.68518518518</v>
      </c>
      <c r="C843" s="1" t="n">
        <v>45934</v>
      </c>
      <c r="D843" t="inlineStr">
        <is>
          <t>UPPSALA LÄN</t>
        </is>
      </c>
      <c r="E843" t="inlineStr">
        <is>
          <t>UPPSALA</t>
        </is>
      </c>
      <c r="G843" t="n">
        <v>4.7</v>
      </c>
      <c r="H843" t="n">
        <v>0</v>
      </c>
      <c r="I843" t="n">
        <v>0</v>
      </c>
      <c r="J843" t="n">
        <v>0</v>
      </c>
      <c r="K843" t="n">
        <v>0</v>
      </c>
      <c r="L843" t="n">
        <v>0</v>
      </c>
      <c r="M843" t="n">
        <v>0</v>
      </c>
      <c r="N843" t="n">
        <v>0</v>
      </c>
      <c r="O843" t="n">
        <v>0</v>
      </c>
      <c r="P843" t="n">
        <v>0</v>
      </c>
      <c r="Q843" t="n">
        <v>0</v>
      </c>
      <c r="R843" s="2" t="inlineStr"/>
    </row>
    <row r="844" ht="15" customHeight="1">
      <c r="A844" t="inlineStr">
        <is>
          <t>A 33964-2025</t>
        </is>
      </c>
      <c r="B844" s="1" t="n">
        <v>45842.74049768518</v>
      </c>
      <c r="C844" s="1" t="n">
        <v>45934</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36478-2023</t>
        </is>
      </c>
      <c r="B845" s="1" t="n">
        <v>45152</v>
      </c>
      <c r="C845" s="1" t="n">
        <v>45934</v>
      </c>
      <c r="D845" t="inlineStr">
        <is>
          <t>UPPSALA LÄN</t>
        </is>
      </c>
      <c r="E845" t="inlineStr">
        <is>
          <t>UPPSALA</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3314-2025</t>
        </is>
      </c>
      <c r="B846" s="1" t="n">
        <v>45679</v>
      </c>
      <c r="C846" s="1" t="n">
        <v>45934</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53365-2024</t>
        </is>
      </c>
      <c r="B847" s="1" t="n">
        <v>45614</v>
      </c>
      <c r="C847" s="1" t="n">
        <v>45934</v>
      </c>
      <c r="D847" t="inlineStr">
        <is>
          <t>UPPSALA LÄN</t>
        </is>
      </c>
      <c r="E847" t="inlineStr">
        <is>
          <t>UPPSALA</t>
        </is>
      </c>
      <c r="F847" t="inlineStr">
        <is>
          <t>Allmännings- och besparingsskogar</t>
        </is>
      </c>
      <c r="G847" t="n">
        <v>6.6</v>
      </c>
      <c r="H847" t="n">
        <v>0</v>
      </c>
      <c r="I847" t="n">
        <v>0</v>
      </c>
      <c r="J847" t="n">
        <v>0</v>
      </c>
      <c r="K847" t="n">
        <v>0</v>
      </c>
      <c r="L847" t="n">
        <v>0</v>
      </c>
      <c r="M847" t="n">
        <v>0</v>
      </c>
      <c r="N847" t="n">
        <v>0</v>
      </c>
      <c r="O847" t="n">
        <v>0</v>
      </c>
      <c r="P847" t="n">
        <v>0</v>
      </c>
      <c r="Q847" t="n">
        <v>0</v>
      </c>
      <c r="R847" s="2" t="inlineStr"/>
    </row>
    <row r="848" ht="15" customHeight="1">
      <c r="A848" t="inlineStr">
        <is>
          <t>A 18625-2025</t>
        </is>
      </c>
      <c r="B848" s="1" t="n">
        <v>45763.52744212963</v>
      </c>
      <c r="C848" s="1" t="n">
        <v>45934</v>
      </c>
      <c r="D848" t="inlineStr">
        <is>
          <t>UPPSALA LÄN</t>
        </is>
      </c>
      <c r="E848" t="inlineStr">
        <is>
          <t>UPPSALA</t>
        </is>
      </c>
      <c r="G848" t="n">
        <v>1.8</v>
      </c>
      <c r="H848" t="n">
        <v>0</v>
      </c>
      <c r="I848" t="n">
        <v>0</v>
      </c>
      <c r="J848" t="n">
        <v>0</v>
      </c>
      <c r="K848" t="n">
        <v>0</v>
      </c>
      <c r="L848" t="n">
        <v>0</v>
      </c>
      <c r="M848" t="n">
        <v>0</v>
      </c>
      <c r="N848" t="n">
        <v>0</v>
      </c>
      <c r="O848" t="n">
        <v>0</v>
      </c>
      <c r="P848" t="n">
        <v>0</v>
      </c>
      <c r="Q848" t="n">
        <v>0</v>
      </c>
      <c r="R848" s="2" t="inlineStr"/>
    </row>
    <row r="849" ht="15" customHeight="1">
      <c r="A849" t="inlineStr">
        <is>
          <t>A 35142-2023</t>
        </is>
      </c>
      <c r="B849" s="1" t="n">
        <v>45145</v>
      </c>
      <c r="C849" s="1" t="n">
        <v>45934</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58070-2020</t>
        </is>
      </c>
      <c r="B850" s="1" t="n">
        <v>44140</v>
      </c>
      <c r="C850" s="1" t="n">
        <v>45934</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73531-2021</t>
        </is>
      </c>
      <c r="B851" s="1" t="n">
        <v>44551.76711805556</v>
      </c>
      <c r="C851" s="1" t="n">
        <v>45934</v>
      </c>
      <c r="D851" t="inlineStr">
        <is>
          <t>UPPSALA LÄN</t>
        </is>
      </c>
      <c r="E851" t="inlineStr">
        <is>
          <t>UPPSALA</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54783-2023</t>
        </is>
      </c>
      <c r="B852" s="1" t="n">
        <v>45236.47697916667</v>
      </c>
      <c r="C852" s="1" t="n">
        <v>45934</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6677-2024</t>
        </is>
      </c>
      <c r="B853" s="1" t="n">
        <v>45341</v>
      </c>
      <c r="C853" s="1" t="n">
        <v>45934</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34132-2025</t>
        </is>
      </c>
      <c r="B854" s="1" t="n">
        <v>45845.53202546296</v>
      </c>
      <c r="C854" s="1" t="n">
        <v>45934</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13526-2023</t>
        </is>
      </c>
      <c r="B855" s="1" t="n">
        <v>45006</v>
      </c>
      <c r="C855" s="1" t="n">
        <v>45934</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47221-2023</t>
        </is>
      </c>
      <c r="B856" s="1" t="n">
        <v>45202</v>
      </c>
      <c r="C856" s="1" t="n">
        <v>45934</v>
      </c>
      <c r="D856" t="inlineStr">
        <is>
          <t>UPPSALA LÄN</t>
        </is>
      </c>
      <c r="E856" t="inlineStr">
        <is>
          <t>UPPSALA</t>
        </is>
      </c>
      <c r="G856" t="n">
        <v>8.6</v>
      </c>
      <c r="H856" t="n">
        <v>0</v>
      </c>
      <c r="I856" t="n">
        <v>0</v>
      </c>
      <c r="J856" t="n">
        <v>0</v>
      </c>
      <c r="K856" t="n">
        <v>0</v>
      </c>
      <c r="L856" t="n">
        <v>0</v>
      </c>
      <c r="M856" t="n">
        <v>0</v>
      </c>
      <c r="N856" t="n">
        <v>0</v>
      </c>
      <c r="O856" t="n">
        <v>0</v>
      </c>
      <c r="P856" t="n">
        <v>0</v>
      </c>
      <c r="Q856" t="n">
        <v>0</v>
      </c>
      <c r="R856" s="2" t="inlineStr"/>
    </row>
    <row r="857" ht="15" customHeight="1">
      <c r="A857" t="inlineStr">
        <is>
          <t>A 27442-2024</t>
        </is>
      </c>
      <c r="B857" s="1" t="n">
        <v>45474.41729166666</v>
      </c>
      <c r="C857" s="1" t="n">
        <v>45934</v>
      </c>
      <c r="D857" t="inlineStr">
        <is>
          <t>UPPSALA LÄN</t>
        </is>
      </c>
      <c r="E857" t="inlineStr">
        <is>
          <t>UPPSALA</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45934</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66983-2021</t>
        </is>
      </c>
      <c r="B859" s="1" t="n">
        <v>44522</v>
      </c>
      <c r="C859" s="1" t="n">
        <v>45934</v>
      </c>
      <c r="D859" t="inlineStr">
        <is>
          <t>UPPSALA LÄN</t>
        </is>
      </c>
      <c r="E859" t="inlineStr">
        <is>
          <t>UPPSALA</t>
        </is>
      </c>
      <c r="G859" t="n">
        <v>2.5</v>
      </c>
      <c r="H859" t="n">
        <v>0</v>
      </c>
      <c r="I859" t="n">
        <v>0</v>
      </c>
      <c r="J859" t="n">
        <v>0</v>
      </c>
      <c r="K859" t="n">
        <v>0</v>
      </c>
      <c r="L859" t="n">
        <v>0</v>
      </c>
      <c r="M859" t="n">
        <v>0</v>
      </c>
      <c r="N859" t="n">
        <v>0</v>
      </c>
      <c r="O859" t="n">
        <v>0</v>
      </c>
      <c r="P859" t="n">
        <v>0</v>
      </c>
      <c r="Q859" t="n">
        <v>0</v>
      </c>
      <c r="R859" s="2" t="inlineStr"/>
    </row>
    <row r="860" ht="15" customHeight="1">
      <c r="A860" t="inlineStr">
        <is>
          <t>A 5028-2022</t>
        </is>
      </c>
      <c r="B860" s="1" t="n">
        <v>44593.64863425926</v>
      </c>
      <c r="C860" s="1" t="n">
        <v>45934</v>
      </c>
      <c r="D860" t="inlineStr">
        <is>
          <t>UPPSALA LÄN</t>
        </is>
      </c>
      <c r="E860" t="inlineStr">
        <is>
          <t>UPPSALA</t>
        </is>
      </c>
      <c r="F860" t="inlineStr">
        <is>
          <t>Holmen skog AB</t>
        </is>
      </c>
      <c r="G860" t="n">
        <v>1.6</v>
      </c>
      <c r="H860" t="n">
        <v>0</v>
      </c>
      <c r="I860" t="n">
        <v>0</v>
      </c>
      <c r="J860" t="n">
        <v>0</v>
      </c>
      <c r="K860" t="n">
        <v>0</v>
      </c>
      <c r="L860" t="n">
        <v>0</v>
      </c>
      <c r="M860" t="n">
        <v>0</v>
      </c>
      <c r="N860" t="n">
        <v>0</v>
      </c>
      <c r="O860" t="n">
        <v>0</v>
      </c>
      <c r="P860" t="n">
        <v>0</v>
      </c>
      <c r="Q860" t="n">
        <v>0</v>
      </c>
      <c r="R860" s="2" t="inlineStr"/>
    </row>
    <row r="861" ht="15" customHeight="1">
      <c r="A861" t="inlineStr">
        <is>
          <t>A 34893-2025</t>
        </is>
      </c>
      <c r="B861" s="1" t="n">
        <v>45849.49259259259</v>
      </c>
      <c r="C861" s="1" t="n">
        <v>45934</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60820-2024</t>
        </is>
      </c>
      <c r="B862" s="1" t="n">
        <v>45644.62677083333</v>
      </c>
      <c r="C862" s="1" t="n">
        <v>45934</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35056-2025</t>
        </is>
      </c>
      <c r="B863" s="1" t="n">
        <v>45852.39642361111</v>
      </c>
      <c r="C863" s="1" t="n">
        <v>45934</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18675-2024</t>
        </is>
      </c>
      <c r="B864" s="1" t="n">
        <v>45426</v>
      </c>
      <c r="C864" s="1" t="n">
        <v>45934</v>
      </c>
      <c r="D864" t="inlineStr">
        <is>
          <t>UPPSALA LÄN</t>
        </is>
      </c>
      <c r="E864" t="inlineStr">
        <is>
          <t>UPPSALA</t>
        </is>
      </c>
      <c r="G864" t="n">
        <v>8.1</v>
      </c>
      <c r="H864" t="n">
        <v>0</v>
      </c>
      <c r="I864" t="n">
        <v>0</v>
      </c>
      <c r="J864" t="n">
        <v>0</v>
      </c>
      <c r="K864" t="n">
        <v>0</v>
      </c>
      <c r="L864" t="n">
        <v>0</v>
      </c>
      <c r="M864" t="n">
        <v>0</v>
      </c>
      <c r="N864" t="n">
        <v>0</v>
      </c>
      <c r="O864" t="n">
        <v>0</v>
      </c>
      <c r="P864" t="n">
        <v>0</v>
      </c>
      <c r="Q864" t="n">
        <v>0</v>
      </c>
      <c r="R864" s="2" t="inlineStr"/>
    </row>
    <row r="865" ht="15" customHeight="1">
      <c r="A865" t="inlineStr">
        <is>
          <t>A 36479-2023</t>
        </is>
      </c>
      <c r="B865" s="1" t="n">
        <v>45152</v>
      </c>
      <c r="C865" s="1" t="n">
        <v>45934</v>
      </c>
      <c r="D865" t="inlineStr">
        <is>
          <t>UPPSALA LÄN</t>
        </is>
      </c>
      <c r="E865" t="inlineStr">
        <is>
          <t>UPPSALA</t>
        </is>
      </c>
      <c r="F865" t="inlineStr">
        <is>
          <t>Allmännings- och besparingsskogar</t>
        </is>
      </c>
      <c r="G865" t="n">
        <v>3.4</v>
      </c>
      <c r="H865" t="n">
        <v>0</v>
      </c>
      <c r="I865" t="n">
        <v>0</v>
      </c>
      <c r="J865" t="n">
        <v>0</v>
      </c>
      <c r="K865" t="n">
        <v>0</v>
      </c>
      <c r="L865" t="n">
        <v>0</v>
      </c>
      <c r="M865" t="n">
        <v>0</v>
      </c>
      <c r="N865" t="n">
        <v>0</v>
      </c>
      <c r="O865" t="n">
        <v>0</v>
      </c>
      <c r="P865" t="n">
        <v>0</v>
      </c>
      <c r="Q865" t="n">
        <v>0</v>
      </c>
      <c r="R865" s="2" t="inlineStr"/>
    </row>
    <row r="866" ht="15" customHeight="1">
      <c r="A866" t="inlineStr">
        <is>
          <t>A 600-2024</t>
        </is>
      </c>
      <c r="B866" s="1" t="n">
        <v>45299</v>
      </c>
      <c r="C866" s="1" t="n">
        <v>45934</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35167-2025</t>
        </is>
      </c>
      <c r="B867" s="1" t="n">
        <v>45852.72965277778</v>
      </c>
      <c r="C867" s="1" t="n">
        <v>45934</v>
      </c>
      <c r="D867" t="inlineStr">
        <is>
          <t>UPPSALA LÄN</t>
        </is>
      </c>
      <c r="E867" t="inlineStr">
        <is>
          <t>UPPSALA</t>
        </is>
      </c>
      <c r="F867" t="inlineStr">
        <is>
          <t>Holmen skog AB</t>
        </is>
      </c>
      <c r="G867" t="n">
        <v>10</v>
      </c>
      <c r="H867" t="n">
        <v>0</v>
      </c>
      <c r="I867" t="n">
        <v>0</v>
      </c>
      <c r="J867" t="n">
        <v>0</v>
      </c>
      <c r="K867" t="n">
        <v>0</v>
      </c>
      <c r="L867" t="n">
        <v>0</v>
      </c>
      <c r="M867" t="n">
        <v>0</v>
      </c>
      <c r="N867" t="n">
        <v>0</v>
      </c>
      <c r="O867" t="n">
        <v>0</v>
      </c>
      <c r="P867" t="n">
        <v>0</v>
      </c>
      <c r="Q867" t="n">
        <v>0</v>
      </c>
      <c r="R867" s="2" t="inlineStr"/>
    </row>
    <row r="868" ht="15" customHeight="1">
      <c r="A868" t="inlineStr">
        <is>
          <t>A 35150-2025</t>
        </is>
      </c>
      <c r="B868" s="1" t="n">
        <v>45852</v>
      </c>
      <c r="C868" s="1" t="n">
        <v>45934</v>
      </c>
      <c r="D868" t="inlineStr">
        <is>
          <t>UPPSALA LÄN</t>
        </is>
      </c>
      <c r="E868" t="inlineStr">
        <is>
          <t>UPPSALA</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54742-2020</t>
        </is>
      </c>
      <c r="B869" s="1" t="n">
        <v>44126</v>
      </c>
      <c r="C869" s="1" t="n">
        <v>45934</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37819-2021</t>
        </is>
      </c>
      <c r="B870" s="1" t="n">
        <v>44403.29719907408</v>
      </c>
      <c r="C870" s="1" t="n">
        <v>45934</v>
      </c>
      <c r="D870" t="inlineStr">
        <is>
          <t>UPPSALA LÄN</t>
        </is>
      </c>
      <c r="E870" t="inlineStr">
        <is>
          <t>UPPSALA</t>
        </is>
      </c>
      <c r="F870" t="inlineStr">
        <is>
          <t>Bergvik skog öst AB</t>
        </is>
      </c>
      <c r="G870" t="n">
        <v>1.1</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45934</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35155-2025</t>
        </is>
      </c>
      <c r="B872" s="1" t="n">
        <v>45852.68978009259</v>
      </c>
      <c r="C872" s="1" t="n">
        <v>45934</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35148-2025</t>
        </is>
      </c>
      <c r="B873" s="1" t="n">
        <v>45852.67366898148</v>
      </c>
      <c r="C873" s="1" t="n">
        <v>45934</v>
      </c>
      <c r="D873" t="inlineStr">
        <is>
          <t>UPPSALA LÄN</t>
        </is>
      </c>
      <c r="E873" t="inlineStr">
        <is>
          <t>UPPSALA</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35053-2025</t>
        </is>
      </c>
      <c r="B874" s="1" t="n">
        <v>45852.36871527778</v>
      </c>
      <c r="C874" s="1" t="n">
        <v>45934</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60003-2024</t>
        </is>
      </c>
      <c r="B875" s="1" t="n">
        <v>45642</v>
      </c>
      <c r="C875" s="1" t="n">
        <v>45934</v>
      </c>
      <c r="D875" t="inlineStr">
        <is>
          <t>UPPSALA LÄN</t>
        </is>
      </c>
      <c r="E875" t="inlineStr">
        <is>
          <t>UPPSALA</t>
        </is>
      </c>
      <c r="F875" t="inlineStr">
        <is>
          <t>Bergvik skog väst AB</t>
        </is>
      </c>
      <c r="G875" t="n">
        <v>14.5</v>
      </c>
      <c r="H875" t="n">
        <v>0</v>
      </c>
      <c r="I875" t="n">
        <v>0</v>
      </c>
      <c r="J875" t="n">
        <v>0</v>
      </c>
      <c r="K875" t="n">
        <v>0</v>
      </c>
      <c r="L875" t="n">
        <v>0</v>
      </c>
      <c r="M875" t="n">
        <v>0</v>
      </c>
      <c r="N875" t="n">
        <v>0</v>
      </c>
      <c r="O875" t="n">
        <v>0</v>
      </c>
      <c r="P875" t="n">
        <v>0</v>
      </c>
      <c r="Q875" t="n">
        <v>0</v>
      </c>
      <c r="R875" s="2" t="inlineStr"/>
    </row>
    <row r="876" ht="15" customHeight="1">
      <c r="A876" t="inlineStr">
        <is>
          <t>A 1838-2024</t>
        </is>
      </c>
      <c r="B876" s="1" t="n">
        <v>45307</v>
      </c>
      <c r="C876" s="1" t="n">
        <v>45934</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8109-2024</t>
        </is>
      </c>
      <c r="B877" s="1" t="n">
        <v>45351.48662037037</v>
      </c>
      <c r="C877" s="1" t="n">
        <v>45934</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35014-2025</t>
        </is>
      </c>
      <c r="B878" s="1" t="n">
        <v>45851.60097222222</v>
      </c>
      <c r="C878" s="1" t="n">
        <v>45934</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11201-2024</t>
        </is>
      </c>
      <c r="B879" s="1" t="n">
        <v>45371</v>
      </c>
      <c r="C879" s="1" t="n">
        <v>45934</v>
      </c>
      <c r="D879" t="inlineStr">
        <is>
          <t>UPPSALA LÄN</t>
        </is>
      </c>
      <c r="E879" t="inlineStr">
        <is>
          <t>UPPSALA</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40639-2025</t>
        </is>
      </c>
      <c r="B880" s="1" t="n">
        <v>45896.61050925926</v>
      </c>
      <c r="C880" s="1" t="n">
        <v>45934</v>
      </c>
      <c r="D880" t="inlineStr">
        <is>
          <t>UPPSALA LÄN</t>
        </is>
      </c>
      <c r="E880" t="inlineStr">
        <is>
          <t>UPPSALA</t>
        </is>
      </c>
      <c r="G880" t="n">
        <v>6.9</v>
      </c>
      <c r="H880" t="n">
        <v>0</v>
      </c>
      <c r="I880" t="n">
        <v>0</v>
      </c>
      <c r="J880" t="n">
        <v>0</v>
      </c>
      <c r="K880" t="n">
        <v>0</v>
      </c>
      <c r="L880" t="n">
        <v>0</v>
      </c>
      <c r="M880" t="n">
        <v>0</v>
      </c>
      <c r="N880" t="n">
        <v>0</v>
      </c>
      <c r="O880" t="n">
        <v>0</v>
      </c>
      <c r="P880" t="n">
        <v>0</v>
      </c>
      <c r="Q880" t="n">
        <v>0</v>
      </c>
      <c r="R880" s="2" t="inlineStr"/>
    </row>
    <row r="881" ht="15" customHeight="1">
      <c r="A881" t="inlineStr">
        <is>
          <t>A 40501-2025</t>
        </is>
      </c>
      <c r="B881" s="1" t="n">
        <v>45896</v>
      </c>
      <c r="C881" s="1" t="n">
        <v>45934</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40504-2025</t>
        </is>
      </c>
      <c r="B882" s="1" t="n">
        <v>45896</v>
      </c>
      <c r="C882" s="1" t="n">
        <v>45934</v>
      </c>
      <c r="D882" t="inlineStr">
        <is>
          <t>UPPSALA LÄN</t>
        </is>
      </c>
      <c r="E882" t="inlineStr">
        <is>
          <t>UPPSALA</t>
        </is>
      </c>
      <c r="G882" t="n">
        <v>4.4</v>
      </c>
      <c r="H882" t="n">
        <v>0</v>
      </c>
      <c r="I882" t="n">
        <v>0</v>
      </c>
      <c r="J882" t="n">
        <v>0</v>
      </c>
      <c r="K882" t="n">
        <v>0</v>
      </c>
      <c r="L882" t="n">
        <v>0</v>
      </c>
      <c r="M882" t="n">
        <v>0</v>
      </c>
      <c r="N882" t="n">
        <v>0</v>
      </c>
      <c r="O882" t="n">
        <v>0</v>
      </c>
      <c r="P882" t="n">
        <v>0</v>
      </c>
      <c r="Q882" t="n">
        <v>0</v>
      </c>
      <c r="R882" s="2" t="inlineStr"/>
    </row>
    <row r="883" ht="15" customHeight="1">
      <c r="A883" t="inlineStr">
        <is>
          <t>A 29145-2021</t>
        </is>
      </c>
      <c r="B883" s="1" t="n">
        <v>44358.63490740741</v>
      </c>
      <c r="C883" s="1" t="n">
        <v>45934</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59719-2022</t>
        </is>
      </c>
      <c r="B884" s="1" t="n">
        <v>44908.425625</v>
      </c>
      <c r="C884" s="1" t="n">
        <v>45934</v>
      </c>
      <c r="D884" t="inlineStr">
        <is>
          <t>UPPSALA LÄN</t>
        </is>
      </c>
      <c r="E884" t="inlineStr">
        <is>
          <t>UPPSALA</t>
        </is>
      </c>
      <c r="G884" t="n">
        <v>3.6</v>
      </c>
      <c r="H884" t="n">
        <v>0</v>
      </c>
      <c r="I884" t="n">
        <v>0</v>
      </c>
      <c r="J884" t="n">
        <v>0</v>
      </c>
      <c r="K884" t="n">
        <v>0</v>
      </c>
      <c r="L884" t="n">
        <v>0</v>
      </c>
      <c r="M884" t="n">
        <v>0</v>
      </c>
      <c r="N884" t="n">
        <v>0</v>
      </c>
      <c r="O884" t="n">
        <v>0</v>
      </c>
      <c r="P884" t="n">
        <v>0</v>
      </c>
      <c r="Q884" t="n">
        <v>0</v>
      </c>
      <c r="R884" s="2" t="inlineStr"/>
    </row>
    <row r="885" ht="15" customHeight="1">
      <c r="A885" t="inlineStr">
        <is>
          <t>A 38934-2023</t>
        </is>
      </c>
      <c r="B885" s="1" t="n">
        <v>45163.59913194444</v>
      </c>
      <c r="C885" s="1" t="n">
        <v>45934</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42681-2023</t>
        </is>
      </c>
      <c r="B886" s="1" t="n">
        <v>45181.58055555556</v>
      </c>
      <c r="C886" s="1" t="n">
        <v>45934</v>
      </c>
      <c r="D886" t="inlineStr">
        <is>
          <t>UPPSALA LÄN</t>
        </is>
      </c>
      <c r="E886" t="inlineStr">
        <is>
          <t>UPPSALA</t>
        </is>
      </c>
      <c r="F886" t="inlineStr">
        <is>
          <t>Bergvik skog öst AB</t>
        </is>
      </c>
      <c r="G886" t="n">
        <v>3.1</v>
      </c>
      <c r="H886" t="n">
        <v>0</v>
      </c>
      <c r="I886" t="n">
        <v>0</v>
      </c>
      <c r="J886" t="n">
        <v>0</v>
      </c>
      <c r="K886" t="n">
        <v>0</v>
      </c>
      <c r="L886" t="n">
        <v>0</v>
      </c>
      <c r="M886" t="n">
        <v>0</v>
      </c>
      <c r="N886" t="n">
        <v>0</v>
      </c>
      <c r="O886" t="n">
        <v>0</v>
      </c>
      <c r="P886" t="n">
        <v>0</v>
      </c>
      <c r="Q886" t="n">
        <v>0</v>
      </c>
      <c r="R886" s="2" t="inlineStr"/>
    </row>
    <row r="887" ht="15" customHeight="1">
      <c r="A887" t="inlineStr">
        <is>
          <t>A 40610-2025</t>
        </is>
      </c>
      <c r="B887" s="1" t="n">
        <v>45896.57368055556</v>
      </c>
      <c r="C887" s="1" t="n">
        <v>45934</v>
      </c>
      <c r="D887" t="inlineStr">
        <is>
          <t>UPPSALA LÄN</t>
        </is>
      </c>
      <c r="E887" t="inlineStr">
        <is>
          <t>UPPSALA</t>
        </is>
      </c>
      <c r="G887" t="n">
        <v>2.3</v>
      </c>
      <c r="H887" t="n">
        <v>0</v>
      </c>
      <c r="I887" t="n">
        <v>0</v>
      </c>
      <c r="J887" t="n">
        <v>0</v>
      </c>
      <c r="K887" t="n">
        <v>0</v>
      </c>
      <c r="L887" t="n">
        <v>0</v>
      </c>
      <c r="M887" t="n">
        <v>0</v>
      </c>
      <c r="N887" t="n">
        <v>0</v>
      </c>
      <c r="O887" t="n">
        <v>0</v>
      </c>
      <c r="P887" t="n">
        <v>0</v>
      </c>
      <c r="Q887" t="n">
        <v>0</v>
      </c>
      <c r="R887" s="2" t="inlineStr"/>
    </row>
    <row r="888" ht="15" customHeight="1">
      <c r="A888" t="inlineStr">
        <is>
          <t>A 40855-2025</t>
        </is>
      </c>
      <c r="B888" s="1" t="n">
        <v>45897</v>
      </c>
      <c r="C888" s="1" t="n">
        <v>45934</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33941-2023</t>
        </is>
      </c>
      <c r="B889" s="1" t="n">
        <v>45134.57021990741</v>
      </c>
      <c r="C889" s="1" t="n">
        <v>45934</v>
      </c>
      <c r="D889" t="inlineStr">
        <is>
          <t>UPPSALA LÄN</t>
        </is>
      </c>
      <c r="E889" t="inlineStr">
        <is>
          <t>UPPSALA</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35305-2025</t>
        </is>
      </c>
      <c r="B890" s="1" t="n">
        <v>45854.44017361111</v>
      </c>
      <c r="C890" s="1" t="n">
        <v>45934</v>
      </c>
      <c r="D890" t="inlineStr">
        <is>
          <t>UPPSALA LÄN</t>
        </is>
      </c>
      <c r="E890" t="inlineStr">
        <is>
          <t>UPPSALA</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40606-2025</t>
        </is>
      </c>
      <c r="B891" s="1" t="n">
        <v>45896.57171296296</v>
      </c>
      <c r="C891" s="1" t="n">
        <v>45934</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50954-2022</t>
        </is>
      </c>
      <c r="B892" s="1" t="n">
        <v>44866</v>
      </c>
      <c r="C892" s="1" t="n">
        <v>45934</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36392-2023</t>
        </is>
      </c>
      <c r="B893" s="1" t="n">
        <v>45152</v>
      </c>
      <c r="C893" s="1" t="n">
        <v>45934</v>
      </c>
      <c r="D893" t="inlineStr">
        <is>
          <t>UPPSALA LÄN</t>
        </is>
      </c>
      <c r="E893" t="inlineStr">
        <is>
          <t>UPPSALA</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35504-2025</t>
        </is>
      </c>
      <c r="B894" s="1" t="n">
        <v>45856.34034722222</v>
      </c>
      <c r="C894" s="1" t="n">
        <v>45934</v>
      </c>
      <c r="D894" t="inlineStr">
        <is>
          <t>UPPSALA LÄN</t>
        </is>
      </c>
      <c r="E894" t="inlineStr">
        <is>
          <t>UPPSALA</t>
        </is>
      </c>
      <c r="F894" t="inlineStr">
        <is>
          <t>Bergvik skog öst AB</t>
        </is>
      </c>
      <c r="G894" t="n">
        <v>6.7</v>
      </c>
      <c r="H894" t="n">
        <v>0</v>
      </c>
      <c r="I894" t="n">
        <v>0</v>
      </c>
      <c r="J894" t="n">
        <v>0</v>
      </c>
      <c r="K894" t="n">
        <v>0</v>
      </c>
      <c r="L894" t="n">
        <v>0</v>
      </c>
      <c r="M894" t="n">
        <v>0</v>
      </c>
      <c r="N894" t="n">
        <v>0</v>
      </c>
      <c r="O894" t="n">
        <v>0</v>
      </c>
      <c r="P894" t="n">
        <v>0</v>
      </c>
      <c r="Q894" t="n">
        <v>0</v>
      </c>
      <c r="R894" s="2" t="inlineStr"/>
    </row>
    <row r="895" ht="15" customHeight="1">
      <c r="A895" t="inlineStr">
        <is>
          <t>A 35505-2025</t>
        </is>
      </c>
      <c r="B895" s="1" t="n">
        <v>45856.34231481481</v>
      </c>
      <c r="C895" s="1" t="n">
        <v>45934</v>
      </c>
      <c r="D895" t="inlineStr">
        <is>
          <t>UPPSALA LÄN</t>
        </is>
      </c>
      <c r="E895" t="inlineStr">
        <is>
          <t>UPPSALA</t>
        </is>
      </c>
      <c r="F895" t="inlineStr">
        <is>
          <t>Bergvik skog öst AB</t>
        </is>
      </c>
      <c r="G895" t="n">
        <v>7.9</v>
      </c>
      <c r="H895" t="n">
        <v>0</v>
      </c>
      <c r="I895" t="n">
        <v>0</v>
      </c>
      <c r="J895" t="n">
        <v>0</v>
      </c>
      <c r="K895" t="n">
        <v>0</v>
      </c>
      <c r="L895" t="n">
        <v>0</v>
      </c>
      <c r="M895" t="n">
        <v>0</v>
      </c>
      <c r="N895" t="n">
        <v>0</v>
      </c>
      <c r="O895" t="n">
        <v>0</v>
      </c>
      <c r="P895" t="n">
        <v>0</v>
      </c>
      <c r="Q895" t="n">
        <v>0</v>
      </c>
      <c r="R895" s="2" t="inlineStr"/>
    </row>
    <row r="896" ht="15" customHeight="1">
      <c r="A896" t="inlineStr">
        <is>
          <t>A 41445-2025</t>
        </is>
      </c>
      <c r="B896" s="1" t="n">
        <v>45901.41853009259</v>
      </c>
      <c r="C896" s="1" t="n">
        <v>45934</v>
      </c>
      <c r="D896" t="inlineStr">
        <is>
          <t>UPPSALA LÄN</t>
        </is>
      </c>
      <c r="E896" t="inlineStr">
        <is>
          <t>UPPSALA</t>
        </is>
      </c>
      <c r="F896" t="inlineStr">
        <is>
          <t>Kyrkan</t>
        </is>
      </c>
      <c r="G896" t="n">
        <v>4.5</v>
      </c>
      <c r="H896" t="n">
        <v>0</v>
      </c>
      <c r="I896" t="n">
        <v>0</v>
      </c>
      <c r="J896" t="n">
        <v>0</v>
      </c>
      <c r="K896" t="n">
        <v>0</v>
      </c>
      <c r="L896" t="n">
        <v>0</v>
      </c>
      <c r="M896" t="n">
        <v>0</v>
      </c>
      <c r="N896" t="n">
        <v>0</v>
      </c>
      <c r="O896" t="n">
        <v>0</v>
      </c>
      <c r="P896" t="n">
        <v>0</v>
      </c>
      <c r="Q896" t="n">
        <v>0</v>
      </c>
      <c r="R896" s="2" t="inlineStr"/>
    </row>
    <row r="897" ht="15" customHeight="1">
      <c r="A897" t="inlineStr">
        <is>
          <t>A 41112-2025</t>
        </is>
      </c>
      <c r="B897" s="1" t="n">
        <v>45898.46040509259</v>
      </c>
      <c r="C897" s="1" t="n">
        <v>45934</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6630-2024</t>
        </is>
      </c>
      <c r="B898" s="1" t="n">
        <v>45341.63811342593</v>
      </c>
      <c r="C898" s="1" t="n">
        <v>45934</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22431-2024</t>
        </is>
      </c>
      <c r="B899" s="1" t="n">
        <v>45446.78256944445</v>
      </c>
      <c r="C899" s="1" t="n">
        <v>45934</v>
      </c>
      <c r="D899" t="inlineStr">
        <is>
          <t>UPPSALA LÄN</t>
        </is>
      </c>
      <c r="E899" t="inlineStr">
        <is>
          <t>UPPSALA</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1855-2021</t>
        </is>
      </c>
      <c r="B900" s="1" t="n">
        <v>44210</v>
      </c>
      <c r="C900" s="1" t="n">
        <v>45934</v>
      </c>
      <c r="D900" t="inlineStr">
        <is>
          <t>UPPSALA LÄN</t>
        </is>
      </c>
      <c r="E900" t="inlineStr">
        <is>
          <t>UPPSALA</t>
        </is>
      </c>
      <c r="G900" t="n">
        <v>0.9</v>
      </c>
      <c r="H900" t="n">
        <v>0</v>
      </c>
      <c r="I900" t="n">
        <v>0</v>
      </c>
      <c r="J900" t="n">
        <v>0</v>
      </c>
      <c r="K900" t="n">
        <v>0</v>
      </c>
      <c r="L900" t="n">
        <v>0</v>
      </c>
      <c r="M900" t="n">
        <v>0</v>
      </c>
      <c r="N900" t="n">
        <v>0</v>
      </c>
      <c r="O900" t="n">
        <v>0</v>
      </c>
      <c r="P900" t="n">
        <v>0</v>
      </c>
      <c r="Q900" t="n">
        <v>0</v>
      </c>
      <c r="R900" s="2" t="inlineStr"/>
    </row>
    <row r="901" ht="15" customHeight="1">
      <c r="A901" t="inlineStr">
        <is>
          <t>A 34114-2024</t>
        </is>
      </c>
      <c r="B901" s="1" t="n">
        <v>45524</v>
      </c>
      <c r="C901" s="1" t="n">
        <v>45934</v>
      </c>
      <c r="D901" t="inlineStr">
        <is>
          <t>UPPSALA LÄN</t>
        </is>
      </c>
      <c r="E901" t="inlineStr">
        <is>
          <t>UPPSALA</t>
        </is>
      </c>
      <c r="F901" t="inlineStr">
        <is>
          <t>Allmännings- och besparingsskogar</t>
        </is>
      </c>
      <c r="G901" t="n">
        <v>1.3</v>
      </c>
      <c r="H901" t="n">
        <v>0</v>
      </c>
      <c r="I901" t="n">
        <v>0</v>
      </c>
      <c r="J901" t="n">
        <v>0</v>
      </c>
      <c r="K901" t="n">
        <v>0</v>
      </c>
      <c r="L901" t="n">
        <v>0</v>
      </c>
      <c r="M901" t="n">
        <v>0</v>
      </c>
      <c r="N901" t="n">
        <v>0</v>
      </c>
      <c r="O901" t="n">
        <v>0</v>
      </c>
      <c r="P901" t="n">
        <v>0</v>
      </c>
      <c r="Q901" t="n">
        <v>0</v>
      </c>
      <c r="R901" s="2" t="inlineStr"/>
    </row>
    <row r="902" ht="15" customHeight="1">
      <c r="A902" t="inlineStr">
        <is>
          <t>A 41444-2025</t>
        </is>
      </c>
      <c r="B902" s="1" t="n">
        <v>45901.41756944444</v>
      </c>
      <c r="C902" s="1" t="n">
        <v>45934</v>
      </c>
      <c r="D902" t="inlineStr">
        <is>
          <t>UPPSALA LÄN</t>
        </is>
      </c>
      <c r="E902" t="inlineStr">
        <is>
          <t>UPPSALA</t>
        </is>
      </c>
      <c r="F902" t="inlineStr">
        <is>
          <t>Kyrkan</t>
        </is>
      </c>
      <c r="G902" t="n">
        <v>4.5</v>
      </c>
      <c r="H902" t="n">
        <v>0</v>
      </c>
      <c r="I902" t="n">
        <v>0</v>
      </c>
      <c r="J902" t="n">
        <v>0</v>
      </c>
      <c r="K902" t="n">
        <v>0</v>
      </c>
      <c r="L902" t="n">
        <v>0</v>
      </c>
      <c r="M902" t="n">
        <v>0</v>
      </c>
      <c r="N902" t="n">
        <v>0</v>
      </c>
      <c r="O902" t="n">
        <v>0</v>
      </c>
      <c r="P902" t="n">
        <v>0</v>
      </c>
      <c r="Q902" t="n">
        <v>0</v>
      </c>
      <c r="R902" s="2" t="inlineStr"/>
    </row>
    <row r="903" ht="15" customHeight="1">
      <c r="A903" t="inlineStr">
        <is>
          <t>A 35509-2025</t>
        </is>
      </c>
      <c r="B903" s="1" t="n">
        <v>45856.34959490741</v>
      </c>
      <c r="C903" s="1" t="n">
        <v>45934</v>
      </c>
      <c r="D903" t="inlineStr">
        <is>
          <t>UPPSALA LÄN</t>
        </is>
      </c>
      <c r="E903" t="inlineStr">
        <is>
          <t>UPPSALA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35510-2025</t>
        </is>
      </c>
      <c r="B904" s="1" t="n">
        <v>45856</v>
      </c>
      <c r="C904" s="1" t="n">
        <v>45934</v>
      </c>
      <c r="D904" t="inlineStr">
        <is>
          <t>UPPSALA LÄN</t>
        </is>
      </c>
      <c r="E904" t="inlineStr">
        <is>
          <t>UPPSALA</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42085-2025</t>
        </is>
      </c>
      <c r="B905" s="1" t="n">
        <v>45903.69358796296</v>
      </c>
      <c r="C905" s="1" t="n">
        <v>45934</v>
      </c>
      <c r="D905" t="inlineStr">
        <is>
          <t>UPPSALA LÄN</t>
        </is>
      </c>
      <c r="E905" t="inlineStr">
        <is>
          <t>UPPSALA</t>
        </is>
      </c>
      <c r="F905" t="inlineStr">
        <is>
          <t>Bergvik skog öst AB</t>
        </is>
      </c>
      <c r="G905" t="n">
        <v>1.7</v>
      </c>
      <c r="H905" t="n">
        <v>0</v>
      </c>
      <c r="I905" t="n">
        <v>0</v>
      </c>
      <c r="J905" t="n">
        <v>0</v>
      </c>
      <c r="K905" t="n">
        <v>0</v>
      </c>
      <c r="L905" t="n">
        <v>0</v>
      </c>
      <c r="M905" t="n">
        <v>0</v>
      </c>
      <c r="N905" t="n">
        <v>0</v>
      </c>
      <c r="O905" t="n">
        <v>0</v>
      </c>
      <c r="P905" t="n">
        <v>0</v>
      </c>
      <c r="Q905" t="n">
        <v>0</v>
      </c>
      <c r="R905" s="2" t="inlineStr"/>
    </row>
    <row r="906" ht="15" customHeight="1">
      <c r="A906" t="inlineStr">
        <is>
          <t>A 32484-2025</t>
        </is>
      </c>
      <c r="B906" s="1" t="n">
        <v>45838</v>
      </c>
      <c r="C906" s="1" t="n">
        <v>45934</v>
      </c>
      <c r="D906" t="inlineStr">
        <is>
          <t>UPPSALA LÄN</t>
        </is>
      </c>
      <c r="E906" t="inlineStr">
        <is>
          <t>UPPSALA</t>
        </is>
      </c>
      <c r="G906" t="n">
        <v>1.2</v>
      </c>
      <c r="H906" t="n">
        <v>0</v>
      </c>
      <c r="I906" t="n">
        <v>0</v>
      </c>
      <c r="J906" t="n">
        <v>0</v>
      </c>
      <c r="K906" t="n">
        <v>0</v>
      </c>
      <c r="L906" t="n">
        <v>0</v>
      </c>
      <c r="M906" t="n">
        <v>0</v>
      </c>
      <c r="N906" t="n">
        <v>0</v>
      </c>
      <c r="O906" t="n">
        <v>0</v>
      </c>
      <c r="P906" t="n">
        <v>0</v>
      </c>
      <c r="Q906" t="n">
        <v>0</v>
      </c>
      <c r="R906" s="2" t="inlineStr"/>
    </row>
    <row r="907" ht="15" customHeight="1">
      <c r="A907" t="inlineStr">
        <is>
          <t>A 41707-2025</t>
        </is>
      </c>
      <c r="B907" s="1" t="n">
        <v>45902.42243055555</v>
      </c>
      <c r="C907" s="1" t="n">
        <v>45934</v>
      </c>
      <c r="D907" t="inlineStr">
        <is>
          <t>UPPSALA LÄN</t>
        </is>
      </c>
      <c r="E907" t="inlineStr">
        <is>
          <t>UPPSALA</t>
        </is>
      </c>
      <c r="F907" t="inlineStr">
        <is>
          <t>Allmännings- och besparingsskogar</t>
        </is>
      </c>
      <c r="G907" t="n">
        <v>3.3</v>
      </c>
      <c r="H907" t="n">
        <v>0</v>
      </c>
      <c r="I907" t="n">
        <v>0</v>
      </c>
      <c r="J907" t="n">
        <v>0</v>
      </c>
      <c r="K907" t="n">
        <v>0</v>
      </c>
      <c r="L907" t="n">
        <v>0</v>
      </c>
      <c r="M907" t="n">
        <v>0</v>
      </c>
      <c r="N907" t="n">
        <v>0</v>
      </c>
      <c r="O907" t="n">
        <v>0</v>
      </c>
      <c r="P907" t="n">
        <v>0</v>
      </c>
      <c r="Q907" t="n">
        <v>0</v>
      </c>
      <c r="R907" s="2" t="inlineStr"/>
    </row>
    <row r="908" ht="15" customHeight="1">
      <c r="A908" t="inlineStr">
        <is>
          <t>A 42084-2025</t>
        </is>
      </c>
      <c r="B908" s="1" t="n">
        <v>45903.69096064815</v>
      </c>
      <c r="C908" s="1" t="n">
        <v>45934</v>
      </c>
      <c r="D908" t="inlineStr">
        <is>
          <t>UPPSALA LÄN</t>
        </is>
      </c>
      <c r="E908" t="inlineStr">
        <is>
          <t>UPPSALA</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32475-2025</t>
        </is>
      </c>
      <c r="B909" s="1" t="n">
        <v>45838</v>
      </c>
      <c r="C909" s="1" t="n">
        <v>45934</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32479-2025</t>
        </is>
      </c>
      <c r="B910" s="1" t="n">
        <v>45838</v>
      </c>
      <c r="C910" s="1" t="n">
        <v>45934</v>
      </c>
      <c r="D910" t="inlineStr">
        <is>
          <t>UPPSALA LÄN</t>
        </is>
      </c>
      <c r="E910" t="inlineStr">
        <is>
          <t>UPPSALA</t>
        </is>
      </c>
      <c r="G910" t="n">
        <v>0.9</v>
      </c>
      <c r="H910" t="n">
        <v>0</v>
      </c>
      <c r="I910" t="n">
        <v>0</v>
      </c>
      <c r="J910" t="n">
        <v>0</v>
      </c>
      <c r="K910" t="n">
        <v>0</v>
      </c>
      <c r="L910" t="n">
        <v>0</v>
      </c>
      <c r="M910" t="n">
        <v>0</v>
      </c>
      <c r="N910" t="n">
        <v>0</v>
      </c>
      <c r="O910" t="n">
        <v>0</v>
      </c>
      <c r="P910" t="n">
        <v>0</v>
      </c>
      <c r="Q910" t="n">
        <v>0</v>
      </c>
      <c r="R910" s="2" t="inlineStr"/>
    </row>
    <row r="911" ht="15" customHeight="1">
      <c r="A911" t="inlineStr">
        <is>
          <t>A 35978-2025</t>
        </is>
      </c>
      <c r="B911" s="1" t="n">
        <v>45863.44648148148</v>
      </c>
      <c r="C911" s="1" t="n">
        <v>45934</v>
      </c>
      <c r="D911" t="inlineStr">
        <is>
          <t>UPPSALA LÄN</t>
        </is>
      </c>
      <c r="E911" t="inlineStr">
        <is>
          <t>UPPSALA</t>
        </is>
      </c>
      <c r="G911" t="n">
        <v>1.6</v>
      </c>
      <c r="H911" t="n">
        <v>0</v>
      </c>
      <c r="I911" t="n">
        <v>0</v>
      </c>
      <c r="J911" t="n">
        <v>0</v>
      </c>
      <c r="K911" t="n">
        <v>0</v>
      </c>
      <c r="L911" t="n">
        <v>0</v>
      </c>
      <c r="M911" t="n">
        <v>0</v>
      </c>
      <c r="N911" t="n">
        <v>0</v>
      </c>
      <c r="O911" t="n">
        <v>0</v>
      </c>
      <c r="P911" t="n">
        <v>0</v>
      </c>
      <c r="Q911" t="n">
        <v>0</v>
      </c>
      <c r="R911" s="2" t="inlineStr"/>
    </row>
    <row r="912" ht="15" customHeight="1">
      <c r="A912" t="inlineStr">
        <is>
          <t>A 42347-2025</t>
        </is>
      </c>
      <c r="B912" s="1" t="n">
        <v>45904.77746527778</v>
      </c>
      <c r="C912" s="1" t="n">
        <v>45934</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10394-2025</t>
        </is>
      </c>
      <c r="B913" s="1" t="n">
        <v>45720.60410879629</v>
      </c>
      <c r="C913" s="1" t="n">
        <v>45934</v>
      </c>
      <c r="D913" t="inlineStr">
        <is>
          <t>UPPSALA LÄN</t>
        </is>
      </c>
      <c r="E913" t="inlineStr">
        <is>
          <t>UPPSALA</t>
        </is>
      </c>
      <c r="G913" t="n">
        <v>3.4</v>
      </c>
      <c r="H913" t="n">
        <v>0</v>
      </c>
      <c r="I913" t="n">
        <v>0</v>
      </c>
      <c r="J913" t="n">
        <v>0</v>
      </c>
      <c r="K913" t="n">
        <v>0</v>
      </c>
      <c r="L913" t="n">
        <v>0</v>
      </c>
      <c r="M913" t="n">
        <v>0</v>
      </c>
      <c r="N913" t="n">
        <v>0</v>
      </c>
      <c r="O913" t="n">
        <v>0</v>
      </c>
      <c r="P913" t="n">
        <v>0</v>
      </c>
      <c r="Q913" t="n">
        <v>0</v>
      </c>
      <c r="R913" s="2" t="inlineStr"/>
    </row>
    <row r="914" ht="15" customHeight="1">
      <c r="A914" t="inlineStr">
        <is>
          <t>A 7276-2024</t>
        </is>
      </c>
      <c r="B914" s="1" t="n">
        <v>45344</v>
      </c>
      <c r="C914" s="1" t="n">
        <v>45934</v>
      </c>
      <c r="D914" t="inlineStr">
        <is>
          <t>UPPSALA LÄN</t>
        </is>
      </c>
      <c r="E914" t="inlineStr">
        <is>
          <t>UPPSALA</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42593-2025</t>
        </is>
      </c>
      <c r="B915" s="1" t="n">
        <v>45905.64862268518</v>
      </c>
      <c r="C915" s="1" t="n">
        <v>45934</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42541-2025</t>
        </is>
      </c>
      <c r="B916" s="1" t="n">
        <v>45905.5756712963</v>
      </c>
      <c r="C916" s="1" t="n">
        <v>45934</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35984-2025</t>
        </is>
      </c>
      <c r="B917" s="1" t="n">
        <v>45863.45355324074</v>
      </c>
      <c r="C917" s="1" t="n">
        <v>45934</v>
      </c>
      <c r="D917" t="inlineStr">
        <is>
          <t>UPPSALA LÄN</t>
        </is>
      </c>
      <c r="E917" t="inlineStr">
        <is>
          <t>UPPSALA</t>
        </is>
      </c>
      <c r="G917" t="n">
        <v>6.1</v>
      </c>
      <c r="H917" t="n">
        <v>0</v>
      </c>
      <c r="I917" t="n">
        <v>0</v>
      </c>
      <c r="J917" t="n">
        <v>0</v>
      </c>
      <c r="K917" t="n">
        <v>0</v>
      </c>
      <c r="L917" t="n">
        <v>0</v>
      </c>
      <c r="M917" t="n">
        <v>0</v>
      </c>
      <c r="N917" t="n">
        <v>0</v>
      </c>
      <c r="O917" t="n">
        <v>0</v>
      </c>
      <c r="P917" t="n">
        <v>0</v>
      </c>
      <c r="Q917" t="n">
        <v>0</v>
      </c>
      <c r="R917" s="2" t="inlineStr"/>
    </row>
    <row r="918" ht="15" customHeight="1">
      <c r="A918" t="inlineStr">
        <is>
          <t>A 39608-2022</t>
        </is>
      </c>
      <c r="B918" s="1" t="n">
        <v>44817</v>
      </c>
      <c r="C918" s="1" t="n">
        <v>45934</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42622-2022</t>
        </is>
      </c>
      <c r="B919" s="1" t="n">
        <v>44831</v>
      </c>
      <c r="C919" s="1" t="n">
        <v>45934</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43056-2025</t>
        </is>
      </c>
      <c r="B920" s="1" t="n">
        <v>45909.57565972222</v>
      </c>
      <c r="C920" s="1" t="n">
        <v>45934</v>
      </c>
      <c r="D920" t="inlineStr">
        <is>
          <t>UPPSALA LÄN</t>
        </is>
      </c>
      <c r="E920" t="inlineStr">
        <is>
          <t>UPPSALA</t>
        </is>
      </c>
      <c r="F920" t="inlineStr">
        <is>
          <t>Allmännings- och besparingsskogar</t>
        </is>
      </c>
      <c r="G920" t="n">
        <v>11.8</v>
      </c>
      <c r="H920" t="n">
        <v>0</v>
      </c>
      <c r="I920" t="n">
        <v>0</v>
      </c>
      <c r="J920" t="n">
        <v>0</v>
      </c>
      <c r="K920" t="n">
        <v>0</v>
      </c>
      <c r="L920" t="n">
        <v>0</v>
      </c>
      <c r="M920" t="n">
        <v>0</v>
      </c>
      <c r="N920" t="n">
        <v>0</v>
      </c>
      <c r="O920" t="n">
        <v>0</v>
      </c>
      <c r="P920" t="n">
        <v>0</v>
      </c>
      <c r="Q920" t="n">
        <v>0</v>
      </c>
      <c r="R920" s="2" t="inlineStr"/>
    </row>
    <row r="921" ht="15" customHeight="1">
      <c r="A921" t="inlineStr">
        <is>
          <t>A 7727-2024</t>
        </is>
      </c>
      <c r="B921" s="1" t="n">
        <v>45349</v>
      </c>
      <c r="C921" s="1" t="n">
        <v>45934</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11162-2022</t>
        </is>
      </c>
      <c r="B922" s="1" t="n">
        <v>44629.42423611111</v>
      </c>
      <c r="C922" s="1" t="n">
        <v>45934</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36253-2025</t>
        </is>
      </c>
      <c r="B923" s="1" t="n">
        <v>45867.58056712963</v>
      </c>
      <c r="C923" s="1" t="n">
        <v>45934</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1731-2022</t>
        </is>
      </c>
      <c r="B924" s="1" t="n">
        <v>44574</v>
      </c>
      <c r="C924" s="1" t="n">
        <v>45934</v>
      </c>
      <c r="D924" t="inlineStr">
        <is>
          <t>UPPSALA LÄN</t>
        </is>
      </c>
      <c r="E924" t="inlineStr">
        <is>
          <t>UPPSALA</t>
        </is>
      </c>
      <c r="G924" t="n">
        <v>10.1</v>
      </c>
      <c r="H924" t="n">
        <v>0</v>
      </c>
      <c r="I924" t="n">
        <v>0</v>
      </c>
      <c r="J924" t="n">
        <v>0</v>
      </c>
      <c r="K924" t="n">
        <v>0</v>
      </c>
      <c r="L924" t="n">
        <v>0</v>
      </c>
      <c r="M924" t="n">
        <v>0</v>
      </c>
      <c r="N924" t="n">
        <v>0</v>
      </c>
      <c r="O924" t="n">
        <v>0</v>
      </c>
      <c r="P924" t="n">
        <v>0</v>
      </c>
      <c r="Q924" t="n">
        <v>0</v>
      </c>
      <c r="R924" s="2" t="inlineStr"/>
    </row>
    <row r="925" ht="15" customHeight="1">
      <c r="A925" t="inlineStr">
        <is>
          <t>A 27068-2023</t>
        </is>
      </c>
      <c r="B925" s="1" t="n">
        <v>45096</v>
      </c>
      <c r="C925" s="1" t="n">
        <v>45934</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45878-2024</t>
        </is>
      </c>
      <c r="B926" s="1" t="n">
        <v>45580</v>
      </c>
      <c r="C926" s="1" t="n">
        <v>45934</v>
      </c>
      <c r="D926" t="inlineStr">
        <is>
          <t>UPPSALA LÄN</t>
        </is>
      </c>
      <c r="E926" t="inlineStr">
        <is>
          <t>UPPSALA</t>
        </is>
      </c>
      <c r="G926" t="n">
        <v>2.8</v>
      </c>
      <c r="H926" t="n">
        <v>0</v>
      </c>
      <c r="I926" t="n">
        <v>0</v>
      </c>
      <c r="J926" t="n">
        <v>0</v>
      </c>
      <c r="K926" t="n">
        <v>0</v>
      </c>
      <c r="L926" t="n">
        <v>0</v>
      </c>
      <c r="M926" t="n">
        <v>0</v>
      </c>
      <c r="N926" t="n">
        <v>0</v>
      </c>
      <c r="O926" t="n">
        <v>0</v>
      </c>
      <c r="P926" t="n">
        <v>0</v>
      </c>
      <c r="Q926" t="n">
        <v>0</v>
      </c>
      <c r="R926" s="2" t="inlineStr"/>
    </row>
    <row r="927" ht="15" customHeight="1">
      <c r="A927" t="inlineStr">
        <is>
          <t>A 43-2024</t>
        </is>
      </c>
      <c r="B927" s="1" t="n">
        <v>45293</v>
      </c>
      <c r="C927" s="1" t="n">
        <v>45934</v>
      </c>
      <c r="D927" t="inlineStr">
        <is>
          <t>UPPSALA LÄN</t>
        </is>
      </c>
      <c r="E927" t="inlineStr">
        <is>
          <t>UPPSALA</t>
        </is>
      </c>
      <c r="G927" t="n">
        <v>2.8</v>
      </c>
      <c r="H927" t="n">
        <v>0</v>
      </c>
      <c r="I927" t="n">
        <v>0</v>
      </c>
      <c r="J927" t="n">
        <v>0</v>
      </c>
      <c r="K927" t="n">
        <v>0</v>
      </c>
      <c r="L927" t="n">
        <v>0</v>
      </c>
      <c r="M927" t="n">
        <v>0</v>
      </c>
      <c r="N927" t="n">
        <v>0</v>
      </c>
      <c r="O927" t="n">
        <v>0</v>
      </c>
      <c r="P927" t="n">
        <v>0</v>
      </c>
      <c r="Q927" t="n">
        <v>0</v>
      </c>
      <c r="R927" s="2" t="inlineStr"/>
    </row>
    <row r="928" ht="15" customHeight="1">
      <c r="A928" t="inlineStr">
        <is>
          <t>A 62044-2024</t>
        </is>
      </c>
      <c r="B928" s="1" t="n">
        <v>45656</v>
      </c>
      <c r="C928" s="1" t="n">
        <v>45934</v>
      </c>
      <c r="D928" t="inlineStr">
        <is>
          <t>UPPSALA LÄN</t>
        </is>
      </c>
      <c r="E928" t="inlineStr">
        <is>
          <t>UPPSALA</t>
        </is>
      </c>
      <c r="F928" t="inlineStr">
        <is>
          <t>Övriga statliga verk och myndigheter</t>
        </is>
      </c>
      <c r="G928" t="n">
        <v>11.6</v>
      </c>
      <c r="H928" t="n">
        <v>0</v>
      </c>
      <c r="I928" t="n">
        <v>0</v>
      </c>
      <c r="J928" t="n">
        <v>0</v>
      </c>
      <c r="K928" t="n">
        <v>0</v>
      </c>
      <c r="L928" t="n">
        <v>0</v>
      </c>
      <c r="M928" t="n">
        <v>0</v>
      </c>
      <c r="N928" t="n">
        <v>0</v>
      </c>
      <c r="O928" t="n">
        <v>0</v>
      </c>
      <c r="P928" t="n">
        <v>0</v>
      </c>
      <c r="Q928" t="n">
        <v>0</v>
      </c>
      <c r="R928" s="2" t="inlineStr"/>
    </row>
    <row r="929" ht="15" customHeight="1">
      <c r="A929" t="inlineStr">
        <is>
          <t>A 17587-2025</t>
        </is>
      </c>
      <c r="B929" s="1" t="n">
        <v>45757.67611111111</v>
      </c>
      <c r="C929" s="1" t="n">
        <v>45934</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74495-2021</t>
        </is>
      </c>
      <c r="B930" s="1" t="n">
        <v>44560</v>
      </c>
      <c r="C930" s="1" t="n">
        <v>45934</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46920-2021</t>
        </is>
      </c>
      <c r="B931" s="1" t="n">
        <v>44446</v>
      </c>
      <c r="C931" s="1" t="n">
        <v>45934</v>
      </c>
      <c r="D931" t="inlineStr">
        <is>
          <t>UPPSALA LÄN</t>
        </is>
      </c>
      <c r="E931" t="inlineStr">
        <is>
          <t>UPPSALA</t>
        </is>
      </c>
      <c r="G931" t="n">
        <v>1.6</v>
      </c>
      <c r="H931" t="n">
        <v>0</v>
      </c>
      <c r="I931" t="n">
        <v>0</v>
      </c>
      <c r="J931" t="n">
        <v>0</v>
      </c>
      <c r="K931" t="n">
        <v>0</v>
      </c>
      <c r="L931" t="n">
        <v>0</v>
      </c>
      <c r="M931" t="n">
        <v>0</v>
      </c>
      <c r="N931" t="n">
        <v>0</v>
      </c>
      <c r="O931" t="n">
        <v>0</v>
      </c>
      <c r="P931" t="n">
        <v>0</v>
      </c>
      <c r="Q931" t="n">
        <v>0</v>
      </c>
      <c r="R931" s="2" t="inlineStr"/>
    </row>
    <row r="932" ht="15" customHeight="1">
      <c r="A932" t="inlineStr">
        <is>
          <t>A 5189-2022</t>
        </is>
      </c>
      <c r="B932" s="1" t="n">
        <v>44594</v>
      </c>
      <c r="C932" s="1" t="n">
        <v>45934</v>
      </c>
      <c r="D932" t="inlineStr">
        <is>
          <t>UPPSALA LÄN</t>
        </is>
      </c>
      <c r="E932" t="inlineStr">
        <is>
          <t>UPPSALA</t>
        </is>
      </c>
      <c r="G932" t="n">
        <v>5.9</v>
      </c>
      <c r="H932" t="n">
        <v>0</v>
      </c>
      <c r="I932" t="n">
        <v>0</v>
      </c>
      <c r="J932" t="n">
        <v>0</v>
      </c>
      <c r="K932" t="n">
        <v>0</v>
      </c>
      <c r="L932" t="n">
        <v>0</v>
      </c>
      <c r="M932" t="n">
        <v>0</v>
      </c>
      <c r="N932" t="n">
        <v>0</v>
      </c>
      <c r="O932" t="n">
        <v>0</v>
      </c>
      <c r="P932" t="n">
        <v>0</v>
      </c>
      <c r="Q932" t="n">
        <v>0</v>
      </c>
      <c r="R932" s="2" t="inlineStr"/>
    </row>
    <row r="933" ht="15" customHeight="1">
      <c r="A933" t="inlineStr">
        <is>
          <t>A 39812-2024</t>
        </is>
      </c>
      <c r="B933" s="1" t="n">
        <v>45552</v>
      </c>
      <c r="C933" s="1" t="n">
        <v>45934</v>
      </c>
      <c r="D933" t="inlineStr">
        <is>
          <t>UPPSALA LÄN</t>
        </is>
      </c>
      <c r="E933" t="inlineStr">
        <is>
          <t>UPPSALA</t>
        </is>
      </c>
      <c r="G933" t="n">
        <v>7.9</v>
      </c>
      <c r="H933" t="n">
        <v>0</v>
      </c>
      <c r="I933" t="n">
        <v>0</v>
      </c>
      <c r="J933" t="n">
        <v>0</v>
      </c>
      <c r="K933" t="n">
        <v>0</v>
      </c>
      <c r="L933" t="n">
        <v>0</v>
      </c>
      <c r="M933" t="n">
        <v>0</v>
      </c>
      <c r="N933" t="n">
        <v>0</v>
      </c>
      <c r="O933" t="n">
        <v>0</v>
      </c>
      <c r="P933" t="n">
        <v>0</v>
      </c>
      <c r="Q933" t="n">
        <v>0</v>
      </c>
      <c r="R933" s="2" t="inlineStr"/>
    </row>
    <row r="934" ht="15" customHeight="1">
      <c r="A934" t="inlineStr">
        <is>
          <t>A 18677-2024</t>
        </is>
      </c>
      <c r="B934" s="1" t="n">
        <v>45426</v>
      </c>
      <c r="C934" s="1" t="n">
        <v>45934</v>
      </c>
      <c r="D934" t="inlineStr">
        <is>
          <t>UPPSALA LÄN</t>
        </is>
      </c>
      <c r="E934" t="inlineStr">
        <is>
          <t>UPPSALA</t>
        </is>
      </c>
      <c r="G934" t="n">
        <v>2.8</v>
      </c>
      <c r="H934" t="n">
        <v>0</v>
      </c>
      <c r="I934" t="n">
        <v>0</v>
      </c>
      <c r="J934" t="n">
        <v>0</v>
      </c>
      <c r="K934" t="n">
        <v>0</v>
      </c>
      <c r="L934" t="n">
        <v>0</v>
      </c>
      <c r="M934" t="n">
        <v>0</v>
      </c>
      <c r="N934" t="n">
        <v>0</v>
      </c>
      <c r="O934" t="n">
        <v>0</v>
      </c>
      <c r="P934" t="n">
        <v>0</v>
      </c>
      <c r="Q934" t="n">
        <v>0</v>
      </c>
      <c r="R934" s="2" t="inlineStr"/>
    </row>
    <row r="935" ht="15" customHeight="1">
      <c r="A935" t="inlineStr">
        <is>
          <t>A 42134-2025</t>
        </is>
      </c>
      <c r="B935" s="1" t="n">
        <v>45904</v>
      </c>
      <c r="C935" s="1" t="n">
        <v>45934</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60702-2022</t>
        </is>
      </c>
      <c r="B936" s="1" t="n">
        <v>44912.29869212963</v>
      </c>
      <c r="C936" s="1" t="n">
        <v>45934</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6930-2023</t>
        </is>
      </c>
      <c r="B937" s="1" t="n">
        <v>44967.55960648148</v>
      </c>
      <c r="C937" s="1" t="n">
        <v>45934</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8877-2022</t>
        </is>
      </c>
      <c r="B938" s="1" t="n">
        <v>44614.59027777778</v>
      </c>
      <c r="C938" s="1" t="n">
        <v>45934</v>
      </c>
      <c r="D938" t="inlineStr">
        <is>
          <t>UPPSALA LÄN</t>
        </is>
      </c>
      <c r="E938" t="inlineStr">
        <is>
          <t>UPPSALA</t>
        </is>
      </c>
      <c r="G938" t="n">
        <v>1.4</v>
      </c>
      <c r="H938" t="n">
        <v>0</v>
      </c>
      <c r="I938" t="n">
        <v>0</v>
      </c>
      <c r="J938" t="n">
        <v>0</v>
      </c>
      <c r="K938" t="n">
        <v>0</v>
      </c>
      <c r="L938" t="n">
        <v>0</v>
      </c>
      <c r="M938" t="n">
        <v>0</v>
      </c>
      <c r="N938" t="n">
        <v>0</v>
      </c>
      <c r="O938" t="n">
        <v>0</v>
      </c>
      <c r="P938" t="n">
        <v>0</v>
      </c>
      <c r="Q938" t="n">
        <v>0</v>
      </c>
      <c r="R938" s="2" t="inlineStr"/>
    </row>
    <row r="939">
      <c r="A939" t="inlineStr">
        <is>
          <t>A 554-2023</t>
        </is>
      </c>
      <c r="B939" s="1" t="n">
        <v>44930</v>
      </c>
      <c r="C939" s="1" t="n">
        <v>45934</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2025-10-04T12:35:01Z</dcterms:created>
  <dcterms:modified xmlns:dcterms="http://purl.org/dc/terms/" xmlns:xsi="http://www.w3.org/2001/XMLSchema-instance" xsi:type="dcterms:W3CDTF">2025-10-04T12:35:02Z</dcterms:modified>
</cp:coreProperties>
</file>