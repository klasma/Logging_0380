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45885</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45885</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45885</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45885</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45885</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45885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45885</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45885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38208-2025</t>
        </is>
      </c>
      <c r="B11" s="1" t="n">
        <v>45882.73309027778</v>
      </c>
      <c r="C11" s="1" t="n">
        <v>45885</v>
      </c>
      <c r="D11" t="inlineStr">
        <is>
          <t>UPPSALA LÄN</t>
        </is>
      </c>
      <c r="E11" t="inlineStr">
        <is>
          <t>UPPSALA</t>
        </is>
      </c>
      <c r="G11" t="n">
        <v>3.4</v>
      </c>
      <c r="H11" t="n">
        <v>3</v>
      </c>
      <c r="I11" t="n">
        <v>5</v>
      </c>
      <c r="J11" t="n">
        <v>6</v>
      </c>
      <c r="K11" t="n">
        <v>2</v>
      </c>
      <c r="L11" t="n">
        <v>0</v>
      </c>
      <c r="M11" t="n">
        <v>0</v>
      </c>
      <c r="N11" t="n">
        <v>0</v>
      </c>
      <c r="O11" t="n">
        <v>8</v>
      </c>
      <c r="P11" t="n">
        <v>2</v>
      </c>
      <c r="Q11" t="n">
        <v>13</v>
      </c>
      <c r="R11" s="2" t="inlineStr">
        <is>
          <t>Rynkskinn
Ulltickeporing
Havsörn
Mindre hackspett
Rosenticka
Rutskinn
Spillkråka
Ullticka
Fjällig taggsvamp s.str.
Fällmossa
Guldlockmossa
Lönnlav
Slanklav</t>
        </is>
      </c>
      <c r="S11">
        <f>HYPERLINK("https://klasma.github.io/Logging_0380/artfynd/A 38208-2025 artfynd.xlsx", "A 38208-2025")</f>
        <v/>
      </c>
      <c r="T11">
        <f>HYPERLINK("https://klasma.github.io/Logging_0380/kartor/A 38208-2025 karta.png", "A 38208-2025")</f>
        <v/>
      </c>
      <c r="V11">
        <f>HYPERLINK("https://klasma.github.io/Logging_0380/klagomål/A 38208-2025 FSC-klagomål.docx", "A 38208-2025")</f>
        <v/>
      </c>
      <c r="W11">
        <f>HYPERLINK("https://klasma.github.io/Logging_0380/klagomålsmail/A 38208-2025 FSC-klagomål mail.docx", "A 38208-2025")</f>
        <v/>
      </c>
      <c r="X11">
        <f>HYPERLINK("https://klasma.github.io/Logging_0380/tillsyn/A 38208-2025 tillsynsbegäran.docx", "A 38208-2025")</f>
        <v/>
      </c>
      <c r="Y11">
        <f>HYPERLINK("https://klasma.github.io/Logging_0380/tillsynsmail/A 38208-2025 tillsynsbegäran mail.docx", "A 38208-2025")</f>
        <v/>
      </c>
      <c r="Z11">
        <f>HYPERLINK("https://klasma.github.io/Logging_0380/fåglar/A 38208-2025 prioriterade fågelarter.docx", "A 38208-2025")</f>
        <v/>
      </c>
    </row>
    <row r="12" ht="15" customHeight="1">
      <c r="A12" t="inlineStr">
        <is>
          <t>A 27286-2025</t>
        </is>
      </c>
      <c r="B12" s="1" t="n">
        <v>45812.55136574074</v>
      </c>
      <c r="C12" s="1" t="n">
        <v>45885</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45885</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25143-2023</t>
        </is>
      </c>
      <c r="B14" s="1" t="n">
        <v>45086</v>
      </c>
      <c r="C14" s="1" t="n">
        <v>45885</v>
      </c>
      <c r="D14" t="inlineStr">
        <is>
          <t>UPPSALA LÄN</t>
        </is>
      </c>
      <c r="E14" t="inlineStr">
        <is>
          <t>UPPSALA</t>
        </is>
      </c>
      <c r="G14" t="n">
        <v>15.9</v>
      </c>
      <c r="H14" t="n">
        <v>5</v>
      </c>
      <c r="I14" t="n">
        <v>4</v>
      </c>
      <c r="J14" t="n">
        <v>2</v>
      </c>
      <c r="K14" t="n">
        <v>0</v>
      </c>
      <c r="L14" t="n">
        <v>0</v>
      </c>
      <c r="M14" t="n">
        <v>0</v>
      </c>
      <c r="N14" t="n">
        <v>0</v>
      </c>
      <c r="O14" t="n">
        <v>2</v>
      </c>
      <c r="P14" t="n">
        <v>0</v>
      </c>
      <c r="Q14" t="n">
        <v>11</v>
      </c>
      <c r="R14" s="2" t="inlineStr">
        <is>
          <t>Grönhjon
Ullticka
Bronshjon
Fällmossa
Granbarkgnagare
Guldlockmossa
Grönsiska
Kungsfågel
Åkergroda
Vanlig groda
Revlummer</t>
        </is>
      </c>
      <c r="S14">
        <f>HYPERLINK("https://klasma.github.io/Logging_0380/artfynd/A 25143-2023 artfynd.xlsx", "A 25143-2023")</f>
        <v/>
      </c>
      <c r="T14">
        <f>HYPERLINK("https://klasma.github.io/Logging_0380/kartor/A 25143-2023 karta.png", "A 25143-2023")</f>
        <v/>
      </c>
      <c r="U14">
        <f>HYPERLINK("https://klasma.github.io/Logging_0380/knärot/A 25143-2023 karta knärot.png", "A 25143-2023")</f>
        <v/>
      </c>
      <c r="V14">
        <f>HYPERLINK("https://klasma.github.io/Logging_0380/klagomål/A 25143-2023 FSC-klagomål.docx", "A 25143-2023")</f>
        <v/>
      </c>
      <c r="W14">
        <f>HYPERLINK("https://klasma.github.io/Logging_0380/klagomålsmail/A 25143-2023 FSC-klagomål mail.docx", "A 25143-2023")</f>
        <v/>
      </c>
      <c r="X14">
        <f>HYPERLINK("https://klasma.github.io/Logging_0380/tillsyn/A 25143-2023 tillsynsbegäran.docx", "A 25143-2023")</f>
        <v/>
      </c>
      <c r="Y14">
        <f>HYPERLINK("https://klasma.github.io/Logging_0380/tillsynsmail/A 25143-2023 tillsynsbegäran mail.docx", "A 25143-2023")</f>
        <v/>
      </c>
      <c r="Z14">
        <f>HYPERLINK("https://klasma.github.io/Logging_0380/fåglar/A 25143-2023 prioriterade fågelarter.docx", "A 25143-2023")</f>
        <v/>
      </c>
    </row>
    <row r="15" ht="15" customHeight="1">
      <c r="A15" t="inlineStr">
        <is>
          <t>A 3929-2021</t>
        </is>
      </c>
      <c r="B15" s="1" t="n">
        <v>44222</v>
      </c>
      <c r="C15" s="1" t="n">
        <v>45885</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47453-2023</t>
        </is>
      </c>
      <c r="B16" s="1" t="n">
        <v>45202</v>
      </c>
      <c r="C16" s="1" t="n">
        <v>45885</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45885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25604-2025</t>
        </is>
      </c>
      <c r="B18" s="1" t="n">
        <v>45803.55260416667</v>
      </c>
      <c r="C18" s="1" t="n">
        <v>45885</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45885</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2021-2022</t>
        </is>
      </c>
      <c r="B20" s="1" t="n">
        <v>44575</v>
      </c>
      <c r="C20" s="1" t="n">
        <v>45885</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45885</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45885</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45885</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45885</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45885</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45885</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27281-2025</t>
        </is>
      </c>
      <c r="B27" s="1" t="n">
        <v>45812</v>
      </c>
      <c r="C27" s="1" t="n">
        <v>45885</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61014-2021</t>
        </is>
      </c>
      <c r="B28" s="1" t="n">
        <v>44497</v>
      </c>
      <c r="C28" s="1" t="n">
        <v>45885</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24987-2025</t>
        </is>
      </c>
      <c r="B29" s="1" t="n">
        <v>45799.60315972222</v>
      </c>
      <c r="C29" s="1" t="n">
        <v>45885</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14836-2023</t>
        </is>
      </c>
      <c r="B30" s="1" t="n">
        <v>45013</v>
      </c>
      <c r="C30" s="1" t="n">
        <v>45885</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34459-2022</t>
        </is>
      </c>
      <c r="B31" s="1" t="n">
        <v>44792</v>
      </c>
      <c r="C31" s="1" t="n">
        <v>45885</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45885</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45885</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45885</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45885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45885</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45885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45885</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27625-2023</t>
        </is>
      </c>
      <c r="B39" s="1" t="n">
        <v>45097</v>
      </c>
      <c r="C39" s="1" t="n">
        <v>45885</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13546-2025</t>
        </is>
      </c>
      <c r="B40" s="1" t="n">
        <v>45736.53695601852</v>
      </c>
      <c r="C40" s="1" t="n">
        <v>45885</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23153-2022</t>
        </is>
      </c>
      <c r="B41" s="1" t="n">
        <v>44719</v>
      </c>
      <c r="C41" s="1" t="n">
        <v>45885</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45885</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45885</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45885</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15297-2022</t>
        </is>
      </c>
      <c r="B45" s="1" t="n">
        <v>44659</v>
      </c>
      <c r="C45" s="1" t="n">
        <v>45885</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33636-2025</t>
        </is>
      </c>
      <c r="B46" s="1" t="n">
        <v>45841.64539351852</v>
      </c>
      <c r="C46" s="1" t="n">
        <v>45885</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45885</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45885</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45885</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45885</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45885</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45885</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45885</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45885</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45885</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45885</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45885</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45885</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45885</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1124-2025</t>
        </is>
      </c>
      <c r="B60" s="1" t="n">
        <v>45666</v>
      </c>
      <c r="C60" s="1" t="n">
        <v>45885</v>
      </c>
      <c r="D60" t="inlineStr">
        <is>
          <t>UPPSALA LÄN</t>
        </is>
      </c>
      <c r="E60" t="inlineStr">
        <is>
          <t>UPPSALA</t>
        </is>
      </c>
      <c r="G60" t="n">
        <v>8.300000000000001</v>
      </c>
      <c r="H60" t="n">
        <v>1</v>
      </c>
      <c r="I60" t="n">
        <v>1</v>
      </c>
      <c r="J60" t="n">
        <v>0</v>
      </c>
      <c r="K60" t="n">
        <v>1</v>
      </c>
      <c r="L60" t="n">
        <v>0</v>
      </c>
      <c r="M60" t="n">
        <v>0</v>
      </c>
      <c r="N60" t="n">
        <v>0</v>
      </c>
      <c r="O60" t="n">
        <v>1</v>
      </c>
      <c r="P60" t="n">
        <v>1</v>
      </c>
      <c r="Q60" t="n">
        <v>2</v>
      </c>
      <c r="R60" s="2" t="inlineStr">
        <is>
          <t>Rynkskinn
Grön sköldmossa</t>
        </is>
      </c>
      <c r="S60">
        <f>HYPERLINK("https://klasma.github.io/Logging_0380/artfynd/A 1124-2025 artfynd.xlsx", "A 1124-2025")</f>
        <v/>
      </c>
      <c r="T60">
        <f>HYPERLINK("https://klasma.github.io/Logging_0380/kartor/A 1124-2025 karta.png", "A 1124-2025")</f>
        <v/>
      </c>
      <c r="V60">
        <f>HYPERLINK("https://klasma.github.io/Logging_0380/klagomål/A 1124-2025 FSC-klagomål.docx", "A 1124-2025")</f>
        <v/>
      </c>
      <c r="W60">
        <f>HYPERLINK("https://klasma.github.io/Logging_0380/klagomålsmail/A 1124-2025 FSC-klagomål mail.docx", "A 1124-2025")</f>
        <v/>
      </c>
      <c r="X60">
        <f>HYPERLINK("https://klasma.github.io/Logging_0380/tillsyn/A 1124-2025 tillsynsbegäran.docx", "A 1124-2025")</f>
        <v/>
      </c>
      <c r="Y60">
        <f>HYPERLINK("https://klasma.github.io/Logging_0380/tillsynsmail/A 1124-2025 tillsynsbegäran mail.docx", "A 1124-2025")</f>
        <v/>
      </c>
    </row>
    <row r="61" ht="15" customHeight="1">
      <c r="A61" t="inlineStr">
        <is>
          <t>A 9401-2025</t>
        </is>
      </c>
      <c r="B61" s="1" t="n">
        <v>45715.38105324074</v>
      </c>
      <c r="C61" s="1" t="n">
        <v>45885</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88-2024</t>
        </is>
      </c>
      <c r="B62" s="1" t="n">
        <v>45293</v>
      </c>
      <c r="C62" s="1" t="n">
        <v>45885</v>
      </c>
      <c r="D62" t="inlineStr">
        <is>
          <t>UPPSALA LÄN</t>
        </is>
      </c>
      <c r="E62" t="inlineStr">
        <is>
          <t>UPPSALA</t>
        </is>
      </c>
      <c r="G62" t="n">
        <v>2.1</v>
      </c>
      <c r="H62" t="n">
        <v>0</v>
      </c>
      <c r="I62" t="n">
        <v>0</v>
      </c>
      <c r="J62" t="n">
        <v>1</v>
      </c>
      <c r="K62" t="n">
        <v>0</v>
      </c>
      <c r="L62" t="n">
        <v>1</v>
      </c>
      <c r="M62" t="n">
        <v>0</v>
      </c>
      <c r="N62" t="n">
        <v>0</v>
      </c>
      <c r="O62" t="n">
        <v>2</v>
      </c>
      <c r="P62" t="n">
        <v>1</v>
      </c>
      <c r="Q62" t="n">
        <v>2</v>
      </c>
      <c r="R62" s="2" t="inlineStr">
        <is>
          <t>Ask
Gullklöver</t>
        </is>
      </c>
      <c r="S62">
        <f>HYPERLINK("https://klasma.github.io/Logging_0380/artfynd/A 88-2024 artfynd.xlsx", "A 88-2024")</f>
        <v/>
      </c>
      <c r="T62">
        <f>HYPERLINK("https://klasma.github.io/Logging_0380/kartor/A 88-2024 karta.png", "A 88-2024")</f>
        <v/>
      </c>
      <c r="V62">
        <f>HYPERLINK("https://klasma.github.io/Logging_0380/klagomål/A 88-2024 FSC-klagomål.docx", "A 88-2024")</f>
        <v/>
      </c>
      <c r="W62">
        <f>HYPERLINK("https://klasma.github.io/Logging_0380/klagomålsmail/A 88-2024 FSC-klagomål mail.docx", "A 88-2024")</f>
        <v/>
      </c>
      <c r="X62">
        <f>HYPERLINK("https://klasma.github.io/Logging_0380/tillsyn/A 88-2024 tillsynsbegäran.docx", "A 88-2024")</f>
        <v/>
      </c>
      <c r="Y62">
        <f>HYPERLINK("https://klasma.github.io/Logging_0380/tillsynsmail/A 88-2024 tillsynsbegäran mail.docx", "A 88-2024")</f>
        <v/>
      </c>
    </row>
    <row r="63" ht="15" customHeight="1">
      <c r="A63" t="inlineStr">
        <is>
          <t>A 58906-2021</t>
        </is>
      </c>
      <c r="B63" s="1" t="n">
        <v>44489</v>
      </c>
      <c r="C63" s="1" t="n">
        <v>45885</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45885</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18425-2025</t>
        </is>
      </c>
      <c r="B65" s="1" t="n">
        <v>45762.62260416667</v>
      </c>
      <c r="C65" s="1" t="n">
        <v>45885</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44675-2023</t>
        </is>
      </c>
      <c r="B66" s="1" t="n">
        <v>45189</v>
      </c>
      <c r="C66" s="1" t="n">
        <v>45885</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45885</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45885</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45885</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45885</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45885</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45885</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45885</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4657-2025</t>
        </is>
      </c>
      <c r="B74" s="1" t="n">
        <v>45687</v>
      </c>
      <c r="C74" s="1" t="n">
        <v>45885</v>
      </c>
      <c r="D74" t="inlineStr">
        <is>
          <t>UPPSALA LÄN</t>
        </is>
      </c>
      <c r="E74" t="inlineStr">
        <is>
          <t>UPPSALA</t>
        </is>
      </c>
      <c r="G74" t="n">
        <v>2.9</v>
      </c>
      <c r="H74" t="n">
        <v>1</v>
      </c>
      <c r="I74" t="n">
        <v>0</v>
      </c>
      <c r="J74" t="n">
        <v>1</v>
      </c>
      <c r="K74" t="n">
        <v>0</v>
      </c>
      <c r="L74" t="n">
        <v>0</v>
      </c>
      <c r="M74" t="n">
        <v>0</v>
      </c>
      <c r="N74" t="n">
        <v>0</v>
      </c>
      <c r="O74" t="n">
        <v>1</v>
      </c>
      <c r="P74" t="n">
        <v>0</v>
      </c>
      <c r="Q74" t="n">
        <v>1</v>
      </c>
      <c r="R74" s="2" t="inlineStr">
        <is>
          <t>Grönsångare</t>
        </is>
      </c>
      <c r="S74">
        <f>HYPERLINK("https://klasma.github.io/Logging_0380/artfynd/A 4657-2025 artfynd.xlsx", "A 4657-2025")</f>
        <v/>
      </c>
      <c r="T74">
        <f>HYPERLINK("https://klasma.github.io/Logging_0380/kartor/A 4657-2025 karta.png", "A 4657-2025")</f>
        <v/>
      </c>
      <c r="V74">
        <f>HYPERLINK("https://klasma.github.io/Logging_0380/klagomål/A 4657-2025 FSC-klagomål.docx", "A 4657-2025")</f>
        <v/>
      </c>
      <c r="W74">
        <f>HYPERLINK("https://klasma.github.io/Logging_0380/klagomålsmail/A 4657-2025 FSC-klagomål mail.docx", "A 4657-2025")</f>
        <v/>
      </c>
      <c r="X74">
        <f>HYPERLINK("https://klasma.github.io/Logging_0380/tillsyn/A 4657-2025 tillsynsbegäran.docx", "A 4657-2025")</f>
        <v/>
      </c>
      <c r="Y74">
        <f>HYPERLINK("https://klasma.github.io/Logging_0380/tillsynsmail/A 4657-2025 tillsynsbegäran mail.docx", "A 4657-2025")</f>
        <v/>
      </c>
      <c r="Z74">
        <f>HYPERLINK("https://klasma.github.io/Logging_0380/fåglar/A 4657-2025 prioriterade fågelarter.docx", "A 4657-2025")</f>
        <v/>
      </c>
    </row>
    <row r="75" ht="15" customHeight="1">
      <c r="A75" t="inlineStr">
        <is>
          <t>A 29906-2023</t>
        </is>
      </c>
      <c r="B75" s="1" t="n">
        <v>45107</v>
      </c>
      <c r="C75" s="1" t="n">
        <v>45885</v>
      </c>
      <c r="D75" t="inlineStr">
        <is>
          <t>UPPSALA LÄN</t>
        </is>
      </c>
      <c r="E75" t="inlineStr">
        <is>
          <t>UPPSALA</t>
        </is>
      </c>
      <c r="F75" t="inlineStr">
        <is>
          <t>Kyrkan</t>
        </is>
      </c>
      <c r="G75" t="n">
        <v>0.5</v>
      </c>
      <c r="H75" t="n">
        <v>0</v>
      </c>
      <c r="I75" t="n">
        <v>1</v>
      </c>
      <c r="J75" t="n">
        <v>0</v>
      </c>
      <c r="K75" t="n">
        <v>0</v>
      </c>
      <c r="L75" t="n">
        <v>0</v>
      </c>
      <c r="M75" t="n">
        <v>0</v>
      </c>
      <c r="N75" t="n">
        <v>0</v>
      </c>
      <c r="O75" t="n">
        <v>0</v>
      </c>
      <c r="P75" t="n">
        <v>0</v>
      </c>
      <c r="Q75" t="n">
        <v>1</v>
      </c>
      <c r="R75" s="2" t="inlineStr">
        <is>
          <t>Sotriska</t>
        </is>
      </c>
      <c r="S75">
        <f>HYPERLINK("https://klasma.github.io/Logging_0380/artfynd/A 29906-2023 artfynd.xlsx", "A 29906-2023")</f>
        <v/>
      </c>
      <c r="T75">
        <f>HYPERLINK("https://klasma.github.io/Logging_0380/kartor/A 29906-2023 karta.png", "A 29906-2023")</f>
        <v/>
      </c>
      <c r="V75">
        <f>HYPERLINK("https://klasma.github.io/Logging_0380/klagomål/A 29906-2023 FSC-klagomål.docx", "A 29906-2023")</f>
        <v/>
      </c>
      <c r="W75">
        <f>HYPERLINK("https://klasma.github.io/Logging_0380/klagomålsmail/A 29906-2023 FSC-klagomål mail.docx", "A 29906-2023")</f>
        <v/>
      </c>
      <c r="X75">
        <f>HYPERLINK("https://klasma.github.io/Logging_0380/tillsyn/A 29906-2023 tillsynsbegäran.docx", "A 29906-2023")</f>
        <v/>
      </c>
      <c r="Y75">
        <f>HYPERLINK("https://klasma.github.io/Logging_0380/tillsynsmail/A 29906-2023 tillsynsbegäran mail.docx", "A 29906-2023")</f>
        <v/>
      </c>
    </row>
    <row r="76" ht="15" customHeight="1">
      <c r="A76" t="inlineStr">
        <is>
          <t>A 39741-2023</t>
        </is>
      </c>
      <c r="B76" s="1" t="n">
        <v>45167</v>
      </c>
      <c r="C76" s="1" t="n">
        <v>45885</v>
      </c>
      <c r="D76" t="inlineStr">
        <is>
          <t>UPPSALA LÄN</t>
        </is>
      </c>
      <c r="E76" t="inlineStr">
        <is>
          <t>UPPSALA</t>
        </is>
      </c>
      <c r="G76" t="n">
        <v>5.6</v>
      </c>
      <c r="H76" t="n">
        <v>1</v>
      </c>
      <c r="I76" t="n">
        <v>0</v>
      </c>
      <c r="J76" t="n">
        <v>1</v>
      </c>
      <c r="K76" t="n">
        <v>0</v>
      </c>
      <c r="L76" t="n">
        <v>0</v>
      </c>
      <c r="M76" t="n">
        <v>0</v>
      </c>
      <c r="N76" t="n">
        <v>0</v>
      </c>
      <c r="O76" t="n">
        <v>1</v>
      </c>
      <c r="P76" t="n">
        <v>0</v>
      </c>
      <c r="Q76" t="n">
        <v>1</v>
      </c>
      <c r="R76" s="2" t="inlineStr">
        <is>
          <t>Entita</t>
        </is>
      </c>
      <c r="S76">
        <f>HYPERLINK("https://klasma.github.io/Logging_0380/artfynd/A 39741-2023 artfynd.xlsx", "A 39741-2023")</f>
        <v/>
      </c>
      <c r="T76">
        <f>HYPERLINK("https://klasma.github.io/Logging_0380/kartor/A 39741-2023 karta.png", "A 39741-2023")</f>
        <v/>
      </c>
      <c r="V76">
        <f>HYPERLINK("https://klasma.github.io/Logging_0380/klagomål/A 39741-2023 FSC-klagomål.docx", "A 39741-2023")</f>
        <v/>
      </c>
      <c r="W76">
        <f>HYPERLINK("https://klasma.github.io/Logging_0380/klagomålsmail/A 39741-2023 FSC-klagomål mail.docx", "A 39741-2023")</f>
        <v/>
      </c>
      <c r="X76">
        <f>HYPERLINK("https://klasma.github.io/Logging_0380/tillsyn/A 39741-2023 tillsynsbegäran.docx", "A 39741-2023")</f>
        <v/>
      </c>
      <c r="Y76">
        <f>HYPERLINK("https://klasma.github.io/Logging_0380/tillsynsmail/A 39741-2023 tillsynsbegäran mail.docx", "A 39741-2023")</f>
        <v/>
      </c>
      <c r="Z76">
        <f>HYPERLINK("https://klasma.github.io/Logging_0380/fåglar/A 39741-2023 prioriterade fågelarter.docx", "A 39741-2023")</f>
        <v/>
      </c>
    </row>
    <row r="77" ht="15" customHeight="1">
      <c r="A77" t="inlineStr">
        <is>
          <t>A 5750-2023</t>
        </is>
      </c>
      <c r="B77" s="1" t="n">
        <v>44963</v>
      </c>
      <c r="C77" s="1" t="n">
        <v>45885</v>
      </c>
      <c r="D77" t="inlineStr">
        <is>
          <t>UPPSALA LÄN</t>
        </is>
      </c>
      <c r="E77" t="inlineStr">
        <is>
          <t>UPPSALA</t>
        </is>
      </c>
      <c r="G77" t="n">
        <v>13.8</v>
      </c>
      <c r="H77" t="n">
        <v>0</v>
      </c>
      <c r="I77" t="n">
        <v>0</v>
      </c>
      <c r="J77" t="n">
        <v>0</v>
      </c>
      <c r="K77" t="n">
        <v>1</v>
      </c>
      <c r="L77" t="n">
        <v>0</v>
      </c>
      <c r="M77" t="n">
        <v>0</v>
      </c>
      <c r="N77" t="n">
        <v>0</v>
      </c>
      <c r="O77" t="n">
        <v>1</v>
      </c>
      <c r="P77" t="n">
        <v>1</v>
      </c>
      <c r="Q77" t="n">
        <v>1</v>
      </c>
      <c r="R77" s="2" t="inlineStr">
        <is>
          <t>Raggbock</t>
        </is>
      </c>
      <c r="S77">
        <f>HYPERLINK("https://klasma.github.io/Logging_0380/artfynd/A 5750-2023 artfynd.xlsx", "A 5750-2023")</f>
        <v/>
      </c>
      <c r="T77">
        <f>HYPERLINK("https://klasma.github.io/Logging_0380/kartor/A 5750-2023 karta.png", "A 5750-2023")</f>
        <v/>
      </c>
      <c r="V77">
        <f>HYPERLINK("https://klasma.github.io/Logging_0380/klagomål/A 5750-2023 FSC-klagomål.docx", "A 5750-2023")</f>
        <v/>
      </c>
      <c r="W77">
        <f>HYPERLINK("https://klasma.github.io/Logging_0380/klagomålsmail/A 5750-2023 FSC-klagomål mail.docx", "A 5750-2023")</f>
        <v/>
      </c>
      <c r="X77">
        <f>HYPERLINK("https://klasma.github.io/Logging_0380/tillsyn/A 5750-2023 tillsynsbegäran.docx", "A 5750-2023")</f>
        <v/>
      </c>
      <c r="Y77">
        <f>HYPERLINK("https://klasma.github.io/Logging_0380/tillsynsmail/A 5750-2023 tillsynsbegäran mail.docx", "A 5750-2023")</f>
        <v/>
      </c>
    </row>
    <row r="78" ht="15" customHeight="1">
      <c r="A78" t="inlineStr">
        <is>
          <t>A 25660-2025</t>
        </is>
      </c>
      <c r="B78" s="1" t="n">
        <v>45803.61554398148</v>
      </c>
      <c r="C78" s="1" t="n">
        <v>45885</v>
      </c>
      <c r="D78" t="inlineStr">
        <is>
          <t>UPPSALA LÄN</t>
        </is>
      </c>
      <c r="E78" t="inlineStr">
        <is>
          <t>UPPSALA</t>
        </is>
      </c>
      <c r="F78" t="inlineStr">
        <is>
          <t>Holmen skog AB</t>
        </is>
      </c>
      <c r="G78" t="n">
        <v>4.8</v>
      </c>
      <c r="H78" t="n">
        <v>0</v>
      </c>
      <c r="I78" t="n">
        <v>1</v>
      </c>
      <c r="J78" t="n">
        <v>0</v>
      </c>
      <c r="K78" t="n">
        <v>0</v>
      </c>
      <c r="L78" t="n">
        <v>0</v>
      </c>
      <c r="M78" t="n">
        <v>0</v>
      </c>
      <c r="N78" t="n">
        <v>0</v>
      </c>
      <c r="O78" t="n">
        <v>0</v>
      </c>
      <c r="P78" t="n">
        <v>0</v>
      </c>
      <c r="Q78" t="n">
        <v>1</v>
      </c>
      <c r="R78" s="2" t="inlineStr">
        <is>
          <t>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26135-2025</t>
        </is>
      </c>
      <c r="B79" s="1" t="n">
        <v>45805.41232638889</v>
      </c>
      <c r="C79" s="1" t="n">
        <v>45885</v>
      </c>
      <c r="D79" t="inlineStr">
        <is>
          <t>UPPSALA LÄN</t>
        </is>
      </c>
      <c r="E79" t="inlineStr">
        <is>
          <t>UPPSALA</t>
        </is>
      </c>
      <c r="F79" t="inlineStr">
        <is>
          <t>Holmen skog AB</t>
        </is>
      </c>
      <c r="G79" t="n">
        <v>3.1</v>
      </c>
      <c r="H79" t="n">
        <v>0</v>
      </c>
      <c r="I79" t="n">
        <v>0</v>
      </c>
      <c r="J79" t="n">
        <v>1</v>
      </c>
      <c r="K79" t="n">
        <v>0</v>
      </c>
      <c r="L79" t="n">
        <v>0</v>
      </c>
      <c r="M79" t="n">
        <v>0</v>
      </c>
      <c r="N79" t="n">
        <v>0</v>
      </c>
      <c r="O79" t="n">
        <v>1</v>
      </c>
      <c r="P79" t="n">
        <v>0</v>
      </c>
      <c r="Q79" t="n">
        <v>1</v>
      </c>
      <c r="R79" s="2" t="inlineStr">
        <is>
          <t>Vedtrappmossa</t>
        </is>
      </c>
      <c r="S79">
        <f>HYPERLINK("https://klasma.github.io/Logging_0380/artfynd/A 26135-2025 artfynd.xlsx", "A 26135-2025")</f>
        <v/>
      </c>
      <c r="T79">
        <f>HYPERLINK("https://klasma.github.io/Logging_0380/kartor/A 26135-2025 karta.png", "A 26135-2025")</f>
        <v/>
      </c>
      <c r="V79">
        <f>HYPERLINK("https://klasma.github.io/Logging_0380/klagomål/A 26135-2025 FSC-klagomål.docx", "A 26135-2025")</f>
        <v/>
      </c>
      <c r="W79">
        <f>HYPERLINK("https://klasma.github.io/Logging_0380/klagomålsmail/A 26135-2025 FSC-klagomål mail.docx", "A 26135-2025")</f>
        <v/>
      </c>
      <c r="X79">
        <f>HYPERLINK("https://klasma.github.io/Logging_0380/tillsyn/A 26135-2025 tillsynsbegäran.docx", "A 26135-2025")</f>
        <v/>
      </c>
      <c r="Y79">
        <f>HYPERLINK("https://klasma.github.io/Logging_0380/tillsynsmail/A 26135-2025 tillsynsbegäran mail.docx", "A 26135-2025")</f>
        <v/>
      </c>
    </row>
    <row r="80" ht="15" customHeight="1">
      <c r="A80" t="inlineStr">
        <is>
          <t>A 25729-2024</t>
        </is>
      </c>
      <c r="B80" s="1" t="n">
        <v>45464</v>
      </c>
      <c r="C80" s="1" t="n">
        <v>45885</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43192-2020</t>
        </is>
      </c>
      <c r="B81" s="1" t="n">
        <v>44081</v>
      </c>
      <c r="C81" s="1" t="n">
        <v>45885</v>
      </c>
      <c r="D81" t="inlineStr">
        <is>
          <t>UPPSALA LÄN</t>
        </is>
      </c>
      <c r="E81" t="inlineStr">
        <is>
          <t>UPPSALA</t>
        </is>
      </c>
      <c r="G81" t="n">
        <v>16.5</v>
      </c>
      <c r="H81" t="n">
        <v>0</v>
      </c>
      <c r="I81" t="n">
        <v>0</v>
      </c>
      <c r="J81" t="n">
        <v>1</v>
      </c>
      <c r="K81" t="n">
        <v>0</v>
      </c>
      <c r="L81" t="n">
        <v>0</v>
      </c>
      <c r="M81" t="n">
        <v>0</v>
      </c>
      <c r="N81" t="n">
        <v>0</v>
      </c>
      <c r="O81" t="n">
        <v>1</v>
      </c>
      <c r="P81" t="n">
        <v>0</v>
      </c>
      <c r="Q81" t="n">
        <v>1</v>
      </c>
      <c r="R81" s="2" t="inlineStr">
        <is>
          <t>Lunglav</t>
        </is>
      </c>
      <c r="S81">
        <f>HYPERLINK("https://klasma.github.io/Logging_0380/artfynd/A 43192-2020 artfynd.xlsx", "A 43192-2020")</f>
        <v/>
      </c>
      <c r="T81">
        <f>HYPERLINK("https://klasma.github.io/Logging_0380/kartor/A 43192-2020 karta.png", "A 43192-2020")</f>
        <v/>
      </c>
      <c r="V81">
        <f>HYPERLINK("https://klasma.github.io/Logging_0380/klagomål/A 43192-2020 FSC-klagomål.docx", "A 43192-2020")</f>
        <v/>
      </c>
      <c r="W81">
        <f>HYPERLINK("https://klasma.github.io/Logging_0380/klagomålsmail/A 43192-2020 FSC-klagomål mail.docx", "A 43192-2020")</f>
        <v/>
      </c>
      <c r="X81">
        <f>HYPERLINK("https://klasma.github.io/Logging_0380/tillsyn/A 43192-2020 tillsynsbegäran.docx", "A 43192-2020")</f>
        <v/>
      </c>
      <c r="Y81">
        <f>HYPERLINK("https://klasma.github.io/Logging_0380/tillsynsmail/A 43192-2020 tillsynsbegäran mail.docx", "A 43192-2020")</f>
        <v/>
      </c>
    </row>
    <row r="82" ht="15" customHeight="1">
      <c r="A82" t="inlineStr">
        <is>
          <t>A 27848-2023</t>
        </is>
      </c>
      <c r="B82" s="1" t="n">
        <v>45098</v>
      </c>
      <c r="C82" s="1" t="n">
        <v>45885</v>
      </c>
      <c r="D82" t="inlineStr">
        <is>
          <t>UPPSALA LÄN</t>
        </is>
      </c>
      <c r="E82" t="inlineStr">
        <is>
          <t>UPPSALA</t>
        </is>
      </c>
      <c r="G82" t="n">
        <v>14.3</v>
      </c>
      <c r="H82" t="n">
        <v>0</v>
      </c>
      <c r="I82" t="n">
        <v>1</v>
      </c>
      <c r="J82" t="n">
        <v>0</v>
      </c>
      <c r="K82" t="n">
        <v>0</v>
      </c>
      <c r="L82" t="n">
        <v>0</v>
      </c>
      <c r="M82" t="n">
        <v>0</v>
      </c>
      <c r="N82" t="n">
        <v>0</v>
      </c>
      <c r="O82" t="n">
        <v>0</v>
      </c>
      <c r="P82" t="n">
        <v>0</v>
      </c>
      <c r="Q82" t="n">
        <v>1</v>
      </c>
      <c r="R82" s="2" t="inlineStr">
        <is>
          <t>Blåmossa</t>
        </is>
      </c>
      <c r="S82">
        <f>HYPERLINK("https://klasma.github.io/Logging_0380/artfynd/A 27848-2023 artfynd.xlsx", "A 27848-2023")</f>
        <v/>
      </c>
      <c r="T82">
        <f>HYPERLINK("https://klasma.github.io/Logging_0380/kartor/A 27848-2023 karta.png", "A 27848-2023")</f>
        <v/>
      </c>
      <c r="V82">
        <f>HYPERLINK("https://klasma.github.io/Logging_0380/klagomål/A 27848-2023 FSC-klagomål.docx", "A 27848-2023")</f>
        <v/>
      </c>
      <c r="W82">
        <f>HYPERLINK("https://klasma.github.io/Logging_0380/klagomålsmail/A 27848-2023 FSC-klagomål mail.docx", "A 27848-2023")</f>
        <v/>
      </c>
      <c r="X82">
        <f>HYPERLINK("https://klasma.github.io/Logging_0380/tillsyn/A 27848-2023 tillsynsbegäran.docx", "A 27848-2023")</f>
        <v/>
      </c>
      <c r="Y82">
        <f>HYPERLINK("https://klasma.github.io/Logging_0380/tillsynsmail/A 27848-2023 tillsynsbegäran mail.docx", "A 27848-2023")</f>
        <v/>
      </c>
    </row>
    <row r="83" ht="15" customHeight="1">
      <c r="A83" t="inlineStr">
        <is>
          <t>A 60055-2022</t>
        </is>
      </c>
      <c r="B83" s="1" t="n">
        <v>44909</v>
      </c>
      <c r="C83" s="1" t="n">
        <v>45885</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45885</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45885</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9206-2024</t>
        </is>
      </c>
      <c r="B86" s="1" t="n">
        <v>45358</v>
      </c>
      <c r="C86" s="1" t="n">
        <v>45885</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26923-2025</t>
        </is>
      </c>
      <c r="B87" s="1" t="n">
        <v>45811.38710648148</v>
      </c>
      <c r="C87" s="1" t="n">
        <v>45885</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3304-2025</t>
        </is>
      </c>
      <c r="B88" s="1" t="n">
        <v>45679</v>
      </c>
      <c r="C88" s="1" t="n">
        <v>45885</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28299-2025</t>
        </is>
      </c>
      <c r="B89" s="1" t="n">
        <v>45818.60254629629</v>
      </c>
      <c r="C89" s="1" t="n">
        <v>45885</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27824-2025</t>
        </is>
      </c>
      <c r="B90" s="1" t="n">
        <v>45817.34614583333</v>
      </c>
      <c r="C90" s="1" t="n">
        <v>45885</v>
      </c>
      <c r="D90" t="inlineStr">
        <is>
          <t>UPPSALA LÄN</t>
        </is>
      </c>
      <c r="E90" t="inlineStr">
        <is>
          <t>UPPSALA</t>
        </is>
      </c>
      <c r="F90" t="inlineStr">
        <is>
          <t>Kyrkan</t>
        </is>
      </c>
      <c r="G90" t="n">
        <v>3.3</v>
      </c>
      <c r="H90" t="n">
        <v>0</v>
      </c>
      <c r="I90" t="n">
        <v>1</v>
      </c>
      <c r="J90" t="n">
        <v>0</v>
      </c>
      <c r="K90" t="n">
        <v>0</v>
      </c>
      <c r="L90" t="n">
        <v>0</v>
      </c>
      <c r="M90" t="n">
        <v>0</v>
      </c>
      <c r="N90" t="n">
        <v>0</v>
      </c>
      <c r="O90" t="n">
        <v>0</v>
      </c>
      <c r="P90" t="n">
        <v>0</v>
      </c>
      <c r="Q90" t="n">
        <v>1</v>
      </c>
      <c r="R90" s="2" t="inlineStr">
        <is>
          <t>Sårläka</t>
        </is>
      </c>
      <c r="S90">
        <f>HYPERLINK("https://klasma.github.io/Logging_0380/artfynd/A 27824-2025 artfynd.xlsx", "A 27824-2025")</f>
        <v/>
      </c>
      <c r="T90">
        <f>HYPERLINK("https://klasma.github.io/Logging_0380/kartor/A 27824-2025 karta.png", "A 27824-2025")</f>
        <v/>
      </c>
      <c r="V90">
        <f>HYPERLINK("https://klasma.github.io/Logging_0380/klagomål/A 27824-2025 FSC-klagomål.docx", "A 27824-2025")</f>
        <v/>
      </c>
      <c r="W90">
        <f>HYPERLINK("https://klasma.github.io/Logging_0380/klagomålsmail/A 27824-2025 FSC-klagomål mail.docx", "A 27824-2025")</f>
        <v/>
      </c>
      <c r="X90">
        <f>HYPERLINK("https://klasma.github.io/Logging_0380/tillsyn/A 27824-2025 tillsynsbegäran.docx", "A 27824-2025")</f>
        <v/>
      </c>
      <c r="Y90">
        <f>HYPERLINK("https://klasma.github.io/Logging_0380/tillsynsmail/A 27824-2025 tillsynsbegäran mail.docx", "A 27824-2025")</f>
        <v/>
      </c>
    </row>
    <row r="91" ht="15" customHeight="1">
      <c r="A91" t="inlineStr">
        <is>
          <t>A 18624-2025</t>
        </is>
      </c>
      <c r="B91" s="1" t="n">
        <v>45763.52524305556</v>
      </c>
      <c r="C91" s="1" t="n">
        <v>45885</v>
      </c>
      <c r="D91" t="inlineStr">
        <is>
          <t>UPPSALA LÄN</t>
        </is>
      </c>
      <c r="E91" t="inlineStr">
        <is>
          <t>UPPSALA</t>
        </is>
      </c>
      <c r="G91" t="n">
        <v>5</v>
      </c>
      <c r="H91" t="n">
        <v>0</v>
      </c>
      <c r="I91" t="n">
        <v>1</v>
      </c>
      <c r="J91" t="n">
        <v>0</v>
      </c>
      <c r="K91" t="n">
        <v>0</v>
      </c>
      <c r="L91" t="n">
        <v>0</v>
      </c>
      <c r="M91" t="n">
        <v>0</v>
      </c>
      <c r="N91" t="n">
        <v>0</v>
      </c>
      <c r="O91" t="n">
        <v>0</v>
      </c>
      <c r="P91" t="n">
        <v>0</v>
      </c>
      <c r="Q91" t="n">
        <v>1</v>
      </c>
      <c r="R91" s="2" t="inlineStr">
        <is>
          <t>Blåmossa</t>
        </is>
      </c>
      <c r="S91">
        <f>HYPERLINK("https://klasma.github.io/Logging_0380/artfynd/A 18624-2025 artfynd.xlsx", "A 18624-2025")</f>
        <v/>
      </c>
      <c r="T91">
        <f>HYPERLINK("https://klasma.github.io/Logging_0380/kartor/A 18624-2025 karta.png", "A 18624-2025")</f>
        <v/>
      </c>
      <c r="V91">
        <f>HYPERLINK("https://klasma.github.io/Logging_0380/klagomål/A 18624-2025 FSC-klagomål.docx", "A 18624-2025")</f>
        <v/>
      </c>
      <c r="W91">
        <f>HYPERLINK("https://klasma.github.io/Logging_0380/klagomålsmail/A 18624-2025 FSC-klagomål mail.docx", "A 18624-2025")</f>
        <v/>
      </c>
      <c r="X91">
        <f>HYPERLINK("https://klasma.github.io/Logging_0380/tillsyn/A 18624-2025 tillsynsbegäran.docx", "A 18624-2025")</f>
        <v/>
      </c>
      <c r="Y91">
        <f>HYPERLINK("https://klasma.github.io/Logging_0380/tillsynsmail/A 18624-2025 tillsynsbegäran mail.docx", "A 18624-2025")</f>
        <v/>
      </c>
    </row>
    <row r="92" ht="15" customHeight="1">
      <c r="A92" t="inlineStr">
        <is>
          <t>A 28056-2025</t>
        </is>
      </c>
      <c r="B92" s="1" t="n">
        <v>45817</v>
      </c>
      <c r="C92" s="1" t="n">
        <v>45885</v>
      </c>
      <c r="D92" t="inlineStr">
        <is>
          <t>UPPSALA LÄN</t>
        </is>
      </c>
      <c r="E92" t="inlineStr">
        <is>
          <t>UPPSALA</t>
        </is>
      </c>
      <c r="G92" t="n">
        <v>19.3</v>
      </c>
      <c r="H92" t="n">
        <v>1</v>
      </c>
      <c r="I92" t="n">
        <v>0</v>
      </c>
      <c r="J92" t="n">
        <v>0</v>
      </c>
      <c r="K92" t="n">
        <v>1</v>
      </c>
      <c r="L92" t="n">
        <v>0</v>
      </c>
      <c r="M92" t="n">
        <v>0</v>
      </c>
      <c r="N92" t="n">
        <v>0</v>
      </c>
      <c r="O92" t="n">
        <v>1</v>
      </c>
      <c r="P92" t="n">
        <v>1</v>
      </c>
      <c r="Q92" t="n">
        <v>1</v>
      </c>
      <c r="R92" s="2" t="inlineStr">
        <is>
          <t>Knärot</t>
        </is>
      </c>
      <c r="S92">
        <f>HYPERLINK("https://klasma.github.io/Logging_0380/artfynd/A 28056-2025 artfynd.xlsx", "A 28056-2025")</f>
        <v/>
      </c>
      <c r="T92">
        <f>HYPERLINK("https://klasma.github.io/Logging_0380/kartor/A 28056-2025 karta.png", "A 28056-2025")</f>
        <v/>
      </c>
      <c r="U92">
        <f>HYPERLINK("https://klasma.github.io/Logging_0380/knärot/A 28056-2025 karta knärot.png", "A 28056-2025")</f>
        <v/>
      </c>
      <c r="V92">
        <f>HYPERLINK("https://klasma.github.io/Logging_0380/klagomål/A 28056-2025 FSC-klagomål.docx", "A 28056-2025")</f>
        <v/>
      </c>
      <c r="W92">
        <f>HYPERLINK("https://klasma.github.io/Logging_0380/klagomålsmail/A 28056-2025 FSC-klagomål mail.docx", "A 28056-2025")</f>
        <v/>
      </c>
      <c r="X92">
        <f>HYPERLINK("https://klasma.github.io/Logging_0380/tillsyn/A 28056-2025 tillsynsbegäran.docx", "A 28056-2025")</f>
        <v/>
      </c>
      <c r="Y92">
        <f>HYPERLINK("https://klasma.github.io/Logging_0380/tillsynsmail/A 28056-2025 tillsynsbegäran mail.docx", "A 28056-2025")</f>
        <v/>
      </c>
    </row>
    <row r="93" ht="15" customHeight="1">
      <c r="A93" t="inlineStr">
        <is>
          <t>A 13526-2025</t>
        </is>
      </c>
      <c r="B93" s="1" t="n">
        <v>45736.49902777778</v>
      </c>
      <c r="C93" s="1" t="n">
        <v>45885</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28950-2025</t>
        </is>
      </c>
      <c r="B94" s="1" t="n">
        <v>45820.84516203704</v>
      </c>
      <c r="C94" s="1" t="n">
        <v>45885</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45885</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6044-2024</t>
        </is>
      </c>
      <c r="B96" s="1" t="n">
        <v>45336</v>
      </c>
      <c r="C96" s="1" t="n">
        <v>45885</v>
      </c>
      <c r="D96" t="inlineStr">
        <is>
          <t>UPPSALA LÄN</t>
        </is>
      </c>
      <c r="E96" t="inlineStr">
        <is>
          <t>UPPSALA</t>
        </is>
      </c>
      <c r="F96" t="inlineStr">
        <is>
          <t>Holmen skog AB</t>
        </is>
      </c>
      <c r="G96" t="n">
        <v>7.4</v>
      </c>
      <c r="H96" t="n">
        <v>0</v>
      </c>
      <c r="I96" t="n">
        <v>0</v>
      </c>
      <c r="J96" t="n">
        <v>1</v>
      </c>
      <c r="K96" t="n">
        <v>0</v>
      </c>
      <c r="L96" t="n">
        <v>0</v>
      </c>
      <c r="M96" t="n">
        <v>0</v>
      </c>
      <c r="N96" t="n">
        <v>0</v>
      </c>
      <c r="O96" t="n">
        <v>1</v>
      </c>
      <c r="P96" t="n">
        <v>0</v>
      </c>
      <c r="Q96" t="n">
        <v>1</v>
      </c>
      <c r="R96" s="2" t="inlineStr">
        <is>
          <t>Gul dropplav</t>
        </is>
      </c>
      <c r="S96">
        <f>HYPERLINK("https://klasma.github.io/Logging_0380/artfynd/A 6044-2024 artfynd.xlsx", "A 6044-2024")</f>
        <v/>
      </c>
      <c r="T96">
        <f>HYPERLINK("https://klasma.github.io/Logging_0380/kartor/A 6044-2024 karta.png", "A 6044-2024")</f>
        <v/>
      </c>
      <c r="V96">
        <f>HYPERLINK("https://klasma.github.io/Logging_0380/klagomål/A 6044-2024 FSC-klagomål.docx", "A 6044-2024")</f>
        <v/>
      </c>
      <c r="W96">
        <f>HYPERLINK("https://klasma.github.io/Logging_0380/klagomålsmail/A 6044-2024 FSC-klagomål mail.docx", "A 6044-2024")</f>
        <v/>
      </c>
      <c r="X96">
        <f>HYPERLINK("https://klasma.github.io/Logging_0380/tillsyn/A 6044-2024 tillsynsbegäran.docx", "A 6044-2024")</f>
        <v/>
      </c>
      <c r="Y96">
        <f>HYPERLINK("https://klasma.github.io/Logging_0380/tillsynsmail/A 6044-2024 tillsynsbegäran mail.docx", "A 6044-2024")</f>
        <v/>
      </c>
    </row>
    <row r="97" ht="15" customHeight="1">
      <c r="A97" t="inlineStr">
        <is>
          <t>A 37004-2025</t>
        </is>
      </c>
      <c r="B97" s="1" t="n">
        <v>45874.69282407407</v>
      </c>
      <c r="C97" s="1" t="n">
        <v>45885</v>
      </c>
      <c r="D97" t="inlineStr">
        <is>
          <t>UPPSALA LÄN</t>
        </is>
      </c>
      <c r="E97" t="inlineStr">
        <is>
          <t>UPPSALA</t>
        </is>
      </c>
      <c r="G97" t="n">
        <v>15.8</v>
      </c>
      <c r="H97" t="n">
        <v>1</v>
      </c>
      <c r="I97" t="n">
        <v>0</v>
      </c>
      <c r="J97" t="n">
        <v>0</v>
      </c>
      <c r="K97" t="n">
        <v>0</v>
      </c>
      <c r="L97" t="n">
        <v>0</v>
      </c>
      <c r="M97" t="n">
        <v>0</v>
      </c>
      <c r="N97" t="n">
        <v>0</v>
      </c>
      <c r="O97" t="n">
        <v>0</v>
      </c>
      <c r="P97" t="n">
        <v>0</v>
      </c>
      <c r="Q97" t="n">
        <v>1</v>
      </c>
      <c r="R97" s="2" t="inlineStr">
        <is>
          <t>Vanlig padda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row>
    <row r="98" ht="15" customHeight="1">
      <c r="A98" t="inlineStr">
        <is>
          <t>A 36842-2025</t>
        </is>
      </c>
      <c r="B98" s="1" t="n">
        <v>45874</v>
      </c>
      <c r="C98" s="1" t="n">
        <v>45885</v>
      </c>
      <c r="D98" t="inlineStr">
        <is>
          <t>UPPSALA LÄN</t>
        </is>
      </c>
      <c r="E98" t="inlineStr">
        <is>
          <t>UPPSALA</t>
        </is>
      </c>
      <c r="G98" t="n">
        <v>9.9</v>
      </c>
      <c r="H98" t="n">
        <v>0</v>
      </c>
      <c r="I98" t="n">
        <v>1</v>
      </c>
      <c r="J98" t="n">
        <v>0</v>
      </c>
      <c r="K98" t="n">
        <v>0</v>
      </c>
      <c r="L98" t="n">
        <v>0</v>
      </c>
      <c r="M98" t="n">
        <v>0</v>
      </c>
      <c r="N98" t="n">
        <v>0</v>
      </c>
      <c r="O98" t="n">
        <v>0</v>
      </c>
      <c r="P98" t="n">
        <v>0</v>
      </c>
      <c r="Q98" t="n">
        <v>1</v>
      </c>
      <c r="R98" s="2" t="inlineStr">
        <is>
          <t>Vedticka</t>
        </is>
      </c>
      <c r="S98">
        <f>HYPERLINK("https://klasma.github.io/Logging_0380/artfynd/A 36842-2025 artfynd.xlsx", "A 36842-2025")</f>
        <v/>
      </c>
      <c r="T98">
        <f>HYPERLINK("https://klasma.github.io/Logging_0380/kartor/A 36842-2025 karta.png", "A 36842-2025")</f>
        <v/>
      </c>
      <c r="V98">
        <f>HYPERLINK("https://klasma.github.io/Logging_0380/klagomål/A 36842-2025 FSC-klagomål.docx", "A 36842-2025")</f>
        <v/>
      </c>
      <c r="W98">
        <f>HYPERLINK("https://klasma.github.io/Logging_0380/klagomålsmail/A 36842-2025 FSC-klagomål mail.docx", "A 36842-2025")</f>
        <v/>
      </c>
      <c r="X98">
        <f>HYPERLINK("https://klasma.github.io/Logging_0380/tillsyn/A 36842-2025 tillsynsbegäran.docx", "A 36842-2025")</f>
        <v/>
      </c>
      <c r="Y98">
        <f>HYPERLINK("https://klasma.github.io/Logging_0380/tillsynsmail/A 36842-2025 tillsynsbegäran mail.docx", "A 36842-2025")</f>
        <v/>
      </c>
    </row>
    <row r="99" ht="15" customHeight="1">
      <c r="A99" t="inlineStr">
        <is>
          <t>A 844-2025</t>
        </is>
      </c>
      <c r="B99" s="1" t="n">
        <v>45665</v>
      </c>
      <c r="C99" s="1" t="n">
        <v>45885</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45885</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45885</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57793-2022</t>
        </is>
      </c>
      <c r="B102" s="1" t="n">
        <v>44897</v>
      </c>
      <c r="C102" s="1" t="n">
        <v>45885</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Talltita</t>
        </is>
      </c>
      <c r="S102">
        <f>HYPERLINK("https://klasma.github.io/Logging_0380/artfynd/A 57793-2022 artfynd.xlsx", "A 57793-2022")</f>
        <v/>
      </c>
      <c r="T102">
        <f>HYPERLINK("https://klasma.github.io/Logging_0380/kartor/A 57793-2022 karta.png", "A 57793-2022")</f>
        <v/>
      </c>
      <c r="V102">
        <f>HYPERLINK("https://klasma.github.io/Logging_0380/klagomål/A 57793-2022 FSC-klagomål.docx", "A 57793-2022")</f>
        <v/>
      </c>
      <c r="W102">
        <f>HYPERLINK("https://klasma.github.io/Logging_0380/klagomålsmail/A 57793-2022 FSC-klagomål mail.docx", "A 57793-2022")</f>
        <v/>
      </c>
      <c r="X102">
        <f>HYPERLINK("https://klasma.github.io/Logging_0380/tillsyn/A 57793-2022 tillsynsbegäran.docx", "A 57793-2022")</f>
        <v/>
      </c>
      <c r="Y102">
        <f>HYPERLINK("https://klasma.github.io/Logging_0380/tillsynsmail/A 57793-2022 tillsynsbegäran mail.docx", "A 57793-2022")</f>
        <v/>
      </c>
      <c r="Z102">
        <f>HYPERLINK("https://klasma.github.io/Logging_0380/fåglar/A 57793-2022 prioriterade fågelarter.docx", "A 57793-2022")</f>
        <v/>
      </c>
    </row>
    <row r="103" ht="15" customHeight="1">
      <c r="A103" t="inlineStr">
        <is>
          <t>A 13363-2022</t>
        </is>
      </c>
      <c r="B103" s="1" t="n">
        <v>44645</v>
      </c>
      <c r="C103" s="1" t="n">
        <v>45885</v>
      </c>
      <c r="D103" t="inlineStr">
        <is>
          <t>UPPSALA LÄN</t>
        </is>
      </c>
      <c r="E103" t="inlineStr">
        <is>
          <t>UPPSALA</t>
        </is>
      </c>
      <c r="F103" t="inlineStr">
        <is>
          <t>Övriga Aktiebolag</t>
        </is>
      </c>
      <c r="G103" t="n">
        <v>9.4</v>
      </c>
      <c r="H103" t="n">
        <v>1</v>
      </c>
      <c r="I103" t="n">
        <v>0</v>
      </c>
      <c r="J103" t="n">
        <v>0</v>
      </c>
      <c r="K103" t="n">
        <v>0</v>
      </c>
      <c r="L103" t="n">
        <v>0</v>
      </c>
      <c r="M103" t="n">
        <v>0</v>
      </c>
      <c r="N103" t="n">
        <v>0</v>
      </c>
      <c r="O103" t="n">
        <v>0</v>
      </c>
      <c r="P103" t="n">
        <v>0</v>
      </c>
      <c r="Q103" t="n">
        <v>1</v>
      </c>
      <c r="R103" s="2" t="inlineStr">
        <is>
          <t>Huggorm</t>
        </is>
      </c>
      <c r="S103">
        <f>HYPERLINK("https://klasma.github.io/Logging_0380/artfynd/A 13363-2022 artfynd.xlsx", "A 13363-2022")</f>
        <v/>
      </c>
      <c r="T103">
        <f>HYPERLINK("https://klasma.github.io/Logging_0380/kartor/A 13363-2022 karta.png", "A 13363-2022")</f>
        <v/>
      </c>
      <c r="V103">
        <f>HYPERLINK("https://klasma.github.io/Logging_0380/klagomål/A 13363-2022 FSC-klagomål.docx", "A 13363-2022")</f>
        <v/>
      </c>
      <c r="W103">
        <f>HYPERLINK("https://klasma.github.io/Logging_0380/klagomålsmail/A 13363-2022 FSC-klagomål mail.docx", "A 13363-2022")</f>
        <v/>
      </c>
      <c r="X103">
        <f>HYPERLINK("https://klasma.github.io/Logging_0380/tillsyn/A 13363-2022 tillsynsbegäran.docx", "A 13363-2022")</f>
        <v/>
      </c>
      <c r="Y103">
        <f>HYPERLINK("https://klasma.github.io/Logging_0380/tillsynsmail/A 13363-2022 tillsynsbegäran mail.docx", "A 13363-2022")</f>
        <v/>
      </c>
    </row>
    <row r="104" ht="15" customHeight="1">
      <c r="A104" t="inlineStr">
        <is>
          <t>A 46634-2022</t>
        </is>
      </c>
      <c r="B104" s="1" t="n">
        <v>44849</v>
      </c>
      <c r="C104" s="1" t="n">
        <v>45885</v>
      </c>
      <c r="D104" t="inlineStr">
        <is>
          <t>UPPSALA LÄN</t>
        </is>
      </c>
      <c r="E104" t="inlineStr">
        <is>
          <t>UPPSALA</t>
        </is>
      </c>
      <c r="G104" t="n">
        <v>2.9</v>
      </c>
      <c r="H104" t="n">
        <v>0</v>
      </c>
      <c r="I104" t="n">
        <v>1</v>
      </c>
      <c r="J104" t="n">
        <v>0</v>
      </c>
      <c r="K104" t="n">
        <v>0</v>
      </c>
      <c r="L104" t="n">
        <v>0</v>
      </c>
      <c r="M104" t="n">
        <v>0</v>
      </c>
      <c r="N104" t="n">
        <v>0</v>
      </c>
      <c r="O104" t="n">
        <v>0</v>
      </c>
      <c r="P104" t="n">
        <v>0</v>
      </c>
      <c r="Q104" t="n">
        <v>1</v>
      </c>
      <c r="R104" s="2" t="inlineStr">
        <is>
          <t>Fjällig taggsvamp s.str.</t>
        </is>
      </c>
      <c r="S104">
        <f>HYPERLINK("https://klasma.github.io/Logging_0380/artfynd/A 46634-2022 artfynd.xlsx", "A 46634-2022")</f>
        <v/>
      </c>
      <c r="T104">
        <f>HYPERLINK("https://klasma.github.io/Logging_0380/kartor/A 46634-2022 karta.png", "A 46634-2022")</f>
        <v/>
      </c>
      <c r="V104">
        <f>HYPERLINK("https://klasma.github.io/Logging_0380/klagomål/A 46634-2022 FSC-klagomål.docx", "A 46634-2022")</f>
        <v/>
      </c>
      <c r="W104">
        <f>HYPERLINK("https://klasma.github.io/Logging_0380/klagomålsmail/A 46634-2022 FSC-klagomål mail.docx", "A 46634-2022")</f>
        <v/>
      </c>
      <c r="X104">
        <f>HYPERLINK("https://klasma.github.io/Logging_0380/tillsyn/A 46634-2022 tillsynsbegäran.docx", "A 46634-2022")</f>
        <v/>
      </c>
      <c r="Y104">
        <f>HYPERLINK("https://klasma.github.io/Logging_0380/tillsynsmail/A 46634-2022 tillsynsbegäran mail.docx", "A 46634-2022")</f>
        <v/>
      </c>
    </row>
    <row r="105" ht="15" customHeight="1">
      <c r="A105" t="inlineStr">
        <is>
          <t>A 5009-2023</t>
        </is>
      </c>
      <c r="B105" s="1" t="n">
        <v>44958</v>
      </c>
      <c r="C105" s="1" t="n">
        <v>45885</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52849-2021</t>
        </is>
      </c>
      <c r="B106" s="1" t="n">
        <v>44467</v>
      </c>
      <c r="C106" s="1" t="n">
        <v>45885</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45885</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45885</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45885</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45885</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45885</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45885</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45885</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45885</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45885</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45885</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45885</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45885</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45885</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45885</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45885</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45885</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45885</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45885</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45885</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45885</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45885</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45885</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45885</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45885</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45885</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45885</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45885</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45885</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45885</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7124-2022</t>
        </is>
      </c>
      <c r="B136" s="1" t="n">
        <v>44603</v>
      </c>
      <c r="C136" s="1" t="n">
        <v>45885</v>
      </c>
      <c r="D136" t="inlineStr">
        <is>
          <t>UPPSALA LÄN</t>
        </is>
      </c>
      <c r="E136" t="inlineStr">
        <is>
          <t>UPPSALA</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45885</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1148-2022</t>
        </is>
      </c>
      <c r="B138" s="1" t="n">
        <v>44572.39640046296</v>
      </c>
      <c r="C138" s="1" t="n">
        <v>45885</v>
      </c>
      <c r="D138" t="inlineStr">
        <is>
          <t>UPPSALA LÄN</t>
        </is>
      </c>
      <c r="E138" t="inlineStr">
        <is>
          <t>UPPSALA</t>
        </is>
      </c>
      <c r="F138" t="inlineStr">
        <is>
          <t>Kyrkan</t>
        </is>
      </c>
      <c r="G138" t="n">
        <v>0.5</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45885</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45885</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45885</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45885</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45885</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45885</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45885</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45885</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45885</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45885</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45885</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45885</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45885</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45885</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45885</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45885</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45885</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45885</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45885</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45885</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45885</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45885</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45885</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45885</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27365-2021</t>
        </is>
      </c>
      <c r="B163" s="1" t="n">
        <v>44351</v>
      </c>
      <c r="C163" s="1" t="n">
        <v>45885</v>
      </c>
      <c r="D163" t="inlineStr">
        <is>
          <t>UPPSALA LÄN</t>
        </is>
      </c>
      <c r="E163" t="inlineStr">
        <is>
          <t>UPPSALA</t>
        </is>
      </c>
      <c r="F163" t="inlineStr">
        <is>
          <t>Allmännings- och besparingsskogar</t>
        </is>
      </c>
      <c r="G163" t="n">
        <v>20.5</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45885</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45885</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45885</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45885</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45885</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45885</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45885</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45885</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45885</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45885</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45885</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45885</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45885</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23713-2022</t>
        </is>
      </c>
      <c r="B177" s="1" t="n">
        <v>44722.30703703704</v>
      </c>
      <c r="C177" s="1" t="n">
        <v>45885</v>
      </c>
      <c r="D177" t="inlineStr">
        <is>
          <t>UPPSALA LÄN</t>
        </is>
      </c>
      <c r="E177" t="inlineStr">
        <is>
          <t>UPPSALA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45885</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5996-2022</t>
        </is>
      </c>
      <c r="B179" s="1" t="n">
        <v>44599.43265046296</v>
      </c>
      <c r="C179" s="1" t="n">
        <v>45885</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45885</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18330-2022</t>
        </is>
      </c>
      <c r="B181" s="1" t="n">
        <v>44685.6212037037</v>
      </c>
      <c r="C181" s="1" t="n">
        <v>45885</v>
      </c>
      <c r="D181" t="inlineStr">
        <is>
          <t>UPPSALA LÄN</t>
        </is>
      </c>
      <c r="E181" t="inlineStr">
        <is>
          <t>UPPSALA</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45885</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45885</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45885</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50092-2022</t>
        </is>
      </c>
      <c r="B185" s="1" t="n">
        <v>44865</v>
      </c>
      <c r="C185" s="1" t="n">
        <v>45885</v>
      </c>
      <c r="D185" t="inlineStr">
        <is>
          <t>UPPSALA LÄN</t>
        </is>
      </c>
      <c r="E185" t="inlineStr">
        <is>
          <t>UPPSALA</t>
        </is>
      </c>
      <c r="G185" t="n">
        <v>1.1</v>
      </c>
      <c r="H185" t="n">
        <v>0</v>
      </c>
      <c r="I185" t="n">
        <v>0</v>
      </c>
      <c r="J185" t="n">
        <v>0</v>
      </c>
      <c r="K185" t="n">
        <v>0</v>
      </c>
      <c r="L185" t="n">
        <v>0</v>
      </c>
      <c r="M185" t="n">
        <v>0</v>
      </c>
      <c r="N185" t="n">
        <v>0</v>
      </c>
      <c r="O185" t="n">
        <v>0</v>
      </c>
      <c r="P185" t="n">
        <v>0</v>
      </c>
      <c r="Q185" t="n">
        <v>0</v>
      </c>
      <c r="R185" s="2" t="inlineStr"/>
    </row>
    <row r="186" ht="15" customHeight="1">
      <c r="A186" t="inlineStr">
        <is>
          <t>A 51396-2021</t>
        </is>
      </c>
      <c r="B186" s="1" t="n">
        <v>44461.73350694445</v>
      </c>
      <c r="C186" s="1" t="n">
        <v>45885</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20980-2022</t>
        </is>
      </c>
      <c r="B187" s="1" t="n">
        <v>44702.70721064815</v>
      </c>
      <c r="C187" s="1" t="n">
        <v>45885</v>
      </c>
      <c r="D187" t="inlineStr">
        <is>
          <t>UPPSALA LÄN</t>
        </is>
      </c>
      <c r="E187" t="inlineStr">
        <is>
          <t>UPPSALA</t>
        </is>
      </c>
      <c r="G187" t="n">
        <v>0.8</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45885</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45885</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45885</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45885</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45885</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42341-2020</t>
        </is>
      </c>
      <c r="B193" s="1" t="n">
        <v>44076</v>
      </c>
      <c r="C193" s="1" t="n">
        <v>45885</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5081-2022</t>
        </is>
      </c>
      <c r="B194" s="1" t="n">
        <v>44593</v>
      </c>
      <c r="C194" s="1" t="n">
        <v>45885</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25745-2022</t>
        </is>
      </c>
      <c r="B195" s="1" t="n">
        <v>44733.43420138889</v>
      </c>
      <c r="C195" s="1" t="n">
        <v>45885</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22021-2022</t>
        </is>
      </c>
      <c r="B196" s="1" t="n">
        <v>44711</v>
      </c>
      <c r="C196" s="1" t="n">
        <v>45885</v>
      </c>
      <c r="D196" t="inlineStr">
        <is>
          <t>UPPSALA LÄN</t>
        </is>
      </c>
      <c r="E196" t="inlineStr">
        <is>
          <t>UPPSALA</t>
        </is>
      </c>
      <c r="F196" t="inlineStr">
        <is>
          <t>Allmännings- och besparingsskogar</t>
        </is>
      </c>
      <c r="G196" t="n">
        <v>2.1</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45885</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45885</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27763-2022</t>
        </is>
      </c>
      <c r="B199" s="1" t="n">
        <v>44743</v>
      </c>
      <c r="C199" s="1" t="n">
        <v>45885</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73468-2021</t>
        </is>
      </c>
      <c r="B200" s="1" t="n">
        <v>44551.59704861111</v>
      </c>
      <c r="C200" s="1" t="n">
        <v>45885</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56466-2020</t>
        </is>
      </c>
      <c r="B201" s="1" t="n">
        <v>44134</v>
      </c>
      <c r="C201" s="1" t="n">
        <v>45885</v>
      </c>
      <c r="D201" t="inlineStr">
        <is>
          <t>UPPSALA LÄN</t>
        </is>
      </c>
      <c r="E201" t="inlineStr">
        <is>
          <t>UPPSALA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45885</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10411-2022</t>
        </is>
      </c>
      <c r="B203" s="1" t="n">
        <v>44623.4572337963</v>
      </c>
      <c r="C203" s="1" t="n">
        <v>45885</v>
      </c>
      <c r="D203" t="inlineStr">
        <is>
          <t>UPPSALA LÄN</t>
        </is>
      </c>
      <c r="E203" t="inlineStr">
        <is>
          <t>UPPSALA</t>
        </is>
      </c>
      <c r="F203" t="inlineStr">
        <is>
          <t>Övriga Aktiebolag</t>
        </is>
      </c>
      <c r="G203" t="n">
        <v>4.2</v>
      </c>
      <c r="H203" t="n">
        <v>0</v>
      </c>
      <c r="I203" t="n">
        <v>0</v>
      </c>
      <c r="J203" t="n">
        <v>0</v>
      </c>
      <c r="K203" t="n">
        <v>0</v>
      </c>
      <c r="L203" t="n">
        <v>0</v>
      </c>
      <c r="M203" t="n">
        <v>0</v>
      </c>
      <c r="N203" t="n">
        <v>0</v>
      </c>
      <c r="O203" t="n">
        <v>0</v>
      </c>
      <c r="P203" t="n">
        <v>0</v>
      </c>
      <c r="Q203" t="n">
        <v>0</v>
      </c>
      <c r="R203" s="2" t="inlineStr"/>
    </row>
    <row r="204" ht="15" customHeight="1">
      <c r="A204" t="inlineStr">
        <is>
          <t>A 874-2022</t>
        </is>
      </c>
      <c r="B204" s="1" t="n">
        <v>44571.44563657408</v>
      </c>
      <c r="C204" s="1" t="n">
        <v>45885</v>
      </c>
      <c r="D204" t="inlineStr">
        <is>
          <t>UPPSALA LÄN</t>
        </is>
      </c>
      <c r="E204" t="inlineStr">
        <is>
          <t>UPPSALA</t>
        </is>
      </c>
      <c r="G204" t="n">
        <v>7.2</v>
      </c>
      <c r="H204" t="n">
        <v>0</v>
      </c>
      <c r="I204" t="n">
        <v>0</v>
      </c>
      <c r="J204" t="n">
        <v>0</v>
      </c>
      <c r="K204" t="n">
        <v>0</v>
      </c>
      <c r="L204" t="n">
        <v>0</v>
      </c>
      <c r="M204" t="n">
        <v>0</v>
      </c>
      <c r="N204" t="n">
        <v>0</v>
      </c>
      <c r="O204" t="n">
        <v>0</v>
      </c>
      <c r="P204" t="n">
        <v>0</v>
      </c>
      <c r="Q204" t="n">
        <v>0</v>
      </c>
      <c r="R204" s="2" t="inlineStr"/>
    </row>
    <row r="205" ht="15" customHeight="1">
      <c r="A205" t="inlineStr">
        <is>
          <t>A 48786-2020</t>
        </is>
      </c>
      <c r="B205" s="1" t="n">
        <v>44103</v>
      </c>
      <c r="C205" s="1" t="n">
        <v>45885</v>
      </c>
      <c r="D205" t="inlineStr">
        <is>
          <t>UPPSALA LÄN</t>
        </is>
      </c>
      <c r="E205" t="inlineStr">
        <is>
          <t>UPPSALA</t>
        </is>
      </c>
      <c r="G205" t="n">
        <v>0.4</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45885</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45885</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59500-2021</t>
        </is>
      </c>
      <c r="B208" s="1" t="n">
        <v>44491.54116898148</v>
      </c>
      <c r="C208" s="1" t="n">
        <v>45885</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45885</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45885</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45885</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45885</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45885</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45885</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25120-2022</t>
        </is>
      </c>
      <c r="B215" s="1" t="n">
        <v>44729</v>
      </c>
      <c r="C215" s="1" t="n">
        <v>45885</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45885</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62504-2020</t>
        </is>
      </c>
      <c r="B217" s="1" t="n">
        <v>44160</v>
      </c>
      <c r="C217" s="1" t="n">
        <v>45885</v>
      </c>
      <c r="D217" t="inlineStr">
        <is>
          <t>UPPSALA LÄN</t>
        </is>
      </c>
      <c r="E217" t="inlineStr">
        <is>
          <t>UPPSALA</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45885</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65964-2021</t>
        </is>
      </c>
      <c r="B219" s="1" t="n">
        <v>44517</v>
      </c>
      <c r="C219" s="1" t="n">
        <v>45885</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11693-2022</t>
        </is>
      </c>
      <c r="B220" s="1" t="n">
        <v>44634</v>
      </c>
      <c r="C220" s="1" t="n">
        <v>45885</v>
      </c>
      <c r="D220" t="inlineStr">
        <is>
          <t>UPPSALA LÄN</t>
        </is>
      </c>
      <c r="E220" t="inlineStr">
        <is>
          <t>UPPSALA</t>
        </is>
      </c>
      <c r="G220" t="n">
        <v>4</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45885</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45885</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45885</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45885</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45885</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15377-2022</t>
        </is>
      </c>
      <c r="B226" s="1" t="n">
        <v>44659.57912037037</v>
      </c>
      <c r="C226" s="1" t="n">
        <v>45885</v>
      </c>
      <c r="D226" t="inlineStr">
        <is>
          <t>UPPSALA LÄN</t>
        </is>
      </c>
      <c r="E226" t="inlineStr">
        <is>
          <t>UPPSALA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34061-2022</t>
        </is>
      </c>
      <c r="B227" s="1" t="n">
        <v>44791.38336805555</v>
      </c>
      <c r="C227" s="1" t="n">
        <v>45885</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45885</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45885</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10464-2022</t>
        </is>
      </c>
      <c r="B230" s="1" t="n">
        <v>44623</v>
      </c>
      <c r="C230" s="1" t="n">
        <v>45885</v>
      </c>
      <c r="D230" t="inlineStr">
        <is>
          <t>UPPSALA LÄN</t>
        </is>
      </c>
      <c r="E230" t="inlineStr">
        <is>
          <t>UPPSALA</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30580-2022</t>
        </is>
      </c>
      <c r="B231" s="1" t="n">
        <v>44762</v>
      </c>
      <c r="C231" s="1" t="n">
        <v>45885</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45885</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46293-2022</t>
        </is>
      </c>
      <c r="B233" s="1" t="n">
        <v>44847</v>
      </c>
      <c r="C233" s="1" t="n">
        <v>45885</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45885</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45885</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58058-2020</t>
        </is>
      </c>
      <c r="B236" s="1" t="n">
        <v>44144</v>
      </c>
      <c r="C236" s="1" t="n">
        <v>45885</v>
      </c>
      <c r="D236" t="inlineStr">
        <is>
          <t>UPPSALA LÄN</t>
        </is>
      </c>
      <c r="E236" t="inlineStr">
        <is>
          <t>UPPSALA</t>
        </is>
      </c>
      <c r="G236" t="n">
        <v>4.4</v>
      </c>
      <c r="H236" t="n">
        <v>0</v>
      </c>
      <c r="I236" t="n">
        <v>0</v>
      </c>
      <c r="J236" t="n">
        <v>0</v>
      </c>
      <c r="K236" t="n">
        <v>0</v>
      </c>
      <c r="L236" t="n">
        <v>0</v>
      </c>
      <c r="M236" t="n">
        <v>0</v>
      </c>
      <c r="N236" t="n">
        <v>0</v>
      </c>
      <c r="O236" t="n">
        <v>0</v>
      </c>
      <c r="P236" t="n">
        <v>0</v>
      </c>
      <c r="Q236" t="n">
        <v>0</v>
      </c>
      <c r="R236" s="2" t="inlineStr"/>
    </row>
    <row r="237" ht="15" customHeight="1">
      <c r="A237" t="inlineStr">
        <is>
          <t>A 3259-2022</t>
        </is>
      </c>
      <c r="B237" s="1" t="n">
        <v>44583.61555555555</v>
      </c>
      <c r="C237" s="1" t="n">
        <v>45885</v>
      </c>
      <c r="D237" t="inlineStr">
        <is>
          <t>UPPSALA LÄN</t>
        </is>
      </c>
      <c r="E237" t="inlineStr">
        <is>
          <t>UPPSALA</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2017-2022</t>
        </is>
      </c>
      <c r="B238" s="1" t="n">
        <v>44575</v>
      </c>
      <c r="C238" s="1" t="n">
        <v>45885</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29277-2022</t>
        </is>
      </c>
      <c r="B239" s="1" t="n">
        <v>44750.678125</v>
      </c>
      <c r="C239" s="1" t="n">
        <v>45885</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45885</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45885</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45885</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1936-2022</t>
        </is>
      </c>
      <c r="B243" s="1" t="n">
        <v>44575.4366087963</v>
      </c>
      <c r="C243" s="1" t="n">
        <v>45885</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33689-2023</t>
        </is>
      </c>
      <c r="B244" s="1" t="n">
        <v>45119</v>
      </c>
      <c r="C244" s="1" t="n">
        <v>45885</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45885</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6602-2023</t>
        </is>
      </c>
      <c r="B246" s="1" t="n">
        <v>44966</v>
      </c>
      <c r="C246" s="1" t="n">
        <v>45885</v>
      </c>
      <c r="D246" t="inlineStr">
        <is>
          <t>UPPSALA LÄN</t>
        </is>
      </c>
      <c r="E246" t="inlineStr">
        <is>
          <t>UPPSALA</t>
        </is>
      </c>
      <c r="F246" t="inlineStr">
        <is>
          <t>Allmännings- och besparingsskogar</t>
        </is>
      </c>
      <c r="G246" t="n">
        <v>20.2</v>
      </c>
      <c r="H246" t="n">
        <v>0</v>
      </c>
      <c r="I246" t="n">
        <v>0</v>
      </c>
      <c r="J246" t="n">
        <v>0</v>
      </c>
      <c r="K246" t="n">
        <v>0</v>
      </c>
      <c r="L246" t="n">
        <v>0</v>
      </c>
      <c r="M246" t="n">
        <v>0</v>
      </c>
      <c r="N246" t="n">
        <v>0</v>
      </c>
      <c r="O246" t="n">
        <v>0</v>
      </c>
      <c r="P246" t="n">
        <v>0</v>
      </c>
      <c r="Q246" t="n">
        <v>0</v>
      </c>
      <c r="R246" s="2" t="inlineStr"/>
    </row>
    <row r="247" ht="15" customHeight="1">
      <c r="A247" t="inlineStr">
        <is>
          <t>A 31646-2021</t>
        </is>
      </c>
      <c r="B247" s="1" t="n">
        <v>44369</v>
      </c>
      <c r="C247" s="1" t="n">
        <v>45885</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14400-2025</t>
        </is>
      </c>
      <c r="B248" s="1" t="n">
        <v>45741.45114583334</v>
      </c>
      <c r="C248" s="1" t="n">
        <v>45885</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61805-2021</t>
        </is>
      </c>
      <c r="B249" s="1" t="n">
        <v>44501.71344907407</v>
      </c>
      <c r="C249" s="1" t="n">
        <v>45885</v>
      </c>
      <c r="D249" t="inlineStr">
        <is>
          <t>UPPSALA LÄN</t>
        </is>
      </c>
      <c r="E249" t="inlineStr">
        <is>
          <t>UPPSALA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17211-2025</t>
        </is>
      </c>
      <c r="B250" s="1" t="n">
        <v>45756.44024305556</v>
      </c>
      <c r="C250" s="1" t="n">
        <v>45885</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17250-2025</t>
        </is>
      </c>
      <c r="B251" s="1" t="n">
        <v>45756.50738425926</v>
      </c>
      <c r="C251" s="1" t="n">
        <v>45885</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45885</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45885</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18625-2025</t>
        </is>
      </c>
      <c r="B254" s="1" t="n">
        <v>45763.52744212963</v>
      </c>
      <c r="C254" s="1" t="n">
        <v>45885</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45885</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14907-2025</t>
        </is>
      </c>
      <c r="B256" s="1" t="n">
        <v>45743.50744212963</v>
      </c>
      <c r="C256" s="1" t="n">
        <v>45885</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41545-2023</t>
        </is>
      </c>
      <c r="B257" s="1" t="n">
        <v>45175.57060185185</v>
      </c>
      <c r="C257" s="1" t="n">
        <v>45885</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60729-2024</t>
        </is>
      </c>
      <c r="B258" s="1" t="n">
        <v>45644</v>
      </c>
      <c r="C258" s="1" t="n">
        <v>45885</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46069-2022</t>
        </is>
      </c>
      <c r="B259" s="1" t="n">
        <v>44847</v>
      </c>
      <c r="C259" s="1" t="n">
        <v>45885</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45885</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45885</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73326-2021</t>
        </is>
      </c>
      <c r="B262" s="1" t="n">
        <v>44548</v>
      </c>
      <c r="C262" s="1" t="n">
        <v>45885</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73044-2021</t>
        </is>
      </c>
      <c r="B263" s="1" t="n">
        <v>44550.37994212963</v>
      </c>
      <c r="C263" s="1" t="n">
        <v>45885</v>
      </c>
      <c r="D263" t="inlineStr">
        <is>
          <t>UPPSALA LÄN</t>
        </is>
      </c>
      <c r="E263" t="inlineStr">
        <is>
          <t>UPPSALA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60444-2023</t>
        </is>
      </c>
      <c r="B264" s="1" t="n">
        <v>45259.52809027778</v>
      </c>
      <c r="C264" s="1" t="n">
        <v>45885</v>
      </c>
      <c r="D264" t="inlineStr">
        <is>
          <t>UPPSALA LÄN</t>
        </is>
      </c>
      <c r="E264" t="inlineStr">
        <is>
          <t>UPPSALA</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46920-2021</t>
        </is>
      </c>
      <c r="B265" s="1" t="n">
        <v>44446</v>
      </c>
      <c r="C265" s="1" t="n">
        <v>45885</v>
      </c>
      <c r="D265" t="inlineStr">
        <is>
          <t>UPPSALA LÄN</t>
        </is>
      </c>
      <c r="E265" t="inlineStr">
        <is>
          <t>UPPSALA</t>
        </is>
      </c>
      <c r="G265" t="n">
        <v>1.6</v>
      </c>
      <c r="H265" t="n">
        <v>0</v>
      </c>
      <c r="I265" t="n">
        <v>0</v>
      </c>
      <c r="J265" t="n">
        <v>0</v>
      </c>
      <c r="K265" t="n">
        <v>0</v>
      </c>
      <c r="L265" t="n">
        <v>0</v>
      </c>
      <c r="M265" t="n">
        <v>0</v>
      </c>
      <c r="N265" t="n">
        <v>0</v>
      </c>
      <c r="O265" t="n">
        <v>0</v>
      </c>
      <c r="P265" t="n">
        <v>0</v>
      </c>
      <c r="Q265" t="n">
        <v>0</v>
      </c>
      <c r="R265" s="2" t="inlineStr"/>
    </row>
    <row r="266" ht="15" customHeight="1">
      <c r="A266" t="inlineStr">
        <is>
          <t>A 60691-2024</t>
        </is>
      </c>
      <c r="B266" s="1" t="n">
        <v>45644.47723379629</v>
      </c>
      <c r="C266" s="1" t="n">
        <v>45885</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3315-2025</t>
        </is>
      </c>
      <c r="B267" s="1" t="n">
        <v>45679</v>
      </c>
      <c r="C267" s="1" t="n">
        <v>45885</v>
      </c>
      <c r="D267" t="inlineStr">
        <is>
          <t>UPPSALA LÄN</t>
        </is>
      </c>
      <c r="E267" t="inlineStr">
        <is>
          <t>UPPSALA</t>
        </is>
      </c>
      <c r="G267" t="n">
        <v>2.3</v>
      </c>
      <c r="H267" t="n">
        <v>0</v>
      </c>
      <c r="I267" t="n">
        <v>0</v>
      </c>
      <c r="J267" t="n">
        <v>0</v>
      </c>
      <c r="K267" t="n">
        <v>0</v>
      </c>
      <c r="L267" t="n">
        <v>0</v>
      </c>
      <c r="M267" t="n">
        <v>0</v>
      </c>
      <c r="N267" t="n">
        <v>0</v>
      </c>
      <c r="O267" t="n">
        <v>0</v>
      </c>
      <c r="P267" t="n">
        <v>0</v>
      </c>
      <c r="Q267" t="n">
        <v>0</v>
      </c>
      <c r="R267" s="2" t="inlineStr"/>
    </row>
    <row r="268" ht="15" customHeight="1">
      <c r="A268" t="inlineStr">
        <is>
          <t>A 13526-2023</t>
        </is>
      </c>
      <c r="B268" s="1" t="n">
        <v>45006</v>
      </c>
      <c r="C268" s="1" t="n">
        <v>45885</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9313-2023</t>
        </is>
      </c>
      <c r="B269" s="1" t="n">
        <v>44980</v>
      </c>
      <c r="C269" s="1" t="n">
        <v>45885</v>
      </c>
      <c r="D269" t="inlineStr">
        <is>
          <t>UPPSALA LÄN</t>
        </is>
      </c>
      <c r="E269" t="inlineStr">
        <is>
          <t>UPPSALA</t>
        </is>
      </c>
      <c r="G269" t="n">
        <v>2.6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45885</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6199-2024</t>
        </is>
      </c>
      <c r="B271" s="1" t="n">
        <v>45337.58318287037</v>
      </c>
      <c r="C271" s="1" t="n">
        <v>45885</v>
      </c>
      <c r="D271" t="inlineStr">
        <is>
          <t>UPPSALA LÄN</t>
        </is>
      </c>
      <c r="E271" t="inlineStr">
        <is>
          <t>UPPSALA</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1825-2024</t>
        </is>
      </c>
      <c r="B272" s="1" t="n">
        <v>45307</v>
      </c>
      <c r="C272" s="1" t="n">
        <v>45885</v>
      </c>
      <c r="D272" t="inlineStr">
        <is>
          <t>UPPSALA LÄN</t>
        </is>
      </c>
      <c r="E272" t="inlineStr">
        <is>
          <t>UPPSALA</t>
        </is>
      </c>
      <c r="G272" t="n">
        <v>4.2</v>
      </c>
      <c r="H272" t="n">
        <v>0</v>
      </c>
      <c r="I272" t="n">
        <v>0</v>
      </c>
      <c r="J272" t="n">
        <v>0</v>
      </c>
      <c r="K272" t="n">
        <v>0</v>
      </c>
      <c r="L272" t="n">
        <v>0</v>
      </c>
      <c r="M272" t="n">
        <v>0</v>
      </c>
      <c r="N272" t="n">
        <v>0</v>
      </c>
      <c r="O272" t="n">
        <v>0</v>
      </c>
      <c r="P272" t="n">
        <v>0</v>
      </c>
      <c r="Q272" t="n">
        <v>0</v>
      </c>
      <c r="R272" s="2" t="inlineStr"/>
    </row>
    <row r="273" ht="15" customHeight="1">
      <c r="A273" t="inlineStr">
        <is>
          <t>A 53266-2024</t>
        </is>
      </c>
      <c r="B273" s="1" t="n">
        <v>45614</v>
      </c>
      <c r="C273" s="1" t="n">
        <v>45885</v>
      </c>
      <c r="D273" t="inlineStr">
        <is>
          <t>UPPSALA LÄN</t>
        </is>
      </c>
      <c r="E273" t="inlineStr">
        <is>
          <t>UPPSALA</t>
        </is>
      </c>
      <c r="G273" t="n">
        <v>0.9</v>
      </c>
      <c r="H273" t="n">
        <v>0</v>
      </c>
      <c r="I273" t="n">
        <v>0</v>
      </c>
      <c r="J273" t="n">
        <v>0</v>
      </c>
      <c r="K273" t="n">
        <v>0</v>
      </c>
      <c r="L273" t="n">
        <v>0</v>
      </c>
      <c r="M273" t="n">
        <v>0</v>
      </c>
      <c r="N273" t="n">
        <v>0</v>
      </c>
      <c r="O273" t="n">
        <v>0</v>
      </c>
      <c r="P273" t="n">
        <v>0</v>
      </c>
      <c r="Q273" t="n">
        <v>0</v>
      </c>
      <c r="R273" s="2" t="inlineStr"/>
    </row>
    <row r="274" ht="15" customHeight="1">
      <c r="A274" t="inlineStr">
        <is>
          <t>A 11103-2025</t>
        </is>
      </c>
      <c r="B274" s="1" t="n">
        <v>45723</v>
      </c>
      <c r="C274" s="1" t="n">
        <v>45885</v>
      </c>
      <c r="D274" t="inlineStr">
        <is>
          <t>UPPSALA LÄN</t>
        </is>
      </c>
      <c r="E274" t="inlineStr">
        <is>
          <t>UPPSALA</t>
        </is>
      </c>
      <c r="G274" t="n">
        <v>7.9</v>
      </c>
      <c r="H274" t="n">
        <v>0</v>
      </c>
      <c r="I274" t="n">
        <v>0</v>
      </c>
      <c r="J274" t="n">
        <v>0</v>
      </c>
      <c r="K274" t="n">
        <v>0</v>
      </c>
      <c r="L274" t="n">
        <v>0</v>
      </c>
      <c r="M274" t="n">
        <v>0</v>
      </c>
      <c r="N274" t="n">
        <v>0</v>
      </c>
      <c r="O274" t="n">
        <v>0</v>
      </c>
      <c r="P274" t="n">
        <v>0</v>
      </c>
      <c r="Q274" t="n">
        <v>0</v>
      </c>
      <c r="R274" s="2" t="inlineStr"/>
    </row>
    <row r="275" ht="15" customHeight="1">
      <c r="A275" t="inlineStr">
        <is>
          <t>A 42622-2022</t>
        </is>
      </c>
      <c r="B275" s="1" t="n">
        <v>44831</v>
      </c>
      <c r="C275" s="1" t="n">
        <v>45885</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4412-2024</t>
        </is>
      </c>
      <c r="B276" s="1" t="n">
        <v>45327</v>
      </c>
      <c r="C276" s="1" t="n">
        <v>45885</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17658-2025</t>
        </is>
      </c>
      <c r="B277" s="1" t="n">
        <v>45758</v>
      </c>
      <c r="C277" s="1" t="n">
        <v>45885</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59521-2023</t>
        </is>
      </c>
      <c r="B278" s="1" t="n">
        <v>45254.49552083333</v>
      </c>
      <c r="C278" s="1" t="n">
        <v>45885</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48571-2023</t>
        </is>
      </c>
      <c r="B279" s="1" t="n">
        <v>45208.46130787037</v>
      </c>
      <c r="C279" s="1" t="n">
        <v>45885</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787-2024</t>
        </is>
      </c>
      <c r="B280" s="1" t="n">
        <v>45300</v>
      </c>
      <c r="C280" s="1" t="n">
        <v>45885</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37588-2022</t>
        </is>
      </c>
      <c r="B281" s="1" t="n">
        <v>44809.92752314815</v>
      </c>
      <c r="C281" s="1" t="n">
        <v>45885</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37670-2022</t>
        </is>
      </c>
      <c r="B282" s="1" t="n">
        <v>44810</v>
      </c>
      <c r="C282" s="1" t="n">
        <v>45885</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53615-2024</t>
        </is>
      </c>
      <c r="B283" s="1" t="n">
        <v>45611</v>
      </c>
      <c r="C283" s="1" t="n">
        <v>45885</v>
      </c>
      <c r="D283" t="inlineStr">
        <is>
          <t>UPPSALA LÄN</t>
        </is>
      </c>
      <c r="E283" t="inlineStr">
        <is>
          <t>UPPSALA</t>
        </is>
      </c>
      <c r="G283" t="n">
        <v>0.8</v>
      </c>
      <c r="H283" t="n">
        <v>0</v>
      </c>
      <c r="I283" t="n">
        <v>0</v>
      </c>
      <c r="J283" t="n">
        <v>0</v>
      </c>
      <c r="K283" t="n">
        <v>0</v>
      </c>
      <c r="L283" t="n">
        <v>0</v>
      </c>
      <c r="M283" t="n">
        <v>0</v>
      </c>
      <c r="N283" t="n">
        <v>0</v>
      </c>
      <c r="O283" t="n">
        <v>0</v>
      </c>
      <c r="P283" t="n">
        <v>0</v>
      </c>
      <c r="Q283" t="n">
        <v>0</v>
      </c>
      <c r="R283" s="2" t="inlineStr"/>
    </row>
    <row r="284" ht="15" customHeight="1">
      <c r="A284" t="inlineStr">
        <is>
          <t>A 1588-2025</t>
        </is>
      </c>
      <c r="B284" s="1" t="n">
        <v>45670</v>
      </c>
      <c r="C284" s="1" t="n">
        <v>45885</v>
      </c>
      <c r="D284" t="inlineStr">
        <is>
          <t>UPPSALA LÄN</t>
        </is>
      </c>
      <c r="E284" t="inlineStr">
        <is>
          <t>UPPSALA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32276-2021</t>
        </is>
      </c>
      <c r="B285" s="1" t="n">
        <v>44371.49178240741</v>
      </c>
      <c r="C285" s="1" t="n">
        <v>45885</v>
      </c>
      <c r="D285" t="inlineStr">
        <is>
          <t>UPPSALA LÄN</t>
        </is>
      </c>
      <c r="E285" t="inlineStr">
        <is>
          <t>UPPSALA</t>
        </is>
      </c>
      <c r="G285" t="n">
        <v>3.7</v>
      </c>
      <c r="H285" t="n">
        <v>0</v>
      </c>
      <c r="I285" t="n">
        <v>0</v>
      </c>
      <c r="J285" t="n">
        <v>0</v>
      </c>
      <c r="K285" t="n">
        <v>0</v>
      </c>
      <c r="L285" t="n">
        <v>0</v>
      </c>
      <c r="M285" t="n">
        <v>0</v>
      </c>
      <c r="N285" t="n">
        <v>0</v>
      </c>
      <c r="O285" t="n">
        <v>0</v>
      </c>
      <c r="P285" t="n">
        <v>0</v>
      </c>
      <c r="Q285" t="n">
        <v>0</v>
      </c>
      <c r="R285" s="2" t="inlineStr"/>
    </row>
    <row r="286" ht="15" customHeight="1">
      <c r="A286" t="inlineStr">
        <is>
          <t>A 7226-2024</t>
        </is>
      </c>
      <c r="B286" s="1" t="n">
        <v>45344.64759259259</v>
      </c>
      <c r="C286" s="1" t="n">
        <v>45885</v>
      </c>
      <c r="D286" t="inlineStr">
        <is>
          <t>UPPSALA LÄN</t>
        </is>
      </c>
      <c r="E286" t="inlineStr">
        <is>
          <t>UPPSALA</t>
        </is>
      </c>
      <c r="F286" t="inlineStr">
        <is>
          <t>Kyrkan</t>
        </is>
      </c>
      <c r="G286" t="n">
        <v>1.2</v>
      </c>
      <c r="H286" t="n">
        <v>0</v>
      </c>
      <c r="I286" t="n">
        <v>0</v>
      </c>
      <c r="J286" t="n">
        <v>0</v>
      </c>
      <c r="K286" t="n">
        <v>0</v>
      </c>
      <c r="L286" t="n">
        <v>0</v>
      </c>
      <c r="M286" t="n">
        <v>0</v>
      </c>
      <c r="N286" t="n">
        <v>0</v>
      </c>
      <c r="O286" t="n">
        <v>0</v>
      </c>
      <c r="P286" t="n">
        <v>0</v>
      </c>
      <c r="Q286" t="n">
        <v>0</v>
      </c>
      <c r="R286" s="2" t="inlineStr"/>
    </row>
    <row r="287" ht="15" customHeight="1">
      <c r="A287" t="inlineStr">
        <is>
          <t>A 48588-2022</t>
        </is>
      </c>
      <c r="B287" s="1" t="n">
        <v>44859.36896990741</v>
      </c>
      <c r="C287" s="1" t="n">
        <v>45885</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22996-2021</t>
        </is>
      </c>
      <c r="B288" s="1" t="n">
        <v>44328</v>
      </c>
      <c r="C288" s="1" t="n">
        <v>45885</v>
      </c>
      <c r="D288" t="inlineStr">
        <is>
          <t>UPPSALA LÄN</t>
        </is>
      </c>
      <c r="E288" t="inlineStr">
        <is>
          <t>UPPSALA</t>
        </is>
      </c>
      <c r="F288" t="inlineStr">
        <is>
          <t>Bergvik skog öst AB</t>
        </is>
      </c>
      <c r="G288" t="n">
        <v>3.1</v>
      </c>
      <c r="H288" t="n">
        <v>0</v>
      </c>
      <c r="I288" t="n">
        <v>0</v>
      </c>
      <c r="J288" t="n">
        <v>0</v>
      </c>
      <c r="K288" t="n">
        <v>0</v>
      </c>
      <c r="L288" t="n">
        <v>0</v>
      </c>
      <c r="M288" t="n">
        <v>0</v>
      </c>
      <c r="N288" t="n">
        <v>0</v>
      </c>
      <c r="O288" t="n">
        <v>0</v>
      </c>
      <c r="P288" t="n">
        <v>0</v>
      </c>
      <c r="Q288" t="n">
        <v>0</v>
      </c>
      <c r="R288" s="2" t="inlineStr"/>
    </row>
    <row r="289" ht="15" customHeight="1">
      <c r="A289" t="inlineStr">
        <is>
          <t>A 20703-2025</t>
        </is>
      </c>
      <c r="B289" s="1" t="n">
        <v>45776.48275462963</v>
      </c>
      <c r="C289" s="1" t="n">
        <v>45885</v>
      </c>
      <c r="D289" t="inlineStr">
        <is>
          <t>UPPSALA LÄN</t>
        </is>
      </c>
      <c r="E289" t="inlineStr">
        <is>
          <t>UPPSALA</t>
        </is>
      </c>
      <c r="F289" t="inlineStr">
        <is>
          <t>Holmen skog AB</t>
        </is>
      </c>
      <c r="G289" t="n">
        <v>3.5</v>
      </c>
      <c r="H289" t="n">
        <v>0</v>
      </c>
      <c r="I289" t="n">
        <v>0</v>
      </c>
      <c r="J289" t="n">
        <v>0</v>
      </c>
      <c r="K289" t="n">
        <v>0</v>
      </c>
      <c r="L289" t="n">
        <v>0</v>
      </c>
      <c r="M289" t="n">
        <v>0</v>
      </c>
      <c r="N289" t="n">
        <v>0</v>
      </c>
      <c r="O289" t="n">
        <v>0</v>
      </c>
      <c r="P289" t="n">
        <v>0</v>
      </c>
      <c r="Q289" t="n">
        <v>0</v>
      </c>
      <c r="R289" s="2" t="inlineStr"/>
    </row>
    <row r="290" ht="15" customHeight="1">
      <c r="A290" t="inlineStr">
        <is>
          <t>A 20712-2025</t>
        </is>
      </c>
      <c r="B290" s="1" t="n">
        <v>45776</v>
      </c>
      <c r="C290" s="1" t="n">
        <v>45885</v>
      </c>
      <c r="D290" t="inlineStr">
        <is>
          <t>UPPSALA LÄN</t>
        </is>
      </c>
      <c r="E290" t="inlineStr">
        <is>
          <t>UPPSALA</t>
        </is>
      </c>
      <c r="G290" t="n">
        <v>1.5</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45885</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45885</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45885</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43032-2022</t>
        </is>
      </c>
      <c r="B294" s="1" t="n">
        <v>44832</v>
      </c>
      <c r="C294" s="1" t="n">
        <v>45885</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45885</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45885</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20686-2025</t>
        </is>
      </c>
      <c r="B297" s="1" t="n">
        <v>45776.45263888889</v>
      </c>
      <c r="C297" s="1" t="n">
        <v>45885</v>
      </c>
      <c r="D297" t="inlineStr">
        <is>
          <t>UPPSALA LÄN</t>
        </is>
      </c>
      <c r="E297" t="inlineStr">
        <is>
          <t>UPPSALA</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45885</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20797-2025</t>
        </is>
      </c>
      <c r="B299" s="1" t="n">
        <v>45776.6415162037</v>
      </c>
      <c r="C299" s="1" t="n">
        <v>45885</v>
      </c>
      <c r="D299" t="inlineStr">
        <is>
          <t>UPPSALA LÄN</t>
        </is>
      </c>
      <c r="E299" t="inlineStr">
        <is>
          <t>UPPSALA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45885</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45885</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27903-2023</t>
        </is>
      </c>
      <c r="B302" s="1" t="n">
        <v>45098.62966435185</v>
      </c>
      <c r="C302" s="1" t="n">
        <v>45885</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20888-2025</t>
        </is>
      </c>
      <c r="B303" s="1" t="n">
        <v>45777.37119212963</v>
      </c>
      <c r="C303" s="1" t="n">
        <v>45885</v>
      </c>
      <c r="D303" t="inlineStr">
        <is>
          <t>UPPSALA LÄN</t>
        </is>
      </c>
      <c r="E303" t="inlineStr">
        <is>
          <t>UPPSALA</t>
        </is>
      </c>
      <c r="F303" t="inlineStr">
        <is>
          <t>Övriga statliga verk och myndigheter</t>
        </is>
      </c>
      <c r="G303" t="n">
        <v>5.1</v>
      </c>
      <c r="H303" t="n">
        <v>0</v>
      </c>
      <c r="I303" t="n">
        <v>0</v>
      </c>
      <c r="J303" t="n">
        <v>0</v>
      </c>
      <c r="K303" t="n">
        <v>0</v>
      </c>
      <c r="L303" t="n">
        <v>0</v>
      </c>
      <c r="M303" t="n">
        <v>0</v>
      </c>
      <c r="N303" t="n">
        <v>0</v>
      </c>
      <c r="O303" t="n">
        <v>0</v>
      </c>
      <c r="P303" t="n">
        <v>0</v>
      </c>
      <c r="Q303" t="n">
        <v>0</v>
      </c>
      <c r="R303" s="2" t="inlineStr"/>
    </row>
    <row r="304" ht="15" customHeight="1">
      <c r="A304" t="inlineStr">
        <is>
          <t>A 36478-2023</t>
        </is>
      </c>
      <c r="B304" s="1" t="n">
        <v>45152</v>
      </c>
      <c r="C304" s="1" t="n">
        <v>45885</v>
      </c>
      <c r="D304" t="inlineStr">
        <is>
          <t>UPPSALA LÄN</t>
        </is>
      </c>
      <c r="E304" t="inlineStr">
        <is>
          <t>UPPSALA</t>
        </is>
      </c>
      <c r="F304" t="inlineStr">
        <is>
          <t>Allmännings- och besparingsskogar</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20874-2025</t>
        </is>
      </c>
      <c r="B305" s="1" t="n">
        <v>45777.34894675926</v>
      </c>
      <c r="C305" s="1" t="n">
        <v>45885</v>
      </c>
      <c r="D305" t="inlineStr">
        <is>
          <t>UPPSALA LÄN</t>
        </is>
      </c>
      <c r="E305" t="inlineStr">
        <is>
          <t>UPPSALA</t>
        </is>
      </c>
      <c r="F305" t="inlineStr">
        <is>
          <t>Övriga Aktiebolag</t>
        </is>
      </c>
      <c r="G305" t="n">
        <v>3.9</v>
      </c>
      <c r="H305" t="n">
        <v>0</v>
      </c>
      <c r="I305" t="n">
        <v>0</v>
      </c>
      <c r="J305" t="n">
        <v>0</v>
      </c>
      <c r="K305" t="n">
        <v>0</v>
      </c>
      <c r="L305" t="n">
        <v>0</v>
      </c>
      <c r="M305" t="n">
        <v>0</v>
      </c>
      <c r="N305" t="n">
        <v>0</v>
      </c>
      <c r="O305" t="n">
        <v>0</v>
      </c>
      <c r="P305" t="n">
        <v>0</v>
      </c>
      <c r="Q305" t="n">
        <v>0</v>
      </c>
      <c r="R305" s="2" t="inlineStr"/>
    </row>
    <row r="306" ht="15" customHeight="1">
      <c r="A306" t="inlineStr">
        <is>
          <t>A 20858-2025</t>
        </is>
      </c>
      <c r="B306" s="1" t="n">
        <v>45777.32731481481</v>
      </c>
      <c r="C306" s="1" t="n">
        <v>45885</v>
      </c>
      <c r="D306" t="inlineStr">
        <is>
          <t>UPPSALA LÄN</t>
        </is>
      </c>
      <c r="E306" t="inlineStr">
        <is>
          <t>UPPSALA</t>
        </is>
      </c>
      <c r="F306" t="inlineStr">
        <is>
          <t>Övriga Aktiebolag</t>
        </is>
      </c>
      <c r="G306" t="n">
        <v>4.1</v>
      </c>
      <c r="H306" t="n">
        <v>0</v>
      </c>
      <c r="I306" t="n">
        <v>0</v>
      </c>
      <c r="J306" t="n">
        <v>0</v>
      </c>
      <c r="K306" t="n">
        <v>0</v>
      </c>
      <c r="L306" t="n">
        <v>0</v>
      </c>
      <c r="M306" t="n">
        <v>0</v>
      </c>
      <c r="N306" t="n">
        <v>0</v>
      </c>
      <c r="O306" t="n">
        <v>0</v>
      </c>
      <c r="P306" t="n">
        <v>0</v>
      </c>
      <c r="Q306" t="n">
        <v>0</v>
      </c>
      <c r="R306" s="2" t="inlineStr"/>
    </row>
    <row r="307" ht="15" customHeight="1">
      <c r="A307" t="inlineStr">
        <is>
          <t>A 21033-2025</t>
        </is>
      </c>
      <c r="B307" s="1" t="n">
        <v>45777.52655092593</v>
      </c>
      <c r="C307" s="1" t="n">
        <v>45885</v>
      </c>
      <c r="D307" t="inlineStr">
        <is>
          <t>UPPSALA LÄN</t>
        </is>
      </c>
      <c r="E307" t="inlineStr">
        <is>
          <t>UPPSALA</t>
        </is>
      </c>
      <c r="G307" t="n">
        <v>2.2</v>
      </c>
      <c r="H307" t="n">
        <v>0</v>
      </c>
      <c r="I307" t="n">
        <v>0</v>
      </c>
      <c r="J307" t="n">
        <v>0</v>
      </c>
      <c r="K307" t="n">
        <v>0</v>
      </c>
      <c r="L307" t="n">
        <v>0</v>
      </c>
      <c r="M307" t="n">
        <v>0</v>
      </c>
      <c r="N307" t="n">
        <v>0</v>
      </c>
      <c r="O307" t="n">
        <v>0</v>
      </c>
      <c r="P307" t="n">
        <v>0</v>
      </c>
      <c r="Q307" t="n">
        <v>0</v>
      </c>
      <c r="R307" s="2" t="inlineStr"/>
    </row>
    <row r="308" ht="15" customHeight="1">
      <c r="A308" t="inlineStr">
        <is>
          <t>A 20928-2025</t>
        </is>
      </c>
      <c r="B308" s="1" t="n">
        <v>45777</v>
      </c>
      <c r="C308" s="1" t="n">
        <v>45885</v>
      </c>
      <c r="D308" t="inlineStr">
        <is>
          <t>UPPSALA LÄN</t>
        </is>
      </c>
      <c r="E308" t="inlineStr">
        <is>
          <t>UPPSALA</t>
        </is>
      </c>
      <c r="G308" t="n">
        <v>11.9</v>
      </c>
      <c r="H308" t="n">
        <v>0</v>
      </c>
      <c r="I308" t="n">
        <v>0</v>
      </c>
      <c r="J308" t="n">
        <v>0</v>
      </c>
      <c r="K308" t="n">
        <v>0</v>
      </c>
      <c r="L308" t="n">
        <v>0</v>
      </c>
      <c r="M308" t="n">
        <v>0</v>
      </c>
      <c r="N308" t="n">
        <v>0</v>
      </c>
      <c r="O308" t="n">
        <v>0</v>
      </c>
      <c r="P308" t="n">
        <v>0</v>
      </c>
      <c r="Q308" t="n">
        <v>0</v>
      </c>
      <c r="R308" s="2" t="inlineStr"/>
    </row>
    <row r="309" ht="15" customHeight="1">
      <c r="A309" t="inlineStr">
        <is>
          <t>A 33667-2024</t>
        </is>
      </c>
      <c r="B309" s="1" t="n">
        <v>45520</v>
      </c>
      <c r="C309" s="1" t="n">
        <v>45885</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45885</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44847-2024</t>
        </is>
      </c>
      <c r="B311" s="1" t="n">
        <v>45574</v>
      </c>
      <c r="C311" s="1" t="n">
        <v>45885</v>
      </c>
      <c r="D311" t="inlineStr">
        <is>
          <t>UPPSALA LÄN</t>
        </is>
      </c>
      <c r="E311" t="inlineStr">
        <is>
          <t>UPPSALA</t>
        </is>
      </c>
      <c r="G311" t="n">
        <v>6.3</v>
      </c>
      <c r="H311" t="n">
        <v>0</v>
      </c>
      <c r="I311" t="n">
        <v>0</v>
      </c>
      <c r="J311" t="n">
        <v>0</v>
      </c>
      <c r="K311" t="n">
        <v>0</v>
      </c>
      <c r="L311" t="n">
        <v>0</v>
      </c>
      <c r="M311" t="n">
        <v>0</v>
      </c>
      <c r="N311" t="n">
        <v>0</v>
      </c>
      <c r="O311" t="n">
        <v>0</v>
      </c>
      <c r="P311" t="n">
        <v>0</v>
      </c>
      <c r="Q311" t="n">
        <v>0</v>
      </c>
      <c r="R311" s="2" t="inlineStr"/>
    </row>
    <row r="312" ht="15" customHeight="1">
      <c r="A312" t="inlineStr">
        <is>
          <t>A 66686-2021</t>
        </is>
      </c>
      <c r="B312" s="1" t="n">
        <v>44519</v>
      </c>
      <c r="C312" s="1" t="n">
        <v>45885</v>
      </c>
      <c r="D312" t="inlineStr">
        <is>
          <t>UPPSALA LÄN</t>
        </is>
      </c>
      <c r="E312" t="inlineStr">
        <is>
          <t>UPPSALA</t>
        </is>
      </c>
      <c r="G312" t="n">
        <v>6.4</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45885</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5899-2024</t>
        </is>
      </c>
      <c r="B314" s="1" t="n">
        <v>45335</v>
      </c>
      <c r="C314" s="1" t="n">
        <v>45885</v>
      </c>
      <c r="D314" t="inlineStr">
        <is>
          <t>UPPSALA LÄN</t>
        </is>
      </c>
      <c r="E314" t="inlineStr">
        <is>
          <t>UPPSALA</t>
        </is>
      </c>
      <c r="F314" t="inlineStr">
        <is>
          <t>Allmännings- och besparingsskogar</t>
        </is>
      </c>
      <c r="G314" t="n">
        <v>3.7</v>
      </c>
      <c r="H314" t="n">
        <v>0</v>
      </c>
      <c r="I314" t="n">
        <v>0</v>
      </c>
      <c r="J314" t="n">
        <v>0</v>
      </c>
      <c r="K314" t="n">
        <v>0</v>
      </c>
      <c r="L314" t="n">
        <v>0</v>
      </c>
      <c r="M314" t="n">
        <v>0</v>
      </c>
      <c r="N314" t="n">
        <v>0</v>
      </c>
      <c r="O314" t="n">
        <v>0</v>
      </c>
      <c r="P314" t="n">
        <v>0</v>
      </c>
      <c r="Q314" t="n">
        <v>0</v>
      </c>
      <c r="R314" s="2" t="inlineStr"/>
    </row>
    <row r="315" ht="15" customHeight="1">
      <c r="A315" t="inlineStr">
        <is>
          <t>A 45-2024</t>
        </is>
      </c>
      <c r="B315" s="1" t="n">
        <v>45293</v>
      </c>
      <c r="C315" s="1" t="n">
        <v>45885</v>
      </c>
      <c r="D315" t="inlineStr">
        <is>
          <t>UPPSALA LÄN</t>
        </is>
      </c>
      <c r="E315" t="inlineStr">
        <is>
          <t>UPPSALA</t>
        </is>
      </c>
      <c r="G315" t="n">
        <v>12.5</v>
      </c>
      <c r="H315" t="n">
        <v>0</v>
      </c>
      <c r="I315" t="n">
        <v>0</v>
      </c>
      <c r="J315" t="n">
        <v>0</v>
      </c>
      <c r="K315" t="n">
        <v>0</v>
      </c>
      <c r="L315" t="n">
        <v>0</v>
      </c>
      <c r="M315" t="n">
        <v>0</v>
      </c>
      <c r="N315" t="n">
        <v>0</v>
      </c>
      <c r="O315" t="n">
        <v>0</v>
      </c>
      <c r="P315" t="n">
        <v>0</v>
      </c>
      <c r="Q315" t="n">
        <v>0</v>
      </c>
      <c r="R315" s="2" t="inlineStr"/>
    </row>
    <row r="316" ht="15" customHeight="1">
      <c r="A316" t="inlineStr">
        <is>
          <t>A 21279-2025</t>
        </is>
      </c>
      <c r="B316" s="1" t="n">
        <v>45779.65787037037</v>
      </c>
      <c r="C316" s="1" t="n">
        <v>45885</v>
      </c>
      <c r="D316" t="inlineStr">
        <is>
          <t>UPPSALA LÄN</t>
        </is>
      </c>
      <c r="E316" t="inlineStr">
        <is>
          <t>UPPSALA</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38934-2023</t>
        </is>
      </c>
      <c r="B317" s="1" t="n">
        <v>45163.59913194444</v>
      </c>
      <c r="C317" s="1" t="n">
        <v>45885</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27125-2023</t>
        </is>
      </c>
      <c r="B318" s="1" t="n">
        <v>45096</v>
      </c>
      <c r="C318" s="1" t="n">
        <v>45885</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21217-2025</t>
        </is>
      </c>
      <c r="B319" s="1" t="n">
        <v>45779.49085648148</v>
      </c>
      <c r="C319" s="1" t="n">
        <v>45885</v>
      </c>
      <c r="D319" t="inlineStr">
        <is>
          <t>UPPSALA LÄN</t>
        </is>
      </c>
      <c r="E319" t="inlineStr">
        <is>
          <t>UPPSALA</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45885</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21748-2025</t>
        </is>
      </c>
      <c r="B321" s="1" t="n">
        <v>45783.61053240741</v>
      </c>
      <c r="C321" s="1" t="n">
        <v>45885</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74023-2021</t>
        </is>
      </c>
      <c r="B322" s="1" t="n">
        <v>44553</v>
      </c>
      <c r="C322" s="1" t="n">
        <v>45885</v>
      </c>
      <c r="D322" t="inlineStr">
        <is>
          <t>UPPSALA LÄN</t>
        </is>
      </c>
      <c r="E322" t="inlineStr">
        <is>
          <t>UPPSALA</t>
        </is>
      </c>
      <c r="G322" t="n">
        <v>5.4</v>
      </c>
      <c r="H322" t="n">
        <v>0</v>
      </c>
      <c r="I322" t="n">
        <v>0</v>
      </c>
      <c r="J322" t="n">
        <v>0</v>
      </c>
      <c r="K322" t="n">
        <v>0</v>
      </c>
      <c r="L322" t="n">
        <v>0</v>
      </c>
      <c r="M322" t="n">
        <v>0</v>
      </c>
      <c r="N322" t="n">
        <v>0</v>
      </c>
      <c r="O322" t="n">
        <v>0</v>
      </c>
      <c r="P322" t="n">
        <v>0</v>
      </c>
      <c r="Q322" t="n">
        <v>0</v>
      </c>
      <c r="R322" s="2" t="inlineStr"/>
    </row>
    <row r="323" ht="15" customHeight="1">
      <c r="A323" t="inlineStr">
        <is>
          <t>A 21936-2025</t>
        </is>
      </c>
      <c r="B323" s="1" t="n">
        <v>45784.57266203704</v>
      </c>
      <c r="C323" s="1" t="n">
        <v>45885</v>
      </c>
      <c r="D323" t="inlineStr">
        <is>
          <t>UPPSALA LÄN</t>
        </is>
      </c>
      <c r="E323" t="inlineStr">
        <is>
          <t>UPPSALA</t>
        </is>
      </c>
      <c r="F323" t="inlineStr">
        <is>
          <t>Bergvik skog öst AB</t>
        </is>
      </c>
      <c r="G323" t="n">
        <v>1.7</v>
      </c>
      <c r="H323" t="n">
        <v>0</v>
      </c>
      <c r="I323" t="n">
        <v>0</v>
      </c>
      <c r="J323" t="n">
        <v>0</v>
      </c>
      <c r="K323" t="n">
        <v>0</v>
      </c>
      <c r="L323" t="n">
        <v>0</v>
      </c>
      <c r="M323" t="n">
        <v>0</v>
      </c>
      <c r="N323" t="n">
        <v>0</v>
      </c>
      <c r="O323" t="n">
        <v>0</v>
      </c>
      <c r="P323" t="n">
        <v>0</v>
      </c>
      <c r="Q323" t="n">
        <v>0</v>
      </c>
      <c r="R323" s="2" t="inlineStr"/>
    </row>
    <row r="324" ht="15" customHeight="1">
      <c r="A324" t="inlineStr">
        <is>
          <t>A 750-2022</t>
        </is>
      </c>
      <c r="B324" s="1" t="n">
        <v>44569.49344907407</v>
      </c>
      <c r="C324" s="1" t="n">
        <v>45885</v>
      </c>
      <c r="D324" t="inlineStr">
        <is>
          <t>UPPSALA LÄN</t>
        </is>
      </c>
      <c r="E324" t="inlineStr">
        <is>
          <t>UPPSALA</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16324-2024</t>
        </is>
      </c>
      <c r="B325" s="1" t="n">
        <v>45407.49721064815</v>
      </c>
      <c r="C325" s="1" t="n">
        <v>45885</v>
      </c>
      <c r="D325" t="inlineStr">
        <is>
          <t>UPPSALA LÄN</t>
        </is>
      </c>
      <c r="E325" t="inlineStr">
        <is>
          <t>UPPSALA</t>
        </is>
      </c>
      <c r="G325" t="n">
        <v>2.3</v>
      </c>
      <c r="H325" t="n">
        <v>0</v>
      </c>
      <c r="I325" t="n">
        <v>0</v>
      </c>
      <c r="J325" t="n">
        <v>0</v>
      </c>
      <c r="K325" t="n">
        <v>0</v>
      </c>
      <c r="L325" t="n">
        <v>0</v>
      </c>
      <c r="M325" t="n">
        <v>0</v>
      </c>
      <c r="N325" t="n">
        <v>0</v>
      </c>
      <c r="O325" t="n">
        <v>0</v>
      </c>
      <c r="P325" t="n">
        <v>0</v>
      </c>
      <c r="Q325" t="n">
        <v>0</v>
      </c>
      <c r="R325" s="2" t="inlineStr"/>
    </row>
    <row r="326" ht="15" customHeight="1">
      <c r="A326" t="inlineStr">
        <is>
          <t>A 22018-2025</t>
        </is>
      </c>
      <c r="B326" s="1" t="n">
        <v>45784.80497685185</v>
      </c>
      <c r="C326" s="1" t="n">
        <v>45885</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4980-2024</t>
        </is>
      </c>
      <c r="B327" s="1" t="n">
        <v>45329</v>
      </c>
      <c r="C327" s="1" t="n">
        <v>45885</v>
      </c>
      <c r="D327" t="inlineStr">
        <is>
          <t>UPPSALA LÄN</t>
        </is>
      </c>
      <c r="E327" t="inlineStr">
        <is>
          <t>UPPSALA</t>
        </is>
      </c>
      <c r="G327" t="n">
        <v>10.8</v>
      </c>
      <c r="H327" t="n">
        <v>0</v>
      </c>
      <c r="I327" t="n">
        <v>0</v>
      </c>
      <c r="J327" t="n">
        <v>0</v>
      </c>
      <c r="K327" t="n">
        <v>0</v>
      </c>
      <c r="L327" t="n">
        <v>0</v>
      </c>
      <c r="M327" t="n">
        <v>0</v>
      </c>
      <c r="N327" t="n">
        <v>0</v>
      </c>
      <c r="O327" t="n">
        <v>0</v>
      </c>
      <c r="P327" t="n">
        <v>0</v>
      </c>
      <c r="Q327" t="n">
        <v>0</v>
      </c>
      <c r="R327" s="2" t="inlineStr"/>
    </row>
    <row r="328" ht="15" customHeight="1">
      <c r="A328" t="inlineStr">
        <is>
          <t>A 42131-2023</t>
        </is>
      </c>
      <c r="B328" s="1" t="n">
        <v>45177.79766203704</v>
      </c>
      <c r="C328" s="1" t="n">
        <v>45885</v>
      </c>
      <c r="D328" t="inlineStr">
        <is>
          <t>UPPSALA LÄN</t>
        </is>
      </c>
      <c r="E328" t="inlineStr">
        <is>
          <t>UPPSALA</t>
        </is>
      </c>
      <c r="F328" t="inlineStr">
        <is>
          <t>Allmännings- och besparingsskogar</t>
        </is>
      </c>
      <c r="G328" t="n">
        <v>6.3</v>
      </c>
      <c r="H328" t="n">
        <v>0</v>
      </c>
      <c r="I328" t="n">
        <v>0</v>
      </c>
      <c r="J328" t="n">
        <v>0</v>
      </c>
      <c r="K328" t="n">
        <v>0</v>
      </c>
      <c r="L328" t="n">
        <v>0</v>
      </c>
      <c r="M328" t="n">
        <v>0</v>
      </c>
      <c r="N328" t="n">
        <v>0</v>
      </c>
      <c r="O328" t="n">
        <v>0</v>
      </c>
      <c r="P328" t="n">
        <v>0</v>
      </c>
      <c r="Q328" t="n">
        <v>0</v>
      </c>
      <c r="R328" s="2" t="inlineStr"/>
    </row>
    <row r="329" ht="15" customHeight="1">
      <c r="A329" t="inlineStr">
        <is>
          <t>A 6989-2022</t>
        </is>
      </c>
      <c r="B329" s="1" t="n">
        <v>44603</v>
      </c>
      <c r="C329" s="1" t="n">
        <v>45885</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38190-2023</t>
        </is>
      </c>
      <c r="B330" s="1" t="n">
        <v>45161</v>
      </c>
      <c r="C330" s="1" t="n">
        <v>45885</v>
      </c>
      <c r="D330" t="inlineStr">
        <is>
          <t>UPPSALA LÄN</t>
        </is>
      </c>
      <c r="E330" t="inlineStr">
        <is>
          <t>UPPSALA</t>
        </is>
      </c>
      <c r="G330" t="n">
        <v>0.4</v>
      </c>
      <c r="H330" t="n">
        <v>0</v>
      </c>
      <c r="I330" t="n">
        <v>0</v>
      </c>
      <c r="J330" t="n">
        <v>0</v>
      </c>
      <c r="K330" t="n">
        <v>0</v>
      </c>
      <c r="L330" t="n">
        <v>0</v>
      </c>
      <c r="M330" t="n">
        <v>0</v>
      </c>
      <c r="N330" t="n">
        <v>0</v>
      </c>
      <c r="O330" t="n">
        <v>0</v>
      </c>
      <c r="P330" t="n">
        <v>0</v>
      </c>
      <c r="Q330" t="n">
        <v>0</v>
      </c>
      <c r="R330" s="2" t="inlineStr"/>
    </row>
    <row r="331" ht="15" customHeight="1">
      <c r="A331" t="inlineStr">
        <is>
          <t>A 40701-2024</t>
        </is>
      </c>
      <c r="B331" s="1" t="n">
        <v>45558.42498842593</v>
      </c>
      <c r="C331" s="1" t="n">
        <v>45885</v>
      </c>
      <c r="D331" t="inlineStr">
        <is>
          <t>UPPSALA LÄN</t>
        </is>
      </c>
      <c r="E331" t="inlineStr">
        <is>
          <t>UPPSALA</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42276-2024</t>
        </is>
      </c>
      <c r="B332" s="1" t="n">
        <v>45562</v>
      </c>
      <c r="C332" s="1" t="n">
        <v>45885</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34147-2024</t>
        </is>
      </c>
      <c r="B333" s="1" t="n">
        <v>45524</v>
      </c>
      <c r="C333" s="1" t="n">
        <v>45885</v>
      </c>
      <c r="D333" t="inlineStr">
        <is>
          <t>UPPSALA LÄN</t>
        </is>
      </c>
      <c r="E333" t="inlineStr">
        <is>
          <t>UPPSALA</t>
        </is>
      </c>
      <c r="F333" t="inlineStr">
        <is>
          <t>Allmännings- och besparingsskogar</t>
        </is>
      </c>
      <c r="G333" t="n">
        <v>0.2</v>
      </c>
      <c r="H333" t="n">
        <v>0</v>
      </c>
      <c r="I333" t="n">
        <v>0</v>
      </c>
      <c r="J333" t="n">
        <v>0</v>
      </c>
      <c r="K333" t="n">
        <v>0</v>
      </c>
      <c r="L333" t="n">
        <v>0</v>
      </c>
      <c r="M333" t="n">
        <v>0</v>
      </c>
      <c r="N333" t="n">
        <v>0</v>
      </c>
      <c r="O333" t="n">
        <v>0</v>
      </c>
      <c r="P333" t="n">
        <v>0</v>
      </c>
      <c r="Q333" t="n">
        <v>0</v>
      </c>
      <c r="R333" s="2" t="inlineStr"/>
    </row>
    <row r="334" ht="15" customHeight="1">
      <c r="A334" t="inlineStr">
        <is>
          <t>A 10650-2024</t>
        </is>
      </c>
      <c r="B334" s="1" t="n">
        <v>45368.64787037037</v>
      </c>
      <c r="C334" s="1" t="n">
        <v>45885</v>
      </c>
      <c r="D334" t="inlineStr">
        <is>
          <t>UPPSALA LÄN</t>
        </is>
      </c>
      <c r="E334" t="inlineStr">
        <is>
          <t>UPPSALA</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45885</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45885</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758-2022</t>
        </is>
      </c>
      <c r="B337" s="1" t="n">
        <v>44569.69358796296</v>
      </c>
      <c r="C337" s="1" t="n">
        <v>45885</v>
      </c>
      <c r="D337" t="inlineStr">
        <is>
          <t>UPPSALA LÄN</t>
        </is>
      </c>
      <c r="E337" t="inlineStr">
        <is>
          <t>UPPSALA</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45885</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45885</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3973-2025</t>
        </is>
      </c>
      <c r="B340" s="1" t="n">
        <v>45684</v>
      </c>
      <c r="C340" s="1" t="n">
        <v>45885</v>
      </c>
      <c r="D340" t="inlineStr">
        <is>
          <t>UPPSALA LÄN</t>
        </is>
      </c>
      <c r="E340" t="inlineStr">
        <is>
          <t>UPPSALA</t>
        </is>
      </c>
      <c r="G340" t="n">
        <v>8</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45885</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18675-2024</t>
        </is>
      </c>
      <c r="B342" s="1" t="n">
        <v>45426</v>
      </c>
      <c r="C342" s="1" t="n">
        <v>45885</v>
      </c>
      <c r="D342" t="inlineStr">
        <is>
          <t>UPPSALA LÄN</t>
        </is>
      </c>
      <c r="E342" t="inlineStr">
        <is>
          <t>UPPSALA</t>
        </is>
      </c>
      <c r="G342" t="n">
        <v>8.1</v>
      </c>
      <c r="H342" t="n">
        <v>0</v>
      </c>
      <c r="I342" t="n">
        <v>0</v>
      </c>
      <c r="J342" t="n">
        <v>0</v>
      </c>
      <c r="K342" t="n">
        <v>0</v>
      </c>
      <c r="L342" t="n">
        <v>0</v>
      </c>
      <c r="M342" t="n">
        <v>0</v>
      </c>
      <c r="N342" t="n">
        <v>0</v>
      </c>
      <c r="O342" t="n">
        <v>0</v>
      </c>
      <c r="P342" t="n">
        <v>0</v>
      </c>
      <c r="Q342" t="n">
        <v>0</v>
      </c>
      <c r="R342" s="2" t="inlineStr"/>
    </row>
    <row r="343" ht="15" customHeight="1">
      <c r="A343" t="inlineStr">
        <is>
          <t>A 59570-2023</t>
        </is>
      </c>
      <c r="B343" s="1" t="n">
        <v>45254</v>
      </c>
      <c r="C343" s="1" t="n">
        <v>45885</v>
      </c>
      <c r="D343" t="inlineStr">
        <is>
          <t>UPPSALA LÄN</t>
        </is>
      </c>
      <c r="E343" t="inlineStr">
        <is>
          <t>UPPSALA</t>
        </is>
      </c>
      <c r="G343" t="n">
        <v>6.7</v>
      </c>
      <c r="H343" t="n">
        <v>0</v>
      </c>
      <c r="I343" t="n">
        <v>0</v>
      </c>
      <c r="J343" t="n">
        <v>0</v>
      </c>
      <c r="K343" t="n">
        <v>0</v>
      </c>
      <c r="L343" t="n">
        <v>0</v>
      </c>
      <c r="M343" t="n">
        <v>0</v>
      </c>
      <c r="N343" t="n">
        <v>0</v>
      </c>
      <c r="O343" t="n">
        <v>0</v>
      </c>
      <c r="P343" t="n">
        <v>0</v>
      </c>
      <c r="Q343" t="n">
        <v>0</v>
      </c>
      <c r="R343" s="2" t="inlineStr"/>
    </row>
    <row r="344" ht="15" customHeight="1">
      <c r="A344" t="inlineStr">
        <is>
          <t>A 15629-2023</t>
        </is>
      </c>
      <c r="B344" s="1" t="n">
        <v>45021.29524305555</v>
      </c>
      <c r="C344" s="1" t="n">
        <v>45885</v>
      </c>
      <c r="D344" t="inlineStr">
        <is>
          <t>UPPSALA LÄN</t>
        </is>
      </c>
      <c r="E344" t="inlineStr">
        <is>
          <t>UPPSALA</t>
        </is>
      </c>
      <c r="F344" t="inlineStr">
        <is>
          <t>Övriga Aktiebolag</t>
        </is>
      </c>
      <c r="G344" t="n">
        <v>7</v>
      </c>
      <c r="H344" t="n">
        <v>0</v>
      </c>
      <c r="I344" t="n">
        <v>0</v>
      </c>
      <c r="J344" t="n">
        <v>0</v>
      </c>
      <c r="K344" t="n">
        <v>0</v>
      </c>
      <c r="L344" t="n">
        <v>0</v>
      </c>
      <c r="M344" t="n">
        <v>0</v>
      </c>
      <c r="N344" t="n">
        <v>0</v>
      </c>
      <c r="O344" t="n">
        <v>0</v>
      </c>
      <c r="P344" t="n">
        <v>0</v>
      </c>
      <c r="Q344" t="n">
        <v>0</v>
      </c>
      <c r="R344" s="2" t="inlineStr"/>
    </row>
    <row r="345" ht="15" customHeight="1">
      <c r="A345" t="inlineStr">
        <is>
          <t>A 37162-2021</t>
        </is>
      </c>
      <c r="B345" s="1" t="n">
        <v>44395</v>
      </c>
      <c r="C345" s="1" t="n">
        <v>45885</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46745-2024</t>
        </is>
      </c>
      <c r="B346" s="1" t="n">
        <v>45583</v>
      </c>
      <c r="C346" s="1" t="n">
        <v>45885</v>
      </c>
      <c r="D346" t="inlineStr">
        <is>
          <t>UPPSALA LÄN</t>
        </is>
      </c>
      <c r="E346" t="inlineStr">
        <is>
          <t>UPPSALA</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46748-2024</t>
        </is>
      </c>
      <c r="B347" s="1" t="n">
        <v>45583</v>
      </c>
      <c r="C347" s="1" t="n">
        <v>45885</v>
      </c>
      <c r="D347" t="inlineStr">
        <is>
          <t>UPPSALA LÄN</t>
        </is>
      </c>
      <c r="E347" t="inlineStr">
        <is>
          <t>UPPSALA</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70228-2021</t>
        </is>
      </c>
      <c r="B348" s="1" t="n">
        <v>44535</v>
      </c>
      <c r="C348" s="1" t="n">
        <v>45885</v>
      </c>
      <c r="D348" t="inlineStr">
        <is>
          <t>UPPSALA LÄN</t>
        </is>
      </c>
      <c r="E348" t="inlineStr">
        <is>
          <t>UPPSALA</t>
        </is>
      </c>
      <c r="G348" t="n">
        <v>1.8</v>
      </c>
      <c r="H348" t="n">
        <v>0</v>
      </c>
      <c r="I348" t="n">
        <v>0</v>
      </c>
      <c r="J348" t="n">
        <v>0</v>
      </c>
      <c r="K348" t="n">
        <v>0</v>
      </c>
      <c r="L348" t="n">
        <v>0</v>
      </c>
      <c r="M348" t="n">
        <v>0</v>
      </c>
      <c r="N348" t="n">
        <v>0</v>
      </c>
      <c r="O348" t="n">
        <v>0</v>
      </c>
      <c r="P348" t="n">
        <v>0</v>
      </c>
      <c r="Q348" t="n">
        <v>0</v>
      </c>
      <c r="R348" s="2" t="inlineStr"/>
    </row>
    <row r="349" ht="15" customHeight="1">
      <c r="A349" t="inlineStr">
        <is>
          <t>A 12221-2022</t>
        </is>
      </c>
      <c r="B349" s="1" t="n">
        <v>44637.35744212963</v>
      </c>
      <c r="C349" s="1" t="n">
        <v>45885</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17481-2023</t>
        </is>
      </c>
      <c r="B350" s="1" t="n">
        <v>45036</v>
      </c>
      <c r="C350" s="1" t="n">
        <v>45885</v>
      </c>
      <c r="D350" t="inlineStr">
        <is>
          <t>UPPSALA LÄN</t>
        </is>
      </c>
      <c r="E350" t="inlineStr">
        <is>
          <t>UPPSALA</t>
        </is>
      </c>
      <c r="G350" t="n">
        <v>1.9</v>
      </c>
      <c r="H350" t="n">
        <v>0</v>
      </c>
      <c r="I350" t="n">
        <v>0</v>
      </c>
      <c r="J350" t="n">
        <v>0</v>
      </c>
      <c r="K350" t="n">
        <v>0</v>
      </c>
      <c r="L350" t="n">
        <v>0</v>
      </c>
      <c r="M350" t="n">
        <v>0</v>
      </c>
      <c r="N350" t="n">
        <v>0</v>
      </c>
      <c r="O350" t="n">
        <v>0</v>
      </c>
      <c r="P350" t="n">
        <v>0</v>
      </c>
      <c r="Q350" t="n">
        <v>0</v>
      </c>
      <c r="R350" s="2" t="inlineStr"/>
    </row>
    <row r="351" ht="15" customHeight="1">
      <c r="A351" t="inlineStr">
        <is>
          <t>A 56067-2024</t>
        </is>
      </c>
      <c r="B351" s="1" t="n">
        <v>45624</v>
      </c>
      <c r="C351" s="1" t="n">
        <v>45885</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11339-2025</t>
        </is>
      </c>
      <c r="B352" s="1" t="n">
        <v>45726</v>
      </c>
      <c r="C352" s="1" t="n">
        <v>45885</v>
      </c>
      <c r="D352" t="inlineStr">
        <is>
          <t>UPPSALA LÄN</t>
        </is>
      </c>
      <c r="E352" t="inlineStr">
        <is>
          <t>UPPSALA</t>
        </is>
      </c>
      <c r="G352" t="n">
        <v>13.4</v>
      </c>
      <c r="H352" t="n">
        <v>0</v>
      </c>
      <c r="I352" t="n">
        <v>0</v>
      </c>
      <c r="J352" t="n">
        <v>0</v>
      </c>
      <c r="K352" t="n">
        <v>0</v>
      </c>
      <c r="L352" t="n">
        <v>0</v>
      </c>
      <c r="M352" t="n">
        <v>0</v>
      </c>
      <c r="N352" t="n">
        <v>0</v>
      </c>
      <c r="O352" t="n">
        <v>0</v>
      </c>
      <c r="P352" t="n">
        <v>0</v>
      </c>
      <c r="Q352" t="n">
        <v>0</v>
      </c>
      <c r="R352" s="2" t="inlineStr"/>
    </row>
    <row r="353" ht="15" customHeight="1">
      <c r="A353" t="inlineStr">
        <is>
          <t>A 11260-2024</t>
        </is>
      </c>
      <c r="B353" s="1" t="n">
        <v>45371.67368055556</v>
      </c>
      <c r="C353" s="1" t="n">
        <v>45885</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22951-2025</t>
        </is>
      </c>
      <c r="B354" s="1" t="n">
        <v>45790.51040509259</v>
      </c>
      <c r="C354" s="1" t="n">
        <v>45885</v>
      </c>
      <c r="D354" t="inlineStr">
        <is>
          <t>UPPSALA LÄN</t>
        </is>
      </c>
      <c r="E354" t="inlineStr">
        <is>
          <t>UPPSALA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45885</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45885</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26208-2023</t>
        </is>
      </c>
      <c r="B357" s="1" t="n">
        <v>45091</v>
      </c>
      <c r="C357" s="1" t="n">
        <v>45885</v>
      </c>
      <c r="D357" t="inlineStr">
        <is>
          <t>UPPSALA LÄN</t>
        </is>
      </c>
      <c r="E357" t="inlineStr">
        <is>
          <t>UPPSALA</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22930-2025</t>
        </is>
      </c>
      <c r="B358" s="1" t="n">
        <v>45790.44972222222</v>
      </c>
      <c r="C358" s="1" t="n">
        <v>45885</v>
      </c>
      <c r="D358" t="inlineStr">
        <is>
          <t>UPPSALA LÄN</t>
        </is>
      </c>
      <c r="E358" t="inlineStr">
        <is>
          <t>UPPSALA</t>
        </is>
      </c>
      <c r="G358" t="n">
        <v>7.7</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45885</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45885</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45885</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45885</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45885</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47083-2023</t>
        </is>
      </c>
      <c r="B364" s="1" t="n">
        <v>45201.62318287037</v>
      </c>
      <c r="C364" s="1" t="n">
        <v>45885</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9255-2024</t>
        </is>
      </c>
      <c r="B365" s="1" t="n">
        <v>45358</v>
      </c>
      <c r="C365" s="1" t="n">
        <v>45885</v>
      </c>
      <c r="D365" t="inlineStr">
        <is>
          <t>UPPSALA LÄN</t>
        </is>
      </c>
      <c r="E365" t="inlineStr">
        <is>
          <t>UPPSALA</t>
        </is>
      </c>
      <c r="G365" t="n">
        <v>1.8</v>
      </c>
      <c r="H365" t="n">
        <v>0</v>
      </c>
      <c r="I365" t="n">
        <v>0</v>
      </c>
      <c r="J365" t="n">
        <v>0</v>
      </c>
      <c r="K365" t="n">
        <v>0</v>
      </c>
      <c r="L365" t="n">
        <v>0</v>
      </c>
      <c r="M365" t="n">
        <v>0</v>
      </c>
      <c r="N365" t="n">
        <v>0</v>
      </c>
      <c r="O365" t="n">
        <v>0</v>
      </c>
      <c r="P365" t="n">
        <v>0</v>
      </c>
      <c r="Q365" t="n">
        <v>0</v>
      </c>
      <c r="R365" s="2" t="inlineStr"/>
    </row>
    <row r="366" ht="15" customHeight="1">
      <c r="A366" t="inlineStr">
        <is>
          <t>A 66983-2021</t>
        </is>
      </c>
      <c r="B366" s="1" t="n">
        <v>44522</v>
      </c>
      <c r="C366" s="1" t="n">
        <v>45885</v>
      </c>
      <c r="D366" t="inlineStr">
        <is>
          <t>UPPSALA LÄN</t>
        </is>
      </c>
      <c r="E366" t="inlineStr">
        <is>
          <t>UPPSALA</t>
        </is>
      </c>
      <c r="G366" t="n">
        <v>2.5</v>
      </c>
      <c r="H366" t="n">
        <v>0</v>
      </c>
      <c r="I366" t="n">
        <v>0</v>
      </c>
      <c r="J366" t="n">
        <v>0</v>
      </c>
      <c r="K366" t="n">
        <v>0</v>
      </c>
      <c r="L366" t="n">
        <v>0</v>
      </c>
      <c r="M366" t="n">
        <v>0</v>
      </c>
      <c r="N366" t="n">
        <v>0</v>
      </c>
      <c r="O366" t="n">
        <v>0</v>
      </c>
      <c r="P366" t="n">
        <v>0</v>
      </c>
      <c r="Q366" t="n">
        <v>0</v>
      </c>
      <c r="R366" s="2" t="inlineStr"/>
    </row>
    <row r="367" ht="15" customHeight="1">
      <c r="A367" t="inlineStr">
        <is>
          <t>A 9242-2022</t>
        </is>
      </c>
      <c r="B367" s="1" t="n">
        <v>44616</v>
      </c>
      <c r="C367" s="1" t="n">
        <v>45885</v>
      </c>
      <c r="D367" t="inlineStr">
        <is>
          <t>UPPSALA LÄN</t>
        </is>
      </c>
      <c r="E367" t="inlineStr">
        <is>
          <t>UPPSALA</t>
        </is>
      </c>
      <c r="F367" t="inlineStr">
        <is>
          <t>Övriga Aktiebolag</t>
        </is>
      </c>
      <c r="G367" t="n">
        <v>5.9</v>
      </c>
      <c r="H367" t="n">
        <v>0</v>
      </c>
      <c r="I367" t="n">
        <v>0</v>
      </c>
      <c r="J367" t="n">
        <v>0</v>
      </c>
      <c r="K367" t="n">
        <v>0</v>
      </c>
      <c r="L367" t="n">
        <v>0</v>
      </c>
      <c r="M367" t="n">
        <v>0</v>
      </c>
      <c r="N367" t="n">
        <v>0</v>
      </c>
      <c r="O367" t="n">
        <v>0</v>
      </c>
      <c r="P367" t="n">
        <v>0</v>
      </c>
      <c r="Q367" t="n">
        <v>0</v>
      </c>
      <c r="R367" s="2" t="inlineStr"/>
    </row>
    <row r="368" ht="15" customHeight="1">
      <c r="A368" t="inlineStr">
        <is>
          <t>A 42528-2023</t>
        </is>
      </c>
      <c r="B368" s="1" t="n">
        <v>45181.33571759259</v>
      </c>
      <c r="C368" s="1" t="n">
        <v>45885</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65659-2021</t>
        </is>
      </c>
      <c r="B369" s="1" t="n">
        <v>44516</v>
      </c>
      <c r="C369" s="1" t="n">
        <v>45885</v>
      </c>
      <c r="D369" t="inlineStr">
        <is>
          <t>UPPSALA LÄN</t>
        </is>
      </c>
      <c r="E369" t="inlineStr">
        <is>
          <t>UPPSALA</t>
        </is>
      </c>
      <c r="G369" t="n">
        <v>2.2</v>
      </c>
      <c r="H369" t="n">
        <v>0</v>
      </c>
      <c r="I369" t="n">
        <v>0</v>
      </c>
      <c r="J369" t="n">
        <v>0</v>
      </c>
      <c r="K369" t="n">
        <v>0</v>
      </c>
      <c r="L369" t="n">
        <v>0</v>
      </c>
      <c r="M369" t="n">
        <v>0</v>
      </c>
      <c r="N369" t="n">
        <v>0</v>
      </c>
      <c r="O369" t="n">
        <v>0</v>
      </c>
      <c r="P369" t="n">
        <v>0</v>
      </c>
      <c r="Q369" t="n">
        <v>0</v>
      </c>
      <c r="R369" s="2" t="inlineStr"/>
    </row>
    <row r="370" ht="15" customHeight="1">
      <c r="A370" t="inlineStr">
        <is>
          <t>A 42063-2023</t>
        </is>
      </c>
      <c r="B370" s="1" t="n">
        <v>45177.56940972222</v>
      </c>
      <c r="C370" s="1" t="n">
        <v>45885</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13602-2025</t>
        </is>
      </c>
      <c r="B371" s="1" t="n">
        <v>45736.60863425926</v>
      </c>
      <c r="C371" s="1" t="n">
        <v>45885</v>
      </c>
      <c r="D371" t="inlineStr">
        <is>
          <t>UPPSALA LÄN</t>
        </is>
      </c>
      <c r="E371" t="inlineStr">
        <is>
          <t>UPPSALA</t>
        </is>
      </c>
      <c r="F371" t="inlineStr">
        <is>
          <t>Allmännings- och besparingsskogar</t>
        </is>
      </c>
      <c r="G371" t="n">
        <v>9.5</v>
      </c>
      <c r="H371" t="n">
        <v>0</v>
      </c>
      <c r="I371" t="n">
        <v>0</v>
      </c>
      <c r="J371" t="n">
        <v>0</v>
      </c>
      <c r="K371" t="n">
        <v>0</v>
      </c>
      <c r="L371" t="n">
        <v>0</v>
      </c>
      <c r="M371" t="n">
        <v>0</v>
      </c>
      <c r="N371" t="n">
        <v>0</v>
      </c>
      <c r="O371" t="n">
        <v>0</v>
      </c>
      <c r="P371" t="n">
        <v>0</v>
      </c>
      <c r="Q371" t="n">
        <v>0</v>
      </c>
      <c r="R371" s="2" t="inlineStr"/>
    </row>
    <row r="372" ht="15" customHeight="1">
      <c r="A372" t="inlineStr">
        <is>
          <t>A 34520-2024</t>
        </is>
      </c>
      <c r="B372" s="1" t="n">
        <v>45525</v>
      </c>
      <c r="C372" s="1" t="n">
        <v>45885</v>
      </c>
      <c r="D372" t="inlineStr">
        <is>
          <t>UPPSALA LÄN</t>
        </is>
      </c>
      <c r="E372" t="inlineStr">
        <is>
          <t>UPPSALA</t>
        </is>
      </c>
      <c r="G372" t="n">
        <v>2.5</v>
      </c>
      <c r="H372" t="n">
        <v>0</v>
      </c>
      <c r="I372" t="n">
        <v>0</v>
      </c>
      <c r="J372" t="n">
        <v>0</v>
      </c>
      <c r="K372" t="n">
        <v>0</v>
      </c>
      <c r="L372" t="n">
        <v>0</v>
      </c>
      <c r="M372" t="n">
        <v>0</v>
      </c>
      <c r="N372" t="n">
        <v>0</v>
      </c>
      <c r="O372" t="n">
        <v>0</v>
      </c>
      <c r="P372" t="n">
        <v>0</v>
      </c>
      <c r="Q372" t="n">
        <v>0</v>
      </c>
      <c r="R372" s="2" t="inlineStr"/>
    </row>
    <row r="373" ht="15" customHeight="1">
      <c r="A373" t="inlineStr">
        <is>
          <t>A 5876-2024</t>
        </is>
      </c>
      <c r="B373" s="1" t="n">
        <v>45335.66331018518</v>
      </c>
      <c r="C373" s="1" t="n">
        <v>45885</v>
      </c>
      <c r="D373" t="inlineStr">
        <is>
          <t>UPPSALA LÄN</t>
        </is>
      </c>
      <c r="E373" t="inlineStr">
        <is>
          <t>UPPSALA</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45885-2023</t>
        </is>
      </c>
      <c r="B374" s="1" t="n">
        <v>45195.64807870371</v>
      </c>
      <c r="C374" s="1" t="n">
        <v>45885</v>
      </c>
      <c r="D374" t="inlineStr">
        <is>
          <t>UPPSALA LÄN</t>
        </is>
      </c>
      <c r="E374" t="inlineStr">
        <is>
          <t>UPPSALA</t>
        </is>
      </c>
      <c r="G374" t="n">
        <v>6.5</v>
      </c>
      <c r="H374" t="n">
        <v>0</v>
      </c>
      <c r="I374" t="n">
        <v>0</v>
      </c>
      <c r="J374" t="n">
        <v>0</v>
      </c>
      <c r="K374" t="n">
        <v>0</v>
      </c>
      <c r="L374" t="n">
        <v>0</v>
      </c>
      <c r="M374" t="n">
        <v>0</v>
      </c>
      <c r="N374" t="n">
        <v>0</v>
      </c>
      <c r="O374" t="n">
        <v>0</v>
      </c>
      <c r="P374" t="n">
        <v>0</v>
      </c>
      <c r="Q374" t="n">
        <v>0</v>
      </c>
      <c r="R374" s="2" t="inlineStr"/>
    </row>
    <row r="375" ht="15" customHeight="1">
      <c r="A375" t="inlineStr">
        <is>
          <t>A 32475-2025</t>
        </is>
      </c>
      <c r="B375" s="1" t="n">
        <v>45838.42870370371</v>
      </c>
      <c r="C375" s="1" t="n">
        <v>45885</v>
      </c>
      <c r="D375" t="inlineStr">
        <is>
          <t>UPPSALA LÄN</t>
        </is>
      </c>
      <c r="E375" t="inlineStr">
        <is>
          <t>UPPSALA</t>
        </is>
      </c>
      <c r="G375" t="n">
        <v>3</v>
      </c>
      <c r="H375" t="n">
        <v>0</v>
      </c>
      <c r="I375" t="n">
        <v>0</v>
      </c>
      <c r="J375" t="n">
        <v>0</v>
      </c>
      <c r="K375" t="n">
        <v>0</v>
      </c>
      <c r="L375" t="n">
        <v>0</v>
      </c>
      <c r="M375" t="n">
        <v>0</v>
      </c>
      <c r="N375" t="n">
        <v>0</v>
      </c>
      <c r="O375" t="n">
        <v>0</v>
      </c>
      <c r="P375" t="n">
        <v>0</v>
      </c>
      <c r="Q375" t="n">
        <v>0</v>
      </c>
      <c r="R375" s="2" t="inlineStr"/>
    </row>
    <row r="376" ht="15" customHeight="1">
      <c r="A376" t="inlineStr">
        <is>
          <t>A 18781-2025</t>
        </is>
      </c>
      <c r="B376" s="1" t="n">
        <v>45763</v>
      </c>
      <c r="C376" s="1" t="n">
        <v>45885</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32484-2025</t>
        </is>
      </c>
      <c r="B377" s="1" t="n">
        <v>45838.43577546296</v>
      </c>
      <c r="C377" s="1" t="n">
        <v>45885</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59098-2024</t>
        </is>
      </c>
      <c r="B378" s="1" t="n">
        <v>45636</v>
      </c>
      <c r="C378" s="1" t="n">
        <v>45885</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14026-2021</t>
        </is>
      </c>
      <c r="B379" s="1" t="n">
        <v>44277.65650462963</v>
      </c>
      <c r="C379" s="1" t="n">
        <v>45885</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32479-2025</t>
        </is>
      </c>
      <c r="B380" s="1" t="n">
        <v>45838.43185185185</v>
      </c>
      <c r="C380" s="1" t="n">
        <v>45885</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45885</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60735-2024</t>
        </is>
      </c>
      <c r="B382" s="1" t="n">
        <v>45644</v>
      </c>
      <c r="C382" s="1" t="n">
        <v>45885</v>
      </c>
      <c r="D382" t="inlineStr">
        <is>
          <t>UPPSALA LÄN</t>
        </is>
      </c>
      <c r="E382" t="inlineStr">
        <is>
          <t>UPPSALA</t>
        </is>
      </c>
      <c r="G382" t="n">
        <v>1.4</v>
      </c>
      <c r="H382" t="n">
        <v>0</v>
      </c>
      <c r="I382" t="n">
        <v>0</v>
      </c>
      <c r="J382" t="n">
        <v>0</v>
      </c>
      <c r="K382" t="n">
        <v>0</v>
      </c>
      <c r="L382" t="n">
        <v>0</v>
      </c>
      <c r="M382" t="n">
        <v>0</v>
      </c>
      <c r="N382" t="n">
        <v>0</v>
      </c>
      <c r="O382" t="n">
        <v>0</v>
      </c>
      <c r="P382" t="n">
        <v>0</v>
      </c>
      <c r="Q382" t="n">
        <v>0</v>
      </c>
      <c r="R382" s="2" t="inlineStr"/>
    </row>
    <row r="383" ht="15" customHeight="1">
      <c r="A383" t="inlineStr">
        <is>
          <t>A 37626-2023</t>
        </is>
      </c>
      <c r="B383" s="1" t="n">
        <v>45159.45748842593</v>
      </c>
      <c r="C383" s="1" t="n">
        <v>45885</v>
      </c>
      <c r="D383" t="inlineStr">
        <is>
          <t>UPPSALA LÄN</t>
        </is>
      </c>
      <c r="E383" t="inlineStr">
        <is>
          <t>UPPSALA</t>
        </is>
      </c>
      <c r="G383" t="n">
        <v>0.6</v>
      </c>
      <c r="H383" t="n">
        <v>0</v>
      </c>
      <c r="I383" t="n">
        <v>0</v>
      </c>
      <c r="J383" t="n">
        <v>0</v>
      </c>
      <c r="K383" t="n">
        <v>0</v>
      </c>
      <c r="L383" t="n">
        <v>0</v>
      </c>
      <c r="M383" t="n">
        <v>0</v>
      </c>
      <c r="N383" t="n">
        <v>0</v>
      </c>
      <c r="O383" t="n">
        <v>0</v>
      </c>
      <c r="P383" t="n">
        <v>0</v>
      </c>
      <c r="Q383" t="n">
        <v>0</v>
      </c>
      <c r="R383" s="2" t="inlineStr"/>
    </row>
    <row r="384" ht="15" customHeight="1">
      <c r="A384" t="inlineStr">
        <is>
          <t>A 30319-2024</t>
        </is>
      </c>
      <c r="B384" s="1" t="n">
        <v>45490</v>
      </c>
      <c r="C384" s="1" t="n">
        <v>45885</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73531-2021</t>
        </is>
      </c>
      <c r="B385" s="1" t="n">
        <v>44551.76711805556</v>
      </c>
      <c r="C385" s="1" t="n">
        <v>45885</v>
      </c>
      <c r="D385" t="inlineStr">
        <is>
          <t>UPPSALA LÄN</t>
        </is>
      </c>
      <c r="E385" t="inlineStr">
        <is>
          <t>UPPSALA</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60445-2024</t>
        </is>
      </c>
      <c r="B386" s="1" t="n">
        <v>45643</v>
      </c>
      <c r="C386" s="1" t="n">
        <v>45885</v>
      </c>
      <c r="D386" t="inlineStr">
        <is>
          <t>UPPSALA LÄN</t>
        </is>
      </c>
      <c r="E386" t="inlineStr">
        <is>
          <t>UPPSALA</t>
        </is>
      </c>
      <c r="G386" t="n">
        <v>1</v>
      </c>
      <c r="H386" t="n">
        <v>0</v>
      </c>
      <c r="I386" t="n">
        <v>0</v>
      </c>
      <c r="J386" t="n">
        <v>0</v>
      </c>
      <c r="K386" t="n">
        <v>0</v>
      </c>
      <c r="L386" t="n">
        <v>0</v>
      </c>
      <c r="M386" t="n">
        <v>0</v>
      </c>
      <c r="N386" t="n">
        <v>0</v>
      </c>
      <c r="O386" t="n">
        <v>0</v>
      </c>
      <c r="P386" t="n">
        <v>0</v>
      </c>
      <c r="Q386" t="n">
        <v>0</v>
      </c>
      <c r="R386" s="2" t="inlineStr"/>
    </row>
    <row r="387" ht="15" customHeight="1">
      <c r="A387" t="inlineStr">
        <is>
          <t>A 17232-2022</t>
        </is>
      </c>
      <c r="B387" s="1" t="n">
        <v>44678.3315625</v>
      </c>
      <c r="C387" s="1" t="n">
        <v>45885</v>
      </c>
      <c r="D387" t="inlineStr">
        <is>
          <t>UPPSALA LÄN</t>
        </is>
      </c>
      <c r="E387" t="inlineStr">
        <is>
          <t>UPPSALA</t>
        </is>
      </c>
      <c r="F387" t="inlineStr">
        <is>
          <t>Övriga Aktiebolag</t>
        </is>
      </c>
      <c r="G387" t="n">
        <v>7.4</v>
      </c>
      <c r="H387" t="n">
        <v>0</v>
      </c>
      <c r="I387" t="n">
        <v>0</v>
      </c>
      <c r="J387" t="n">
        <v>0</v>
      </c>
      <c r="K387" t="n">
        <v>0</v>
      </c>
      <c r="L387" t="n">
        <v>0</v>
      </c>
      <c r="M387" t="n">
        <v>0</v>
      </c>
      <c r="N387" t="n">
        <v>0</v>
      </c>
      <c r="O387" t="n">
        <v>0</v>
      </c>
      <c r="P387" t="n">
        <v>0</v>
      </c>
      <c r="Q387" t="n">
        <v>0</v>
      </c>
      <c r="R387" s="2" t="inlineStr"/>
    </row>
    <row r="388" ht="15" customHeight="1">
      <c r="A388" t="inlineStr">
        <is>
          <t>A 8404-2022</t>
        </is>
      </c>
      <c r="B388" s="1" t="n">
        <v>44610</v>
      </c>
      <c r="C388" s="1" t="n">
        <v>45885</v>
      </c>
      <c r="D388" t="inlineStr">
        <is>
          <t>UPPSALA LÄN</t>
        </is>
      </c>
      <c r="E388" t="inlineStr">
        <is>
          <t>UPPSALA</t>
        </is>
      </c>
      <c r="F388" t="inlineStr">
        <is>
          <t>Allmännings- och besparingsskogar</t>
        </is>
      </c>
      <c r="G388" t="n">
        <v>5.4</v>
      </c>
      <c r="H388" t="n">
        <v>0</v>
      </c>
      <c r="I388" t="n">
        <v>0</v>
      </c>
      <c r="J388" t="n">
        <v>0</v>
      </c>
      <c r="K388" t="n">
        <v>0</v>
      </c>
      <c r="L388" t="n">
        <v>0</v>
      </c>
      <c r="M388" t="n">
        <v>0</v>
      </c>
      <c r="N388" t="n">
        <v>0</v>
      </c>
      <c r="O388" t="n">
        <v>0</v>
      </c>
      <c r="P388" t="n">
        <v>0</v>
      </c>
      <c r="Q388" t="n">
        <v>0</v>
      </c>
      <c r="R388" s="2" t="inlineStr"/>
    </row>
    <row r="389" ht="15" customHeight="1">
      <c r="A389" t="inlineStr">
        <is>
          <t>A 53921-2024</t>
        </is>
      </c>
      <c r="B389" s="1" t="n">
        <v>45615</v>
      </c>
      <c r="C389" s="1" t="n">
        <v>45885</v>
      </c>
      <c r="D389" t="inlineStr">
        <is>
          <t>UPPSALA LÄN</t>
        </is>
      </c>
      <c r="E389" t="inlineStr">
        <is>
          <t>UPPSALA</t>
        </is>
      </c>
      <c r="G389" t="n">
        <v>8.1</v>
      </c>
      <c r="H389" t="n">
        <v>0</v>
      </c>
      <c r="I389" t="n">
        <v>0</v>
      </c>
      <c r="J389" t="n">
        <v>0</v>
      </c>
      <c r="K389" t="n">
        <v>0</v>
      </c>
      <c r="L389" t="n">
        <v>0</v>
      </c>
      <c r="M389" t="n">
        <v>0</v>
      </c>
      <c r="N389" t="n">
        <v>0</v>
      </c>
      <c r="O389" t="n">
        <v>0</v>
      </c>
      <c r="P389" t="n">
        <v>0</v>
      </c>
      <c r="Q389" t="n">
        <v>0</v>
      </c>
      <c r="R389" s="2" t="inlineStr"/>
    </row>
    <row r="390" ht="15" customHeight="1">
      <c r="A390" t="inlineStr">
        <is>
          <t>A 59562-2024</t>
        </is>
      </c>
      <c r="B390" s="1" t="n">
        <v>45638</v>
      </c>
      <c r="C390" s="1" t="n">
        <v>45885</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20903-2024</t>
        </is>
      </c>
      <c r="B391" s="1" t="n">
        <v>45439</v>
      </c>
      <c r="C391" s="1" t="n">
        <v>45885</v>
      </c>
      <c r="D391" t="inlineStr">
        <is>
          <t>UPPSALA LÄN</t>
        </is>
      </c>
      <c r="E391" t="inlineStr">
        <is>
          <t>UPPSALA</t>
        </is>
      </c>
      <c r="F391" t="inlineStr">
        <is>
          <t>Holmen skog AB</t>
        </is>
      </c>
      <c r="G391" t="n">
        <v>2.7</v>
      </c>
      <c r="H391" t="n">
        <v>0</v>
      </c>
      <c r="I391" t="n">
        <v>0</v>
      </c>
      <c r="J391" t="n">
        <v>0</v>
      </c>
      <c r="K391" t="n">
        <v>0</v>
      </c>
      <c r="L391" t="n">
        <v>0</v>
      </c>
      <c r="M391" t="n">
        <v>0</v>
      </c>
      <c r="N391" t="n">
        <v>0</v>
      </c>
      <c r="O391" t="n">
        <v>0</v>
      </c>
      <c r="P391" t="n">
        <v>0</v>
      </c>
      <c r="Q391" t="n">
        <v>0</v>
      </c>
      <c r="R391" s="2" t="inlineStr"/>
    </row>
    <row r="392" ht="15" customHeight="1">
      <c r="A392" t="inlineStr">
        <is>
          <t>A 19539-2024</t>
        </is>
      </c>
      <c r="B392" s="1" t="n">
        <v>45429</v>
      </c>
      <c r="C392" s="1" t="n">
        <v>45885</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60698-2024</t>
        </is>
      </c>
      <c r="B393" s="1" t="n">
        <v>45644</v>
      </c>
      <c r="C393" s="1" t="n">
        <v>45885</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44115-2023</t>
        </is>
      </c>
      <c r="B394" s="1" t="n">
        <v>45188</v>
      </c>
      <c r="C394" s="1" t="n">
        <v>45885</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24284-2025</t>
        </is>
      </c>
      <c r="B395" s="1" t="n">
        <v>45797.45900462963</v>
      </c>
      <c r="C395" s="1" t="n">
        <v>45885</v>
      </c>
      <c r="D395" t="inlineStr">
        <is>
          <t>UPPSALA LÄN</t>
        </is>
      </c>
      <c r="E395" t="inlineStr">
        <is>
          <t>UPPSALA</t>
        </is>
      </c>
      <c r="F395" t="inlineStr">
        <is>
          <t>Holmen skog AB</t>
        </is>
      </c>
      <c r="G395" t="n">
        <v>12.7</v>
      </c>
      <c r="H395" t="n">
        <v>0</v>
      </c>
      <c r="I395" t="n">
        <v>0</v>
      </c>
      <c r="J395" t="n">
        <v>0</v>
      </c>
      <c r="K395" t="n">
        <v>0</v>
      </c>
      <c r="L395" t="n">
        <v>0</v>
      </c>
      <c r="M395" t="n">
        <v>0</v>
      </c>
      <c r="N395" t="n">
        <v>0</v>
      </c>
      <c r="O395" t="n">
        <v>0</v>
      </c>
      <c r="P395" t="n">
        <v>0</v>
      </c>
      <c r="Q395" t="n">
        <v>0</v>
      </c>
      <c r="R395" s="2" t="inlineStr"/>
    </row>
    <row r="396" ht="15" customHeight="1">
      <c r="A396" t="inlineStr">
        <is>
          <t>A 42772-2022</t>
        </is>
      </c>
      <c r="B396" s="1" t="n">
        <v>44832.49594907407</v>
      </c>
      <c r="C396" s="1" t="n">
        <v>45885</v>
      </c>
      <c r="D396" t="inlineStr">
        <is>
          <t>UPPSALA LÄN</t>
        </is>
      </c>
      <c r="E396" t="inlineStr">
        <is>
          <t>UPPSALA</t>
        </is>
      </c>
      <c r="G396" t="n">
        <v>17.7</v>
      </c>
      <c r="H396" t="n">
        <v>0</v>
      </c>
      <c r="I396" t="n">
        <v>0</v>
      </c>
      <c r="J396" t="n">
        <v>0</v>
      </c>
      <c r="K396" t="n">
        <v>0</v>
      </c>
      <c r="L396" t="n">
        <v>0</v>
      </c>
      <c r="M396" t="n">
        <v>0</v>
      </c>
      <c r="N396" t="n">
        <v>0</v>
      </c>
      <c r="O396" t="n">
        <v>0</v>
      </c>
      <c r="P396" t="n">
        <v>0</v>
      </c>
      <c r="Q396" t="n">
        <v>0</v>
      </c>
      <c r="R396" s="2" t="inlineStr"/>
    </row>
    <row r="397" ht="15" customHeight="1">
      <c r="A397" t="inlineStr">
        <is>
          <t>A 24525-2025</t>
        </is>
      </c>
      <c r="B397" s="1" t="n">
        <v>45798.42252314815</v>
      </c>
      <c r="C397" s="1" t="n">
        <v>45885</v>
      </c>
      <c r="D397" t="inlineStr">
        <is>
          <t>UPPSALA LÄN</t>
        </is>
      </c>
      <c r="E397" t="inlineStr">
        <is>
          <t>UPPSALA</t>
        </is>
      </c>
      <c r="G397" t="n">
        <v>3.2</v>
      </c>
      <c r="H397" t="n">
        <v>0</v>
      </c>
      <c r="I397" t="n">
        <v>0</v>
      </c>
      <c r="J397" t="n">
        <v>0</v>
      </c>
      <c r="K397" t="n">
        <v>0</v>
      </c>
      <c r="L397" t="n">
        <v>0</v>
      </c>
      <c r="M397" t="n">
        <v>0</v>
      </c>
      <c r="N397" t="n">
        <v>0</v>
      </c>
      <c r="O397" t="n">
        <v>0</v>
      </c>
      <c r="P397" t="n">
        <v>0</v>
      </c>
      <c r="Q397" t="n">
        <v>0</v>
      </c>
      <c r="R397" s="2" t="inlineStr"/>
    </row>
    <row r="398" ht="15" customHeight="1">
      <c r="A398" t="inlineStr">
        <is>
          <t>A 10477-2024</t>
        </is>
      </c>
      <c r="B398" s="1" t="n">
        <v>45366.42888888889</v>
      </c>
      <c r="C398" s="1" t="n">
        <v>45885</v>
      </c>
      <c r="D398" t="inlineStr">
        <is>
          <t>UPPSALA LÄN</t>
        </is>
      </c>
      <c r="E398" t="inlineStr">
        <is>
          <t>UPPSALA</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24521-2025</t>
        </is>
      </c>
      <c r="B399" s="1" t="n">
        <v>45798.41734953703</v>
      </c>
      <c r="C399" s="1" t="n">
        <v>45885</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24268-2025</t>
        </is>
      </c>
      <c r="B400" s="1" t="n">
        <v>45797.42777777778</v>
      </c>
      <c r="C400" s="1" t="n">
        <v>45885</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6363-2024</t>
        </is>
      </c>
      <c r="B401" s="1" t="n">
        <v>45338.49412037037</v>
      </c>
      <c r="C401" s="1" t="n">
        <v>45885</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24909-2025</t>
        </is>
      </c>
      <c r="B402" s="1" t="n">
        <v>45799.53348379629</v>
      </c>
      <c r="C402" s="1" t="n">
        <v>45885</v>
      </c>
      <c r="D402" t="inlineStr">
        <is>
          <t>UPPSALA LÄN</t>
        </is>
      </c>
      <c r="E402" t="inlineStr">
        <is>
          <t>UPPSALA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6988-2025</t>
        </is>
      </c>
      <c r="B403" s="1" t="n">
        <v>45693</v>
      </c>
      <c r="C403" s="1" t="n">
        <v>45885</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45885</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14652-2025</t>
        </is>
      </c>
      <c r="B405" s="1" t="n">
        <v>45742.49414351852</v>
      </c>
      <c r="C405" s="1" t="n">
        <v>45885</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24912-2025</t>
        </is>
      </c>
      <c r="B406" s="1" t="n">
        <v>45799.53803240741</v>
      </c>
      <c r="C406" s="1" t="n">
        <v>45885</v>
      </c>
      <c r="D406" t="inlineStr">
        <is>
          <t>UPPSALA LÄN</t>
        </is>
      </c>
      <c r="E406" t="inlineStr">
        <is>
          <t>UPPSALA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24916-2025</t>
        </is>
      </c>
      <c r="B407" s="1" t="n">
        <v>45799.5421875</v>
      </c>
      <c r="C407" s="1" t="n">
        <v>45885</v>
      </c>
      <c r="D407" t="inlineStr">
        <is>
          <t>UPPSALA LÄN</t>
        </is>
      </c>
      <c r="E407" t="inlineStr">
        <is>
          <t>UPPSALA</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24961-2025</t>
        </is>
      </c>
      <c r="B408" s="1" t="n">
        <v>45799.57714120371</v>
      </c>
      <c r="C408" s="1" t="n">
        <v>45885</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25025-2025</t>
        </is>
      </c>
      <c r="B409" s="1" t="n">
        <v>45799.64877314815</v>
      </c>
      <c r="C409" s="1" t="n">
        <v>45885</v>
      </c>
      <c r="D409" t="inlineStr">
        <is>
          <t>UPPSALA LÄN</t>
        </is>
      </c>
      <c r="E409" t="inlineStr">
        <is>
          <t>UPPSALA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25055-2025</t>
        </is>
      </c>
      <c r="B410" s="1" t="n">
        <v>45799.67806712963</v>
      </c>
      <c r="C410" s="1" t="n">
        <v>45885</v>
      </c>
      <c r="D410" t="inlineStr">
        <is>
          <t>UPPSALA LÄN</t>
        </is>
      </c>
      <c r="E410" t="inlineStr">
        <is>
          <t>UPPSALA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12828-2025</t>
        </is>
      </c>
      <c r="B411" s="1" t="n">
        <v>45733.62903935185</v>
      </c>
      <c r="C411" s="1" t="n">
        <v>45885</v>
      </c>
      <c r="D411" t="inlineStr">
        <is>
          <t>UPPSALA LÄN</t>
        </is>
      </c>
      <c r="E411" t="inlineStr">
        <is>
          <t>UPPSALA</t>
        </is>
      </c>
      <c r="G411" t="n">
        <v>5.3</v>
      </c>
      <c r="H411" t="n">
        <v>0</v>
      </c>
      <c r="I411" t="n">
        <v>0</v>
      </c>
      <c r="J411" t="n">
        <v>0</v>
      </c>
      <c r="K411" t="n">
        <v>0</v>
      </c>
      <c r="L411" t="n">
        <v>0</v>
      </c>
      <c r="M411" t="n">
        <v>0</v>
      </c>
      <c r="N411" t="n">
        <v>0</v>
      </c>
      <c r="O411" t="n">
        <v>0</v>
      </c>
      <c r="P411" t="n">
        <v>0</v>
      </c>
      <c r="Q411" t="n">
        <v>0</v>
      </c>
      <c r="R411" s="2" t="inlineStr"/>
    </row>
    <row r="412" ht="15" customHeight="1">
      <c r="A412" t="inlineStr">
        <is>
          <t>A 35906-2023</t>
        </is>
      </c>
      <c r="B412" s="1" t="n">
        <v>45148</v>
      </c>
      <c r="C412" s="1" t="n">
        <v>45885</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35914-2023</t>
        </is>
      </c>
      <c r="B413" s="1" t="n">
        <v>45148</v>
      </c>
      <c r="C413" s="1" t="n">
        <v>45885</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25056-2025</t>
        </is>
      </c>
      <c r="B414" s="1" t="n">
        <v>45799.68190972223</v>
      </c>
      <c r="C414" s="1" t="n">
        <v>45885</v>
      </c>
      <c r="D414" t="inlineStr">
        <is>
          <t>UPPSALA LÄN</t>
        </is>
      </c>
      <c r="E414" t="inlineStr">
        <is>
          <t>UPPSALA</t>
        </is>
      </c>
      <c r="F414" t="inlineStr">
        <is>
          <t>Bergvik skog öst AB</t>
        </is>
      </c>
      <c r="G414" t="n">
        <v>20.9</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45885</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45885</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25052-2025</t>
        </is>
      </c>
      <c r="B417" s="1" t="n">
        <v>45799.675</v>
      </c>
      <c r="C417" s="1" t="n">
        <v>45885</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24913-2025</t>
        </is>
      </c>
      <c r="B418" s="1" t="n">
        <v>45799.53947916667</v>
      </c>
      <c r="C418" s="1" t="n">
        <v>45885</v>
      </c>
      <c r="D418" t="inlineStr">
        <is>
          <t>UPPSALA LÄN</t>
        </is>
      </c>
      <c r="E418" t="inlineStr">
        <is>
          <t>UPPSALA</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24915-2025</t>
        </is>
      </c>
      <c r="B419" s="1" t="n">
        <v>45799.54104166666</v>
      </c>
      <c r="C419" s="1" t="n">
        <v>45885</v>
      </c>
      <c r="D419" t="inlineStr">
        <is>
          <t>UPPSALA LÄN</t>
        </is>
      </c>
      <c r="E419" t="inlineStr">
        <is>
          <t>UPPSALA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13742-2025</t>
        </is>
      </c>
      <c r="B420" s="1" t="n">
        <v>45737.40503472222</v>
      </c>
      <c r="C420" s="1" t="n">
        <v>45885</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4065-2024</t>
        </is>
      </c>
      <c r="B421" s="1" t="n">
        <v>45323.55914351852</v>
      </c>
      <c r="C421" s="1" t="n">
        <v>45885</v>
      </c>
      <c r="D421" t="inlineStr">
        <is>
          <t>UPPSALA LÄN</t>
        </is>
      </c>
      <c r="E421" t="inlineStr">
        <is>
          <t>UPPSALA</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25026-2025</t>
        </is>
      </c>
      <c r="B422" s="1" t="n">
        <v>45799.65021990741</v>
      </c>
      <c r="C422" s="1" t="n">
        <v>45885</v>
      </c>
      <c r="D422" t="inlineStr">
        <is>
          <t>UPPSALA LÄN</t>
        </is>
      </c>
      <c r="E422" t="inlineStr">
        <is>
          <t>UPPSALA</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25030-2025</t>
        </is>
      </c>
      <c r="B423" s="1" t="n">
        <v>45799.6527199074</v>
      </c>
      <c r="C423" s="1" t="n">
        <v>45885</v>
      </c>
      <c r="D423" t="inlineStr">
        <is>
          <t>UPPSALA LÄN</t>
        </is>
      </c>
      <c r="E423" t="inlineStr">
        <is>
          <t>UPPSALA</t>
        </is>
      </c>
      <c r="F423" t="inlineStr">
        <is>
          <t>Sveaskog</t>
        </is>
      </c>
      <c r="G423" t="n">
        <v>6</v>
      </c>
      <c r="H423" t="n">
        <v>0</v>
      </c>
      <c r="I423" t="n">
        <v>0</v>
      </c>
      <c r="J423" t="n">
        <v>0</v>
      </c>
      <c r="K423" t="n">
        <v>0</v>
      </c>
      <c r="L423" t="n">
        <v>0</v>
      </c>
      <c r="M423" t="n">
        <v>0</v>
      </c>
      <c r="N423" t="n">
        <v>0</v>
      </c>
      <c r="O423" t="n">
        <v>0</v>
      </c>
      <c r="P423" t="n">
        <v>0</v>
      </c>
      <c r="Q423" t="n">
        <v>0</v>
      </c>
      <c r="R423" s="2" t="inlineStr"/>
    </row>
    <row r="424" ht="15" customHeight="1">
      <c r="A424" t="inlineStr">
        <is>
          <t>A 45662-2023</t>
        </is>
      </c>
      <c r="B424" s="1" t="n">
        <v>45194</v>
      </c>
      <c r="C424" s="1" t="n">
        <v>45885</v>
      </c>
      <c r="D424" t="inlineStr">
        <is>
          <t>UPPSALA LÄN</t>
        </is>
      </c>
      <c r="E424" t="inlineStr">
        <is>
          <t>UPPSALA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24794-2025</t>
        </is>
      </c>
      <c r="B425" s="1" t="n">
        <v>45799.43496527777</v>
      </c>
      <c r="C425" s="1" t="n">
        <v>45885</v>
      </c>
      <c r="D425" t="inlineStr">
        <is>
          <t>UPPSALA LÄN</t>
        </is>
      </c>
      <c r="E425" t="inlineStr">
        <is>
          <t>UPPSALA</t>
        </is>
      </c>
      <c r="F425" t="inlineStr">
        <is>
          <t>BillerudKorsnäs AB</t>
        </is>
      </c>
      <c r="G425" t="n">
        <v>1.4</v>
      </c>
      <c r="H425" t="n">
        <v>0</v>
      </c>
      <c r="I425" t="n">
        <v>0</v>
      </c>
      <c r="J425" t="n">
        <v>0</v>
      </c>
      <c r="K425" t="n">
        <v>0</v>
      </c>
      <c r="L425" t="n">
        <v>0</v>
      </c>
      <c r="M425" t="n">
        <v>0</v>
      </c>
      <c r="N425" t="n">
        <v>0</v>
      </c>
      <c r="O425" t="n">
        <v>0</v>
      </c>
      <c r="P425" t="n">
        <v>0</v>
      </c>
      <c r="Q425" t="n">
        <v>0</v>
      </c>
      <c r="R425" s="2" t="inlineStr"/>
    </row>
    <row r="426" ht="15" customHeight="1">
      <c r="A426" t="inlineStr">
        <is>
          <t>A 25280-2023</t>
        </is>
      </c>
      <c r="B426" s="1" t="n">
        <v>45086.7037037037</v>
      </c>
      <c r="C426" s="1" t="n">
        <v>45885</v>
      </c>
      <c r="D426" t="inlineStr">
        <is>
          <t>UPPSALA LÄN</t>
        </is>
      </c>
      <c r="E426" t="inlineStr">
        <is>
          <t>UPPSALA</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15264-2025</t>
        </is>
      </c>
      <c r="B427" s="1" t="n">
        <v>45744</v>
      </c>
      <c r="C427" s="1" t="n">
        <v>45885</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50463-2024</t>
        </is>
      </c>
      <c r="B428" s="1" t="n">
        <v>45601</v>
      </c>
      <c r="C428" s="1" t="n">
        <v>45885</v>
      </c>
      <c r="D428" t="inlineStr">
        <is>
          <t>UPPSALA LÄN</t>
        </is>
      </c>
      <c r="E428" t="inlineStr">
        <is>
          <t>UPPSALA</t>
        </is>
      </c>
      <c r="F428" t="inlineStr">
        <is>
          <t>Allmännings- och besparingsskogar</t>
        </is>
      </c>
      <c r="G428" t="n">
        <v>12.6</v>
      </c>
      <c r="H428" t="n">
        <v>0</v>
      </c>
      <c r="I428" t="n">
        <v>0</v>
      </c>
      <c r="J428" t="n">
        <v>0</v>
      </c>
      <c r="K428" t="n">
        <v>0</v>
      </c>
      <c r="L428" t="n">
        <v>0</v>
      </c>
      <c r="M428" t="n">
        <v>0</v>
      </c>
      <c r="N428" t="n">
        <v>0</v>
      </c>
      <c r="O428" t="n">
        <v>0</v>
      </c>
      <c r="P428" t="n">
        <v>0</v>
      </c>
      <c r="Q428" t="n">
        <v>0</v>
      </c>
      <c r="R428" s="2" t="inlineStr"/>
    </row>
    <row r="429" ht="15" customHeight="1">
      <c r="A429" t="inlineStr">
        <is>
          <t>A 6628-2024</t>
        </is>
      </c>
      <c r="B429" s="1" t="n">
        <v>45341</v>
      </c>
      <c r="C429" s="1" t="n">
        <v>45885</v>
      </c>
      <c r="D429" t="inlineStr">
        <is>
          <t>UPPSALA LÄN</t>
        </is>
      </c>
      <c r="E429" t="inlineStr">
        <is>
          <t>UPPSALA</t>
        </is>
      </c>
      <c r="G429" t="n">
        <v>4.3</v>
      </c>
      <c r="H429" t="n">
        <v>0</v>
      </c>
      <c r="I429" t="n">
        <v>0</v>
      </c>
      <c r="J429" t="n">
        <v>0</v>
      </c>
      <c r="K429" t="n">
        <v>0</v>
      </c>
      <c r="L429" t="n">
        <v>0</v>
      </c>
      <c r="M429" t="n">
        <v>0</v>
      </c>
      <c r="N429" t="n">
        <v>0</v>
      </c>
      <c r="O429" t="n">
        <v>0</v>
      </c>
      <c r="P429" t="n">
        <v>0</v>
      </c>
      <c r="Q429" t="n">
        <v>0</v>
      </c>
      <c r="R429" s="2" t="inlineStr"/>
    </row>
    <row r="430" ht="15" customHeight="1">
      <c r="A430" t="inlineStr">
        <is>
          <t>A 52197-2024</t>
        </is>
      </c>
      <c r="B430" s="1" t="n">
        <v>45608</v>
      </c>
      <c r="C430" s="1" t="n">
        <v>45885</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5189-2022</t>
        </is>
      </c>
      <c r="B431" s="1" t="n">
        <v>44594</v>
      </c>
      <c r="C431" s="1" t="n">
        <v>45885</v>
      </c>
      <c r="D431" t="inlineStr">
        <is>
          <t>UPPSALA LÄN</t>
        </is>
      </c>
      <c r="E431" t="inlineStr">
        <is>
          <t>UPPSALA</t>
        </is>
      </c>
      <c r="G431" t="n">
        <v>5.9</v>
      </c>
      <c r="H431" t="n">
        <v>0</v>
      </c>
      <c r="I431" t="n">
        <v>0</v>
      </c>
      <c r="J431" t="n">
        <v>0</v>
      </c>
      <c r="K431" t="n">
        <v>0</v>
      </c>
      <c r="L431" t="n">
        <v>0</v>
      </c>
      <c r="M431" t="n">
        <v>0</v>
      </c>
      <c r="N431" t="n">
        <v>0</v>
      </c>
      <c r="O431" t="n">
        <v>0</v>
      </c>
      <c r="P431" t="n">
        <v>0</v>
      </c>
      <c r="Q431" t="n">
        <v>0</v>
      </c>
      <c r="R431" s="2" t="inlineStr"/>
    </row>
    <row r="432" ht="15" customHeight="1">
      <c r="A432" t="inlineStr">
        <is>
          <t>A 59547-2024</t>
        </is>
      </c>
      <c r="B432" s="1" t="n">
        <v>45638</v>
      </c>
      <c r="C432" s="1" t="n">
        <v>45885</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4509-2024</t>
        </is>
      </c>
      <c r="B433" s="1" t="n">
        <v>45327</v>
      </c>
      <c r="C433" s="1" t="n">
        <v>45885</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25513-2025</t>
        </is>
      </c>
      <c r="B434" s="1" t="n">
        <v>45803.36384259259</v>
      </c>
      <c r="C434" s="1" t="n">
        <v>45885</v>
      </c>
      <c r="D434" t="inlineStr">
        <is>
          <t>UPPSALA LÄN</t>
        </is>
      </c>
      <c r="E434" t="inlineStr">
        <is>
          <t>UPPSALA</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11201-2024</t>
        </is>
      </c>
      <c r="B435" s="1" t="n">
        <v>45371</v>
      </c>
      <c r="C435" s="1" t="n">
        <v>45885</v>
      </c>
      <c r="D435" t="inlineStr">
        <is>
          <t>UPPSALA LÄN</t>
        </is>
      </c>
      <c r="E435" t="inlineStr">
        <is>
          <t>UPPSALA</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2790-2025</t>
        </is>
      </c>
      <c r="B436" s="1" t="n">
        <v>45677</v>
      </c>
      <c r="C436" s="1" t="n">
        <v>45885</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45885</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44815-2023</t>
        </is>
      </c>
      <c r="B438" s="1" t="n">
        <v>45190</v>
      </c>
      <c r="C438" s="1" t="n">
        <v>45885</v>
      </c>
      <c r="D438" t="inlineStr">
        <is>
          <t>UPPSALA LÄN</t>
        </is>
      </c>
      <c r="E438" t="inlineStr">
        <is>
          <t>UPPSALA</t>
        </is>
      </c>
      <c r="G438" t="n">
        <v>2.3</v>
      </c>
      <c r="H438" t="n">
        <v>0</v>
      </c>
      <c r="I438" t="n">
        <v>0</v>
      </c>
      <c r="J438" t="n">
        <v>0</v>
      </c>
      <c r="K438" t="n">
        <v>0</v>
      </c>
      <c r="L438" t="n">
        <v>0</v>
      </c>
      <c r="M438" t="n">
        <v>0</v>
      </c>
      <c r="N438" t="n">
        <v>0</v>
      </c>
      <c r="O438" t="n">
        <v>0</v>
      </c>
      <c r="P438" t="n">
        <v>0</v>
      </c>
      <c r="Q438" t="n">
        <v>0</v>
      </c>
      <c r="R438" s="2" t="inlineStr"/>
    </row>
    <row r="439" ht="15" customHeight="1">
      <c r="A439" t="inlineStr">
        <is>
          <t>A 11162-2022</t>
        </is>
      </c>
      <c r="B439" s="1" t="n">
        <v>44629.42423611111</v>
      </c>
      <c r="C439" s="1" t="n">
        <v>45885</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25674-2025</t>
        </is>
      </c>
      <c r="B440" s="1" t="n">
        <v>45803.63395833333</v>
      </c>
      <c r="C440" s="1" t="n">
        <v>45885</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18330-2025</t>
        </is>
      </c>
      <c r="B441" s="1" t="n">
        <v>45762.49243055555</v>
      </c>
      <c r="C441" s="1" t="n">
        <v>45885</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26130-2025</t>
        </is>
      </c>
      <c r="B442" s="1" t="n">
        <v>45805.4094675926</v>
      </c>
      <c r="C442" s="1" t="n">
        <v>45885</v>
      </c>
      <c r="D442" t="inlineStr">
        <is>
          <t>UPPSALA LÄN</t>
        </is>
      </c>
      <c r="E442" t="inlineStr">
        <is>
          <t>UPPSALA</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8132-2024</t>
        </is>
      </c>
      <c r="B443" s="1" t="n">
        <v>45351.54596064815</v>
      </c>
      <c r="C443" s="1" t="n">
        <v>45885</v>
      </c>
      <c r="D443" t="inlineStr">
        <is>
          <t>UPPSALA LÄN</t>
        </is>
      </c>
      <c r="E443" t="inlineStr">
        <is>
          <t>UPPSALA</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26131-2025</t>
        </is>
      </c>
      <c r="B444" s="1" t="n">
        <v>45805.41010416667</v>
      </c>
      <c r="C444" s="1" t="n">
        <v>45885</v>
      </c>
      <c r="D444" t="inlineStr">
        <is>
          <t>UPPSALA LÄN</t>
        </is>
      </c>
      <c r="E444" t="inlineStr">
        <is>
          <t>UPPSALA</t>
        </is>
      </c>
      <c r="F444" t="inlineStr">
        <is>
          <t>Bergvik skog öst AB</t>
        </is>
      </c>
      <c r="G444" t="n">
        <v>3.8</v>
      </c>
      <c r="H444" t="n">
        <v>0</v>
      </c>
      <c r="I444" t="n">
        <v>0</v>
      </c>
      <c r="J444" t="n">
        <v>0</v>
      </c>
      <c r="K444" t="n">
        <v>0</v>
      </c>
      <c r="L444" t="n">
        <v>0</v>
      </c>
      <c r="M444" t="n">
        <v>0</v>
      </c>
      <c r="N444" t="n">
        <v>0</v>
      </c>
      <c r="O444" t="n">
        <v>0</v>
      </c>
      <c r="P444" t="n">
        <v>0</v>
      </c>
      <c r="Q444" t="n">
        <v>0</v>
      </c>
      <c r="R444" s="2" t="inlineStr"/>
    </row>
    <row r="445" ht="15" customHeight="1">
      <c r="A445" t="inlineStr">
        <is>
          <t>A 4014-2025</t>
        </is>
      </c>
      <c r="B445" s="1" t="n">
        <v>45684</v>
      </c>
      <c r="C445" s="1" t="n">
        <v>45885</v>
      </c>
      <c r="D445" t="inlineStr">
        <is>
          <t>UPPSALA LÄN</t>
        </is>
      </c>
      <c r="E445" t="inlineStr">
        <is>
          <t>UPPSALA</t>
        </is>
      </c>
      <c r="G445" t="n">
        <v>2.8</v>
      </c>
      <c r="H445" t="n">
        <v>0</v>
      </c>
      <c r="I445" t="n">
        <v>0</v>
      </c>
      <c r="J445" t="n">
        <v>0</v>
      </c>
      <c r="K445" t="n">
        <v>0</v>
      </c>
      <c r="L445" t="n">
        <v>0</v>
      </c>
      <c r="M445" t="n">
        <v>0</v>
      </c>
      <c r="N445" t="n">
        <v>0</v>
      </c>
      <c r="O445" t="n">
        <v>0</v>
      </c>
      <c r="P445" t="n">
        <v>0</v>
      </c>
      <c r="Q445" t="n">
        <v>0</v>
      </c>
      <c r="R445" s="2" t="inlineStr"/>
    </row>
    <row r="446" ht="15" customHeight="1">
      <c r="A446" t="inlineStr">
        <is>
          <t>A 20087-2023</t>
        </is>
      </c>
      <c r="B446" s="1" t="n">
        <v>45054.9271875</v>
      </c>
      <c r="C446" s="1" t="n">
        <v>45885</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26139-2025</t>
        </is>
      </c>
      <c r="B447" s="1" t="n">
        <v>45805.41813657407</v>
      </c>
      <c r="C447" s="1" t="n">
        <v>45885</v>
      </c>
      <c r="D447" t="inlineStr">
        <is>
          <t>UPPSALA LÄN</t>
        </is>
      </c>
      <c r="E447" t="inlineStr">
        <is>
          <t>UPPSALA</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53900-2023</t>
        </is>
      </c>
      <c r="B448" s="1" t="n">
        <v>45231.54601851852</v>
      </c>
      <c r="C448" s="1" t="n">
        <v>45885</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26155-2025</t>
        </is>
      </c>
      <c r="B449" s="1" t="n">
        <v>45805.43402777778</v>
      </c>
      <c r="C449" s="1" t="n">
        <v>45885</v>
      </c>
      <c r="D449" t="inlineStr">
        <is>
          <t>UPPSALA LÄN</t>
        </is>
      </c>
      <c r="E449" t="inlineStr">
        <is>
          <t>UPPSALA</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61463-2024</t>
        </is>
      </c>
      <c r="B450" s="1" t="n">
        <v>45646.50211805556</v>
      </c>
      <c r="C450" s="1" t="n">
        <v>45885</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40872-2023</t>
        </is>
      </c>
      <c r="B451" s="1" t="n">
        <v>45173</v>
      </c>
      <c r="C451" s="1" t="n">
        <v>45885</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45885</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45575-2023</t>
        </is>
      </c>
      <c r="B453" s="1" t="n">
        <v>45194.60876157408</v>
      </c>
      <c r="C453" s="1" t="n">
        <v>45885</v>
      </c>
      <c r="D453" t="inlineStr">
        <is>
          <t>UPPSALA LÄN</t>
        </is>
      </c>
      <c r="E453" t="inlineStr">
        <is>
          <t>UPPSALA</t>
        </is>
      </c>
      <c r="F453" t="inlineStr">
        <is>
          <t>Bergvik skog öst AB</t>
        </is>
      </c>
      <c r="G453" t="n">
        <v>2.2</v>
      </c>
      <c r="H453" t="n">
        <v>0</v>
      </c>
      <c r="I453" t="n">
        <v>0</v>
      </c>
      <c r="J453" t="n">
        <v>0</v>
      </c>
      <c r="K453" t="n">
        <v>0</v>
      </c>
      <c r="L453" t="n">
        <v>0</v>
      </c>
      <c r="M453" t="n">
        <v>0</v>
      </c>
      <c r="N453" t="n">
        <v>0</v>
      </c>
      <c r="O453" t="n">
        <v>0</v>
      </c>
      <c r="P453" t="n">
        <v>0</v>
      </c>
      <c r="Q453" t="n">
        <v>0</v>
      </c>
      <c r="R453" s="2" t="inlineStr"/>
    </row>
    <row r="454" ht="15" customHeight="1">
      <c r="A454" t="inlineStr">
        <is>
          <t>A 26141-2025</t>
        </is>
      </c>
      <c r="B454" s="1" t="n">
        <v>45805.4255787037</v>
      </c>
      <c r="C454" s="1" t="n">
        <v>45885</v>
      </c>
      <c r="D454" t="inlineStr">
        <is>
          <t>UPPSALA LÄN</t>
        </is>
      </c>
      <c r="E454" t="inlineStr">
        <is>
          <t>UPPSALA</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60781-2023</t>
        </is>
      </c>
      <c r="B455" s="1" t="n">
        <v>45259</v>
      </c>
      <c r="C455" s="1" t="n">
        <v>45885</v>
      </c>
      <c r="D455" t="inlineStr">
        <is>
          <t>UPPSALA LÄN</t>
        </is>
      </c>
      <c r="E455" t="inlineStr">
        <is>
          <t>UPPSALA</t>
        </is>
      </c>
      <c r="G455" t="n">
        <v>4.1</v>
      </c>
      <c r="H455" t="n">
        <v>0</v>
      </c>
      <c r="I455" t="n">
        <v>0</v>
      </c>
      <c r="J455" t="n">
        <v>0</v>
      </c>
      <c r="K455" t="n">
        <v>0</v>
      </c>
      <c r="L455" t="n">
        <v>0</v>
      </c>
      <c r="M455" t="n">
        <v>0</v>
      </c>
      <c r="N455" t="n">
        <v>0</v>
      </c>
      <c r="O455" t="n">
        <v>0</v>
      </c>
      <c r="P455" t="n">
        <v>0</v>
      </c>
      <c r="Q455" t="n">
        <v>0</v>
      </c>
      <c r="R455" s="2" t="inlineStr"/>
    </row>
    <row r="456" ht="15" customHeight="1">
      <c r="A456" t="inlineStr">
        <is>
          <t>A 39865-2022</t>
        </is>
      </c>
      <c r="B456" s="1" t="n">
        <v>44819.62</v>
      </c>
      <c r="C456" s="1" t="n">
        <v>45885</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60714-2023</t>
        </is>
      </c>
      <c r="B457" s="1" t="n">
        <v>45259</v>
      </c>
      <c r="C457" s="1" t="n">
        <v>45885</v>
      </c>
      <c r="D457" t="inlineStr">
        <is>
          <t>UPPSALA LÄN</t>
        </is>
      </c>
      <c r="E457" t="inlineStr">
        <is>
          <t>UPPSALA</t>
        </is>
      </c>
      <c r="G457" t="n">
        <v>3.3</v>
      </c>
      <c r="H457" t="n">
        <v>0</v>
      </c>
      <c r="I457" t="n">
        <v>0</v>
      </c>
      <c r="J457" t="n">
        <v>0</v>
      </c>
      <c r="K457" t="n">
        <v>0</v>
      </c>
      <c r="L457" t="n">
        <v>0</v>
      </c>
      <c r="M457" t="n">
        <v>0</v>
      </c>
      <c r="N457" t="n">
        <v>0</v>
      </c>
      <c r="O457" t="n">
        <v>0</v>
      </c>
      <c r="P457" t="n">
        <v>0</v>
      </c>
      <c r="Q457" t="n">
        <v>0</v>
      </c>
      <c r="R457" s="2" t="inlineStr"/>
    </row>
    <row r="458" ht="15" customHeight="1">
      <c r="A458" t="inlineStr">
        <is>
          <t>A 20206-2023</t>
        </is>
      </c>
      <c r="B458" s="1" t="n">
        <v>45055</v>
      </c>
      <c r="C458" s="1" t="n">
        <v>45885</v>
      </c>
      <c r="D458" t="inlineStr">
        <is>
          <t>UPPSALA LÄN</t>
        </is>
      </c>
      <c r="E458" t="inlineStr">
        <is>
          <t>UPPSALA</t>
        </is>
      </c>
      <c r="G458" t="n">
        <v>5.7</v>
      </c>
      <c r="H458" t="n">
        <v>0</v>
      </c>
      <c r="I458" t="n">
        <v>0</v>
      </c>
      <c r="J458" t="n">
        <v>0</v>
      </c>
      <c r="K458" t="n">
        <v>0</v>
      </c>
      <c r="L458" t="n">
        <v>0</v>
      </c>
      <c r="M458" t="n">
        <v>0</v>
      </c>
      <c r="N458" t="n">
        <v>0</v>
      </c>
      <c r="O458" t="n">
        <v>0</v>
      </c>
      <c r="P458" t="n">
        <v>0</v>
      </c>
      <c r="Q458" t="n">
        <v>0</v>
      </c>
      <c r="R458" s="2" t="inlineStr"/>
    </row>
    <row r="459" ht="15" customHeight="1">
      <c r="A459" t="inlineStr">
        <is>
          <t>A 2327-2024</t>
        </is>
      </c>
      <c r="B459" s="1" t="n">
        <v>45310.53418981482</v>
      </c>
      <c r="C459" s="1" t="n">
        <v>45885</v>
      </c>
      <c r="D459" t="inlineStr">
        <is>
          <t>UPPSALA LÄN</t>
        </is>
      </c>
      <c r="E459" t="inlineStr">
        <is>
          <t>UPPSALA</t>
        </is>
      </c>
      <c r="F459" t="inlineStr">
        <is>
          <t>Kyrkan</t>
        </is>
      </c>
      <c r="G459" t="n">
        <v>0.6</v>
      </c>
      <c r="H459" t="n">
        <v>0</v>
      </c>
      <c r="I459" t="n">
        <v>0</v>
      </c>
      <c r="J459" t="n">
        <v>0</v>
      </c>
      <c r="K459" t="n">
        <v>0</v>
      </c>
      <c r="L459" t="n">
        <v>0</v>
      </c>
      <c r="M459" t="n">
        <v>0</v>
      </c>
      <c r="N459" t="n">
        <v>0</v>
      </c>
      <c r="O459" t="n">
        <v>0</v>
      </c>
      <c r="P459" t="n">
        <v>0</v>
      </c>
      <c r="Q459" t="n">
        <v>0</v>
      </c>
      <c r="R459" s="2" t="inlineStr"/>
    </row>
    <row r="460" ht="15" customHeight="1">
      <c r="A460" t="inlineStr">
        <is>
          <t>A 43029-2023</t>
        </is>
      </c>
      <c r="B460" s="1" t="n">
        <v>45182</v>
      </c>
      <c r="C460" s="1" t="n">
        <v>45885</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43031-2023</t>
        </is>
      </c>
      <c r="B461" s="1" t="n">
        <v>45182</v>
      </c>
      <c r="C461" s="1" t="n">
        <v>45885</v>
      </c>
      <c r="D461" t="inlineStr">
        <is>
          <t>UPPSALA LÄN</t>
        </is>
      </c>
      <c r="E461" t="inlineStr">
        <is>
          <t>UPPSALA</t>
        </is>
      </c>
      <c r="G461" t="n">
        <v>2.3</v>
      </c>
      <c r="H461" t="n">
        <v>0</v>
      </c>
      <c r="I461" t="n">
        <v>0</v>
      </c>
      <c r="J461" t="n">
        <v>0</v>
      </c>
      <c r="K461" t="n">
        <v>0</v>
      </c>
      <c r="L461" t="n">
        <v>0</v>
      </c>
      <c r="M461" t="n">
        <v>0</v>
      </c>
      <c r="N461" t="n">
        <v>0</v>
      </c>
      <c r="O461" t="n">
        <v>0</v>
      </c>
      <c r="P461" t="n">
        <v>0</v>
      </c>
      <c r="Q461" t="n">
        <v>0</v>
      </c>
      <c r="R461" s="2" t="inlineStr"/>
    </row>
    <row r="462" ht="15" customHeight="1">
      <c r="A462" t="inlineStr">
        <is>
          <t>A 32127-2024</t>
        </is>
      </c>
      <c r="B462" s="1" t="n">
        <v>45511</v>
      </c>
      <c r="C462" s="1" t="n">
        <v>45885</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34893-2025</t>
        </is>
      </c>
      <c r="B463" s="1" t="n">
        <v>45849.49259259259</v>
      </c>
      <c r="C463" s="1" t="n">
        <v>45885</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26762-2023</t>
        </is>
      </c>
      <c r="B464" s="1" t="n">
        <v>45093.46706018518</v>
      </c>
      <c r="C464" s="1" t="n">
        <v>45885</v>
      </c>
      <c r="D464" t="inlineStr">
        <is>
          <t>UPPSALA LÄN</t>
        </is>
      </c>
      <c r="E464" t="inlineStr">
        <is>
          <t>UPPSALA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55220-2020</t>
        </is>
      </c>
      <c r="B465" s="1" t="n">
        <v>44130</v>
      </c>
      <c r="C465" s="1" t="n">
        <v>45885</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35016-2025</t>
        </is>
      </c>
      <c r="B466" s="1" t="n">
        <v>45851.62179398148</v>
      </c>
      <c r="C466" s="1" t="n">
        <v>45885</v>
      </c>
      <c r="D466" t="inlineStr">
        <is>
          <t>UPPSALA LÄN</t>
        </is>
      </c>
      <c r="E466" t="inlineStr">
        <is>
          <t>UPPSALA</t>
        </is>
      </c>
      <c r="F466" t="inlineStr">
        <is>
          <t>Bergvik skog öst AB</t>
        </is>
      </c>
      <c r="G466" t="n">
        <v>7</v>
      </c>
      <c r="H466" t="n">
        <v>0</v>
      </c>
      <c r="I466" t="n">
        <v>0</v>
      </c>
      <c r="J466" t="n">
        <v>0</v>
      </c>
      <c r="K466" t="n">
        <v>0</v>
      </c>
      <c r="L466" t="n">
        <v>0</v>
      </c>
      <c r="M466" t="n">
        <v>0</v>
      </c>
      <c r="N466" t="n">
        <v>0</v>
      </c>
      <c r="O466" t="n">
        <v>0</v>
      </c>
      <c r="P466" t="n">
        <v>0</v>
      </c>
      <c r="Q466" t="n">
        <v>0</v>
      </c>
      <c r="R466" s="2" t="inlineStr"/>
    </row>
    <row r="467" ht="15" customHeight="1">
      <c r="A467" t="inlineStr">
        <is>
          <t>A 16434-2024</t>
        </is>
      </c>
      <c r="B467" s="1" t="n">
        <v>45407.69575231482</v>
      </c>
      <c r="C467" s="1" t="n">
        <v>45885</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26697-2025</t>
        </is>
      </c>
      <c r="B468" s="1" t="n">
        <v>45810.44339120371</v>
      </c>
      <c r="C468" s="1" t="n">
        <v>45885</v>
      </c>
      <c r="D468" t="inlineStr">
        <is>
          <t>UPPSALA LÄN</t>
        </is>
      </c>
      <c r="E468" t="inlineStr">
        <is>
          <t>UPPSALA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44080-2023</t>
        </is>
      </c>
      <c r="B469" s="1" t="n">
        <v>45188.42052083334</v>
      </c>
      <c r="C469" s="1" t="n">
        <v>45885</v>
      </c>
      <c r="D469" t="inlineStr">
        <is>
          <t>UPPSALA LÄN</t>
        </is>
      </c>
      <c r="E469" t="inlineStr">
        <is>
          <t>UPPSALA</t>
        </is>
      </c>
      <c r="G469" t="n">
        <v>13.3</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45885</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35056-2025</t>
        </is>
      </c>
      <c r="B471" s="1" t="n">
        <v>45852.39642361111</v>
      </c>
      <c r="C471" s="1" t="n">
        <v>45885</v>
      </c>
      <c r="D471" t="inlineStr">
        <is>
          <t>UPPSALA LÄN</t>
        </is>
      </c>
      <c r="E471" t="inlineStr">
        <is>
          <t>UPPSALA</t>
        </is>
      </c>
      <c r="G471" t="n">
        <v>2.6</v>
      </c>
      <c r="H471" t="n">
        <v>0</v>
      </c>
      <c r="I471" t="n">
        <v>0</v>
      </c>
      <c r="J471" t="n">
        <v>0</v>
      </c>
      <c r="K471" t="n">
        <v>0</v>
      </c>
      <c r="L471" t="n">
        <v>0</v>
      </c>
      <c r="M471" t="n">
        <v>0</v>
      </c>
      <c r="N471" t="n">
        <v>0</v>
      </c>
      <c r="O471" t="n">
        <v>0</v>
      </c>
      <c r="P471" t="n">
        <v>0</v>
      </c>
      <c r="Q471" t="n">
        <v>0</v>
      </c>
      <c r="R471" s="2" t="inlineStr"/>
    </row>
    <row r="472" ht="15" customHeight="1">
      <c r="A472" t="inlineStr">
        <is>
          <t>A 54813-2022</t>
        </is>
      </c>
      <c r="B472" s="1" t="n">
        <v>44883</v>
      </c>
      <c r="C472" s="1" t="n">
        <v>45885</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35015-2025</t>
        </is>
      </c>
      <c r="B473" s="1" t="n">
        <v>45851.62018518519</v>
      </c>
      <c r="C473" s="1" t="n">
        <v>45885</v>
      </c>
      <c r="D473" t="inlineStr">
        <is>
          <t>UPPSALA LÄN</t>
        </is>
      </c>
      <c r="E473" t="inlineStr">
        <is>
          <t>UPPSALA</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53963-2023</t>
        </is>
      </c>
      <c r="B474" s="1" t="n">
        <v>45231.62840277778</v>
      </c>
      <c r="C474" s="1" t="n">
        <v>45885</v>
      </c>
      <c r="D474" t="inlineStr">
        <is>
          <t>UPPSALA LÄN</t>
        </is>
      </c>
      <c r="E474" t="inlineStr">
        <is>
          <t>UPPSALA</t>
        </is>
      </c>
      <c r="G474" t="n">
        <v>1.9</v>
      </c>
      <c r="H474" t="n">
        <v>0</v>
      </c>
      <c r="I474" t="n">
        <v>0</v>
      </c>
      <c r="J474" t="n">
        <v>0</v>
      </c>
      <c r="K474" t="n">
        <v>0</v>
      </c>
      <c r="L474" t="n">
        <v>0</v>
      </c>
      <c r="M474" t="n">
        <v>0</v>
      </c>
      <c r="N474" t="n">
        <v>0</v>
      </c>
      <c r="O474" t="n">
        <v>0</v>
      </c>
      <c r="P474" t="n">
        <v>0</v>
      </c>
      <c r="Q474" t="n">
        <v>0</v>
      </c>
      <c r="R474" s="2" t="inlineStr"/>
    </row>
    <row r="475" ht="15" customHeight="1">
      <c r="A475" t="inlineStr">
        <is>
          <t>A 46635-2022</t>
        </is>
      </c>
      <c r="B475" s="1" t="n">
        <v>44849</v>
      </c>
      <c r="C475" s="1" t="n">
        <v>45885</v>
      </c>
      <c r="D475" t="inlineStr">
        <is>
          <t>UPPSALA LÄN</t>
        </is>
      </c>
      <c r="E475" t="inlineStr">
        <is>
          <t>UPPSALA</t>
        </is>
      </c>
      <c r="G475" t="n">
        <v>3.4</v>
      </c>
      <c r="H475" t="n">
        <v>0</v>
      </c>
      <c r="I475" t="n">
        <v>0</v>
      </c>
      <c r="J475" t="n">
        <v>0</v>
      </c>
      <c r="K475" t="n">
        <v>0</v>
      </c>
      <c r="L475" t="n">
        <v>0</v>
      </c>
      <c r="M475" t="n">
        <v>0</v>
      </c>
      <c r="N475" t="n">
        <v>0</v>
      </c>
      <c r="O475" t="n">
        <v>0</v>
      </c>
      <c r="P475" t="n">
        <v>0</v>
      </c>
      <c r="Q475" t="n">
        <v>0</v>
      </c>
      <c r="R475" s="2" t="inlineStr"/>
    </row>
    <row r="476" ht="15" customHeight="1">
      <c r="A476" t="inlineStr">
        <is>
          <t>A 49996-2023</t>
        </is>
      </c>
      <c r="B476" s="1" t="n">
        <v>45215.44233796297</v>
      </c>
      <c r="C476" s="1" t="n">
        <v>45885</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row>
    <row r="477" ht="15" customHeight="1">
      <c r="A477" t="inlineStr">
        <is>
          <t>A 2897-2025</t>
        </is>
      </c>
      <c r="B477" s="1" t="n">
        <v>45677</v>
      </c>
      <c r="C477" s="1" t="n">
        <v>45885</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6059-2025</t>
        </is>
      </c>
      <c r="B478" s="1" t="n">
        <v>45695.8391550926</v>
      </c>
      <c r="C478" s="1" t="n">
        <v>45885</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6060-2025</t>
        </is>
      </c>
      <c r="B479" s="1" t="n">
        <v>45695.84078703704</v>
      </c>
      <c r="C479" s="1" t="n">
        <v>45885</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1617-2021</t>
        </is>
      </c>
      <c r="B480" s="1" t="n">
        <v>44209</v>
      </c>
      <c r="C480" s="1" t="n">
        <v>45885</v>
      </c>
      <c r="D480" t="inlineStr">
        <is>
          <t>UPPSALA LÄN</t>
        </is>
      </c>
      <c r="E480" t="inlineStr">
        <is>
          <t>UPPSALA</t>
        </is>
      </c>
      <c r="G480" t="n">
        <v>2.5</v>
      </c>
      <c r="H480" t="n">
        <v>0</v>
      </c>
      <c r="I480" t="n">
        <v>0</v>
      </c>
      <c r="J480" t="n">
        <v>0</v>
      </c>
      <c r="K480" t="n">
        <v>0</v>
      </c>
      <c r="L480" t="n">
        <v>0</v>
      </c>
      <c r="M480" t="n">
        <v>0</v>
      </c>
      <c r="N480" t="n">
        <v>0</v>
      </c>
      <c r="O480" t="n">
        <v>0</v>
      </c>
      <c r="P480" t="n">
        <v>0</v>
      </c>
      <c r="Q480" t="n">
        <v>0</v>
      </c>
      <c r="R480" s="2" t="inlineStr"/>
    </row>
    <row r="481" ht="15" customHeight="1">
      <c r="A481" t="inlineStr">
        <is>
          <t>A 56889-2022</t>
        </is>
      </c>
      <c r="B481" s="1" t="n">
        <v>44894.57065972222</v>
      </c>
      <c r="C481" s="1" t="n">
        <v>45885</v>
      </c>
      <c r="D481" t="inlineStr">
        <is>
          <t>UPPSALA LÄN</t>
        </is>
      </c>
      <c r="E481" t="inlineStr">
        <is>
          <t>UPPSALA</t>
        </is>
      </c>
      <c r="F481" t="inlineStr">
        <is>
          <t>Övriga Aktiebolag</t>
        </is>
      </c>
      <c r="G481" t="n">
        <v>21.6</v>
      </c>
      <c r="H481" t="n">
        <v>0</v>
      </c>
      <c r="I481" t="n">
        <v>0</v>
      </c>
      <c r="J481" t="n">
        <v>0</v>
      </c>
      <c r="K481" t="n">
        <v>0</v>
      </c>
      <c r="L481" t="n">
        <v>0</v>
      </c>
      <c r="M481" t="n">
        <v>0</v>
      </c>
      <c r="N481" t="n">
        <v>0</v>
      </c>
      <c r="O481" t="n">
        <v>0</v>
      </c>
      <c r="P481" t="n">
        <v>0</v>
      </c>
      <c r="Q481" t="n">
        <v>0</v>
      </c>
      <c r="R481" s="2" t="inlineStr"/>
    </row>
    <row r="482" ht="15" customHeight="1">
      <c r="A482" t="inlineStr">
        <is>
          <t>A 7376-2025</t>
        </is>
      </c>
      <c r="B482" s="1" t="n">
        <v>45705.2953125</v>
      </c>
      <c r="C482" s="1" t="n">
        <v>45885</v>
      </c>
      <c r="D482" t="inlineStr">
        <is>
          <t>UPPSALA LÄN</t>
        </is>
      </c>
      <c r="E482" t="inlineStr">
        <is>
          <t>UPPSALA</t>
        </is>
      </c>
      <c r="F482" t="inlineStr">
        <is>
          <t>Bergvik skog väst AB</t>
        </is>
      </c>
      <c r="G482" t="n">
        <v>7.4</v>
      </c>
      <c r="H482" t="n">
        <v>0</v>
      </c>
      <c r="I482" t="n">
        <v>0</v>
      </c>
      <c r="J482" t="n">
        <v>0</v>
      </c>
      <c r="K482" t="n">
        <v>0</v>
      </c>
      <c r="L482" t="n">
        <v>0</v>
      </c>
      <c r="M482" t="n">
        <v>0</v>
      </c>
      <c r="N482" t="n">
        <v>0</v>
      </c>
      <c r="O482" t="n">
        <v>0</v>
      </c>
      <c r="P482" t="n">
        <v>0</v>
      </c>
      <c r="Q482" t="n">
        <v>0</v>
      </c>
      <c r="R482" s="2" t="inlineStr"/>
    </row>
    <row r="483" ht="15" customHeight="1">
      <c r="A483" t="inlineStr">
        <is>
          <t>A 6677-2024</t>
        </is>
      </c>
      <c r="B483" s="1" t="n">
        <v>45341</v>
      </c>
      <c r="C483" s="1" t="n">
        <v>45885</v>
      </c>
      <c r="D483" t="inlineStr">
        <is>
          <t>UPPSALA LÄN</t>
        </is>
      </c>
      <c r="E483" t="inlineStr">
        <is>
          <t>UPPSALA</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20418-2025</t>
        </is>
      </c>
      <c r="B484" s="1" t="n">
        <v>45775.46377314815</v>
      </c>
      <c r="C484" s="1" t="n">
        <v>45885</v>
      </c>
      <c r="D484" t="inlineStr">
        <is>
          <t>UPPSALA LÄN</t>
        </is>
      </c>
      <c r="E484" t="inlineStr">
        <is>
          <t>UPPSALA</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35014-2025</t>
        </is>
      </c>
      <c r="B485" s="1" t="n">
        <v>45851.60097222222</v>
      </c>
      <c r="C485" s="1" t="n">
        <v>45885</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35053-2025</t>
        </is>
      </c>
      <c r="B486" s="1" t="n">
        <v>45852.36871527778</v>
      </c>
      <c r="C486" s="1" t="n">
        <v>45885</v>
      </c>
      <c r="D486" t="inlineStr">
        <is>
          <t>UPPSALA LÄN</t>
        </is>
      </c>
      <c r="E486" t="inlineStr">
        <is>
          <t>UPPSALA</t>
        </is>
      </c>
      <c r="G486" t="n">
        <v>0.7</v>
      </c>
      <c r="H486" t="n">
        <v>0</v>
      </c>
      <c r="I486" t="n">
        <v>0</v>
      </c>
      <c r="J486" t="n">
        <v>0</v>
      </c>
      <c r="K486" t="n">
        <v>0</v>
      </c>
      <c r="L486" t="n">
        <v>0</v>
      </c>
      <c r="M486" t="n">
        <v>0</v>
      </c>
      <c r="N486" t="n">
        <v>0</v>
      </c>
      <c r="O486" t="n">
        <v>0</v>
      </c>
      <c r="P486" t="n">
        <v>0</v>
      </c>
      <c r="Q486" t="n">
        <v>0</v>
      </c>
      <c r="R486" s="2" t="inlineStr"/>
    </row>
    <row r="487" ht="15" customHeight="1">
      <c r="A487" t="inlineStr">
        <is>
          <t>A 6630-2024</t>
        </is>
      </c>
      <c r="B487" s="1" t="n">
        <v>45341.63811342593</v>
      </c>
      <c r="C487" s="1" t="n">
        <v>45885</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50395-2023</t>
        </is>
      </c>
      <c r="B488" s="1" t="n">
        <v>45216</v>
      </c>
      <c r="C488" s="1" t="n">
        <v>45885</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50473-2023</t>
        </is>
      </c>
      <c r="B489" s="1" t="n">
        <v>45216</v>
      </c>
      <c r="C489" s="1" t="n">
        <v>45885</v>
      </c>
      <c r="D489" t="inlineStr">
        <is>
          <t>UPPSALA LÄN</t>
        </is>
      </c>
      <c r="E489" t="inlineStr">
        <is>
          <t>UPPSALA</t>
        </is>
      </c>
      <c r="F489" t="inlineStr">
        <is>
          <t>Allmännings- och besparingsskogar</t>
        </is>
      </c>
      <c r="G489" t="n">
        <v>7.6</v>
      </c>
      <c r="H489" t="n">
        <v>0</v>
      </c>
      <c r="I489" t="n">
        <v>0</v>
      </c>
      <c r="J489" t="n">
        <v>0</v>
      </c>
      <c r="K489" t="n">
        <v>0</v>
      </c>
      <c r="L489" t="n">
        <v>0</v>
      </c>
      <c r="M489" t="n">
        <v>0</v>
      </c>
      <c r="N489" t="n">
        <v>0</v>
      </c>
      <c r="O489" t="n">
        <v>0</v>
      </c>
      <c r="P489" t="n">
        <v>0</v>
      </c>
      <c r="Q489" t="n">
        <v>0</v>
      </c>
      <c r="R489" s="2" t="inlineStr"/>
    </row>
    <row r="490" ht="15" customHeight="1">
      <c r="A490" t="inlineStr">
        <is>
          <t>A 41002-2023</t>
        </is>
      </c>
      <c r="B490" s="1" t="n">
        <v>45173</v>
      </c>
      <c r="C490" s="1" t="n">
        <v>45885</v>
      </c>
      <c r="D490" t="inlineStr">
        <is>
          <t>UPPSALA LÄN</t>
        </is>
      </c>
      <c r="E490" t="inlineStr">
        <is>
          <t>UPPSALA</t>
        </is>
      </c>
      <c r="G490" t="n">
        <v>6.2</v>
      </c>
      <c r="H490" t="n">
        <v>0</v>
      </c>
      <c r="I490" t="n">
        <v>0</v>
      </c>
      <c r="J490" t="n">
        <v>0</v>
      </c>
      <c r="K490" t="n">
        <v>0</v>
      </c>
      <c r="L490" t="n">
        <v>0</v>
      </c>
      <c r="M490" t="n">
        <v>0</v>
      </c>
      <c r="N490" t="n">
        <v>0</v>
      </c>
      <c r="O490" t="n">
        <v>0</v>
      </c>
      <c r="P490" t="n">
        <v>0</v>
      </c>
      <c r="Q490" t="n">
        <v>0</v>
      </c>
      <c r="R490" s="2" t="inlineStr"/>
    </row>
    <row r="491" ht="15" customHeight="1">
      <c r="A491" t="inlineStr">
        <is>
          <t>A 56084-2024</t>
        </is>
      </c>
      <c r="B491" s="1" t="n">
        <v>45624</v>
      </c>
      <c r="C491" s="1" t="n">
        <v>45885</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45885</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26738-2025</t>
        </is>
      </c>
      <c r="B493" s="1" t="n">
        <v>45809</v>
      </c>
      <c r="C493" s="1" t="n">
        <v>45885</v>
      </c>
      <c r="D493" t="inlineStr">
        <is>
          <t>UPPSALA LÄN</t>
        </is>
      </c>
      <c r="E493" t="inlineStr">
        <is>
          <t>UPPSALA</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4059-2022</t>
        </is>
      </c>
      <c r="B494" s="1" t="n">
        <v>44588</v>
      </c>
      <c r="C494" s="1" t="n">
        <v>45885</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12209-2025</t>
        </is>
      </c>
      <c r="B495" s="1" t="n">
        <v>45729</v>
      </c>
      <c r="C495" s="1" t="n">
        <v>45885</v>
      </c>
      <c r="D495" t="inlineStr">
        <is>
          <t>UPPSALA LÄN</t>
        </is>
      </c>
      <c r="E495" t="inlineStr">
        <is>
          <t>UPPSALA</t>
        </is>
      </c>
      <c r="G495" t="n">
        <v>1.5</v>
      </c>
      <c r="H495" t="n">
        <v>0</v>
      </c>
      <c r="I495" t="n">
        <v>0</v>
      </c>
      <c r="J495" t="n">
        <v>0</v>
      </c>
      <c r="K495" t="n">
        <v>0</v>
      </c>
      <c r="L495" t="n">
        <v>0</v>
      </c>
      <c r="M495" t="n">
        <v>0</v>
      </c>
      <c r="N495" t="n">
        <v>0</v>
      </c>
      <c r="O495" t="n">
        <v>0</v>
      </c>
      <c r="P495" t="n">
        <v>0</v>
      </c>
      <c r="Q495" t="n">
        <v>0</v>
      </c>
      <c r="R495" s="2" t="inlineStr"/>
    </row>
    <row r="496" ht="15" customHeight="1">
      <c r="A496" t="inlineStr">
        <is>
          <t>A 12211-2025</t>
        </is>
      </c>
      <c r="B496" s="1" t="n">
        <v>45729</v>
      </c>
      <c r="C496" s="1" t="n">
        <v>45885</v>
      </c>
      <c r="D496" t="inlineStr">
        <is>
          <t>UPPSALA LÄN</t>
        </is>
      </c>
      <c r="E496" t="inlineStr">
        <is>
          <t>UPPSALA</t>
        </is>
      </c>
      <c r="G496" t="n">
        <v>3.6</v>
      </c>
      <c r="H496" t="n">
        <v>0</v>
      </c>
      <c r="I496" t="n">
        <v>0</v>
      </c>
      <c r="J496" t="n">
        <v>0</v>
      </c>
      <c r="K496" t="n">
        <v>0</v>
      </c>
      <c r="L496" t="n">
        <v>0</v>
      </c>
      <c r="M496" t="n">
        <v>0</v>
      </c>
      <c r="N496" t="n">
        <v>0</v>
      </c>
      <c r="O496" t="n">
        <v>0</v>
      </c>
      <c r="P496" t="n">
        <v>0</v>
      </c>
      <c r="Q496" t="n">
        <v>0</v>
      </c>
      <c r="R496" s="2" t="inlineStr"/>
    </row>
    <row r="497" ht="15" customHeight="1">
      <c r="A497" t="inlineStr">
        <is>
          <t>A 26740-2025</t>
        </is>
      </c>
      <c r="B497" s="1" t="n">
        <v>45809</v>
      </c>
      <c r="C497" s="1" t="n">
        <v>45885</v>
      </c>
      <c r="D497" t="inlineStr">
        <is>
          <t>UPPSALA LÄN</t>
        </is>
      </c>
      <c r="E497" t="inlineStr">
        <is>
          <t>UPPSALA</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48564-2023</t>
        </is>
      </c>
      <c r="B498" s="1" t="n">
        <v>45208.4350462963</v>
      </c>
      <c r="C498" s="1" t="n">
        <v>45885</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1032-2023</t>
        </is>
      </c>
      <c r="B499" s="1" t="n">
        <v>44935</v>
      </c>
      <c r="C499" s="1" t="n">
        <v>45885</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53569-2024</t>
        </is>
      </c>
      <c r="B500" s="1" t="n">
        <v>45614.65928240741</v>
      </c>
      <c r="C500" s="1" t="n">
        <v>45885</v>
      </c>
      <c r="D500" t="inlineStr">
        <is>
          <t>UPPSALA LÄN</t>
        </is>
      </c>
      <c r="E500" t="inlineStr">
        <is>
          <t>UPPSALA</t>
        </is>
      </c>
      <c r="G500" t="n">
        <v>2.7</v>
      </c>
      <c r="H500" t="n">
        <v>0</v>
      </c>
      <c r="I500" t="n">
        <v>0</v>
      </c>
      <c r="J500" t="n">
        <v>0</v>
      </c>
      <c r="K500" t="n">
        <v>0</v>
      </c>
      <c r="L500" t="n">
        <v>0</v>
      </c>
      <c r="M500" t="n">
        <v>0</v>
      </c>
      <c r="N500" t="n">
        <v>0</v>
      </c>
      <c r="O500" t="n">
        <v>0</v>
      </c>
      <c r="P500" t="n">
        <v>0</v>
      </c>
      <c r="Q500" t="n">
        <v>0</v>
      </c>
      <c r="R500" s="2" t="inlineStr"/>
    </row>
    <row r="501" ht="15" customHeight="1">
      <c r="A501" t="inlineStr">
        <is>
          <t>A 23494-2024</t>
        </is>
      </c>
      <c r="B501" s="1" t="n">
        <v>45453.69339120371</v>
      </c>
      <c r="C501" s="1" t="n">
        <v>45885</v>
      </c>
      <c r="D501" t="inlineStr">
        <is>
          <t>UPPSALA LÄN</t>
        </is>
      </c>
      <c r="E501" t="inlineStr">
        <is>
          <t>UPPSALA</t>
        </is>
      </c>
      <c r="F501" t="inlineStr">
        <is>
          <t>Kyrkan</t>
        </is>
      </c>
      <c r="G501" t="n">
        <v>0.8</v>
      </c>
      <c r="H501" t="n">
        <v>0</v>
      </c>
      <c r="I501" t="n">
        <v>0</v>
      </c>
      <c r="J501" t="n">
        <v>0</v>
      </c>
      <c r="K501" t="n">
        <v>0</v>
      </c>
      <c r="L501" t="n">
        <v>0</v>
      </c>
      <c r="M501" t="n">
        <v>0</v>
      </c>
      <c r="N501" t="n">
        <v>0</v>
      </c>
      <c r="O501" t="n">
        <v>0</v>
      </c>
      <c r="P501" t="n">
        <v>0</v>
      </c>
      <c r="Q501" t="n">
        <v>0</v>
      </c>
      <c r="R501" s="2" t="inlineStr"/>
    </row>
    <row r="502" ht="15" customHeight="1">
      <c r="A502" t="inlineStr">
        <is>
          <t>A 7501-2025</t>
        </is>
      </c>
      <c r="B502" s="1" t="n">
        <v>45705</v>
      </c>
      <c r="C502" s="1" t="n">
        <v>45885</v>
      </c>
      <c r="D502" t="inlineStr">
        <is>
          <t>UPPSALA LÄN</t>
        </is>
      </c>
      <c r="E502" t="inlineStr">
        <is>
          <t>UPPSALA</t>
        </is>
      </c>
      <c r="G502" t="n">
        <v>4.2</v>
      </c>
      <c r="H502" t="n">
        <v>0</v>
      </c>
      <c r="I502" t="n">
        <v>0</v>
      </c>
      <c r="J502" t="n">
        <v>0</v>
      </c>
      <c r="K502" t="n">
        <v>0</v>
      </c>
      <c r="L502" t="n">
        <v>0</v>
      </c>
      <c r="M502" t="n">
        <v>0</v>
      </c>
      <c r="N502" t="n">
        <v>0</v>
      </c>
      <c r="O502" t="n">
        <v>0</v>
      </c>
      <c r="P502" t="n">
        <v>0</v>
      </c>
      <c r="Q502" t="n">
        <v>0</v>
      </c>
      <c r="R502" s="2" t="inlineStr"/>
    </row>
    <row r="503" ht="15" customHeight="1">
      <c r="A503" t="inlineStr">
        <is>
          <t>A 35155-2025</t>
        </is>
      </c>
      <c r="B503" s="1" t="n">
        <v>45852.68978009259</v>
      </c>
      <c r="C503" s="1" t="n">
        <v>45885</v>
      </c>
      <c r="D503" t="inlineStr">
        <is>
          <t>UPPSALA LÄN</t>
        </is>
      </c>
      <c r="E503" t="inlineStr">
        <is>
          <t>UPPSALA</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45885</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35167-2025</t>
        </is>
      </c>
      <c r="B505" s="1" t="n">
        <v>45852.72965277778</v>
      </c>
      <c r="C505" s="1" t="n">
        <v>45885</v>
      </c>
      <c r="D505" t="inlineStr">
        <is>
          <t>UPPSALA LÄN</t>
        </is>
      </c>
      <c r="E505" t="inlineStr">
        <is>
          <t>UPPSALA</t>
        </is>
      </c>
      <c r="F505" t="inlineStr">
        <is>
          <t>Holmen skog AB</t>
        </is>
      </c>
      <c r="G505" t="n">
        <v>10</v>
      </c>
      <c r="H505" t="n">
        <v>0</v>
      </c>
      <c r="I505" t="n">
        <v>0</v>
      </c>
      <c r="J505" t="n">
        <v>0</v>
      </c>
      <c r="K505" t="n">
        <v>0</v>
      </c>
      <c r="L505" t="n">
        <v>0</v>
      </c>
      <c r="M505" t="n">
        <v>0</v>
      </c>
      <c r="N505" t="n">
        <v>0</v>
      </c>
      <c r="O505" t="n">
        <v>0</v>
      </c>
      <c r="P505" t="n">
        <v>0</v>
      </c>
      <c r="Q505" t="n">
        <v>0</v>
      </c>
      <c r="R505" s="2" t="inlineStr"/>
    </row>
    <row r="506" ht="15" customHeight="1">
      <c r="A506" t="inlineStr">
        <is>
          <t>A 26713-2025</t>
        </is>
      </c>
      <c r="B506" s="1" t="n">
        <v>45809</v>
      </c>
      <c r="C506" s="1" t="n">
        <v>45885</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42273-2023</t>
        </is>
      </c>
      <c r="B507" s="1" t="n">
        <v>45180.40255787037</v>
      </c>
      <c r="C507" s="1" t="n">
        <v>45885</v>
      </c>
      <c r="D507" t="inlineStr">
        <is>
          <t>UPPSALA LÄN</t>
        </is>
      </c>
      <c r="E507" t="inlineStr">
        <is>
          <t>UPPSALA</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63011-2021</t>
        </is>
      </c>
      <c r="B508" s="1" t="n">
        <v>44504</v>
      </c>
      <c r="C508" s="1" t="n">
        <v>45885</v>
      </c>
      <c r="D508" t="inlineStr">
        <is>
          <t>UPPSALA LÄN</t>
        </is>
      </c>
      <c r="E508" t="inlineStr">
        <is>
          <t>UPPSALA</t>
        </is>
      </c>
      <c r="G508" t="n">
        <v>11.2</v>
      </c>
      <c r="H508" t="n">
        <v>0</v>
      </c>
      <c r="I508" t="n">
        <v>0</v>
      </c>
      <c r="J508" t="n">
        <v>0</v>
      </c>
      <c r="K508" t="n">
        <v>0</v>
      </c>
      <c r="L508" t="n">
        <v>0</v>
      </c>
      <c r="M508" t="n">
        <v>0</v>
      </c>
      <c r="N508" t="n">
        <v>0</v>
      </c>
      <c r="O508" t="n">
        <v>0</v>
      </c>
      <c r="P508" t="n">
        <v>0</v>
      </c>
      <c r="Q508" t="n">
        <v>0</v>
      </c>
      <c r="R508" s="2" t="inlineStr"/>
    </row>
    <row r="509" ht="15" customHeight="1">
      <c r="A509" t="inlineStr">
        <is>
          <t>A 8877-2022</t>
        </is>
      </c>
      <c r="B509" s="1" t="n">
        <v>44614.59027777778</v>
      </c>
      <c r="C509" s="1" t="n">
        <v>45885</v>
      </c>
      <c r="D509" t="inlineStr">
        <is>
          <t>UPPSALA LÄN</t>
        </is>
      </c>
      <c r="E509" t="inlineStr">
        <is>
          <t>UPPSALA</t>
        </is>
      </c>
      <c r="G509" t="n">
        <v>1.4</v>
      </c>
      <c r="H509" t="n">
        <v>0</v>
      </c>
      <c r="I509" t="n">
        <v>0</v>
      </c>
      <c r="J509" t="n">
        <v>0</v>
      </c>
      <c r="K509" t="n">
        <v>0</v>
      </c>
      <c r="L509" t="n">
        <v>0</v>
      </c>
      <c r="M509" t="n">
        <v>0</v>
      </c>
      <c r="N509" t="n">
        <v>0</v>
      </c>
      <c r="O509" t="n">
        <v>0</v>
      </c>
      <c r="P509" t="n">
        <v>0</v>
      </c>
      <c r="Q509" t="n">
        <v>0</v>
      </c>
      <c r="R509" s="2" t="inlineStr"/>
    </row>
    <row r="510" ht="15" customHeight="1">
      <c r="A510" t="inlineStr">
        <is>
          <t>A 35150-2025</t>
        </is>
      </c>
      <c r="B510" s="1" t="n">
        <v>45852</v>
      </c>
      <c r="C510" s="1" t="n">
        <v>45885</v>
      </c>
      <c r="D510" t="inlineStr">
        <is>
          <t>UPPSALA LÄN</t>
        </is>
      </c>
      <c r="E510" t="inlineStr">
        <is>
          <t>UPPSALA</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44315-2021</t>
        </is>
      </c>
      <c r="B511" s="1" t="n">
        <v>44435.38657407407</v>
      </c>
      <c r="C511" s="1" t="n">
        <v>45885</v>
      </c>
      <c r="D511" t="inlineStr">
        <is>
          <t>UPPSALA LÄN</t>
        </is>
      </c>
      <c r="E511" t="inlineStr">
        <is>
          <t>UPPSALA</t>
        </is>
      </c>
      <c r="G511" t="n">
        <v>5.2</v>
      </c>
      <c r="H511" t="n">
        <v>0</v>
      </c>
      <c r="I511" t="n">
        <v>0</v>
      </c>
      <c r="J511" t="n">
        <v>0</v>
      </c>
      <c r="K511" t="n">
        <v>0</v>
      </c>
      <c r="L511" t="n">
        <v>0</v>
      </c>
      <c r="M511" t="n">
        <v>0</v>
      </c>
      <c r="N511" t="n">
        <v>0</v>
      </c>
      <c r="O511" t="n">
        <v>0</v>
      </c>
      <c r="P511" t="n">
        <v>0</v>
      </c>
      <c r="Q511" t="n">
        <v>0</v>
      </c>
      <c r="R511" s="2" t="inlineStr"/>
    </row>
    <row r="512" ht="15" customHeight="1">
      <c r="A512" t="inlineStr">
        <is>
          <t>A 6851-2022</t>
        </is>
      </c>
      <c r="B512" s="1" t="n">
        <v>44602</v>
      </c>
      <c r="C512" s="1" t="n">
        <v>45885</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35260-2025</t>
        </is>
      </c>
      <c r="B513" s="1" t="n">
        <v>45853.76976851852</v>
      </c>
      <c r="C513" s="1" t="n">
        <v>45885</v>
      </c>
      <c r="D513" t="inlineStr">
        <is>
          <t>UPPSALA LÄN</t>
        </is>
      </c>
      <c r="E513" t="inlineStr">
        <is>
          <t>UPPSALA</t>
        </is>
      </c>
      <c r="G513" t="n">
        <v>7.3</v>
      </c>
      <c r="H513" t="n">
        <v>0</v>
      </c>
      <c r="I513" t="n">
        <v>0</v>
      </c>
      <c r="J513" t="n">
        <v>0</v>
      </c>
      <c r="K513" t="n">
        <v>0</v>
      </c>
      <c r="L513" t="n">
        <v>0</v>
      </c>
      <c r="M513" t="n">
        <v>0</v>
      </c>
      <c r="N513" t="n">
        <v>0</v>
      </c>
      <c r="O513" t="n">
        <v>0</v>
      </c>
      <c r="P513" t="n">
        <v>0</v>
      </c>
      <c r="Q513" t="n">
        <v>0</v>
      </c>
      <c r="R513" s="2" t="inlineStr"/>
    </row>
    <row r="514" ht="15" customHeight="1">
      <c r="A514" t="inlineStr">
        <is>
          <t>A 35305-2025</t>
        </is>
      </c>
      <c r="B514" s="1" t="n">
        <v>45854.44017361111</v>
      </c>
      <c r="C514" s="1" t="n">
        <v>45885</v>
      </c>
      <c r="D514" t="inlineStr">
        <is>
          <t>UPPSALA LÄN</t>
        </is>
      </c>
      <c r="E514" t="inlineStr">
        <is>
          <t>UPPSALA</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17562-2022</t>
        </is>
      </c>
      <c r="B515" s="1" t="n">
        <v>44679.68706018518</v>
      </c>
      <c r="C515" s="1" t="n">
        <v>45885</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27265-2025</t>
        </is>
      </c>
      <c r="B516" s="1" t="n">
        <v>45812.48032407407</v>
      </c>
      <c r="C516" s="1" t="n">
        <v>45885</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36123-2023</t>
        </is>
      </c>
      <c r="B517" s="1" t="n">
        <v>45149.56928240741</v>
      </c>
      <c r="C517" s="1" t="n">
        <v>45885</v>
      </c>
      <c r="D517" t="inlineStr">
        <is>
          <t>UPPSALA LÄN</t>
        </is>
      </c>
      <c r="E517" t="inlineStr">
        <is>
          <t>UPPSALA</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42543-2023</t>
        </is>
      </c>
      <c r="B518" s="1" t="n">
        <v>45181.36815972222</v>
      </c>
      <c r="C518" s="1" t="n">
        <v>45885</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26709-2025</t>
        </is>
      </c>
      <c r="B519" s="1" t="n">
        <v>45810.45960648148</v>
      </c>
      <c r="C519" s="1" t="n">
        <v>45885</v>
      </c>
      <c r="D519" t="inlineStr">
        <is>
          <t>UPPSALA LÄN</t>
        </is>
      </c>
      <c r="E519" t="inlineStr">
        <is>
          <t>UPPSALA</t>
        </is>
      </c>
      <c r="F519" t="inlineStr">
        <is>
          <t>Kyrkan</t>
        </is>
      </c>
      <c r="G519" t="n">
        <v>6.7</v>
      </c>
      <c r="H519" t="n">
        <v>0</v>
      </c>
      <c r="I519" t="n">
        <v>0</v>
      </c>
      <c r="J519" t="n">
        <v>0</v>
      </c>
      <c r="K519" t="n">
        <v>0</v>
      </c>
      <c r="L519" t="n">
        <v>0</v>
      </c>
      <c r="M519" t="n">
        <v>0</v>
      </c>
      <c r="N519" t="n">
        <v>0</v>
      </c>
      <c r="O519" t="n">
        <v>0</v>
      </c>
      <c r="P519" t="n">
        <v>0</v>
      </c>
      <c r="Q519" t="n">
        <v>0</v>
      </c>
      <c r="R519" s="2" t="inlineStr"/>
    </row>
    <row r="520" ht="15" customHeight="1">
      <c r="A520" t="inlineStr">
        <is>
          <t>A 9398-2023</t>
        </is>
      </c>
      <c r="B520" s="1" t="n">
        <v>44977</v>
      </c>
      <c r="C520" s="1" t="n">
        <v>45885</v>
      </c>
      <c r="D520" t="inlineStr">
        <is>
          <t>UPPSALA LÄN</t>
        </is>
      </c>
      <c r="E520" t="inlineStr">
        <is>
          <t>UPPSALA</t>
        </is>
      </c>
      <c r="G520" t="n">
        <v>5.1</v>
      </c>
      <c r="H520" t="n">
        <v>0</v>
      </c>
      <c r="I520" t="n">
        <v>0</v>
      </c>
      <c r="J520" t="n">
        <v>0</v>
      </c>
      <c r="K520" t="n">
        <v>0</v>
      </c>
      <c r="L520" t="n">
        <v>0</v>
      </c>
      <c r="M520" t="n">
        <v>0</v>
      </c>
      <c r="N520" t="n">
        <v>0</v>
      </c>
      <c r="O520" t="n">
        <v>0</v>
      </c>
      <c r="P520" t="n">
        <v>0</v>
      </c>
      <c r="Q520" t="n">
        <v>0</v>
      </c>
      <c r="R520" s="2" t="inlineStr"/>
    </row>
    <row r="521" ht="15" customHeight="1">
      <c r="A521" t="inlineStr">
        <is>
          <t>A 17558-2022</t>
        </is>
      </c>
      <c r="B521" s="1" t="n">
        <v>44679.66694444444</v>
      </c>
      <c r="C521" s="1" t="n">
        <v>45885</v>
      </c>
      <c r="D521" t="inlineStr">
        <is>
          <t>UPPSALA LÄN</t>
        </is>
      </c>
      <c r="E521" t="inlineStr">
        <is>
          <t>UPPSALA</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4875-2021</t>
        </is>
      </c>
      <c r="B522" s="1" t="n">
        <v>44223</v>
      </c>
      <c r="C522" s="1" t="n">
        <v>45885</v>
      </c>
      <c r="D522" t="inlineStr">
        <is>
          <t>UPPSALA LÄN</t>
        </is>
      </c>
      <c r="E522" t="inlineStr">
        <is>
          <t>UPPSALA</t>
        </is>
      </c>
      <c r="G522" t="n">
        <v>0.4</v>
      </c>
      <c r="H522" t="n">
        <v>0</v>
      </c>
      <c r="I522" t="n">
        <v>0</v>
      </c>
      <c r="J522" t="n">
        <v>0</v>
      </c>
      <c r="K522" t="n">
        <v>0</v>
      </c>
      <c r="L522" t="n">
        <v>0</v>
      </c>
      <c r="M522" t="n">
        <v>0</v>
      </c>
      <c r="N522" t="n">
        <v>0</v>
      </c>
      <c r="O522" t="n">
        <v>0</v>
      </c>
      <c r="P522" t="n">
        <v>0</v>
      </c>
      <c r="Q522" t="n">
        <v>0</v>
      </c>
      <c r="R522" s="2" t="inlineStr"/>
    </row>
    <row r="523" ht="15" customHeight="1">
      <c r="A523" t="inlineStr">
        <is>
          <t>A 35509-2025</t>
        </is>
      </c>
      <c r="B523" s="1" t="n">
        <v>45856.34959490741</v>
      </c>
      <c r="C523" s="1" t="n">
        <v>45885</v>
      </c>
      <c r="D523" t="inlineStr">
        <is>
          <t>UPPSALA LÄN</t>
        </is>
      </c>
      <c r="E523" t="inlineStr">
        <is>
          <t>UPPSALA</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10489-2025</t>
        </is>
      </c>
      <c r="B524" s="1" t="n">
        <v>45721.34715277778</v>
      </c>
      <c r="C524" s="1" t="n">
        <v>45885</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27917-2025</t>
        </is>
      </c>
      <c r="B525" s="1" t="n">
        <v>45814</v>
      </c>
      <c r="C525" s="1" t="n">
        <v>45885</v>
      </c>
      <c r="D525" t="inlineStr">
        <is>
          <t>UPPSALA LÄN</t>
        </is>
      </c>
      <c r="E525" t="inlineStr">
        <is>
          <t>UPPSALA</t>
        </is>
      </c>
      <c r="G525" t="n">
        <v>4</v>
      </c>
      <c r="H525" t="n">
        <v>0</v>
      </c>
      <c r="I525" t="n">
        <v>0</v>
      </c>
      <c r="J525" t="n">
        <v>0</v>
      </c>
      <c r="K525" t="n">
        <v>0</v>
      </c>
      <c r="L525" t="n">
        <v>0</v>
      </c>
      <c r="M525" t="n">
        <v>0</v>
      </c>
      <c r="N525" t="n">
        <v>0</v>
      </c>
      <c r="O525" t="n">
        <v>0</v>
      </c>
      <c r="P525" t="n">
        <v>0</v>
      </c>
      <c r="Q525" t="n">
        <v>0</v>
      </c>
      <c r="R525" s="2" t="inlineStr"/>
    </row>
    <row r="526" ht="15" customHeight="1">
      <c r="A526" t="inlineStr">
        <is>
          <t>A 27706-2025</t>
        </is>
      </c>
      <c r="B526" s="1" t="n">
        <v>45813</v>
      </c>
      <c r="C526" s="1" t="n">
        <v>45885</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43795-2023</t>
        </is>
      </c>
      <c r="B527" s="1" t="n">
        <v>45182</v>
      </c>
      <c r="C527" s="1" t="n">
        <v>45885</v>
      </c>
      <c r="D527" t="inlineStr">
        <is>
          <t>UPPSALA LÄN</t>
        </is>
      </c>
      <c r="E527" t="inlineStr">
        <is>
          <t>UPPSALA</t>
        </is>
      </c>
      <c r="G527" t="n">
        <v>4.7</v>
      </c>
      <c r="H527" t="n">
        <v>0</v>
      </c>
      <c r="I527" t="n">
        <v>0</v>
      </c>
      <c r="J527" t="n">
        <v>0</v>
      </c>
      <c r="K527" t="n">
        <v>0</v>
      </c>
      <c r="L527" t="n">
        <v>0</v>
      </c>
      <c r="M527" t="n">
        <v>0</v>
      </c>
      <c r="N527" t="n">
        <v>0</v>
      </c>
      <c r="O527" t="n">
        <v>0</v>
      </c>
      <c r="P527" t="n">
        <v>0</v>
      </c>
      <c r="Q527" t="n">
        <v>0</v>
      </c>
      <c r="R527" s="2" t="inlineStr"/>
    </row>
    <row r="528" ht="15" customHeight="1">
      <c r="A528" t="inlineStr">
        <is>
          <t>A 43818-2023</t>
        </is>
      </c>
      <c r="B528" s="1" t="n">
        <v>45182</v>
      </c>
      <c r="C528" s="1" t="n">
        <v>45885</v>
      </c>
      <c r="D528" t="inlineStr">
        <is>
          <t>UPPSALA LÄN</t>
        </is>
      </c>
      <c r="E528" t="inlineStr">
        <is>
          <t>UPPSALA</t>
        </is>
      </c>
      <c r="G528" t="n">
        <v>10.8</v>
      </c>
      <c r="H528" t="n">
        <v>0</v>
      </c>
      <c r="I528" t="n">
        <v>0</v>
      </c>
      <c r="J528" t="n">
        <v>0</v>
      </c>
      <c r="K528" t="n">
        <v>0</v>
      </c>
      <c r="L528" t="n">
        <v>0</v>
      </c>
      <c r="M528" t="n">
        <v>0</v>
      </c>
      <c r="N528" t="n">
        <v>0</v>
      </c>
      <c r="O528" t="n">
        <v>0</v>
      </c>
      <c r="P528" t="n">
        <v>0</v>
      </c>
      <c r="Q528" t="n">
        <v>0</v>
      </c>
      <c r="R528" s="2" t="inlineStr"/>
    </row>
    <row r="529" ht="15" customHeight="1">
      <c r="A529" t="inlineStr">
        <is>
          <t>A 27538-2025</t>
        </is>
      </c>
      <c r="B529" s="1" t="n">
        <v>45813.46034722222</v>
      </c>
      <c r="C529" s="1" t="n">
        <v>45885</v>
      </c>
      <c r="D529" t="inlineStr">
        <is>
          <t>UPPSALA LÄN</t>
        </is>
      </c>
      <c r="E529" t="inlineStr">
        <is>
          <t>UPPSALA</t>
        </is>
      </c>
      <c r="G529" t="n">
        <v>3.1</v>
      </c>
      <c r="H529" t="n">
        <v>0</v>
      </c>
      <c r="I529" t="n">
        <v>0</v>
      </c>
      <c r="J529" t="n">
        <v>0</v>
      </c>
      <c r="K529" t="n">
        <v>0</v>
      </c>
      <c r="L529" t="n">
        <v>0</v>
      </c>
      <c r="M529" t="n">
        <v>0</v>
      </c>
      <c r="N529" t="n">
        <v>0</v>
      </c>
      <c r="O529" t="n">
        <v>0</v>
      </c>
      <c r="P529" t="n">
        <v>0</v>
      </c>
      <c r="Q529" t="n">
        <v>0</v>
      </c>
      <c r="R529" s="2" t="inlineStr"/>
    </row>
    <row r="530" ht="15" customHeight="1">
      <c r="A530" t="inlineStr">
        <is>
          <t>A 55953-2020</t>
        </is>
      </c>
      <c r="B530" s="1" t="n">
        <v>44131</v>
      </c>
      <c r="C530" s="1" t="n">
        <v>45885</v>
      </c>
      <c r="D530" t="inlineStr">
        <is>
          <t>UPPSALA LÄN</t>
        </is>
      </c>
      <c r="E530" t="inlineStr">
        <is>
          <t>UPPSALA</t>
        </is>
      </c>
      <c r="F530" t="inlineStr">
        <is>
          <t>Allmännings- och besparingsskogar</t>
        </is>
      </c>
      <c r="G530" t="n">
        <v>74.40000000000001</v>
      </c>
      <c r="H530" t="n">
        <v>0</v>
      </c>
      <c r="I530" t="n">
        <v>0</v>
      </c>
      <c r="J530" t="n">
        <v>0</v>
      </c>
      <c r="K530" t="n">
        <v>0</v>
      </c>
      <c r="L530" t="n">
        <v>0</v>
      </c>
      <c r="M530" t="n">
        <v>0</v>
      </c>
      <c r="N530" t="n">
        <v>0</v>
      </c>
      <c r="O530" t="n">
        <v>0</v>
      </c>
      <c r="P530" t="n">
        <v>0</v>
      </c>
      <c r="Q530" t="n">
        <v>0</v>
      </c>
      <c r="R530" s="2" t="inlineStr"/>
    </row>
    <row r="531" ht="15" customHeight="1">
      <c r="A531" t="inlineStr">
        <is>
          <t>A 35504-2025</t>
        </is>
      </c>
      <c r="B531" s="1" t="n">
        <v>45856.34034722222</v>
      </c>
      <c r="C531" s="1" t="n">
        <v>45885</v>
      </c>
      <c r="D531" t="inlineStr">
        <is>
          <t>UPPSALA LÄN</t>
        </is>
      </c>
      <c r="E531" t="inlineStr">
        <is>
          <t>UPPSALA</t>
        </is>
      </c>
      <c r="F531" t="inlineStr">
        <is>
          <t>Bergvik skog öst AB</t>
        </is>
      </c>
      <c r="G531" t="n">
        <v>6.7</v>
      </c>
      <c r="H531" t="n">
        <v>0</v>
      </c>
      <c r="I531" t="n">
        <v>0</v>
      </c>
      <c r="J531" t="n">
        <v>0</v>
      </c>
      <c r="K531" t="n">
        <v>0</v>
      </c>
      <c r="L531" t="n">
        <v>0</v>
      </c>
      <c r="M531" t="n">
        <v>0</v>
      </c>
      <c r="N531" t="n">
        <v>0</v>
      </c>
      <c r="O531" t="n">
        <v>0</v>
      </c>
      <c r="P531" t="n">
        <v>0</v>
      </c>
      <c r="Q531" t="n">
        <v>0</v>
      </c>
      <c r="R531" s="2" t="inlineStr"/>
    </row>
    <row r="532" ht="15" customHeight="1">
      <c r="A532" t="inlineStr">
        <is>
          <t>A 35505-2025</t>
        </is>
      </c>
      <c r="B532" s="1" t="n">
        <v>45856.34231481481</v>
      </c>
      <c r="C532" s="1" t="n">
        <v>45885</v>
      </c>
      <c r="D532" t="inlineStr">
        <is>
          <t>UPPSALA LÄN</t>
        </is>
      </c>
      <c r="E532" t="inlineStr">
        <is>
          <t>UPPSALA</t>
        </is>
      </c>
      <c r="F532" t="inlineStr">
        <is>
          <t>Bergvik skog öst AB</t>
        </is>
      </c>
      <c r="G532" t="n">
        <v>7.9</v>
      </c>
      <c r="H532" t="n">
        <v>0</v>
      </c>
      <c r="I532" t="n">
        <v>0</v>
      </c>
      <c r="J532" t="n">
        <v>0</v>
      </c>
      <c r="K532" t="n">
        <v>0</v>
      </c>
      <c r="L532" t="n">
        <v>0</v>
      </c>
      <c r="M532" t="n">
        <v>0</v>
      </c>
      <c r="N532" t="n">
        <v>0</v>
      </c>
      <c r="O532" t="n">
        <v>0</v>
      </c>
      <c r="P532" t="n">
        <v>0</v>
      </c>
      <c r="Q532" t="n">
        <v>0</v>
      </c>
      <c r="R532" s="2" t="inlineStr"/>
    </row>
    <row r="533" ht="15" customHeight="1">
      <c r="A533" t="inlineStr">
        <is>
          <t>A 10674-2022</t>
        </is>
      </c>
      <c r="B533" s="1" t="n">
        <v>44624.64538194444</v>
      </c>
      <c r="C533" s="1" t="n">
        <v>45885</v>
      </c>
      <c r="D533" t="inlineStr">
        <is>
          <t>UPPSALA LÄN</t>
        </is>
      </c>
      <c r="E533" t="inlineStr">
        <is>
          <t>UPPSALA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35510-2025</t>
        </is>
      </c>
      <c r="B534" s="1" t="n">
        <v>45856.36153935185</v>
      </c>
      <c r="C534" s="1" t="n">
        <v>45885</v>
      </c>
      <c r="D534" t="inlineStr">
        <is>
          <t>UPPSALA LÄN</t>
        </is>
      </c>
      <c r="E534" t="inlineStr">
        <is>
          <t>UPPSALA</t>
        </is>
      </c>
      <c r="F534" t="inlineStr">
        <is>
          <t>Bergvik skog öst AB</t>
        </is>
      </c>
      <c r="G534" t="n">
        <v>0.3</v>
      </c>
      <c r="H534" t="n">
        <v>0</v>
      </c>
      <c r="I534" t="n">
        <v>0</v>
      </c>
      <c r="J534" t="n">
        <v>0</v>
      </c>
      <c r="K534" t="n">
        <v>0</v>
      </c>
      <c r="L534" t="n">
        <v>0</v>
      </c>
      <c r="M534" t="n">
        <v>0</v>
      </c>
      <c r="N534" t="n">
        <v>0</v>
      </c>
      <c r="O534" t="n">
        <v>0</v>
      </c>
      <c r="P534" t="n">
        <v>0</v>
      </c>
      <c r="Q534" t="n">
        <v>0</v>
      </c>
      <c r="R534" s="2" t="inlineStr"/>
    </row>
    <row r="535" ht="15" customHeight="1">
      <c r="A535" t="inlineStr">
        <is>
          <t>A 54924-2024</t>
        </is>
      </c>
      <c r="B535" s="1" t="n">
        <v>45618.71140046296</v>
      </c>
      <c r="C535" s="1" t="n">
        <v>45885</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12293-2022</t>
        </is>
      </c>
      <c r="B536" s="1" t="n">
        <v>44637.56178240741</v>
      </c>
      <c r="C536" s="1" t="n">
        <v>45885</v>
      </c>
      <c r="D536" t="inlineStr">
        <is>
          <t>UPPSALA LÄN</t>
        </is>
      </c>
      <c r="E536" t="inlineStr">
        <is>
          <t>UPPSALA</t>
        </is>
      </c>
      <c r="F536" t="inlineStr">
        <is>
          <t>Kommuner</t>
        </is>
      </c>
      <c r="G536" t="n">
        <v>0.8</v>
      </c>
      <c r="H536" t="n">
        <v>0</v>
      </c>
      <c r="I536" t="n">
        <v>0</v>
      </c>
      <c r="J536" t="n">
        <v>0</v>
      </c>
      <c r="K536" t="n">
        <v>0</v>
      </c>
      <c r="L536" t="n">
        <v>0</v>
      </c>
      <c r="M536" t="n">
        <v>0</v>
      </c>
      <c r="N536" t="n">
        <v>0</v>
      </c>
      <c r="O536" t="n">
        <v>0</v>
      </c>
      <c r="P536" t="n">
        <v>0</v>
      </c>
      <c r="Q536" t="n">
        <v>0</v>
      </c>
      <c r="R536" s="2" t="inlineStr"/>
    </row>
    <row r="537" ht="15" customHeight="1">
      <c r="A537" t="inlineStr">
        <is>
          <t>A 41422-2023</t>
        </is>
      </c>
      <c r="B537" s="1" t="n">
        <v>45175</v>
      </c>
      <c r="C537" s="1" t="n">
        <v>45885</v>
      </c>
      <c r="D537" t="inlineStr">
        <is>
          <t>UPPSALA LÄN</t>
        </is>
      </c>
      <c r="E537" t="inlineStr">
        <is>
          <t>UPPSALA</t>
        </is>
      </c>
      <c r="F537" t="inlineStr">
        <is>
          <t>Kyrkan</t>
        </is>
      </c>
      <c r="G537" t="n">
        <v>5.2</v>
      </c>
      <c r="H537" t="n">
        <v>0</v>
      </c>
      <c r="I537" t="n">
        <v>0</v>
      </c>
      <c r="J537" t="n">
        <v>0</v>
      </c>
      <c r="K537" t="n">
        <v>0</v>
      </c>
      <c r="L537" t="n">
        <v>0</v>
      </c>
      <c r="M537" t="n">
        <v>0</v>
      </c>
      <c r="N537" t="n">
        <v>0</v>
      </c>
      <c r="O537" t="n">
        <v>0</v>
      </c>
      <c r="P537" t="n">
        <v>0</v>
      </c>
      <c r="Q537" t="n">
        <v>0</v>
      </c>
      <c r="R537" s="2" t="inlineStr"/>
    </row>
    <row r="538" ht="15" customHeight="1">
      <c r="A538" t="inlineStr">
        <is>
          <t>A 23291-2024</t>
        </is>
      </c>
      <c r="B538" s="1" t="n">
        <v>45453</v>
      </c>
      <c r="C538" s="1" t="n">
        <v>45885</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58070-2020</t>
        </is>
      </c>
      <c r="B539" s="1" t="n">
        <v>44140</v>
      </c>
      <c r="C539" s="1" t="n">
        <v>45885</v>
      </c>
      <c r="D539" t="inlineStr">
        <is>
          <t>UPPSALA LÄN</t>
        </is>
      </c>
      <c r="E539" t="inlineStr">
        <is>
          <t>UPPSALA</t>
        </is>
      </c>
      <c r="G539" t="n">
        <v>4</v>
      </c>
      <c r="H539" t="n">
        <v>0</v>
      </c>
      <c r="I539" t="n">
        <v>0</v>
      </c>
      <c r="J539" t="n">
        <v>0</v>
      </c>
      <c r="K539" t="n">
        <v>0</v>
      </c>
      <c r="L539" t="n">
        <v>0</v>
      </c>
      <c r="M539" t="n">
        <v>0</v>
      </c>
      <c r="N539" t="n">
        <v>0</v>
      </c>
      <c r="O539" t="n">
        <v>0</v>
      </c>
      <c r="P539" t="n">
        <v>0</v>
      </c>
      <c r="Q539" t="n">
        <v>0</v>
      </c>
      <c r="R539" s="2" t="inlineStr"/>
    </row>
    <row r="540" ht="15" customHeight="1">
      <c r="A540" t="inlineStr">
        <is>
          <t>A 34114-2024</t>
        </is>
      </c>
      <c r="B540" s="1" t="n">
        <v>45524</v>
      </c>
      <c r="C540" s="1" t="n">
        <v>45885</v>
      </c>
      <c r="D540" t="inlineStr">
        <is>
          <t>UPPSALA LÄN</t>
        </is>
      </c>
      <c r="E540" t="inlineStr">
        <is>
          <t>UPPSALA</t>
        </is>
      </c>
      <c r="F540" t="inlineStr">
        <is>
          <t>Allmännings- och besparingsskogar</t>
        </is>
      </c>
      <c r="G540" t="n">
        <v>1.3</v>
      </c>
      <c r="H540" t="n">
        <v>0</v>
      </c>
      <c r="I540" t="n">
        <v>0</v>
      </c>
      <c r="J540" t="n">
        <v>0</v>
      </c>
      <c r="K540" t="n">
        <v>0</v>
      </c>
      <c r="L540" t="n">
        <v>0</v>
      </c>
      <c r="M540" t="n">
        <v>0</v>
      </c>
      <c r="N540" t="n">
        <v>0</v>
      </c>
      <c r="O540" t="n">
        <v>0</v>
      </c>
      <c r="P540" t="n">
        <v>0</v>
      </c>
      <c r="Q540" t="n">
        <v>0</v>
      </c>
      <c r="R540" s="2" t="inlineStr"/>
    </row>
    <row r="541" ht="15" customHeight="1">
      <c r="A541" t="inlineStr">
        <is>
          <t>A 49931-2020</t>
        </is>
      </c>
      <c r="B541" s="1" t="n">
        <v>44109</v>
      </c>
      <c r="C541" s="1" t="n">
        <v>45885</v>
      </c>
      <c r="D541" t="inlineStr">
        <is>
          <t>UPPSALA LÄN</t>
        </is>
      </c>
      <c r="E541" t="inlineStr">
        <is>
          <t>UPPSALA</t>
        </is>
      </c>
      <c r="G541" t="n">
        <v>3.4</v>
      </c>
      <c r="H541" t="n">
        <v>0</v>
      </c>
      <c r="I541" t="n">
        <v>0</v>
      </c>
      <c r="J541" t="n">
        <v>0</v>
      </c>
      <c r="K541" t="n">
        <v>0</v>
      </c>
      <c r="L541" t="n">
        <v>0</v>
      </c>
      <c r="M541" t="n">
        <v>0</v>
      </c>
      <c r="N541" t="n">
        <v>0</v>
      </c>
      <c r="O541" t="n">
        <v>0</v>
      </c>
      <c r="P541" t="n">
        <v>0</v>
      </c>
      <c r="Q541" t="n">
        <v>0</v>
      </c>
      <c r="R541" s="2" t="inlineStr"/>
    </row>
    <row r="542" ht="15" customHeight="1">
      <c r="A542" t="inlineStr">
        <is>
          <t>A 7611-2023</t>
        </is>
      </c>
      <c r="B542" s="1" t="n">
        <v>44967</v>
      </c>
      <c r="C542" s="1" t="n">
        <v>45885</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28275-2025</t>
        </is>
      </c>
      <c r="B543" s="1" t="n">
        <v>45818.57910879629</v>
      </c>
      <c r="C543" s="1" t="n">
        <v>45885</v>
      </c>
      <c r="D543" t="inlineStr">
        <is>
          <t>UPPSALA LÄN</t>
        </is>
      </c>
      <c r="E543" t="inlineStr">
        <is>
          <t>UPPSALA</t>
        </is>
      </c>
      <c r="F543" t="inlineStr">
        <is>
          <t>Holmen skog AB</t>
        </is>
      </c>
      <c r="G543" t="n">
        <v>6.5</v>
      </c>
      <c r="H543" t="n">
        <v>0</v>
      </c>
      <c r="I543" t="n">
        <v>0</v>
      </c>
      <c r="J543" t="n">
        <v>0</v>
      </c>
      <c r="K543" t="n">
        <v>0</v>
      </c>
      <c r="L543" t="n">
        <v>0</v>
      </c>
      <c r="M543" t="n">
        <v>0</v>
      </c>
      <c r="N543" t="n">
        <v>0</v>
      </c>
      <c r="O543" t="n">
        <v>0</v>
      </c>
      <c r="P543" t="n">
        <v>0</v>
      </c>
      <c r="Q543" t="n">
        <v>0</v>
      </c>
      <c r="R543" s="2" t="inlineStr"/>
    </row>
    <row r="544" ht="15" customHeight="1">
      <c r="A544" t="inlineStr">
        <is>
          <t>A 60056-2022</t>
        </is>
      </c>
      <c r="B544" s="1" t="n">
        <v>44909</v>
      </c>
      <c r="C544" s="1" t="n">
        <v>45885</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5989-2022</t>
        </is>
      </c>
      <c r="B545" s="1" t="n">
        <v>44599.42277777778</v>
      </c>
      <c r="C545" s="1" t="n">
        <v>45885</v>
      </c>
      <c r="D545" t="inlineStr">
        <is>
          <t>UPPSALA LÄN</t>
        </is>
      </c>
      <c r="E545" t="inlineStr">
        <is>
          <t>UPPSALA</t>
        </is>
      </c>
      <c r="G545" t="n">
        <v>2.8</v>
      </c>
      <c r="H545" t="n">
        <v>0</v>
      </c>
      <c r="I545" t="n">
        <v>0</v>
      </c>
      <c r="J545" t="n">
        <v>0</v>
      </c>
      <c r="K545" t="n">
        <v>0</v>
      </c>
      <c r="L545" t="n">
        <v>0</v>
      </c>
      <c r="M545" t="n">
        <v>0</v>
      </c>
      <c r="N545" t="n">
        <v>0</v>
      </c>
      <c r="O545" t="n">
        <v>0</v>
      </c>
      <c r="P545" t="n">
        <v>0</v>
      </c>
      <c r="Q545" t="n">
        <v>0</v>
      </c>
      <c r="R545" s="2" t="inlineStr"/>
    </row>
    <row r="546" ht="15" customHeight="1">
      <c r="A546" t="inlineStr">
        <is>
          <t>A 5006-2022</t>
        </is>
      </c>
      <c r="B546" s="1" t="n">
        <v>44593</v>
      </c>
      <c r="C546" s="1" t="n">
        <v>45885</v>
      </c>
      <c r="D546" t="inlineStr">
        <is>
          <t>UPPSALA LÄN</t>
        </is>
      </c>
      <c r="E546" t="inlineStr">
        <is>
          <t>UPPSALA</t>
        </is>
      </c>
      <c r="F546" t="inlineStr">
        <is>
          <t>BillerudKorsnäs AB</t>
        </is>
      </c>
      <c r="G546" t="n">
        <v>1.4</v>
      </c>
      <c r="H546" t="n">
        <v>0</v>
      </c>
      <c r="I546" t="n">
        <v>0</v>
      </c>
      <c r="J546" t="n">
        <v>0</v>
      </c>
      <c r="K546" t="n">
        <v>0</v>
      </c>
      <c r="L546" t="n">
        <v>0</v>
      </c>
      <c r="M546" t="n">
        <v>0</v>
      </c>
      <c r="N546" t="n">
        <v>0</v>
      </c>
      <c r="O546" t="n">
        <v>0</v>
      </c>
      <c r="P546" t="n">
        <v>0</v>
      </c>
      <c r="Q546" t="n">
        <v>0</v>
      </c>
      <c r="R546" s="2" t="inlineStr"/>
    </row>
    <row r="547" ht="15" customHeight="1">
      <c r="A547" t="inlineStr">
        <is>
          <t>A 5007-2022</t>
        </is>
      </c>
      <c r="B547" s="1" t="n">
        <v>44593.61355324074</v>
      </c>
      <c r="C547" s="1" t="n">
        <v>45885</v>
      </c>
      <c r="D547" t="inlineStr">
        <is>
          <t>UPPSALA LÄN</t>
        </is>
      </c>
      <c r="E547" t="inlineStr">
        <is>
          <t>UPPSALA</t>
        </is>
      </c>
      <c r="F547" t="inlineStr">
        <is>
          <t>BillerudKorsnäs AB</t>
        </is>
      </c>
      <c r="G547" t="n">
        <v>3.6</v>
      </c>
      <c r="H547" t="n">
        <v>0</v>
      </c>
      <c r="I547" t="n">
        <v>0</v>
      </c>
      <c r="J547" t="n">
        <v>0</v>
      </c>
      <c r="K547" t="n">
        <v>0</v>
      </c>
      <c r="L547" t="n">
        <v>0</v>
      </c>
      <c r="M547" t="n">
        <v>0</v>
      </c>
      <c r="N547" t="n">
        <v>0</v>
      </c>
      <c r="O547" t="n">
        <v>0</v>
      </c>
      <c r="P547" t="n">
        <v>0</v>
      </c>
      <c r="Q547" t="n">
        <v>0</v>
      </c>
      <c r="R547" s="2" t="inlineStr"/>
    </row>
    <row r="548" ht="15" customHeight="1">
      <c r="A548" t="inlineStr">
        <is>
          <t>A 7276-2024</t>
        </is>
      </c>
      <c r="B548" s="1" t="n">
        <v>45344</v>
      </c>
      <c r="C548" s="1" t="n">
        <v>45885</v>
      </c>
      <c r="D548" t="inlineStr">
        <is>
          <t>UPPSALA LÄN</t>
        </is>
      </c>
      <c r="E548" t="inlineStr">
        <is>
          <t>UPPSALA</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3040-2023</t>
        </is>
      </c>
      <c r="B549" s="1" t="n">
        <v>44946</v>
      </c>
      <c r="C549" s="1" t="n">
        <v>45885</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18607-2024</t>
        </is>
      </c>
      <c r="B550" s="1" t="n">
        <v>45425.94947916667</v>
      </c>
      <c r="C550" s="1" t="n">
        <v>45885</v>
      </c>
      <c r="D550" t="inlineStr">
        <is>
          <t>UPPSALA LÄN</t>
        </is>
      </c>
      <c r="E550" t="inlineStr">
        <is>
          <t>UPPSALA</t>
        </is>
      </c>
      <c r="G550" t="n">
        <v>4.3</v>
      </c>
      <c r="H550" t="n">
        <v>0</v>
      </c>
      <c r="I550" t="n">
        <v>0</v>
      </c>
      <c r="J550" t="n">
        <v>0</v>
      </c>
      <c r="K550" t="n">
        <v>0</v>
      </c>
      <c r="L550" t="n">
        <v>0</v>
      </c>
      <c r="M550" t="n">
        <v>0</v>
      </c>
      <c r="N550" t="n">
        <v>0</v>
      </c>
      <c r="O550" t="n">
        <v>0</v>
      </c>
      <c r="P550" t="n">
        <v>0</v>
      </c>
      <c r="Q550" t="n">
        <v>0</v>
      </c>
      <c r="R550" s="2" t="inlineStr"/>
    </row>
    <row r="551" ht="15" customHeight="1">
      <c r="A551" t="inlineStr">
        <is>
          <t>A 6541-2025</t>
        </is>
      </c>
      <c r="B551" s="1" t="n">
        <v>45699</v>
      </c>
      <c r="C551" s="1" t="n">
        <v>45885</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668-2025</t>
        </is>
      </c>
      <c r="B552" s="1" t="n">
        <v>45664</v>
      </c>
      <c r="C552" s="1" t="n">
        <v>45885</v>
      </c>
      <c r="D552" t="inlineStr">
        <is>
          <t>UPPSALA LÄN</t>
        </is>
      </c>
      <c r="E552" t="inlineStr">
        <is>
          <t>UPPSALA</t>
        </is>
      </c>
      <c r="F552" t="inlineStr">
        <is>
          <t>Bergvik skog öst AB</t>
        </is>
      </c>
      <c r="G552" t="n">
        <v>4.7</v>
      </c>
      <c r="H552" t="n">
        <v>0</v>
      </c>
      <c r="I552" t="n">
        <v>0</v>
      </c>
      <c r="J552" t="n">
        <v>0</v>
      </c>
      <c r="K552" t="n">
        <v>0</v>
      </c>
      <c r="L552" t="n">
        <v>0</v>
      </c>
      <c r="M552" t="n">
        <v>0</v>
      </c>
      <c r="N552" t="n">
        <v>0</v>
      </c>
      <c r="O552" t="n">
        <v>0</v>
      </c>
      <c r="P552" t="n">
        <v>0</v>
      </c>
      <c r="Q552" t="n">
        <v>0</v>
      </c>
      <c r="R552" s="2" t="inlineStr"/>
    </row>
    <row r="553" ht="15" customHeight="1">
      <c r="A553" t="inlineStr">
        <is>
          <t>A 45592-2023</t>
        </is>
      </c>
      <c r="B553" s="1" t="n">
        <v>45194.63479166666</v>
      </c>
      <c r="C553" s="1" t="n">
        <v>45885</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36479-2023</t>
        </is>
      </c>
      <c r="B554" s="1" t="n">
        <v>45152</v>
      </c>
      <c r="C554" s="1" t="n">
        <v>45885</v>
      </c>
      <c r="D554" t="inlineStr">
        <is>
          <t>UPPSALA LÄN</t>
        </is>
      </c>
      <c r="E554" t="inlineStr">
        <is>
          <t>UPPSALA</t>
        </is>
      </c>
      <c r="F554" t="inlineStr">
        <is>
          <t>Allmännings- och besparingsskogar</t>
        </is>
      </c>
      <c r="G554" t="n">
        <v>3.4</v>
      </c>
      <c r="H554" t="n">
        <v>0</v>
      </c>
      <c r="I554" t="n">
        <v>0</v>
      </c>
      <c r="J554" t="n">
        <v>0</v>
      </c>
      <c r="K554" t="n">
        <v>0</v>
      </c>
      <c r="L554" t="n">
        <v>0</v>
      </c>
      <c r="M554" t="n">
        <v>0</v>
      </c>
      <c r="N554" t="n">
        <v>0</v>
      </c>
      <c r="O554" t="n">
        <v>0</v>
      </c>
      <c r="P554" t="n">
        <v>0</v>
      </c>
      <c r="Q554" t="n">
        <v>0</v>
      </c>
      <c r="R554" s="2" t="inlineStr"/>
    </row>
    <row r="555" ht="15" customHeight="1">
      <c r="A555" t="inlineStr">
        <is>
          <t>A 5729-2025</t>
        </is>
      </c>
      <c r="B555" s="1" t="n">
        <v>45694.49037037037</v>
      </c>
      <c r="C555" s="1" t="n">
        <v>45885</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28121-2025</t>
        </is>
      </c>
      <c r="B556" s="1" t="n">
        <v>45817</v>
      </c>
      <c r="C556" s="1" t="n">
        <v>45885</v>
      </c>
      <c r="D556" t="inlineStr">
        <is>
          <t>UPPSALA LÄN</t>
        </is>
      </c>
      <c r="E556" t="inlineStr">
        <is>
          <t>UPPSALA</t>
        </is>
      </c>
      <c r="G556" t="n">
        <v>5.6</v>
      </c>
      <c r="H556" t="n">
        <v>0</v>
      </c>
      <c r="I556" t="n">
        <v>0</v>
      </c>
      <c r="J556" t="n">
        <v>0</v>
      </c>
      <c r="K556" t="n">
        <v>0</v>
      </c>
      <c r="L556" t="n">
        <v>0</v>
      </c>
      <c r="M556" t="n">
        <v>0</v>
      </c>
      <c r="N556" t="n">
        <v>0</v>
      </c>
      <c r="O556" t="n">
        <v>0</v>
      </c>
      <c r="P556" t="n">
        <v>0</v>
      </c>
      <c r="Q556" t="n">
        <v>0</v>
      </c>
      <c r="R556" s="2" t="inlineStr"/>
    </row>
    <row r="557" ht="15" customHeight="1">
      <c r="A557" t="inlineStr">
        <is>
          <t>A 20497-2022</t>
        </is>
      </c>
      <c r="B557" s="1" t="n">
        <v>44699</v>
      </c>
      <c r="C557" s="1" t="n">
        <v>45885</v>
      </c>
      <c r="D557" t="inlineStr">
        <is>
          <t>UPPSALA LÄN</t>
        </is>
      </c>
      <c r="E557" t="inlineStr">
        <is>
          <t>UPPSALA</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42124-2021</t>
        </is>
      </c>
      <c r="B558" s="1" t="n">
        <v>44426</v>
      </c>
      <c r="C558" s="1" t="n">
        <v>45885</v>
      </c>
      <c r="D558" t="inlineStr">
        <is>
          <t>UPPSALA LÄN</t>
        </is>
      </c>
      <c r="E558" t="inlineStr">
        <is>
          <t>UPPSALA</t>
        </is>
      </c>
      <c r="G558" t="n">
        <v>6.3</v>
      </c>
      <c r="H558" t="n">
        <v>0</v>
      </c>
      <c r="I558" t="n">
        <v>0</v>
      </c>
      <c r="J558" t="n">
        <v>0</v>
      </c>
      <c r="K558" t="n">
        <v>0</v>
      </c>
      <c r="L558" t="n">
        <v>0</v>
      </c>
      <c r="M558" t="n">
        <v>0</v>
      </c>
      <c r="N558" t="n">
        <v>0</v>
      </c>
      <c r="O558" t="n">
        <v>0</v>
      </c>
      <c r="P558" t="n">
        <v>0</v>
      </c>
      <c r="Q558" t="n">
        <v>0</v>
      </c>
      <c r="R558" s="2" t="inlineStr"/>
    </row>
    <row r="559" ht="15" customHeight="1">
      <c r="A559" t="inlineStr">
        <is>
          <t>A 49821-2020</t>
        </is>
      </c>
      <c r="B559" s="1" t="n">
        <v>44106</v>
      </c>
      <c r="C559" s="1" t="n">
        <v>45885</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7899-2022</t>
        </is>
      </c>
      <c r="B560" s="1" t="n">
        <v>44608</v>
      </c>
      <c r="C560" s="1" t="n">
        <v>45885</v>
      </c>
      <c r="D560" t="inlineStr">
        <is>
          <t>UPPSALA LÄN</t>
        </is>
      </c>
      <c r="E560" t="inlineStr">
        <is>
          <t>UPPSALA</t>
        </is>
      </c>
      <c r="F560" t="inlineStr">
        <is>
          <t>Övriga Aktiebolag</t>
        </is>
      </c>
      <c r="G560" t="n">
        <v>7.1</v>
      </c>
      <c r="H560" t="n">
        <v>0</v>
      </c>
      <c r="I560" t="n">
        <v>0</v>
      </c>
      <c r="J560" t="n">
        <v>0</v>
      </c>
      <c r="K560" t="n">
        <v>0</v>
      </c>
      <c r="L560" t="n">
        <v>0</v>
      </c>
      <c r="M560" t="n">
        <v>0</v>
      </c>
      <c r="N560" t="n">
        <v>0</v>
      </c>
      <c r="O560" t="n">
        <v>0</v>
      </c>
      <c r="P560" t="n">
        <v>0</v>
      </c>
      <c r="Q560" t="n">
        <v>0</v>
      </c>
      <c r="R560" s="2" t="inlineStr"/>
    </row>
    <row r="561" ht="15" customHeight="1">
      <c r="A561" t="inlineStr">
        <is>
          <t>A 53384-2024</t>
        </is>
      </c>
      <c r="B561" s="1" t="n">
        <v>45614</v>
      </c>
      <c r="C561" s="1" t="n">
        <v>45885</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47316-2023</t>
        </is>
      </c>
      <c r="B562" s="1" t="n">
        <v>45202.4997337963</v>
      </c>
      <c r="C562" s="1" t="n">
        <v>45885</v>
      </c>
      <c r="D562" t="inlineStr">
        <is>
          <t>UPPSALA LÄN</t>
        </is>
      </c>
      <c r="E562" t="inlineStr">
        <is>
          <t>UPPSALA</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3955-2021</t>
        </is>
      </c>
      <c r="B563" s="1" t="n">
        <v>44222</v>
      </c>
      <c r="C563" s="1" t="n">
        <v>45885</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52503-2023</t>
        </is>
      </c>
      <c r="B564" s="1" t="n">
        <v>45225.46480324074</v>
      </c>
      <c r="C564" s="1" t="n">
        <v>45885</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28871-2025</t>
        </is>
      </c>
      <c r="B565" s="1" t="n">
        <v>45820</v>
      </c>
      <c r="C565" s="1" t="n">
        <v>45885</v>
      </c>
      <c r="D565" t="inlineStr">
        <is>
          <t>UPPSALA LÄN</t>
        </is>
      </c>
      <c r="E565" t="inlineStr">
        <is>
          <t>UPPSALA</t>
        </is>
      </c>
      <c r="G565" t="n">
        <v>6.5</v>
      </c>
      <c r="H565" t="n">
        <v>0</v>
      </c>
      <c r="I565" t="n">
        <v>0</v>
      </c>
      <c r="J565" t="n">
        <v>0</v>
      </c>
      <c r="K565" t="n">
        <v>0</v>
      </c>
      <c r="L565" t="n">
        <v>0</v>
      </c>
      <c r="M565" t="n">
        <v>0</v>
      </c>
      <c r="N565" t="n">
        <v>0</v>
      </c>
      <c r="O565" t="n">
        <v>0</v>
      </c>
      <c r="P565" t="n">
        <v>0</v>
      </c>
      <c r="Q565" t="n">
        <v>0</v>
      </c>
      <c r="R565" s="2" t="inlineStr"/>
    </row>
    <row r="566" ht="15" customHeight="1">
      <c r="A566" t="inlineStr">
        <is>
          <t>A 28878-2025</t>
        </is>
      </c>
      <c r="B566" s="1" t="n">
        <v>45820</v>
      </c>
      <c r="C566" s="1" t="n">
        <v>45885</v>
      </c>
      <c r="D566" t="inlineStr">
        <is>
          <t>UPPSALA LÄN</t>
        </is>
      </c>
      <c r="E566" t="inlineStr">
        <is>
          <t>UPPSALA</t>
        </is>
      </c>
      <c r="G566" t="n">
        <v>5.5</v>
      </c>
      <c r="H566" t="n">
        <v>0</v>
      </c>
      <c r="I566" t="n">
        <v>0</v>
      </c>
      <c r="J566" t="n">
        <v>0</v>
      </c>
      <c r="K566" t="n">
        <v>0</v>
      </c>
      <c r="L566" t="n">
        <v>0</v>
      </c>
      <c r="M566" t="n">
        <v>0</v>
      </c>
      <c r="N566" t="n">
        <v>0</v>
      </c>
      <c r="O566" t="n">
        <v>0</v>
      </c>
      <c r="P566" t="n">
        <v>0</v>
      </c>
      <c r="Q566" t="n">
        <v>0</v>
      </c>
      <c r="R566" s="2" t="inlineStr"/>
    </row>
    <row r="567" ht="15" customHeight="1">
      <c r="A567" t="inlineStr">
        <is>
          <t>A 33562-2023</t>
        </is>
      </c>
      <c r="B567" s="1" t="n">
        <v>45131</v>
      </c>
      <c r="C567" s="1" t="n">
        <v>45885</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27922-2025</t>
        </is>
      </c>
      <c r="B568" s="1" t="n">
        <v>45817</v>
      </c>
      <c r="C568" s="1" t="n">
        <v>45885</v>
      </c>
      <c r="D568" t="inlineStr">
        <is>
          <t>UPPSALA LÄN</t>
        </is>
      </c>
      <c r="E568" t="inlineStr">
        <is>
          <t>UPPSALA</t>
        </is>
      </c>
      <c r="F568" t="inlineStr">
        <is>
          <t>Övriga Aktiebolag</t>
        </is>
      </c>
      <c r="G568" t="n">
        <v>0.1</v>
      </c>
      <c r="H568" t="n">
        <v>0</v>
      </c>
      <c r="I568" t="n">
        <v>0</v>
      </c>
      <c r="J568" t="n">
        <v>0</v>
      </c>
      <c r="K568" t="n">
        <v>0</v>
      </c>
      <c r="L568" t="n">
        <v>0</v>
      </c>
      <c r="M568" t="n">
        <v>0</v>
      </c>
      <c r="N568" t="n">
        <v>0</v>
      </c>
      <c r="O568" t="n">
        <v>0</v>
      </c>
      <c r="P568" t="n">
        <v>0</v>
      </c>
      <c r="Q568" t="n">
        <v>0</v>
      </c>
      <c r="R568" s="2" t="inlineStr"/>
    </row>
    <row r="569" ht="15" customHeight="1">
      <c r="A569" t="inlineStr">
        <is>
          <t>A 28876-2025</t>
        </is>
      </c>
      <c r="B569" s="1" t="n">
        <v>45820</v>
      </c>
      <c r="C569" s="1" t="n">
        <v>45885</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60447-2023</t>
        </is>
      </c>
      <c r="B570" s="1" t="n">
        <v>45259</v>
      </c>
      <c r="C570" s="1" t="n">
        <v>45885</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54783-2023</t>
        </is>
      </c>
      <c r="B571" s="1" t="n">
        <v>45236.47697916667</v>
      </c>
      <c r="C571" s="1" t="n">
        <v>45885</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35978-2025</t>
        </is>
      </c>
      <c r="B572" s="1" t="n">
        <v>45863.44648148148</v>
      </c>
      <c r="C572" s="1" t="n">
        <v>45885</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29047-2025</t>
        </is>
      </c>
      <c r="B573" s="1" t="n">
        <v>45821.45905092593</v>
      </c>
      <c r="C573" s="1" t="n">
        <v>45885</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29287-2025</t>
        </is>
      </c>
      <c r="B574" s="1" t="n">
        <v>45824.43798611111</v>
      </c>
      <c r="C574" s="1" t="n">
        <v>45885</v>
      </c>
      <c r="D574" t="inlineStr">
        <is>
          <t>UPPSALA LÄN</t>
        </is>
      </c>
      <c r="E574" t="inlineStr">
        <is>
          <t>UPPSALA</t>
        </is>
      </c>
      <c r="F574" t="inlineStr">
        <is>
          <t>Kyrkan</t>
        </is>
      </c>
      <c r="G574" t="n">
        <v>5.2</v>
      </c>
      <c r="H574" t="n">
        <v>0</v>
      </c>
      <c r="I574" t="n">
        <v>0</v>
      </c>
      <c r="J574" t="n">
        <v>0</v>
      </c>
      <c r="K574" t="n">
        <v>0</v>
      </c>
      <c r="L574" t="n">
        <v>0</v>
      </c>
      <c r="M574" t="n">
        <v>0</v>
      </c>
      <c r="N574" t="n">
        <v>0</v>
      </c>
      <c r="O574" t="n">
        <v>0</v>
      </c>
      <c r="P574" t="n">
        <v>0</v>
      </c>
      <c r="Q574" t="n">
        <v>0</v>
      </c>
      <c r="R574" s="2" t="inlineStr"/>
    </row>
    <row r="575" ht="15" customHeight="1">
      <c r="A575" t="inlineStr">
        <is>
          <t>A 29030-2025</t>
        </is>
      </c>
      <c r="B575" s="1" t="n">
        <v>45821.44101851852</v>
      </c>
      <c r="C575" s="1" t="n">
        <v>45885</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35984-2025</t>
        </is>
      </c>
      <c r="B576" s="1" t="n">
        <v>45863.45355324074</v>
      </c>
      <c r="C576" s="1" t="n">
        <v>45885</v>
      </c>
      <c r="D576" t="inlineStr">
        <is>
          <t>UPPSALA LÄN</t>
        </is>
      </c>
      <c r="E576" t="inlineStr">
        <is>
          <t>UPPSALA</t>
        </is>
      </c>
      <c r="G576" t="n">
        <v>6.1</v>
      </c>
      <c r="H576" t="n">
        <v>0</v>
      </c>
      <c r="I576" t="n">
        <v>0</v>
      </c>
      <c r="J576" t="n">
        <v>0</v>
      </c>
      <c r="K576" t="n">
        <v>0</v>
      </c>
      <c r="L576" t="n">
        <v>0</v>
      </c>
      <c r="M576" t="n">
        <v>0</v>
      </c>
      <c r="N576" t="n">
        <v>0</v>
      </c>
      <c r="O576" t="n">
        <v>0</v>
      </c>
      <c r="P576" t="n">
        <v>0</v>
      </c>
      <c r="Q576" t="n">
        <v>0</v>
      </c>
      <c r="R576" s="2" t="inlineStr"/>
    </row>
    <row r="577" ht="15" customHeight="1">
      <c r="A577" t="inlineStr">
        <is>
          <t>A 600-2024</t>
        </is>
      </c>
      <c r="B577" s="1" t="n">
        <v>45299</v>
      </c>
      <c r="C577" s="1" t="n">
        <v>45885</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62287-2023</t>
        </is>
      </c>
      <c r="B578" s="1" t="n">
        <v>45267</v>
      </c>
      <c r="C578" s="1" t="n">
        <v>45885</v>
      </c>
      <c r="D578" t="inlineStr">
        <is>
          <t>UPPSALA LÄN</t>
        </is>
      </c>
      <c r="E578" t="inlineStr">
        <is>
          <t>UPPSALA</t>
        </is>
      </c>
      <c r="F578" t="inlineStr">
        <is>
          <t>Allmännings- och besparingsskogar</t>
        </is>
      </c>
      <c r="G578" t="n">
        <v>2.8</v>
      </c>
      <c r="H578" t="n">
        <v>0</v>
      </c>
      <c r="I578" t="n">
        <v>0</v>
      </c>
      <c r="J578" t="n">
        <v>0</v>
      </c>
      <c r="K578" t="n">
        <v>0</v>
      </c>
      <c r="L578" t="n">
        <v>0</v>
      </c>
      <c r="M578" t="n">
        <v>0</v>
      </c>
      <c r="N578" t="n">
        <v>0</v>
      </c>
      <c r="O578" t="n">
        <v>0</v>
      </c>
      <c r="P578" t="n">
        <v>0</v>
      </c>
      <c r="Q578" t="n">
        <v>0</v>
      </c>
      <c r="R578" s="2" t="inlineStr"/>
    </row>
    <row r="579" ht="15" customHeight="1">
      <c r="A579" t="inlineStr">
        <is>
          <t>A 39818-2024</t>
        </is>
      </c>
      <c r="B579" s="1" t="n">
        <v>45552</v>
      </c>
      <c r="C579" s="1" t="n">
        <v>45885</v>
      </c>
      <c r="D579" t="inlineStr">
        <is>
          <t>UPPSALA LÄN</t>
        </is>
      </c>
      <c r="E579" t="inlineStr">
        <is>
          <t>UPPSALA</t>
        </is>
      </c>
      <c r="G579" t="n">
        <v>1.9</v>
      </c>
      <c r="H579" t="n">
        <v>0</v>
      </c>
      <c r="I579" t="n">
        <v>0</v>
      </c>
      <c r="J579" t="n">
        <v>0</v>
      </c>
      <c r="K579" t="n">
        <v>0</v>
      </c>
      <c r="L579" t="n">
        <v>0</v>
      </c>
      <c r="M579" t="n">
        <v>0</v>
      </c>
      <c r="N579" t="n">
        <v>0</v>
      </c>
      <c r="O579" t="n">
        <v>0</v>
      </c>
      <c r="P579" t="n">
        <v>0</v>
      </c>
      <c r="Q579" t="n">
        <v>0</v>
      </c>
      <c r="R579" s="2" t="inlineStr"/>
    </row>
    <row r="580" ht="15" customHeight="1">
      <c r="A580" t="inlineStr">
        <is>
          <t>A 54808-2023</t>
        </is>
      </c>
      <c r="B580" s="1" t="n">
        <v>45236</v>
      </c>
      <c r="C580" s="1" t="n">
        <v>45885</v>
      </c>
      <c r="D580" t="inlineStr">
        <is>
          <t>UPPSALA LÄN</t>
        </is>
      </c>
      <c r="E580" t="inlineStr">
        <is>
          <t>UPPSALA</t>
        </is>
      </c>
      <c r="G580" t="n">
        <v>4.1</v>
      </c>
      <c r="H580" t="n">
        <v>0</v>
      </c>
      <c r="I580" t="n">
        <v>0</v>
      </c>
      <c r="J580" t="n">
        <v>0</v>
      </c>
      <c r="K580" t="n">
        <v>0</v>
      </c>
      <c r="L580" t="n">
        <v>0</v>
      </c>
      <c r="M580" t="n">
        <v>0</v>
      </c>
      <c r="N580" t="n">
        <v>0</v>
      </c>
      <c r="O580" t="n">
        <v>0</v>
      </c>
      <c r="P580" t="n">
        <v>0</v>
      </c>
      <c r="Q580" t="n">
        <v>0</v>
      </c>
      <c r="R580" s="2" t="inlineStr"/>
    </row>
    <row r="581" ht="15" customHeight="1">
      <c r="A581" t="inlineStr">
        <is>
          <t>A 5663-2023</t>
        </is>
      </c>
      <c r="B581" s="1" t="n">
        <v>44960</v>
      </c>
      <c r="C581" s="1" t="n">
        <v>45885</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5675-2023</t>
        </is>
      </c>
      <c r="B582" s="1" t="n">
        <v>44960.66233796296</v>
      </c>
      <c r="C582" s="1" t="n">
        <v>45885</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29627-2025</t>
        </is>
      </c>
      <c r="B583" s="1" t="n">
        <v>45825.44482638889</v>
      </c>
      <c r="C583" s="1" t="n">
        <v>45885</v>
      </c>
      <c r="D583" t="inlineStr">
        <is>
          <t>UPPSALA LÄN</t>
        </is>
      </c>
      <c r="E583" t="inlineStr">
        <is>
          <t>UPPSALA</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11409-2025</t>
        </is>
      </c>
      <c r="B584" s="1" t="n">
        <v>45726</v>
      </c>
      <c r="C584" s="1" t="n">
        <v>45885</v>
      </c>
      <c r="D584" t="inlineStr">
        <is>
          <t>UPPSALA LÄN</t>
        </is>
      </c>
      <c r="E584" t="inlineStr">
        <is>
          <t>UPPSALA</t>
        </is>
      </c>
      <c r="G584" t="n">
        <v>0.3</v>
      </c>
      <c r="H584" t="n">
        <v>0</v>
      </c>
      <c r="I584" t="n">
        <v>0</v>
      </c>
      <c r="J584" t="n">
        <v>0</v>
      </c>
      <c r="K584" t="n">
        <v>0</v>
      </c>
      <c r="L584" t="n">
        <v>0</v>
      </c>
      <c r="M584" t="n">
        <v>0</v>
      </c>
      <c r="N584" t="n">
        <v>0</v>
      </c>
      <c r="O584" t="n">
        <v>0</v>
      </c>
      <c r="P584" t="n">
        <v>0</v>
      </c>
      <c r="Q584" t="n">
        <v>0</v>
      </c>
      <c r="R584" s="2" t="inlineStr"/>
    </row>
    <row r="585" ht="15" customHeight="1">
      <c r="A585" t="inlineStr">
        <is>
          <t>A 29664-2025</t>
        </is>
      </c>
      <c r="B585" s="1" t="n">
        <v>45825.49060185185</v>
      </c>
      <c r="C585" s="1" t="n">
        <v>45885</v>
      </c>
      <c r="D585" t="inlineStr">
        <is>
          <t>UPPSALA LÄN</t>
        </is>
      </c>
      <c r="E585" t="inlineStr">
        <is>
          <t>UPPSALA</t>
        </is>
      </c>
      <c r="F585" t="inlineStr">
        <is>
          <t>Holmen skog AB</t>
        </is>
      </c>
      <c r="G585" t="n">
        <v>16.8</v>
      </c>
      <c r="H585" t="n">
        <v>0</v>
      </c>
      <c r="I585" t="n">
        <v>0</v>
      </c>
      <c r="J585" t="n">
        <v>0</v>
      </c>
      <c r="K585" t="n">
        <v>0</v>
      </c>
      <c r="L585" t="n">
        <v>0</v>
      </c>
      <c r="M585" t="n">
        <v>0</v>
      </c>
      <c r="N585" t="n">
        <v>0</v>
      </c>
      <c r="O585" t="n">
        <v>0</v>
      </c>
      <c r="P585" t="n">
        <v>0</v>
      </c>
      <c r="Q585" t="n">
        <v>0</v>
      </c>
      <c r="R585" s="2" t="inlineStr"/>
    </row>
    <row r="586" ht="15" customHeight="1">
      <c r="A586" t="inlineStr">
        <is>
          <t>A 32117-2024</t>
        </is>
      </c>
      <c r="B586" s="1" t="n">
        <v>45511</v>
      </c>
      <c r="C586" s="1" t="n">
        <v>45885</v>
      </c>
      <c r="D586" t="inlineStr">
        <is>
          <t>UPPSALA LÄN</t>
        </is>
      </c>
      <c r="E586" t="inlineStr">
        <is>
          <t>UPPSALA</t>
        </is>
      </c>
      <c r="F586" t="inlineStr">
        <is>
          <t>Allmännings- och besparingsskogar</t>
        </is>
      </c>
      <c r="G586" t="n">
        <v>7.4</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45885</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35148-2025</t>
        </is>
      </c>
      <c r="B588" s="1" t="n">
        <v>45852.67366898148</v>
      </c>
      <c r="C588" s="1" t="n">
        <v>45885</v>
      </c>
      <c r="D588" t="inlineStr">
        <is>
          <t>UPPSALA LÄN</t>
        </is>
      </c>
      <c r="E588" t="inlineStr">
        <is>
          <t>UPPSALA</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30437-2025</t>
        </is>
      </c>
      <c r="B589" s="1" t="n">
        <v>45827.64092592592</v>
      </c>
      <c r="C589" s="1" t="n">
        <v>45885</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9984-2025</t>
        </is>
      </c>
      <c r="B590" s="1" t="n">
        <v>45719.42197916667</v>
      </c>
      <c r="C590" s="1" t="n">
        <v>45885</v>
      </c>
      <c r="D590" t="inlineStr">
        <is>
          <t>UPPSALA LÄN</t>
        </is>
      </c>
      <c r="E590" t="inlineStr">
        <is>
          <t>UPPSALA</t>
        </is>
      </c>
      <c r="F590" t="inlineStr">
        <is>
          <t>Kyrkan</t>
        </is>
      </c>
      <c r="G590" t="n">
        <v>2</v>
      </c>
      <c r="H590" t="n">
        <v>0</v>
      </c>
      <c r="I590" t="n">
        <v>0</v>
      </c>
      <c r="J590" t="n">
        <v>0</v>
      </c>
      <c r="K590" t="n">
        <v>0</v>
      </c>
      <c r="L590" t="n">
        <v>0</v>
      </c>
      <c r="M590" t="n">
        <v>0</v>
      </c>
      <c r="N590" t="n">
        <v>0</v>
      </c>
      <c r="O590" t="n">
        <v>0</v>
      </c>
      <c r="P590" t="n">
        <v>0</v>
      </c>
      <c r="Q590" t="n">
        <v>0</v>
      </c>
      <c r="R590" s="2" t="inlineStr"/>
    </row>
    <row r="591" ht="15" customHeight="1">
      <c r="A591" t="inlineStr">
        <is>
          <t>A 9991-2025</t>
        </is>
      </c>
      <c r="B591" s="1" t="n">
        <v>45719.43646990741</v>
      </c>
      <c r="C591" s="1" t="n">
        <v>45885</v>
      </c>
      <c r="D591" t="inlineStr">
        <is>
          <t>UPPSALA LÄN</t>
        </is>
      </c>
      <c r="E591" t="inlineStr">
        <is>
          <t>UPPSALA</t>
        </is>
      </c>
      <c r="F591" t="inlineStr">
        <is>
          <t>Kyrkan</t>
        </is>
      </c>
      <c r="G591" t="n">
        <v>6.1</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45885</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30282-2025</t>
        </is>
      </c>
      <c r="B593" s="1" t="n">
        <v>45827.46288194445</v>
      </c>
      <c r="C593" s="1" t="n">
        <v>45885</v>
      </c>
      <c r="D593" t="inlineStr">
        <is>
          <t>UPPSALA LÄN</t>
        </is>
      </c>
      <c r="E593" t="inlineStr">
        <is>
          <t>UPPSALA</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37010-2025</t>
        </is>
      </c>
      <c r="B594" s="1" t="n">
        <v>45874.705</v>
      </c>
      <c r="C594" s="1" t="n">
        <v>45885</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30583-2025</t>
        </is>
      </c>
      <c r="B595" s="1" t="n">
        <v>45831.42365740741</v>
      </c>
      <c r="C595" s="1" t="n">
        <v>45885</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30585-2025</t>
        </is>
      </c>
      <c r="B596" s="1" t="n">
        <v>45831.42616898148</v>
      </c>
      <c r="C596" s="1" t="n">
        <v>45885</v>
      </c>
      <c r="D596" t="inlineStr">
        <is>
          <t>UPPSALA LÄN</t>
        </is>
      </c>
      <c r="E596" t="inlineStr">
        <is>
          <t>UPPSALA</t>
        </is>
      </c>
      <c r="G596" t="n">
        <v>0.5</v>
      </c>
      <c r="H596" t="n">
        <v>0</v>
      </c>
      <c r="I596" t="n">
        <v>0</v>
      </c>
      <c r="J596" t="n">
        <v>0</v>
      </c>
      <c r="K596" t="n">
        <v>0</v>
      </c>
      <c r="L596" t="n">
        <v>0</v>
      </c>
      <c r="M596" t="n">
        <v>0</v>
      </c>
      <c r="N596" t="n">
        <v>0</v>
      </c>
      <c r="O596" t="n">
        <v>0</v>
      </c>
      <c r="P596" t="n">
        <v>0</v>
      </c>
      <c r="Q596" t="n">
        <v>0</v>
      </c>
      <c r="R596" s="2" t="inlineStr"/>
    </row>
    <row r="597" ht="15" customHeight="1">
      <c r="A597" t="inlineStr">
        <is>
          <t>A 35542-2022</t>
        </is>
      </c>
      <c r="B597" s="1" t="n">
        <v>44799.36695601852</v>
      </c>
      <c r="C597" s="1" t="n">
        <v>45885</v>
      </c>
      <c r="D597" t="inlineStr">
        <is>
          <t>UPPSALA LÄN</t>
        </is>
      </c>
      <c r="E597" t="inlineStr">
        <is>
          <t>UPPSALA</t>
        </is>
      </c>
      <c r="G597" t="n">
        <v>3.2</v>
      </c>
      <c r="H597" t="n">
        <v>0</v>
      </c>
      <c r="I597" t="n">
        <v>0</v>
      </c>
      <c r="J597" t="n">
        <v>0</v>
      </c>
      <c r="K597" t="n">
        <v>0</v>
      </c>
      <c r="L597" t="n">
        <v>0</v>
      </c>
      <c r="M597" t="n">
        <v>0</v>
      </c>
      <c r="N597" t="n">
        <v>0</v>
      </c>
      <c r="O597" t="n">
        <v>0</v>
      </c>
      <c r="P597" t="n">
        <v>0</v>
      </c>
      <c r="Q597" t="n">
        <v>0</v>
      </c>
      <c r="R597" s="2" t="inlineStr"/>
    </row>
    <row r="598" ht="15" customHeight="1">
      <c r="A598" t="inlineStr">
        <is>
          <t>A 30839-2025</t>
        </is>
      </c>
      <c r="B598" s="1" t="n">
        <v>45831.73</v>
      </c>
      <c r="C598" s="1" t="n">
        <v>45885</v>
      </c>
      <c r="D598" t="inlineStr">
        <is>
          <t>UPPSALA LÄN</t>
        </is>
      </c>
      <c r="E598" t="inlineStr">
        <is>
          <t>UPPSALA</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54742-2020</t>
        </is>
      </c>
      <c r="B599" s="1" t="n">
        <v>44126</v>
      </c>
      <c r="C599" s="1" t="n">
        <v>45885</v>
      </c>
      <c r="D599" t="inlineStr">
        <is>
          <t>UPPSALA LÄN</t>
        </is>
      </c>
      <c r="E599" t="inlineStr">
        <is>
          <t>UPPSALA</t>
        </is>
      </c>
      <c r="G599" t="n">
        <v>3.6</v>
      </c>
      <c r="H599" t="n">
        <v>0</v>
      </c>
      <c r="I599" t="n">
        <v>0</v>
      </c>
      <c r="J599" t="n">
        <v>0</v>
      </c>
      <c r="K599" t="n">
        <v>0</v>
      </c>
      <c r="L599" t="n">
        <v>0</v>
      </c>
      <c r="M599" t="n">
        <v>0</v>
      </c>
      <c r="N599" t="n">
        <v>0</v>
      </c>
      <c r="O599" t="n">
        <v>0</v>
      </c>
      <c r="P599" t="n">
        <v>0</v>
      </c>
      <c r="Q599" t="n">
        <v>0</v>
      </c>
      <c r="R599" s="2" t="inlineStr"/>
    </row>
    <row r="600" ht="15" customHeight="1">
      <c r="A600" t="inlineStr">
        <is>
          <t>A 53906-2023</t>
        </is>
      </c>
      <c r="B600" s="1" t="n">
        <v>45231</v>
      </c>
      <c r="C600" s="1" t="n">
        <v>45885</v>
      </c>
      <c r="D600" t="inlineStr">
        <is>
          <t>UPPSALA LÄN</t>
        </is>
      </c>
      <c r="E600" t="inlineStr">
        <is>
          <t>UPPSALA</t>
        </is>
      </c>
      <c r="G600" t="n">
        <v>13.2</v>
      </c>
      <c r="H600" t="n">
        <v>0</v>
      </c>
      <c r="I600" t="n">
        <v>0</v>
      </c>
      <c r="J600" t="n">
        <v>0</v>
      </c>
      <c r="K600" t="n">
        <v>0</v>
      </c>
      <c r="L600" t="n">
        <v>0</v>
      </c>
      <c r="M600" t="n">
        <v>0</v>
      </c>
      <c r="N600" t="n">
        <v>0</v>
      </c>
      <c r="O600" t="n">
        <v>0</v>
      </c>
      <c r="P600" t="n">
        <v>0</v>
      </c>
      <c r="Q600" t="n">
        <v>0</v>
      </c>
      <c r="R600" s="2" t="inlineStr"/>
    </row>
    <row r="601" ht="15" customHeight="1">
      <c r="A601" t="inlineStr">
        <is>
          <t>A 1975-2022</t>
        </is>
      </c>
      <c r="B601" s="1" t="n">
        <v>44575</v>
      </c>
      <c r="C601" s="1" t="n">
        <v>45885</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59585-2023</t>
        </is>
      </c>
      <c r="B602" s="1" t="n">
        <v>45254</v>
      </c>
      <c r="C602" s="1" t="n">
        <v>45885</v>
      </c>
      <c r="D602" t="inlineStr">
        <is>
          <t>UPPSALA LÄN</t>
        </is>
      </c>
      <c r="E602" t="inlineStr">
        <is>
          <t>UPPSALA</t>
        </is>
      </c>
      <c r="G602" t="n">
        <v>4.4</v>
      </c>
      <c r="H602" t="n">
        <v>0</v>
      </c>
      <c r="I602" t="n">
        <v>0</v>
      </c>
      <c r="J602" t="n">
        <v>0</v>
      </c>
      <c r="K602" t="n">
        <v>0</v>
      </c>
      <c r="L602" t="n">
        <v>0</v>
      </c>
      <c r="M602" t="n">
        <v>0</v>
      </c>
      <c r="N602" t="n">
        <v>0</v>
      </c>
      <c r="O602" t="n">
        <v>0</v>
      </c>
      <c r="P602" t="n">
        <v>0</v>
      </c>
      <c r="Q602" t="n">
        <v>0</v>
      </c>
      <c r="R602" s="2" t="inlineStr"/>
    </row>
    <row r="603" ht="15" customHeight="1">
      <c r="A603" t="inlineStr">
        <is>
          <t>A 3813-2024</t>
        </is>
      </c>
      <c r="B603" s="1" t="n">
        <v>45321</v>
      </c>
      <c r="C603" s="1" t="n">
        <v>45885</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27622-2023</t>
        </is>
      </c>
      <c r="B604" s="1" t="n">
        <v>45097</v>
      </c>
      <c r="C604" s="1" t="n">
        <v>45885</v>
      </c>
      <c r="D604" t="inlineStr">
        <is>
          <t>UPPSALA LÄN</t>
        </is>
      </c>
      <c r="E604" t="inlineStr">
        <is>
          <t>UPPSALA</t>
        </is>
      </c>
      <c r="G604" t="n">
        <v>3.2</v>
      </c>
      <c r="H604" t="n">
        <v>0</v>
      </c>
      <c r="I604" t="n">
        <v>0</v>
      </c>
      <c r="J604" t="n">
        <v>0</v>
      </c>
      <c r="K604" t="n">
        <v>0</v>
      </c>
      <c r="L604" t="n">
        <v>0</v>
      </c>
      <c r="M604" t="n">
        <v>0</v>
      </c>
      <c r="N604" t="n">
        <v>0</v>
      </c>
      <c r="O604" t="n">
        <v>0</v>
      </c>
      <c r="P604" t="n">
        <v>0</v>
      </c>
      <c r="Q604" t="n">
        <v>0</v>
      </c>
      <c r="R604" s="2" t="inlineStr"/>
    </row>
    <row r="605" ht="15" customHeight="1">
      <c r="A605" t="inlineStr">
        <is>
          <t>A 3260-2024</t>
        </is>
      </c>
      <c r="B605" s="1" t="n">
        <v>45317</v>
      </c>
      <c r="C605" s="1" t="n">
        <v>45885</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9611-2024</t>
        </is>
      </c>
      <c r="B606" s="1" t="n">
        <v>45361.57299768519</v>
      </c>
      <c r="C606" s="1" t="n">
        <v>45885</v>
      </c>
      <c r="D606" t="inlineStr">
        <is>
          <t>UPPSALA LÄN</t>
        </is>
      </c>
      <c r="E606" t="inlineStr">
        <is>
          <t>UPPSALA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265-2021</t>
        </is>
      </c>
      <c r="B607" s="1" t="n">
        <v>44200</v>
      </c>
      <c r="C607" s="1" t="n">
        <v>45885</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30616-2025</t>
        </is>
      </c>
      <c r="B608" s="1" t="n">
        <v>45831.46731481481</v>
      </c>
      <c r="C608" s="1" t="n">
        <v>45885</v>
      </c>
      <c r="D608" t="inlineStr">
        <is>
          <t>UPPSALA LÄN</t>
        </is>
      </c>
      <c r="E608" t="inlineStr">
        <is>
          <t>UPPSALA</t>
        </is>
      </c>
      <c r="G608" t="n">
        <v>2.1</v>
      </c>
      <c r="H608" t="n">
        <v>0</v>
      </c>
      <c r="I608" t="n">
        <v>0</v>
      </c>
      <c r="J608" t="n">
        <v>0</v>
      </c>
      <c r="K608" t="n">
        <v>0</v>
      </c>
      <c r="L608" t="n">
        <v>0</v>
      </c>
      <c r="M608" t="n">
        <v>0</v>
      </c>
      <c r="N608" t="n">
        <v>0</v>
      </c>
      <c r="O608" t="n">
        <v>0</v>
      </c>
      <c r="P608" t="n">
        <v>0</v>
      </c>
      <c r="Q608" t="n">
        <v>0</v>
      </c>
      <c r="R608" s="2" t="inlineStr"/>
    </row>
    <row r="609" ht="15" customHeight="1">
      <c r="A609" t="inlineStr">
        <is>
          <t>A 30898-2025</t>
        </is>
      </c>
      <c r="B609" s="1" t="n">
        <v>45832.35590277778</v>
      </c>
      <c r="C609" s="1" t="n">
        <v>45885</v>
      </c>
      <c r="D609" t="inlineStr">
        <is>
          <t>UPPSALA LÄN</t>
        </is>
      </c>
      <c r="E609" t="inlineStr">
        <is>
          <t>UPPSALA</t>
        </is>
      </c>
      <c r="F609" t="inlineStr">
        <is>
          <t>Kyrkan</t>
        </is>
      </c>
      <c r="G609" t="n">
        <v>2.8</v>
      </c>
      <c r="H609" t="n">
        <v>0</v>
      </c>
      <c r="I609" t="n">
        <v>0</v>
      </c>
      <c r="J609" t="n">
        <v>0</v>
      </c>
      <c r="K609" t="n">
        <v>0</v>
      </c>
      <c r="L609" t="n">
        <v>0</v>
      </c>
      <c r="M609" t="n">
        <v>0</v>
      </c>
      <c r="N609" t="n">
        <v>0</v>
      </c>
      <c r="O609" t="n">
        <v>0</v>
      </c>
      <c r="P609" t="n">
        <v>0</v>
      </c>
      <c r="Q609" t="n">
        <v>0</v>
      </c>
      <c r="R609" s="2" t="inlineStr"/>
    </row>
    <row r="610" ht="15" customHeight="1">
      <c r="A610" t="inlineStr">
        <is>
          <t>A 56679-2022</t>
        </is>
      </c>
      <c r="B610" s="1" t="n">
        <v>44893</v>
      </c>
      <c r="C610" s="1" t="n">
        <v>45885</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30567-2025</t>
        </is>
      </c>
      <c r="B611" s="1" t="n">
        <v>45831.40671296296</v>
      </c>
      <c r="C611" s="1" t="n">
        <v>45885</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10827-2024</t>
        </is>
      </c>
      <c r="B612" s="1" t="n">
        <v>45369</v>
      </c>
      <c r="C612" s="1" t="n">
        <v>45885</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61271-2020</t>
        </is>
      </c>
      <c r="B613" s="1" t="n">
        <v>44155</v>
      </c>
      <c r="C613" s="1" t="n">
        <v>45885</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39107-2023</t>
        </is>
      </c>
      <c r="B614" s="1" t="n">
        <v>45164.82913194445</v>
      </c>
      <c r="C614" s="1" t="n">
        <v>45885</v>
      </c>
      <c r="D614" t="inlineStr">
        <is>
          <t>UPPSALA LÄN</t>
        </is>
      </c>
      <c r="E614" t="inlineStr">
        <is>
          <t>UPPSALA</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59133-2022</t>
        </is>
      </c>
      <c r="B615" s="1" t="n">
        <v>44904</v>
      </c>
      <c r="C615" s="1" t="n">
        <v>45885</v>
      </c>
      <c r="D615" t="inlineStr">
        <is>
          <t>UPPSALA LÄN</t>
        </is>
      </c>
      <c r="E615" t="inlineStr">
        <is>
          <t>UPPSALA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8109-2024</t>
        </is>
      </c>
      <c r="B616" s="1" t="n">
        <v>45351.48662037037</v>
      </c>
      <c r="C616" s="1" t="n">
        <v>45885</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30897-2025</t>
        </is>
      </c>
      <c r="B617" s="1" t="n">
        <v>45832.35545138889</v>
      </c>
      <c r="C617" s="1" t="n">
        <v>45885</v>
      </c>
      <c r="D617" t="inlineStr">
        <is>
          <t>UPPSALA LÄN</t>
        </is>
      </c>
      <c r="E617" t="inlineStr">
        <is>
          <t>UPPSALA</t>
        </is>
      </c>
      <c r="F617" t="inlineStr">
        <is>
          <t>Kyrkan</t>
        </is>
      </c>
      <c r="G617" t="n">
        <v>2.8</v>
      </c>
      <c r="H617" t="n">
        <v>0</v>
      </c>
      <c r="I617" t="n">
        <v>0</v>
      </c>
      <c r="J617" t="n">
        <v>0</v>
      </c>
      <c r="K617" t="n">
        <v>0</v>
      </c>
      <c r="L617" t="n">
        <v>0</v>
      </c>
      <c r="M617" t="n">
        <v>0</v>
      </c>
      <c r="N617" t="n">
        <v>0</v>
      </c>
      <c r="O617" t="n">
        <v>0</v>
      </c>
      <c r="P617" t="n">
        <v>0</v>
      </c>
      <c r="Q617" t="n">
        <v>0</v>
      </c>
      <c r="R617" s="2" t="inlineStr"/>
    </row>
    <row r="618" ht="15" customHeight="1">
      <c r="A618" t="inlineStr">
        <is>
          <t>A 15310-2022</t>
        </is>
      </c>
      <c r="B618" s="1" t="n">
        <v>44659</v>
      </c>
      <c r="C618" s="1" t="n">
        <v>45885</v>
      </c>
      <c r="D618" t="inlineStr">
        <is>
          <t>UPPSALA LÄN</t>
        </is>
      </c>
      <c r="E618" t="inlineStr">
        <is>
          <t>UPPSALA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8162-2025</t>
        </is>
      </c>
      <c r="B619" s="1" t="n">
        <v>45707</v>
      </c>
      <c r="C619" s="1" t="n">
        <v>45885</v>
      </c>
      <c r="D619" t="inlineStr">
        <is>
          <t>UPPSALA LÄN</t>
        </is>
      </c>
      <c r="E619" t="inlineStr">
        <is>
          <t>UPPSALA</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554-2023</t>
        </is>
      </c>
      <c r="B620" s="1" t="n">
        <v>44930</v>
      </c>
      <c r="C620" s="1" t="n">
        <v>45885</v>
      </c>
      <c r="D620" t="inlineStr">
        <is>
          <t>UPPSALA LÄN</t>
        </is>
      </c>
      <c r="E620" t="inlineStr">
        <is>
          <t>UPPSALA</t>
        </is>
      </c>
      <c r="G620" t="n">
        <v>2</v>
      </c>
      <c r="H620" t="n">
        <v>0</v>
      </c>
      <c r="I620" t="n">
        <v>0</v>
      </c>
      <c r="J620" t="n">
        <v>0</v>
      </c>
      <c r="K620" t="n">
        <v>0</v>
      </c>
      <c r="L620" t="n">
        <v>0</v>
      </c>
      <c r="M620" t="n">
        <v>0</v>
      </c>
      <c r="N620" t="n">
        <v>0</v>
      </c>
      <c r="O620" t="n">
        <v>0</v>
      </c>
      <c r="P620" t="n">
        <v>0</v>
      </c>
      <c r="Q620" t="n">
        <v>0</v>
      </c>
      <c r="R620" s="2" t="inlineStr"/>
    </row>
    <row r="621" ht="15" customHeight="1">
      <c r="A621" t="inlineStr">
        <is>
          <t>A 30838-2025</t>
        </is>
      </c>
      <c r="B621" s="1" t="n">
        <v>45831.72686342592</v>
      </c>
      <c r="C621" s="1" t="n">
        <v>45885</v>
      </c>
      <c r="D621" t="inlineStr">
        <is>
          <t>UPPSALA LÄN</t>
        </is>
      </c>
      <c r="E621" t="inlineStr">
        <is>
          <t>UPPSALA</t>
        </is>
      </c>
      <c r="F621" t="inlineStr">
        <is>
          <t>Kyrkan</t>
        </is>
      </c>
      <c r="G621" t="n">
        <v>2.2</v>
      </c>
      <c r="H621" t="n">
        <v>0</v>
      </c>
      <c r="I621" t="n">
        <v>0</v>
      </c>
      <c r="J621" t="n">
        <v>0</v>
      </c>
      <c r="K621" t="n">
        <v>0</v>
      </c>
      <c r="L621" t="n">
        <v>0</v>
      </c>
      <c r="M621" t="n">
        <v>0</v>
      </c>
      <c r="N621" t="n">
        <v>0</v>
      </c>
      <c r="O621" t="n">
        <v>0</v>
      </c>
      <c r="P621" t="n">
        <v>0</v>
      </c>
      <c r="Q621" t="n">
        <v>0</v>
      </c>
      <c r="R621" s="2" t="inlineStr"/>
    </row>
    <row r="622" ht="15" customHeight="1">
      <c r="A622" t="inlineStr">
        <is>
          <t>A 2357-2024</t>
        </is>
      </c>
      <c r="B622" s="1" t="n">
        <v>45310</v>
      </c>
      <c r="C622" s="1" t="n">
        <v>45885</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44781-2021</t>
        </is>
      </c>
      <c r="B623" s="1" t="n">
        <v>44438</v>
      </c>
      <c r="C623" s="1" t="n">
        <v>45885</v>
      </c>
      <c r="D623" t="inlineStr">
        <is>
          <t>UPPSALA LÄN</t>
        </is>
      </c>
      <c r="E623" t="inlineStr">
        <is>
          <t>UPPSALA</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36913-2025</t>
        </is>
      </c>
      <c r="B624" s="1" t="n">
        <v>45874</v>
      </c>
      <c r="C624" s="1" t="n">
        <v>45885</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37351-2025</t>
        </is>
      </c>
      <c r="B625" s="1" t="n">
        <v>45876</v>
      </c>
      <c r="C625" s="1" t="n">
        <v>45885</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9201-2024</t>
        </is>
      </c>
      <c r="B626" s="1" t="n">
        <v>45358</v>
      </c>
      <c r="C626" s="1" t="n">
        <v>45885</v>
      </c>
      <c r="D626" t="inlineStr">
        <is>
          <t>UPPSALA LÄN</t>
        </is>
      </c>
      <c r="E626" t="inlineStr">
        <is>
          <t>UPPSALA</t>
        </is>
      </c>
      <c r="F626" t="inlineStr">
        <is>
          <t>Allmännings- och besparingsskogar</t>
        </is>
      </c>
      <c r="G626" t="n">
        <v>6.5</v>
      </c>
      <c r="H626" t="n">
        <v>0</v>
      </c>
      <c r="I626" t="n">
        <v>0</v>
      </c>
      <c r="J626" t="n">
        <v>0</v>
      </c>
      <c r="K626" t="n">
        <v>0</v>
      </c>
      <c r="L626" t="n">
        <v>0</v>
      </c>
      <c r="M626" t="n">
        <v>0</v>
      </c>
      <c r="N626" t="n">
        <v>0</v>
      </c>
      <c r="O626" t="n">
        <v>0</v>
      </c>
      <c r="P626" t="n">
        <v>0</v>
      </c>
      <c r="Q626" t="n">
        <v>0</v>
      </c>
      <c r="R626" s="2" t="inlineStr"/>
    </row>
    <row r="627" ht="15" customHeight="1">
      <c r="A627" t="inlineStr">
        <is>
          <t>A 37352-2025</t>
        </is>
      </c>
      <c r="B627" s="1" t="n">
        <v>45876</v>
      </c>
      <c r="C627" s="1" t="n">
        <v>45885</v>
      </c>
      <c r="D627" t="inlineStr">
        <is>
          <t>UPPSALA LÄN</t>
        </is>
      </c>
      <c r="E627" t="inlineStr">
        <is>
          <t>UPPSALA</t>
        </is>
      </c>
      <c r="G627" t="n">
        <v>2.6</v>
      </c>
      <c r="H627" t="n">
        <v>0</v>
      </c>
      <c r="I627" t="n">
        <v>0</v>
      </c>
      <c r="J627" t="n">
        <v>0</v>
      </c>
      <c r="K627" t="n">
        <v>0</v>
      </c>
      <c r="L627" t="n">
        <v>0</v>
      </c>
      <c r="M627" t="n">
        <v>0</v>
      </c>
      <c r="N627" t="n">
        <v>0</v>
      </c>
      <c r="O627" t="n">
        <v>0</v>
      </c>
      <c r="P627" t="n">
        <v>0</v>
      </c>
      <c r="Q627" t="n">
        <v>0</v>
      </c>
      <c r="R627" s="2" t="inlineStr"/>
    </row>
    <row r="628" ht="15" customHeight="1">
      <c r="A628" t="inlineStr">
        <is>
          <t>A 26323-2023</t>
        </is>
      </c>
      <c r="B628" s="1" t="n">
        <v>45091.69766203704</v>
      </c>
      <c r="C628" s="1" t="n">
        <v>45885</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16288-2025</t>
        </is>
      </c>
      <c r="B629" s="1" t="n">
        <v>45751.32001157408</v>
      </c>
      <c r="C629" s="1" t="n">
        <v>45885</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12507-2024</t>
        </is>
      </c>
      <c r="B630" s="1" t="n">
        <v>45379</v>
      </c>
      <c r="C630" s="1" t="n">
        <v>45885</v>
      </c>
      <c r="D630" t="inlineStr">
        <is>
          <t>UPPSALA LÄN</t>
        </is>
      </c>
      <c r="E630" t="inlineStr">
        <is>
          <t>UPPSALA</t>
        </is>
      </c>
      <c r="G630" t="n">
        <v>4.6</v>
      </c>
      <c r="H630" t="n">
        <v>0</v>
      </c>
      <c r="I630" t="n">
        <v>0</v>
      </c>
      <c r="J630" t="n">
        <v>0</v>
      </c>
      <c r="K630" t="n">
        <v>0</v>
      </c>
      <c r="L630" t="n">
        <v>0</v>
      </c>
      <c r="M630" t="n">
        <v>0</v>
      </c>
      <c r="N630" t="n">
        <v>0</v>
      </c>
      <c r="O630" t="n">
        <v>0</v>
      </c>
      <c r="P630" t="n">
        <v>0</v>
      </c>
      <c r="Q630" t="n">
        <v>0</v>
      </c>
      <c r="R630" s="2" t="inlineStr"/>
    </row>
    <row r="631" ht="15" customHeight="1">
      <c r="A631" t="inlineStr">
        <is>
          <t>A 60702-2022</t>
        </is>
      </c>
      <c r="B631" s="1" t="n">
        <v>44912.29869212963</v>
      </c>
      <c r="C631" s="1" t="n">
        <v>45885</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8933-2022</t>
        </is>
      </c>
      <c r="B632" s="1" t="n">
        <v>44614.69730324074</v>
      </c>
      <c r="C632" s="1" t="n">
        <v>45885</v>
      </c>
      <c r="D632" t="inlineStr">
        <is>
          <t>UPPSALA LÄN</t>
        </is>
      </c>
      <c r="E632" t="inlineStr">
        <is>
          <t>UPPSALA</t>
        </is>
      </c>
      <c r="F632" t="inlineStr">
        <is>
          <t>Holmen skog AB</t>
        </is>
      </c>
      <c r="G632" t="n">
        <v>3.6</v>
      </c>
      <c r="H632" t="n">
        <v>0</v>
      </c>
      <c r="I632" t="n">
        <v>0</v>
      </c>
      <c r="J632" t="n">
        <v>0</v>
      </c>
      <c r="K632" t="n">
        <v>0</v>
      </c>
      <c r="L632" t="n">
        <v>0</v>
      </c>
      <c r="M632" t="n">
        <v>0</v>
      </c>
      <c r="N632" t="n">
        <v>0</v>
      </c>
      <c r="O632" t="n">
        <v>0</v>
      </c>
      <c r="P632" t="n">
        <v>0</v>
      </c>
      <c r="Q632" t="n">
        <v>0</v>
      </c>
      <c r="R632" s="2" t="inlineStr"/>
    </row>
    <row r="633" ht="15" customHeight="1">
      <c r="A633" t="inlineStr">
        <is>
          <t>A 4993-2025</t>
        </is>
      </c>
      <c r="B633" s="1" t="n">
        <v>45691</v>
      </c>
      <c r="C633" s="1" t="n">
        <v>45885</v>
      </c>
      <c r="D633" t="inlineStr">
        <is>
          <t>UPPSALA LÄN</t>
        </is>
      </c>
      <c r="E633" t="inlineStr">
        <is>
          <t>UPPSALA</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37759-2025</t>
        </is>
      </c>
      <c r="B634" s="1" t="n">
        <v>45880.68200231482</v>
      </c>
      <c r="C634" s="1" t="n">
        <v>45885</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21859-2024</t>
        </is>
      </c>
      <c r="B635" s="1" t="n">
        <v>45443</v>
      </c>
      <c r="C635" s="1" t="n">
        <v>45885</v>
      </c>
      <c r="D635" t="inlineStr">
        <is>
          <t>UPPSALA LÄN</t>
        </is>
      </c>
      <c r="E635" t="inlineStr">
        <is>
          <t>UPPSALA</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32252-2025</t>
        </is>
      </c>
      <c r="B636" s="1" t="n">
        <v>45835.62752314815</v>
      </c>
      <c r="C636" s="1" t="n">
        <v>45885</v>
      </c>
      <c r="D636" t="inlineStr">
        <is>
          <t>UPPSALA LÄN</t>
        </is>
      </c>
      <c r="E636" t="inlineStr">
        <is>
          <t>UPPSALA</t>
        </is>
      </c>
      <c r="F636" t="inlineStr">
        <is>
          <t>Kyrkan</t>
        </is>
      </c>
      <c r="G636" t="n">
        <v>3.8</v>
      </c>
      <c r="H636" t="n">
        <v>0</v>
      </c>
      <c r="I636" t="n">
        <v>0</v>
      </c>
      <c r="J636" t="n">
        <v>0</v>
      </c>
      <c r="K636" t="n">
        <v>0</v>
      </c>
      <c r="L636" t="n">
        <v>0</v>
      </c>
      <c r="M636" t="n">
        <v>0</v>
      </c>
      <c r="N636" t="n">
        <v>0</v>
      </c>
      <c r="O636" t="n">
        <v>0</v>
      </c>
      <c r="P636" t="n">
        <v>0</v>
      </c>
      <c r="Q636" t="n">
        <v>0</v>
      </c>
      <c r="R636" s="2" t="inlineStr"/>
    </row>
    <row r="637" ht="15" customHeight="1">
      <c r="A637" t="inlineStr">
        <is>
          <t>A 13502-2025</t>
        </is>
      </c>
      <c r="B637" s="1" t="n">
        <v>45736.45847222222</v>
      </c>
      <c r="C637" s="1" t="n">
        <v>45885</v>
      </c>
      <c r="D637" t="inlineStr">
        <is>
          <t>UPPSALA LÄN</t>
        </is>
      </c>
      <c r="E637" t="inlineStr">
        <is>
          <t>UPPSALA</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37557-2025</t>
        </is>
      </c>
      <c r="B638" s="1" t="n">
        <v>45880.32907407408</v>
      </c>
      <c r="C638" s="1" t="n">
        <v>45885</v>
      </c>
      <c r="D638" t="inlineStr">
        <is>
          <t>UPPSALA LÄN</t>
        </is>
      </c>
      <c r="E638" t="inlineStr">
        <is>
          <t>UPPSALA</t>
        </is>
      </c>
      <c r="G638" t="n">
        <v>1.6</v>
      </c>
      <c r="H638" t="n">
        <v>0</v>
      </c>
      <c r="I638" t="n">
        <v>0</v>
      </c>
      <c r="J638" t="n">
        <v>0</v>
      </c>
      <c r="K638" t="n">
        <v>0</v>
      </c>
      <c r="L638" t="n">
        <v>0</v>
      </c>
      <c r="M638" t="n">
        <v>0</v>
      </c>
      <c r="N638" t="n">
        <v>0</v>
      </c>
      <c r="O638" t="n">
        <v>0</v>
      </c>
      <c r="P638" t="n">
        <v>0</v>
      </c>
      <c r="Q638" t="n">
        <v>0</v>
      </c>
      <c r="R638" s="2" t="inlineStr"/>
    </row>
    <row r="639" ht="15" customHeight="1">
      <c r="A639" t="inlineStr">
        <is>
          <t>A 5605-2025</t>
        </is>
      </c>
      <c r="B639" s="1" t="n">
        <v>45693</v>
      </c>
      <c r="C639" s="1" t="n">
        <v>45885</v>
      </c>
      <c r="D639" t="inlineStr">
        <is>
          <t>UPPSALA LÄN</t>
        </is>
      </c>
      <c r="E639" t="inlineStr">
        <is>
          <t>UPPSALA</t>
        </is>
      </c>
      <c r="G639" t="n">
        <v>1.3</v>
      </c>
      <c r="H639" t="n">
        <v>0</v>
      </c>
      <c r="I639" t="n">
        <v>0</v>
      </c>
      <c r="J639" t="n">
        <v>0</v>
      </c>
      <c r="K639" t="n">
        <v>0</v>
      </c>
      <c r="L639" t="n">
        <v>0</v>
      </c>
      <c r="M639" t="n">
        <v>0</v>
      </c>
      <c r="N639" t="n">
        <v>0</v>
      </c>
      <c r="O639" t="n">
        <v>0</v>
      </c>
      <c r="P639" t="n">
        <v>0</v>
      </c>
      <c r="Q639" t="n">
        <v>0</v>
      </c>
      <c r="R639" s="2" t="inlineStr"/>
    </row>
    <row r="640" ht="15" customHeight="1">
      <c r="A640" t="inlineStr">
        <is>
          <t>A 6930-2023</t>
        </is>
      </c>
      <c r="B640" s="1" t="n">
        <v>44967.55960648148</v>
      </c>
      <c r="C640" s="1" t="n">
        <v>45885</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36253-2025</t>
        </is>
      </c>
      <c r="B641" s="1" t="n">
        <v>45867.58056712963</v>
      </c>
      <c r="C641" s="1" t="n">
        <v>45885</v>
      </c>
      <c r="D641" t="inlineStr">
        <is>
          <t>UPPSALA LÄN</t>
        </is>
      </c>
      <c r="E641" t="inlineStr">
        <is>
          <t>UPPSALA</t>
        </is>
      </c>
      <c r="G641" t="n">
        <v>1.7</v>
      </c>
      <c r="H641" t="n">
        <v>0</v>
      </c>
      <c r="I641" t="n">
        <v>0</v>
      </c>
      <c r="J641" t="n">
        <v>0</v>
      </c>
      <c r="K641" t="n">
        <v>0</v>
      </c>
      <c r="L641" t="n">
        <v>0</v>
      </c>
      <c r="M641" t="n">
        <v>0</v>
      </c>
      <c r="N641" t="n">
        <v>0</v>
      </c>
      <c r="O641" t="n">
        <v>0</v>
      </c>
      <c r="P641" t="n">
        <v>0</v>
      </c>
      <c r="Q641" t="n">
        <v>0</v>
      </c>
      <c r="R641" s="2" t="inlineStr"/>
    </row>
    <row r="642" ht="15" customHeight="1">
      <c r="A642" t="inlineStr">
        <is>
          <t>A 33939-2024</t>
        </is>
      </c>
      <c r="B642" s="1" t="n">
        <v>45523</v>
      </c>
      <c r="C642" s="1" t="n">
        <v>45885</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33332-2022</t>
        </is>
      </c>
      <c r="B643" s="1" t="n">
        <v>44788</v>
      </c>
      <c r="C643" s="1" t="n">
        <v>45885</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18054-2025</t>
        </is>
      </c>
      <c r="B644" s="1" t="n">
        <v>45761.47540509259</v>
      </c>
      <c r="C644" s="1" t="n">
        <v>45885</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18058-2025</t>
        </is>
      </c>
      <c r="B645" s="1" t="n">
        <v>45761.47748842592</v>
      </c>
      <c r="C645" s="1" t="n">
        <v>45885</v>
      </c>
      <c r="D645" t="inlineStr">
        <is>
          <t>UPPSALA LÄN</t>
        </is>
      </c>
      <c r="E645" t="inlineStr">
        <is>
          <t>UPPSALA</t>
        </is>
      </c>
      <c r="G645" t="n">
        <v>0.8</v>
      </c>
      <c r="H645" t="n">
        <v>0</v>
      </c>
      <c r="I645" t="n">
        <v>0</v>
      </c>
      <c r="J645" t="n">
        <v>0</v>
      </c>
      <c r="K645" t="n">
        <v>0</v>
      </c>
      <c r="L645" t="n">
        <v>0</v>
      </c>
      <c r="M645" t="n">
        <v>0</v>
      </c>
      <c r="N645" t="n">
        <v>0</v>
      </c>
      <c r="O645" t="n">
        <v>0</v>
      </c>
      <c r="P645" t="n">
        <v>0</v>
      </c>
      <c r="Q645" t="n">
        <v>0</v>
      </c>
      <c r="R645" s="2" t="inlineStr"/>
    </row>
    <row r="646" ht="15" customHeight="1">
      <c r="A646" t="inlineStr">
        <is>
          <t>A 37611-2025</t>
        </is>
      </c>
      <c r="B646" s="1" t="n">
        <v>45880.43200231482</v>
      </c>
      <c r="C646" s="1" t="n">
        <v>45885</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37468-2025</t>
        </is>
      </c>
      <c r="B647" s="1" t="n">
        <v>45877.57847222222</v>
      </c>
      <c r="C647" s="1" t="n">
        <v>45885</v>
      </c>
      <c r="D647" t="inlineStr">
        <is>
          <t>UPPSALA LÄN</t>
        </is>
      </c>
      <c r="E647" t="inlineStr">
        <is>
          <t>UPPSALA</t>
        </is>
      </c>
      <c r="G647" t="n">
        <v>2.9</v>
      </c>
      <c r="H647" t="n">
        <v>0</v>
      </c>
      <c r="I647" t="n">
        <v>0</v>
      </c>
      <c r="J647" t="n">
        <v>0</v>
      </c>
      <c r="K647" t="n">
        <v>0</v>
      </c>
      <c r="L647" t="n">
        <v>0</v>
      </c>
      <c r="M647" t="n">
        <v>0</v>
      </c>
      <c r="N647" t="n">
        <v>0</v>
      </c>
      <c r="O647" t="n">
        <v>0</v>
      </c>
      <c r="P647" t="n">
        <v>0</v>
      </c>
      <c r="Q647" t="n">
        <v>0</v>
      </c>
      <c r="R647" s="2" t="inlineStr"/>
    </row>
    <row r="648" ht="15" customHeight="1">
      <c r="A648" t="inlineStr">
        <is>
          <t>A 37486-2025</t>
        </is>
      </c>
      <c r="B648" s="1" t="n">
        <v>45877.62969907407</v>
      </c>
      <c r="C648" s="1" t="n">
        <v>45885</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37561-2025</t>
        </is>
      </c>
      <c r="B649" s="1" t="n">
        <v>45880.34064814815</v>
      </c>
      <c r="C649" s="1" t="n">
        <v>45885</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6973-2025</t>
        </is>
      </c>
      <c r="B650" s="1" t="n">
        <v>45693</v>
      </c>
      <c r="C650" s="1" t="n">
        <v>45885</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37856-2025</t>
        </is>
      </c>
      <c r="B651" s="1" t="n">
        <v>45881.45898148148</v>
      </c>
      <c r="C651" s="1" t="n">
        <v>45885</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10612-2025</t>
        </is>
      </c>
      <c r="B652" s="1" t="n">
        <v>45721.60894675926</v>
      </c>
      <c r="C652" s="1" t="n">
        <v>45885</v>
      </c>
      <c r="D652" t="inlineStr">
        <is>
          <t>UPPSALA LÄN</t>
        </is>
      </c>
      <c r="E652" t="inlineStr">
        <is>
          <t>UPPSALA</t>
        </is>
      </c>
      <c r="G652" t="n">
        <v>3.5</v>
      </c>
      <c r="H652" t="n">
        <v>0</v>
      </c>
      <c r="I652" t="n">
        <v>0</v>
      </c>
      <c r="J652" t="n">
        <v>0</v>
      </c>
      <c r="K652" t="n">
        <v>0</v>
      </c>
      <c r="L652" t="n">
        <v>0</v>
      </c>
      <c r="M652" t="n">
        <v>0</v>
      </c>
      <c r="N652" t="n">
        <v>0</v>
      </c>
      <c r="O652" t="n">
        <v>0</v>
      </c>
      <c r="P652" t="n">
        <v>0</v>
      </c>
      <c r="Q652" t="n">
        <v>0</v>
      </c>
      <c r="R652" s="2" t="inlineStr"/>
    </row>
    <row r="653" ht="15" customHeight="1">
      <c r="A653" t="inlineStr">
        <is>
          <t>A 39608-2022</t>
        </is>
      </c>
      <c r="B653" s="1" t="n">
        <v>44817</v>
      </c>
      <c r="C653" s="1" t="n">
        <v>45885</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59489-2023</t>
        </is>
      </c>
      <c r="B654" s="1" t="n">
        <v>45254</v>
      </c>
      <c r="C654" s="1" t="n">
        <v>45885</v>
      </c>
      <c r="D654" t="inlineStr">
        <is>
          <t>UPPSALA LÄN</t>
        </is>
      </c>
      <c r="E654" t="inlineStr">
        <is>
          <t>UPPSALA</t>
        </is>
      </c>
      <c r="G654" t="n">
        <v>6.5</v>
      </c>
      <c r="H654" t="n">
        <v>0</v>
      </c>
      <c r="I654" t="n">
        <v>0</v>
      </c>
      <c r="J654" t="n">
        <v>0</v>
      </c>
      <c r="K654" t="n">
        <v>0</v>
      </c>
      <c r="L654" t="n">
        <v>0</v>
      </c>
      <c r="M654" t="n">
        <v>0</v>
      </c>
      <c r="N654" t="n">
        <v>0</v>
      </c>
      <c r="O654" t="n">
        <v>0</v>
      </c>
      <c r="P654" t="n">
        <v>0</v>
      </c>
      <c r="Q654" t="n">
        <v>0</v>
      </c>
      <c r="R654" s="2" t="inlineStr"/>
    </row>
    <row r="655" ht="15" customHeight="1">
      <c r="A655" t="inlineStr">
        <is>
          <t>A 32928-2025</t>
        </is>
      </c>
      <c r="B655" s="1" t="n">
        <v>45839</v>
      </c>
      <c r="C655" s="1" t="n">
        <v>45885</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32711-2025</t>
        </is>
      </c>
      <c r="B656" s="1" t="n">
        <v>45839</v>
      </c>
      <c r="C656" s="1" t="n">
        <v>45885</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c r="U656">
        <f>HYPERLINK("https://klasma.github.io/Logging_0380/knärot/A 32711-2025 karta knärot.png", "A 32711-2025")</f>
        <v/>
      </c>
      <c r="V656">
        <f>HYPERLINK("https://klasma.github.io/Logging_0380/klagomål/A 32711-2025 FSC-klagomål.docx", "A 32711-2025")</f>
        <v/>
      </c>
      <c r="W656">
        <f>HYPERLINK("https://klasma.github.io/Logging_0380/klagomålsmail/A 32711-2025 FSC-klagomål mail.docx", "A 32711-2025")</f>
        <v/>
      </c>
      <c r="X656">
        <f>HYPERLINK("https://klasma.github.io/Logging_0380/tillsyn/A 32711-2025 tillsynsbegäran.docx", "A 32711-2025")</f>
        <v/>
      </c>
      <c r="Y656">
        <f>HYPERLINK("https://klasma.github.io/Logging_0380/tillsynsmail/A 32711-2025 tillsynsbegäran mail.docx", "A 32711-2025")</f>
        <v/>
      </c>
    </row>
    <row r="657" ht="15" customHeight="1">
      <c r="A657" t="inlineStr">
        <is>
          <t>A 37851-2025</t>
        </is>
      </c>
      <c r="B657" s="1" t="n">
        <v>45881.44938657407</v>
      </c>
      <c r="C657" s="1" t="n">
        <v>45885</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38085-2025</t>
        </is>
      </c>
      <c r="B658" s="1" t="n">
        <v>45882.47538194444</v>
      </c>
      <c r="C658" s="1" t="n">
        <v>45885</v>
      </c>
      <c r="D658" t="inlineStr">
        <is>
          <t>UPPSALA LÄN</t>
        </is>
      </c>
      <c r="E658" t="inlineStr">
        <is>
          <t>UPPSALA</t>
        </is>
      </c>
      <c r="G658" t="n">
        <v>7.4</v>
      </c>
      <c r="H658" t="n">
        <v>0</v>
      </c>
      <c r="I658" t="n">
        <v>0</v>
      </c>
      <c r="J658" t="n">
        <v>0</v>
      </c>
      <c r="K658" t="n">
        <v>0</v>
      </c>
      <c r="L658" t="n">
        <v>0</v>
      </c>
      <c r="M658" t="n">
        <v>0</v>
      </c>
      <c r="N658" t="n">
        <v>0</v>
      </c>
      <c r="O658" t="n">
        <v>0</v>
      </c>
      <c r="P658" t="n">
        <v>0</v>
      </c>
      <c r="Q658" t="n">
        <v>0</v>
      </c>
      <c r="R658" s="2" t="inlineStr"/>
    </row>
    <row r="659" ht="15" customHeight="1">
      <c r="A659" t="inlineStr">
        <is>
          <t>A 50267-2023</t>
        </is>
      </c>
      <c r="B659" s="1" t="n">
        <v>45216.39040509259</v>
      </c>
      <c r="C659" s="1" t="n">
        <v>45885</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38034-2025</t>
        </is>
      </c>
      <c r="B660" s="1" t="n">
        <v>45882.37202546297</v>
      </c>
      <c r="C660" s="1" t="n">
        <v>45885</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47287-2023</t>
        </is>
      </c>
      <c r="B661" s="1" t="n">
        <v>45202</v>
      </c>
      <c r="C661" s="1" t="n">
        <v>45885</v>
      </c>
      <c r="D661" t="inlineStr">
        <is>
          <t>UPPSALA LÄN</t>
        </is>
      </c>
      <c r="E661" t="inlineStr">
        <is>
          <t>UPPSALA</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32923-2025</t>
        </is>
      </c>
      <c r="B662" s="1" t="n">
        <v>45839</v>
      </c>
      <c r="C662" s="1" t="n">
        <v>45885</v>
      </c>
      <c r="D662" t="inlineStr">
        <is>
          <t>UPPSALA LÄN</t>
        </is>
      </c>
      <c r="E662" t="inlineStr">
        <is>
          <t>UPPSALA</t>
        </is>
      </c>
      <c r="G662" t="n">
        <v>5.1</v>
      </c>
      <c r="H662" t="n">
        <v>0</v>
      </c>
      <c r="I662" t="n">
        <v>0</v>
      </c>
      <c r="J662" t="n">
        <v>0</v>
      </c>
      <c r="K662" t="n">
        <v>0</v>
      </c>
      <c r="L662" t="n">
        <v>0</v>
      </c>
      <c r="M662" t="n">
        <v>0</v>
      </c>
      <c r="N662" t="n">
        <v>0</v>
      </c>
      <c r="O662" t="n">
        <v>0</v>
      </c>
      <c r="P662" t="n">
        <v>0</v>
      </c>
      <c r="Q662" t="n">
        <v>0</v>
      </c>
      <c r="R662" s="2" t="inlineStr"/>
    </row>
    <row r="663" ht="15" customHeight="1">
      <c r="A663" t="inlineStr">
        <is>
          <t>A 28958-2025</t>
        </is>
      </c>
      <c r="B663" s="1" t="n">
        <v>45821.31292824074</v>
      </c>
      <c r="C663" s="1" t="n">
        <v>45885</v>
      </c>
      <c r="D663" t="inlineStr">
        <is>
          <t>UPPSALA LÄN</t>
        </is>
      </c>
      <c r="E663" t="inlineStr">
        <is>
          <t>UPPSALA</t>
        </is>
      </c>
      <c r="G663" t="n">
        <v>4.6</v>
      </c>
      <c r="H663" t="n">
        <v>0</v>
      </c>
      <c r="I663" t="n">
        <v>0</v>
      </c>
      <c r="J663" t="n">
        <v>0</v>
      </c>
      <c r="K663" t="n">
        <v>0</v>
      </c>
      <c r="L663" t="n">
        <v>0</v>
      </c>
      <c r="M663" t="n">
        <v>0</v>
      </c>
      <c r="N663" t="n">
        <v>0</v>
      </c>
      <c r="O663" t="n">
        <v>0</v>
      </c>
      <c r="P663" t="n">
        <v>0</v>
      </c>
      <c r="Q663" t="n">
        <v>0</v>
      </c>
      <c r="R663" s="2" t="inlineStr"/>
    </row>
    <row r="664" ht="15" customHeight="1">
      <c r="A664" t="inlineStr">
        <is>
          <t>A 33272-2025</t>
        </is>
      </c>
      <c r="B664" s="1" t="n">
        <v>45840.68518518518</v>
      </c>
      <c r="C664" s="1" t="n">
        <v>45885</v>
      </c>
      <c r="D664" t="inlineStr">
        <is>
          <t>UPPSALA LÄN</t>
        </is>
      </c>
      <c r="E664" t="inlineStr">
        <is>
          <t>UPPSALA</t>
        </is>
      </c>
      <c r="G664" t="n">
        <v>4.7</v>
      </c>
      <c r="H664" t="n">
        <v>0</v>
      </c>
      <c r="I664" t="n">
        <v>0</v>
      </c>
      <c r="J664" t="n">
        <v>0</v>
      </c>
      <c r="K664" t="n">
        <v>0</v>
      </c>
      <c r="L664" t="n">
        <v>0</v>
      </c>
      <c r="M664" t="n">
        <v>0</v>
      </c>
      <c r="N664" t="n">
        <v>0</v>
      </c>
      <c r="O664" t="n">
        <v>0</v>
      </c>
      <c r="P664" t="n">
        <v>0</v>
      </c>
      <c r="Q664" t="n">
        <v>0</v>
      </c>
      <c r="R664" s="2" t="inlineStr"/>
    </row>
    <row r="665" ht="15" customHeight="1">
      <c r="A665" t="inlineStr">
        <is>
          <t>A 33261-2025</t>
        </is>
      </c>
      <c r="B665" s="1" t="n">
        <v>45840</v>
      </c>
      <c r="C665" s="1" t="n">
        <v>45885</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38113-2025</t>
        </is>
      </c>
      <c r="B666" s="1" t="n">
        <v>45882.52290509259</v>
      </c>
      <c r="C666" s="1" t="n">
        <v>45885</v>
      </c>
      <c r="D666" t="inlineStr">
        <is>
          <t>UPPSALA LÄN</t>
        </is>
      </c>
      <c r="E666" t="inlineStr">
        <is>
          <t>UPPSALA</t>
        </is>
      </c>
      <c r="G666" t="n">
        <v>5.8</v>
      </c>
      <c r="H666" t="n">
        <v>0</v>
      </c>
      <c r="I666" t="n">
        <v>0</v>
      </c>
      <c r="J666" t="n">
        <v>0</v>
      </c>
      <c r="K666" t="n">
        <v>0</v>
      </c>
      <c r="L666" t="n">
        <v>0</v>
      </c>
      <c r="M666" t="n">
        <v>0</v>
      </c>
      <c r="N666" t="n">
        <v>0</v>
      </c>
      <c r="O666" t="n">
        <v>0</v>
      </c>
      <c r="P666" t="n">
        <v>0</v>
      </c>
      <c r="Q666" t="n">
        <v>0</v>
      </c>
      <c r="R666" s="2" t="inlineStr"/>
    </row>
    <row r="667" ht="15" customHeight="1">
      <c r="A667" t="inlineStr">
        <is>
          <t>A 28825-2024</t>
        </is>
      </c>
      <c r="B667" s="1" t="n">
        <v>45478</v>
      </c>
      <c r="C667" s="1" t="n">
        <v>45885</v>
      </c>
      <c r="D667" t="inlineStr">
        <is>
          <t>UPPSALA LÄN</t>
        </is>
      </c>
      <c r="E667" t="inlineStr">
        <is>
          <t>UPPSALA</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33708-2025</t>
        </is>
      </c>
      <c r="B668" s="1" t="n">
        <v>45841.81555555556</v>
      </c>
      <c r="C668" s="1" t="n">
        <v>45885</v>
      </c>
      <c r="D668" t="inlineStr">
        <is>
          <t>UPPSALA LÄN</t>
        </is>
      </c>
      <c r="E668" t="inlineStr">
        <is>
          <t>UPPSALA</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33571-2025</t>
        </is>
      </c>
      <c r="B669" s="1" t="n">
        <v>45841.5847337963</v>
      </c>
      <c r="C669" s="1" t="n">
        <v>45885</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50037-2024</t>
        </is>
      </c>
      <c r="B670" s="1" t="n">
        <v>45599</v>
      </c>
      <c r="C670" s="1" t="n">
        <v>45885</v>
      </c>
      <c r="D670" t="inlineStr">
        <is>
          <t>UPPSALA LÄN</t>
        </is>
      </c>
      <c r="E670" t="inlineStr">
        <is>
          <t>UPPSALA</t>
        </is>
      </c>
      <c r="G670" t="n">
        <v>13.7</v>
      </c>
      <c r="H670" t="n">
        <v>0</v>
      </c>
      <c r="I670" t="n">
        <v>0</v>
      </c>
      <c r="J670" t="n">
        <v>0</v>
      </c>
      <c r="K670" t="n">
        <v>0</v>
      </c>
      <c r="L670" t="n">
        <v>0</v>
      </c>
      <c r="M670" t="n">
        <v>0</v>
      </c>
      <c r="N670" t="n">
        <v>0</v>
      </c>
      <c r="O670" t="n">
        <v>0</v>
      </c>
      <c r="P670" t="n">
        <v>0</v>
      </c>
      <c r="Q670" t="n">
        <v>0</v>
      </c>
      <c r="R670" s="2" t="inlineStr"/>
    </row>
    <row r="671" ht="15" customHeight="1">
      <c r="A671" t="inlineStr">
        <is>
          <t>A 60167-2024</t>
        </is>
      </c>
      <c r="B671" s="1" t="n">
        <v>45642.63524305556</v>
      </c>
      <c r="C671" s="1" t="n">
        <v>45885</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64855-2021</t>
        </is>
      </c>
      <c r="B672" s="1" t="n">
        <v>44512</v>
      </c>
      <c r="C672" s="1" t="n">
        <v>45885</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61574-2024</t>
        </is>
      </c>
      <c r="B673" s="1" t="n">
        <v>45646.61892361111</v>
      </c>
      <c r="C673" s="1" t="n">
        <v>45885</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62352-2020</t>
        </is>
      </c>
      <c r="B674" s="1" t="n">
        <v>44159</v>
      </c>
      <c r="C674" s="1" t="n">
        <v>45885</v>
      </c>
      <c r="D674" t="inlineStr">
        <is>
          <t>UPPSALA LÄN</t>
        </is>
      </c>
      <c r="E674" t="inlineStr">
        <is>
          <t>UPPSALA</t>
        </is>
      </c>
      <c r="F674" t="inlineStr">
        <is>
          <t>Allmännings- och besparingsskogar</t>
        </is>
      </c>
      <c r="G674" t="n">
        <v>12.9</v>
      </c>
      <c r="H674" t="n">
        <v>0</v>
      </c>
      <c r="I674" t="n">
        <v>0</v>
      </c>
      <c r="J674" t="n">
        <v>0</v>
      </c>
      <c r="K674" t="n">
        <v>0</v>
      </c>
      <c r="L674" t="n">
        <v>0</v>
      </c>
      <c r="M674" t="n">
        <v>0</v>
      </c>
      <c r="N674" t="n">
        <v>0</v>
      </c>
      <c r="O674" t="n">
        <v>0</v>
      </c>
      <c r="P674" t="n">
        <v>0</v>
      </c>
      <c r="Q674" t="n">
        <v>0</v>
      </c>
      <c r="R674" s="2" t="inlineStr"/>
    </row>
    <row r="675" ht="15" customHeight="1">
      <c r="A675" t="inlineStr">
        <is>
          <t>A 9820-2023</t>
        </is>
      </c>
      <c r="B675" s="1" t="n">
        <v>44984.69216435185</v>
      </c>
      <c r="C675" s="1" t="n">
        <v>45885</v>
      </c>
      <c r="D675" t="inlineStr">
        <is>
          <t>UPPSALA LÄN</t>
        </is>
      </c>
      <c r="E675" t="inlineStr">
        <is>
          <t>UPPSALA</t>
        </is>
      </c>
      <c r="F675" t="inlineStr">
        <is>
          <t>Kyrkan</t>
        </is>
      </c>
      <c r="G675" t="n">
        <v>2</v>
      </c>
      <c r="H675" t="n">
        <v>0</v>
      </c>
      <c r="I675" t="n">
        <v>0</v>
      </c>
      <c r="J675" t="n">
        <v>0</v>
      </c>
      <c r="K675" t="n">
        <v>0</v>
      </c>
      <c r="L675" t="n">
        <v>0</v>
      </c>
      <c r="M675" t="n">
        <v>0</v>
      </c>
      <c r="N675" t="n">
        <v>0</v>
      </c>
      <c r="O675" t="n">
        <v>0</v>
      </c>
      <c r="P675" t="n">
        <v>0</v>
      </c>
      <c r="Q675" t="n">
        <v>0</v>
      </c>
      <c r="R675" s="2" t="inlineStr"/>
    </row>
    <row r="676" ht="15" customHeight="1">
      <c r="A676" t="inlineStr">
        <is>
          <t>A 34243-2021</t>
        </is>
      </c>
      <c r="B676" s="1" t="n">
        <v>44379.56163194445</v>
      </c>
      <c r="C676" s="1" t="n">
        <v>45885</v>
      </c>
      <c r="D676" t="inlineStr">
        <is>
          <t>UPPSALA LÄN</t>
        </is>
      </c>
      <c r="E676" t="inlineStr">
        <is>
          <t>UPPSALA</t>
        </is>
      </c>
      <c r="G676" t="n">
        <v>1.9</v>
      </c>
      <c r="H676" t="n">
        <v>0</v>
      </c>
      <c r="I676" t="n">
        <v>0</v>
      </c>
      <c r="J676" t="n">
        <v>0</v>
      </c>
      <c r="K676" t="n">
        <v>0</v>
      </c>
      <c r="L676" t="n">
        <v>0</v>
      </c>
      <c r="M676" t="n">
        <v>0</v>
      </c>
      <c r="N676" t="n">
        <v>0</v>
      </c>
      <c r="O676" t="n">
        <v>0</v>
      </c>
      <c r="P676" t="n">
        <v>0</v>
      </c>
      <c r="Q676" t="n">
        <v>0</v>
      </c>
      <c r="R676" s="2" t="inlineStr"/>
    </row>
    <row r="677" ht="15" customHeight="1">
      <c r="A677" t="inlineStr">
        <is>
          <t>A 13644-2024</t>
        </is>
      </c>
      <c r="B677" s="1" t="n">
        <v>45390</v>
      </c>
      <c r="C677" s="1" t="n">
        <v>45885</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9592-2022</t>
        </is>
      </c>
      <c r="B678" s="1" t="n">
        <v>44617.48311342593</v>
      </c>
      <c r="C678" s="1" t="n">
        <v>45885</v>
      </c>
      <c r="D678" t="inlineStr">
        <is>
          <t>UPPSALA LÄN</t>
        </is>
      </c>
      <c r="E678" t="inlineStr">
        <is>
          <t>UPPSALA</t>
        </is>
      </c>
      <c r="G678" t="n">
        <v>7.5</v>
      </c>
      <c r="H678" t="n">
        <v>0</v>
      </c>
      <c r="I678" t="n">
        <v>0</v>
      </c>
      <c r="J678" t="n">
        <v>0</v>
      </c>
      <c r="K678" t="n">
        <v>0</v>
      </c>
      <c r="L678" t="n">
        <v>0</v>
      </c>
      <c r="M678" t="n">
        <v>0</v>
      </c>
      <c r="N678" t="n">
        <v>0</v>
      </c>
      <c r="O678" t="n">
        <v>0</v>
      </c>
      <c r="P678" t="n">
        <v>0</v>
      </c>
      <c r="Q678" t="n">
        <v>0</v>
      </c>
      <c r="R678" s="2" t="inlineStr"/>
    </row>
    <row r="679" ht="15" customHeight="1">
      <c r="A679" t="inlineStr">
        <is>
          <t>A 8494-2021</t>
        </is>
      </c>
      <c r="B679" s="1" t="n">
        <v>44245</v>
      </c>
      <c r="C679" s="1" t="n">
        <v>45885</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13799-2024</t>
        </is>
      </c>
      <c r="B680" s="1" t="n">
        <v>45391.37361111111</v>
      </c>
      <c r="C680" s="1" t="n">
        <v>45885</v>
      </c>
      <c r="D680" t="inlineStr">
        <is>
          <t>UPPSALA LÄN</t>
        </is>
      </c>
      <c r="E680" t="inlineStr">
        <is>
          <t>UPPSALA</t>
        </is>
      </c>
      <c r="G680" t="n">
        <v>1.9</v>
      </c>
      <c r="H680" t="n">
        <v>0</v>
      </c>
      <c r="I680" t="n">
        <v>0</v>
      </c>
      <c r="J680" t="n">
        <v>0</v>
      </c>
      <c r="K680" t="n">
        <v>0</v>
      </c>
      <c r="L680" t="n">
        <v>0</v>
      </c>
      <c r="M680" t="n">
        <v>0</v>
      </c>
      <c r="N680" t="n">
        <v>0</v>
      </c>
      <c r="O680" t="n">
        <v>0</v>
      </c>
      <c r="P680" t="n">
        <v>0</v>
      </c>
      <c r="Q680" t="n">
        <v>0</v>
      </c>
      <c r="R680" s="2" t="inlineStr"/>
    </row>
    <row r="681" ht="15" customHeight="1">
      <c r="A681" t="inlineStr">
        <is>
          <t>A 3287-2025</t>
        </is>
      </c>
      <c r="B681" s="1" t="n">
        <v>45679</v>
      </c>
      <c r="C681" s="1" t="n">
        <v>45885</v>
      </c>
      <c r="D681" t="inlineStr">
        <is>
          <t>UPPSALA LÄN</t>
        </is>
      </c>
      <c r="E681" t="inlineStr">
        <is>
          <t>UPPSALA</t>
        </is>
      </c>
      <c r="F681" t="inlineStr">
        <is>
          <t>Kyrkan</t>
        </is>
      </c>
      <c r="G681" t="n">
        <v>6.7</v>
      </c>
      <c r="H681" t="n">
        <v>0</v>
      </c>
      <c r="I681" t="n">
        <v>0</v>
      </c>
      <c r="J681" t="n">
        <v>0</v>
      </c>
      <c r="K681" t="n">
        <v>0</v>
      </c>
      <c r="L681" t="n">
        <v>0</v>
      </c>
      <c r="M681" t="n">
        <v>0</v>
      </c>
      <c r="N681" t="n">
        <v>0</v>
      </c>
      <c r="O681" t="n">
        <v>0</v>
      </c>
      <c r="P681" t="n">
        <v>0</v>
      </c>
      <c r="Q681" t="n">
        <v>0</v>
      </c>
      <c r="R681" s="2" t="inlineStr"/>
    </row>
    <row r="682" ht="15" customHeight="1">
      <c r="A682" t="inlineStr">
        <is>
          <t>A 8473-2023</t>
        </is>
      </c>
      <c r="B682" s="1" t="n">
        <v>44977</v>
      </c>
      <c r="C682" s="1" t="n">
        <v>45885</v>
      </c>
      <c r="D682" t="inlineStr">
        <is>
          <t>UPPSALA LÄN</t>
        </is>
      </c>
      <c r="E682" t="inlineStr">
        <is>
          <t>UPPSALA</t>
        </is>
      </c>
      <c r="F682" t="inlineStr">
        <is>
          <t>Holmen skog AB</t>
        </is>
      </c>
      <c r="G682" t="n">
        <v>3.6</v>
      </c>
      <c r="H682" t="n">
        <v>0</v>
      </c>
      <c r="I682" t="n">
        <v>0</v>
      </c>
      <c r="J682" t="n">
        <v>0</v>
      </c>
      <c r="K682" t="n">
        <v>0</v>
      </c>
      <c r="L682" t="n">
        <v>0</v>
      </c>
      <c r="M682" t="n">
        <v>0</v>
      </c>
      <c r="N682" t="n">
        <v>0</v>
      </c>
      <c r="O682" t="n">
        <v>0</v>
      </c>
      <c r="P682" t="n">
        <v>0</v>
      </c>
      <c r="Q682" t="n">
        <v>0</v>
      </c>
      <c r="R682" s="2" t="inlineStr"/>
    </row>
    <row r="683" ht="15" customHeight="1">
      <c r="A683" t="inlineStr">
        <is>
          <t>A 39272-2020</t>
        </is>
      </c>
      <c r="B683" s="1" t="n">
        <v>44063</v>
      </c>
      <c r="C683" s="1" t="n">
        <v>45885</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33964-2025</t>
        </is>
      </c>
      <c r="B684" s="1" t="n">
        <v>45842.74049768518</v>
      </c>
      <c r="C684" s="1" t="n">
        <v>45885</v>
      </c>
      <c r="D684" t="inlineStr">
        <is>
          <t>UPPSALA LÄN</t>
        </is>
      </c>
      <c r="E684" t="inlineStr">
        <is>
          <t>UPPSALA</t>
        </is>
      </c>
      <c r="G684" t="n">
        <v>2.7</v>
      </c>
      <c r="H684" t="n">
        <v>0</v>
      </c>
      <c r="I684" t="n">
        <v>0</v>
      </c>
      <c r="J684" t="n">
        <v>0</v>
      </c>
      <c r="K684" t="n">
        <v>0</v>
      </c>
      <c r="L684" t="n">
        <v>0</v>
      </c>
      <c r="M684" t="n">
        <v>0</v>
      </c>
      <c r="N684" t="n">
        <v>0</v>
      </c>
      <c r="O684" t="n">
        <v>0</v>
      </c>
      <c r="P684" t="n">
        <v>0</v>
      </c>
      <c r="Q684" t="n">
        <v>0</v>
      </c>
      <c r="R684" s="2" t="inlineStr"/>
    </row>
    <row r="685" ht="15" customHeight="1">
      <c r="A685" t="inlineStr">
        <is>
          <t>A 22431-2024</t>
        </is>
      </c>
      <c r="B685" s="1" t="n">
        <v>45446.78256944445</v>
      </c>
      <c r="C685" s="1" t="n">
        <v>45885</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33816-2024</t>
        </is>
      </c>
      <c r="B686" s="1" t="n">
        <v>45520</v>
      </c>
      <c r="C686" s="1" t="n">
        <v>45885</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2927-2022</t>
        </is>
      </c>
      <c r="B687" s="1" t="n">
        <v>44581.60254629629</v>
      </c>
      <c r="C687" s="1" t="n">
        <v>45885</v>
      </c>
      <c r="D687" t="inlineStr">
        <is>
          <t>UPPSALA LÄN</t>
        </is>
      </c>
      <c r="E687" t="inlineStr">
        <is>
          <t>UPPSALA</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733-2022</t>
        </is>
      </c>
      <c r="B688" s="1" t="n">
        <v>44568.67040509259</v>
      </c>
      <c r="C688" s="1" t="n">
        <v>45885</v>
      </c>
      <c r="D688" t="inlineStr">
        <is>
          <t>UPPSALA LÄN</t>
        </is>
      </c>
      <c r="E688" t="inlineStr">
        <is>
          <t>UPPSALA</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19345-2025</t>
        </is>
      </c>
      <c r="B689" s="1" t="n">
        <v>45769.6009375</v>
      </c>
      <c r="C689" s="1" t="n">
        <v>45885</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6290-2025</t>
        </is>
      </c>
      <c r="B690" s="1" t="n">
        <v>45698.65606481482</v>
      </c>
      <c r="C690" s="1" t="n">
        <v>45885</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6970-2025</t>
        </is>
      </c>
      <c r="B691" s="1" t="n">
        <v>45693</v>
      </c>
      <c r="C691" s="1" t="n">
        <v>45885</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53346-2020</t>
        </is>
      </c>
      <c r="B692" s="1" t="n">
        <v>44123</v>
      </c>
      <c r="C692" s="1" t="n">
        <v>45885</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59719-2022</t>
        </is>
      </c>
      <c r="B693" s="1" t="n">
        <v>44908.425625</v>
      </c>
      <c r="C693" s="1" t="n">
        <v>45885</v>
      </c>
      <c r="D693" t="inlineStr">
        <is>
          <t>UPPSALA LÄN</t>
        </is>
      </c>
      <c r="E693" t="inlineStr">
        <is>
          <t>UPPSALA</t>
        </is>
      </c>
      <c r="G693" t="n">
        <v>3.6</v>
      </c>
      <c r="H693" t="n">
        <v>0</v>
      </c>
      <c r="I693" t="n">
        <v>0</v>
      </c>
      <c r="J693" t="n">
        <v>0</v>
      </c>
      <c r="K693" t="n">
        <v>0</v>
      </c>
      <c r="L693" t="n">
        <v>0</v>
      </c>
      <c r="M693" t="n">
        <v>0</v>
      </c>
      <c r="N693" t="n">
        <v>0</v>
      </c>
      <c r="O693" t="n">
        <v>0</v>
      </c>
      <c r="P693" t="n">
        <v>0</v>
      </c>
      <c r="Q693" t="n">
        <v>0</v>
      </c>
      <c r="R693" s="2" t="inlineStr"/>
    </row>
    <row r="694" ht="15" customHeight="1">
      <c r="A694" t="inlineStr">
        <is>
          <t>A 18677-2024</t>
        </is>
      </c>
      <c r="B694" s="1" t="n">
        <v>45426</v>
      </c>
      <c r="C694" s="1" t="n">
        <v>45885</v>
      </c>
      <c r="D694" t="inlineStr">
        <is>
          <t>UPPSALA LÄN</t>
        </is>
      </c>
      <c r="E694" t="inlineStr">
        <is>
          <t>UPPSALA</t>
        </is>
      </c>
      <c r="G694" t="n">
        <v>2.8</v>
      </c>
      <c r="H694" t="n">
        <v>0</v>
      </c>
      <c r="I694" t="n">
        <v>0</v>
      </c>
      <c r="J694" t="n">
        <v>0</v>
      </c>
      <c r="K694" t="n">
        <v>0</v>
      </c>
      <c r="L694" t="n">
        <v>0</v>
      </c>
      <c r="M694" t="n">
        <v>0</v>
      </c>
      <c r="N694" t="n">
        <v>0</v>
      </c>
      <c r="O694" t="n">
        <v>0</v>
      </c>
      <c r="P694" t="n">
        <v>0</v>
      </c>
      <c r="Q694" t="n">
        <v>0</v>
      </c>
      <c r="R694" s="2" t="inlineStr"/>
    </row>
    <row r="695" ht="15" customHeight="1">
      <c r="A695" t="inlineStr">
        <is>
          <t>A 11739-2023</t>
        </is>
      </c>
      <c r="B695" s="1" t="n">
        <v>44993</v>
      </c>
      <c r="C695" s="1" t="n">
        <v>45885</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29145-2021</t>
        </is>
      </c>
      <c r="B696" s="1" t="n">
        <v>44358.63490740741</v>
      </c>
      <c r="C696" s="1" t="n">
        <v>45885</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25776-2022</t>
        </is>
      </c>
      <c r="B697" s="1" t="n">
        <v>44733</v>
      </c>
      <c r="C697" s="1" t="n">
        <v>45885</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3353-2023</t>
        </is>
      </c>
      <c r="B698" s="1" t="n">
        <v>44949.4708912037</v>
      </c>
      <c r="C698" s="1" t="n">
        <v>45885</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37819-2021</t>
        </is>
      </c>
      <c r="B699" s="1" t="n">
        <v>44403.29719907408</v>
      </c>
      <c r="C699" s="1" t="n">
        <v>45885</v>
      </c>
      <c r="D699" t="inlineStr">
        <is>
          <t>UPPSALA LÄN</t>
        </is>
      </c>
      <c r="E699" t="inlineStr">
        <is>
          <t>UPPSALA</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3086-2023</t>
        </is>
      </c>
      <c r="B700" s="1" t="n">
        <v>44946.43564814814</v>
      </c>
      <c r="C700" s="1" t="n">
        <v>45885</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16811-2023</t>
        </is>
      </c>
      <c r="B701" s="1" t="n">
        <v>45033</v>
      </c>
      <c r="C701" s="1" t="n">
        <v>45885</v>
      </c>
      <c r="D701" t="inlineStr">
        <is>
          <t>UPPSALA LÄN</t>
        </is>
      </c>
      <c r="E701" t="inlineStr">
        <is>
          <t>UPPSALA</t>
        </is>
      </c>
      <c r="G701" t="n">
        <v>10.1</v>
      </c>
      <c r="H701" t="n">
        <v>0</v>
      </c>
      <c r="I701" t="n">
        <v>0</v>
      </c>
      <c r="J701" t="n">
        <v>0</v>
      </c>
      <c r="K701" t="n">
        <v>0</v>
      </c>
      <c r="L701" t="n">
        <v>0</v>
      </c>
      <c r="M701" t="n">
        <v>0</v>
      </c>
      <c r="N701" t="n">
        <v>0</v>
      </c>
      <c r="O701" t="n">
        <v>0</v>
      </c>
      <c r="P701" t="n">
        <v>0</v>
      </c>
      <c r="Q701" t="n">
        <v>0</v>
      </c>
      <c r="R701" s="2" t="inlineStr"/>
    </row>
    <row r="702" ht="15" customHeight="1">
      <c r="A702" t="inlineStr">
        <is>
          <t>A 11568-2023</t>
        </is>
      </c>
      <c r="B702" s="1" t="n">
        <v>44994</v>
      </c>
      <c r="C702" s="1" t="n">
        <v>45885</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69436-2021</t>
        </is>
      </c>
      <c r="B703" s="1" t="n">
        <v>44531</v>
      </c>
      <c r="C703" s="1" t="n">
        <v>45885</v>
      </c>
      <c r="D703" t="inlineStr">
        <is>
          <t>UPPSALA LÄN</t>
        </is>
      </c>
      <c r="E703" t="inlineStr">
        <is>
          <t>UPPSALA</t>
        </is>
      </c>
      <c r="G703" t="n">
        <v>1.1</v>
      </c>
      <c r="H703" t="n">
        <v>0</v>
      </c>
      <c r="I703" t="n">
        <v>0</v>
      </c>
      <c r="J703" t="n">
        <v>0</v>
      </c>
      <c r="K703" t="n">
        <v>0</v>
      </c>
      <c r="L703" t="n">
        <v>0</v>
      </c>
      <c r="M703" t="n">
        <v>0</v>
      </c>
      <c r="N703" t="n">
        <v>0</v>
      </c>
      <c r="O703" t="n">
        <v>0</v>
      </c>
      <c r="P703" t="n">
        <v>0</v>
      </c>
      <c r="Q703" t="n">
        <v>0</v>
      </c>
      <c r="R703" s="2" t="inlineStr"/>
    </row>
    <row r="704" ht="15" customHeight="1">
      <c r="A704" t="inlineStr">
        <is>
          <t>A 16126-2022</t>
        </is>
      </c>
      <c r="B704" s="1" t="n">
        <v>44665</v>
      </c>
      <c r="C704" s="1" t="n">
        <v>45885</v>
      </c>
      <c r="D704" t="inlineStr">
        <is>
          <t>UPPSALA LÄN</t>
        </is>
      </c>
      <c r="E704" t="inlineStr">
        <is>
          <t>UPPSALA</t>
        </is>
      </c>
      <c r="F704" t="inlineStr">
        <is>
          <t>Bergvik skog öst AB</t>
        </is>
      </c>
      <c r="G704" t="n">
        <v>4.4</v>
      </c>
      <c r="H704" t="n">
        <v>0</v>
      </c>
      <c r="I704" t="n">
        <v>0</v>
      </c>
      <c r="J704" t="n">
        <v>0</v>
      </c>
      <c r="K704" t="n">
        <v>0</v>
      </c>
      <c r="L704" t="n">
        <v>0</v>
      </c>
      <c r="M704" t="n">
        <v>0</v>
      </c>
      <c r="N704" t="n">
        <v>0</v>
      </c>
      <c r="O704" t="n">
        <v>0</v>
      </c>
      <c r="P704" t="n">
        <v>0</v>
      </c>
      <c r="Q704" t="n">
        <v>0</v>
      </c>
      <c r="R704" s="2" t="inlineStr"/>
    </row>
    <row r="705" ht="15" customHeight="1">
      <c r="A705" t="inlineStr">
        <is>
          <t>A 21935-2023</t>
        </is>
      </c>
      <c r="B705" s="1" t="n">
        <v>45068.58563657408</v>
      </c>
      <c r="C705" s="1" t="n">
        <v>45885</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18668-2024</t>
        </is>
      </c>
      <c r="B706" s="1" t="n">
        <v>45426.34148148148</v>
      </c>
      <c r="C706" s="1" t="n">
        <v>45885</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49409-2020</t>
        </is>
      </c>
      <c r="B707" s="1" t="n">
        <v>44105</v>
      </c>
      <c r="C707" s="1" t="n">
        <v>45885</v>
      </c>
      <c r="D707" t="inlineStr">
        <is>
          <t>UPPSALA LÄN</t>
        </is>
      </c>
      <c r="E707" t="inlineStr">
        <is>
          <t>UPPSALA</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1573-2021</t>
        </is>
      </c>
      <c r="B708" s="1" t="n">
        <v>44209</v>
      </c>
      <c r="C708" s="1" t="n">
        <v>45885</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9914-2024</t>
        </is>
      </c>
      <c r="B709" s="1" t="n">
        <v>45363.54878472222</v>
      </c>
      <c r="C709" s="1" t="n">
        <v>45885</v>
      </c>
      <c r="D709" t="inlineStr">
        <is>
          <t>UPPSALA LÄN</t>
        </is>
      </c>
      <c r="E709" t="inlineStr">
        <is>
          <t>UPPSALA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13420-2021</t>
        </is>
      </c>
      <c r="B710" s="1" t="n">
        <v>44273</v>
      </c>
      <c r="C710" s="1" t="n">
        <v>45885</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6999-2023</t>
        </is>
      </c>
      <c r="B711" s="1" t="n">
        <v>44967.80034722222</v>
      </c>
      <c r="C711" s="1" t="n">
        <v>45885</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7002-2023</t>
        </is>
      </c>
      <c r="B712" s="1" t="n">
        <v>44967</v>
      </c>
      <c r="C712" s="1" t="n">
        <v>45885</v>
      </c>
      <c r="D712" t="inlineStr">
        <is>
          <t>UPPSALA LÄN</t>
        </is>
      </c>
      <c r="E712" t="inlineStr">
        <is>
          <t>UPPSALA</t>
        </is>
      </c>
      <c r="G712" t="n">
        <v>5</v>
      </c>
      <c r="H712" t="n">
        <v>0</v>
      </c>
      <c r="I712" t="n">
        <v>0</v>
      </c>
      <c r="J712" t="n">
        <v>0</v>
      </c>
      <c r="K712" t="n">
        <v>0</v>
      </c>
      <c r="L712" t="n">
        <v>0</v>
      </c>
      <c r="M712" t="n">
        <v>0</v>
      </c>
      <c r="N712" t="n">
        <v>0</v>
      </c>
      <c r="O712" t="n">
        <v>0</v>
      </c>
      <c r="P712" t="n">
        <v>0</v>
      </c>
      <c r="Q712" t="n">
        <v>0</v>
      </c>
      <c r="R712" s="2" t="inlineStr"/>
    </row>
    <row r="713" ht="15" customHeight="1">
      <c r="A713" t="inlineStr">
        <is>
          <t>A 5669-2023</t>
        </is>
      </c>
      <c r="B713" s="1" t="n">
        <v>44960.65061342593</v>
      </c>
      <c r="C713" s="1" t="n">
        <v>45885</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5678-2023</t>
        </is>
      </c>
      <c r="B714" s="1" t="n">
        <v>44960</v>
      </c>
      <c r="C714" s="1" t="n">
        <v>45885</v>
      </c>
      <c r="D714" t="inlineStr">
        <is>
          <t>UPPSALA LÄN</t>
        </is>
      </c>
      <c r="E714" t="inlineStr">
        <is>
          <t>UPPSALA</t>
        </is>
      </c>
      <c r="G714" t="n">
        <v>0.5</v>
      </c>
      <c r="H714" t="n">
        <v>0</v>
      </c>
      <c r="I714" t="n">
        <v>0</v>
      </c>
      <c r="J714" t="n">
        <v>0</v>
      </c>
      <c r="K714" t="n">
        <v>0</v>
      </c>
      <c r="L714" t="n">
        <v>0</v>
      </c>
      <c r="M714" t="n">
        <v>0</v>
      </c>
      <c r="N714" t="n">
        <v>0</v>
      </c>
      <c r="O714" t="n">
        <v>0</v>
      </c>
      <c r="P714" t="n">
        <v>0</v>
      </c>
      <c r="Q714" t="n">
        <v>0</v>
      </c>
      <c r="R714" s="2" t="inlineStr"/>
    </row>
    <row r="715" ht="15" customHeight="1">
      <c r="A715" t="inlineStr">
        <is>
          <t>A 367-2023</t>
        </is>
      </c>
      <c r="B715" s="1" t="n">
        <v>44929</v>
      </c>
      <c r="C715" s="1" t="n">
        <v>45885</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5028-2022</t>
        </is>
      </c>
      <c r="B716" s="1" t="n">
        <v>44593.64863425926</v>
      </c>
      <c r="C716" s="1" t="n">
        <v>45885</v>
      </c>
      <c r="D716" t="inlineStr">
        <is>
          <t>UPPSALA LÄN</t>
        </is>
      </c>
      <c r="E716" t="inlineStr">
        <is>
          <t>UPPSALA</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45885</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12414-2025</t>
        </is>
      </c>
      <c r="B718" s="1" t="n">
        <v>45730.43966435185</v>
      </c>
      <c r="C718" s="1" t="n">
        <v>45885</v>
      </c>
      <c r="D718" t="inlineStr">
        <is>
          <t>UPPSALA LÄN</t>
        </is>
      </c>
      <c r="E718" t="inlineStr">
        <is>
          <t>UPPSALA</t>
        </is>
      </c>
      <c r="F718" t="inlineStr">
        <is>
          <t>Övriga statliga verk och myndigheter</t>
        </is>
      </c>
      <c r="G718" t="n">
        <v>6.8</v>
      </c>
      <c r="H718" t="n">
        <v>0</v>
      </c>
      <c r="I718" t="n">
        <v>0</v>
      </c>
      <c r="J718" t="n">
        <v>0</v>
      </c>
      <c r="K718" t="n">
        <v>0</v>
      </c>
      <c r="L718" t="n">
        <v>0</v>
      </c>
      <c r="M718" t="n">
        <v>0</v>
      </c>
      <c r="N718" t="n">
        <v>0</v>
      </c>
      <c r="O718" t="n">
        <v>0</v>
      </c>
      <c r="P718" t="n">
        <v>0</v>
      </c>
      <c r="Q718" t="n">
        <v>0</v>
      </c>
      <c r="R718" s="2" t="inlineStr"/>
    </row>
    <row r="719" ht="15" customHeight="1">
      <c r="A719" t="inlineStr">
        <is>
          <t>A 53365-2024</t>
        </is>
      </c>
      <c r="B719" s="1" t="n">
        <v>45614</v>
      </c>
      <c r="C719" s="1" t="n">
        <v>45885</v>
      </c>
      <c r="D719" t="inlineStr">
        <is>
          <t>UPPSALA LÄN</t>
        </is>
      </c>
      <c r="E719" t="inlineStr">
        <is>
          <t>UPPSALA</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39812-2024</t>
        </is>
      </c>
      <c r="B720" s="1" t="n">
        <v>45552</v>
      </c>
      <c r="C720" s="1" t="n">
        <v>45885</v>
      </c>
      <c r="D720" t="inlineStr">
        <is>
          <t>UPPSALA LÄN</t>
        </is>
      </c>
      <c r="E720" t="inlineStr">
        <is>
          <t>UPPSALA</t>
        </is>
      </c>
      <c r="G720" t="n">
        <v>7.9</v>
      </c>
      <c r="H720" t="n">
        <v>0</v>
      </c>
      <c r="I720" t="n">
        <v>0</v>
      </c>
      <c r="J720" t="n">
        <v>0</v>
      </c>
      <c r="K720" t="n">
        <v>0</v>
      </c>
      <c r="L720" t="n">
        <v>0</v>
      </c>
      <c r="M720" t="n">
        <v>0</v>
      </c>
      <c r="N720" t="n">
        <v>0</v>
      </c>
      <c r="O720" t="n">
        <v>0</v>
      </c>
      <c r="P720" t="n">
        <v>0</v>
      </c>
      <c r="Q720" t="n">
        <v>0</v>
      </c>
      <c r="R720" s="2" t="inlineStr"/>
    </row>
    <row r="721" ht="15" customHeight="1">
      <c r="A721" t="inlineStr">
        <is>
          <t>A 32688-2023</t>
        </is>
      </c>
      <c r="B721" s="1" t="n">
        <v>45121</v>
      </c>
      <c r="C721" s="1" t="n">
        <v>45885</v>
      </c>
      <c r="D721" t="inlineStr">
        <is>
          <t>UPPSALA LÄN</t>
        </is>
      </c>
      <c r="E721" t="inlineStr">
        <is>
          <t>UPPSALA</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39795-2022</t>
        </is>
      </c>
      <c r="B722" s="1" t="n">
        <v>44819.50233796296</v>
      </c>
      <c r="C722" s="1" t="n">
        <v>45885</v>
      </c>
      <c r="D722" t="inlineStr">
        <is>
          <t>UPPSALA LÄN</t>
        </is>
      </c>
      <c r="E722" t="inlineStr">
        <is>
          <t>UPPSALA</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46796-2024</t>
        </is>
      </c>
      <c r="B723" s="1" t="n">
        <v>45583</v>
      </c>
      <c r="C723" s="1" t="n">
        <v>45885</v>
      </c>
      <c r="D723" t="inlineStr">
        <is>
          <t>UPPSALA LÄN</t>
        </is>
      </c>
      <c r="E723" t="inlineStr">
        <is>
          <t>UPPSALA</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9206-2022</t>
        </is>
      </c>
      <c r="B724" s="1" t="n">
        <v>44616</v>
      </c>
      <c r="C724" s="1" t="n">
        <v>45885</v>
      </c>
      <c r="D724" t="inlineStr">
        <is>
          <t>UPPSALA LÄN</t>
        </is>
      </c>
      <c r="E724" t="inlineStr">
        <is>
          <t>UPPSALA</t>
        </is>
      </c>
      <c r="G724" t="n">
        <v>1.7</v>
      </c>
      <c r="H724" t="n">
        <v>0</v>
      </c>
      <c r="I724" t="n">
        <v>0</v>
      </c>
      <c r="J724" t="n">
        <v>0</v>
      </c>
      <c r="K724" t="n">
        <v>0</v>
      </c>
      <c r="L724" t="n">
        <v>0</v>
      </c>
      <c r="M724" t="n">
        <v>0</v>
      </c>
      <c r="N724" t="n">
        <v>0</v>
      </c>
      <c r="O724" t="n">
        <v>0</v>
      </c>
      <c r="P724" t="n">
        <v>0</v>
      </c>
      <c r="Q724" t="n">
        <v>0</v>
      </c>
      <c r="R724" s="2" t="inlineStr"/>
    </row>
    <row r="725" ht="15" customHeight="1">
      <c r="A725" t="inlineStr">
        <is>
          <t>A 55021-2022</t>
        </is>
      </c>
      <c r="B725" s="1" t="n">
        <v>44886</v>
      </c>
      <c r="C725" s="1" t="n">
        <v>45885</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18443-2023</t>
        </is>
      </c>
      <c r="B726" s="1" t="n">
        <v>45042</v>
      </c>
      <c r="C726" s="1" t="n">
        <v>45885</v>
      </c>
      <c r="D726" t="inlineStr">
        <is>
          <t>UPPSALA LÄN</t>
        </is>
      </c>
      <c r="E726" t="inlineStr">
        <is>
          <t>UPPSALA</t>
        </is>
      </c>
      <c r="G726" t="n">
        <v>0.4</v>
      </c>
      <c r="H726" t="n">
        <v>0</v>
      </c>
      <c r="I726" t="n">
        <v>0</v>
      </c>
      <c r="J726" t="n">
        <v>0</v>
      </c>
      <c r="K726" t="n">
        <v>0</v>
      </c>
      <c r="L726" t="n">
        <v>0</v>
      </c>
      <c r="M726" t="n">
        <v>0</v>
      </c>
      <c r="N726" t="n">
        <v>0</v>
      </c>
      <c r="O726" t="n">
        <v>0</v>
      </c>
      <c r="P726" t="n">
        <v>0</v>
      </c>
      <c r="Q726" t="n">
        <v>0</v>
      </c>
      <c r="R726" s="2" t="inlineStr"/>
    </row>
    <row r="727" ht="15" customHeight="1">
      <c r="A727" t="inlineStr">
        <is>
          <t>A 8090-2022</t>
        </is>
      </c>
      <c r="B727" s="1" t="n">
        <v>44608</v>
      </c>
      <c r="C727" s="1" t="n">
        <v>45885</v>
      </c>
      <c r="D727" t="inlineStr">
        <is>
          <t>UPPSALA LÄN</t>
        </is>
      </c>
      <c r="E727" t="inlineStr">
        <is>
          <t>UPPSALA</t>
        </is>
      </c>
      <c r="G727" t="n">
        <v>1.4</v>
      </c>
      <c r="H727" t="n">
        <v>0</v>
      </c>
      <c r="I727" t="n">
        <v>0</v>
      </c>
      <c r="J727" t="n">
        <v>0</v>
      </c>
      <c r="K727" t="n">
        <v>0</v>
      </c>
      <c r="L727" t="n">
        <v>0</v>
      </c>
      <c r="M727" t="n">
        <v>0</v>
      </c>
      <c r="N727" t="n">
        <v>0</v>
      </c>
      <c r="O727" t="n">
        <v>0</v>
      </c>
      <c r="P727" t="n">
        <v>0</v>
      </c>
      <c r="Q727" t="n">
        <v>0</v>
      </c>
      <c r="R727" s="2" t="inlineStr"/>
    </row>
    <row r="728" ht="15" customHeight="1">
      <c r="A728" t="inlineStr">
        <is>
          <t>A 60047-2022</t>
        </is>
      </c>
      <c r="B728" s="1" t="n">
        <v>44909.51885416666</v>
      </c>
      <c r="C728" s="1" t="n">
        <v>45885</v>
      </c>
      <c r="D728" t="inlineStr">
        <is>
          <t>UPPSALA LÄN</t>
        </is>
      </c>
      <c r="E728" t="inlineStr">
        <is>
          <t>UPPSALA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74495-2021</t>
        </is>
      </c>
      <c r="B729" s="1" t="n">
        <v>44560</v>
      </c>
      <c r="C729" s="1" t="n">
        <v>45885</v>
      </c>
      <c r="D729" t="inlineStr">
        <is>
          <t>UPPSALA LÄN</t>
        </is>
      </c>
      <c r="E729" t="inlineStr">
        <is>
          <t>UPPSALA</t>
        </is>
      </c>
      <c r="G729" t="n">
        <v>1.9</v>
      </c>
      <c r="H729" t="n">
        <v>0</v>
      </c>
      <c r="I729" t="n">
        <v>0</v>
      </c>
      <c r="J729" t="n">
        <v>0</v>
      </c>
      <c r="K729" t="n">
        <v>0</v>
      </c>
      <c r="L729" t="n">
        <v>0</v>
      </c>
      <c r="M729" t="n">
        <v>0</v>
      </c>
      <c r="N729" t="n">
        <v>0</v>
      </c>
      <c r="O729" t="n">
        <v>0</v>
      </c>
      <c r="P729" t="n">
        <v>0</v>
      </c>
      <c r="Q729" t="n">
        <v>0</v>
      </c>
      <c r="R729" s="2" t="inlineStr"/>
    </row>
    <row r="730" ht="15" customHeight="1">
      <c r="A730" t="inlineStr">
        <is>
          <t>A 50535-2024</t>
        </is>
      </c>
      <c r="B730" s="1" t="n">
        <v>45600</v>
      </c>
      <c r="C730" s="1" t="n">
        <v>45885</v>
      </c>
      <c r="D730" t="inlineStr">
        <is>
          <t>UPPSALA LÄN</t>
        </is>
      </c>
      <c r="E730" t="inlineStr">
        <is>
          <t>UPPSALA</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29799-2023</t>
        </is>
      </c>
      <c r="B731" s="1" t="n">
        <v>45107.53688657407</v>
      </c>
      <c r="C731" s="1" t="n">
        <v>45885</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24098-2024</t>
        </is>
      </c>
      <c r="B732" s="1" t="n">
        <v>45456.59535879629</v>
      </c>
      <c r="C732" s="1" t="n">
        <v>45885</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6408-2022</t>
        </is>
      </c>
      <c r="B733" s="1" t="n">
        <v>44600</v>
      </c>
      <c r="C733" s="1" t="n">
        <v>45885</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10383-2022</t>
        </is>
      </c>
      <c r="B734" s="1" t="n">
        <v>44623.41775462963</v>
      </c>
      <c r="C734" s="1" t="n">
        <v>45885</v>
      </c>
      <c r="D734" t="inlineStr">
        <is>
          <t>UPPSALA LÄN</t>
        </is>
      </c>
      <c r="E734" t="inlineStr">
        <is>
          <t>UPPSALA</t>
        </is>
      </c>
      <c r="F734" t="inlineStr">
        <is>
          <t>Övriga Aktiebolag</t>
        </is>
      </c>
      <c r="G734" t="n">
        <v>2.8</v>
      </c>
      <c r="H734" t="n">
        <v>0</v>
      </c>
      <c r="I734" t="n">
        <v>0</v>
      </c>
      <c r="J734" t="n">
        <v>0</v>
      </c>
      <c r="K734" t="n">
        <v>0</v>
      </c>
      <c r="L734" t="n">
        <v>0</v>
      </c>
      <c r="M734" t="n">
        <v>0</v>
      </c>
      <c r="N734" t="n">
        <v>0</v>
      </c>
      <c r="O734" t="n">
        <v>0</v>
      </c>
      <c r="P734" t="n">
        <v>0</v>
      </c>
      <c r="Q734" t="n">
        <v>0</v>
      </c>
      <c r="R734" s="2" t="inlineStr"/>
    </row>
    <row r="735" ht="15" customHeight="1">
      <c r="A735" t="inlineStr">
        <is>
          <t>A 10456-2022</t>
        </is>
      </c>
      <c r="B735" s="1" t="n">
        <v>44623.5571875</v>
      </c>
      <c r="C735" s="1" t="n">
        <v>45885</v>
      </c>
      <c r="D735" t="inlineStr">
        <is>
          <t>UPPSALA LÄN</t>
        </is>
      </c>
      <c r="E735" t="inlineStr">
        <is>
          <t>UPPSALA</t>
        </is>
      </c>
      <c r="F735" t="inlineStr">
        <is>
          <t>Övriga Aktiebolag</t>
        </is>
      </c>
      <c r="G735" t="n">
        <v>12.6</v>
      </c>
      <c r="H735" t="n">
        <v>0</v>
      </c>
      <c r="I735" t="n">
        <v>0</v>
      </c>
      <c r="J735" t="n">
        <v>0</v>
      </c>
      <c r="K735" t="n">
        <v>0</v>
      </c>
      <c r="L735" t="n">
        <v>0</v>
      </c>
      <c r="M735" t="n">
        <v>0</v>
      </c>
      <c r="N735" t="n">
        <v>0</v>
      </c>
      <c r="O735" t="n">
        <v>0</v>
      </c>
      <c r="P735" t="n">
        <v>0</v>
      </c>
      <c r="Q735" t="n">
        <v>0</v>
      </c>
      <c r="R735" s="2" t="inlineStr"/>
    </row>
    <row r="736" ht="15" customHeight="1">
      <c r="A736" t="inlineStr">
        <is>
          <t>A 39548-2023</t>
        </is>
      </c>
      <c r="B736" s="1" t="n">
        <v>45167.3721412037</v>
      </c>
      <c r="C736" s="1" t="n">
        <v>45885</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25462-2023</t>
        </is>
      </c>
      <c r="B737" s="1" t="n">
        <v>45089</v>
      </c>
      <c r="C737" s="1" t="n">
        <v>45885</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45885</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45885</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45885</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49682-2023</t>
        </is>
      </c>
      <c r="B741" s="1" t="n">
        <v>45212.34997685185</v>
      </c>
      <c r="C741" s="1" t="n">
        <v>45885</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55073-2022</t>
        </is>
      </c>
      <c r="B742" s="1" t="n">
        <v>44886.5928125</v>
      </c>
      <c r="C742" s="1" t="n">
        <v>45885</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43-2024</t>
        </is>
      </c>
      <c r="B743" s="1" t="n">
        <v>45293</v>
      </c>
      <c r="C743" s="1" t="n">
        <v>45885</v>
      </c>
      <c r="D743" t="inlineStr">
        <is>
          <t>UPPSALA LÄN</t>
        </is>
      </c>
      <c r="E743" t="inlineStr">
        <is>
          <t>UPPSALA</t>
        </is>
      </c>
      <c r="G743" t="n">
        <v>2.8</v>
      </c>
      <c r="H743" t="n">
        <v>0</v>
      </c>
      <c r="I743" t="n">
        <v>0</v>
      </c>
      <c r="J743" t="n">
        <v>0</v>
      </c>
      <c r="K743" t="n">
        <v>0</v>
      </c>
      <c r="L743" t="n">
        <v>0</v>
      </c>
      <c r="M743" t="n">
        <v>0</v>
      </c>
      <c r="N743" t="n">
        <v>0</v>
      </c>
      <c r="O743" t="n">
        <v>0</v>
      </c>
      <c r="P743" t="n">
        <v>0</v>
      </c>
      <c r="Q743" t="n">
        <v>0</v>
      </c>
      <c r="R743" s="2" t="inlineStr"/>
    </row>
    <row r="744" ht="15" customHeight="1">
      <c r="A744" t="inlineStr">
        <is>
          <t>A 42681-2023</t>
        </is>
      </c>
      <c r="B744" s="1" t="n">
        <v>45181.58055555556</v>
      </c>
      <c r="C744" s="1" t="n">
        <v>45885</v>
      </c>
      <c r="D744" t="inlineStr">
        <is>
          <t>UPPSALA LÄN</t>
        </is>
      </c>
      <c r="E744" t="inlineStr">
        <is>
          <t>UPPSALA</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1592-2025</t>
        </is>
      </c>
      <c r="B745" s="1" t="n">
        <v>45670</v>
      </c>
      <c r="C745" s="1" t="n">
        <v>45885</v>
      </c>
      <c r="D745" t="inlineStr">
        <is>
          <t>UPPSALA LÄN</t>
        </is>
      </c>
      <c r="E745" t="inlineStr">
        <is>
          <t>UPPSALA</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33622-2024</t>
        </is>
      </c>
      <c r="B746" s="1" t="n">
        <v>45520</v>
      </c>
      <c r="C746" s="1" t="n">
        <v>45885</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45885</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53893-2023</t>
        </is>
      </c>
      <c r="B748" s="1" t="n">
        <v>45231</v>
      </c>
      <c r="C748" s="1" t="n">
        <v>45885</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6679-2024</t>
        </is>
      </c>
      <c r="B749" s="1" t="n">
        <v>45341</v>
      </c>
      <c r="C749" s="1" t="n">
        <v>45885</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27442-2024</t>
        </is>
      </c>
      <c r="B750" s="1" t="n">
        <v>45474.41729166666</v>
      </c>
      <c r="C750" s="1" t="n">
        <v>45885</v>
      </c>
      <c r="D750" t="inlineStr">
        <is>
          <t>UPPSALA LÄN</t>
        </is>
      </c>
      <c r="E750" t="inlineStr">
        <is>
          <t>UPPSALA</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49050-2024</t>
        </is>
      </c>
      <c r="B751" s="1" t="n">
        <v>45594</v>
      </c>
      <c r="C751" s="1" t="n">
        <v>45885</v>
      </c>
      <c r="D751" t="inlineStr">
        <is>
          <t>UPPSALA LÄN</t>
        </is>
      </c>
      <c r="E751" t="inlineStr">
        <is>
          <t>UPPSALA</t>
        </is>
      </c>
      <c r="F751" t="inlineStr">
        <is>
          <t>Övriga statliga verk och myndigheter</t>
        </is>
      </c>
      <c r="G751" t="n">
        <v>3.9</v>
      </c>
      <c r="H751" t="n">
        <v>0</v>
      </c>
      <c r="I751" t="n">
        <v>0</v>
      </c>
      <c r="J751" t="n">
        <v>0</v>
      </c>
      <c r="K751" t="n">
        <v>0</v>
      </c>
      <c r="L751" t="n">
        <v>0</v>
      </c>
      <c r="M751" t="n">
        <v>0</v>
      </c>
      <c r="N751" t="n">
        <v>0</v>
      </c>
      <c r="O751" t="n">
        <v>0</v>
      </c>
      <c r="P751" t="n">
        <v>0</v>
      </c>
      <c r="Q751" t="n">
        <v>0</v>
      </c>
      <c r="R751" s="2" t="inlineStr"/>
    </row>
    <row r="752" ht="15" customHeight="1">
      <c r="A752" t="inlineStr">
        <is>
          <t>A 60820-2024</t>
        </is>
      </c>
      <c r="B752" s="1" t="n">
        <v>45644.62677083333</v>
      </c>
      <c r="C752" s="1" t="n">
        <v>45885</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781-2024</t>
        </is>
      </c>
      <c r="B753" s="1" t="n">
        <v>45300.55028935185</v>
      </c>
      <c r="C753" s="1" t="n">
        <v>45885</v>
      </c>
      <c r="D753" t="inlineStr">
        <is>
          <t>UPPSALA LÄN</t>
        </is>
      </c>
      <c r="E753" t="inlineStr">
        <is>
          <t>UPPSALA</t>
        </is>
      </c>
      <c r="G753" t="n">
        <v>6.3</v>
      </c>
      <c r="H753" t="n">
        <v>0</v>
      </c>
      <c r="I753" t="n">
        <v>0</v>
      </c>
      <c r="J753" t="n">
        <v>0</v>
      </c>
      <c r="K753" t="n">
        <v>0</v>
      </c>
      <c r="L753" t="n">
        <v>0</v>
      </c>
      <c r="M753" t="n">
        <v>0</v>
      </c>
      <c r="N753" t="n">
        <v>0</v>
      </c>
      <c r="O753" t="n">
        <v>0</v>
      </c>
      <c r="P753" t="n">
        <v>0</v>
      </c>
      <c r="Q753" t="n">
        <v>0</v>
      </c>
      <c r="R753" s="2" t="inlineStr"/>
    </row>
    <row r="754" ht="15" customHeight="1">
      <c r="A754" t="inlineStr">
        <is>
          <t>A 60003-2024</t>
        </is>
      </c>
      <c r="B754" s="1" t="n">
        <v>45642</v>
      </c>
      <c r="C754" s="1" t="n">
        <v>45885</v>
      </c>
      <c r="D754" t="inlineStr">
        <is>
          <t>UPPSALA LÄN</t>
        </is>
      </c>
      <c r="E754" t="inlineStr">
        <is>
          <t>UPPSALA</t>
        </is>
      </c>
      <c r="F754" t="inlineStr">
        <is>
          <t>Bergvik skog väst AB</t>
        </is>
      </c>
      <c r="G754" t="n">
        <v>14.5</v>
      </c>
      <c r="H754" t="n">
        <v>0</v>
      </c>
      <c r="I754" t="n">
        <v>0</v>
      </c>
      <c r="J754" t="n">
        <v>0</v>
      </c>
      <c r="K754" t="n">
        <v>0</v>
      </c>
      <c r="L754" t="n">
        <v>0</v>
      </c>
      <c r="M754" t="n">
        <v>0</v>
      </c>
      <c r="N754" t="n">
        <v>0</v>
      </c>
      <c r="O754" t="n">
        <v>0</v>
      </c>
      <c r="P754" t="n">
        <v>0</v>
      </c>
      <c r="Q754" t="n">
        <v>0</v>
      </c>
      <c r="R754" s="2" t="inlineStr"/>
    </row>
    <row r="755" ht="15" customHeight="1">
      <c r="A755" t="inlineStr">
        <is>
          <t>A 27599-2023</t>
        </is>
      </c>
      <c r="B755" s="1" t="n">
        <v>45097</v>
      </c>
      <c r="C755" s="1" t="n">
        <v>45885</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6058-2025</t>
        </is>
      </c>
      <c r="B756" s="1" t="n">
        <v>45695.83655092592</v>
      </c>
      <c r="C756" s="1" t="n">
        <v>45885</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8164-2025</t>
        </is>
      </c>
      <c r="B757" s="1" t="n">
        <v>45707</v>
      </c>
      <c r="C757" s="1" t="n">
        <v>45885</v>
      </c>
      <c r="D757" t="inlineStr">
        <is>
          <t>UPPSALA LÄN</t>
        </is>
      </c>
      <c r="E757" t="inlineStr">
        <is>
          <t>UPPSALA</t>
        </is>
      </c>
      <c r="F757" t="inlineStr">
        <is>
          <t>Övriga Aktiebolag</t>
        </is>
      </c>
      <c r="G757" t="n">
        <v>12.2</v>
      </c>
      <c r="H757" t="n">
        <v>0</v>
      </c>
      <c r="I757" t="n">
        <v>0</v>
      </c>
      <c r="J757" t="n">
        <v>0</v>
      </c>
      <c r="K757" t="n">
        <v>0</v>
      </c>
      <c r="L757" t="n">
        <v>0</v>
      </c>
      <c r="M757" t="n">
        <v>0</v>
      </c>
      <c r="N757" t="n">
        <v>0</v>
      </c>
      <c r="O757" t="n">
        <v>0</v>
      </c>
      <c r="P757" t="n">
        <v>0</v>
      </c>
      <c r="Q757" t="n">
        <v>0</v>
      </c>
      <c r="R757" s="2" t="inlineStr"/>
    </row>
    <row r="758" ht="15" customHeight="1">
      <c r="A758" t="inlineStr">
        <is>
          <t>A 7058-2023</t>
        </is>
      </c>
      <c r="B758" s="1" t="n">
        <v>44969</v>
      </c>
      <c r="C758" s="1" t="n">
        <v>45885</v>
      </c>
      <c r="D758" t="inlineStr">
        <is>
          <t>UPPSALA LÄN</t>
        </is>
      </c>
      <c r="E758" t="inlineStr">
        <is>
          <t>UPPSALA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60954-2024</t>
        </is>
      </c>
      <c r="B759" s="1" t="n">
        <v>45645</v>
      </c>
      <c r="C759" s="1" t="n">
        <v>45885</v>
      </c>
      <c r="D759" t="inlineStr">
        <is>
          <t>UPPSALA LÄN</t>
        </is>
      </c>
      <c r="E759" t="inlineStr">
        <is>
          <t>UPPSALA</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3214-2023</t>
        </is>
      </c>
      <c r="B760" s="1" t="n">
        <v>44944</v>
      </c>
      <c r="C760" s="1" t="n">
        <v>45885</v>
      </c>
      <c r="D760" t="inlineStr">
        <is>
          <t>UPPSALA LÄN</t>
        </is>
      </c>
      <c r="E760" t="inlineStr">
        <is>
          <t>UPPSALA</t>
        </is>
      </c>
      <c r="G760" t="n">
        <v>4.1</v>
      </c>
      <c r="H760" t="n">
        <v>0</v>
      </c>
      <c r="I760" t="n">
        <v>0</v>
      </c>
      <c r="J760" t="n">
        <v>0</v>
      </c>
      <c r="K760" t="n">
        <v>0</v>
      </c>
      <c r="L760" t="n">
        <v>0</v>
      </c>
      <c r="M760" t="n">
        <v>0</v>
      </c>
      <c r="N760" t="n">
        <v>0</v>
      </c>
      <c r="O760" t="n">
        <v>0</v>
      </c>
      <c r="P760" t="n">
        <v>0</v>
      </c>
      <c r="Q760" t="n">
        <v>0</v>
      </c>
      <c r="R760" s="2" t="inlineStr"/>
    </row>
    <row r="761" ht="15" customHeight="1">
      <c r="A761" t="inlineStr">
        <is>
          <t>A 31157-2023</t>
        </is>
      </c>
      <c r="B761" s="1" t="n">
        <v>45113</v>
      </c>
      <c r="C761" s="1" t="n">
        <v>45885</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31161-2023</t>
        </is>
      </c>
      <c r="B762" s="1" t="n">
        <v>45113.80170138889</v>
      </c>
      <c r="C762" s="1" t="n">
        <v>45885</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50669-2024</t>
        </is>
      </c>
      <c r="B763" s="1" t="n">
        <v>45601</v>
      </c>
      <c r="C763" s="1" t="n">
        <v>45885</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36782-2023</t>
        </is>
      </c>
      <c r="B764" s="1" t="n">
        <v>45154.35092592592</v>
      </c>
      <c r="C764" s="1" t="n">
        <v>45885</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14337-2022</t>
        </is>
      </c>
      <c r="B765" s="1" t="n">
        <v>44652</v>
      </c>
      <c r="C765" s="1" t="n">
        <v>45885</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2980-2025</t>
        </is>
      </c>
      <c r="B766" s="1" t="n">
        <v>45678</v>
      </c>
      <c r="C766" s="1" t="n">
        <v>45885</v>
      </c>
      <c r="D766" t="inlineStr">
        <is>
          <t>UPPSALA LÄN</t>
        </is>
      </c>
      <c r="E766" t="inlineStr">
        <is>
          <t>UPPSALA</t>
        </is>
      </c>
      <c r="G766" t="n">
        <v>5</v>
      </c>
      <c r="H766" t="n">
        <v>0</v>
      </c>
      <c r="I766" t="n">
        <v>0</v>
      </c>
      <c r="J766" t="n">
        <v>0</v>
      </c>
      <c r="K766" t="n">
        <v>0</v>
      </c>
      <c r="L766" t="n">
        <v>0</v>
      </c>
      <c r="M766" t="n">
        <v>0</v>
      </c>
      <c r="N766" t="n">
        <v>0</v>
      </c>
      <c r="O766" t="n">
        <v>0</v>
      </c>
      <c r="P766" t="n">
        <v>0</v>
      </c>
      <c r="Q766" t="n">
        <v>0</v>
      </c>
      <c r="R766" s="2" t="inlineStr"/>
    </row>
    <row r="767" ht="15" customHeight="1">
      <c r="A767" t="inlineStr">
        <is>
          <t>A 17448-2022</t>
        </is>
      </c>
      <c r="B767" s="1" t="n">
        <v>44679</v>
      </c>
      <c r="C767" s="1" t="n">
        <v>45885</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17593-2025</t>
        </is>
      </c>
      <c r="B768" s="1" t="n">
        <v>45757.6997337963</v>
      </c>
      <c r="C768" s="1" t="n">
        <v>45885</v>
      </c>
      <c r="D768" t="inlineStr">
        <is>
          <t>UPPSALA LÄN</t>
        </is>
      </c>
      <c r="E768" t="inlineStr">
        <is>
          <t>UPPSALA</t>
        </is>
      </c>
      <c r="G768" t="n">
        <v>3.6</v>
      </c>
      <c r="H768" t="n">
        <v>0</v>
      </c>
      <c r="I768" t="n">
        <v>0</v>
      </c>
      <c r="J768" t="n">
        <v>0</v>
      </c>
      <c r="K768" t="n">
        <v>0</v>
      </c>
      <c r="L768" t="n">
        <v>0</v>
      </c>
      <c r="M768" t="n">
        <v>0</v>
      </c>
      <c r="N768" t="n">
        <v>0</v>
      </c>
      <c r="O768" t="n">
        <v>0</v>
      </c>
      <c r="P768" t="n">
        <v>0</v>
      </c>
      <c r="Q768" t="n">
        <v>0</v>
      </c>
      <c r="R768" s="2" t="inlineStr"/>
    </row>
    <row r="769" ht="15" customHeight="1">
      <c r="A769" t="inlineStr">
        <is>
          <t>A 17596-2025</t>
        </is>
      </c>
      <c r="B769" s="1" t="n">
        <v>45757</v>
      </c>
      <c r="C769" s="1" t="n">
        <v>45885</v>
      </c>
      <c r="D769" t="inlineStr">
        <is>
          <t>UPPSALA LÄN</t>
        </is>
      </c>
      <c r="E769" t="inlineStr">
        <is>
          <t>UPPSALA</t>
        </is>
      </c>
      <c r="G769" t="n">
        <v>4.8</v>
      </c>
      <c r="H769" t="n">
        <v>0</v>
      </c>
      <c r="I769" t="n">
        <v>0</v>
      </c>
      <c r="J769" t="n">
        <v>0</v>
      </c>
      <c r="K769" t="n">
        <v>0</v>
      </c>
      <c r="L769" t="n">
        <v>0</v>
      </c>
      <c r="M769" t="n">
        <v>0</v>
      </c>
      <c r="N769" t="n">
        <v>0</v>
      </c>
      <c r="O769" t="n">
        <v>0</v>
      </c>
      <c r="P769" t="n">
        <v>0</v>
      </c>
      <c r="Q769" t="n">
        <v>0</v>
      </c>
      <c r="R769" s="2" t="inlineStr"/>
    </row>
    <row r="770" ht="15" customHeight="1">
      <c r="A770" t="inlineStr">
        <is>
          <t>A 57871-2024</t>
        </is>
      </c>
      <c r="B770" s="1" t="n">
        <v>45631.44464120371</v>
      </c>
      <c r="C770" s="1" t="n">
        <v>45885</v>
      </c>
      <c r="D770" t="inlineStr">
        <is>
          <t>UPPSALA LÄN</t>
        </is>
      </c>
      <c r="E770" t="inlineStr">
        <is>
          <t>UPPSALA</t>
        </is>
      </c>
      <c r="G770" t="n">
        <v>2.9</v>
      </c>
      <c r="H770" t="n">
        <v>0</v>
      </c>
      <c r="I770" t="n">
        <v>0</v>
      </c>
      <c r="J770" t="n">
        <v>0</v>
      </c>
      <c r="K770" t="n">
        <v>0</v>
      </c>
      <c r="L770" t="n">
        <v>0</v>
      </c>
      <c r="M770" t="n">
        <v>0</v>
      </c>
      <c r="N770" t="n">
        <v>0</v>
      </c>
      <c r="O770" t="n">
        <v>0</v>
      </c>
      <c r="P770" t="n">
        <v>0</v>
      </c>
      <c r="Q770" t="n">
        <v>0</v>
      </c>
      <c r="R770" s="2" t="inlineStr"/>
    </row>
    <row r="771" ht="15" customHeight="1">
      <c r="A771" t="inlineStr">
        <is>
          <t>A 62054-2024</t>
        </is>
      </c>
      <c r="B771" s="1" t="n">
        <v>45656</v>
      </c>
      <c r="C771" s="1" t="n">
        <v>45885</v>
      </c>
      <c r="D771" t="inlineStr">
        <is>
          <t>UPPSALA LÄN</t>
        </is>
      </c>
      <c r="E771" t="inlineStr">
        <is>
          <t>UPPSALA</t>
        </is>
      </c>
      <c r="F771" t="inlineStr">
        <is>
          <t>Övriga statliga verk och myndigheter</t>
        </is>
      </c>
      <c r="G771" t="n">
        <v>29.3</v>
      </c>
      <c r="H771" t="n">
        <v>0</v>
      </c>
      <c r="I771" t="n">
        <v>0</v>
      </c>
      <c r="J771" t="n">
        <v>0</v>
      </c>
      <c r="K771" t="n">
        <v>0</v>
      </c>
      <c r="L771" t="n">
        <v>0</v>
      </c>
      <c r="M771" t="n">
        <v>0</v>
      </c>
      <c r="N771" t="n">
        <v>0</v>
      </c>
      <c r="O771" t="n">
        <v>0</v>
      </c>
      <c r="P771" t="n">
        <v>0</v>
      </c>
      <c r="Q771" t="n">
        <v>0</v>
      </c>
      <c r="R771" s="2" t="inlineStr"/>
    </row>
    <row r="772" ht="15" customHeight="1">
      <c r="A772" t="inlineStr">
        <is>
          <t>A 5722-2025</t>
        </is>
      </c>
      <c r="B772" s="1" t="n">
        <v>45694</v>
      </c>
      <c r="C772" s="1" t="n">
        <v>45885</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6971-2025</t>
        </is>
      </c>
      <c r="B773" s="1" t="n">
        <v>45693</v>
      </c>
      <c r="C773" s="1" t="n">
        <v>45885</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45885</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9982-2025</t>
        </is>
      </c>
      <c r="B775" s="1" t="n">
        <v>45719.4094212963</v>
      </c>
      <c r="C775" s="1" t="n">
        <v>45885</v>
      </c>
      <c r="D775" t="inlineStr">
        <is>
          <t>UPPSALA LÄN</t>
        </is>
      </c>
      <c r="E775" t="inlineStr">
        <is>
          <t>UPPSALA</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19380-2023</t>
        </is>
      </c>
      <c r="B776" s="1" t="n">
        <v>45049.66025462963</v>
      </c>
      <c r="C776" s="1" t="n">
        <v>45885</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9995-2025</t>
        </is>
      </c>
      <c r="B777" s="1" t="n">
        <v>45719.43872685185</v>
      </c>
      <c r="C777" s="1" t="n">
        <v>45885</v>
      </c>
      <c r="D777" t="inlineStr">
        <is>
          <t>UPPSALA LÄN</t>
        </is>
      </c>
      <c r="E777" t="inlineStr">
        <is>
          <t>UPPSALA</t>
        </is>
      </c>
      <c r="F777" t="inlineStr">
        <is>
          <t>Kyrkan</t>
        </is>
      </c>
      <c r="G777" t="n">
        <v>2</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45885</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3314-2025</t>
        </is>
      </c>
      <c r="B779" s="1" t="n">
        <v>45679</v>
      </c>
      <c r="C779" s="1" t="n">
        <v>45885</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45885</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45885</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45885</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37763-2021</t>
        </is>
      </c>
      <c r="B783" s="1" t="n">
        <v>44400.6750925926</v>
      </c>
      <c r="C783" s="1" t="n">
        <v>45885</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37820-2021</t>
        </is>
      </c>
      <c r="B784" s="1" t="n">
        <v>44403.3119212963</v>
      </c>
      <c r="C784" s="1" t="n">
        <v>45885</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36392-2023</t>
        </is>
      </c>
      <c r="B785" s="1" t="n">
        <v>45152</v>
      </c>
      <c r="C785" s="1" t="n">
        <v>45885</v>
      </c>
      <c r="D785" t="inlineStr">
        <is>
          <t>UPPSALA LÄN</t>
        </is>
      </c>
      <c r="E785" t="inlineStr">
        <is>
          <t>UPPSALA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6155-2023</t>
        </is>
      </c>
      <c r="B786" s="1" t="n">
        <v>44964.65261574074</v>
      </c>
      <c r="C786" s="1" t="n">
        <v>45885</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6009-2022</t>
        </is>
      </c>
      <c r="B787" s="1" t="n">
        <v>44599.44832175926</v>
      </c>
      <c r="C787" s="1" t="n">
        <v>45885</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9295-2023</t>
        </is>
      </c>
      <c r="B788" s="1" t="n">
        <v>44980</v>
      </c>
      <c r="C788" s="1" t="n">
        <v>45885</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29082-2024</t>
        </is>
      </c>
      <c r="B789" s="1" t="n">
        <v>45481.83684027778</v>
      </c>
      <c r="C789" s="1" t="n">
        <v>45885</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59549-2024</t>
        </is>
      </c>
      <c r="B790" s="1" t="n">
        <v>45638</v>
      </c>
      <c r="C790" s="1" t="n">
        <v>45885</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12606-2023</t>
        </is>
      </c>
      <c r="B791" s="1" t="n">
        <v>45000.44666666666</v>
      </c>
      <c r="C791" s="1" t="n">
        <v>45885</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63307-2021</t>
        </is>
      </c>
      <c r="B792" s="1" t="n">
        <v>44508.44033564815</v>
      </c>
      <c r="C792" s="1" t="n">
        <v>45885</v>
      </c>
      <c r="D792" t="inlineStr">
        <is>
          <t>UPPSALA LÄN</t>
        </is>
      </c>
      <c r="E792" t="inlineStr">
        <is>
          <t>UPPSALA</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45885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18410-2025</t>
        </is>
      </c>
      <c r="B794" s="1" t="n">
        <v>45762.61341435185</v>
      </c>
      <c r="C794" s="1" t="n">
        <v>45885</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8931-2025</t>
        </is>
      </c>
      <c r="B795" s="1" t="n">
        <v>45713.44519675926</v>
      </c>
      <c r="C795" s="1" t="n">
        <v>45885</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21657-2024</t>
        </is>
      </c>
      <c r="B796" s="1" t="n">
        <v>45442</v>
      </c>
      <c r="C796" s="1" t="n">
        <v>45885</v>
      </c>
      <c r="D796" t="inlineStr">
        <is>
          <t>UPPSALA LÄN</t>
        </is>
      </c>
      <c r="E796" t="inlineStr">
        <is>
          <t>UPPSALA</t>
        </is>
      </c>
      <c r="G796" t="n">
        <v>5.7</v>
      </c>
      <c r="H796" t="n">
        <v>0</v>
      </c>
      <c r="I796" t="n">
        <v>0</v>
      </c>
      <c r="J796" t="n">
        <v>0</v>
      </c>
      <c r="K796" t="n">
        <v>0</v>
      </c>
      <c r="L796" t="n">
        <v>0</v>
      </c>
      <c r="M796" t="n">
        <v>0</v>
      </c>
      <c r="N796" t="n">
        <v>0</v>
      </c>
      <c r="O796" t="n">
        <v>0</v>
      </c>
      <c r="P796" t="n">
        <v>0</v>
      </c>
      <c r="Q796" t="n">
        <v>0</v>
      </c>
      <c r="R796" s="2" t="inlineStr"/>
    </row>
    <row r="797" ht="15" customHeight="1">
      <c r="A797" t="inlineStr">
        <is>
          <t>A 62044-2024</t>
        </is>
      </c>
      <c r="B797" s="1" t="n">
        <v>45656</v>
      </c>
      <c r="C797" s="1" t="n">
        <v>45885</v>
      </c>
      <c r="D797" t="inlineStr">
        <is>
          <t>UPPSALA LÄN</t>
        </is>
      </c>
      <c r="E797" t="inlineStr">
        <is>
          <t>UPPSALA</t>
        </is>
      </c>
      <c r="F797" t="inlineStr">
        <is>
          <t>Övriga statliga verk och myndigheter</t>
        </is>
      </c>
      <c r="G797" t="n">
        <v>11.6</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45885</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27912-2023</t>
        </is>
      </c>
      <c r="B799" s="1" t="n">
        <v>45098.63572916666</v>
      </c>
      <c r="C799" s="1" t="n">
        <v>45885</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45885</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5764-2025</t>
        </is>
      </c>
      <c r="B801" s="1" t="n">
        <v>45694</v>
      </c>
      <c r="C801" s="1" t="n">
        <v>45885</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44820.47935185185</v>
      </c>
      <c r="C802" s="1" t="n">
        <v>45885</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5362-2023</t>
        </is>
      </c>
      <c r="B803" s="1" t="n">
        <v>44944</v>
      </c>
      <c r="C803" s="1" t="n">
        <v>45885</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21727-2023</t>
        </is>
      </c>
      <c r="B804" s="1" t="n">
        <v>45065.43013888889</v>
      </c>
      <c r="C804" s="1" t="n">
        <v>45885</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59116-2024</t>
        </is>
      </c>
      <c r="B805" s="1" t="n">
        <v>45637</v>
      </c>
      <c r="C805" s="1" t="n">
        <v>45885</v>
      </c>
      <c r="D805" t="inlineStr">
        <is>
          <t>UPPSALA LÄN</t>
        </is>
      </c>
      <c r="E805" t="inlineStr">
        <is>
          <t>UPPSALA</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69698-2021</t>
        </is>
      </c>
      <c r="B806" s="1" t="n">
        <v>44532</v>
      </c>
      <c r="C806" s="1" t="n">
        <v>45885</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61947-2023</t>
        </is>
      </c>
      <c r="B807" s="1" t="n">
        <v>45266</v>
      </c>
      <c r="C807" s="1" t="n">
        <v>45885</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5068-2025</t>
        </is>
      </c>
      <c r="B808" s="1" t="n">
        <v>45691</v>
      </c>
      <c r="C808" s="1" t="n">
        <v>45885</v>
      </c>
      <c r="D808" t="inlineStr">
        <is>
          <t>UPPSALA LÄN</t>
        </is>
      </c>
      <c r="E808" t="inlineStr">
        <is>
          <t>UPPSALA</t>
        </is>
      </c>
      <c r="G808" t="n">
        <v>5.9</v>
      </c>
      <c r="H808" t="n">
        <v>0</v>
      </c>
      <c r="I808" t="n">
        <v>0</v>
      </c>
      <c r="J808" t="n">
        <v>0</v>
      </c>
      <c r="K808" t="n">
        <v>0</v>
      </c>
      <c r="L808" t="n">
        <v>0</v>
      </c>
      <c r="M808" t="n">
        <v>0</v>
      </c>
      <c r="N808" t="n">
        <v>0</v>
      </c>
      <c r="O808" t="n">
        <v>0</v>
      </c>
      <c r="P808" t="n">
        <v>0</v>
      </c>
      <c r="Q808" t="n">
        <v>0</v>
      </c>
      <c r="R808" s="2" t="inlineStr"/>
    </row>
    <row r="809" ht="15" customHeight="1">
      <c r="A809" t="inlineStr">
        <is>
          <t>A 51661-2022</t>
        </is>
      </c>
      <c r="B809" s="1" t="n">
        <v>44872</v>
      </c>
      <c r="C809" s="1" t="n">
        <v>45885</v>
      </c>
      <c r="D809" t="inlineStr">
        <is>
          <t>UPPSALA LÄN</t>
        </is>
      </c>
      <c r="E809" t="inlineStr">
        <is>
          <t>UPPSALA</t>
        </is>
      </c>
      <c r="G809" t="n">
        <v>8.9</v>
      </c>
      <c r="H809" t="n">
        <v>0</v>
      </c>
      <c r="I809" t="n">
        <v>0</v>
      </c>
      <c r="J809" t="n">
        <v>0</v>
      </c>
      <c r="K809" t="n">
        <v>0</v>
      </c>
      <c r="L809" t="n">
        <v>0</v>
      </c>
      <c r="M809" t="n">
        <v>0</v>
      </c>
      <c r="N809" t="n">
        <v>0</v>
      </c>
      <c r="O809" t="n">
        <v>0</v>
      </c>
      <c r="P809" t="n">
        <v>0</v>
      </c>
      <c r="Q809" t="n">
        <v>0</v>
      </c>
      <c r="R809" s="2" t="inlineStr"/>
    </row>
    <row r="810" ht="15" customHeight="1">
      <c r="A810" t="inlineStr">
        <is>
          <t>A 15937-2025</t>
        </is>
      </c>
      <c r="B810" s="1" t="n">
        <v>45749.4737962963</v>
      </c>
      <c r="C810" s="1" t="n">
        <v>45885</v>
      </c>
      <c r="D810" t="inlineStr">
        <is>
          <t>UPPSALA LÄN</t>
        </is>
      </c>
      <c r="E810" t="inlineStr">
        <is>
          <t>UPPSALA</t>
        </is>
      </c>
      <c r="G810" t="n">
        <v>7.6</v>
      </c>
      <c r="H810" t="n">
        <v>0</v>
      </c>
      <c r="I810" t="n">
        <v>0</v>
      </c>
      <c r="J810" t="n">
        <v>0</v>
      </c>
      <c r="K810" t="n">
        <v>0</v>
      </c>
      <c r="L810" t="n">
        <v>0</v>
      </c>
      <c r="M810" t="n">
        <v>0</v>
      </c>
      <c r="N810" t="n">
        <v>0</v>
      </c>
      <c r="O810" t="n">
        <v>0</v>
      </c>
      <c r="P810" t="n">
        <v>0</v>
      </c>
      <c r="Q810" t="n">
        <v>0</v>
      </c>
      <c r="R810" s="2" t="inlineStr"/>
    </row>
    <row r="811" ht="15" customHeight="1">
      <c r="A811" t="inlineStr">
        <is>
          <t>A 5204-2025</t>
        </is>
      </c>
      <c r="B811" s="1" t="n">
        <v>45691</v>
      </c>
      <c r="C811" s="1" t="n">
        <v>45885</v>
      </c>
      <c r="D811" t="inlineStr">
        <is>
          <t>UPPSALA LÄN</t>
        </is>
      </c>
      <c r="E811" t="inlineStr">
        <is>
          <t>UPPSALA</t>
        </is>
      </c>
      <c r="G811" t="n">
        <v>3.7</v>
      </c>
      <c r="H811" t="n">
        <v>0</v>
      </c>
      <c r="I811" t="n">
        <v>0</v>
      </c>
      <c r="J811" t="n">
        <v>0</v>
      </c>
      <c r="K811" t="n">
        <v>0</v>
      </c>
      <c r="L811" t="n">
        <v>0</v>
      </c>
      <c r="M811" t="n">
        <v>0</v>
      </c>
      <c r="N811" t="n">
        <v>0</v>
      </c>
      <c r="O811" t="n">
        <v>0</v>
      </c>
      <c r="P811" t="n">
        <v>0</v>
      </c>
      <c r="Q811" t="n">
        <v>0</v>
      </c>
      <c r="R811" s="2" t="inlineStr"/>
    </row>
    <row r="812" ht="15" customHeight="1">
      <c r="A812" t="inlineStr">
        <is>
          <t>A 9993-2025</t>
        </is>
      </c>
      <c r="B812" s="1" t="n">
        <v>45719.43755787037</v>
      </c>
      <c r="C812" s="1" t="n">
        <v>45885</v>
      </c>
      <c r="D812" t="inlineStr">
        <is>
          <t>UPPSALA LÄN</t>
        </is>
      </c>
      <c r="E812" t="inlineStr">
        <is>
          <t>UPPSALA</t>
        </is>
      </c>
      <c r="F812" t="inlineStr">
        <is>
          <t>Kyrkan</t>
        </is>
      </c>
      <c r="G812" t="n">
        <v>6.1</v>
      </c>
      <c r="H812" t="n">
        <v>0</v>
      </c>
      <c r="I812" t="n">
        <v>0</v>
      </c>
      <c r="J812" t="n">
        <v>0</v>
      </c>
      <c r="K812" t="n">
        <v>0</v>
      </c>
      <c r="L812" t="n">
        <v>0</v>
      </c>
      <c r="M812" t="n">
        <v>0</v>
      </c>
      <c r="N812" t="n">
        <v>0</v>
      </c>
      <c r="O812" t="n">
        <v>0</v>
      </c>
      <c r="P812" t="n">
        <v>0</v>
      </c>
      <c r="Q812" t="n">
        <v>0</v>
      </c>
      <c r="R812" s="2" t="inlineStr"/>
    </row>
    <row r="813" ht="15" customHeight="1">
      <c r="A813" t="inlineStr">
        <is>
          <t>A 20102-2023</t>
        </is>
      </c>
      <c r="B813" s="1" t="n">
        <v>45054.95675925926</v>
      </c>
      <c r="C813" s="1" t="n">
        <v>45885</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32553-2024</t>
        </is>
      </c>
      <c r="B814" s="1" t="n">
        <v>45513.51815972223</v>
      </c>
      <c r="C814" s="1" t="n">
        <v>45885</v>
      </c>
      <c r="D814" t="inlineStr">
        <is>
          <t>UPPSALA LÄN</t>
        </is>
      </c>
      <c r="E814" t="inlineStr">
        <is>
          <t>UPPSALA</t>
        </is>
      </c>
      <c r="F814" t="inlineStr">
        <is>
          <t>Bergvik skog öst AB</t>
        </is>
      </c>
      <c r="G814" t="n">
        <v>4.1</v>
      </c>
      <c r="H814" t="n">
        <v>0</v>
      </c>
      <c r="I814" t="n">
        <v>0</v>
      </c>
      <c r="J814" t="n">
        <v>0</v>
      </c>
      <c r="K814" t="n">
        <v>0</v>
      </c>
      <c r="L814" t="n">
        <v>0</v>
      </c>
      <c r="M814" t="n">
        <v>0</v>
      </c>
      <c r="N814" t="n">
        <v>0</v>
      </c>
      <c r="O814" t="n">
        <v>0</v>
      </c>
      <c r="P814" t="n">
        <v>0</v>
      </c>
      <c r="Q814" t="n">
        <v>0</v>
      </c>
      <c r="R814" s="2" t="inlineStr"/>
    </row>
    <row r="815" ht="15" customHeight="1">
      <c r="A815" t="inlineStr">
        <is>
          <t>A 20248-2025</t>
        </is>
      </c>
      <c r="B815" s="1" t="n">
        <v>45772.77188657408</v>
      </c>
      <c r="C815" s="1" t="n">
        <v>45885</v>
      </c>
      <c r="D815" t="inlineStr">
        <is>
          <t>UPPSALA LÄN</t>
        </is>
      </c>
      <c r="E815" t="inlineStr">
        <is>
          <t>UPPSALA</t>
        </is>
      </c>
      <c r="G815" t="n">
        <v>7.7</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45885</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19276-2023</t>
        </is>
      </c>
      <c r="B817" s="1" t="n">
        <v>45049</v>
      </c>
      <c r="C817" s="1" t="n">
        <v>45885</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74493-2021</t>
        </is>
      </c>
      <c r="B818" s="1" t="n">
        <v>44560</v>
      </c>
      <c r="C818" s="1" t="n">
        <v>45885</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5974-2024</t>
        </is>
      </c>
      <c r="B819" s="1" t="n">
        <v>45336.53908564815</v>
      </c>
      <c r="C819" s="1" t="n">
        <v>45885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19017-2023</t>
        </is>
      </c>
      <c r="B820" s="1" t="n">
        <v>45047.31793981481</v>
      </c>
      <c r="C820" s="1" t="n">
        <v>45885</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53589-2024</t>
        </is>
      </c>
      <c r="B821" s="1" t="n">
        <v>45614.67020833334</v>
      </c>
      <c r="C821" s="1" t="n">
        <v>45885</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55862-2022</t>
        </is>
      </c>
      <c r="B822" s="1" t="n">
        <v>44888</v>
      </c>
      <c r="C822" s="1" t="n">
        <v>45885</v>
      </c>
      <c r="D822" t="inlineStr">
        <is>
          <t>UPPSALA LÄN</t>
        </is>
      </c>
      <c r="E822" t="inlineStr">
        <is>
          <t>UPPSALA</t>
        </is>
      </c>
      <c r="F822" t="inlineStr">
        <is>
          <t>Bergvik skog öst AB</t>
        </is>
      </c>
      <c r="G822" t="n">
        <v>1.6</v>
      </c>
      <c r="H822" t="n">
        <v>0</v>
      </c>
      <c r="I822" t="n">
        <v>0</v>
      </c>
      <c r="J822" t="n">
        <v>0</v>
      </c>
      <c r="K822" t="n">
        <v>0</v>
      </c>
      <c r="L822" t="n">
        <v>0</v>
      </c>
      <c r="M822" t="n">
        <v>0</v>
      </c>
      <c r="N822" t="n">
        <v>0</v>
      </c>
      <c r="O822" t="n">
        <v>0</v>
      </c>
      <c r="P822" t="n">
        <v>0</v>
      </c>
      <c r="Q822" t="n">
        <v>0</v>
      </c>
      <c r="R822" s="2" t="inlineStr"/>
    </row>
    <row r="823" ht="15" customHeight="1">
      <c r="A823" t="inlineStr">
        <is>
          <t>A 1020-2021</t>
        </is>
      </c>
      <c r="B823" s="1" t="n">
        <v>44207</v>
      </c>
      <c r="C823" s="1" t="n">
        <v>45885</v>
      </c>
      <c r="D823" t="inlineStr">
        <is>
          <t>UPPSALA LÄN</t>
        </is>
      </c>
      <c r="E823" t="inlineStr">
        <is>
          <t>UPPSALA</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33191-2023</t>
        </is>
      </c>
      <c r="B824" s="1" t="n">
        <v>45127</v>
      </c>
      <c r="C824" s="1" t="n">
        <v>45885</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34265-2021</t>
        </is>
      </c>
      <c r="B825" s="1" t="n">
        <v>44379.5745949074</v>
      </c>
      <c r="C825" s="1" t="n">
        <v>45885</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19613-2025</t>
        </is>
      </c>
      <c r="B826" s="1" t="n">
        <v>45770.61341435185</v>
      </c>
      <c r="C826" s="1" t="n">
        <v>45885</v>
      </c>
      <c r="D826" t="inlineStr">
        <is>
          <t>UPPSALA LÄN</t>
        </is>
      </c>
      <c r="E826" t="inlineStr">
        <is>
          <t>UPPSALA</t>
        </is>
      </c>
      <c r="F826" t="inlineStr">
        <is>
          <t>Övriga Aktiebolag</t>
        </is>
      </c>
      <c r="G826" t="n">
        <v>2.2</v>
      </c>
      <c r="H826" t="n">
        <v>0</v>
      </c>
      <c r="I826" t="n">
        <v>0</v>
      </c>
      <c r="J826" t="n">
        <v>0</v>
      </c>
      <c r="K826" t="n">
        <v>0</v>
      </c>
      <c r="L826" t="n">
        <v>0</v>
      </c>
      <c r="M826" t="n">
        <v>0</v>
      </c>
      <c r="N826" t="n">
        <v>0</v>
      </c>
      <c r="O826" t="n">
        <v>0</v>
      </c>
      <c r="P826" t="n">
        <v>0</v>
      </c>
      <c r="Q826" t="n">
        <v>0</v>
      </c>
      <c r="R826" s="2" t="inlineStr"/>
    </row>
    <row r="827" ht="15" customHeight="1">
      <c r="A827" t="inlineStr">
        <is>
          <t>A 2695-2025</t>
        </is>
      </c>
      <c r="B827" s="1" t="n">
        <v>45677.39440972222</v>
      </c>
      <c r="C827" s="1" t="n">
        <v>45885</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19139-2023</t>
        </is>
      </c>
      <c r="B828" s="1" t="n">
        <v>45048.55349537037</v>
      </c>
      <c r="C828" s="1" t="n">
        <v>45885</v>
      </c>
      <c r="D828" t="inlineStr">
        <is>
          <t>UPPSALA LÄN</t>
        </is>
      </c>
      <c r="E828" t="inlineStr">
        <is>
          <t>UPPSALA</t>
        </is>
      </c>
      <c r="G828" t="n">
        <v>3</v>
      </c>
      <c r="H828" t="n">
        <v>0</v>
      </c>
      <c r="I828" t="n">
        <v>0</v>
      </c>
      <c r="J828" t="n">
        <v>0</v>
      </c>
      <c r="K828" t="n">
        <v>0</v>
      </c>
      <c r="L828" t="n">
        <v>0</v>
      </c>
      <c r="M828" t="n">
        <v>0</v>
      </c>
      <c r="N828" t="n">
        <v>0</v>
      </c>
      <c r="O828" t="n">
        <v>0</v>
      </c>
      <c r="P828" t="n">
        <v>0</v>
      </c>
      <c r="Q828" t="n">
        <v>0</v>
      </c>
      <c r="R828" s="2" t="inlineStr"/>
    </row>
    <row r="829" ht="15" customHeight="1">
      <c r="A829" t="inlineStr">
        <is>
          <t>A 40325-2023</t>
        </is>
      </c>
      <c r="B829" s="1" t="n">
        <v>45169</v>
      </c>
      <c r="C829" s="1" t="n">
        <v>45885</v>
      </c>
      <c r="D829" t="inlineStr">
        <is>
          <t>UPPSALA LÄN</t>
        </is>
      </c>
      <c r="E829" t="inlineStr">
        <is>
          <t>UPPSALA</t>
        </is>
      </c>
      <c r="F829" t="inlineStr">
        <is>
          <t>Kommuner</t>
        </is>
      </c>
      <c r="G829" t="n">
        <v>1.3</v>
      </c>
      <c r="H829" t="n">
        <v>0</v>
      </c>
      <c r="I829" t="n">
        <v>0</v>
      </c>
      <c r="J829" t="n">
        <v>0</v>
      </c>
      <c r="K829" t="n">
        <v>0</v>
      </c>
      <c r="L829" t="n">
        <v>0</v>
      </c>
      <c r="M829" t="n">
        <v>0</v>
      </c>
      <c r="N829" t="n">
        <v>0</v>
      </c>
      <c r="O829" t="n">
        <v>0</v>
      </c>
      <c r="P829" t="n">
        <v>0</v>
      </c>
      <c r="Q829" t="n">
        <v>0</v>
      </c>
      <c r="R829" s="2" t="inlineStr"/>
    </row>
    <row r="830" ht="15" customHeight="1">
      <c r="A830" t="inlineStr">
        <is>
          <t>A 56872-2023</t>
        </is>
      </c>
      <c r="B830" s="1" t="n">
        <v>45244.52202546296</v>
      </c>
      <c r="C830" s="1" t="n">
        <v>45885</v>
      </c>
      <c r="D830" t="inlineStr">
        <is>
          <t>UPPSALA LÄN</t>
        </is>
      </c>
      <c r="E830" t="inlineStr">
        <is>
          <t>UPPSALA</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45885</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20301-2024</t>
        </is>
      </c>
      <c r="B832" s="1" t="n">
        <v>45435.34778935185</v>
      </c>
      <c r="C832" s="1" t="n">
        <v>45885</v>
      </c>
      <c r="D832" t="inlineStr">
        <is>
          <t>UPPSALA LÄN</t>
        </is>
      </c>
      <c r="E832" t="inlineStr">
        <is>
          <t>UPPSALA</t>
        </is>
      </c>
      <c r="F832" t="inlineStr">
        <is>
          <t>Kyrkan</t>
        </is>
      </c>
      <c r="G832" t="n">
        <v>2.8</v>
      </c>
      <c r="H832" t="n">
        <v>0</v>
      </c>
      <c r="I832" t="n">
        <v>0</v>
      </c>
      <c r="J832" t="n">
        <v>0</v>
      </c>
      <c r="K832" t="n">
        <v>0</v>
      </c>
      <c r="L832" t="n">
        <v>0</v>
      </c>
      <c r="M832" t="n">
        <v>0</v>
      </c>
      <c r="N832" t="n">
        <v>0</v>
      </c>
      <c r="O832" t="n">
        <v>0</v>
      </c>
      <c r="P832" t="n">
        <v>0</v>
      </c>
      <c r="Q832" t="n">
        <v>0</v>
      </c>
      <c r="R832" s="2" t="inlineStr"/>
    </row>
    <row r="833" ht="15" customHeight="1">
      <c r="A833" t="inlineStr">
        <is>
          <t>A 60814-2023</t>
        </is>
      </c>
      <c r="B833" s="1" t="n">
        <v>45259</v>
      </c>
      <c r="C833" s="1" t="n">
        <v>45885</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18805-2025</t>
        </is>
      </c>
      <c r="B834" s="1" t="n">
        <v>45763</v>
      </c>
      <c r="C834" s="1" t="n">
        <v>45885</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39007-2024</t>
        </is>
      </c>
      <c r="B835" s="1" t="n">
        <v>45548.42854166667</v>
      </c>
      <c r="C835" s="1" t="n">
        <v>45885</v>
      </c>
      <c r="D835" t="inlineStr">
        <is>
          <t>UPPSALA LÄN</t>
        </is>
      </c>
      <c r="E835" t="inlineStr">
        <is>
          <t>UPPSALA</t>
        </is>
      </c>
      <c r="G835" t="n">
        <v>3.1</v>
      </c>
      <c r="H835" t="n">
        <v>0</v>
      </c>
      <c r="I835" t="n">
        <v>0</v>
      </c>
      <c r="J835" t="n">
        <v>0</v>
      </c>
      <c r="K835" t="n">
        <v>0</v>
      </c>
      <c r="L835" t="n">
        <v>0</v>
      </c>
      <c r="M835" t="n">
        <v>0</v>
      </c>
      <c r="N835" t="n">
        <v>0</v>
      </c>
      <c r="O835" t="n">
        <v>0</v>
      </c>
      <c r="P835" t="n">
        <v>0</v>
      </c>
      <c r="Q835" t="n">
        <v>0</v>
      </c>
      <c r="R835" s="2" t="inlineStr"/>
    </row>
    <row r="836" ht="15" customHeight="1">
      <c r="A836" t="inlineStr">
        <is>
          <t>A 51935-2023</t>
        </is>
      </c>
      <c r="B836" s="1" t="n">
        <v>45223</v>
      </c>
      <c r="C836" s="1" t="n">
        <v>45885</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40507-2021</t>
        </is>
      </c>
      <c r="B837" s="1" t="n">
        <v>44420</v>
      </c>
      <c r="C837" s="1" t="n">
        <v>45885</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11744-2023</t>
        </is>
      </c>
      <c r="B838" s="1" t="n">
        <v>44993</v>
      </c>
      <c r="C838" s="1" t="n">
        <v>45885</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9235-2025</t>
        </is>
      </c>
      <c r="B839" s="1" t="n">
        <v>45714.55368055555</v>
      </c>
      <c r="C839" s="1" t="n">
        <v>45885</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69595-2021</t>
        </is>
      </c>
      <c r="B840" s="1" t="n">
        <v>44532</v>
      </c>
      <c r="C840" s="1" t="n">
        <v>45885</v>
      </c>
      <c r="D840" t="inlineStr">
        <is>
          <t>UPPSALA LÄN</t>
        </is>
      </c>
      <c r="E840" t="inlineStr">
        <is>
          <t>UPPSALA</t>
        </is>
      </c>
      <c r="G840" t="n">
        <v>3.9</v>
      </c>
      <c r="H840" t="n">
        <v>0</v>
      </c>
      <c r="I840" t="n">
        <v>0</v>
      </c>
      <c r="J840" t="n">
        <v>0</v>
      </c>
      <c r="K840" t="n">
        <v>0</v>
      </c>
      <c r="L840" t="n">
        <v>0</v>
      </c>
      <c r="M840" t="n">
        <v>0</v>
      </c>
      <c r="N840" t="n">
        <v>0</v>
      </c>
      <c r="O840" t="n">
        <v>0</v>
      </c>
      <c r="P840" t="n">
        <v>0</v>
      </c>
      <c r="Q840" t="n">
        <v>0</v>
      </c>
      <c r="R840" s="2" t="inlineStr"/>
    </row>
    <row r="841" ht="15" customHeight="1">
      <c r="A841" t="inlineStr">
        <is>
          <t>A 44830-2023</t>
        </is>
      </c>
      <c r="B841" s="1" t="n">
        <v>45190</v>
      </c>
      <c r="C841" s="1" t="n">
        <v>45885</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11119-2025</t>
        </is>
      </c>
      <c r="B842" s="1" t="n">
        <v>45723.63290509259</v>
      </c>
      <c r="C842" s="1" t="n">
        <v>45885</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18626-2025</t>
        </is>
      </c>
      <c r="B843" s="1" t="n">
        <v>45763.52995370371</v>
      </c>
      <c r="C843" s="1" t="n">
        <v>45885</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69432-2021</t>
        </is>
      </c>
      <c r="B844" s="1" t="n">
        <v>44531</v>
      </c>
      <c r="C844" s="1" t="n">
        <v>45885</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9426-2023</t>
        </is>
      </c>
      <c r="B845" s="1" t="n">
        <v>44977</v>
      </c>
      <c r="C845" s="1" t="n">
        <v>45885</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5975-2024</t>
        </is>
      </c>
      <c r="B846" s="1" t="n">
        <v>45336.54270833333</v>
      </c>
      <c r="C846" s="1" t="n">
        <v>45885</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69691-2021</t>
        </is>
      </c>
      <c r="B847" s="1" t="n">
        <v>44532</v>
      </c>
      <c r="C847" s="1" t="n">
        <v>45885</v>
      </c>
      <c r="D847" t="inlineStr">
        <is>
          <t>UPPSALA LÄN</t>
        </is>
      </c>
      <c r="E847" t="inlineStr">
        <is>
          <t>UPPSALA</t>
        </is>
      </c>
      <c r="G847" t="n">
        <v>2.3</v>
      </c>
      <c r="H847" t="n">
        <v>0</v>
      </c>
      <c r="I847" t="n">
        <v>0</v>
      </c>
      <c r="J847" t="n">
        <v>0</v>
      </c>
      <c r="K847" t="n">
        <v>0</v>
      </c>
      <c r="L847" t="n">
        <v>0</v>
      </c>
      <c r="M847" t="n">
        <v>0</v>
      </c>
      <c r="N847" t="n">
        <v>0</v>
      </c>
      <c r="O847" t="n">
        <v>0</v>
      </c>
      <c r="P847" t="n">
        <v>0</v>
      </c>
      <c r="Q847" t="n">
        <v>0</v>
      </c>
      <c r="R847" s="2" t="inlineStr"/>
    </row>
    <row r="848" ht="15" customHeight="1">
      <c r="A848" t="inlineStr">
        <is>
          <t>A 32428-2023</t>
        </is>
      </c>
      <c r="B848" s="1" t="n">
        <v>45110</v>
      </c>
      <c r="C848" s="1" t="n">
        <v>45885</v>
      </c>
      <c r="D848" t="inlineStr">
        <is>
          <t>UPPSALA LÄN</t>
        </is>
      </c>
      <c r="E848" t="inlineStr">
        <is>
          <t>UPPSALA</t>
        </is>
      </c>
      <c r="G848" t="n">
        <v>3.1</v>
      </c>
      <c r="H848" t="n">
        <v>0</v>
      </c>
      <c r="I848" t="n">
        <v>0</v>
      </c>
      <c r="J848" t="n">
        <v>0</v>
      </c>
      <c r="K848" t="n">
        <v>0</v>
      </c>
      <c r="L848" t="n">
        <v>0</v>
      </c>
      <c r="M848" t="n">
        <v>0</v>
      </c>
      <c r="N848" t="n">
        <v>0</v>
      </c>
      <c r="O848" t="n">
        <v>0</v>
      </c>
      <c r="P848" t="n">
        <v>0</v>
      </c>
      <c r="Q848" t="n">
        <v>0</v>
      </c>
      <c r="R848" s="2" t="inlineStr"/>
    </row>
    <row r="849" ht="15" customHeight="1">
      <c r="A849" t="inlineStr">
        <is>
          <t>A 45489-2023</t>
        </is>
      </c>
      <c r="B849" s="1" t="n">
        <v>45194</v>
      </c>
      <c r="C849" s="1" t="n">
        <v>45885</v>
      </c>
      <c r="D849" t="inlineStr">
        <is>
          <t>UPPSALA LÄN</t>
        </is>
      </c>
      <c r="E849" t="inlineStr">
        <is>
          <t>UPPSALA</t>
        </is>
      </c>
      <c r="F849" t="inlineStr">
        <is>
          <t>Allmännings- och besparingsskogar</t>
        </is>
      </c>
      <c r="G849" t="n">
        <v>15.8</v>
      </c>
      <c r="H849" t="n">
        <v>0</v>
      </c>
      <c r="I849" t="n">
        <v>0</v>
      </c>
      <c r="J849" t="n">
        <v>0</v>
      </c>
      <c r="K849" t="n">
        <v>0</v>
      </c>
      <c r="L849" t="n">
        <v>0</v>
      </c>
      <c r="M849" t="n">
        <v>0</v>
      </c>
      <c r="N849" t="n">
        <v>0</v>
      </c>
      <c r="O849" t="n">
        <v>0</v>
      </c>
      <c r="P849" t="n">
        <v>0</v>
      </c>
      <c r="Q849" t="n">
        <v>0</v>
      </c>
      <c r="R849" s="2" t="inlineStr"/>
    </row>
    <row r="850" ht="15" customHeight="1">
      <c r="A850" t="inlineStr">
        <is>
          <t>A 17587-2025</t>
        </is>
      </c>
      <c r="B850" s="1" t="n">
        <v>45757.67611111111</v>
      </c>
      <c r="C850" s="1" t="n">
        <v>45885</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24012-2023</t>
        </is>
      </c>
      <c r="B851" s="1" t="n">
        <v>45078</v>
      </c>
      <c r="C851" s="1" t="n">
        <v>45885</v>
      </c>
      <c r="D851" t="inlineStr">
        <is>
          <t>UPPSALA LÄN</t>
        </is>
      </c>
      <c r="E851" t="inlineStr">
        <is>
          <t>UPPSALA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27473-2024</t>
        </is>
      </c>
      <c r="B852" s="1" t="n">
        <v>45474</v>
      </c>
      <c r="C852" s="1" t="n">
        <v>45885</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33797-2021</t>
        </is>
      </c>
      <c r="B853" s="1" t="n">
        <v>44378.56137731481</v>
      </c>
      <c r="C853" s="1" t="n">
        <v>45885</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53614-2024</t>
        </is>
      </c>
      <c r="B854" s="1" t="n">
        <v>45611</v>
      </c>
      <c r="C854" s="1" t="n">
        <v>45885</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53379-2020</t>
        </is>
      </c>
      <c r="B855" s="1" t="n">
        <v>44123</v>
      </c>
      <c r="C855" s="1" t="n">
        <v>45885</v>
      </c>
      <c r="D855" t="inlineStr">
        <is>
          <t>UPPSALA LÄN</t>
        </is>
      </c>
      <c r="E855" t="inlineStr">
        <is>
          <t>UPPSALA</t>
        </is>
      </c>
      <c r="G855" t="n">
        <v>2.6</v>
      </c>
      <c r="H855" t="n">
        <v>0</v>
      </c>
      <c r="I855" t="n">
        <v>0</v>
      </c>
      <c r="J855" t="n">
        <v>0</v>
      </c>
      <c r="K855" t="n">
        <v>0</v>
      </c>
      <c r="L855" t="n">
        <v>0</v>
      </c>
      <c r="M855" t="n">
        <v>0</v>
      </c>
      <c r="N855" t="n">
        <v>0</v>
      </c>
      <c r="O855" t="n">
        <v>0</v>
      </c>
      <c r="P855" t="n">
        <v>0</v>
      </c>
      <c r="Q855" t="n">
        <v>0</v>
      </c>
      <c r="R855" s="2" t="inlineStr"/>
    </row>
    <row r="856" ht="15" customHeight="1">
      <c r="A856" t="inlineStr">
        <is>
          <t>A 57271-2020</t>
        </is>
      </c>
      <c r="B856" s="1" t="n">
        <v>44139</v>
      </c>
      <c r="C856" s="1" t="n">
        <v>45885</v>
      </c>
      <c r="D856" t="inlineStr">
        <is>
          <t>UPPSALA LÄN</t>
        </is>
      </c>
      <c r="E856" t="inlineStr">
        <is>
          <t>UPPSALA</t>
        </is>
      </c>
      <c r="G856" t="n">
        <v>3.8</v>
      </c>
      <c r="H856" t="n">
        <v>0</v>
      </c>
      <c r="I856" t="n">
        <v>0</v>
      </c>
      <c r="J856" t="n">
        <v>0</v>
      </c>
      <c r="K856" t="n">
        <v>0</v>
      </c>
      <c r="L856" t="n">
        <v>0</v>
      </c>
      <c r="M856" t="n">
        <v>0</v>
      </c>
      <c r="N856" t="n">
        <v>0</v>
      </c>
      <c r="O856" t="n">
        <v>0</v>
      </c>
      <c r="P856" t="n">
        <v>0</v>
      </c>
      <c r="Q856" t="n">
        <v>0</v>
      </c>
      <c r="R856" s="2" t="inlineStr"/>
    </row>
    <row r="857" ht="15" customHeight="1">
      <c r="A857" t="inlineStr">
        <is>
          <t>A 784-2024</t>
        </is>
      </c>
      <c r="B857" s="1" t="n">
        <v>45300.55680555556</v>
      </c>
      <c r="C857" s="1" t="n">
        <v>45885</v>
      </c>
      <c r="D857" t="inlineStr">
        <is>
          <t>UPPSALA LÄN</t>
        </is>
      </c>
      <c r="E857" t="inlineStr">
        <is>
          <t>UPPSALA</t>
        </is>
      </c>
      <c r="G857" t="n">
        <v>6.6</v>
      </c>
      <c r="H857" t="n">
        <v>0</v>
      </c>
      <c r="I857" t="n">
        <v>0</v>
      </c>
      <c r="J857" t="n">
        <v>0</v>
      </c>
      <c r="K857" t="n">
        <v>0</v>
      </c>
      <c r="L857" t="n">
        <v>0</v>
      </c>
      <c r="M857" t="n">
        <v>0</v>
      </c>
      <c r="N857" t="n">
        <v>0</v>
      </c>
      <c r="O857" t="n">
        <v>0</v>
      </c>
      <c r="P857" t="n">
        <v>0</v>
      </c>
      <c r="Q857" t="n">
        <v>0</v>
      </c>
      <c r="R857" s="2" t="inlineStr"/>
    </row>
    <row r="858" ht="15" customHeight="1">
      <c r="A858" t="inlineStr">
        <is>
          <t>A 48153-2024</t>
        </is>
      </c>
      <c r="B858" s="1" t="n">
        <v>45589</v>
      </c>
      <c r="C858" s="1" t="n">
        <v>45885</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48154-2024</t>
        </is>
      </c>
      <c r="B859" s="1" t="n">
        <v>45589</v>
      </c>
      <c r="C859" s="1" t="n">
        <v>45885</v>
      </c>
      <c r="D859" t="inlineStr">
        <is>
          <t>UPPSALA LÄN</t>
        </is>
      </c>
      <c r="E859" t="inlineStr">
        <is>
          <t>UPPSALA</t>
        </is>
      </c>
      <c r="G859" t="n">
        <v>5.1</v>
      </c>
      <c r="H859" t="n">
        <v>0</v>
      </c>
      <c r="I859" t="n">
        <v>0</v>
      </c>
      <c r="J859" t="n">
        <v>0</v>
      </c>
      <c r="K859" t="n">
        <v>0</v>
      </c>
      <c r="L859" t="n">
        <v>0</v>
      </c>
      <c r="M859" t="n">
        <v>0</v>
      </c>
      <c r="N859" t="n">
        <v>0</v>
      </c>
      <c r="O859" t="n">
        <v>0</v>
      </c>
      <c r="P859" t="n">
        <v>0</v>
      </c>
      <c r="Q859" t="n">
        <v>0</v>
      </c>
      <c r="R859" s="2" t="inlineStr"/>
    </row>
    <row r="860" ht="15" customHeight="1">
      <c r="A860" t="inlineStr">
        <is>
          <t>A 8132-2022</t>
        </is>
      </c>
      <c r="B860" s="1" t="n">
        <v>44609.60171296296</v>
      </c>
      <c r="C860" s="1" t="n">
        <v>45885</v>
      </c>
      <c r="D860" t="inlineStr">
        <is>
          <t>UPPSALA LÄN</t>
        </is>
      </c>
      <c r="E860" t="inlineStr">
        <is>
          <t>UPPSALA</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47221-2023</t>
        </is>
      </c>
      <c r="B861" s="1" t="n">
        <v>45202</v>
      </c>
      <c r="C861" s="1" t="n">
        <v>45885</v>
      </c>
      <c r="D861" t="inlineStr">
        <is>
          <t>UPPSALA LÄN</t>
        </is>
      </c>
      <c r="E861" t="inlineStr">
        <is>
          <t>UPPSALA</t>
        </is>
      </c>
      <c r="G861" t="n">
        <v>8.6</v>
      </c>
      <c r="H861" t="n">
        <v>0</v>
      </c>
      <c r="I861" t="n">
        <v>0</v>
      </c>
      <c r="J861" t="n">
        <v>0</v>
      </c>
      <c r="K861" t="n">
        <v>0</v>
      </c>
      <c r="L861" t="n">
        <v>0</v>
      </c>
      <c r="M861" t="n">
        <v>0</v>
      </c>
      <c r="N861" t="n">
        <v>0</v>
      </c>
      <c r="O861" t="n">
        <v>0</v>
      </c>
      <c r="P861" t="n">
        <v>0</v>
      </c>
      <c r="Q861" t="n">
        <v>0</v>
      </c>
      <c r="R861" s="2" t="inlineStr"/>
    </row>
    <row r="862" ht="15" customHeight="1">
      <c r="A862" t="inlineStr">
        <is>
          <t>A 62471-2021</t>
        </is>
      </c>
      <c r="B862" s="1" t="n">
        <v>44503</v>
      </c>
      <c r="C862" s="1" t="n">
        <v>45885</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45885</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24091-2024</t>
        </is>
      </c>
      <c r="B864" s="1" t="n">
        <v>45456.58491898148</v>
      </c>
      <c r="C864" s="1" t="n">
        <v>45885</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57714-2022</t>
        </is>
      </c>
      <c r="B865" s="1" t="n">
        <v>44897</v>
      </c>
      <c r="C865" s="1" t="n">
        <v>45885</v>
      </c>
      <c r="D865" t="inlineStr">
        <is>
          <t>UPPSALA LÄN</t>
        </is>
      </c>
      <c r="E865" t="inlineStr">
        <is>
          <t>UPPSALA</t>
        </is>
      </c>
      <c r="G865" t="n">
        <v>8.9</v>
      </c>
      <c r="H865" t="n">
        <v>0</v>
      </c>
      <c r="I865" t="n">
        <v>0</v>
      </c>
      <c r="J865" t="n">
        <v>0</v>
      </c>
      <c r="K865" t="n">
        <v>0</v>
      </c>
      <c r="L865" t="n">
        <v>0</v>
      </c>
      <c r="M865" t="n">
        <v>0</v>
      </c>
      <c r="N865" t="n">
        <v>0</v>
      </c>
      <c r="O865" t="n">
        <v>0</v>
      </c>
      <c r="P865" t="n">
        <v>0</v>
      </c>
      <c r="Q865" t="n">
        <v>0</v>
      </c>
      <c r="R865" s="2" t="inlineStr"/>
    </row>
    <row r="866" ht="15" customHeight="1">
      <c r="A866" t="inlineStr">
        <is>
          <t>A 59358-2024</t>
        </is>
      </c>
      <c r="B866" s="1" t="n">
        <v>45638</v>
      </c>
      <c r="C866" s="1" t="n">
        <v>45885</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58023-2022</t>
        </is>
      </c>
      <c r="B867" s="1" t="n">
        <v>44900.54711805555</v>
      </c>
      <c r="C867" s="1" t="n">
        <v>45885</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45885</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5374-2023</t>
        </is>
      </c>
      <c r="B869" s="1" t="n">
        <v>44944</v>
      </c>
      <c r="C869" s="1" t="n">
        <v>45885</v>
      </c>
      <c r="D869" t="inlineStr">
        <is>
          <t>UPPSALA LÄN</t>
        </is>
      </c>
      <c r="E869" t="inlineStr">
        <is>
          <t>UPPSALA</t>
        </is>
      </c>
      <c r="G869" t="n">
        <v>3.5</v>
      </c>
      <c r="H869" t="n">
        <v>0</v>
      </c>
      <c r="I869" t="n">
        <v>0</v>
      </c>
      <c r="J869" t="n">
        <v>0</v>
      </c>
      <c r="K869" t="n">
        <v>0</v>
      </c>
      <c r="L869" t="n">
        <v>0</v>
      </c>
      <c r="M869" t="n">
        <v>0</v>
      </c>
      <c r="N869" t="n">
        <v>0</v>
      </c>
      <c r="O869" t="n">
        <v>0</v>
      </c>
      <c r="P869" t="n">
        <v>0</v>
      </c>
      <c r="Q869" t="n">
        <v>0</v>
      </c>
      <c r="R869" s="2" t="inlineStr"/>
    </row>
    <row r="870" ht="15" customHeight="1">
      <c r="A870" t="inlineStr">
        <is>
          <t>A 12284-2025</t>
        </is>
      </c>
      <c r="B870" s="1" t="n">
        <v>45729</v>
      </c>
      <c r="C870" s="1" t="n">
        <v>45885</v>
      </c>
      <c r="D870" t="inlineStr">
        <is>
          <t>UPPSALA LÄN</t>
        </is>
      </c>
      <c r="E870" t="inlineStr">
        <is>
          <t>UPPSALA</t>
        </is>
      </c>
      <c r="G870" t="n">
        <v>6.7</v>
      </c>
      <c r="H870" t="n">
        <v>0</v>
      </c>
      <c r="I870" t="n">
        <v>0</v>
      </c>
      <c r="J870" t="n">
        <v>0</v>
      </c>
      <c r="K870" t="n">
        <v>0</v>
      </c>
      <c r="L870" t="n">
        <v>0</v>
      </c>
      <c r="M870" t="n">
        <v>0</v>
      </c>
      <c r="N870" t="n">
        <v>0</v>
      </c>
      <c r="O870" t="n">
        <v>0</v>
      </c>
      <c r="P870" t="n">
        <v>0</v>
      </c>
      <c r="Q870" t="n">
        <v>0</v>
      </c>
      <c r="R870" s="2" t="inlineStr"/>
    </row>
    <row r="871" ht="15" customHeight="1">
      <c r="A871" t="inlineStr">
        <is>
          <t>A 12287-2025</t>
        </is>
      </c>
      <c r="B871" s="1" t="n">
        <v>45729</v>
      </c>
      <c r="C871" s="1" t="n">
        <v>45885</v>
      </c>
      <c r="D871" t="inlineStr">
        <is>
          <t>UPPSALA LÄN</t>
        </is>
      </c>
      <c r="E871" t="inlineStr">
        <is>
          <t>UPPSALA</t>
        </is>
      </c>
      <c r="G871" t="n">
        <v>4.6</v>
      </c>
      <c r="H871" t="n">
        <v>0</v>
      </c>
      <c r="I871" t="n">
        <v>0</v>
      </c>
      <c r="J871" t="n">
        <v>0</v>
      </c>
      <c r="K871" t="n">
        <v>0</v>
      </c>
      <c r="L871" t="n">
        <v>0</v>
      </c>
      <c r="M871" t="n">
        <v>0</v>
      </c>
      <c r="N871" t="n">
        <v>0</v>
      </c>
      <c r="O871" t="n">
        <v>0</v>
      </c>
      <c r="P871" t="n">
        <v>0</v>
      </c>
      <c r="Q871" t="n">
        <v>0</v>
      </c>
      <c r="R871" s="2" t="inlineStr"/>
    </row>
    <row r="872" ht="15" customHeight="1">
      <c r="A872" t="inlineStr">
        <is>
          <t>A 40503-2024</t>
        </is>
      </c>
      <c r="B872" s="1" t="n">
        <v>45555.5727662037</v>
      </c>
      <c r="C872" s="1" t="n">
        <v>45885</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341-2024</t>
        </is>
      </c>
      <c r="B873" s="1" t="n">
        <v>45295</v>
      </c>
      <c r="C873" s="1" t="n">
        <v>45885</v>
      </c>
      <c r="D873" t="inlineStr">
        <is>
          <t>UPPSALA LÄN</t>
        </is>
      </c>
      <c r="E873" t="inlineStr">
        <is>
          <t>UPPSALA</t>
        </is>
      </c>
      <c r="F873" t="inlineStr">
        <is>
          <t>Allmännings- och besparingsskogar</t>
        </is>
      </c>
      <c r="G873" t="n">
        <v>1.8</v>
      </c>
      <c r="H873" t="n">
        <v>0</v>
      </c>
      <c r="I873" t="n">
        <v>0</v>
      </c>
      <c r="J873" t="n">
        <v>0</v>
      </c>
      <c r="K873" t="n">
        <v>0</v>
      </c>
      <c r="L873" t="n">
        <v>0</v>
      </c>
      <c r="M873" t="n">
        <v>0</v>
      </c>
      <c r="N873" t="n">
        <v>0</v>
      </c>
      <c r="O873" t="n">
        <v>0</v>
      </c>
      <c r="P873" t="n">
        <v>0</v>
      </c>
      <c r="Q873" t="n">
        <v>0</v>
      </c>
      <c r="R873" s="2" t="inlineStr"/>
    </row>
    <row r="874" ht="15" customHeight="1">
      <c r="A874" t="inlineStr">
        <is>
          <t>A 64353-2020</t>
        </is>
      </c>
      <c r="B874" s="1" t="n">
        <v>44168.55746527778</v>
      </c>
      <c r="C874" s="1" t="n">
        <v>45885</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4461-2024</t>
        </is>
      </c>
      <c r="B875" s="1" t="n">
        <v>45327</v>
      </c>
      <c r="C875" s="1" t="n">
        <v>45885</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14784-2023</t>
        </is>
      </c>
      <c r="B876" s="1" t="n">
        <v>45014</v>
      </c>
      <c r="C876" s="1" t="n">
        <v>45885</v>
      </c>
      <c r="D876" t="inlineStr">
        <is>
          <t>UPPSALA LÄN</t>
        </is>
      </c>
      <c r="E876" t="inlineStr">
        <is>
          <t>UPPSALA</t>
        </is>
      </c>
      <c r="G876" t="n">
        <v>4.7</v>
      </c>
      <c r="H876" t="n">
        <v>0</v>
      </c>
      <c r="I876" t="n">
        <v>0</v>
      </c>
      <c r="J876" t="n">
        <v>0</v>
      </c>
      <c r="K876" t="n">
        <v>0</v>
      </c>
      <c r="L876" t="n">
        <v>0</v>
      </c>
      <c r="M876" t="n">
        <v>0</v>
      </c>
      <c r="N876" t="n">
        <v>0</v>
      </c>
      <c r="O876" t="n">
        <v>0</v>
      </c>
      <c r="P876" t="n">
        <v>0</v>
      </c>
      <c r="Q876" t="n">
        <v>0</v>
      </c>
      <c r="R876" s="2" t="inlineStr"/>
    </row>
    <row r="877" ht="15" customHeight="1">
      <c r="A877" t="inlineStr">
        <is>
          <t>A 51576-2023</t>
        </is>
      </c>
      <c r="B877" s="1" t="n">
        <v>45222</v>
      </c>
      <c r="C877" s="1" t="n">
        <v>45885</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4929-2022</t>
        </is>
      </c>
      <c r="B878" s="1" t="n">
        <v>44593</v>
      </c>
      <c r="C878" s="1" t="n">
        <v>45885</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45885</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6012-2025</t>
        </is>
      </c>
      <c r="B880" s="1" t="n">
        <v>45695.59805555556</v>
      </c>
      <c r="C880" s="1" t="n">
        <v>45885</v>
      </c>
      <c r="D880" t="inlineStr">
        <is>
          <t>UPPSALA LÄN</t>
        </is>
      </c>
      <c r="E880" t="inlineStr">
        <is>
          <t>UPPSALA</t>
        </is>
      </c>
      <c r="F880" t="inlineStr">
        <is>
          <t>Övriga Aktiebolag</t>
        </is>
      </c>
      <c r="G880" t="n">
        <v>14.3</v>
      </c>
      <c r="H880" t="n">
        <v>0</v>
      </c>
      <c r="I880" t="n">
        <v>0</v>
      </c>
      <c r="J880" t="n">
        <v>0</v>
      </c>
      <c r="K880" t="n">
        <v>0</v>
      </c>
      <c r="L880" t="n">
        <v>0</v>
      </c>
      <c r="M880" t="n">
        <v>0</v>
      </c>
      <c r="N880" t="n">
        <v>0</v>
      </c>
      <c r="O880" t="n">
        <v>0</v>
      </c>
      <c r="P880" t="n">
        <v>0</v>
      </c>
      <c r="Q880" t="n">
        <v>0</v>
      </c>
      <c r="R880" s="2" t="inlineStr"/>
    </row>
    <row r="881" ht="15" customHeight="1">
      <c r="A881" t="inlineStr">
        <is>
          <t>A 24787-2024</t>
        </is>
      </c>
      <c r="B881" s="1" t="n">
        <v>45460</v>
      </c>
      <c r="C881" s="1" t="n">
        <v>45885</v>
      </c>
      <c r="D881" t="inlineStr">
        <is>
          <t>UPPSALA LÄN</t>
        </is>
      </c>
      <c r="E881" t="inlineStr">
        <is>
          <t>UPPSALA</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7388-2024</t>
        </is>
      </c>
      <c r="B882" s="1" t="n">
        <v>45345.56</v>
      </c>
      <c r="C882" s="1" t="n">
        <v>45885</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60984-2022</t>
        </is>
      </c>
      <c r="B883" s="1" t="n">
        <v>44914.67600694444</v>
      </c>
      <c r="C883" s="1" t="n">
        <v>45885</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40111-2024</t>
        </is>
      </c>
      <c r="B884" s="1" t="n">
        <v>45554</v>
      </c>
      <c r="C884" s="1" t="n">
        <v>45885</v>
      </c>
      <c r="D884" t="inlineStr">
        <is>
          <t>UPPSALA LÄN</t>
        </is>
      </c>
      <c r="E884" t="inlineStr">
        <is>
          <t>UPPSALA</t>
        </is>
      </c>
      <c r="G884" t="n">
        <v>3.7</v>
      </c>
      <c r="H884" t="n">
        <v>0</v>
      </c>
      <c r="I884" t="n">
        <v>0</v>
      </c>
      <c r="J884" t="n">
        <v>0</v>
      </c>
      <c r="K884" t="n">
        <v>0</v>
      </c>
      <c r="L884" t="n">
        <v>0</v>
      </c>
      <c r="M884" t="n">
        <v>0</v>
      </c>
      <c r="N884" t="n">
        <v>0</v>
      </c>
      <c r="O884" t="n">
        <v>0</v>
      </c>
      <c r="P884" t="n">
        <v>0</v>
      </c>
      <c r="Q884" t="n">
        <v>0</v>
      </c>
      <c r="R884" s="2" t="inlineStr"/>
    </row>
    <row r="885" ht="15" customHeight="1">
      <c r="A885" t="inlineStr">
        <is>
          <t>A 21052-2023</t>
        </is>
      </c>
      <c r="B885" s="1" t="n">
        <v>45061</v>
      </c>
      <c r="C885" s="1" t="n">
        <v>45885</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1855-2021</t>
        </is>
      </c>
      <c r="B886" s="1" t="n">
        <v>44210</v>
      </c>
      <c r="C886" s="1" t="n">
        <v>45885</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17595-2025</t>
        </is>
      </c>
      <c r="B887" s="1" t="n">
        <v>45757</v>
      </c>
      <c r="C887" s="1" t="n">
        <v>45885</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46743-2024</t>
        </is>
      </c>
      <c r="B888" s="1" t="n">
        <v>45583.47836805556</v>
      </c>
      <c r="C888" s="1" t="n">
        <v>45885</v>
      </c>
      <c r="D888" t="inlineStr">
        <is>
          <t>UPPSALA LÄN</t>
        </is>
      </c>
      <c r="E888" t="inlineStr">
        <is>
          <t>UPPSALA</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60701-2022</t>
        </is>
      </c>
      <c r="B889" s="1" t="n">
        <v>44912</v>
      </c>
      <c r="C889" s="1" t="n">
        <v>45885</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38865-2022</t>
        </is>
      </c>
      <c r="B890" s="1" t="n">
        <v>44816</v>
      </c>
      <c r="C890" s="1" t="n">
        <v>45885</v>
      </c>
      <c r="D890" t="inlineStr">
        <is>
          <t>UPPSALA LÄN</t>
        </is>
      </c>
      <c r="E890" t="inlineStr">
        <is>
          <t>UPPSALA</t>
        </is>
      </c>
      <c r="G890" t="n">
        <v>14.6</v>
      </c>
      <c r="H890" t="n">
        <v>0</v>
      </c>
      <c r="I890" t="n">
        <v>0</v>
      </c>
      <c r="J890" t="n">
        <v>0</v>
      </c>
      <c r="K890" t="n">
        <v>0</v>
      </c>
      <c r="L890" t="n">
        <v>0</v>
      </c>
      <c r="M890" t="n">
        <v>0</v>
      </c>
      <c r="N890" t="n">
        <v>0</v>
      </c>
      <c r="O890" t="n">
        <v>0</v>
      </c>
      <c r="P890" t="n">
        <v>0</v>
      </c>
      <c r="Q890" t="n">
        <v>0</v>
      </c>
      <c r="R890" s="2" t="inlineStr"/>
    </row>
    <row r="891" ht="15" customHeight="1">
      <c r="A891" t="inlineStr">
        <is>
          <t>A 18717-2025</t>
        </is>
      </c>
      <c r="B891" s="1" t="n">
        <v>45763.6503125</v>
      </c>
      <c r="C891" s="1" t="n">
        <v>45885</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6997-2023</t>
        </is>
      </c>
      <c r="B892" s="1" t="n">
        <v>44967.78984953704</v>
      </c>
      <c r="C892" s="1" t="n">
        <v>45885</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3183-2024</t>
        </is>
      </c>
      <c r="B893" s="1" t="n">
        <v>45316</v>
      </c>
      <c r="C893" s="1" t="n">
        <v>45885</v>
      </c>
      <c r="D893" t="inlineStr">
        <is>
          <t>UPPSALA LÄN</t>
        </is>
      </c>
      <c r="E893" t="inlineStr">
        <is>
          <t>UPPSALA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3261-2024</t>
        </is>
      </c>
      <c r="B894" s="1" t="n">
        <v>45317</v>
      </c>
      <c r="C894" s="1" t="n">
        <v>45885</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23157-2023</t>
        </is>
      </c>
      <c r="B895" s="1" t="n">
        <v>45075.51982638889</v>
      </c>
      <c r="C895" s="1" t="n">
        <v>45885</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7727-2024</t>
        </is>
      </c>
      <c r="B896" s="1" t="n">
        <v>45349</v>
      </c>
      <c r="C896" s="1" t="n">
        <v>45885</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1838-2024</t>
        </is>
      </c>
      <c r="B897" s="1" t="n">
        <v>45307</v>
      </c>
      <c r="C897" s="1" t="n">
        <v>45885</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29019-2023</t>
        </is>
      </c>
      <c r="B898" s="1" t="n">
        <v>45104.6828125</v>
      </c>
      <c r="C898" s="1" t="n">
        <v>45885</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10394-2025</t>
        </is>
      </c>
      <c r="B899" s="1" t="n">
        <v>45720.60410879629</v>
      </c>
      <c r="C899" s="1" t="n">
        <v>45885</v>
      </c>
      <c r="D899" t="inlineStr">
        <is>
          <t>UPPSALA LÄN</t>
        </is>
      </c>
      <c r="E899" t="inlineStr">
        <is>
          <t>UPPSALA</t>
        </is>
      </c>
      <c r="G899" t="n">
        <v>3.4</v>
      </c>
      <c r="H899" t="n">
        <v>0</v>
      </c>
      <c r="I899" t="n">
        <v>0</v>
      </c>
      <c r="J899" t="n">
        <v>0</v>
      </c>
      <c r="K899" t="n">
        <v>0</v>
      </c>
      <c r="L899" t="n">
        <v>0</v>
      </c>
      <c r="M899" t="n">
        <v>0</v>
      </c>
      <c r="N899" t="n">
        <v>0</v>
      </c>
      <c r="O899" t="n">
        <v>0</v>
      </c>
      <c r="P899" t="n">
        <v>0</v>
      </c>
      <c r="Q899" t="n">
        <v>0</v>
      </c>
      <c r="R899" s="2" t="inlineStr"/>
    </row>
    <row r="900" ht="15" customHeight="1">
      <c r="A900" t="inlineStr">
        <is>
          <t>A 59996-2024</t>
        </is>
      </c>
      <c r="B900" s="1" t="n">
        <v>45642</v>
      </c>
      <c r="C900" s="1" t="n">
        <v>45885</v>
      </c>
      <c r="D900" t="inlineStr">
        <is>
          <t>UPPSALA LÄN</t>
        </is>
      </c>
      <c r="E900" t="inlineStr">
        <is>
          <t>UPPSALA</t>
        </is>
      </c>
      <c r="F900" t="inlineStr">
        <is>
          <t>Bergvik skog väst AB</t>
        </is>
      </c>
      <c r="G900" t="n">
        <v>14.5</v>
      </c>
      <c r="H900" t="n">
        <v>0</v>
      </c>
      <c r="I900" t="n">
        <v>0</v>
      </c>
      <c r="J900" t="n">
        <v>0</v>
      </c>
      <c r="K900" t="n">
        <v>0</v>
      </c>
      <c r="L900" t="n">
        <v>0</v>
      </c>
      <c r="M900" t="n">
        <v>0</v>
      </c>
      <c r="N900" t="n">
        <v>0</v>
      </c>
      <c r="O900" t="n">
        <v>0</v>
      </c>
      <c r="P900" t="n">
        <v>0</v>
      </c>
      <c r="Q900" t="n">
        <v>0</v>
      </c>
      <c r="R900" s="2" t="inlineStr"/>
    </row>
    <row r="901" ht="15" customHeight="1">
      <c r="A901" t="inlineStr">
        <is>
          <t>A 6549-2025</t>
        </is>
      </c>
      <c r="B901" s="1" t="n">
        <v>45699</v>
      </c>
      <c r="C901" s="1" t="n">
        <v>45885</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12830-2025</t>
        </is>
      </c>
      <c r="B902" s="1" t="n">
        <v>45733.63099537037</v>
      </c>
      <c r="C902" s="1" t="n">
        <v>45885</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18808-2024</t>
        </is>
      </c>
      <c r="B903" s="1" t="n">
        <v>45426.61569444444</v>
      </c>
      <c r="C903" s="1" t="n">
        <v>45885</v>
      </c>
      <c r="D903" t="inlineStr">
        <is>
          <t>UPPSALA LÄN</t>
        </is>
      </c>
      <c r="E903" t="inlineStr">
        <is>
          <t>UPPSALA</t>
        </is>
      </c>
      <c r="G903" t="n">
        <v>11.5</v>
      </c>
      <c r="H903" t="n">
        <v>0</v>
      </c>
      <c r="I903" t="n">
        <v>0</v>
      </c>
      <c r="J903" t="n">
        <v>0</v>
      </c>
      <c r="K903" t="n">
        <v>0</v>
      </c>
      <c r="L903" t="n">
        <v>0</v>
      </c>
      <c r="M903" t="n">
        <v>0</v>
      </c>
      <c r="N903" t="n">
        <v>0</v>
      </c>
      <c r="O903" t="n">
        <v>0</v>
      </c>
      <c r="P903" t="n">
        <v>0</v>
      </c>
      <c r="Q903" t="n">
        <v>0</v>
      </c>
      <c r="R903" s="2" t="inlineStr"/>
    </row>
    <row r="904" ht="15" customHeight="1">
      <c r="A904" t="inlineStr">
        <is>
          <t>A 28782-2024</t>
        </is>
      </c>
      <c r="B904" s="1" t="n">
        <v>45478.60802083334</v>
      </c>
      <c r="C904" s="1" t="n">
        <v>45885</v>
      </c>
      <c r="D904" t="inlineStr">
        <is>
          <t>UPPSALA LÄN</t>
        </is>
      </c>
      <c r="E904" t="inlineStr">
        <is>
          <t>UPPSALA</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9981-2025</t>
        </is>
      </c>
      <c r="B905" s="1" t="n">
        <v>45719.40723379629</v>
      </c>
      <c r="C905" s="1" t="n">
        <v>45885</v>
      </c>
      <c r="D905" t="inlineStr">
        <is>
          <t>UPPSALA LÄN</t>
        </is>
      </c>
      <c r="E905" t="inlineStr">
        <is>
          <t>UPPSALA</t>
        </is>
      </c>
      <c r="F905" t="inlineStr">
        <is>
          <t>Kyrkan</t>
        </is>
      </c>
      <c r="G905" t="n">
        <v>2.9</v>
      </c>
      <c r="H905" t="n">
        <v>0</v>
      </c>
      <c r="I905" t="n">
        <v>0</v>
      </c>
      <c r="J905" t="n">
        <v>0</v>
      </c>
      <c r="K905" t="n">
        <v>0</v>
      </c>
      <c r="L905" t="n">
        <v>0</v>
      </c>
      <c r="M905" t="n">
        <v>0</v>
      </c>
      <c r="N905" t="n">
        <v>0</v>
      </c>
      <c r="O905" t="n">
        <v>0</v>
      </c>
      <c r="P905" t="n">
        <v>0</v>
      </c>
      <c r="Q905" t="n">
        <v>0</v>
      </c>
      <c r="R905" s="2" t="inlineStr"/>
    </row>
    <row r="906">
      <c r="A906" t="inlineStr">
        <is>
          <t>A 36781-2023</t>
        </is>
      </c>
      <c r="B906" s="1" t="n">
        <v>45154.34931712963</v>
      </c>
      <c r="C906" s="1" t="n">
        <v>45885</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2025-08-16T08:30:32Z</dcterms:created>
  <dcterms:modified xmlns:dcterms="http://purl.org/dc/terms/" xmlns:xsi="http://www.w3.org/2001/XMLSchema-instance" xsi:type="dcterms:W3CDTF">2025-08-16T08:30:33Z</dcterms:modified>
</cp:coreProperties>
</file>